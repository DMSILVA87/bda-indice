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omments1.xml" ContentType="application/vnd.openxmlformats-officedocument.spreadsheetml.comments+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orksheets/sheet13.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xr:revisionPtr revIDLastSave="11" documentId="11_12309E11C9A8DE5B378BCDE3FA76E2D8A9CFEB62" xr6:coauthVersionLast="47" xr6:coauthVersionMax="47" xr10:uidLastSave="{F546A23C-0960-48AE-A619-A6C6EA7503AE}"/>
  <bookViews>
    <workbookView xWindow="-110" yWindow="-110" windowWidth="34620" windowHeight="13900" activeTab="8" xr2:uid="{00000000-000D-0000-FFFF-FFFF00000000}"/>
  </bookViews>
  <sheets>
    <sheet name="00_Painel" sheetId="1" r:id="rId1"/>
    <sheet name="01_Criterios" sheetId="2" r:id="rId2"/>
    <sheet name="02_Base_Potencial" sheetId="3" r:id="rId3"/>
    <sheet name="03_Base_Indice" sheetId="4" r:id="rId4"/>
    <sheet name="04_Dados_Ajustados" sheetId="5" r:id="rId5"/>
    <sheet name="05_Flags_Qualidade" sheetId="6" r:id="rId6"/>
    <sheet name="06_Normalizacao" sheetId="7" r:id="rId7"/>
    <sheet name="07_Subindices" sheetId="8" r:id="rId8"/>
    <sheet name="08_Visualizacoes" sheetId="9" r:id="rId9"/>
    <sheet name="09_Metodologia" sheetId="10" r:id="rId10"/>
    <sheet name="10_Fontes" sheetId="11" r:id="rId11"/>
    <sheet name="11_Escala_Comum" sheetId="13" r:id="rId20"/>
    <sheet name="Aux" sheetId="12" state="hidden" r:id="rId12"/>
  </sheets>
  <definedNames>
    <definedName name="_xlnm._FilterDatabase" localSheetId="2" hidden="1">'02_Base_Potencial'!$A$4:$AS$335</definedName>
    <definedName name="_xlnm._FilterDatabase" localSheetId="10" hidden="1">'10_Fontes'!$A$4:$H$335</definedName>
  </definedNames>
  <calcPr calcId="191028" iterateDelta="1E-4" forceFullCalc="1"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D7" authorId="0" shapeId="0" xr:uid="{00000000-0006-0000-0200-000001000000}">
      <text>
        <r>
          <rPr>
            <sz val="11"/>
            <color theme="1"/>
            <rFont val="Calibri"/>
            <family val="2"/>
            <scheme val="minor"/>
          </rPr>
          <t>V2: CPI 2025 Angola = 32/100, Transparency International.</t>
        </r>
      </text>
    </comment>
    <comment ref="D40" authorId="0" shapeId="0" xr:uid="{00000000-0006-0000-0200-000002000000}">
      <text>
        <r>
          <rPr>
            <sz val="11"/>
            <color theme="1"/>
            <rFont val="Calibri"/>
            <family val="2"/>
            <scheme val="minor"/>
          </rPr>
          <t>V2: série anual calculada a partir das Contas Nacionais Trimestrais do INE (Q5), PIB real total menos extração/refino de petróleo.</t>
        </r>
      </text>
    </comment>
    <comment ref="D247" authorId="0" shapeId="0" xr:uid="{00000000-0006-0000-0200-000003000000}">
      <text>
        <r>
          <rPr>
            <sz val="11"/>
            <color theme="1"/>
            <rFont val="Calibri"/>
            <family val="2"/>
            <scheme val="minor"/>
          </rPr>
          <t>V2: série anual calculada a partir das Contas Nacionais Trimestrais do INE (Q5), PIB real total menos extração/refino de petróleo.</t>
        </r>
      </text>
    </comment>
  </commentList>
</comments>
</file>

<file path=xl/sharedStrings.xml><?xml version="1.0" encoding="utf-8"?>
<sst xmlns="http://schemas.openxmlformats.org/spreadsheetml/2006/main" count="7159" uniqueCount="2234">
  <si>
    <t>ÍNDICE GLOBAL DE DESENVOLVIMENTO DE ANGOLA (IGDA-BDA) — Selecção Final</t>
  </si>
  <si>
    <t>INDICADORES-CHAVE</t>
  </si>
  <si>
    <t>NAVEGAÇÃO</t>
  </si>
  <si>
    <t>→ 01 · Critérios de selecção</t>
  </si>
  <si>
    <t>Parâmetros, dimensões a incluir, nº de indicadores e modo automático/manual</t>
  </si>
  <si>
    <t>→ 02 · Base potencial</t>
  </si>
  <si>
    <t>Catálogo completo de candidatos com dados de origem, scores e ranking</t>
  </si>
  <si>
    <t>→ 03 · Base do índice</t>
  </si>
  <si>
    <t>Indicadores seleccionados (dados observados usados no índice)</t>
  </si>
  <si>
    <t>→ 04 · Dados ajustados</t>
  </si>
  <si>
    <t>Séries completadas por interpolação/carry com limites controlados</t>
  </si>
  <si>
    <t>→ 05 · Flags de qualidade</t>
  </si>
  <si>
    <t>Origem de cada célula: observada, estimada ou sem dado</t>
  </si>
  <si>
    <t>→ 06 · Normalização</t>
  </si>
  <si>
    <t>Scores 0–100 com sentido direccional</t>
  </si>
  <si>
    <t>→ 07 · Subíndices</t>
  </si>
  <si>
    <t>Subíndices por dimensão, IGDA global e diagnóstico de cobertura</t>
  </si>
  <si>
    <t>→ 08 · Visualizações</t>
  </si>
  <si>
    <t>Mapa de calor, radar e variação entre anos</t>
  </si>
  <si>
    <t>→ 09 · Metodologia</t>
  </si>
  <si>
    <t>Nota metodológica completa e instruções de utilização</t>
  </si>
  <si>
    <t>→ 10 · Fontes</t>
  </si>
  <si>
    <t>Fontes e ligações de todos os indicadores</t>
  </si>
  <si>
    <t>EVOLUÇÃO DOS SUBÍNDICES</t>
  </si>
  <si>
    <t>Dimensão</t>
  </si>
  <si>
    <t>IGDA GLOBAL</t>
  </si>
  <si>
    <t>DESTAQUES AUTOMÁTICOS</t>
  </si>
  <si>
    <t>← Painel</t>
  </si>
  <si>
    <t>CRITÉRIOS DE SELECÇÃO E PARÂMETROS DO ÍNDICE</t>
  </si>
  <si>
    <t>Células amarelas são editáveis. Tudo o resto recalcula automaticamente (selecção de indicadores, imputação, normalização, subíndices e IGDA).</t>
  </si>
  <si>
    <t>A. Parâmetros gerais</t>
  </si>
  <si>
    <t>Parâmetro</t>
  </si>
  <si>
    <t>Valor</t>
  </si>
  <si>
    <t>Explicação</t>
  </si>
  <si>
    <t>Ano inicial do período</t>
  </si>
  <si>
    <t>Período fixo desta versão (colunas 2015–2025).</t>
  </si>
  <si>
    <t>Ano final do período</t>
  </si>
  <si>
    <t>Usado no cálculo da recência dos indicadores.</t>
  </si>
  <si>
    <t>Escala normalizada mínima</t>
  </si>
  <si>
    <t>Limite inferior dos scores normalizados.</t>
  </si>
  <si>
    <t>Escala normalizada máxima</t>
  </si>
  <si>
    <t>Limite superior dos scores normalizados.</t>
  </si>
  <si>
    <t>Cobertura mínima do indicador (% de anos observados)</t>
  </si>
  <si>
    <t>Indicadores abaixo deste limiar ficam inelegíveis (demasiado incompletos).</t>
  </si>
  <si>
    <t>Último ano observado mínimo (recência)</t>
  </si>
  <si>
    <t>Indicadores sem observações desde este ano são ignorados (desactualizados).</t>
  </si>
  <si>
    <t>Lacuna máxima para interpolação linear (anos)</t>
  </si>
  <si>
    <t>Lacunas internas até este nº de anos são interpoladas linearmente.</t>
  </si>
  <si>
    <t>Carry-forward máximo no fim da série (anos)</t>
  </si>
  <si>
    <t>Propagação do último valor observado, no máximo este nº de anos.</t>
  </si>
  <si>
    <t>Carry-backward máximo no início da série (anos)</t>
  </si>
  <si>
    <t>Propagação retroactiva do primeiro valor observado.</t>
  </si>
  <si>
    <t>Cobertura mínima por subíndice (fracção de indicadores com score)</t>
  </si>
  <si>
    <t>Num dado ano, o subíndice só é calculado se houver scores suficientes.</t>
  </si>
  <si>
    <t>Nº mínimo de subíndices para calcular o IGDA</t>
  </si>
  <si>
    <t>Abaixo deste número o IGDA global não é calculado.</t>
  </si>
  <si>
    <t>Modo de selecção (Automática / Manual)</t>
  </si>
  <si>
    <t>Automática</t>
  </si>
  <si>
    <t>Automática: top-N por score + ajustes manuais. Manual: só entram os "Incluir".</t>
  </si>
  <si>
    <t>Peso do critério Relevância</t>
  </si>
  <si>
    <t>Prioridade do indicador no catálogo.</t>
  </si>
  <si>
    <t>Peso do critério Completude</t>
  </si>
  <si>
    <t>% de anos do período com observação.</t>
  </si>
  <si>
    <t>Peso do critério Consistência</t>
  </si>
  <si>
    <t>Continuidade da série e recência.</t>
  </si>
  <si>
    <t>Bónus fonte nacional (pontos)</t>
  </si>
  <si>
    <t>Acresce ao score de indicadores com fonte nacional (BNA/INE/IIMS).</t>
  </si>
  <si>
    <t>B. Dimensões do índice</t>
  </si>
  <si>
    <t>Incluir? (1/0)</t>
  </si>
  <si>
    <t>Peso</t>
  </si>
  <si>
    <t>Indicadores alvo</t>
  </si>
  <si>
    <t>Candidatos</t>
  </si>
  <si>
    <t>Elegíveis</t>
  </si>
  <si>
    <t>Seleccionados</t>
  </si>
  <si>
    <t>Cobertura média (sel.)</t>
  </si>
  <si>
    <t>Score médio (sel.)</t>
  </si>
  <si>
    <t>1. Governança e Estado de Direito</t>
  </si>
  <si>
    <t>2. Estabilidade Macroeconómica</t>
  </si>
  <si>
    <t>3. Capital Humano</t>
  </si>
  <si>
    <t>4. Inclusão Social e Protecção</t>
  </si>
  <si>
    <t>5. Infraestruturas e Serviços</t>
  </si>
  <si>
    <t>6. Mercado de Trabalho</t>
  </si>
  <si>
    <t>7. Segurança Alimentar e Saúde</t>
  </si>
  <si>
    <t>8. Diversificação Produtiva e Setor Privado</t>
  </si>
  <si>
    <t>9. Ambiente, Clima e Resiliência</t>
  </si>
  <si>
    <t>10. Demografia, Território e Urbanização</t>
  </si>
  <si>
    <t>11. Transformação Digital e Inovação</t>
  </si>
  <si>
    <t>Como funciona: no modo "Automática", entram os melhores N indicadores por dimensão (N = "Indicadores alvo"), por ordem do Score Total da Base_Potencial; a coluna "Ajuste manual" dessa folha permite forçar ("Incluir") ou bloquear ("Excluir") qualquer candidato. No modo "Manual" só entram os marcados como "Incluir". Máximo de 10 indicadores por dimensão.</t>
  </si>
  <si>
    <t>BASE DE INDICADORES POTENCIAIS (CATÁLOGO POR DIMENSÃO)</t>
  </si>
  <si>
    <t>331 indicadores candidatos, valores anuais como extraídos das fontes de origem (BNA, INE, IIMS, Banco Mundial/WDI, FMI/WEO, benchmarks internacionais). Colunas de avaliação e selecção calculadas por fórmulas. Editável: Peso (J) e Ajuste manual (AP).</t>
  </si>
  <si>
    <t>ID</t>
  </si>
  <si>
    <t>Subtema</t>
  </si>
  <si>
    <t>Indicador</t>
  </si>
  <si>
    <t>Unidade</t>
  </si>
  <si>
    <t>Sentido</t>
  </si>
  <si>
    <t>Mínimo</t>
  </si>
  <si>
    <t>Máximo</t>
  </si>
  <si>
    <t>Meta 2027</t>
  </si>
  <si>
    <t>Fonte</t>
  </si>
  <si>
    <t>Código/API</t>
  </si>
  <si>
    <t>Origem</t>
  </si>
  <si>
    <t>Fonte nacional</t>
  </si>
  <si>
    <t>Grupo (anti-duplicação)</t>
  </si>
  <si>
    <t>Prioridade</t>
  </si>
  <si>
    <t>Nº obs.</t>
  </si>
  <si>
    <t>Cobertura</t>
  </si>
  <si>
    <t>Primeiro ano</t>
  </si>
  <si>
    <t>Último ano</t>
  </si>
  <si>
    <t>Continuidade</t>
  </si>
  <si>
    <t>Recência (anos)</t>
  </si>
  <si>
    <t>Score Relevância</t>
  </si>
  <si>
    <t>Score Completude</t>
  </si>
  <si>
    <t>Score Consistência</t>
  </si>
  <si>
    <t>SCORE TOTAL</t>
  </si>
  <si>
    <t>Elegível</t>
  </si>
  <si>
    <t>Motivo de exclusão</t>
  </si>
  <si>
    <t>Melhor do grupo</t>
  </si>
  <si>
    <t>Rank na dimensão</t>
  </si>
  <si>
    <t>Ajuste manual</t>
  </si>
  <si>
    <t>SELECCIONADO</t>
  </si>
  <si>
    <t>Slot</t>
  </si>
  <si>
    <t>Nota</t>
  </si>
  <si>
    <t>GOV004</t>
  </si>
  <si>
    <t>1. Governança</t>
  </si>
  <si>
    <t>Estabilidade Política (WGI)</t>
  </si>
  <si>
    <t>-2.5 a 2.5</t>
  </si>
  <si>
    <t>+</t>
  </si>
  <si>
    <t>Banco Mundial</t>
  </si>
  <si>
    <t>PV.EST</t>
  </si>
  <si>
    <t>Compilação interna BDA</t>
  </si>
  <si>
    <t>Em uso</t>
  </si>
  <si>
    <t>Auto</t>
  </si>
  <si>
    <t>Indicador já incluído no modelo original.</t>
  </si>
  <si>
    <t>GOV005</t>
  </si>
  <si>
    <t>Doing Business / Ease of Business</t>
  </si>
  <si>
    <t>0-100</t>
  </si>
  <si>
    <t>GOV01</t>
  </si>
  <si>
    <t>Índice de Percepção da Corrupção</t>
  </si>
  <si>
    <t>Transparency Int.</t>
  </si>
  <si>
    <t>TI_CPI_SCORE</t>
  </si>
  <si>
    <t>Transparency International — CPI</t>
  </si>
  <si>
    <t>Nome local/API: Corruption Perceptions Index — score (0=highly corrupt, 100=clean) | 2025 preenchido a partir da página oficial Transparency International Angola/CPI 2025.</t>
  </si>
  <si>
    <t>GOV02</t>
  </si>
  <si>
    <t>WGI - Estado de Direito</t>
  </si>
  <si>
    <t>RL.EST</t>
  </si>
  <si>
    <t>GOV03</t>
  </si>
  <si>
    <t>WGI - Eficiência do Governo</t>
  </si>
  <si>
    <t>GE.EST</t>
  </si>
  <si>
    <t>GOV009</t>
  </si>
  <si>
    <t>Índice Ibrahim - Governação Global</t>
  </si>
  <si>
    <t>Mo Ibrahim Foundation</t>
  </si>
  <si>
    <t>IIAG_OVERALL</t>
  </si>
  <si>
    <t>Alta</t>
  </si>
  <si>
    <t>Benchmark africano com várias dimensões institucionais. | IIAG 2024: scorecard (2023) e perfil de país (2014). Dataset cobre 2014-2023; anos intermédios não rotulados numericamente.</t>
  </si>
  <si>
    <t>GOV020</t>
  </si>
  <si>
    <t>Corrupção empresarial</t>
  </si>
  <si>
    <t>Incidência de subornos em empresas</t>
  </si>
  <si>
    <t>%</t>
  </si>
  <si>
    <t>-</t>
  </si>
  <si>
    <t>Banco Mundial/Enterprise Surveys</t>
  </si>
  <si>
    <t>IC.FRM.BRIB.ZS</t>
  </si>
  <si>
    <t>Banco Mundial — WDI</t>
  </si>
  <si>
    <t>Capta corrupção sentida pelas empresas, complementar ao CPI/WGI. | Nome local/API: Bribery incidence (% of firms experiencing at least one bribe payment request)</t>
  </si>
  <si>
    <t>GOV021</t>
  </si>
  <si>
    <t>Pagamentos informais a funcionários públicos</t>
  </si>
  <si>
    <t>IC.FRM.CORR.ZS</t>
  </si>
  <si>
    <t>Indicador empresarial direto de informalidade/corrupção administrativa. | Nome local/API: Informal payments to public officials (% of firms)</t>
  </si>
  <si>
    <t>GOV05</t>
  </si>
  <si>
    <t>WGI - Qualidade Regulatória</t>
  </si>
  <si>
    <t>WGI/Banco Mundial</t>
  </si>
  <si>
    <t>RQ.EST</t>
  </si>
  <si>
    <t>Bom substituto para Doing Business, que foi descontinuado. Cobertura estimada pela periodicidade WGI; o endpoint WDI simples não devolve esta série.</t>
  </si>
  <si>
    <t>GOV06</t>
  </si>
  <si>
    <t>WGI - Controlo da Corrupção</t>
  </si>
  <si>
    <t>CC.EST</t>
  </si>
  <si>
    <t>Excluir</t>
  </si>
  <si>
    <t>Excluído por anti-duplicação (conceito já representado).</t>
  </si>
  <si>
    <t>GOV008</t>
  </si>
  <si>
    <t>WGI - Voz e Responsabilização</t>
  </si>
  <si>
    <t>VA.EST</t>
  </si>
  <si>
    <t>Média</t>
  </si>
  <si>
    <t>Acrescenta dimensão de responsabilização pública e participação. Cobertura estimada pela periodicidade WGI; o endpoint WDI simples não devolve esta série.</t>
  </si>
  <si>
    <t>GOV010</t>
  </si>
  <si>
    <t>Índice Ibrahim - Segurança e Estado de Direito</t>
  </si>
  <si>
    <t>IIAG_SECRULE</t>
  </si>
  <si>
    <t>G_IIAG_SECRULE</t>
  </si>
  <si>
    <t>Aproxima governança de segurança, justiça e direitos no contexto africano. | IIAG 2024 scorecard/perfil; categoria Security &amp; Rule of Law.</t>
  </si>
  <si>
    <t>GOV011</t>
  </si>
  <si>
    <t>Open Budget Index</t>
  </si>
  <si>
    <t>International Budget Partnership</t>
  </si>
  <si>
    <t>OBI</t>
  </si>
  <si>
    <t>Mede transparência orçamental, relevante para responsabilização fiscal. | IBP Open Budget Survey 2012-2023 (página de resultados de Angola 2023).</t>
  </si>
  <si>
    <t>GOV012</t>
  </si>
  <si>
    <t>Empresas solicitadas a fazer pagamentos informais</t>
  </si>
  <si>
    <t>World Bank Enterprise Surveys</t>
  </si>
  <si>
    <t>Capta corrupção administrativa sentida pelas empresas.</t>
  </si>
  <si>
    <t>GOV013</t>
  </si>
  <si>
    <t>Statistical Performance Index - score geral</t>
  </si>
  <si>
    <t>IQ.SPI.OVRL</t>
  </si>
  <si>
    <t>Mede capacidade estatística, útil para qualidade de políticas públicas e monitorização. | Nome local/API: Statistical performance indicators (SPI): Overall score (scale 0-100)</t>
  </si>
  <si>
    <t>GOV014</t>
  </si>
  <si>
    <t>Instituições públicas</t>
  </si>
  <si>
    <t>CPIA - direitos de propriedade e governação baseada em regras</t>
  </si>
  <si>
    <t>1-6</t>
  </si>
  <si>
    <t>Banco Mundial/WDI</t>
  </si>
  <si>
    <t>IQ.CPA.PROP.XQ</t>
  </si>
  <si>
    <t>Complementa WGI em qualidade institucional para países elegíveis IDA. | Nome local/API: CPIA property rights and rule-based governance rating (1=low to 6=high)</t>
  </si>
  <si>
    <t>GOV015</t>
  </si>
  <si>
    <t>CPIA - transparência, responsabilização e corrupção no setor público</t>
  </si>
  <si>
    <t>IQ.CPA.TRAN.XQ</t>
  </si>
  <si>
    <t>Complementa CPI/WGI com avaliação institucional operacional. | Nome local/API: CPIA transparency, accountability, and corruption in the public sector rating (1=low to 6=high)</t>
  </si>
  <si>
    <t>GOV016</t>
  </si>
  <si>
    <t>CPIA - gestão do setor público e instituições</t>
  </si>
  <si>
    <t>IQ.CPA.PUBS.XQ</t>
  </si>
  <si>
    <t>Cluster institucional útil para robustez do capítulo de governação. | Nome local/API: CPIA public sector management and institutions cluster average (1=low to 6=high)</t>
  </si>
  <si>
    <t>GOV017</t>
  </si>
  <si>
    <t>CPIA - qualidade da administração pública</t>
  </si>
  <si>
    <t>IQ.CPA.PADM.XQ</t>
  </si>
  <si>
    <t>Capta capacidade administrativa do Estado. | Nome local/API: CPIA quality of public administration rating (1=low to 6=high)</t>
  </si>
  <si>
    <t>GOV018</t>
  </si>
  <si>
    <t>Finanças públicas</t>
  </si>
  <si>
    <t>CPIA - qualidade da gestão orçamental e financeira</t>
  </si>
  <si>
    <t>IQ.CPA.FINQ.XQ</t>
  </si>
  <si>
    <t>Complementa transparência e execução orçamental. | Nome local/API: CPIA quality of budgetary and financial management rating (1=low to 6=high)</t>
  </si>
  <si>
    <t>GOV019</t>
  </si>
  <si>
    <t>Mobilização de receita</t>
  </si>
  <si>
    <t>CPIA - eficiência da mobilização de receita</t>
  </si>
  <si>
    <t>IQ.CPA.REVN.XQ</t>
  </si>
  <si>
    <t>Relevante para sustentabilidade do Estado. | Nome local/API: CPIA efficiency of revenue mobilization rating (1=low to 6=high)</t>
  </si>
  <si>
    <t>GOV022</t>
  </si>
  <si>
    <t>Segurança e paz</t>
  </si>
  <si>
    <t>Homicídios intencionais</t>
  </si>
  <si>
    <t>por 100.000 hab.</t>
  </si>
  <si>
    <t>VC.IHR.PSRC.P5</t>
  </si>
  <si>
    <t>Aproxima segurança pública; deve ser lido com qualidade do registo criminal. | Nome local/API: Intentional homicides (per 100,000 people)</t>
  </si>
  <si>
    <t>GOV023</t>
  </si>
  <si>
    <t>Mortes relacionadas com conflito armado</t>
  </si>
  <si>
    <t>número</t>
  </si>
  <si>
    <t>VC.BTL.DETH</t>
  </si>
  <si>
    <t>Inclui risco de estabilidade e segurança humana. | Nome local/API: Battle-related deaths (number of people)</t>
  </si>
  <si>
    <t>GOV024</t>
  </si>
  <si>
    <t>Governança africana</t>
  </si>
  <si>
    <t>IIAG - Accountability and Transparency</t>
  </si>
  <si>
    <t>IIAG_PARTIC</t>
  </si>
  <si>
    <t>Benchmark africano para validação regional do capítulo de governação. | IIAG 2024 scorecard/perfil; categoria Participation, Rights &amp; Inclusion (proxy de Accountability &amp; Transparency = 31,6 em 2023).</t>
  </si>
  <si>
    <t>GOV025</t>
  </si>
  <si>
    <t>IIAG - Security and Rule of Law</t>
  </si>
  <si>
    <t>Benchmark africano alinhado com estado de direito e segurança. | IIAG 2024 scorecard/perfil; categoria Security &amp; Rule of Law.</t>
  </si>
  <si>
    <t>GOV026</t>
  </si>
  <si>
    <t>Estabilidade do Estado</t>
  </si>
  <si>
    <t>Fragile States Index - total</t>
  </si>
  <si>
    <t>0-120</t>
  </si>
  <si>
    <t>Fund for Peace</t>
  </si>
  <si>
    <t>FSI</t>
  </si>
  <si>
    <t>Pesquisa externa (web)</t>
  </si>
  <si>
    <t>Fund for Peace FSI 2020-2024 (total; menor=mais estável).</t>
  </si>
  <si>
    <t>GOV027</t>
  </si>
  <si>
    <t>Liberdade e direitos</t>
  </si>
  <si>
    <t>World Press Freedom Index (RSF)</t>
  </si>
  <si>
    <t>0-100 (maior=mais livre)</t>
  </si>
  <si>
    <t>Repórteres Sem Fronteiras</t>
  </si>
  <si>
    <t>RSF</t>
  </si>
  <si>
    <t>RSF 2022-2024 (escala 0-100 maior=mais livre; metodologia mudou em 2022).</t>
  </si>
  <si>
    <t>GOV028</t>
  </si>
  <si>
    <t>Benchmark de prosperidade</t>
  </si>
  <si>
    <t>Legatum Prosperity Index - score</t>
  </si>
  <si>
    <t>Legatum Institute</t>
  </si>
  <si>
    <t>LEGATUM_SCORE</t>
  </si>
  <si>
    <t>Baixa</t>
  </si>
  <si>
    <t>Perfil oficial Legatum 2023 (score 40,5; 2013 = 40,3).</t>
  </si>
  <si>
    <t>MAC001</t>
  </si>
  <si>
    <t>2. Macroeconomia</t>
  </si>
  <si>
    <t>Taxa de Crescimento do PIB</t>
  </si>
  <si>
    <t>INE/MEP</t>
  </si>
  <si>
    <t>NY.GDP.MKTP.KD.ZG</t>
  </si>
  <si>
    <t>G_PIB_CRESC</t>
  </si>
  <si>
    <t>Nome local/API: GDP growth (annual %) | 2025 revisto pelo WDI bulk 2026-06-30; valor INE CNT local usado como validação próxima (3,1299%).</t>
  </si>
  <si>
    <t>MAC002</t>
  </si>
  <si>
    <t>PIB per Capita (USD)</t>
  </si>
  <si>
    <t>USD</t>
  </si>
  <si>
    <t>NY.GDP.PCAP.CD</t>
  </si>
  <si>
    <t>G_PIBPC</t>
  </si>
  <si>
    <t>Nome local/API: GDP per capita (current US$)</t>
  </si>
  <si>
    <t>MAC003</t>
  </si>
  <si>
    <t>Inflação (IPC)</t>
  </si>
  <si>
    <t>INE/BNA</t>
  </si>
  <si>
    <t>FP.CPI.TOTL.ZG</t>
  </si>
  <si>
    <t>G_INFLACAO</t>
  </si>
  <si>
    <t>Nome local/API: Inflation, consumer prices (annual %)</t>
  </si>
  <si>
    <t>MAC004</t>
  </si>
  <si>
    <t>Dívida Pública (% do PIB)</t>
  </si>
  <si>
    <t>MINFIN</t>
  </si>
  <si>
    <t>GC.DOD.TOTL.GD.ZS</t>
  </si>
  <si>
    <t>G_DIVIDA_PUB</t>
  </si>
  <si>
    <t>MAC005</t>
  </si>
  <si>
    <t>Saldo Orçamental (% do PIB)</t>
  </si>
  <si>
    <t>GC.BAL.CASH.GD.ZS</t>
  </si>
  <si>
    <t>G_SALDO_ORC</t>
  </si>
  <si>
    <t>MAC006</t>
  </si>
  <si>
    <t>IDE não-petrolífero (% PIB)</t>
  </si>
  <si>
    <t>AIPEX/BNA</t>
  </si>
  <si>
    <t>MAC007</t>
  </si>
  <si>
    <t>Reservas Internacionais (meses)</t>
  </si>
  <si>
    <t>Meses</t>
  </si>
  <si>
    <t>BNA</t>
  </si>
  <si>
    <t>FI.RES.TOTL.MO</t>
  </si>
  <si>
    <t>G_RESERVAS_MESES</t>
  </si>
  <si>
    <t>Nome local/API: Total reserves in months of imports</t>
  </si>
  <si>
    <t>MAC014</t>
  </si>
  <si>
    <t>Crescimento do PIB não petrolífero</t>
  </si>
  <si>
    <t>INE - Contas Nacionais Trimestrais</t>
  </si>
  <si>
    <t>INE_CNT_NONOIL_GROWTH</t>
  </si>
  <si>
    <t>Mais alinhado com a diversificação económica do que o PIB total. | Série 2015-2025 calculada por soma anual do PIB real total menos extração/refino de petróleo no Q5 das CNT.</t>
  </si>
  <si>
    <t>MAC026</t>
  </si>
  <si>
    <t>Condições financeiras</t>
  </si>
  <si>
    <t>Taxa básica do BNA</t>
  </si>
  <si>
    <t>+/-</t>
  </si>
  <si>
    <t>BNA — Taxas de Juro do Banco Central</t>
  </si>
  <si>
    <t>NAT_BNA_TXBASE</t>
  </si>
  <si>
    <t>Disponível nos ficheiros BNA de taxas de juro do banco central; requer harmonização mensal-anual. | BNA, Quadro I.D.1, "Taxa básica BNA"; valor do mês mais recente de cada ano.</t>
  </si>
  <si>
    <t>MAC027</t>
  </si>
  <si>
    <t>Inflação</t>
  </si>
  <si>
    <t>Inflação homóloga nacional - BNA/INE</t>
  </si>
  <si>
    <t>BNA/INE — Preços</t>
  </si>
  <si>
    <t>NAT_BNA_INFL_NAC</t>
  </si>
  <si>
    <t>Fonte BNA: Evolução Mensal da Taxa de Inflação. | Inflação homóloga (Nacional) em Dezembro de cada ano (variação acumulada anual).</t>
  </si>
  <si>
    <t>MAC028</t>
  </si>
  <si>
    <t>Contas nacionais</t>
  </si>
  <si>
    <t>Taxa de crescimento real do PIB (INE)</t>
  </si>
  <si>
    <t>INE — Contas Nacionais</t>
  </si>
  <si>
    <t>NAT_INE_GDP_GROWTH</t>
  </si>
  <si>
    <t>INE, Contas Nacionais Q1.1, variação real anual do PIB. | 2025 preenchido por agregação dos quatro trimestres INE CNT; reproduz a série anual de 2024.</t>
  </si>
  <si>
    <t>MAC029</t>
  </si>
  <si>
    <t>Dívida externa pública (stock, BNA)</t>
  </si>
  <si>
    <t>% PIB</t>
  </si>
  <si>
    <t>BNA — Estatísticas Externas</t>
  </si>
  <si>
    <t>NAT_BNA_DEBTPUB_GDP</t>
  </si>
  <si>
    <t>G_DIV_EXTERNA</t>
  </si>
  <si>
    <t>BNA, Principais Indicadores Externos 1990-2025, linha "Dívida Externa Pública (stock)".</t>
  </si>
  <si>
    <t>MAC031</t>
  </si>
  <si>
    <t>Poupança e investimento</t>
  </si>
  <si>
    <t>Taxa de investimento (FBCF/PIB, INE)</t>
  </si>
  <si>
    <t>NAT_INE_INVRATE</t>
  </si>
  <si>
    <t>G_INVESTIMENTO</t>
  </si>
  <si>
    <t>INE, Contas Nacionais Q5.1.</t>
  </si>
  <si>
    <t>MAC032</t>
  </si>
  <si>
    <t>Sector externo</t>
  </si>
  <si>
    <t>Saldo da conta corrente (BNA)</t>
  </si>
  <si>
    <t>NAT_BNA_CAB_GDP</t>
  </si>
  <si>
    <t>G_CONTA_CORR</t>
  </si>
  <si>
    <t>BNA, Principais Indicadores Externos 1990-2025, linha "Conta Corrente".</t>
  </si>
  <si>
    <t>MAC033</t>
  </si>
  <si>
    <t>Investimento Directo Estrangeiro líquido (BNA)</t>
  </si>
  <si>
    <t>NAT_BNA_FDI_GDP</t>
  </si>
  <si>
    <t>G_IDE</t>
  </si>
  <si>
    <t>BNA, Principais Indicadores Externos 1990-2025, linha "Investimento Directo Estrangeiro (líq)".</t>
  </si>
  <si>
    <t>MAC034</t>
  </si>
  <si>
    <t>Reservas internacionais em meses de importação (BNA)</t>
  </si>
  <si>
    <t>meses</t>
  </si>
  <si>
    <t>NAT_BNA_RES_MONTHS</t>
  </si>
  <si>
    <t>BNA, Principais Indicadores Externos 1990-2025, linha "Reservas Internacionais  / Importações de Bens e Serviç".</t>
  </si>
  <si>
    <t>MAC008</t>
  </si>
  <si>
    <t>Saldo da conta corrente (% PIB)</t>
  </si>
  <si>
    <t>BN.CAB.XOKA.GD.ZS</t>
  </si>
  <si>
    <t>Acrescenta sustentabilidade externa, ausente do subíndice atual. | Nome local/API: Current account balance (% of GDP)</t>
  </si>
  <si>
    <t>MAC009</t>
  </si>
  <si>
    <t>Receita fiscal (% PIB)</t>
  </si>
  <si>
    <t>GC.TAX.TOTL.GD.ZS</t>
  </si>
  <si>
    <t>G_RECEITA</t>
  </si>
  <si>
    <t>Capta capacidade interna de financiamento do Estado. | Nome local/API: Tax revenue (% of GDP)</t>
  </si>
  <si>
    <t>MAC010</t>
  </si>
  <si>
    <t>IDE líquido total (% PIB)</t>
  </si>
  <si>
    <t>BX.KLT.DINV.WD.GD.ZS</t>
  </si>
  <si>
    <t>Substitui provisoriamente o IDE não-petrolífero quando a série setorial estiver vazia. | Nome local/API: Foreign direct investment, net inflows (% of GDP)</t>
  </si>
  <si>
    <t>MAC011</t>
  </si>
  <si>
    <t>Rendas petrolíferas (% PIB)</t>
  </si>
  <si>
    <t>NY.GDP.PETR.RT.ZS</t>
  </si>
  <si>
    <t>G_RENDAS_PETR</t>
  </si>
  <si>
    <t>Proxy de dependência petrolífera; menor dependência é melhor para diversificação. | Nome local/API: Oil rents (% of GDP)</t>
  </si>
  <si>
    <t>MAC016</t>
  </si>
  <si>
    <t>Dívida bruta do governo geral - FMI WEO</t>
  </si>
  <si>
    <t>FMI/WEO</t>
  </si>
  <si>
    <t>GGXWDG_NGDP</t>
  </si>
  <si>
    <t>FMI — WEO</t>
  </si>
  <si>
    <t>Série FMI alternativa/validação da dívida pública. | Nome local/API: Gross debt, General government, Percent of GDP</t>
  </si>
  <si>
    <t>MAC019</t>
  </si>
  <si>
    <t>Saldo líquido / necessidade de financiamento do governo geral</t>
  </si>
  <si>
    <t>GGXCNL_NGDP</t>
  </si>
  <si>
    <t>Alternativa FMI para saldo orçamental. | Nome local/API: Net lending (+) / net borrowing (-), General government, Percent of GDP</t>
  </si>
  <si>
    <t>MAC015</t>
  </si>
  <si>
    <t>Volatilidade da taxa de câmbio nominal</t>
  </si>
  <si>
    <t>% variação anual</t>
  </si>
  <si>
    <t>Banco Mundial/WDI ou BNA</t>
  </si>
  <si>
    <t>PA.NUS.FCRF</t>
  </si>
  <si>
    <t>Capta instabilidade cambial que afeta preços, dívida e importações. | Nome local/API: Official exchange rate (LCU per US$, period average) | Limites: a série foi recalculada como variação anual absoluta da taxa de câmbio oficial PA.NUS.FCRF; mínimo 0 = ausência de variação e máximo 80% = choque cambial extremo observado/plausível antes de truncagem.</t>
  </si>
  <si>
    <t>MAC030</t>
  </si>
  <si>
    <t>Inflação homóloga Luanda - Dezembro (BNA/INE)</t>
  </si>
  <si>
    <t>NAT_BNA_INFL_LUA</t>
  </si>
  <si>
    <t>BNA — Preços</t>
  </si>
  <si>
    <t>Inflação homóloga (Luanda) em Dezembro de cada ano (variação acumulada anual).</t>
  </si>
  <si>
    <t>MAC035</t>
  </si>
  <si>
    <t>PIB nominal em dólares (BNA)</t>
  </si>
  <si>
    <t>milhões USD</t>
  </si>
  <si>
    <t>NAT_BNA_PIB_USD</t>
  </si>
  <si>
    <t>BNA, Principais Indicadores Externos 1990-2025, linha "PIB". | Limites min/max derivados da amplitude histórica.</t>
  </si>
  <si>
    <t>MAC036</t>
  </si>
  <si>
    <t>Crescimento real do PIB per capita (INE)</t>
  </si>
  <si>
    <t>NAT_INE_GDPPC_GROWTH</t>
  </si>
  <si>
    <t>INE, Contas Nacionais Q1.2, variação real anual do PIB per capita.</t>
  </si>
  <si>
    <t>MAC039</t>
  </si>
  <si>
    <t>Dívida externa total (stock, BNA)</t>
  </si>
  <si>
    <t>NAT_BNA_DEBTTOT_GDP</t>
  </si>
  <si>
    <t>BNA, Principais Indicadores Externos 1990-2025, linha "Dívida Externa Total (stock)".</t>
  </si>
  <si>
    <t>MAC040</t>
  </si>
  <si>
    <t>Necessidade/capacidade de financiamento (% PIB, INE)</t>
  </si>
  <si>
    <t>NAT_INE_NETFIN</t>
  </si>
  <si>
    <t>MAC043</t>
  </si>
  <si>
    <t>Poupança bruta (% PIB, INE)</t>
  </si>
  <si>
    <t>NAT_INE_SAVRATE</t>
  </si>
  <si>
    <t>G_POUPANCA</t>
  </si>
  <si>
    <t>MAC044</t>
  </si>
  <si>
    <t>Exportações de bens (BNA)</t>
  </si>
  <si>
    <t>NAT_BNA_EXP_GDP</t>
  </si>
  <si>
    <t>G_EXPORTACOES</t>
  </si>
  <si>
    <t>BNA, Principais Indicadores Externos 1990-2025, linha "Exportações".</t>
  </si>
  <si>
    <t>MAC045</t>
  </si>
  <si>
    <t>Reservas internacionais (stock, BNA)</t>
  </si>
  <si>
    <t>NAT_BNA_RES_GDP</t>
  </si>
  <si>
    <t>G_RESERVAS_STOCK</t>
  </si>
  <si>
    <t>BNA, Principais Indicadores Externos 1990-2025, linha "Reservas Internacionais  (stock)".</t>
  </si>
  <si>
    <t>MAC046</t>
  </si>
  <si>
    <t>Serviço da dívida externa / exportações (BNA)</t>
  </si>
  <si>
    <t>NAT_BNA_DEBTSERV_EXP</t>
  </si>
  <si>
    <t>BNA, Principais Indicadores Externos 1990-2025, linha "Serviço da Dívida Externa / Exportações de Bens e Servi".</t>
  </si>
  <si>
    <t>MAC047</t>
  </si>
  <si>
    <t>Reservas internacionais (BNA)</t>
  </si>
  <si>
    <t>NAT_BNA_RES_USD</t>
  </si>
  <si>
    <t>BNA, Principais Indicadores Externos 1990-2025, linha "Reservas Internacionais". | Limites min/max derivados da amplitude histórica.</t>
  </si>
  <si>
    <t>MAC048</t>
  </si>
  <si>
    <t>Taxa de câmbio média USD/AOA (BNA)</t>
  </si>
  <si>
    <t>AOA por USD</t>
  </si>
  <si>
    <t>NAT_BNA_FX_AVG</t>
  </si>
  <si>
    <t>BNA, Principais Indicadores Externos 1990-2025, linha "Taxa de Câmbio Média (USD/AOA)". | Limites min/max derivados da amplitude histórica.</t>
  </si>
  <si>
    <t>MAC012</t>
  </si>
  <si>
    <t>Exportações de bens e serviços (% PIB)</t>
  </si>
  <si>
    <t>NE.EXP.GNFS.ZS</t>
  </si>
  <si>
    <t>Acompanha abertura e capacidade exportadora, mas deve ser lido com composição setorial. | Nome local/API: Exports of goods and services (% of GDP)</t>
  </si>
  <si>
    <t>MAC013</t>
  </si>
  <si>
    <t>Crédito doméstico ao setor privado (% PIB)</t>
  </si>
  <si>
    <t>FS.AST.PRVT.GD.ZS</t>
  </si>
  <si>
    <t>G_CRED_PRIVADO</t>
  </si>
  <si>
    <t>Acrescenta profundidade financeira e apoio ao investimento privado. | Nome local/API: Domestic credit to private sector (% of GDP)</t>
  </si>
  <si>
    <t>MAC017</t>
  </si>
  <si>
    <t>Receita do governo geral - FMI WEO</t>
  </si>
  <si>
    <t>GGR_NGDP</t>
  </si>
  <si>
    <t>Complementa receita fiscal WDI. | Nome local/API: Revenue, General government, Percent of GDP</t>
  </si>
  <si>
    <t>MAC020</t>
  </si>
  <si>
    <t>Saldo primário do governo geral</t>
  </si>
  <si>
    <t>GGXONLB_NGDP</t>
  </si>
  <si>
    <t>Ajuda a separar juros da posição fiscal primária. | Nome local/API: Primary net lending (+) / net borrowing (-), General government, Percent of GDP</t>
  </si>
  <si>
    <t>MAC021</t>
  </si>
  <si>
    <t>Poupança nacional bruta</t>
  </si>
  <si>
    <t>NGSD_NGDP</t>
  </si>
  <si>
    <t>Sinal de capacidade interna de financiamento. | Nome local/API: Gross national savings, Percent of GDP</t>
  </si>
  <si>
    <t>MAC022</t>
  </si>
  <si>
    <t>Formação bruta de capital</t>
  </si>
  <si>
    <t>NID_NGDP</t>
  </si>
  <si>
    <t>Complementa investimento e crescimento potencial. | Nome local/API: Gross capital formation, Percent of GDP</t>
  </si>
  <si>
    <t>MAC024</t>
  </si>
  <si>
    <t>Taxa de juro ativa</t>
  </si>
  <si>
    <t>FR.INR.LEND</t>
  </si>
  <si>
    <t>Proxy de custo de crédito. | Nome local/API: Lending interest rate (%)</t>
  </si>
  <si>
    <t>MAC025</t>
  </si>
  <si>
    <t>Moeda ampla</t>
  </si>
  <si>
    <t>FM.LBL.BMNY.GD.ZS</t>
  </si>
  <si>
    <t>Indicador de profundidade monetária. | Nome local/API: Broad money (% of GDP)</t>
  </si>
  <si>
    <t>MAC037</t>
  </si>
  <si>
    <t>PIB per capita (PPC, USD internacionais)</t>
  </si>
  <si>
    <t>USD PPC</t>
  </si>
  <si>
    <t>NY.GDP.PCAP.PP.CD</t>
  </si>
  <si>
    <t>Comparação internacional de rendimento ajustada por paridade de poder de compra. | Nome local/API: GDP per capita, PPP (current international $)</t>
  </si>
  <si>
    <t>MAC038</t>
  </si>
  <si>
    <t>RNB per capita (PPC, USD internacionais)</t>
  </si>
  <si>
    <t>NY.GNP.PCAP.PP.CD</t>
  </si>
  <si>
    <t>G_RNBPC</t>
  </si>
  <si>
    <t>Rendimento nacional bruto por habitante em PPC. | Nome local/API: GNI per capita, PPP (current international $)</t>
  </si>
  <si>
    <t>MAC041</t>
  </si>
  <si>
    <t>Receita pública excluindo donativos</t>
  </si>
  <si>
    <t>GC.REV.XGRT.GD.ZS</t>
  </si>
  <si>
    <t>Capacidade interna de mobilização de receita. | Nome local/API: Revenue, excluding grants (% of GDP)</t>
  </si>
  <si>
    <t>MAC042</t>
  </si>
  <si>
    <t>Dívida externa total</t>
  </si>
  <si>
    <t>% RNB</t>
  </si>
  <si>
    <t>DT.DOD.DECT.GN.ZS</t>
  </si>
  <si>
    <t>Endividamento externo em relação ao rendimento nacional. | Nome local/API: External debt stocks (% of GNI)</t>
  </si>
  <si>
    <t>MAC049</t>
  </si>
  <si>
    <t>Sistema financeiro</t>
  </si>
  <si>
    <t>Capital regulatório dos bancos</t>
  </si>
  <si>
    <t>% activos ponderados</t>
  </si>
  <si>
    <t>Banco Mundial/FMI FSI</t>
  </si>
  <si>
    <t>FB.BNK.CAPA.ZS</t>
  </si>
  <si>
    <t>Solidez bancária (rácio de adequação de capital). | Nome local/API: Bank capital to assets ratio (%)</t>
  </si>
  <si>
    <t>MAC050</t>
  </si>
  <si>
    <t>Crédito malparado dos bancos</t>
  </si>
  <si>
    <t>% empréstimos</t>
  </si>
  <si>
    <t>FB.AST.NPER.ZS</t>
  </si>
  <si>
    <t>Qualidade da carteira de crédito bancário. | Nome local/API: Bank nonperforming loans to total gross loans (%)</t>
  </si>
  <si>
    <t>MAC051</t>
  </si>
  <si>
    <t>Deflator implícito do PIB - variação (INE)</t>
  </si>
  <si>
    <t>NAT_INE_GDP_DEFLATOR</t>
  </si>
  <si>
    <t>INE, Contas Nacionais Q1.1, variação anual do deflator implícito. | 2025 calculado a partir do PIB nominal Q12 e PIB real Q5 das CNT. | Limites: mínimo -10 admite deflator negativo sem truncagem; máximo 80 mantém teto de stress macroeconómico elevado.</t>
  </si>
  <si>
    <t>MAC053</t>
  </si>
  <si>
    <t>Importações de bens (BNA)</t>
  </si>
  <si>
    <t>NAT_BNA_IMP_GDP</t>
  </si>
  <si>
    <t>BNA, Principais Indicadores Externos 1990-2025, linha "Importações".</t>
  </si>
  <si>
    <t>MAC054</t>
  </si>
  <si>
    <t>Cobertura das importações pelas exportações (BNA)</t>
  </si>
  <si>
    <t>NAT_BNA_EXPIMP</t>
  </si>
  <si>
    <t>BNA, Principais Indicadores Externos 1990-2025, linha "Exportações de B&amp;S / Importações de B&amp;S (%)".</t>
  </si>
  <si>
    <t>MAC018</t>
  </si>
  <si>
    <t>Despesa do governo geral - FMI WEO</t>
  </si>
  <si>
    <t>GGX_NGDP</t>
  </si>
  <si>
    <t>Indicador de contexto; interpretar com composição e eficiência da despesa. | Nome local/API: Expenditure, General government, Percent of GDP</t>
  </si>
  <si>
    <t>MAC023</t>
  </si>
  <si>
    <t>Taxa de juro real</t>
  </si>
  <si>
    <t>FR.INR.RINR</t>
  </si>
  <si>
    <t>Indicador de contexto financeiro; extremos positivos ou negativos podem ser problemáticos. | Nome local/API: Real interest rate (%)</t>
  </si>
  <si>
    <t>MAC052</t>
  </si>
  <si>
    <t>Despesa pública total</t>
  </si>
  <si>
    <t>GC.XPN.TOTL.GD.ZS</t>
  </si>
  <si>
    <t>Dimensão da despesa pública corrente. | Nome local/API: Expense (% of GDP)</t>
  </si>
  <si>
    <t>MAC055</t>
  </si>
  <si>
    <t>Comércio de mercadorias</t>
  </si>
  <si>
    <t>TG.VAL.TOTL.GD.ZS</t>
  </si>
  <si>
    <t>G_COMERCIO</t>
  </si>
  <si>
    <t>Abertura comercial em mercadorias. | Nome local/API: Merchandise trade (% of GDP)</t>
  </si>
  <si>
    <t>MAC056</t>
  </si>
  <si>
    <t>Comércio de bens e serviços</t>
  </si>
  <si>
    <t>NE.TRD.GNFS.ZS</t>
  </si>
  <si>
    <t>Abertura comercial total. | Nome local/API: Trade (% of GDP)</t>
  </si>
  <si>
    <t>MAC057</t>
  </si>
  <si>
    <t>IDE líquido recebido (USD)</t>
  </si>
  <si>
    <t>USD correntes</t>
  </si>
  <si>
    <t>BX.KLT.DINV.CD.WD</t>
  </si>
  <si>
    <t>Fluxo absoluto de investimento directo estrangeiro. | Nome local/API: Foreign direct investment, net inflows (BoP, current US$) | Limites min/max derivados da amplitude histórica.</t>
  </si>
  <si>
    <t>HUM002</t>
  </si>
  <si>
    <t>Esperança Média de Vida</t>
  </si>
  <si>
    <t>Anos</t>
  </si>
  <si>
    <t>INE/OMS</t>
  </si>
  <si>
    <t>SP.DYN.LE00.IN</t>
  </si>
  <si>
    <t>G_ESP_VIDA</t>
  </si>
  <si>
    <t>Nome local/API: Life expectancy at birth, total (years)</t>
  </si>
  <si>
    <t>HUM003</t>
  </si>
  <si>
    <t>Taxa de Alfabetização (+15 anos)</t>
  </si>
  <si>
    <t>INE/MED</t>
  </si>
  <si>
    <t>SE.ADT.LITR.ZS</t>
  </si>
  <si>
    <t>G_ALFABETIZACAO</t>
  </si>
  <si>
    <t>Nome local/API: Literacy rate, adult total (% of people ages 15 and above)</t>
  </si>
  <si>
    <t>HUM006</t>
  </si>
  <si>
    <t>Mortalidade Infantil (por 1000)</t>
  </si>
  <si>
    <t>‰</t>
  </si>
  <si>
    <t>INE/MINSA</t>
  </si>
  <si>
    <t>SP.DYN.IMRT.IN</t>
  </si>
  <si>
    <t>Nome local/API: Mortality rate, infant (per 1,000 live births) | Série complementada com IIMS 2023-24 (2024).</t>
  </si>
  <si>
    <t>HUM004</t>
  </si>
  <si>
    <t>Taxa de Matrícula (primário)</t>
  </si>
  <si>
    <t>MED</t>
  </si>
  <si>
    <t>SE.PRM.NENR</t>
  </si>
  <si>
    <t>G_PRIMARIO</t>
  </si>
  <si>
    <t>Nome local/API: School enrollment, primary (% net)</t>
  </si>
  <si>
    <t>HUM005</t>
  </si>
  <si>
    <t>Anos Médios de Escolaridade</t>
  </si>
  <si>
    <t>UNESCO</t>
  </si>
  <si>
    <t>mys</t>
  </si>
  <si>
    <t>PNUD — Human Development Report</t>
  </si>
  <si>
    <t>G_ESCOLARIDADE</t>
  </si>
  <si>
    <t>Nome local/API: Mean years of schooling (years)</t>
  </si>
  <si>
    <t>HUM01</t>
  </si>
  <si>
    <t>Índice de Desenvolvimento Humano</t>
  </si>
  <si>
    <t>0-1</t>
  </si>
  <si>
    <t>PNUD</t>
  </si>
  <si>
    <t>hdi</t>
  </si>
  <si>
    <t>HUM025</t>
  </si>
  <si>
    <t>Saúde infantil</t>
  </si>
  <si>
    <t>Mortalidade de menores de 5 anos (IIMS 2023-24)</t>
  </si>
  <si>
    <t>por 1.000 nv</t>
  </si>
  <si>
    <t>INE — IIMS 2023-2024</t>
  </si>
  <si>
    <t>NAT_IIMS_U5MR</t>
  </si>
  <si>
    <t>INE — IIMS 2023-24</t>
  </si>
  <si>
    <t>G_U5MR</t>
  </si>
  <si>
    <t>IIMS 2023-2024 Q8.1, mortalidade infanto-juvenil, período 0-4 anos antes do inquérito.</t>
  </si>
  <si>
    <t>HUM007</t>
  </si>
  <si>
    <t>Taxa de conclusão do ensino primário</t>
  </si>
  <si>
    <t>Banco Mundial/UNESCO</t>
  </si>
  <si>
    <t>SE.PRM.CMPT.ZS</t>
  </si>
  <si>
    <t>Mais robusta que matrícula para medir progressão efetiva. | Nome local/API: Primary completion rate, total (% of relevant age group)</t>
  </si>
  <si>
    <t>HUM008</t>
  </si>
  <si>
    <t>Matrícula no ensino secundário, bruta</t>
  </si>
  <si>
    <t>SE.SEC.ENRR</t>
  </si>
  <si>
    <t>G_SECUNDARIO</t>
  </si>
  <si>
    <t>Captura continuidade pós-primária. | Nome local/API: School enrollment, secondary (% gross)</t>
  </si>
  <si>
    <t>HUM014</t>
  </si>
  <si>
    <t>Anos esperados de escolaridade</t>
  </si>
  <si>
    <t>PNUD/HDR</t>
  </si>
  <si>
    <t>eys</t>
  </si>
  <si>
    <t>Substitui ou complementa anos médios de escolaridade quando a série nacional estiver vazia. | Nome local/API: Expected years of schooling (years)</t>
  </si>
  <si>
    <t>HUM017</t>
  </si>
  <si>
    <t>Literacia</t>
  </si>
  <si>
    <t>Alfabetização jovem</t>
  </si>
  <si>
    <t>SE.ADT.1524.LT.ZS</t>
  </si>
  <si>
    <t>Capta aquisição recente de competências básicas. | Nome local/API: Literacy rate, youth total (% of people ages 15-24)</t>
  </si>
  <si>
    <t>HUM019</t>
  </si>
  <si>
    <t>Acesso escolar</t>
  </si>
  <si>
    <t>Crianças fora da escola primária</t>
  </si>
  <si>
    <t>SE.PRM.UNER.ZS</t>
  </si>
  <si>
    <t>Indicador de exclusão escolar. | Nome local/API: Children out of school (% of primary school age)</t>
  </si>
  <si>
    <t>HUM026</t>
  </si>
  <si>
    <t>Mortalidade neonatal</t>
  </si>
  <si>
    <t>Banco Mundial/UN IGME</t>
  </si>
  <si>
    <t>SH.DYN.NMRT</t>
  </si>
  <si>
    <t>G_NEONATAL</t>
  </si>
  <si>
    <t>HUM029</t>
  </si>
  <si>
    <t>Mortalidade neonatal (IIMS 2023-24)</t>
  </si>
  <si>
    <t>NAT_IIMS_NEONATAL</t>
  </si>
  <si>
    <t>IIMS 2023-2024 Q8.1, período 0-4 anos antes do inquérito.</t>
  </si>
  <si>
    <t>HUM009</t>
  </si>
  <si>
    <t>Matrícula no ensino terciário, bruta</t>
  </si>
  <si>
    <t>SE.TER.ENRR</t>
  </si>
  <si>
    <t>G_TERCIARIO</t>
  </si>
  <si>
    <t>Ajuda a medir formação avançada e capacidade técnica. | Nome local/API: School enrollment, tertiary (% gross)</t>
  </si>
  <si>
    <t>HUM010</t>
  </si>
  <si>
    <t>Despesa pública em educação (% PIB)</t>
  </si>
  <si>
    <t>SE.XPD.TOTL.GD.ZS</t>
  </si>
  <si>
    <t>Input de política pública; deve ser combinado com resultados de aprendizagem. | Nome local/API: Government expenditure on education, total (% of GDP)</t>
  </si>
  <si>
    <t>HUM012</t>
  </si>
  <si>
    <t>Rácio alunos/professor no primário</t>
  </si>
  <si>
    <t>Alunos por professor</t>
  </si>
  <si>
    <t>SE.PRM.ENRL.TC.ZS</t>
  </si>
  <si>
    <t>Proxy simples de pressão sobre qualidade de ensino. | Nome local/API: Pupil-teacher ratio, primary</t>
  </si>
  <si>
    <t>HUM015</t>
  </si>
  <si>
    <t>Desigualdade humana</t>
  </si>
  <si>
    <t>Índice de Desenvolvimento Humano ajustado à desigualdade</t>
  </si>
  <si>
    <t>ihdi</t>
  </si>
  <si>
    <t>Aproxima perdas por desigualdade no desenvolvimento humano. | Nome local/API: Inequality-adjusted HDI (IHDI)</t>
  </si>
  <si>
    <t>HUM016</t>
  </si>
  <si>
    <t>Desigualdade na educação</t>
  </si>
  <si>
    <t>ineq_edu</t>
  </si>
  <si>
    <t>Complementa acesso e qualidade educativa. | Nome local/API: Inequality in education (%)</t>
  </si>
  <si>
    <t>HUM018</t>
  </si>
  <si>
    <t>Alfabetização adulta feminina</t>
  </si>
  <si>
    <t>SE.ADT.LITR.FE.ZS</t>
  </si>
  <si>
    <t>Cruza capital humano e igualdade de género. | Nome local/API: Literacy rate, adult female (% of females ages 15 and above)</t>
  </si>
  <si>
    <t>HUM020</t>
  </si>
  <si>
    <t>Adolescentes fora do ensino secundário inferior</t>
  </si>
  <si>
    <t>SE.SEC.UNER.LO.ZS</t>
  </si>
  <si>
    <t>Capta transição pós-primária. | Nome local/API: Adolescents out of school (% of lower secondary school age)</t>
  </si>
  <si>
    <t>HUM021</t>
  </si>
  <si>
    <t>Conclusão escolar</t>
  </si>
  <si>
    <t>Conclusão do ensino secundário inferior</t>
  </si>
  <si>
    <t>SE.SEC.CMPT.LO.ZS</t>
  </si>
  <si>
    <t>Indicador de stock de competências básicas alargadas. | Nome local/API: Lower secondary completion rate, total (% of relevant age group)</t>
  </si>
  <si>
    <t>HUM022</t>
  </si>
  <si>
    <t>Qualidade docente</t>
  </si>
  <si>
    <t>Professores qualificados no ensino primário</t>
  </si>
  <si>
    <t>SE.PRM.TCAQ.ZS</t>
  </si>
  <si>
    <t>Proxy de qualidade de oferta educativa. | Nome local/API: Trained teachers in primary education (% of total teachers)</t>
  </si>
  <si>
    <t>HUM023</t>
  </si>
  <si>
    <t>Rácio alunos/professor no secundário</t>
  </si>
  <si>
    <t>alunos por professor</t>
  </si>
  <si>
    <t>SE.SEC.ENRL.TC.ZS</t>
  </si>
  <si>
    <t>Proxy de pressão sobre a oferta educativa. | Nome local/API: Pupil-teacher ratio, secondary</t>
  </si>
  <si>
    <t>HUM024</t>
  </si>
  <si>
    <t>Saúde e longevidade</t>
  </si>
  <si>
    <t>Esperança de vida saudável - HALE</t>
  </si>
  <si>
    <t>anos</t>
  </si>
  <si>
    <t>OMS/GHO</t>
  </si>
  <si>
    <t>WHOSIS_000002</t>
  </si>
  <si>
    <t>OMS — Global Health Observatory</t>
  </si>
  <si>
    <t>Complementa esperança de vida com anos saudáveis. | Nome local/API: Healthy life expectancy (HALE) at birth (years)</t>
  </si>
  <si>
    <t>HUM027</t>
  </si>
  <si>
    <t>Educação</t>
  </si>
  <si>
    <t>Conclusão do ensino terciário (licenciatura+)</t>
  </si>
  <si>
    <t>% pop. 25+</t>
  </si>
  <si>
    <t>SE.TER.CUAT.BA.ZS</t>
  </si>
  <si>
    <t>Stock de capital humano avançado. | Nome local/API: Educational attainment, at least Bachelor's or equivalent, population 25+, total (%) (cumulative)</t>
  </si>
  <si>
    <t>HUM028</t>
  </si>
  <si>
    <t>Alfabetização adulta masculina</t>
  </si>
  <si>
    <t>SE.ADT.LITR.MA.ZS</t>
  </si>
  <si>
    <t>Comparação de género na literacia. | Nome local/API: Literacy rate, adult male (% of males ages 15 and above)</t>
  </si>
  <si>
    <t>HUM011</t>
  </si>
  <si>
    <t>Learning poverty - crianças sem proficiência mínima de leitura</t>
  </si>
  <si>
    <t>SE.LPV.PRIM</t>
  </si>
  <si>
    <t>Mede aprendizagem, não apenas acesso à escola. Usar como benchmark de qualidade; a cobertura anual para Angola é limitada.</t>
  </si>
  <si>
    <t>HUM013</t>
  </si>
  <si>
    <t>Índice de Capital Humano</t>
  </si>
  <si>
    <t>HD.HCI.OVRL</t>
  </si>
  <si>
    <t>Útil como benchmark, mas menos anual do que os restantes indicadores.</t>
  </si>
  <si>
    <t>HUM030</t>
  </si>
  <si>
    <t>Anos de escolaridade obrigatória</t>
  </si>
  <si>
    <t>SE.COM.DURS</t>
  </si>
  <si>
    <t>Cobertura legal do ensino obrigatório. | Nome local/API: Compulsory education, duration (years)</t>
  </si>
  <si>
    <t>INC001</t>
  </si>
  <si>
    <t>4. Inclusão Social</t>
  </si>
  <si>
    <t>Taxa de Pobreza (&lt; 2.15 USD/dia)</t>
  </si>
  <si>
    <t>INE/BM</t>
  </si>
  <si>
    <t>SI.POV.DDAY</t>
  </si>
  <si>
    <t>G_POBREZA</t>
  </si>
  <si>
    <t>Nome local/API: Poverty headcount ratio at $3.00 a day (2021 PPP) (% of population)</t>
  </si>
  <si>
    <t>INC003</t>
  </si>
  <si>
    <t>Cobertura Protecção Social</t>
  </si>
  <si>
    <t>INSS</t>
  </si>
  <si>
    <t>G_PROT_SOCIAL</t>
  </si>
  <si>
    <t>INC005</t>
  </si>
  <si>
    <t>RNB per Capita (USD)</t>
  </si>
  <si>
    <t>INE</t>
  </si>
  <si>
    <t>NY.GNP.PCAP.CD</t>
  </si>
  <si>
    <t>Nome local/API: GNI per capita, Atlas method (current US$)</t>
  </si>
  <si>
    <t>INC02</t>
  </si>
  <si>
    <t>Índice de Gini</t>
  </si>
  <si>
    <t>SI.POV.GINI</t>
  </si>
  <si>
    <t>Nome local/API: Gini index</t>
  </si>
  <si>
    <t>INC04</t>
  </si>
  <si>
    <t>Global Gender Gap Index</t>
  </si>
  <si>
    <t>WEF</t>
  </si>
  <si>
    <t>G_GGGI</t>
  </si>
  <si>
    <t>INC025</t>
  </si>
  <si>
    <t>Proteção e segurança das mulheres</t>
  </si>
  <si>
    <t>Violência doméstica contra mulheres</t>
  </si>
  <si>
    <t>NAT_IIMS_VIOLENCE_PHYS</t>
  </si>
  <si>
    <t>Disponível em capítulos IIMS 2023-2024; útil para inclusão social/género. | IIMS 2023-2024 Q18.1.1; média ponderada por idade da % que já sofreu violência física desde os 15 anos.</t>
  </si>
  <si>
    <t>INC006</t>
  </si>
  <si>
    <t>Pobreza pela linha nacional</t>
  </si>
  <si>
    <t>Banco Mundial/PIP</t>
  </si>
  <si>
    <t>SI.POV.NAHC</t>
  </si>
  <si>
    <t>Mais diretamente ligada à linha oficial de pobreza do país. | Nome local/API: Poverty headcount ratio at national poverty lines (% of population)</t>
  </si>
  <si>
    <t>INC008</t>
  </si>
  <si>
    <t>Cobertura de proteção social da população</t>
  </si>
  <si>
    <t>Banco Mundial ASPIRE/OIT</t>
  </si>
  <si>
    <t>Preenche a lacuna existente de proteção social se houver série ASPIRE/OIT ou INSS.</t>
  </si>
  <si>
    <t>INC014</t>
  </si>
  <si>
    <t>Proteção social</t>
  </si>
  <si>
    <t>Cobertura de proteção social e programas laborais</t>
  </si>
  <si>
    <t>% população</t>
  </si>
  <si>
    <t>Banco Mundial/ASPIRE</t>
  </si>
  <si>
    <t>per_allsp.cov_pop_tot</t>
  </si>
  <si>
    <t>Mede alcance efetivo da proteção social. | Nome local/API: Coverage of social protection and labor programs (% of population)</t>
  </si>
  <si>
    <t>INC015</t>
  </si>
  <si>
    <t>Cobertura de redes de segurança social no quintil mais pobre</t>
  </si>
  <si>
    <t>per_sa_allsa.cov_q1_tot</t>
  </si>
  <si>
    <t>Foco distributivo nos mais pobres. | Nome local/API: Coverage of social safety net programs in poorest quintile (% of population)</t>
  </si>
  <si>
    <t>INC017</t>
  </si>
  <si>
    <t>Pobreza multidimensional</t>
  </si>
  <si>
    <t>Pobreza multidimensional - World Bank headcount</t>
  </si>
  <si>
    <t>SI.POV.MPWB</t>
  </si>
  <si>
    <t>Alternativa internacional ao IPM nacional. | Nome local/API: Multidimensional poverty headcount ratio (World Bank) (% of population)</t>
  </si>
  <si>
    <t>INC018</t>
  </si>
  <si>
    <t>Género</t>
  </si>
  <si>
    <t>Gender Development Index</t>
  </si>
  <si>
    <t>gdi</t>
  </si>
  <si>
    <t>Indicador sintético de paridade no desenvolvimento humano. | Nome local/API: Gender Development Index (GDI)</t>
  </si>
  <si>
    <t>INC019</t>
  </si>
  <si>
    <t>Gender Inequality Index</t>
  </si>
  <si>
    <t>gii</t>
  </si>
  <si>
    <t>Indicador sintético de desigualdade de género. | Nome local/API: Gender Inequality Index (GII)</t>
  </si>
  <si>
    <t>INC021</t>
  </si>
  <si>
    <t>Inclusão financeira</t>
  </si>
  <si>
    <t>Conta em instituição financeira ou mobile money</t>
  </si>
  <si>
    <t>% adultos 15+</t>
  </si>
  <si>
    <t>Banco Mundial/Findex</t>
  </si>
  <si>
    <t>FX.OWN.TOTL.ZS</t>
  </si>
  <si>
    <t>G_FINDEX</t>
  </si>
  <si>
    <t>Inclusão financeira é relevante para proteção e oportunidades. | Nome local/API: Account ownership at a financial institution or with a mobile-money-service provider (% of population ages 15+)</t>
  </si>
  <si>
    <t>INC022</t>
  </si>
  <si>
    <t>Conta financeira/mobile money - mulheres</t>
  </si>
  <si>
    <t>% mulheres 15+</t>
  </si>
  <si>
    <t>FX.OWN.TOTL.FE.ZS</t>
  </si>
  <si>
    <t>Capta fosso de género no acesso financeiro. | Nome local/API: Account ownership at a financial institution or with a mobile-money-service provider, female (% of population ages 15+)</t>
  </si>
  <si>
    <t>INC023</t>
  </si>
  <si>
    <t>Conta financeira/mobile money - 40% mais pobres</t>
  </si>
  <si>
    <t>FX.OWN.TOTL.40.ZS</t>
  </si>
  <si>
    <t>Foco distributivo de inclusão financeira. | Nome local/API: Account ownership at a financial institution or with a mobile-money-service provider, poorest 40% (% of population ages 15+)</t>
  </si>
  <si>
    <t>INC026</t>
  </si>
  <si>
    <t>Global Gender Gap Index (WEF)</t>
  </si>
  <si>
    <t>World Economic Forum</t>
  </si>
  <si>
    <t>GGGI</t>
  </si>
  <si>
    <t>WEF Global Gender Gap 2015-2024 (1 = paridade).</t>
  </si>
  <si>
    <t>INC07</t>
  </si>
  <si>
    <t>Jovens NEET</t>
  </si>
  <si>
    <t>Banco Mundial/OIT</t>
  </si>
  <si>
    <t>SL.UEM.NEET.ZS</t>
  </si>
  <si>
    <t>G_NEET</t>
  </si>
  <si>
    <t>Forte indicador de exclusão de jovens. | Nome local/API: Share of youth not in education, employment or training, total (% of youth population)</t>
  </si>
  <si>
    <t>INC007</t>
  </si>
  <si>
    <t>Quota de rendimento dos 20% mais pobres</t>
  </si>
  <si>
    <t>SI.DST.FRST.20</t>
  </si>
  <si>
    <t>Lê inclusão distributiva de forma complementar ao Gini. | Nome local/API: Income share held by lowest 20%</t>
  </si>
  <si>
    <t>INC009</t>
  </si>
  <si>
    <t>Índice de Pobreza Multidimensional - incidência</t>
  </si>
  <si>
    <t>PNUD/OPHI</t>
  </si>
  <si>
    <t>SI.POV.MPUN</t>
  </si>
  <si>
    <t>Capta privações simultâneas além de rendimento. | Nome local/API: Multidimensional poverty headcount ratio (UNDP) (% of population)</t>
  </si>
  <si>
    <t>INC013</t>
  </si>
  <si>
    <t>Registo de nascimento completo</t>
  </si>
  <si>
    <t>Banco Mundial/UNICEF</t>
  </si>
  <si>
    <t>SP.REG.BRTH.ZS</t>
  </si>
  <si>
    <t>G_REGISTO_NASC</t>
  </si>
  <si>
    <t>Proxy de inclusão administrativa e acesso a direitos básicos. | Nome local/API: Completeness of birth registration (%)</t>
  </si>
  <si>
    <t>INC016</t>
  </si>
  <si>
    <t>Cobertura de seguro social no quintil mais pobre</t>
  </si>
  <si>
    <t>per_si_allsi.cov_q1_tot</t>
  </si>
  <si>
    <t>Complementa assistência social. | Nome local/API: Coverage of social insurance programs in poorest quintile (% of population)</t>
  </si>
  <si>
    <t>INC020</t>
  </si>
  <si>
    <t>Coeficiente de desigualdade humana</t>
  </si>
  <si>
    <t>coef_ineq</t>
  </si>
  <si>
    <t>Complementa Gini/rendimento com educação e saúde. | Nome local/API: Coefficient of human inequality</t>
  </si>
  <si>
    <t>INC024</t>
  </si>
  <si>
    <t>Registo civil</t>
  </si>
  <si>
    <t>Registo de nascimento rural completo</t>
  </si>
  <si>
    <t>SP.REG.BRTH.RU.ZS</t>
  </si>
  <si>
    <t>Registo civil é pré-condição para acesso a direitos. | Nome local/API: Completeness of birth registration, rural (%)</t>
  </si>
  <si>
    <t>INC027</t>
  </si>
  <si>
    <t>Desigualdade</t>
  </si>
  <si>
    <t>Quota de rendimento dos 10% mais ricos</t>
  </si>
  <si>
    <t>SI.DST.10TH.10</t>
  </si>
  <si>
    <t>Concentração no topo da distribuição. | Nome local/API: Income share held by highest 10%</t>
  </si>
  <si>
    <t>INC028</t>
  </si>
  <si>
    <t>Pobreza monetária</t>
  </si>
  <si>
    <t>Pobreza a 3,65 USD/dia (PPC 2017)</t>
  </si>
  <si>
    <t>SI.POV.LMIC</t>
  </si>
  <si>
    <t>Linha de pobreza de rendimento médio-baixo. | Nome local/API: Poverty headcount ratio at $4.20 a day (2021 PPP) (% of population)</t>
  </si>
  <si>
    <t>INC029</t>
  </si>
  <si>
    <t>Pobreza a 6,85 USD/dia (PPC 2017)</t>
  </si>
  <si>
    <t>SI.POV.UMIC</t>
  </si>
  <si>
    <t>Linha de pobreza de rendimento médio-alto. | Nome local/API: Poverty headcount ratio at $8.30 a day (2021 PPP) (% of population)</t>
  </si>
  <si>
    <t>INC030</t>
  </si>
  <si>
    <t>Fosso de pobreza a 2,15 USD/dia</t>
  </si>
  <si>
    <t>SI.POV.GAPS</t>
  </si>
  <si>
    <t>Profundidade da pobreza extrema. | Nome local/API: Poverty gap at $3.00 a day (2021 PPP) (%)</t>
  </si>
  <si>
    <t>INC05</t>
  </si>
  <si>
    <t>Participação feminina na força de trabalho</t>
  </si>
  <si>
    <t>SL.TLF.CACT.FE.ZS</t>
  </si>
  <si>
    <t>G_PARTICIP_FEM</t>
  </si>
  <si>
    <t>Complementa o Global Gender Gap com uma métrica económica anual. | Nome local/API: Labor force participation rate, female (% of female population ages 15+) (modeled ILO estimate)</t>
  </si>
  <si>
    <t>INC06</t>
  </si>
  <si>
    <t>Mulheres no parlamento</t>
  </si>
  <si>
    <t>Banco Mundial/IPU</t>
  </si>
  <si>
    <t>SG.GEN.PARL.ZS</t>
  </si>
  <si>
    <t>Mede inclusão política de género. | Nome local/API: Proportion of seats held by women in national parliaments (%)</t>
  </si>
  <si>
    <t>INF002</t>
  </si>
  <si>
    <t>5. Infraestruturas</t>
  </si>
  <si>
    <t>Acesso a Água Potável</t>
  </si>
  <si>
    <t>MINEA/INE</t>
  </si>
  <si>
    <t>SH.H2O.BASW.ZS</t>
  </si>
  <si>
    <t>G_AGUA</t>
  </si>
  <si>
    <t>Nome local/API: People using at least basic drinking water services (% of population)</t>
  </si>
  <si>
    <t>INF003</t>
  </si>
  <si>
    <t>Acesso a Saneamento Básico</t>
  </si>
  <si>
    <t>SH.STA.BASS.ZS</t>
  </si>
  <si>
    <t>G_SANEAMENTO</t>
  </si>
  <si>
    <t>Nome local/API: People using at least basic sanitation services (% of population)</t>
  </si>
  <si>
    <t>INF001</t>
  </si>
  <si>
    <t>Taxa de Electrificação</t>
  </si>
  <si>
    <t>MINEA</t>
  </si>
  <si>
    <t>EG.ELC.ACCS.ZS</t>
  </si>
  <si>
    <t>G_ELETRICIDADE</t>
  </si>
  <si>
    <t>Nome local/API: Access to electricity (% of population)</t>
  </si>
  <si>
    <t>INF004</t>
  </si>
  <si>
    <t>Cobertura de Rede 4G</t>
  </si>
  <si>
    <t>INACOM</t>
  </si>
  <si>
    <t>INF006</t>
  </si>
  <si>
    <t>Densidade Rodoviária (km/1000km²)</t>
  </si>
  <si>
    <t>km</t>
  </si>
  <si>
    <t>MINTRANS</t>
  </si>
  <si>
    <t>IS.ROD.DNST.K2</t>
  </si>
  <si>
    <t>G_ESTRADAS</t>
  </si>
  <si>
    <t>INF028</t>
  </si>
  <si>
    <t>Habitação e serviços</t>
  </si>
  <si>
    <t>Agregados com acesso a eletricidade/água/saneamento - Censo 2024</t>
  </si>
  <si>
    <t>INE/RGPH 2024</t>
  </si>
  <si>
    <t>Pesquisa externa</t>
  </si>
  <si>
    <t>Disponível nos ficheiros censitários nacionais e provinciais no diretório local INE.</t>
  </si>
  <si>
    <t>INF029</t>
  </si>
  <si>
    <t>Saneamento</t>
  </si>
  <si>
    <t>Acesso a saneamento melhorado (IIMS 2023-24)</t>
  </si>
  <si>
    <t>NAT_IIMS_SANITATION</t>
  </si>
  <si>
    <t>IIMS 2023-2024 Q16.6, população com infraestrutura sanitária melhorada (total).</t>
  </si>
  <si>
    <t>INF030</t>
  </si>
  <si>
    <t>Água</t>
  </si>
  <si>
    <t>Acesso a fonte de água melhorada (IIMS 2023-24)</t>
  </si>
  <si>
    <t>NAT_IIMS_WATER</t>
  </si>
  <si>
    <t>IIMS 2023-2024 Q16.1, população com fontes melhoradas (total).</t>
  </si>
  <si>
    <t>INF005</t>
  </si>
  <si>
    <t>Utilizadores de Internet (%)</t>
  </si>
  <si>
    <t>IT.NET.USER.ZS</t>
  </si>
  <si>
    <t>G_INTERNET</t>
  </si>
  <si>
    <t>Nome local/API: Individuals using the Internet (% of population)</t>
  </si>
  <si>
    <t>INF010</t>
  </si>
  <si>
    <t>Subscrições móveis por 100 habitantes</t>
  </si>
  <si>
    <t>por 100 hab.</t>
  </si>
  <si>
    <t>Banco Mundial/ITU</t>
  </si>
  <si>
    <t>IT.CEL.SETS.P2</t>
  </si>
  <si>
    <t>G_MOVEL</t>
  </si>
  <si>
    <t>Alternativa anual à cobertura 4G quando a série INACOM estiver incompleta. | Nome local/API: Mobile cellular subscriptions (per 100 people)</t>
  </si>
  <si>
    <t>INF05</t>
  </si>
  <si>
    <t>Acesso a energia limpa para cozinhar</t>
  </si>
  <si>
    <t>Banco Mundial/OMS</t>
  </si>
  <si>
    <t>EG.CFT.ACCS.ZS</t>
  </si>
  <si>
    <t>G_COZINHA_LIMPA</t>
  </si>
  <si>
    <t>Indicador de infraestrutura doméstica com impacto ambiental e de saúde. | Nome local/API: Access to clean fuels and technologies for cooking (% of population)</t>
  </si>
  <si>
    <t>INF031</t>
  </si>
  <si>
    <t>Defecação a céu aberto (IIMS 2023-24)</t>
  </si>
  <si>
    <t>NAT_IIMS_OPENDEF</t>
  </si>
  <si>
    <t>G_DEFECACAO</t>
  </si>
  <si>
    <t>IIMS 2023-2024 Q16.6, população (total).</t>
  </si>
  <si>
    <t>INF007</t>
  </si>
  <si>
    <t>Acesso rural à eletricidade</t>
  </si>
  <si>
    <t>Banco Mundial/IEA</t>
  </si>
  <si>
    <t>EG.ELC.ACCS.RU.ZS</t>
  </si>
  <si>
    <t>Evidencia desigualdade territorial no acesso à energia. | Nome local/API: Access to electricity, rural (% of rural population)</t>
  </si>
  <si>
    <t>INF009</t>
  </si>
  <si>
    <t>Perdas de transmissão e distribuição elétrica</t>
  </si>
  <si>
    <t>EG.ELC.LOSS.ZS</t>
  </si>
  <si>
    <t>Mede eficiência da rede elétrica, não apenas acesso. | Nome local/API: Electric power transmission and distribution losses (% of output)</t>
  </si>
  <si>
    <t>INF011</t>
  </si>
  <si>
    <t>Banda larga fixa por 100 habitantes</t>
  </si>
  <si>
    <t>IT.NET.BBND.P2</t>
  </si>
  <si>
    <t>G_BANDA_LARGA</t>
  </si>
  <si>
    <t>Mede infraestrutura digital fixa, distinta do uso de internet. | Nome local/API: Fixed broadband subscriptions (per 100 people)</t>
  </si>
  <si>
    <t>INF012</t>
  </si>
  <si>
    <t>Preço de cabaz móvel-banda larga (% RNB per capita)</t>
  </si>
  <si>
    <t>% RNB per capita</t>
  </si>
  <si>
    <t>ITU DataHub</t>
  </si>
  <si>
    <t>Capta acessibilidade económica da conectividade.</t>
  </si>
  <si>
    <t>INF013</t>
  </si>
  <si>
    <t>Estradas pavimentadas (% total)</t>
  </si>
  <si>
    <t>IS.ROD.PAVE.ZS</t>
  </si>
  <si>
    <t>Complementa densidade rodoviária com qualidade da rede.</t>
  </si>
  <si>
    <t>INF015</t>
  </si>
  <si>
    <t>Energia</t>
  </si>
  <si>
    <t>Acesso urbano à eletricidade</t>
  </si>
  <si>
    <t>% população urbana</t>
  </si>
  <si>
    <t>EG.ELC.ACCS.UR.ZS</t>
  </si>
  <si>
    <t>Permite medir desigualdade territorial no serviço. | Nome local/API: Access to electricity, urban (% of urban population)</t>
  </si>
  <si>
    <t>INF016</t>
  </si>
  <si>
    <t>Eletricidade renovável no output elétrico</t>
  </si>
  <si>
    <t>% output elétrico</t>
  </si>
  <si>
    <t>EG.ELC.RNEW.ZS</t>
  </si>
  <si>
    <t>G_RENOV_ELETR</t>
  </si>
  <si>
    <t>Relevante para matriz energética e resiliência. | Nome local/API: Renewable electricity output (% of total electricity output)</t>
  </si>
  <si>
    <t>INF018</t>
  </si>
  <si>
    <t>Água potável básica rural</t>
  </si>
  <si>
    <t>% população rural</t>
  </si>
  <si>
    <t>Banco Mundial/JMP</t>
  </si>
  <si>
    <t>SH.H2O.BASW.RU.ZS</t>
  </si>
  <si>
    <t>Capta lacuna rural. | Nome local/API: People using at least basic drinking water services, rural (% of rural population)</t>
  </si>
  <si>
    <t>INF019</t>
  </si>
  <si>
    <t>Água potável básica urbana</t>
  </si>
  <si>
    <t>SH.H2O.BASW.UR.ZS</t>
  </si>
  <si>
    <t>Capta qualidade da provisão urbana. | Nome local/API: People using at least basic drinking water services, urban (% of urban population)</t>
  </si>
  <si>
    <t>INF020</t>
  </si>
  <si>
    <t>Saneamento básico rural</t>
  </si>
  <si>
    <t>SH.STA.BASS.RU.ZS</t>
  </si>
  <si>
    <t>Capta lacuna rural. | Nome local/API: People using at least basic sanitation services, rural (% of rural population)</t>
  </si>
  <si>
    <t>INF021</t>
  </si>
  <si>
    <t>Saneamento básico urbano</t>
  </si>
  <si>
    <t>SH.STA.BASS.UR.ZS</t>
  </si>
  <si>
    <t>Capta qualidade da provisão urbana. | Nome local/API: People using at least basic sanitation services, urban (% of urban population)</t>
  </si>
  <si>
    <t>INF022</t>
  </si>
  <si>
    <t>Cozinha limpa</t>
  </si>
  <si>
    <t>Energia limpa para cozinhar rural</t>
  </si>
  <si>
    <t>EG.CFT.ACCS.RU.ZS</t>
  </si>
  <si>
    <t>Conecta infraestrutura, saúde e ambiente. | Nome local/API: Access to clean fuels and technologies for cooking, rural (% of rural population)</t>
  </si>
  <si>
    <t>INF023</t>
  </si>
  <si>
    <t>Energia limpa para cozinhar urbana</t>
  </si>
  <si>
    <t>EG.CFT.ACCS.UR.ZS</t>
  </si>
  <si>
    <t>Conecta infraestrutura, saúde e ambiente. | Nome local/API: Access to clean fuels and technologies for cooking, urban (% of urban population)</t>
  </si>
  <si>
    <t>INF024</t>
  </si>
  <si>
    <t>Transportes e logística</t>
  </si>
  <si>
    <t>Tráfego portuário de contentores</t>
  </si>
  <si>
    <t>TEU</t>
  </si>
  <si>
    <t>IS.SHP.GOOD.TU</t>
  </si>
  <si>
    <t>Proxy operacional de logística e comércio. | Nome local/API: Container port traffic (TEU: 20 foot equivalent units) | Limites min/max derivados da amplitude histórica.</t>
  </si>
  <si>
    <t>INF014</t>
  </si>
  <si>
    <t>Logistics Performance Index - geral</t>
  </si>
  <si>
    <t>1-5</t>
  </si>
  <si>
    <t>Banco Mundial/LPI</t>
  </si>
  <si>
    <t>LP.LPI.OVRL.XQ</t>
  </si>
  <si>
    <t>Indicador sintético de logística; útil, mas não anual. | Nome local/API: Logistics performance index: Overall (1=low to 5=high)</t>
  </si>
  <si>
    <t>INF017</t>
  </si>
  <si>
    <t>Eletricidade hidroelétrica no output elétrico</t>
  </si>
  <si>
    <t>EG.ELC.HYRO.ZS</t>
  </si>
  <si>
    <t>Contexto de matriz energética; interpretar com resiliência a secas. | Nome local/API: Electricity production from hydroelectric sources (% of total)</t>
  </si>
  <si>
    <t>INF025</t>
  </si>
  <si>
    <t>Passageiros transportados por via aérea</t>
  </si>
  <si>
    <t>IS.AIR.PSGR</t>
  </si>
  <si>
    <t>Indicador de conectividade aérea. | Nome local/API: Air transport, passengers carried | Limites min/max derivados da amplitude histórica.</t>
  </si>
  <si>
    <t>INF026</t>
  </si>
  <si>
    <t>Frete aéreo transportado</t>
  </si>
  <si>
    <t>milhões ton-km</t>
  </si>
  <si>
    <t>IS.AIR.GOOD.MT.K1</t>
  </si>
  <si>
    <t>Indicador de conectividade logística aérea. | Nome local/API: Air transport, freight (million ton-km) | Limites min/max derivados da amplitude histórica.</t>
  </si>
  <si>
    <t>INF027</t>
  </si>
  <si>
    <t>Investimento em infraestruturas</t>
  </si>
  <si>
    <t>Investimento privado em transportes</t>
  </si>
  <si>
    <t>Banco Mundial/PPI</t>
  </si>
  <si>
    <t>IE.PPI.TRAN.CD</t>
  </si>
  <si>
    <t>Pode ser volátil; usar como sinal de pipeline de investimento. | Nome local/API: Investment in transport with private participation (current US$) | Limites min/max derivados da amplitude histórica. | Limites: mínimo 0 por ser investimento não negativo; máximo 1.000 milhões USD cobre o valor observado de 800 milhões e cria margem para projectos de grande dimensão sem comprimir a escala.</t>
  </si>
  <si>
    <t>INF032</t>
  </si>
  <si>
    <t>Consumo de eletricidade per capita</t>
  </si>
  <si>
    <t>kWh per capita</t>
  </si>
  <si>
    <t>EG.USE.ELEC.KH.PC</t>
  </si>
  <si>
    <t>Intensidade de uso de eletricidade. | Nome local/API: Electric power consumption (kWh per capita) | Limites min/max derivados da amplitude histórica.</t>
  </si>
  <si>
    <t>INF033</t>
  </si>
  <si>
    <t>Telecomunicações</t>
  </si>
  <si>
    <t>Linhas telefónicas fixas</t>
  </si>
  <si>
    <t>IT.MLT.MAIN.P2</t>
  </si>
  <si>
    <t>Infraestrutura de telecomunicações fixa. | Nome local/API: Fixed telephone subscriptions (per 100 people)</t>
  </si>
  <si>
    <t>LAB001</t>
  </si>
  <si>
    <t>6. Mercado Trabalho</t>
  </si>
  <si>
    <t>Taxa de Emprego</t>
  </si>
  <si>
    <t>SL.EMP.TOTL.SP.ZS</t>
  </si>
  <si>
    <t>Nome local/API: Employment to population ratio, 15+, total (%) (modeled ILO estimate)</t>
  </si>
  <si>
    <t>LAB002</t>
  </si>
  <si>
    <t>Taxa de Desemprego</t>
  </si>
  <si>
    <t>SL.UEM.TOTL.ZS</t>
  </si>
  <si>
    <t>G_DESEMPREGO</t>
  </si>
  <si>
    <t>Nome local/API: Unemployment, total (% of total labor force) (modeled ILO estimate)</t>
  </si>
  <si>
    <t>LAB003</t>
  </si>
  <si>
    <t>Desemprego Juvenil (15-25)</t>
  </si>
  <si>
    <t>SL.UEM.1524.ZS</t>
  </si>
  <si>
    <t>G_DESEMP_JUVENIL</t>
  </si>
  <si>
    <t>Nome local/API: Unemployment, youth total (% of total labor force ages 15-24) (modeled ILO estimate) | Limites min/max derivados da amplitude histórica.</t>
  </si>
  <si>
    <t>LAB004</t>
  </si>
  <si>
    <t>Emprego Informal (%)</t>
  </si>
  <si>
    <t>G_INFORMALIDADE</t>
  </si>
  <si>
    <t>LAB005</t>
  </si>
  <si>
    <t>Taxa de Formalização</t>
  </si>
  <si>
    <t>LAB006</t>
  </si>
  <si>
    <t>Crescimento da Produtividade</t>
  </si>
  <si>
    <t>G_PRODUTIVIDADE</t>
  </si>
  <si>
    <t>LAB013</t>
  </si>
  <si>
    <t>Emprego informal fora da agricultura</t>
  </si>
  <si>
    <t>% emprego</t>
  </si>
  <si>
    <t>INE/OIT ILOSTAT</t>
  </si>
  <si>
    <t>Mantém a dimensão de informalidade, idealmente com microdados/inquéritos nacionais.</t>
  </si>
  <si>
    <t>LAB026</t>
  </si>
  <si>
    <t>Formalização</t>
  </si>
  <si>
    <t>Emprego com contrato escrito / formal</t>
  </si>
  <si>
    <t>INE/IEA</t>
  </si>
  <si>
    <t>Disponível nos ficheiros do Inquérito sobre Emprego em Angola.</t>
  </si>
  <si>
    <t>LAB012</t>
  </si>
  <si>
    <t>Indicador concorrente do desemprego juvenil porque inclui jovens fora da força de trabalho. | Nome local/API: Share of youth not in education, employment or training, total (% of youth population)</t>
  </si>
  <si>
    <t>LAB016</t>
  </si>
  <si>
    <t>Participação laboral</t>
  </si>
  <si>
    <t>Participação feminina na força de trabalho - OIT modelada</t>
  </si>
  <si>
    <t>Complementa igualdade económica. | Nome local/API: Labor force participation rate, female (% of female population ages 15+) (modeled ILO estimate)</t>
  </si>
  <si>
    <t>LAB018</t>
  </si>
  <si>
    <t>Desemprego</t>
  </si>
  <si>
    <t>Desemprego nacional estimado</t>
  </si>
  <si>
    <t>SL.UEM.TOTL.NE.ZS</t>
  </si>
  <si>
    <t>Alternativa nacional ao desemprego modelado. | Nome local/API: Unemployment, total (% of total labor force) (national estimate)</t>
  </si>
  <si>
    <t>LAB025</t>
  </si>
  <si>
    <t>Produtividade</t>
  </si>
  <si>
    <t>Produto por trabalhador - OIT</t>
  </si>
  <si>
    <t>USD constantes 2015</t>
  </si>
  <si>
    <t>OIT/ILOSTAT</t>
  </si>
  <si>
    <t>GDP_205U_NOC_NB</t>
  </si>
  <si>
    <t>OIT — ILOSTAT</t>
  </si>
  <si>
    <t>Indicador de produtividade laboral. | Nome local/API: Output per worker (GDP constant 2015 US $) -- ILO modelled estimates, Nov. 2025 | Limites min/max derivados da amplitude histórica.</t>
  </si>
  <si>
    <t>LAB04</t>
  </si>
  <si>
    <t>Participação na força de trabalho</t>
  </si>
  <si>
    <t>SL.TLF.CACT.ZS</t>
  </si>
  <si>
    <t>G_PARTICIPACAO</t>
  </si>
  <si>
    <t>Ajuda a interpretar desemprego junto com atividade laboral. | Nome local/API: Labor force participation rate, total (% of total population ages 15+) (modeled ILO estimate)</t>
  </si>
  <si>
    <t>LAB05</t>
  </si>
  <si>
    <t>Emprego vulnerável</t>
  </si>
  <si>
    <t>SL.EMP.VULN.ZS</t>
  </si>
  <si>
    <t>G_VULNERAVEL</t>
  </si>
  <si>
    <t>Qualidade do emprego; boa alternativa a informalidade quando esta estiver incompleta. | Nome local/API: Vulnerable employment, total (% of total employment) (modeled ILO estimate)</t>
  </si>
  <si>
    <t>LAB06</t>
  </si>
  <si>
    <t>Trabalhadores assalariados</t>
  </si>
  <si>
    <t>% emprego total</t>
  </si>
  <si>
    <t>SL.EMP.WORK.ZS</t>
  </si>
  <si>
    <t>G_ASSALARIADOS</t>
  </si>
  <si>
    <t>Proxy de formalização/estrutura moderna do emprego. | Nome local/API: Wage and salaried workers, total (% of total employment) (modeled ILO estimate)</t>
  </si>
  <si>
    <t>LAB07</t>
  </si>
  <si>
    <t>PIB por pessoa empregada</t>
  </si>
  <si>
    <t>USD PPP constantes</t>
  </si>
  <si>
    <t>SL.GDP.PCAP.EM.KD</t>
  </si>
  <si>
    <t>Preenche crescimento de produtividade com uma medida de nível anual. | Nome local/API: GDP per person employed (constant 2021 PPP $)</t>
  </si>
  <si>
    <t>LAB010</t>
  </si>
  <si>
    <t>Emprego na agricultura</t>
  </si>
  <si>
    <t>SL.AGR.EMPL.ZS</t>
  </si>
  <si>
    <t>Proxy de transformação estrutural; deve ser lido com produtividade agrícola. | Nome local/API: Employment in agriculture (% of total employment) (modeled ILO estimate)</t>
  </si>
  <si>
    <t>LAB014</t>
  </si>
  <si>
    <t>Estrutura setorial</t>
  </si>
  <si>
    <t>Emprego na indústria</t>
  </si>
  <si>
    <t>SL.IND.EMPL.ZS</t>
  </si>
  <si>
    <t>Capta absorção de emprego produtivo fora da agricultura. | Nome local/API: Employment in industry (% of total employment) (modeled ILO estimate)</t>
  </si>
  <si>
    <t>LAB015</t>
  </si>
  <si>
    <t>Emprego nos serviços</t>
  </si>
  <si>
    <t>SL.SRV.EMPL.ZS</t>
  </si>
  <si>
    <t>Capta transição estrutural para serviços. | Nome local/API: Employment in services (% of total employment) (modeled ILO estimate)</t>
  </si>
  <si>
    <t>LAB017</t>
  </si>
  <si>
    <t>Participação masculina na força de trabalho - OIT modelada</t>
  </si>
  <si>
    <t>SL.TLF.CACT.MA.ZS</t>
  </si>
  <si>
    <t>Série de referência para comparação de género. | Nome local/API: Labor force participation rate, male (% of male population ages 15+) (modeled ILO estimate)</t>
  </si>
  <si>
    <t>LAB019</t>
  </si>
  <si>
    <t>Desemprego feminino</t>
  </si>
  <si>
    <t>SL.UEM.TOTL.FE.ZS</t>
  </si>
  <si>
    <t>G_DESEMP_GENERO</t>
  </si>
  <si>
    <t>Capta assimetrias de género. | Nome local/API: Unemployment, female (% of female labor force) (modeled ILO estimate)</t>
  </si>
  <si>
    <t>LAB020</t>
  </si>
  <si>
    <t>Desemprego masculino</t>
  </si>
  <si>
    <t>SL.UEM.TOTL.MA.ZS</t>
  </si>
  <si>
    <t>Capta assimetrias de género. | Nome local/API: Unemployment, male (% of male labor force) (modeled ILO estimate)</t>
  </si>
  <si>
    <t>LAB021</t>
  </si>
  <si>
    <t>Juventude</t>
  </si>
  <si>
    <t>Desemprego juvenil feminino</t>
  </si>
  <si>
    <t>SL.UEM.1524.FE.ZS</t>
  </si>
  <si>
    <t>Juventude é uma dimensão crítica para Angola. | Nome local/API: Unemployment, youth female (% of female labor force ages 15-24) (modeled ILO estimate)</t>
  </si>
  <si>
    <t>LAB022</t>
  </si>
  <si>
    <t>Desemprego juvenil masculino</t>
  </si>
  <si>
    <t>SL.UEM.1524.MA.ZS</t>
  </si>
  <si>
    <t>Juventude é uma dimensão crítica para Angola. | Nome local/API: Unemployment, youth male (% of male labor force ages 15-24) (modeled ILO estimate)</t>
  </si>
  <si>
    <t>LAB023</t>
  </si>
  <si>
    <t>Qualidade do emprego</t>
  </si>
  <si>
    <t>Emprego vulnerável feminino</t>
  </si>
  <si>
    <t>% emprego feminino</t>
  </si>
  <si>
    <t>SL.EMP.VULN.FE.ZS</t>
  </si>
  <si>
    <t>Capta precariedade com lente de género. | Nome local/API: Vulnerable employment, female (% of female employment) (modeled ILO estimate)</t>
  </si>
  <si>
    <t>LAB024</t>
  </si>
  <si>
    <t>Trabalhadoras assalariadas</t>
  </si>
  <si>
    <t>SL.EMP.WORK.FE.ZS</t>
  </si>
  <si>
    <t>Aproxima formalidade e estabilidade de rendimento. | Nome local/API: Wage and salaried workers, female (% of female employment) (modeled ILO estimate)</t>
  </si>
  <si>
    <t>LAB027</t>
  </si>
  <si>
    <t>Rendimentos</t>
  </si>
  <si>
    <t>Remunerações dos empregados (% PIB, INE)</t>
  </si>
  <si>
    <t>NAT_INE_WAGE_GDP</t>
  </si>
  <si>
    <t>SAU002</t>
  </si>
  <si>
    <t>7. Seg. Alimentar/Saúde</t>
  </si>
  <si>
    <t>Prevalência de Desnutrição</t>
  </si>
  <si>
    <t>MINSA/FAO</t>
  </si>
  <si>
    <t>SN.ITK.DEFC.ZS</t>
  </si>
  <si>
    <t>Nome local/API: Prevalence of undernourishment (% of population)</t>
  </si>
  <si>
    <t>SAU003</t>
  </si>
  <si>
    <t>Mortalidade Materna (por 100k)</t>
  </si>
  <si>
    <t>por 100k</t>
  </si>
  <si>
    <t>MINSA/OMS</t>
  </si>
  <si>
    <t>SH.STA.MMRT</t>
  </si>
  <si>
    <t>G_MORT_MATERNA</t>
  </si>
  <si>
    <t>Nome local/API: Maternal mortality ratio (modeled estimate, per 100,000 live births)</t>
  </si>
  <si>
    <t>SAU004</t>
  </si>
  <si>
    <t>Despesas Saúde (% PIB)</t>
  </si>
  <si>
    <t>MINFIN/OMS</t>
  </si>
  <si>
    <t>SH.XPD.CHEX.GD.ZS</t>
  </si>
  <si>
    <t>G_DESP_SAUDE</t>
  </si>
  <si>
    <t>Nome local/API: Current health expenditure (% of GDP)</t>
  </si>
  <si>
    <t>SAU005</t>
  </si>
  <si>
    <t>Camas Hospitalares (por 1000)</t>
  </si>
  <si>
    <t>por 1000</t>
  </si>
  <si>
    <t>MINSA</t>
  </si>
  <si>
    <t>SH.MED.BEDS.ZS</t>
  </si>
  <si>
    <t>Nome local/API: Hospital beds (per 1,000 people)</t>
  </si>
  <si>
    <t>SAU006</t>
  </si>
  <si>
    <t>Cobertura Vacinal (%)</t>
  </si>
  <si>
    <t>SH.IMM.MEAS</t>
  </si>
  <si>
    <t>G_VACINACAO</t>
  </si>
  <si>
    <t>Nome local/API: Immunization, measles (% of children ages 12-23 months)</t>
  </si>
  <si>
    <t>SAU001</t>
  </si>
  <si>
    <t>Índice Global Seg. Alimentar</t>
  </si>
  <si>
    <t>EIU</t>
  </si>
  <si>
    <t>SAU028</t>
  </si>
  <si>
    <t>Saúde reprodutiva</t>
  </si>
  <si>
    <t>Pré-natal, parto assistido e cuidados maternos - IIMS</t>
  </si>
  <si>
    <t>INE/IIMS 2023-2024</t>
  </si>
  <si>
    <t>G_MATERNIDADE</t>
  </si>
  <si>
    <t>Capítulos IIMS de cuidados maternos e saúde infantil.</t>
  </si>
  <si>
    <t>SAU029</t>
  </si>
  <si>
    <t>Saúde materna</t>
  </si>
  <si>
    <t>Razão de mortalidade materna (IIMS 2023-24)</t>
  </si>
  <si>
    <t>por 100.000 nv</t>
  </si>
  <si>
    <t>NAT_IIMS_MMR</t>
  </si>
  <si>
    <t>IIMS 2023-2024 Q17.4, razão de mortalidade materna (período recente).</t>
  </si>
  <si>
    <t>SAU016</t>
  </si>
  <si>
    <t>Segurança alimentar</t>
  </si>
  <si>
    <t>Insegurança alimentar severa</t>
  </si>
  <si>
    <t>Banco Mundial/FAO</t>
  </si>
  <si>
    <t>SN.ITK.SVFI.ZS</t>
  </si>
  <si>
    <t>G_INSEG_ALIMENTAR</t>
  </si>
  <si>
    <t>Complementa insegurança moderada ou severa. | Nome local/API: Prevalence of severe food insecurity in the population (%)</t>
  </si>
  <si>
    <t>SAU017</t>
  </si>
  <si>
    <t>Despesa em saúde</t>
  </si>
  <si>
    <t>Despesa direta das famílias em saúde</t>
  </si>
  <si>
    <t>% despesa corrente em saúde</t>
  </si>
  <si>
    <t>SH.XPD.OOPC.CH.ZS</t>
  </si>
  <si>
    <t>Capta proteção financeira em saúde. | Nome local/API: Out-of-pocket expenditure (% of current health expenditure)</t>
  </si>
  <si>
    <t>SAU02</t>
  </si>
  <si>
    <t>Insegurança alimentar moderada ou severa</t>
  </si>
  <si>
    <t>SN.ITK.MSFI.ZS</t>
  </si>
  <si>
    <t>Alternativa aberta ao índice proprietário de segurança alimentar. | Nome local/API: Prevalence of moderate or severe food insecurity in the population (%)</t>
  </si>
  <si>
    <t>SAU020</t>
  </si>
  <si>
    <t>Doenças transmissíveis</t>
  </si>
  <si>
    <t>Incidência de malária</t>
  </si>
  <si>
    <t>por 1.000 em risco</t>
  </si>
  <si>
    <t>SH.MLR.INCD.P3</t>
  </si>
  <si>
    <t>G_MALARIA</t>
  </si>
  <si>
    <t>Doença crítica para Angola. | Nome local/API: Incidence of malaria (per 1,000 population at risk)</t>
  </si>
  <si>
    <t>SAU021</t>
  </si>
  <si>
    <t>Mortes estimadas por malária</t>
  </si>
  <si>
    <t>MALARIA_EST_DEATHS</t>
  </si>
  <si>
    <t>Doença crítica para Angola. | Nome local/API: Estimated number of malaria deaths | Limites min/max derivados da amplitude histórica.</t>
  </si>
  <si>
    <t>SAU030</t>
  </si>
  <si>
    <t>Partos assistidos por pessoal qualificado</t>
  </si>
  <si>
    <t>% partos</t>
  </si>
  <si>
    <t>SH.STA.BRTC.ZS</t>
  </si>
  <si>
    <t>Acesso a cuidados qualificados no parto. | Nome local/API: Births attended by skilled health staff (% of total)</t>
  </si>
  <si>
    <t>SAU04</t>
  </si>
  <si>
    <t>Mortalidade de menores de 5 anos</t>
  </si>
  <si>
    <t>SH.DYN.MORT</t>
  </si>
  <si>
    <t>Mais abrangente que mortalidade infantil isolada. | Nome local/API: Mortality rate, under-5 (per 1,000 live births)</t>
  </si>
  <si>
    <t>SAU06</t>
  </si>
  <si>
    <t>Vacinação DPT</t>
  </si>
  <si>
    <t>% crianças 12-23m</t>
  </si>
  <si>
    <t>Banco Mundial/OMS/UNICEF</t>
  </si>
  <si>
    <t>SH.IMM.IDPT</t>
  </si>
  <si>
    <t>Pode complementar a cobertura vacinal geral com indicador padronizado. | Nome local/API: Immunization, DPT (% of children ages 12-23 months)</t>
  </si>
  <si>
    <t>SAU033</t>
  </si>
  <si>
    <t>Nutrição infantil</t>
  </si>
  <si>
    <t>Atraso de crescimento severo &lt;5 anos (IIMS 2023-24)</t>
  </si>
  <si>
    <t>% crianças &lt;5</t>
  </si>
  <si>
    <t>NAT_IIMS_STUNTING_SEV</t>
  </si>
  <si>
    <t>G_STUNTING</t>
  </si>
  <si>
    <t>IIMS 2023-2024 Q11.1 (altura-para-idade &lt;-3DP).</t>
  </si>
  <si>
    <t>SAU008</t>
  </si>
  <si>
    <t>Atraso de crescimento infantil</t>
  </si>
  <si>
    <t>SH.STA.STNT.ZS</t>
  </si>
  <si>
    <t>Mede nutrição crónica infantil. | Nome local/API: Prevalence of stunting, height for age (% of children under 5) | Actualizado com IIMS 2023-24 (NAT_IIMS_STUNTING) para 2024.</t>
  </si>
  <si>
    <t>SAU009</t>
  </si>
  <si>
    <t>Emaciação infantil</t>
  </si>
  <si>
    <t>SH.STA.WAST.ZS</t>
  </si>
  <si>
    <t>Mede nutrição aguda e choque alimentar/saúde. | Nome local/API: Prevalence of wasting, weight for height (% of children under 5) | Actualizado com IIMS 2023-24 (NAT_IIMS_WASTING) para 2024.</t>
  </si>
  <si>
    <t>SAU013</t>
  </si>
  <si>
    <t>Médicos por 1000 habitantes</t>
  </si>
  <si>
    <t>SH.MED.PHYS.ZS</t>
  </si>
  <si>
    <t>Complementa camas hospitalares com capacidade humana do sistema. | Nome local/API: Physicians (per 1,000 people)</t>
  </si>
  <si>
    <t>SAU015</t>
  </si>
  <si>
    <t>Rendimento cerealífero</t>
  </si>
  <si>
    <t>kg/ha</t>
  </si>
  <si>
    <t>AG.YLD.CREL.KG</t>
  </si>
  <si>
    <t>Proxy de produtividade agrícola e segurança alimentar. | Nome local/API: Cereal yield (kg per hectare)</t>
  </si>
  <si>
    <t>SAU018</t>
  </si>
  <si>
    <t>Despesa pública doméstica em saúde</t>
  </si>
  <si>
    <t>SH.XPD.GHED.GD.ZS</t>
  </si>
  <si>
    <t>Complementa despesa corrente total. | Nome local/API: Domestic general government health expenditure (% of GDP)</t>
  </si>
  <si>
    <t>SAU019</t>
  </si>
  <si>
    <t>Imunização</t>
  </si>
  <si>
    <t>Vacinação HepB3</t>
  </si>
  <si>
    <t>% crianças 1 ano</t>
  </si>
  <si>
    <t>SH.IMM.HEPB</t>
  </si>
  <si>
    <t>Cobertura essencial de saúde infantil. | Nome local/API: Immunization, HepB3 (% of one-year-old children)</t>
  </si>
  <si>
    <t>SAU022</t>
  </si>
  <si>
    <t>Incidência de tuberculose</t>
  </si>
  <si>
    <t>SH.TBS.INCD</t>
  </si>
  <si>
    <t>Carga de doença transmissível. | Nome local/API: Incidence of tuberculosis (per 100,000 people)</t>
  </si>
  <si>
    <t>SAU023</t>
  </si>
  <si>
    <t>Sucesso do tratamento da tuberculose</t>
  </si>
  <si>
    <t>SH.TBS.CURE.ZS</t>
  </si>
  <si>
    <t>Capta capacidade do sistema de saúde. | Nome local/API: Tuberculosis treatment success rate (% of new cases)</t>
  </si>
  <si>
    <t>SAU024</t>
  </si>
  <si>
    <t>Incidência de VIH 15-49</t>
  </si>
  <si>
    <t>por 1.000 não infetados</t>
  </si>
  <si>
    <t>Banco Mundial/UNAIDS</t>
  </si>
  <si>
    <t>SH.HIV.INCD.ZS</t>
  </si>
  <si>
    <t>G_VIH</t>
  </si>
  <si>
    <t>Carga de doença transmissível. | Nome local/API: Incidence of HIV, ages 15-49 (per 1,000 uninfected population ages 15-49)</t>
  </si>
  <si>
    <t>SAU026</t>
  </si>
  <si>
    <t>Produção alimentar</t>
  </si>
  <si>
    <t>Índice de produção agrícola/culturas</t>
  </si>
  <si>
    <t>2014-2016=100</t>
  </si>
  <si>
    <t>AG.PRD.CROP.XD</t>
  </si>
  <si>
    <t>G_PROD_ALIMENTAR</t>
  </si>
  <si>
    <t>Complementa disponibilidade de alimentos. | Nome local/API: Crop production index (2014-2016 = 100)</t>
  </si>
  <si>
    <t>SAU027</t>
  </si>
  <si>
    <t>Índice de produção pecuária</t>
  </si>
  <si>
    <t>AG.PRD.LVSK.XD</t>
  </si>
  <si>
    <t>Complementa disponibilidade de alimentos. | Nome local/API: Livestock production index (2014-2016 = 100)</t>
  </si>
  <si>
    <t>SAU031</t>
  </si>
  <si>
    <t>Prevalência de VIH (15-49)</t>
  </si>
  <si>
    <t>% pop. 15-49</t>
  </si>
  <si>
    <t>SH.DYN.AIDS.ZS</t>
  </si>
  <si>
    <t>Carga de VIH na população adulta. | Nome local/API: Prevalence of HIV, total (% of population ages 15-49)</t>
  </si>
  <si>
    <t>SAU032</t>
  </si>
  <si>
    <t>Nutrição</t>
  </si>
  <si>
    <t>Insuficiência ponderal infantil</t>
  </si>
  <si>
    <t>SH.STA.MALN.ZS</t>
  </si>
  <si>
    <t>Peso para idade abaixo do esperado. | Nome local/API: Prevalence of underweight, weight for age (% of children under 5)</t>
  </si>
  <si>
    <t>SAU034</t>
  </si>
  <si>
    <t>Planeamento familiar</t>
  </si>
  <si>
    <t>Prevalência de uso de contracepção</t>
  </si>
  <si>
    <t>% mulheres 15-49</t>
  </si>
  <si>
    <t>SP.DYN.CONU.ZS</t>
  </si>
  <si>
    <t>Acesso a planeamento familiar. | Nome local/API: Contraceptive prevalence, any method (% of married women ages 15-49)</t>
  </si>
  <si>
    <t>SAU035</t>
  </si>
  <si>
    <t>Saúde pública</t>
  </si>
  <si>
    <t>Despesa corrente em saúde per capita</t>
  </si>
  <si>
    <t>SH.XPD.CHEX.PC.CD</t>
  </si>
  <si>
    <t>Recursos por habitante no sistema de saúde. | Nome local/API: Current health expenditure per capita (current US$) | Limites min/max derivados da amplitude histórica.</t>
  </si>
  <si>
    <t>SAU036</t>
  </si>
  <si>
    <t>Cobertura de consultas pré-natais (4+)</t>
  </si>
  <si>
    <t>% grávidas</t>
  </si>
  <si>
    <t>SH.STA.ANVC.ZS</t>
  </si>
  <si>
    <t>Acesso a cuidados pré-natais. | Nome local/API: Pregnant women receiving prenatal care (%)</t>
  </si>
  <si>
    <t>SAU09</t>
  </si>
  <si>
    <t>Índice de produção alimentar</t>
  </si>
  <si>
    <t>AG.PRD.FOOD.XD</t>
  </si>
  <si>
    <t>Acompanha disponibilidade doméstica de alimentos. | Nome local/API: Food production index (2014-2016 = 100)</t>
  </si>
  <si>
    <t>SAU011</t>
  </si>
  <si>
    <t>Cobertura universal de saúde - UHC service coverage index</t>
  </si>
  <si>
    <t>SH_UHC_SCI</t>
  </si>
  <si>
    <t>Sintetiza cobertura efetiva de serviços essenciais. Usar como benchmark de qualidade; a cobertura anual para Angola é limitada. | Código WDI: SH_UHC_SCI (UHC service coverage index). Os limites 0-100 reproduzem a escala oficial.</t>
  </si>
  <si>
    <t>SAU025</t>
  </si>
  <si>
    <t>Doenças não transmissíveis</t>
  </si>
  <si>
    <t>Obesidade adulta</t>
  </si>
  <si>
    <t>NCD_BMI_30A</t>
  </si>
  <si>
    <t>Risco emergente de doença crónica. | Nome local/API: Prevalence of obesity among adults, BMI &amp;GreaterEqual; 30 (age-standardized estimate) (%)</t>
  </si>
  <si>
    <t>SAU037</t>
  </si>
  <si>
    <t>Taxa de suicídio</t>
  </si>
  <si>
    <t>SH.STA.SUIC.P5</t>
  </si>
  <si>
    <t>Saúde mental e mortalidade evitável. | Nome local/API: Suicide mortality rate (per 100,000 population)</t>
  </si>
  <si>
    <t>DIV017</t>
  </si>
  <si>
    <t>Diversificação nacional</t>
  </si>
  <si>
    <t>Indicador central para Angola; há dados nas contas nacionais/relatórios BNA, mas requer extração harmonizada. | Série 2015-2025 calculada por soma anual do PIB real total menos extração/refino de petróleo no Q5 das CNT.</t>
  </si>
  <si>
    <t>DIV001</t>
  </si>
  <si>
    <t>Capacidades produtivas</t>
  </si>
  <si>
    <t>Productive Capacities Index - geral</t>
  </si>
  <si>
    <t>índice</t>
  </si>
  <si>
    <t>UNCTADstat</t>
  </si>
  <si>
    <t>UNCTAD|US.PCI|M6080|Category=0</t>
  </si>
  <si>
    <t>UNCTAD</t>
  </si>
  <si>
    <t>Benchmark UNCTAD apropriado para diversificação e capacidade produtiva. | Nome local/API: Productive capacities index, annual, 2000-2024 (analytical) — Category: Overall index: Productive capacities index — Productive Capacities Index</t>
  </si>
  <si>
    <t>DIV002</t>
  </si>
  <si>
    <t>Productive Capacities Index - mudança estrutural</t>
  </si>
  <si>
    <t>UNCTAD|US.PCI|M6080|Category=10</t>
  </si>
  <si>
    <t>DIV003</t>
  </si>
  <si>
    <t>Productive Capacities Index - setor privado</t>
  </si>
  <si>
    <t>UNCTAD|US.PCI|M6080|Category=80</t>
  </si>
  <si>
    <t>DIV005</t>
  </si>
  <si>
    <t>Dependência de recursos</t>
  </si>
  <si>
    <t>Rendas petrolíferas</t>
  </si>
  <si>
    <t>Relevante para Angola por dependência petrolífera. | Nome local/API: Oil rents (% of GDP)</t>
  </si>
  <si>
    <t>DIV006</t>
  </si>
  <si>
    <t>Rendas totais de recursos naturais</t>
  </si>
  <si>
    <t>NY.GDP.TOTL.RT.ZS</t>
  </si>
  <si>
    <t>Capta dependência geral de recursos. | Nome local/API: Total natural resources rents (% of GDP)</t>
  </si>
  <si>
    <t>DIV007</t>
  </si>
  <si>
    <t>Estrutura produtiva</t>
  </si>
  <si>
    <t>Indústria transformadora no PIB</t>
  </si>
  <si>
    <t>NV.IND.MANF.ZS</t>
  </si>
  <si>
    <t>Diversificação fora do petróleo. | Nome local/API: Manufacturing, value added (% of GDP) | 2025 verificado pelo WDI bulk 2026-06-30 e consistente com agregação INE CNT.</t>
  </si>
  <si>
    <t>DIV010</t>
  </si>
  <si>
    <t>Comércio externo</t>
  </si>
  <si>
    <t>Combustíveis nas exportações de mercadorias</t>
  </si>
  <si>
    <t>% exportações mercadorias</t>
  </si>
  <si>
    <t>TX.VAL.FUEL.ZS.UN</t>
  </si>
  <si>
    <t>Concentração petrolífera das exportações. | Nome local/API: Fuel exports (% of merchandise exports)</t>
  </si>
  <si>
    <t>DIV011</t>
  </si>
  <si>
    <t>Manufaturas nas exportações de mercadorias</t>
  </si>
  <si>
    <t>TX.VAL.MANF.ZS.UN</t>
  </si>
  <si>
    <t>Diversificação exportadora. | Nome local/API: Manufactures exports (% of merchandise exports)</t>
  </si>
  <si>
    <t>DIV013</t>
  </si>
  <si>
    <t>Investimento e setor privado</t>
  </si>
  <si>
    <t>Formação bruta de capital fixo</t>
  </si>
  <si>
    <t>NE.GDI.FTOT.ZS</t>
  </si>
  <si>
    <t>Investimento produtivo. | Nome local/API: Gross fixed capital formation (% of GDP)</t>
  </si>
  <si>
    <t>DIV014</t>
  </si>
  <si>
    <t>IDE líquido total</t>
  </si>
  <si>
    <t>Atração de investimento externo. | Nome local/API: Foreign direct investment, net inflows (% of GDP)</t>
  </si>
  <si>
    <t>DIV015</t>
  </si>
  <si>
    <t>Crédito doméstico ao setor privado</t>
  </si>
  <si>
    <t>Financiamento ao setor privado. | Nome local/API: Domestic credit to private sector (% of GDP)</t>
  </si>
  <si>
    <t>DIV004</t>
  </si>
  <si>
    <t>Productive Capacities Index - transportes</t>
  </si>
  <si>
    <t>UNCTAD|US.PCI|M6080|Category=70</t>
  </si>
  <si>
    <t>Capta infraestrutura logística produtiva. | Nome local/API: Productive capacities index, annual, 2000-2024 (analytical) — Category: Transport — Productive Capacities Index</t>
  </si>
  <si>
    <t>DIV008</t>
  </si>
  <si>
    <t>Agricultura, florestas e pescas no PIB</t>
  </si>
  <si>
    <t>NV.AGR.TOTL.ZS</t>
  </si>
  <si>
    <t>Contexto de transformação estrutural; positivo se associado a produtividade. | Nome local/API: Agriculture, forestry, and fishing, value added (% of GDP) | 2025 verificado pelo WDI bulk 2026-06-30 e consistente com agregação INE CNT.</t>
  </si>
  <si>
    <t>DIV009</t>
  </si>
  <si>
    <t>Serviços no PIB</t>
  </si>
  <si>
    <t>NV.SRV.TOTL.ZS</t>
  </si>
  <si>
    <t>Diversificação setorial. | Nome local/API: Services, value added (% of GDP) | 2025 verificado pelo WDI bulk 2026-06-30 e consistente com agregação INE CNT.</t>
  </si>
  <si>
    <t>DIV012</t>
  </si>
  <si>
    <t>Exportações de alta tecnologia</t>
  </si>
  <si>
    <t>% exportações manufaturadas</t>
  </si>
  <si>
    <t>TX.VAL.TECH.MF.ZS</t>
  </si>
  <si>
    <t>G_HITECH</t>
  </si>
  <si>
    <t>Sinal de sofisticação exportadora. | Nome local/API: High-technology exports (% of manufactured exports)</t>
  </si>
  <si>
    <t>DIV016</t>
  </si>
  <si>
    <t>Empreendedorismo</t>
  </si>
  <si>
    <t>Densidade de novas empresas</t>
  </si>
  <si>
    <t>novas empresas por 1.000 adultos 15-64</t>
  </si>
  <si>
    <t>IC.BUS.NDNS.ZS</t>
  </si>
  <si>
    <t>Dinamismo empresarial formal. | Nome local/API: New business density (new registrations per 1,000 people ages 15-64)</t>
  </si>
  <si>
    <t>DIV018</t>
  </si>
  <si>
    <t>Indústria total no PIB</t>
  </si>
  <si>
    <t>NV.IND.TOTL.ZS</t>
  </si>
  <si>
    <t>Peso do sector industrial (inclui extractivas). | Nome local/API: Industry (including construction), value added (% of GDP) | 2025 verificado pelo WDI bulk 2026-06-30 e consistente com agregação INE CNT.</t>
  </si>
  <si>
    <t>DIV019</t>
  </si>
  <si>
    <t>Sofisticação</t>
  </si>
  <si>
    <t>Manufaturas de média-alta tecnologia</t>
  </si>
  <si>
    <t>% VAB manufatureiro</t>
  </si>
  <si>
    <t>Banco Mundial/UNIDO</t>
  </si>
  <si>
    <t>NV.MNF.TECH.ZS.UN</t>
  </si>
  <si>
    <t>Complexidade da base manufatureira. | Nome local/API: Medium and high-tech manufacturing value added (% manufacturing value added)</t>
  </si>
  <si>
    <t>DIV020</t>
  </si>
  <si>
    <t>Exportações de produtos agrícolas</t>
  </si>
  <si>
    <t>TX.VAL.AGRI.ZS.UN</t>
  </si>
  <si>
    <t>Diversificação para o agro-alimentar. | Nome local/API: Agricultural raw materials exports (% of merchandise exports)</t>
  </si>
  <si>
    <t>AMB002</t>
  </si>
  <si>
    <t>Adaptação climática</t>
  </si>
  <si>
    <t>ND-GAIN Country Index - prontidão/resiliência</t>
  </si>
  <si>
    <t>Notre Dame Global Adaptation Initiative</t>
  </si>
  <si>
    <t>NDGAIN_OVERALL</t>
  </si>
  <si>
    <t>G_NDGAIN</t>
  </si>
  <si>
    <t>Relevante para vulnerabilidade climática e capacidade de resposta. | Dataset oficial ND-GAIN (gain.csv) 2010-2023, ISO3 AGO.</t>
  </si>
  <si>
    <t>AMB003</t>
  </si>
  <si>
    <t>ND-GAIN - vulnerabilidade</t>
  </si>
  <si>
    <t>NDGAIN_VULN</t>
  </si>
  <si>
    <t>Complementa prontidão climática. | Dataset oficial ND-GAIN (vulnerability.csv) 2010-2023.</t>
  </si>
  <si>
    <t>AMB007</t>
  </si>
  <si>
    <t>Qualidade ambiental</t>
  </si>
  <si>
    <t>Exposição média a PM2.5</t>
  </si>
  <si>
    <t>microgramas/m3</t>
  </si>
  <si>
    <t>EN.ATM.PM25.MC.M3</t>
  </si>
  <si>
    <t>Saúde ambiental e poluição. | Nome local/API: PM2.5 air pollution, mean annual exposure (micrograms per cubic meter)</t>
  </si>
  <si>
    <t>AMB011</t>
  </si>
  <si>
    <t>Recursos hídricos</t>
  </si>
  <si>
    <t>Stress hídrico</t>
  </si>
  <si>
    <t>% recursos hídricos</t>
  </si>
  <si>
    <t>ER.H2O.FWST.ZS</t>
  </si>
  <si>
    <t>G_STRESS_HIDRICO</t>
  </si>
  <si>
    <t>Relevante para clima, agricultura e território. | Nome local/API: Level of water stress: freshwater withdrawal as a proportion of available freshwater resources</t>
  </si>
  <si>
    <t>AMB013</t>
  </si>
  <si>
    <t>Sustentabilidade económica</t>
  </si>
  <si>
    <t>Poupança líquida ajustada</t>
  </si>
  <si>
    <t>NY.ADJ.SVNG.GN.ZS</t>
  </si>
  <si>
    <t>Integra capital natural e sustentabilidade económica. | Nome local/API: Adjusted net savings, including particulate emission damage (% of GNI)</t>
  </si>
  <si>
    <t>AMB014</t>
  </si>
  <si>
    <t>Depleção de recursos naturais</t>
  </si>
  <si>
    <t>NY.ADJ.DRES.GN.ZS</t>
  </si>
  <si>
    <t>G_DEPLECAO</t>
  </si>
  <si>
    <t>Pressão sobre capital natural. | Nome local/API: Adjusted savings: natural resources depletion (% of GNI)</t>
  </si>
  <si>
    <t>AMB001</t>
  </si>
  <si>
    <t>Benchmark ambiental</t>
  </si>
  <si>
    <t>Environmental Performance Index - score</t>
  </si>
  <si>
    <t>Yale/Columbia EPI</t>
  </si>
  <si>
    <t>EPI</t>
  </si>
  <si>
    <t>Benchmark internacional para saúde ambiental, ecossistemas e clima. | EPI edições 2020/2022/2024. Aviso: metodologia muda entre edições — comparação temporal limitada.</t>
  </si>
  <si>
    <t>AMB004</t>
  </si>
  <si>
    <t>Emissões</t>
  </si>
  <si>
    <t>CO2 per capita excluindo LULUCF</t>
  </si>
  <si>
    <t>t CO2e/capita</t>
  </si>
  <si>
    <t>EN.GHG.CO2.PC.CE.AR5</t>
  </si>
  <si>
    <t>G_EMISSOES</t>
  </si>
  <si>
    <t>Pegada de carbono per capita. | Nome local/API: Carbon dioxide (CO2) emissions excluding LULUCF per capita (t CO2e/capita)</t>
  </si>
  <si>
    <t>AMB005</t>
  </si>
  <si>
    <t>Gases de efeito estufa per capita excluindo LULUCF</t>
  </si>
  <si>
    <t>EN.GHG.ALL.PC.CE.AR5</t>
  </si>
  <si>
    <t>Pegada climática ampla. | Nome local/API: Total greenhouse gas emissions excluding LULUCF per capita (t CO2e/capita)</t>
  </si>
  <si>
    <t>AMB008</t>
  </si>
  <si>
    <t>Energia limpa</t>
  </si>
  <si>
    <t>Consumo de energia renovável</t>
  </si>
  <si>
    <t>% consumo final</t>
  </si>
  <si>
    <t>EG.FEC.RNEW.ZS</t>
  </si>
  <si>
    <t>Matriz energética e transição. | Nome local/API: Renewable energy consumption (% of total final energy consumption)</t>
  </si>
  <si>
    <t>AMB009</t>
  </si>
  <si>
    <t>Biodiversidade</t>
  </si>
  <si>
    <t>Áreas terrestres e marinhas protegidas</t>
  </si>
  <si>
    <t>% território</t>
  </si>
  <si>
    <t>ER.PTD.TOTL.ZS</t>
  </si>
  <si>
    <t>Conservação e biodiversidade. | Nome local/API: Terrestrial and marine protected areas (% of total territorial area)</t>
  </si>
  <si>
    <t>AMB010</t>
  </si>
  <si>
    <t>Área florestal</t>
  </si>
  <si>
    <t>% área terrestre</t>
  </si>
  <si>
    <t>AG.LND.FRST.ZS</t>
  </si>
  <si>
    <t>G_FLORESTA</t>
  </si>
  <si>
    <t>Capital natural. | Nome local/API: Forest area (% of land area)</t>
  </si>
  <si>
    <t>AMB015</t>
  </si>
  <si>
    <t>Depleção de energia</t>
  </si>
  <si>
    <t>NY.ADJ.DNGY.GN.ZS</t>
  </si>
  <si>
    <t>Importante para economia petrolífera. | Nome local/API: Adjusted savings: energy depletion (% of GNI)</t>
  </si>
  <si>
    <t>AMB016</t>
  </si>
  <si>
    <t>Riscos climáticos</t>
  </si>
  <si>
    <t>População afetada por secas, cheias e temperaturas extremas</t>
  </si>
  <si>
    <t>% população média 1990-2009</t>
  </si>
  <si>
    <t>EN.CLC.MDAT.ZS</t>
  </si>
  <si>
    <t>Proxy de exposição climática histórica. | Nome local/API: Droughts, floods, extreme temperatures (% of population, average 1990-2009)</t>
  </si>
  <si>
    <t>AMB017</t>
  </si>
  <si>
    <t>Instituições ambientais</t>
  </si>
  <si>
    <t>CPIA - sustentabilidade ambiental</t>
  </si>
  <si>
    <t>IQ.CPA.ENVR.XQ</t>
  </si>
  <si>
    <t>Instituições e políticas ambientais. | Nome local/API: CPIA policy and institutions for environmental sustainability rating (1=low to 6=high)</t>
  </si>
  <si>
    <t>AMB018</t>
  </si>
  <si>
    <t>ND-GAIN - prontidão/resiliência</t>
  </si>
  <si>
    <t>NDGAIN_READY</t>
  </si>
  <si>
    <t>Dataset oficial ND-GAIN (readiness.csv) 2010-2023.</t>
  </si>
  <si>
    <t>AMB019</t>
  </si>
  <si>
    <t>Extracção de água doce</t>
  </si>
  <si>
    <t>% recursos internos</t>
  </si>
  <si>
    <t>Banco Mundial/FAO AQUASTAT</t>
  </si>
  <si>
    <t>ER.H2O.FWTL.ZS</t>
  </si>
  <si>
    <t>Pressão sobre recursos hídricos. | Nome local/API: Annual freshwater withdrawals, total (% of internal resources)</t>
  </si>
  <si>
    <t>AMB020</t>
  </si>
  <si>
    <t>Defecação a céu aberto (WDI)</t>
  </si>
  <si>
    <t>SH.STA.ODFC.ZS</t>
  </si>
  <si>
    <t>Indicador ambiental e de saúde pública. | Nome local/API: People practicing open defecation (% of population)</t>
  </si>
  <si>
    <t>AMB006</t>
  </si>
  <si>
    <t>Emissões totais de GEE excluindo LULUCF</t>
  </si>
  <si>
    <t>Mt CO2e</t>
  </si>
  <si>
    <t>EN.GHG.ALL.MT.CE.AR5</t>
  </si>
  <si>
    <t>Indicador de escala; usar com cautela em normalização. | Nome local/API: Total greenhouse gas emissions excluding LULUCF (Mt CO2e) | Limites min/max derivados da amplitude histórica.</t>
  </si>
  <si>
    <t>AMB012</t>
  </si>
  <si>
    <t>Recursos internos renováveis de água per capita</t>
  </si>
  <si>
    <t>m3 per capita</t>
  </si>
  <si>
    <t>ER.H2O.INTR.PC</t>
  </si>
  <si>
    <t>Indicador de dotação hídrica. | Nome local/API: Renewable internal freshwater resources per capita (cubic meters) | Limites min/max derivados da amplitude histórica.</t>
  </si>
  <si>
    <t>AMB021</t>
  </si>
  <si>
    <t>Capital natural</t>
  </si>
  <si>
    <t>km2</t>
  </si>
  <si>
    <t>AG.LND.FRST.K2</t>
  </si>
  <si>
    <t>Stock florestal em área. | Nome local/API: Forest area (sq. km) | Limites min/max derivados da amplitude histórica.</t>
  </si>
  <si>
    <t>AMB022</t>
  </si>
  <si>
    <t>Emissões totais de CO2 (excl. LULUCF)</t>
  </si>
  <si>
    <t>EN.GHG.CO2.MT.CE.AR5</t>
  </si>
  <si>
    <t>Escala de emissões de CO2. | Nome local/API: Carbon dioxide (CO2) emissions (total) excluding LULUCF (Mt CO2e) | Limites min/max derivados da amplitude histórica.</t>
  </si>
  <si>
    <t>AMB023</t>
  </si>
  <si>
    <t>Uso da terra</t>
  </si>
  <si>
    <t>Terra agrícola</t>
  </si>
  <si>
    <t>AG.LND.AGRI.ZS</t>
  </si>
  <si>
    <t>Pressão e uso agrícola da terra. | Nome local/API: Agricultural land (% of land area)</t>
  </si>
  <si>
    <t>DEM015</t>
  </si>
  <si>
    <t>Coesão territorial</t>
  </si>
  <si>
    <t>Dispersão do PIB per capita provincial</t>
  </si>
  <si>
    <t>coeficiente/índice</t>
  </si>
  <si>
    <t>INE — População / Contas Nacionais Regionais</t>
  </si>
  <si>
    <t>NAT_INE_PIBPROV_CV</t>
  </si>
  <si>
    <t>Construível a partir do ficheiro local PIB Anual por Província.xlsx. | Coeficiente de variação (%) do PIB provincial per capita; PIB Anual por Província / população projectada provincial. | Limites min/max derivados da amplitude histórica.</t>
  </si>
  <si>
    <t>DEM016</t>
  </si>
  <si>
    <t>Dispersão da pobreza multidimensional municipal</t>
  </si>
  <si>
    <t>INE - Pobreza Multidimensional nos Municípios</t>
  </si>
  <si>
    <t>Construível a partir dos ficheiros locais de IPM municipal/provincial. | Limites: escala proposta 0-1 para índice de dispersão municipal do IPM; 0 = ausência de dispersão territorial e 1 = dispersão máxima normalizada. Rever apenas se a extracção futura usar coeficiente de variação não limitado.</t>
  </si>
  <si>
    <t>DEM018</t>
  </si>
  <si>
    <t>Urbanização</t>
  </si>
  <si>
    <t>Taxa de urbanização (INE, projecções)</t>
  </si>
  <si>
    <t>NAT_INE_URBAN</t>
  </si>
  <si>
    <t>INE — População</t>
  </si>
  <si>
    <t>G_URBANIZACAO</t>
  </si>
  <si>
    <t>INE, População projectada por províncias 2014-2050: população urbana / total (Angola).</t>
  </si>
  <si>
    <t>DEM001</t>
  </si>
  <si>
    <t>Estrutura demográfica</t>
  </si>
  <si>
    <t>População total</t>
  </si>
  <si>
    <t>SP.POP.TOTL</t>
  </si>
  <si>
    <t>G_POPULACAO</t>
  </si>
  <si>
    <t>Indicador de escala; não deve ser normalizado como desempenho sem transformação. | Nome local/API: Population, total | Limites min/max derivados da amplitude histórica.</t>
  </si>
  <si>
    <t>DEM002</t>
  </si>
  <si>
    <t>Crescimento populacional</t>
  </si>
  <si>
    <t>% anual</t>
  </si>
  <si>
    <t>SP.POP.GROW</t>
  </si>
  <si>
    <t>Pressão de serviços e dinâmica demográfica. | Nome local/API: Population growth (annual %)</t>
  </si>
  <si>
    <t>DEM003</t>
  </si>
  <si>
    <t>População urbana</t>
  </si>
  <si>
    <t>SP.URB.TOTL.IN.ZS</t>
  </si>
  <si>
    <t>Estrutura territorial. | Nome local/API: Urban population (% of total population)</t>
  </si>
  <si>
    <t>DEM006</t>
  </si>
  <si>
    <t>Dependência demográfica</t>
  </si>
  <si>
    <t>Rácio de dependência total</t>
  </si>
  <si>
    <t>% população em idade ativa</t>
  </si>
  <si>
    <t>SP.POP.DPND</t>
  </si>
  <si>
    <t>G_DEPENDENCIA</t>
  </si>
  <si>
    <t>Pressão sobre população ativa. | Nome local/API: Age dependency ratio (% of working-age population)</t>
  </si>
  <si>
    <t>DEM009</t>
  </si>
  <si>
    <t>Fecundidade</t>
  </si>
  <si>
    <t>Taxa de fecundidade total</t>
  </si>
  <si>
    <t>nascimentos por mulher</t>
  </si>
  <si>
    <t>SP.DYN.TFRT.IN</t>
  </si>
  <si>
    <t>G_FECUNDIDADE</t>
  </si>
  <si>
    <t>Dinâmica demográfica e pressão sobre serviços. | Nome local/API: Fertility rate, total (births per woman)</t>
  </si>
  <si>
    <t>DEM010</t>
  </si>
  <si>
    <t>Fecundidade adolescente</t>
  </si>
  <si>
    <t>nascimentos por 1.000 mulheres 15-19</t>
  </si>
  <si>
    <t>SP.ADO.TFRT</t>
  </si>
  <si>
    <t>Cruza educação, saúde e género. | Nome local/API: Adolescent fertility rate (births per 1,000 women ages 15-19)</t>
  </si>
  <si>
    <t>DEM014</t>
  </si>
  <si>
    <t>Habitação urbana</t>
  </si>
  <si>
    <t>População urbana em bairros precários/slums</t>
  </si>
  <si>
    <t>Banco Mundial/UN-Habitat</t>
  </si>
  <si>
    <t>EN.POP.SLUM.UR.ZS</t>
  </si>
  <si>
    <t>Urbanização e qualidade habitacional. | Nome local/API: Population living in slums (% of urban population)</t>
  </si>
  <si>
    <t>DEM017</t>
  </si>
  <si>
    <t>Território e população</t>
  </si>
  <si>
    <t>Peso populacional de Luanda e principais polos urbanos</t>
  </si>
  <si>
    <t>NAT_INE_LUANDA_POPSHARE</t>
  </si>
  <si>
    <t>G_LUANDA</t>
  </si>
  <si>
    <t>Indicador de concentração territorial; Censo 2024 disponível localmente. | INE: população de Luanda / população total de Angola.</t>
  </si>
  <si>
    <t>DEM019</t>
  </si>
  <si>
    <t>Concentração territorial</t>
  </si>
  <si>
    <t>Peso de Luanda no PIB nacional (INE)</t>
  </si>
  <si>
    <t>NAT_INE_LUANDA_GDPSHARE</t>
  </si>
  <si>
    <t>INE, PIB Anual por Província (Q2): peso de Luanda no PIB.</t>
  </si>
  <si>
    <t>DEM020</t>
  </si>
  <si>
    <t>Taxa de fecundidade total (IIMS 2023-24)</t>
  </si>
  <si>
    <t>filhos/mulher</t>
  </si>
  <si>
    <t>NAT_IIMS_TFR</t>
  </si>
  <si>
    <t>IIMS 2023-2024 Q17.4, taxa global de fecundidade (15-49).</t>
  </si>
  <si>
    <t>DEM004</t>
  </si>
  <si>
    <t>População rural</t>
  </si>
  <si>
    <t>SP.RUR.TOTL.ZS</t>
  </si>
  <si>
    <t>Estrutura territorial. | Nome local/API: Rural population (% of total population)</t>
  </si>
  <si>
    <t>DEM005</t>
  </si>
  <si>
    <t>Densidade e ocupação</t>
  </si>
  <si>
    <t>Densidade populacional</t>
  </si>
  <si>
    <t>pessoas/km2</t>
  </si>
  <si>
    <t>EN.POP.DNST</t>
  </si>
  <si>
    <t>Escala territorial e planeamento. | Nome local/API: Population density (people per sq. km of land area) | Limites min/max derivados da amplitude histórica.</t>
  </si>
  <si>
    <t>DEM007</t>
  </si>
  <si>
    <t>Rácio de dependência jovem</t>
  </si>
  <si>
    <t>SP.POP.DPND.YG</t>
  </si>
  <si>
    <t>Pressão sobre educação, saúde e emprego futuro. | Nome local/API: Age dependency ratio, young (% of working-age population)</t>
  </si>
  <si>
    <t>DEM011</t>
  </si>
  <si>
    <t>Mobilidade</t>
  </si>
  <si>
    <t>Migração líquida</t>
  </si>
  <si>
    <t>SM.POP.NETM</t>
  </si>
  <si>
    <t>Contexto migratório. | Nome local/API: Net migration | Limites min/max derivados da amplitude histórica.</t>
  </si>
  <si>
    <t>DEM021</t>
  </si>
  <si>
    <t>Crescimento da população urbana</t>
  </si>
  <si>
    <t>SP.URB.GROW</t>
  </si>
  <si>
    <t>Ritmo de urbanização. | Nome local/API: Urban population growth (annual %)</t>
  </si>
  <si>
    <t>DEM008</t>
  </si>
  <si>
    <t>Rácio de dependência idosa</t>
  </si>
  <si>
    <t>SP.POP.DPND.OL</t>
  </si>
  <si>
    <t>Contexto de envelhecimento. | Nome local/API: Age dependency ratio, old (% of working-age population)</t>
  </si>
  <si>
    <t>DEM012</t>
  </si>
  <si>
    <t>Refugiados por país de origem</t>
  </si>
  <si>
    <t>Banco Mundial/UNHCR</t>
  </si>
  <si>
    <t>SM.POP.RHCR.EO</t>
  </si>
  <si>
    <t>G_REFUGIADOS</t>
  </si>
  <si>
    <t>Contexto de deslocação externa. | Nome local/API: Refugees under the mandate of the UNHCR by country or territory of origin | Limites min/max derivados da amplitude histórica.</t>
  </si>
  <si>
    <t>DEM013</t>
  </si>
  <si>
    <t>Refugiados acolhidos por Angola</t>
  </si>
  <si>
    <t>SM.POP.RHCR.EA</t>
  </si>
  <si>
    <t>Contexto humanitário e regional. | Nome local/API: Refugees under the mandate of the UNHCR by country or territory of asylum | Limites min/max derivados da amplitude histórica.</t>
  </si>
  <si>
    <t>DEM022</t>
  </si>
  <si>
    <t>Dinâmica demográfica</t>
  </si>
  <si>
    <t>Taxa bruta de natalidade</t>
  </si>
  <si>
    <t>por 1.000 hab.</t>
  </si>
  <si>
    <t>SP.DYN.CBRT.IN</t>
  </si>
  <si>
    <t>Componente da dinâmica populacional. | Nome local/API: Birth rate, crude (per 1,000 people)</t>
  </si>
  <si>
    <t>DEM023</t>
  </si>
  <si>
    <t>Taxa bruta de mortalidade</t>
  </si>
  <si>
    <t>SP.DYN.CDRT.IN</t>
  </si>
  <si>
    <t>Componente da dinâmica populacional. | Nome local/API: Death rate, crude (per 1,000 people)</t>
  </si>
  <si>
    <t>DIG004</t>
  </si>
  <si>
    <t>Acesso digital</t>
  </si>
  <si>
    <t>Utilizadores de internet</t>
  </si>
  <si>
    <t>Indicador base de inclusão digital. | Nome local/API: Individuals using the Internet (% of population)</t>
  </si>
  <si>
    <t>DIG007</t>
  </si>
  <si>
    <t>Conectividade</t>
  </si>
  <si>
    <t>Subscrições móveis</t>
  </si>
  <si>
    <t>por 100 habitantes</t>
  </si>
  <si>
    <t>Conectividade móvel. | Nome local/API: Mobile cellular subscriptions (per 100 people)</t>
  </si>
  <si>
    <t>DIG008</t>
  </si>
  <si>
    <t>Banda larga fixa</t>
  </si>
  <si>
    <t>Infraestrutura digital fixa. | Nome local/API: Fixed broadband subscriptions (per 100 people)</t>
  </si>
  <si>
    <t>DIG020</t>
  </si>
  <si>
    <t>Pagamentos digitais</t>
  </si>
  <si>
    <t>Pagamentos eletrónicos e mobile payments - EMIS/BNA</t>
  </si>
  <si>
    <t>0-100 (índice/proxy)</t>
  </si>
  <si>
    <t>BNA/EMIS</t>
  </si>
  <si>
    <t>Indicador muito relevante para Angola; requer fonte nacional/EMIS ou relatórios BNA. | Limites: até existir série EMIS/BNA harmonizada em número ou valor, o indicador fica parametrizado como índice/proxy 0-100; 0 = ausência de pagamentos digitais e 100 = adopção plena/benchmark máximo.</t>
  </si>
  <si>
    <t>DIG001</t>
  </si>
  <si>
    <t>Benchmark digital</t>
  </si>
  <si>
    <t>Network Readiness Index - score</t>
  </si>
  <si>
    <t>Portulans Institute</t>
  </si>
  <si>
    <t>NRI</t>
  </si>
  <si>
    <t>Benchmark de tecnologia, pessoas, governação e impacto digital. | NRI 2022-2025 (escala 0-100 revista em 2022; pré-2022 não comparável).</t>
  </si>
  <si>
    <t>DIG002</t>
  </si>
  <si>
    <t>Governo digital</t>
  </si>
  <si>
    <t>UN E-Government Development Index - EGDI</t>
  </si>
  <si>
    <t>UN DESA</t>
  </si>
  <si>
    <t>EGDI</t>
  </si>
  <si>
    <t>Benchmark de governo digital e serviços online. | UN DESA EGDI via World Bank Data360 (edições 2010-2024).</t>
  </si>
  <si>
    <t>DIG005</t>
  </si>
  <si>
    <t>Utilizadores de internet - mulheres</t>
  </si>
  <si>
    <t>% mulheres</t>
  </si>
  <si>
    <t>IT.NET.USER.FE.ZS</t>
  </si>
  <si>
    <t>Capta fosso digital de género. | Nome local/API: Individuals using the Internet, female (% of female population)</t>
  </si>
  <si>
    <t>DIG010</t>
  </si>
  <si>
    <t>Inclusão financeira digital</t>
  </si>
  <si>
    <t>Conta financeira ou mobile money</t>
  </si>
  <si>
    <t>Base para serviços financeiros digitais. | Nome local/API: Account ownership at a financial institution or with a mobile-money-service provider (% of population ages 15+)</t>
  </si>
  <si>
    <t>DIG012</t>
  </si>
  <si>
    <t>Inclusão financeira digital distributiva. | Nome local/API: Account ownership at a financial institution or with a mobile-money-service provider, poorest 40% (% of population ages 15+)</t>
  </si>
  <si>
    <t>DIG013</t>
  </si>
  <si>
    <t>Capacidade digital</t>
  </si>
  <si>
    <t>Productive Capacities Index - ICT</t>
  </si>
  <si>
    <t>UNCTAD|US.PCI|M6080|Category=60</t>
  </si>
  <si>
    <t>Capacidade produtiva digital. | Nome local/API: Productive capacities index, annual, 2000-2024 (analytical) — Category: Information and Communication Technology (ICT) — Productive Capacities Index</t>
  </si>
  <si>
    <t>DIG003</t>
  </si>
  <si>
    <t>GovTech Maturity Index</t>
  </si>
  <si>
    <t>0-1 / grupo</t>
  </si>
  <si>
    <t>Banco Mundial/GovTech</t>
  </si>
  <si>
    <t>GTMI</t>
  </si>
  <si>
    <t>Maturidade GovTech do setor público. | Banco Mundial GTMI 2022 (grupo C); via Data360.</t>
  </si>
  <si>
    <t>DIG006</t>
  </si>
  <si>
    <t>Utilizadores de internet - homens</t>
  </si>
  <si>
    <t>% homens</t>
  </si>
  <si>
    <t>IT.NET.USER.MA.ZS</t>
  </si>
  <si>
    <t>Capta fosso digital de género. | Nome local/API: Individuals using the Internet, male (% of male population)</t>
  </si>
  <si>
    <t>DIG009</t>
  </si>
  <si>
    <t>Segurança digital</t>
  </si>
  <si>
    <t>Servidores seguros de internet</t>
  </si>
  <si>
    <t>por 1 milhão hab.</t>
  </si>
  <si>
    <t>Banco Mundial/Netcraft</t>
  </si>
  <si>
    <t>IT.NET.SECR.P6</t>
  </si>
  <si>
    <t>Proxy de presença digital segura. | Nome local/API: Secure Internet servers (per 1 million people) | Limites min/max derivados da amplitude histórica.</t>
  </si>
  <si>
    <t>DIG011</t>
  </si>
  <si>
    <t>Conta financeira/mobile money - jovens</t>
  </si>
  <si>
    <t>% jovens 15-24</t>
  </si>
  <si>
    <t>FX.OWN.TOTL.YG.ZS</t>
  </si>
  <si>
    <t>Inclusão financeira da juventude. | Nome local/API: Account ownership at a financial institution or with a mobile-money-service provider, young adults (% of population ages 15-24)</t>
  </si>
  <si>
    <t>DIG014</t>
  </si>
  <si>
    <t>Comércio digital</t>
  </si>
  <si>
    <t>Exportações de serviços TIC</t>
  </si>
  <si>
    <t>% exportações de serviços</t>
  </si>
  <si>
    <t>BX.GSR.CCIS.ZS</t>
  </si>
  <si>
    <t>Sofisticação de serviços exportados. | Nome local/API: ICT service exports (% of service exports, BoP)</t>
  </si>
  <si>
    <t>DIG016</t>
  </si>
  <si>
    <t>Inovação</t>
  </si>
  <si>
    <t>Despesa em investigação e desenvolvimento</t>
  </si>
  <si>
    <t>GB.XPD.RSDV.GD.ZS</t>
  </si>
  <si>
    <t>Input de inovação. | Nome local/API: Research and development expenditure (% of GDP)</t>
  </si>
  <si>
    <t>DIG017</t>
  </si>
  <si>
    <t>Investigadores em I&amp;D</t>
  </si>
  <si>
    <t>por milhão de habitantes</t>
  </si>
  <si>
    <t>SP.POP.SCIE.RD.P6</t>
  </si>
  <si>
    <t>Capacidade científica. | Nome local/API: Researchers in R&amp;D (per million people) | Limites min/max derivados da amplitude histórica.</t>
  </si>
  <si>
    <t>DIG021</t>
  </si>
  <si>
    <t>UN E-Participation Index (EPART)</t>
  </si>
  <si>
    <t>EPART</t>
  </si>
  <si>
    <t>UN DESA, edição 2024 (página de país de Angola).</t>
  </si>
  <si>
    <t>DIG015</t>
  </si>
  <si>
    <t>Exportações de bens TIC</t>
  </si>
  <si>
    <t>% exportações de bens</t>
  </si>
  <si>
    <t>TX.VAL.ICTG.ZS.UN</t>
  </si>
  <si>
    <t>Sofisticação de bens exportados. | Nome local/API: ICT goods exports (% of total goods exports)</t>
  </si>
  <si>
    <t>DIG018</t>
  </si>
  <si>
    <t>Pedidos de patente por residentes</t>
  </si>
  <si>
    <t>Banco Mundial/WIPO</t>
  </si>
  <si>
    <t>IP.PAT.RESD</t>
  </si>
  <si>
    <t>Output formal de inovação. | Nome local/API: Patent applications, residents | Limites min/max derivados da amplitude histórica.</t>
  </si>
  <si>
    <t>DIG019</t>
  </si>
  <si>
    <t>Pedidos de marca por residentes</t>
  </si>
  <si>
    <t>IP.TMK.RSCT</t>
  </si>
  <si>
    <t>Dinamismo empresarial/branding. | Nome local/API: Trademark applications, resident, by count | Limites min/max derivados da amplitude histórica.</t>
  </si>
  <si>
    <t>DIG022</t>
  </si>
  <si>
    <t>Exportações de bens de alta tecnologia (USD)</t>
  </si>
  <si>
    <t>TX.VAL.TECH.CD</t>
  </si>
  <si>
    <t>Valor absoluto de exportações de alta tecnologia. | Nome local/API: High-technology exports (current US$) | Limites min/max derivados da amplitude histórica.</t>
  </si>
  <si>
    <t>DIG023</t>
  </si>
  <si>
    <t>Artigos científicos e técnicos</t>
  </si>
  <si>
    <t>Banco Mundial/NSF</t>
  </si>
  <si>
    <t>IP.JRN.ARTC.SC</t>
  </si>
  <si>
    <t>Produção científica nacional. | Nome local/API: Scientific and technical journal articles | Limites min/max derivados da amplitude histórica.</t>
  </si>
  <si>
    <t>BASE DE DADOS DO ÍNDICE (INDICADORES SELECCIONADOS)</t>
  </si>
  <si>
    <t>Preenchida automaticamente a partir da Base_Potencial segundo os critérios de selecção. Cada dimensão tem até 10 posições; posições vazias ficam em branco. Valores = observações de origem (sem imputação).</t>
  </si>
  <si>
    <t>Linha origem</t>
  </si>
  <si>
    <t>2015</t>
  </si>
  <si>
    <t>2016</t>
  </si>
  <si>
    <t>2017</t>
  </si>
  <si>
    <t>2018</t>
  </si>
  <si>
    <t>2019</t>
  </si>
  <si>
    <t>2020</t>
  </si>
  <si>
    <t>2021</t>
  </si>
  <si>
    <t>2022</t>
  </si>
  <si>
    <t>2023</t>
  </si>
  <si>
    <t>2024</t>
  </si>
  <si>
    <t>2025</t>
  </si>
  <si>
    <t>Cobertura obs.</t>
  </si>
  <si>
    <t>DADOS AJUSTADOS (OBSERVADOS + IMPUTAÇÕES CONTROLADAS)</t>
  </si>
  <si>
    <t>Cada célula: valor observado; senão interpolação linear (lacuna ≤ limite); senão carry-forward / carry-backward dentro dos limites definidos nos Critérios. A folha 05_Flags_Qualidade identifica a técnica usada em cada célula.</t>
  </si>
  <si>
    <t>FLAGS DE QUALIDADE E RASTREABILIDADE DA IMPUTAÇÃO</t>
  </si>
  <si>
    <t>OBS = observado na fonte · EST_INTERP = interpolação linear · EST_CARRY_FWD / EST_CARRY_BWD = propagação do último/primeiro valor · SEM_DADO = célula ignorada no cálculo.</t>
  </si>
  <si>
    <t>Observados</t>
  </si>
  <si>
    <t>Estimados</t>
  </si>
  <si>
    <t>Sem dado</t>
  </si>
  <si>
    <t>Cobertura final</t>
  </si>
  <si>
    <t>NORMALIZAÇÃO (SCORES 0–100 COM SENTIDO DIRECCIONAL)</t>
  </si>
  <si>
    <t>Min-Max com limites fixos por indicador (Base_Indice cols H/I). Sentido "+": melhor quanto maior; sentido "−": melhor quanto menor. Scores limitados à escala definida nos Critérios.</t>
  </si>
  <si>
    <t>SUBÍNDICES DIMENSIONAIS E IGDA GLOBAL</t>
  </si>
  <si>
    <t>Subíndice = média aritmética ponderada dos scores disponíveis (se cumprir a cobertura mínima). IGDA = média geométrica ponderada dos subíndices das dimensões incluídas.</t>
  </si>
  <si>
    <t>Incluída</t>
  </si>
  <si>
    <t>Indic. usados</t>
  </si>
  <si>
    <t>Cobert. mín.</t>
  </si>
  <si>
    <t>Último valor</t>
  </si>
  <si>
    <t>Primeiro valor</t>
  </si>
  <si>
    <t>Δ período</t>
  </si>
  <si>
    <t>Últ. (incl.)</t>
  </si>
  <si>
    <t>Δ (incl.)</t>
  </si>
  <si>
    <t>Governança</t>
  </si>
  <si>
    <t>Macroeconomia</t>
  </si>
  <si>
    <t>Capital Humano</t>
  </si>
  <si>
    <t>Inclusão Social</t>
  </si>
  <si>
    <t>Infraestruturas</t>
  </si>
  <si>
    <t>Mercado Trabalho</t>
  </si>
  <si>
    <t>Saúde/Alimentar</t>
  </si>
  <si>
    <t>Diversificação</t>
  </si>
  <si>
    <t>Ambiente</t>
  </si>
  <si>
    <t>Demografia</t>
  </si>
  <si>
    <t>Digital/Inovação</t>
  </si>
  <si>
    <t>IGDA-BDA (média geométrica)</t>
  </si>
  <si>
    <t>Classificação</t>
  </si>
  <si>
    <t>Variação anual (p.p.)</t>
  </si>
  <si>
    <t>Subíndices com dados</t>
  </si>
  <si>
    <t>Diagnóstico: scores disponíveis / indicadores usados</t>
  </si>
  <si>
    <t>VISUALIZAÇÕES ANALÍTICAS</t>
  </si>
  <si>
    <t>Mapa de calor por dimensão e ano; radar e variação entre dois anos à escolha (células amarelas).</t>
  </si>
  <si>
    <t>1 · Mapa de calor — scores por dimensão e ano (0–100)</t>
  </si>
  <si>
    <t>Δ 25–15</t>
  </si>
  <si>
    <t>IGDA-BDA</t>
  </si>
  <si>
    <t>2 · Comparação entre dois anos — radar e variação por dimensão</t>
  </si>
  <si>
    <t>Ano A:</t>
  </si>
  <si>
    <t>Ano B:</t>
  </si>
  <si>
    <t>Δ B−A</t>
  </si>
  <si>
    <t>NOTA METODOLÓGICA — IGDA-BDA · Selecção Final</t>
  </si>
  <si>
    <t>1. ESTRUTURA</t>
  </si>
  <si>
    <t xml:space="preserve">  O IGDA-BDA cobre 8 dimensões activas (de 11 definidas) e o período 2015–2025, seleccionando automaticamente os melhores indicadores por dimensão (com anti-duplicação).</t>
  </si>
  <si>
    <t xml:space="preserve">  O número de dimensões e de indicadores é configurável na folha 01_Criterios (por exemplo, apenas 5 ou 7 dimensões, com 5 a 10 indicadores cada).</t>
  </si>
  <si>
    <t xml:space="preserve">  Cadeia de cálculo totalmente linkada: Base_Potencial → selecção → Base_Indice → Dados ajustados → Normalização → Subíndices → IGDA → Painel/Visualizações.</t>
  </si>
  <si>
    <t>2. COMO USAR (3 PASSOS)</t>
  </si>
  <si>
    <t xml:space="preserve">  Passo 1 — em 01_Criterios, escolha as dimensões a incluir (coluna "Incluir?"), o nº de indicadores alvo por dimensão e o modo de selecção (Automática ou Manual).</t>
  </si>
  <si>
    <t xml:space="preserve">  Passo 2 — em 02_Base_Potencial, reveja o ranking; use a coluna "Ajuste manual" para forçar ("Incluir") ou bloquear ("Excluir") candidatos específicos.</t>
  </si>
  <si>
    <t xml:space="preserve">  Passo 3 — consulte 00_Painel, 07_Subindices e 08_Visualizacoes. Se o Excel não recalcular automaticamente, prima F9 (Ctrl+Alt+F9 para recálculo total).</t>
  </si>
  <si>
    <t>3. BASE DE INDICADORES POTENCIAIS</t>
  </si>
  <si>
    <t xml:space="preserve">  O catálogo reúne 331 candidatos, com séries anuais tal como extraídas das fontes: fontes nacionais anualizadas (BNA — estatísticas externas, monetárias e preços; INE — contas nacionais, demografia e emprego; IIMS 2023-24), Banco Mundial/WDI, FMI/WEO, OIT, OMS, UNCTAD, PNUD e benchmarks internacionais (CPI, WGI, IIAG, ND-GAIN, EPI, NRI, EGDI).</t>
  </si>
  <si>
    <t xml:space="preserve">  Regra de anualização das séries infra-anuais: stocks e taxas de referência = fim de período; inflação homóloga = Dezembro; inquéritos = ano de referência.</t>
  </si>
  <si>
    <t xml:space="preserve">  Indicadores duplicados (o mesmo conceito em fontes diferentes) partilham um "Grupo": só o melhor candidato de cada grupo pode entrar no índice — com bónus para a fonte nacional, que assim substitui a fonte internacional quando tem qualidade comparável.</t>
  </si>
  <si>
    <t>4. SELECÇÃO DE INDICADORES (RANKING)</t>
  </si>
  <si>
    <t xml:space="preserve">  Score Total = média ponderada de Relevância (prioridade no catálogo: Em uso=100, Alta=85, Média=55, Baixa=30), Completude (% de anos observados em 2015–2025) e Consistência (continuidade da série menos penalização de 10 pontos por ano de atraso face a 2025), mais o bónus de fonte nacional.</t>
  </si>
  <si>
    <t xml:space="preserve">  Elegibilidade: mínimo de 3 observações; cobertura ≥ limiar; última observação ≥ ano mínimo de recência; sentido direccional claro (+ ou −); limites min/max definidos.</t>
  </si>
  <si>
    <t xml:space="preserve">  Indicadores demasiado incompletos ou desactualizados são automaticamente ignorados — a coluna "Motivo de exclusão" documenta a razão.</t>
  </si>
  <si>
    <t xml:space="preserve">  No modo Automática entram os melhores N por dimensão; o "Ajuste manual" permite sobrepor a pré-selecção. No modo Manual entram apenas os marcados "Incluir".</t>
  </si>
  <si>
    <t>5. IMPUTAÇÃO DE DADOS (FLAGS)</t>
  </si>
  <si>
    <t xml:space="preserve">  OBS — valor observado na fonte.</t>
  </si>
  <si>
    <t xml:space="preserve">  EST_INTERP — lacuna interna ≤ limite (2 anos por defeito): interpolação linear entre os dois anos observados adjacentes.</t>
  </si>
  <si>
    <t xml:space="preserve">  EST_CARRY_FWD — fim de série sem observação: propagação do último valor (máx. 2 anos por defeito).</t>
  </si>
  <si>
    <t xml:space="preserve">  EST_CARRY_BWD — início de série: propagação retroactiva do primeiro valor (máx. 2 anos por defeito).</t>
  </si>
  <si>
    <t xml:space="preserve">  SEM_DADO — célula ignorada; o indicador não conta para o subíndice nesse ano.</t>
  </si>
  <si>
    <t xml:space="preserve">  Técnicas padrão em índices compósitos (IDH, WGI, GCI); todos os limites são parametrizáveis em 01_Criterios e cada célula estimada fica identificada em 05_Flags_Qualidade.</t>
  </si>
  <si>
    <t>6. NORMALIZAÇÃO</t>
  </si>
  <si>
    <t xml:space="preserve">  Min-Max para a escala 0–100 com limites fixos por indicador (benchmarks internacionais do catálogo; quando ausentes, derivados da amplitude histórica da série — ver coluna "Nota").</t>
  </si>
  <si>
    <t xml:space="preserve">  Sentido (+): score = (valor − mín) / (máx − mín) × 100.</t>
  </si>
  <si>
    <t xml:space="preserve">  Sentido (−): score = (máx − valor) / (máx − mín) × 100.</t>
  </si>
  <si>
    <t xml:space="preserve">  Scores truncados aos limites da escala.</t>
  </si>
  <si>
    <t>7. AGREGAÇÃO</t>
  </si>
  <si>
    <t xml:space="preserve">  Subíndice dimensional = média aritmética ponderada dos indicadores com score disponível, calculado apenas se a cobertura do ano cumprir o limiar (75% dos indicadores por defeito).</t>
  </si>
  <si>
    <t xml:space="preserve">  IGDA global = média geométrica ponderada dos subíndices das dimensões incluídas, calculada apenas com o nº mínimo de subíndices (4 por defeito). A média geométrica penaliza desequilíbrios entre dimensões.</t>
  </si>
  <si>
    <t>8. CLASSIFICAÇÃO</t>
  </si>
  <si>
    <t xml:space="preserve">  0–20 Muito Baixo · 20–40 Baixo · 40–60 Médio · 60–80 Elevado · 80–100 Muito Elevado.</t>
  </si>
  <si>
    <t>9. LIMITAÇÕES E NOTAS</t>
  </si>
  <si>
    <t xml:space="preserve">  O período está fixado em 2015–2025 nesta versão (colunas fixas).</t>
  </si>
  <si>
    <t xml:space="preserve">  Candidatos sem qualquer observação no período permanecem no catálogo como documentação (ex.: PIB não petrolífero, cobertura 4G, protecção social INSS), com o motivo de exclusão.</t>
  </si>
  <si>
    <t xml:space="preserve">  Algumas séries incluem estimativas oficiais para o último ano (2025).</t>
  </si>
  <si>
    <t xml:space="preserve">  Os pesos dos indicadores (coluna J da Base_Potencial) e das dimensões (01_Criterios) estão a 1 por defeito e podem ser ajustados.</t>
  </si>
  <si>
    <t xml:space="preserve">  Reprodutibilidade: o índice é gerado de forma reproduzível a partir do catálogo; qualquer alteração aos critérios ou aos dados recalcula todo o índice automaticamente.</t>
  </si>
  <si>
    <t>IGDA-BDA · Selecção Final</t>
  </si>
  <si>
    <t>FONTES E LIGAÇÕES</t>
  </si>
  <si>
    <t>Uma linha por indicador do catálogo. As fontes nacionais provêm de BNA/INE/IIMS.</t>
  </si>
  <si>
    <t>URL</t>
  </si>
  <si>
    <t>Origem no ficheiro</t>
  </si>
  <si>
    <t>https://www.worldbank.org/en/publication/worldwide-governance-indicators</t>
  </si>
  <si>
    <t>Transparency International</t>
  </si>
  <si>
    <t>https://www.transparency.org/en/countries/angola</t>
  </si>
  <si>
    <t>Transparency International CPI 2025</t>
  </si>
  <si>
    <t>https://iiag.online/</t>
  </si>
  <si>
    <t>https://data.worldbank.org/indicator/IC.FRM.BRIB.ZS?locations=AO</t>
  </si>
  <si>
    <t>https://data.worldbank.org/indicator/IC.FRM.CORR.ZS?locations=AO</t>
  </si>
  <si>
    <t>https://internationalbudget.org/open-budget-survey/</t>
  </si>
  <si>
    <t>https://www.enterprisesurveys.org/</t>
  </si>
  <si>
    <t>https://data.worldbank.org/indicator/IQ.SPI.OVRL?locations=AO</t>
  </si>
  <si>
    <t>https://data.worldbank.org/indicator/IQ.CPA.PROP.XQ?locations=AO</t>
  </si>
  <si>
    <t>https://data.worldbank.org/indicator/IQ.CPA.TRAN.XQ?locations=AO</t>
  </si>
  <si>
    <t>https://data.worldbank.org/indicator/IQ.CPA.PUBS.XQ?locations=AO</t>
  </si>
  <si>
    <t>https://data.worldbank.org/indicator/IQ.CPA.PADM.XQ?locations=AO</t>
  </si>
  <si>
    <t>https://data.worldbank.org/indicator/IQ.CPA.FINQ.XQ?locations=AO</t>
  </si>
  <si>
    <t>https://data.worldbank.org/indicator/IQ.CPA.REVN.XQ?locations=AO</t>
  </si>
  <si>
    <t>https://data.worldbank.org/indicator/VC.IHR.PSRC.P5?locations=AO</t>
  </si>
  <si>
    <t>https://data.worldbank.org/indicator/VC.BTL.DETH?locations=AO</t>
  </si>
  <si>
    <t>https://data.worldbank.org/indicator/FSI?locations=AO</t>
  </si>
  <si>
    <t>https://data.worldbank.org/indicator/RSF?locations=AO</t>
  </si>
  <si>
    <t>https://data.worldbank.org/indicator/LEGATUM_SCORE?locations=AO</t>
  </si>
  <si>
    <t>Sim</t>
  </si>
  <si>
    <t>https://data.worldbank.org/indicator/NY.GDP.MKTP.KD.ZG?locations=AO</t>
  </si>
  <si>
    <t>https://data.worldbank.org/indicator/NY.GDP.PCAP.CD?locations=AO</t>
  </si>
  <si>
    <t>https://data.worldbank.org/indicator/FP.CPI.TOTL.ZG?locations=AO</t>
  </si>
  <si>
    <t>https://data.worldbank.org/indicator/GC.DOD.TOTL.GD.ZS?locations=AO</t>
  </si>
  <si>
    <t>https://data.worldbank.org/indicator/GC.BAL.CASH.GD.ZS?locations=AO</t>
  </si>
  <si>
    <t>https://www.bna.ao/</t>
  </si>
  <si>
    <t>https://data.worldbank.org/indicator/FI.RES.TOTL.MO?locations=AO</t>
  </si>
  <si>
    <t>https://www.ine.gov.ao/publicacoes/detalhes/NDIzNTI%3D</t>
  </si>
  <si>
    <t>INE — Contas Nacionais Trimestrais</t>
  </si>
  <si>
    <t>NAT_INE_GDP_GROWTH; INE_CNT_Q5</t>
  </si>
  <si>
    <t>https://data.worldbank.org/indicator/NAT_BNA_DEBTPUB_GDP?locations=AO</t>
  </si>
  <si>
    <t>https://data.worldbank.org/indicator/NAT_INE_INVRATE?locations=AO</t>
  </si>
  <si>
    <t>https://data.worldbank.org/indicator/NAT_BNA_CAB_GDP?locations=AO</t>
  </si>
  <si>
    <t>https://data.worldbank.org/indicator/NAT_BNA_FDI_GDP?locations=AO</t>
  </si>
  <si>
    <t>https://data.worldbank.org/indicator/NAT_BNA_RES_MONTHS?locations=AO</t>
  </si>
  <si>
    <t>https://data.worldbank.org/indicator/BN.CAB.XOKA.GD.ZS?locations=AO</t>
  </si>
  <si>
    <t>https://data.worldbank.org/indicator/GC.TAX.TOTL.GD.ZS?locations=AO</t>
  </si>
  <si>
    <t>https://data.worldbank.org/indicator/BX.KLT.DINV.WD.GD.ZS?locations=AO</t>
  </si>
  <si>
    <t>https://data.worldbank.org/indicator/NY.GDP.PETR.RT.ZS?locations=AO</t>
  </si>
  <si>
    <t>https://data.worldbank.org/indicator/GGXWDG_NGDP?locations=AO</t>
  </si>
  <si>
    <t>https://data.worldbank.org/indicator/GGXCNL_NGDP?locations=AO</t>
  </si>
  <si>
    <t>https://data.worldbank.org/indicator/PA.NUS.FCRF?locations=AO</t>
  </si>
  <si>
    <t>https://data.worldbank.org/indicator/NAT_BNA_INFL_LUA?locations=AO</t>
  </si>
  <si>
    <t>https://data.worldbank.org/indicator/NAT_BNA_PIB_USD?locations=AO</t>
  </si>
  <si>
    <t>https://data.worldbank.org/indicator/NAT_INE_GDPPC_GROWTH?locations=AO</t>
  </si>
  <si>
    <t>https://data.worldbank.org/indicator/NAT_BNA_DEBTTOT_GDP?locations=AO</t>
  </si>
  <si>
    <t>https://data.worldbank.org/indicator/NAT_INE_NETFIN?locations=AO</t>
  </si>
  <si>
    <t>https://data.worldbank.org/indicator/NAT_INE_SAVRATE?locations=AO</t>
  </si>
  <si>
    <t>https://data.worldbank.org/indicator/NAT_BNA_EXP_GDP?locations=AO</t>
  </si>
  <si>
    <t>https://data.worldbank.org/indicator/NAT_BNA_RES_GDP?locations=AO</t>
  </si>
  <si>
    <t>https://data.worldbank.org/indicator/NAT_BNA_DEBTSERV_EXP?locations=AO</t>
  </si>
  <si>
    <t>https://data.worldbank.org/indicator/NAT_BNA_RES_USD?locations=AO</t>
  </si>
  <si>
    <t>https://data.worldbank.org/indicator/NAT_BNA_FX_AVG?locations=AO</t>
  </si>
  <si>
    <t>https://data.worldbank.org/indicator/NE.EXP.GNFS.ZS?locations=AO</t>
  </si>
  <si>
    <t>https://data.worldbank.org/indicator/FS.AST.PRVT.GD.ZS?locations=AO</t>
  </si>
  <si>
    <t>https://data.worldbank.org/indicator/GGR_NGDP?locations=AO</t>
  </si>
  <si>
    <t>https://data.worldbank.org/indicator/GGXONLB_NGDP?locations=AO</t>
  </si>
  <si>
    <t>https://data.worldbank.org/indicator/NGSD_NGDP?locations=AO</t>
  </si>
  <si>
    <t>https://data.worldbank.org/indicator/NID_NGDP?locations=AO</t>
  </si>
  <si>
    <t>https://data.worldbank.org/indicator/FR.INR.LEND?locations=AO</t>
  </si>
  <si>
    <t>https://data.worldbank.org/indicator/FM.LBL.BMNY.GD.ZS?locations=AO</t>
  </si>
  <si>
    <t>https://data.worldbank.org/indicator/NY.GDP.PCAP.PP.CD?locations=AO</t>
  </si>
  <si>
    <t>https://data.worldbank.org/indicator/NY.GNP.PCAP.PP.CD?locations=AO</t>
  </si>
  <si>
    <t>https://data.worldbank.org/indicator/GC.REV.XGRT.GD.ZS?locations=AO</t>
  </si>
  <si>
    <t>https://data.worldbank.org/indicator/DT.DOD.DECT.GN.ZS?locations=AO</t>
  </si>
  <si>
    <t>https://data.worldbank.org/indicator/FB.BNK.CAPA.ZS?locations=AO</t>
  </si>
  <si>
    <t>https://data.worldbank.org/indicator/FB.AST.NPER.ZS?locations=AO</t>
  </si>
  <si>
    <t>NAT_INE_GDP_DEFLATOR; INE_CNT_Q12_Q5</t>
  </si>
  <si>
    <t>https://data.worldbank.org/indicator/NAT_BNA_IMP_GDP?locations=AO</t>
  </si>
  <si>
    <t>https://data.worldbank.org/indicator/NAT_BNA_EXPIMP?locations=AO</t>
  </si>
  <si>
    <t>https://data.worldbank.org/indicator/GGX_NGDP?locations=AO</t>
  </si>
  <si>
    <t>https://data.worldbank.org/indicator/FR.INR.RINR?locations=AO</t>
  </si>
  <si>
    <t>https://data.worldbank.org/indicator/GC.XPN.TOTL.GD.ZS?locations=AO</t>
  </si>
  <si>
    <t>https://data.worldbank.org/indicator/TG.VAL.TOTL.GD.ZS?locations=AO</t>
  </si>
  <si>
    <t>https://data.worldbank.org/indicator/NE.TRD.GNFS.ZS?locations=AO</t>
  </si>
  <si>
    <t>https://data.worldbank.org/indicator/BX.KLT.DINV.CD.WD?locations=AO</t>
  </si>
  <si>
    <t>https://data.worldbank.org/indicator/SP.DYN.LE00.IN?locations=AO</t>
  </si>
  <si>
    <t>https://data.worldbank.org/indicator/SE.ADT.LITR.ZS?locations=AO</t>
  </si>
  <si>
    <t>https://data.worldbank.org/indicator/SP.DYN.IMRT.IN?locations=AO</t>
  </si>
  <si>
    <t>https://data.worldbank.org/indicator/SE.PRM.NENR?locations=AO</t>
  </si>
  <si>
    <t>https://hdr.undp.org/data-center</t>
  </si>
  <si>
    <t>https://data.worldbank.org/indicator/NAT_IIMS_U5MR?locations=AO</t>
  </si>
  <si>
    <t>https://data.worldbank.org/indicator/SE.PRM.CMPT.ZS?locations=AO</t>
  </si>
  <si>
    <t>https://data.worldbank.org/indicator/SE.SEC.ENRR?locations=AO</t>
  </si>
  <si>
    <t>https://data.worldbank.org/indicator/SE.ADT.1524.LT.ZS?locations=AO</t>
  </si>
  <si>
    <t>https://data.worldbank.org/indicator/SE.PRM.UNER.ZS?locations=AO</t>
  </si>
  <si>
    <t>https://data.worldbank.org/indicator/SH.DYN.NMRT?locations=AO</t>
  </si>
  <si>
    <t>https://data.worldbank.org/indicator/NAT_IIMS_NEONATAL?locations=AO</t>
  </si>
  <si>
    <t>https://data.worldbank.org/indicator/SE.TER.ENRR?locations=AO</t>
  </si>
  <si>
    <t>https://data.worldbank.org/indicator/SE.XPD.TOTL.GD.ZS?locations=AO</t>
  </si>
  <si>
    <t>https://data.worldbank.org/indicator/SE.PRM.ENRL.TC.ZS?locations=AO</t>
  </si>
  <si>
    <t>https://data.worldbank.org/indicator/SE.ADT.LITR.FE.ZS?locations=AO</t>
  </si>
  <si>
    <t>https://data.worldbank.org/indicator/SE.SEC.UNER.LO.ZS?locations=AO</t>
  </si>
  <si>
    <t>https://data.worldbank.org/indicator/SE.SEC.CMPT.LO.ZS?locations=AO</t>
  </si>
  <si>
    <t>https://data.worldbank.org/indicator/SE.PRM.TCAQ.ZS?locations=AO</t>
  </si>
  <si>
    <t>https://data.worldbank.org/indicator/SE.SEC.ENRL.TC.ZS?locations=AO</t>
  </si>
  <si>
    <t>https://www.who.int/data/gho</t>
  </si>
  <si>
    <t>https://data.worldbank.org/indicator/SE.TER.CUAT.BA.ZS?locations=AO</t>
  </si>
  <si>
    <t>https://data.worldbank.org/indicator/SE.ADT.LITR.MA.ZS?locations=AO</t>
  </si>
  <si>
    <t>https://data.worldbank.org/indicator/SE.LPV.PRIM?locations=AO</t>
  </si>
  <si>
    <t>https://data.worldbank.org/indicator/HD.HCI.OVRL?locations=AO</t>
  </si>
  <si>
    <t>https://data.worldbank.org/indicator/SE.COM.DURS?locations=AO</t>
  </si>
  <si>
    <t>https://data.worldbank.org/indicator/SI.POV.DDAY?locations=AO</t>
  </si>
  <si>
    <t>https://data.worldbank.org/indicator/NY.GNP.PCAP.CD?locations=AO</t>
  </si>
  <si>
    <t>https://data.worldbank.org/indicator/SI.POV.GINI?locations=AO</t>
  </si>
  <si>
    <t>https://www.ine.gov.ao/</t>
  </si>
  <si>
    <t>https://data.worldbank.org/indicator/SI.POV.NAHC?locations=AO</t>
  </si>
  <si>
    <t>https://data.worldbank.org/indicator/per_allsp.cov_pop_tot?locations=AO</t>
  </si>
  <si>
    <t>https://data.worldbank.org/indicator/per_sa_allsa.cov_q1_tot?locations=AO</t>
  </si>
  <si>
    <t>https://data.worldbank.org/indicator/SI.POV.MPWB?locations=AO</t>
  </si>
  <si>
    <t>https://data.worldbank.org/indicator/FX.OWN.TOTL.ZS?locations=AO</t>
  </si>
  <si>
    <t>https://data.worldbank.org/indicator/FX.OWN.TOTL.FE.ZS?locations=AO</t>
  </si>
  <si>
    <t>https://data.worldbank.org/indicator/FX.OWN.TOTL.40.ZS?locations=AO</t>
  </si>
  <si>
    <t>https://data.worldbank.org/indicator/GGGI?locations=AO</t>
  </si>
  <si>
    <t>https://data.worldbank.org/indicator/SL.UEM.NEET.ZS?locations=AO</t>
  </si>
  <si>
    <t>https://data.worldbank.org/indicator/SI.DST.FRST.20?locations=AO</t>
  </si>
  <si>
    <t>https://data.worldbank.org/indicator/SI.POV.MPUN?locations=AO</t>
  </si>
  <si>
    <t>https://data.worldbank.org/indicator/SP.REG.BRTH.ZS?locations=AO</t>
  </si>
  <si>
    <t>https://data.worldbank.org/indicator/per_si_allsi.cov_q1_tot?locations=AO</t>
  </si>
  <si>
    <t>https://data.worldbank.org/indicator/SP.REG.BRTH.RU.ZS?locations=AO</t>
  </si>
  <si>
    <t>https://data.worldbank.org/indicator/SI.DST.10TH.10?locations=AO</t>
  </si>
  <si>
    <t>https://data.worldbank.org/indicator/SI.POV.LMIC?locations=AO</t>
  </si>
  <si>
    <t>https://data.worldbank.org/indicator/SI.POV.UMIC?locations=AO</t>
  </si>
  <si>
    <t>https://data.worldbank.org/indicator/SI.POV.GAPS?locations=AO</t>
  </si>
  <si>
    <t>https://data.worldbank.org/indicator/SL.TLF.CACT.FE.ZS?locations=AO</t>
  </si>
  <si>
    <t>https://data.worldbank.org/indicator/SG.GEN.PARL.ZS?locations=AO</t>
  </si>
  <si>
    <t>https://data.worldbank.org/indicator/SH.H2O.BASW.ZS?locations=AO</t>
  </si>
  <si>
    <t>https://data.worldbank.org/indicator/SH.STA.BASS.ZS?locations=AO</t>
  </si>
  <si>
    <t>https://data.worldbank.org/indicator/EG.ELC.ACCS.ZS?locations=AO</t>
  </si>
  <si>
    <t>https://data.worldbank.org/indicator/IS.ROD.DNST.K2?locations=AO</t>
  </si>
  <si>
    <t>https://data.worldbank.org/indicator/NAT_IIMS_SANITATION?locations=AO</t>
  </si>
  <si>
    <t>https://data.worldbank.org/indicator/NAT_IIMS_WATER?locations=AO</t>
  </si>
  <si>
    <t>https://data.worldbank.org/indicator/IT.NET.USER.ZS?locations=AO</t>
  </si>
  <si>
    <t>https://data.worldbank.org/indicator/IT.CEL.SETS.P2?locations=AO</t>
  </si>
  <si>
    <t>https://data.worldbank.org/indicator/EG.CFT.ACCS.ZS?locations=AO</t>
  </si>
  <si>
    <t>https://data.worldbank.org/indicator/NAT_IIMS_OPENDEF?locations=AO</t>
  </si>
  <si>
    <t>https://data.worldbank.org/indicator/EG.ELC.ACCS.RU.ZS?locations=AO</t>
  </si>
  <si>
    <t>https://data.worldbank.org/indicator/EG.ELC.LOSS.ZS?locations=AO</t>
  </si>
  <si>
    <t>https://data.worldbank.org/indicator/IT.NET.BBND.P2?locations=AO</t>
  </si>
  <si>
    <t>https://data.worldbank.org/indicator/IS.ROD.PAVE.ZS?locations=AO</t>
  </si>
  <si>
    <t>https://data.worldbank.org/indicator/EG.ELC.ACCS.UR.ZS?locations=AO</t>
  </si>
  <si>
    <t>https://data.worldbank.org/indicator/EG.ELC.RNEW.ZS?locations=AO</t>
  </si>
  <si>
    <t>https://data.worldbank.org/indicator/SH.H2O.BASW.RU.ZS?locations=AO</t>
  </si>
  <si>
    <t>https://data.worldbank.org/indicator/SH.H2O.BASW.UR.ZS?locations=AO</t>
  </si>
  <si>
    <t>https://data.worldbank.org/indicator/SH.STA.BASS.RU.ZS?locations=AO</t>
  </si>
  <si>
    <t>https://data.worldbank.org/indicator/SH.STA.BASS.UR.ZS?locations=AO</t>
  </si>
  <si>
    <t>https://data.worldbank.org/indicator/EG.CFT.ACCS.RU.ZS?locations=AO</t>
  </si>
  <si>
    <t>https://data.worldbank.org/indicator/EG.CFT.ACCS.UR.ZS?locations=AO</t>
  </si>
  <si>
    <t>https://data.worldbank.org/indicator/IS.SHP.GOOD.TU?locations=AO</t>
  </si>
  <si>
    <t>https://data.worldbank.org/indicator/LP.LPI.OVRL.XQ?locations=AO</t>
  </si>
  <si>
    <t>https://data.worldbank.org/indicator/EG.ELC.HYRO.ZS?locations=AO</t>
  </si>
  <si>
    <t>https://data.worldbank.org/indicator/IS.AIR.PSGR?locations=AO</t>
  </si>
  <si>
    <t>https://data.worldbank.org/indicator/IS.AIR.GOOD.MT.K1?locations=AO</t>
  </si>
  <si>
    <t>https://data.worldbank.org/indicator/IE.PPI.TRAN.CD?locations=AO</t>
  </si>
  <si>
    <t>https://data.worldbank.org/indicator/EG.USE.ELEC.KH.PC?locations=AO</t>
  </si>
  <si>
    <t>https://data.worldbank.org/indicator/IT.MLT.MAIN.P2?locations=AO</t>
  </si>
  <si>
    <t>https://data.worldbank.org/indicator/SL.EMP.TOTL.SP.ZS?locations=AO</t>
  </si>
  <si>
    <t>https://data.worldbank.org/indicator/SL.UEM.TOTL.ZS?locations=AO</t>
  </si>
  <si>
    <t>https://data.worldbank.org/indicator/SL.UEM.1524.ZS?locations=AO</t>
  </si>
  <si>
    <t>https://data.worldbank.org/indicator/SL.UEM.TOTL.NE.ZS?locations=AO</t>
  </si>
  <si>
    <t>https://ilostat.ilo.org/data/</t>
  </si>
  <si>
    <t>https://data.worldbank.org/indicator/SL.TLF.CACT.ZS?locations=AO</t>
  </si>
  <si>
    <t>https://data.worldbank.org/indicator/SL.EMP.VULN.ZS?locations=AO</t>
  </si>
  <si>
    <t>https://data.worldbank.org/indicator/SL.EMP.WORK.ZS?locations=AO</t>
  </si>
  <si>
    <t>https://data.worldbank.org/indicator/SL.GDP.PCAP.EM.KD?locations=AO</t>
  </si>
  <si>
    <t>https://data.worldbank.org/indicator/SL.AGR.EMPL.ZS?locations=AO</t>
  </si>
  <si>
    <t>https://data.worldbank.org/indicator/SL.IND.EMPL.ZS?locations=AO</t>
  </si>
  <si>
    <t>https://data.worldbank.org/indicator/SL.SRV.EMPL.ZS?locations=AO</t>
  </si>
  <si>
    <t>https://data.worldbank.org/indicator/SL.TLF.CACT.MA.ZS?locations=AO</t>
  </si>
  <si>
    <t>https://data.worldbank.org/indicator/SL.UEM.TOTL.FE.ZS?locations=AO</t>
  </si>
  <si>
    <t>https://data.worldbank.org/indicator/SL.UEM.TOTL.MA.ZS?locations=AO</t>
  </si>
  <si>
    <t>https://data.worldbank.org/indicator/SL.UEM.1524.FE.ZS?locations=AO</t>
  </si>
  <si>
    <t>https://data.worldbank.org/indicator/SL.UEM.1524.MA.ZS?locations=AO</t>
  </si>
  <si>
    <t>https://data.worldbank.org/indicator/SL.EMP.VULN.FE.ZS?locations=AO</t>
  </si>
  <si>
    <t>https://data.worldbank.org/indicator/SL.EMP.WORK.FE.ZS?locations=AO</t>
  </si>
  <si>
    <t>https://data.worldbank.org/indicator/NAT_INE_WAGE_GDP?locations=AO</t>
  </si>
  <si>
    <t>https://data.worldbank.org/indicator/SN.ITK.DEFC.ZS?locations=AO</t>
  </si>
  <si>
    <t>https://data.worldbank.org/indicator/SH.STA.MMRT?locations=AO</t>
  </si>
  <si>
    <t>https://data.worldbank.org/indicator/SH.XPD.CHEX.GD.ZS?locations=AO</t>
  </si>
  <si>
    <t>https://data.worldbank.org/indicator/SH.MED.BEDS.ZS?locations=AO</t>
  </si>
  <si>
    <t>https://data.worldbank.org/indicator/SH.IMM.MEAS?locations=AO</t>
  </si>
  <si>
    <t>https://data.worldbank.org/indicator/NAT_IIMS_MMR?locations=AO</t>
  </si>
  <si>
    <t>https://data.worldbank.org/indicator/SN.ITK.SVFI.ZS?locations=AO</t>
  </si>
  <si>
    <t>https://data.worldbank.org/indicator/SH.XPD.OOPC.CH.ZS?locations=AO</t>
  </si>
  <si>
    <t>https://data.worldbank.org/indicator/SN.ITK.MSFI.ZS?locations=AO</t>
  </si>
  <si>
    <t>https://data.worldbank.org/indicator/SH.MLR.INCD.P3?locations=AO</t>
  </si>
  <si>
    <t>https://data.worldbank.org/indicator/SH.STA.BRTC.ZS?locations=AO</t>
  </si>
  <si>
    <t>https://data.worldbank.org/indicator/SH.DYN.MORT?locations=AO</t>
  </si>
  <si>
    <t>https://data.worldbank.org/indicator/SH.IMM.IDPT?locations=AO</t>
  </si>
  <si>
    <t>https://data.worldbank.org/indicator/NAT_IIMS_STUNTING_SEV?locations=AO</t>
  </si>
  <si>
    <t>https://data.worldbank.org/indicator/SH.STA.STNT.ZS?locations=AO</t>
  </si>
  <si>
    <t>https://data.worldbank.org/indicator/SH.STA.WAST.ZS?locations=AO</t>
  </si>
  <si>
    <t>https://data.worldbank.org/indicator/SH.MED.PHYS.ZS?locations=AO</t>
  </si>
  <si>
    <t>https://data.worldbank.org/indicator/AG.YLD.CREL.KG?locations=AO</t>
  </si>
  <si>
    <t>https://data.worldbank.org/indicator/SH.XPD.GHED.GD.ZS?locations=AO</t>
  </si>
  <si>
    <t>https://data.worldbank.org/indicator/SH.IMM.HEPB?locations=AO</t>
  </si>
  <si>
    <t>https://data.worldbank.org/indicator/SH.TBS.INCD?locations=AO</t>
  </si>
  <si>
    <t>https://data.worldbank.org/indicator/SH.TBS.CURE.ZS?locations=AO</t>
  </si>
  <si>
    <t>https://data.worldbank.org/indicator/SH.HIV.INCD.ZS?locations=AO</t>
  </si>
  <si>
    <t>https://data.worldbank.org/indicator/AG.PRD.CROP.XD?locations=AO</t>
  </si>
  <si>
    <t>https://data.worldbank.org/indicator/AG.PRD.LVSK.XD?locations=AO</t>
  </si>
  <si>
    <t>https://data.worldbank.org/indicator/SH.DYN.AIDS.ZS?locations=AO</t>
  </si>
  <si>
    <t>https://data.worldbank.org/indicator/SH.STA.MALN.ZS?locations=AO</t>
  </si>
  <si>
    <t>https://data.worldbank.org/indicator/SP.DYN.CONU.ZS?locations=AO</t>
  </si>
  <si>
    <t>https://data.worldbank.org/indicator/SH.XPD.CHEX.PC.CD?locations=AO</t>
  </si>
  <si>
    <t>https://data.worldbank.org/indicator/SH.STA.ANVC.ZS?locations=AO</t>
  </si>
  <si>
    <t>https://data.worldbank.org/indicator/AG.PRD.FOOD.XD?locations=AO</t>
  </si>
  <si>
    <t>https://data.worldbank.org/indicator/SH_UHC_SCI?locations=AO</t>
  </si>
  <si>
    <t>https://data.worldbank.org/indicator/SH.STA.SUIC.P5?locations=AO</t>
  </si>
  <si>
    <t>https://unctadstat.unctad.org/</t>
  </si>
  <si>
    <t>https://data.worldbank.org/indicator/NY.GDP.TOTL.RT.ZS?locations=AO</t>
  </si>
  <si>
    <t>https://data.worldbank.org/indicator/NV.IND.MANF.ZS?locations=AO</t>
  </si>
  <si>
    <t>https://data.worldbank.org/indicator/TX.VAL.FUEL.ZS.UN?locations=AO</t>
  </si>
  <si>
    <t>https://data.worldbank.org/indicator/TX.VAL.MANF.ZS.UN?locations=AO</t>
  </si>
  <si>
    <t>https://data.worldbank.org/indicator/NE.GDI.FTOT.ZS?locations=AO</t>
  </si>
  <si>
    <t>https://data.worldbank.org/indicator/NV.AGR.TOTL.ZS?locations=AO</t>
  </si>
  <si>
    <t>https://data.worldbank.org/indicator/NV.SRV.TOTL.ZS?locations=AO</t>
  </si>
  <si>
    <t>https://data.worldbank.org/indicator/TX.VAL.TECH.MF.ZS?locations=AO</t>
  </si>
  <si>
    <t>https://data.worldbank.org/indicator/IC.BUS.NDNS.ZS?locations=AO</t>
  </si>
  <si>
    <t>https://data.worldbank.org/indicator/NV.IND.TOTL.ZS?locations=AO</t>
  </si>
  <si>
    <t>https://data.worldbank.org/indicator/NV.MNF.TECH.ZS.UN?locations=AO</t>
  </si>
  <si>
    <t>https://data.worldbank.org/indicator/TX.VAL.AGRI.ZS.UN?locations=AO</t>
  </si>
  <si>
    <t>https://gain.nd.edu/our-work/country-index/</t>
  </si>
  <si>
    <t>https://data.worldbank.org/indicator/EN.ATM.PM25.MC.M3?locations=AO</t>
  </si>
  <si>
    <t>https://data.worldbank.org/indicator/ER.H2O.FWST.ZS?locations=AO</t>
  </si>
  <si>
    <t>https://data.worldbank.org/indicator/NY.ADJ.SVNG.GN.ZS?locations=AO</t>
  </si>
  <si>
    <t>https://data.worldbank.org/indicator/NY.ADJ.DRES.GN.ZS?locations=AO</t>
  </si>
  <si>
    <t>https://epi.yale.edu/</t>
  </si>
  <si>
    <t>https://data.worldbank.org/indicator/EN.GHG.CO2.PC.CE.AR5?locations=AO</t>
  </si>
  <si>
    <t>https://data.worldbank.org/indicator/EN.GHG.ALL.PC.CE.AR5?locations=AO</t>
  </si>
  <si>
    <t>https://data.worldbank.org/indicator/EG.FEC.RNEW.ZS?locations=AO</t>
  </si>
  <si>
    <t>https://data.worldbank.org/indicator/ER.PTD.TOTL.ZS?locations=AO</t>
  </si>
  <si>
    <t>https://data.worldbank.org/indicator/AG.LND.FRST.ZS?locations=AO</t>
  </si>
  <si>
    <t>https://data.worldbank.org/indicator/NY.ADJ.DNGY.GN.ZS?locations=AO</t>
  </si>
  <si>
    <t>https://data.worldbank.org/indicator/EN.CLC.MDAT.ZS?locations=AO</t>
  </si>
  <si>
    <t>https://data.worldbank.org/indicator/IQ.CPA.ENVR.XQ?locations=AO</t>
  </si>
  <si>
    <t>https://data.worldbank.org/indicator/NDGAIN_READY?locations=AO</t>
  </si>
  <si>
    <t>https://data.worldbank.org/indicator/ER.H2O.FWTL.ZS?locations=AO</t>
  </si>
  <si>
    <t>https://data.worldbank.org/indicator/SH.STA.ODFC.ZS?locations=AO</t>
  </si>
  <si>
    <t>https://data.worldbank.org/indicator/EN.GHG.ALL.MT.CE.AR5?locations=AO</t>
  </si>
  <si>
    <t>https://data.worldbank.org/indicator/ER.H2O.INTR.PC?locations=AO</t>
  </si>
  <si>
    <t>https://data.worldbank.org/indicator/AG.LND.FRST.K2?locations=AO</t>
  </si>
  <si>
    <t>https://data.worldbank.org/indicator/EN.GHG.CO2.MT.CE.AR5?locations=AO</t>
  </si>
  <si>
    <t>https://data.worldbank.org/indicator/AG.LND.AGRI.ZS?locations=AO</t>
  </si>
  <si>
    <t>https://data.worldbank.org/indicator/NAT_INE_URBAN?locations=AO</t>
  </si>
  <si>
    <t>https://data.worldbank.org/indicator/SP.POP.TOTL?locations=AO</t>
  </si>
  <si>
    <t>https://data.worldbank.org/indicator/SP.POP.GROW?locations=AO</t>
  </si>
  <si>
    <t>https://data.worldbank.org/indicator/SP.URB.TOTL.IN.ZS?locations=AO</t>
  </si>
  <si>
    <t>https://data.worldbank.org/indicator/SP.POP.DPND?locations=AO</t>
  </si>
  <si>
    <t>https://data.worldbank.org/indicator/SP.DYN.TFRT.IN?locations=AO</t>
  </si>
  <si>
    <t>https://data.worldbank.org/indicator/SP.ADO.TFRT?locations=AO</t>
  </si>
  <si>
    <t>https://data.worldbank.org/indicator/EN.POP.SLUM.UR.ZS?locations=AO</t>
  </si>
  <si>
    <t>https://data.worldbank.org/indicator/NAT_INE_LUANDA_GDPSHARE?locations=AO</t>
  </si>
  <si>
    <t>https://data.worldbank.org/indicator/NAT_IIMS_TFR?locations=AO</t>
  </si>
  <si>
    <t>https://data.worldbank.org/indicator/SP.RUR.TOTL.ZS?locations=AO</t>
  </si>
  <si>
    <t>https://data.worldbank.org/indicator/EN.POP.DNST?locations=AO</t>
  </si>
  <si>
    <t>https://data.worldbank.org/indicator/SP.POP.DPND.YG?locations=AO</t>
  </si>
  <si>
    <t>https://data.worldbank.org/indicator/SM.POP.NETM?locations=AO</t>
  </si>
  <si>
    <t>https://data.worldbank.org/indicator/SP.URB.GROW?locations=AO</t>
  </si>
  <si>
    <t>https://data.worldbank.org/indicator/SP.POP.DPND.OL?locations=AO</t>
  </si>
  <si>
    <t>https://data.worldbank.org/indicator/SM.POP.RHCR.EO?locations=AO</t>
  </si>
  <si>
    <t>https://data.worldbank.org/indicator/SM.POP.RHCR.EA?locations=AO</t>
  </si>
  <si>
    <t>https://data.worldbank.org/indicator/SP.DYN.CBRT.IN?locations=AO</t>
  </si>
  <si>
    <t>https://data.worldbank.org/indicator/SP.DYN.CDRT.IN?locations=AO</t>
  </si>
  <si>
    <t>https://networkreadinessindex.org/</t>
  </si>
  <si>
    <t>https://publicadministration.un.org/egovkb/</t>
  </si>
  <si>
    <t>https://data.worldbank.org/indicator/IT.NET.USER.FE.ZS?locations=AO</t>
  </si>
  <si>
    <t>https://www.worldbank.org/en/programs/govtech/gtmi</t>
  </si>
  <si>
    <t>https://data.worldbank.org/indicator/IT.NET.USER.MA.ZS?locations=AO</t>
  </si>
  <si>
    <t>https://data.worldbank.org/indicator/IT.NET.SECR.P6?locations=AO</t>
  </si>
  <si>
    <t>https://data.worldbank.org/indicator/FX.OWN.TOTL.YG.ZS?locations=AO</t>
  </si>
  <si>
    <t>https://data.worldbank.org/indicator/BX.GSR.CCIS.ZS?locations=AO</t>
  </si>
  <si>
    <t>https://data.worldbank.org/indicator/GB.XPD.RSDV.GD.ZS?locations=AO</t>
  </si>
  <si>
    <t>https://data.worldbank.org/indicator/SP.POP.SCIE.RD.P6?locations=AO</t>
  </si>
  <si>
    <t>https://data.worldbank.org/indicator/EPART?locations=AO</t>
  </si>
  <si>
    <t>https://data.worldbank.org/indicator/TX.VAL.ICTG.ZS.UN?locations=AO</t>
  </si>
  <si>
    <t>https://data.worldbank.org/indicator/IP.PAT.RESD?locations=AO</t>
  </si>
  <si>
    <t>https://data.worldbank.org/indicator/IP.TMK.RSCT?locations=AO</t>
  </si>
  <si>
    <t>https://data.worldbank.org/indicator/TX.VAL.TECH.CD?locations=AO</t>
  </si>
  <si>
    <t>https://data.worldbank.org/indicator/IP.JRN.ARTC.SC?locations=AO</t>
  </si>
  <si>
    <t>Folha auxiliar do motor de imputação (não editar): índice do último ano observado anterior (B:L), do primeiro posterior (N:X), e respectivos valores (Z:AJ, AL:AV).</t>
  </si>
  <si>
    <t>Prev idx 2015</t>
  </si>
  <si>
    <t>Prev idx 2016</t>
  </si>
  <si>
    <t>Prev idx 2017</t>
  </si>
  <si>
    <t>Prev idx 2018</t>
  </si>
  <si>
    <t>Prev idx 2019</t>
  </si>
  <si>
    <t>Prev idx 2020</t>
  </si>
  <si>
    <t>Prev idx 2021</t>
  </si>
  <si>
    <t>Prev idx 2022</t>
  </si>
  <si>
    <t>Prev idx 2023</t>
  </si>
  <si>
    <t>Prev idx 2024</t>
  </si>
  <si>
    <t>Prev idx 2025</t>
  </si>
  <si>
    <t>Next idx 2015</t>
  </si>
  <si>
    <t>Next idx 2016</t>
  </si>
  <si>
    <t>Next idx 2017</t>
  </si>
  <si>
    <t>Next idx 2018</t>
  </si>
  <si>
    <t>Next idx 2019</t>
  </si>
  <si>
    <t>Next idx 2020</t>
  </si>
  <si>
    <t>Next idx 2021</t>
  </si>
  <si>
    <t>Next idx 2022</t>
  </si>
  <si>
    <t>Next idx 2023</t>
  </si>
  <si>
    <t>Next idx 2024</t>
  </si>
  <si>
    <t>Next idx 2025</t>
  </si>
  <si>
    <t>Prev val 2015</t>
  </si>
  <si>
    <t>Prev val 2016</t>
  </si>
  <si>
    <t>Prev val 2017</t>
  </si>
  <si>
    <t>Prev val 2018</t>
  </si>
  <si>
    <t>Prev val 2019</t>
  </si>
  <si>
    <t>Prev val 2020</t>
  </si>
  <si>
    <t>Prev val 2021</t>
  </si>
  <si>
    <t>Prev val 2022</t>
  </si>
  <si>
    <t>Prev val 2023</t>
  </si>
  <si>
    <t>Prev val 2024</t>
  </si>
  <si>
    <t>Prev val 2025</t>
  </si>
  <si>
    <t>Next val 2015</t>
  </si>
  <si>
    <t>Next val 2016</t>
  </si>
  <si>
    <t>Next val 2017</t>
  </si>
  <si>
    <t>Next val 2018</t>
  </si>
  <si>
    <t>Next val 2019</t>
  </si>
  <si>
    <t>Next val 2020</t>
  </si>
  <si>
    <t>Next val 2021</t>
  </si>
  <si>
    <t>Next val 2022</t>
  </si>
  <si>
    <t>Next val 2023</t>
  </si>
  <si>
    <t>Next val 2024</t>
  </si>
  <si>
    <t>Next val 2025</t>
  </si>
  <si>
    <t>Norm 0-fill 2015</t>
  </si>
  <si>
    <t>Norm 0-fill 2016</t>
  </si>
  <si>
    <t>Norm 0-fill 2017</t>
  </si>
  <si>
    <t>Norm 0-fill 2018</t>
  </si>
  <si>
    <t>Norm 0-fill 2019</t>
  </si>
  <si>
    <t>Norm 0-fill 2020</t>
  </si>
  <si>
    <t>Norm 0-fill 2021</t>
  </si>
  <si>
    <t>Norm 0-fill 2022</t>
  </si>
  <si>
    <t>Norm 0-fill 2023</t>
  </si>
  <si>
    <t>Norm 0-fill 2024</t>
  </si>
  <si>
    <t>Norm 0-fill 2025</t>
  </si>
  <si>
    <t>Norm presente 2015</t>
  </si>
  <si>
    <t>Norm presente 2016</t>
  </si>
  <si>
    <t>Norm presente 2017</t>
  </si>
  <si>
    <t>Norm presente 2018</t>
  </si>
  <si>
    <t>Norm presente 2019</t>
  </si>
  <si>
    <t>Norm presente 2020</t>
  </si>
  <si>
    <t>Norm presente 2021</t>
  </si>
  <si>
    <t>Norm presente 2022</t>
  </si>
  <si>
    <t>Norm presente 2023</t>
  </si>
  <si>
    <t>Norm presente 2024</t>
  </si>
  <si>
    <t>Norm presente 2025</t>
  </si>
  <si>
    <t>Blocos do IGDA por dimensão: LN(score)·peso (B:L), peso presente (N:X), contagem (Z:AJ), não-positivos (AL:AV).</t>
  </si>
  <si>
    <t xml:space="preserve">Fronteiras normativas: minimo 0 (piso natural de uma contagem) e tecto operacional de 1.500.000 TEU, calibrado pela ordem de grandeza regional. Substitui limites derivados da amplitude historica (v6).</t>
  </si>
  <si>
    <t xml:space="preserve">Fronteiras normativas: intervalo natural de uma percentagem truncado a 50%, coerente com LAB002 (Taxa de Desemprego). Substitui limites derivados da amplitude historica (v6).</t>
  </si>
  <si>
    <t xml:space="preserve">Fronteiras normativas: minimo 0 (piso natural de variavel monetaria) e tecto operacional de 25.000 USD constantes 2015, patamar de produtividade de economias de rendimento medio-alto. Substitui limites derivados da amplitude historica (v6).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</si>
</sst>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0.0;0.0"/>
  </numFmts>
  <fonts count="16">
    <font>
      <sz val="11"/>
      <color theme="1"/>
      <name val="Calibri"/>
      <family val="2"/>
      <scheme val="minor"/>
    </font>
    <font>
      <u/>
      <sz val="11"/>
      <color rgb="FF0563C1"/>
      <name val="Calibri"/>
      <family val="2"/>
    </font>
    <font>
      <b/>
      <sz val="18"/>
      <color rgb="FF1F4E5F"/>
      <name val="Calibri"/>
      <family val="2"/>
    </font>
    <font>
      <i/>
      <sz val="10"/>
      <color rgb="FF808080"/>
      <name val="Calibri"/>
      <family val="2"/>
    </font>
    <font>
      <b/>
      <sz val="12"/>
      <color rgb="FFFFFFFF"/>
      <name val="Calibri"/>
      <family val="2"/>
    </font>
    <font>
      <b/>
      <sz val="10"/>
      <color rgb="FFFFFFFF"/>
      <name val="Calibri"/>
      <family val="2"/>
    </font>
    <font>
      <i/>
      <sz val="9"/>
      <color rgb="FF808080"/>
      <name val="Calibri"/>
      <family val="2"/>
    </font>
    <font>
      <sz val="9"/>
      <name val="Calibri"/>
      <family val="2"/>
    </font>
    <font>
      <b/>
      <sz val="11"/>
      <name val="Calibri"/>
      <family val="2"/>
    </font>
    <font>
      <b/>
      <sz val="12"/>
      <color rgb="FF1F4E5F"/>
      <name val="Calibri"/>
      <family val="2"/>
    </font>
    <font>
      <b/>
      <sz val="22"/>
      <color rgb="FF1F4E5F"/>
      <name val="Calibri"/>
      <family val="2"/>
    </font>
    <font>
      <sz val="9"/>
      <color rgb="FF808080"/>
      <name val="Calibri"/>
      <family val="2"/>
    </font>
    <font>
      <b/>
      <sz val="14"/>
      <color rgb="FF1F4E5F"/>
      <name val="Calibri"/>
      <family val="2"/>
    </font>
    <font>
      <b/>
      <sz val="14"/>
      <color rgb="FF2E6E81"/>
      <name val="Calibri"/>
      <family val="2"/>
    </font>
    <font>
      <sz val="10"/>
      <name val="Calibri"/>
      <family val="2"/>
    </font>
    <font>
      <sz val="12"/>
      <color theme="10"/>
      <name val="Calibri"/>
      <family val="2"/>
      <scheme val="minor"/>
    </font>
  </fonts>
  <fills count="9">
    <fill>
      <patternFill patternType="none"/>
    </fill>
    <fill>
      <patternFill patternType="gray125"/>
    </fill>
    <fill>
      <patternFill patternType="solid">
        <fgColor rgb="FF2E6E81"/>
      </patternFill>
    </fill>
    <fill>
      <patternFill patternType="solid">
        <fgColor rgb="FF1F4E5F"/>
      </patternFill>
    </fill>
    <fill>
      <patternFill patternType="solid">
        <fgColor rgb="FFFFF2CC"/>
      </patternFill>
    </fill>
    <fill>
      <patternFill patternType="solid">
        <fgColor rgb="FFF2F5F7"/>
      </patternFill>
    </fill>
    <fill>
      <patternFill patternType="solid">
        <fgColor rgb="FFEAF1F4"/>
      </patternFill>
    </fill>
    <fill>
      <patternFill patternType="solid">
        <fgColor rgb="FFE7EDF0"/>
      </patternFill>
    </fill>
    <fill>
      <patternFill patternType="solid">
        <fgColor rgb="FFFFFF00"/>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2">
    <xf numFmtId="0" fontId="0" fillId="0" borderId="0"/>
    <xf numFmtId="0" fontId="15" fillId="0" borderId="0"/>
  </cellStyleXfs>
  <cellXfs count="57">
    <xf numFmtId="0" fontId="0" fillId="0" borderId="0" xfId="0"/>
    <xf numFmtId="0" fontId="2" fillId="0" borderId="0" xfId="0" applyFont="1"/>
    <xf numFmtId="0" fontId="3" fillId="0" borderId="0" xfId="0" applyFont="1"/>
    <xf numFmtId="0" fontId="1" fillId="0" borderId="0" xfId="0" applyFont="1"/>
    <xf numFmtId="0" fontId="6" fillId="0" borderId="0" xfId="0" applyFont="1"/>
    <xf numFmtId="0" fontId="5" fillId="2" borderId="1" xfId="0" applyFont="1" applyFill="1" applyBorder="1" applyAlignment="1">
      <alignment horizontal="center" vertical="center" wrapText="1"/>
    </xf>
    <xf numFmtId="0" fontId="7" fillId="0" borderId="0" xfId="0" applyFont="1"/>
    <xf numFmtId="164" fontId="7" fillId="0" borderId="0" xfId="0" applyNumberFormat="1" applyFont="1" applyAlignment="1">
      <alignment horizontal="center" vertical="center"/>
    </xf>
    <xf numFmtId="0" fontId="8" fillId="0" borderId="0" xfId="0" applyFont="1"/>
    <xf numFmtId="164" fontId="8" fillId="6" borderId="0" xfId="0" applyNumberFormat="1" applyFont="1" applyFill="1" applyAlignment="1">
      <alignment horizontal="center" vertical="center"/>
    </xf>
    <xf numFmtId="0" fontId="1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center" wrapText="1"/>
    </xf>
    <xf numFmtId="0" fontId="0" fillId="4" borderId="1" xfId="0" applyFill="1" applyBorder="1" applyAlignment="1">
      <alignment horizontal="center" vertical="center"/>
    </xf>
    <xf numFmtId="9" fontId="0" fillId="4" borderId="1" xfId="0" applyNumberFormat="1" applyFill="1" applyBorder="1" applyAlignment="1">
      <alignment horizontal="center" vertical="center"/>
    </xf>
    <xf numFmtId="2" fontId="0" fillId="4" borderId="1" xfId="0" applyNumberFormat="1" applyFill="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center"/>
    </xf>
    <xf numFmtId="9" fontId="0" fillId="0" borderId="1" xfId="0" applyNumberFormat="1" applyBorder="1" applyAlignment="1">
      <alignment horizontal="center" vertical="center"/>
    </xf>
    <xf numFmtId="164" fontId="0" fillId="0" borderId="1" xfId="0" applyNumberFormat="1" applyBorder="1" applyAlignment="1">
      <alignment horizontal="center" vertical="center"/>
    </xf>
    <xf numFmtId="0" fontId="7" fillId="0" borderId="0" xfId="0" applyFont="1" applyAlignment="1">
      <alignment horizontal="center" vertical="center"/>
    </xf>
    <xf numFmtId="0" fontId="7" fillId="0" borderId="0" xfId="0" applyFont="1" applyAlignment="1">
      <alignment horizontal="left" vertical="center"/>
    </xf>
    <xf numFmtId="0" fontId="7" fillId="4" borderId="0" xfId="0" applyFont="1" applyFill="1" applyAlignment="1">
      <alignment horizontal="center" vertical="center"/>
    </xf>
    <xf numFmtId="9" fontId="7" fillId="0" borderId="0" xfId="0" applyNumberFormat="1" applyFont="1" applyAlignment="1">
      <alignment horizontal="center" vertical="center"/>
    </xf>
    <xf numFmtId="0" fontId="6" fillId="0" borderId="0" xfId="0" applyFont="1" applyAlignment="1">
      <alignment horizontal="left" vertical="center"/>
    </xf>
    <xf numFmtId="0" fontId="7" fillId="5" borderId="0" xfId="0" applyFont="1" applyFill="1" applyAlignment="1">
      <alignment horizontal="center" vertical="center"/>
    </xf>
    <xf numFmtId="0" fontId="7" fillId="5" borderId="0" xfId="0" applyFont="1" applyFill="1" applyAlignment="1">
      <alignment horizontal="left" vertical="center"/>
    </xf>
    <xf numFmtId="0" fontId="7" fillId="5" borderId="0" xfId="0" applyFont="1" applyFill="1"/>
    <xf numFmtId="9" fontId="7" fillId="5" borderId="0" xfId="0" applyNumberFormat="1" applyFont="1" applyFill="1" applyAlignment="1">
      <alignment horizontal="center" vertical="center"/>
    </xf>
    <xf numFmtId="164" fontId="7" fillId="5" borderId="0" xfId="0" applyNumberFormat="1" applyFont="1" applyFill="1" applyAlignment="1">
      <alignment horizontal="center" vertical="center"/>
    </xf>
    <xf numFmtId="0" fontId="6" fillId="5" borderId="0" xfId="0" applyFont="1" applyFill="1" applyAlignment="1">
      <alignment horizontal="left" vertical="center"/>
    </xf>
    <xf numFmtId="164" fontId="7" fillId="0" borderId="0" xfId="0" applyNumberFormat="1" applyFont="1"/>
    <xf numFmtId="0" fontId="0" fillId="0" borderId="0" xfId="0" applyAlignment="1">
      <alignment horizontal="center" vertical="center"/>
    </xf>
    <xf numFmtId="164" fontId="0" fillId="0" borderId="0" xfId="0" applyNumberFormat="1" applyAlignment="1">
      <alignment horizontal="center" vertical="center"/>
    </xf>
    <xf numFmtId="164" fontId="0" fillId="0" borderId="0" xfId="0" applyNumberFormat="1"/>
    <xf numFmtId="165" fontId="0" fillId="0" borderId="0" xfId="0" applyNumberFormat="1"/>
    <xf numFmtId="165" fontId="0" fillId="0" borderId="0" xfId="0" applyNumberFormat="1" applyAlignment="1">
      <alignment horizontal="center" vertical="center"/>
    </xf>
    <xf numFmtId="1" fontId="7" fillId="0" borderId="0" xfId="0" applyNumberFormat="1" applyFont="1" applyAlignment="1">
      <alignment horizontal="center" vertical="center"/>
    </xf>
    <xf numFmtId="0" fontId="0" fillId="4" borderId="0" xfId="0" applyFill="1" applyAlignment="1">
      <alignment horizontal="center" vertical="center"/>
    </xf>
    <xf numFmtId="0" fontId="5" fillId="2" borderId="0" xfId="0" applyFont="1" applyFill="1" applyAlignment="1">
      <alignment horizontal="center" vertical="center"/>
    </xf>
    <xf numFmtId="165" fontId="7" fillId="0" borderId="0" xfId="0" applyNumberFormat="1" applyFont="1" applyAlignment="1">
      <alignment horizontal="center" vertical="center"/>
    </xf>
    <xf numFmtId="0" fontId="15" fillId="0" borderId="0" xfId="1"/>
    <xf numFmtId="0" fontId="4" fillId="2" borderId="0" xfId="0" applyFont="1" applyFill="1" applyAlignment="1">
      <alignment horizontal="left" vertical="center"/>
    </xf>
    <xf numFmtId="0" fontId="11" fillId="0" borderId="0" xfId="0" applyFont="1" applyAlignment="1">
      <alignment horizontal="center" vertical="center"/>
    </xf>
    <xf numFmtId="165" fontId="10" fillId="6" borderId="0" xfId="0" applyNumberFormat="1" applyFont="1" applyFill="1" applyAlignment="1">
      <alignment horizontal="center" vertical="center"/>
    </xf>
    <xf numFmtId="0" fontId="13" fillId="7" borderId="0" xfId="0" applyFont="1" applyFill="1" applyAlignment="1">
      <alignment horizontal="center" vertical="center"/>
    </xf>
    <xf numFmtId="0" fontId="12" fillId="6" borderId="0" xfId="0" applyFont="1" applyFill="1" applyAlignment="1">
      <alignment horizontal="center" vertical="center"/>
    </xf>
    <xf numFmtId="164" fontId="10" fillId="6" borderId="0" xfId="0" applyNumberFormat="1" applyFont="1" applyFill="1" applyAlignment="1">
      <alignment horizontal="center" vertical="center"/>
    </xf>
    <xf numFmtId="9" fontId="13" fillId="7" borderId="0" xfId="0" applyNumberFormat="1" applyFont="1" applyFill="1" applyAlignment="1">
      <alignment horizontal="center" vertical="center"/>
    </xf>
    <xf numFmtId="0" fontId="6" fillId="0" borderId="0" xfId="0" applyFont="1" applyAlignment="1">
      <alignment horizontal="left" vertical="center" wrapText="1"/>
    </xf>
    <xf numFmtId="0" fontId="5" fillId="3" borderId="1" xfId="0" applyFont="1" applyFill="1" applyBorder="1" applyAlignment="1">
      <alignment horizontal="center" vertical="center" wrapText="1"/>
    </xf>
    <xf numFmtId="0" fontId="0" fillId="0" borderId="0" xfId="0" applyAlignment="1">
      <alignment horizontal="left" vertical="center" wrapText="1"/>
    </xf>
    <xf numFmtId="0" fontId="8" fillId="8" borderId="0" xfId="0" applyFont="1" applyFill="1"/>
    <xf numFmtId="0" fontId="9" fillId="8" borderId="0" xfId="0" applyFont="1" applyFill="1"/>
    <xf numFmtId="0" fontId="0" fillId="0" borderId="0" xfId="0" applyAlignment="1"/>
    <xf numFmtId="0" fontId="0" fillId="0" borderId="2" xfId="0" applyBorder="1" applyAlignment="1"/>
    <xf numFmtId="0" fontId="0" fillId="0" borderId="3" xfId="0" applyBorder="1" applyAlignment="1"/>
  </cellXfs>
  <cellStyles count="2">
    <cellStyle name="Hiperligação" xfId="1" builtinId="8"/>
    <cellStyle name="Normal" xfId="0" builtinId="0"/>
  </cellStyles>
  <dxfs count="4">
    <dxf>
      <fill>
        <patternFill patternType="solid">
          <fgColor rgb="FFFFEB9C"/>
        </patternFill>
      </fill>
    </dxf>
    <dxf>
      <fill>
        <patternFill patternType="solid">
          <fgColor rgb="FFFFC7CE"/>
        </patternFill>
      </fill>
    </dxf>
    <dxf>
      <fill>
        <patternFill patternType="solid">
          <fgColor rgb="FFC6EFCE"/>
        </patternFill>
      </fill>
    </dxf>
    <dxf>
      <font>
        <color rgb="FF808080"/>
      </font>
    </dxf>
  </dxfs>
  <tableStyles count="1" defaultTableStyle="TableStyleMedium9"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0" Type="http://schemas.openxmlformats.org/officeDocument/2006/relationships/worksheet" Target="worksheets/sheet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1"/>
  <c:style val="2"/>
  <c:chart>
    <c:title>
      <c:tx>
        <c:rich>
          <a:bodyPr/>
          <a:lstStyle/>
          <a:p>
            <a:pPr>
              <a:defRPr/>
            </a:pPr>
            <a:r>
              <a:rPr lang="en-US"/>
              <a:t>IGDA-BDA Angola (2015–2025)</a:t>
            </a:r>
          </a:p>
        </c:rich>
      </c:tx>
      <c:overlay val="1"/>
    </c:title>
    <c:autoTitleDeleted val="0"/>
    <c:plotArea>
      <c:layout/>
      <c:lineChart>
        <c:grouping val="standard"/>
        <c:varyColors val="0"/>
        <c:ser>
          <c:idx val="0"/>
          <c:order val="0"/>
          <c:tx>
            <c:v>IGDA-BDA</c:v>
          </c:tx>
          <c:spPr>
            <a:ln w="28000">
              <a:solidFill>
                <a:srgbClr val="1F4E5F"/>
              </a:solidFill>
              <a:prstDash val="solid"/>
            </a:ln>
          </c:spPr>
          <c:marker>
            <c:symbol val="none"/>
          </c:marker>
          <c:cat>
            <c:numRef>
              <c:f>'07_Subindices'!$F$4:$P$4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'07_Subindices'!$F$18:$P$18</c:f>
              <c:numCache>
                <c:formatCode>0.0</c:formatCode>
                <c:ptCount val="11"/>
                <c:pt idx="0">
                  <c:v>43.248684111213123</c:v>
                </c:pt>
                <c:pt idx="1">
                  <c:v>42.933393485198948</c:v>
                </c:pt>
                <c:pt idx="2">
                  <c:v>43.400965089370771</c:v>
                </c:pt>
                <c:pt idx="3">
                  <c:v>42.835765267401101</c:v>
                </c:pt>
                <c:pt idx="4">
                  <c:v>43.173605483726718</c:v>
                </c:pt>
                <c:pt idx="5">
                  <c:v>39.742017061261691</c:v>
                </c:pt>
                <c:pt idx="6">
                  <c:v>43.898045503056984</c:v>
                </c:pt>
                <c:pt idx="7">
                  <c:v>44.929552882565105</c:v>
                </c:pt>
                <c:pt idx="8">
                  <c:v>45.270081985777637</c:v>
                </c:pt>
                <c:pt idx="9">
                  <c:v>46.386470755815132</c:v>
                </c:pt>
                <c:pt idx="10">
                  <c:v>46.432548972529112</c:v>
                </c:pt>
              </c:numCache>
            </c:numRef>
          </c:val>
          <c:smooth val="0"/>
          <c:extLst>
            <c:ext xmlns:c16="http://schemas.microsoft.com/office/drawing/2014/chart" uri="{C3380CC4-5D6E-409C-BE32-E72D297353CC}">
              <c16:uniqueId val="{00000000-1652-436A-B59A-DC850E0928EA}"/>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rPr lang="en-US"/>
                  <a:t>Score (0–100)</a:t>
                </a:r>
              </a:p>
            </c:rich>
          </c:tx>
          <c:overlay val="1"/>
        </c:title>
        <c:numFmt formatCode="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1"/>
  <c:style val="2"/>
  <c:chart>
    <c:title>
      <c:tx>
        <c:rich>
          <a:bodyPr/>
          <a:lstStyle/>
          <a:p>
            <a:pPr>
              <a:defRPr/>
            </a:pPr>
            <a:r>
              <a:rPr lang="en-US"/>
              <a:t>Desempenho por dimensão (último ano)</a:t>
            </a:r>
          </a:p>
        </c:rich>
      </c:tx>
      <c:overlay val="1"/>
    </c:title>
    <c:autoTitleDeleted val="0"/>
    <c:plotArea>
      <c:layout/>
      <c:barChart>
        <c:barDir val="col"/>
        <c:grouping val="clustered"/>
        <c:varyColors val="0"/>
        <c:ser>
          <c:idx val="0"/>
          <c:order val="0"/>
          <c:tx>
            <c:v>Score último ano</c:v>
          </c:tx>
          <c:spPr>
            <a:solidFill>
              <a:srgbClr val="2E6E81"/>
            </a:solidFill>
            <a:ln>
              <a:prstDash val="solid"/>
            </a:ln>
          </c:spPr>
          <c:invertIfNegative val="1"/>
          <c:cat>
            <c:strRef>
              <c:f>'07_Subindices'!$A$5:$A$15</c:f>
              <c:strCache>
                <c:ptCount val="11"/>
                <c:pt idx="0">
                  <c:v>Governança</c:v>
                </c:pt>
                <c:pt idx="1">
                  <c:v>Macroeconomia</c:v>
                </c:pt>
                <c:pt idx="2">
                  <c:v>Capital Humano</c:v>
                </c:pt>
                <c:pt idx="3">
                  <c:v>Inclusão Social</c:v>
                </c:pt>
                <c:pt idx="4">
                  <c:v>Infraestruturas</c:v>
                </c:pt>
                <c:pt idx="5">
                  <c:v>Mercado Trabalho</c:v>
                </c:pt>
                <c:pt idx="6">
                  <c:v>Saúde/Alimentar</c:v>
                </c:pt>
                <c:pt idx="7">
                  <c:v>Diversificação</c:v>
                </c:pt>
                <c:pt idx="8">
                  <c:v>Ambiente</c:v>
                </c:pt>
                <c:pt idx="9">
                  <c:v>Demografia</c:v>
                </c:pt>
                <c:pt idx="10">
                  <c:v>Digital/Inovação</c:v>
                </c:pt>
              </c:strCache>
            </c:strRef>
          </c:cat>
          <c:val>
            <c:numRef>
              <c:f>'07_Subindices'!$T$5:$T$15</c:f>
              <c:numCache>
                <c:formatCode>0.0</c:formatCode>
                <c:ptCount val="11"/>
                <c:pt idx="0">
                  <c:v>33.1938076</c:v>
                </c:pt>
                <c:pt idx="1">
                  <c:v>49.659758493545056</c:v>
                </c:pt>
                <c:pt idx="2">
                  <c:v>59.051499702552746</c:v>
                </c:pt>
                <c:pt idx="3">
                  <c:v>49.409125740160221</c:v>
                </c:pt>
                <c:pt idx="4">
                  <c:v>47.984622518916311</c:v>
                </c:pt>
                <c:pt idx="5">
                  <c:v>66.046859664694281</c:v>
                </c:pt>
                <c:pt idx="6">
                  <c:v>57.021835375238098</c:v>
                </c:pt>
                <c:pt idx="7">
                  <c:v>24.85907584683132</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4075-44BB-AFA6-11AE6DD905E7}"/>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100"/>
          <c:min val="0"/>
        </c:scaling>
        <c:delete val="0"/>
        <c:axPos val="l"/>
        <c:numFmt formatCode="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1"/>
  <c:style val="2"/>
  <c:chart>
    <c:title>
      <c:tx>
        <c:rich>
          <a:bodyPr/>
          <a:lstStyle/>
          <a:p>
            <a:r>
              <a:rPr lang="en-US"/>
              <a:t>None</a:t>
            </a:r>
          </a:p>
        </c:rich>
      </c:tx>
      <c:overlay val="0"/>
      <c:spPr>
        <a:noFill/>
        <a:ln>
          <a:noFill/>
          <a:prstDash val="solid"/>
        </a:ln>
      </c:spPr>
    </c:title>
    <c:autoTitleDeleted val="0"/>
    <c:plotArea>
      <c:layout/>
      <c:lineChart>
        <c:grouping val="standard"/>
        <c:varyColors val="0"/>
        <c:ser>
          <c:idx val="0"/>
          <c:order val="0"/>
          <c:tx>
            <c:strRef>
              <c:f>'07_Subindices'!$A$18</c:f>
              <c:strCache>
                <c:ptCount val="1"/>
                <c:pt idx="0">
                  <c:v>IGDA-BDA (média geométrica)</c:v>
                </c:pt>
              </c:strCache>
            </c:strRef>
          </c:tx>
          <c:spPr>
            <a:ln w="28575" cap="rnd">
              <a:solidFill>
                <a:schemeClr val="accent1"/>
              </a:solidFill>
              <a:prstDash val="solid"/>
              <a:round/>
            </a:ln>
          </c:spPr>
          <c:marker>
            <c:symbol val="none"/>
          </c:marker>
          <c:val>
            <c:numRef>
              <c:f>'07_Subindices'!$F$18:$P$18</c:f>
              <c:numCache>
                <c:formatCode>0.0</c:formatCode>
                <c:ptCount val="11"/>
                <c:pt idx="0">
                  <c:v>43.248684111213123</c:v>
                </c:pt>
                <c:pt idx="1">
                  <c:v>42.933393485198948</c:v>
                </c:pt>
                <c:pt idx="2">
                  <c:v>43.400965089370771</c:v>
                </c:pt>
                <c:pt idx="3">
                  <c:v>42.835765267401101</c:v>
                </c:pt>
                <c:pt idx="4">
                  <c:v>43.173605483726718</c:v>
                </c:pt>
                <c:pt idx="5">
                  <c:v>39.742017061261691</c:v>
                </c:pt>
                <c:pt idx="6">
                  <c:v>43.898045503056984</c:v>
                </c:pt>
                <c:pt idx="7">
                  <c:v>44.929552882565105</c:v>
                </c:pt>
                <c:pt idx="8">
                  <c:v>45.270081985777637</c:v>
                </c:pt>
                <c:pt idx="9">
                  <c:v>46.386470755815132</c:v>
                </c:pt>
                <c:pt idx="10">
                  <c:v>46.432548972529112</c:v>
                </c:pt>
              </c:numCache>
            </c:numRef>
          </c:val>
          <c:smooth val="0"/>
          <c:extLst>
            <c:ext xmlns:c16="http://schemas.microsoft.com/office/drawing/2014/chart" uri="{C3380CC4-5D6E-409C-BE32-E72D297353CC}">
              <c16:uniqueId val="{00000000-F68E-49A8-9D7A-B8C078AD60EA}"/>
            </c:ext>
          </c:extLst>
        </c:ser>
        <c:dLbls>
          <c:showLegendKey val="0"/>
          <c:showVal val="0"/>
          <c:showCatName val="0"/>
          <c:showSerName val="0"/>
          <c:showPercent val="0"/>
          <c:showBubbleSize val="0"/>
        </c:dLbls>
        <c:smooth val="0"/>
        <c:axId val="1611434975"/>
        <c:axId val="275751679"/>
      </c:lineChart>
      <c:catAx>
        <c:axId val="1611434975"/>
        <c:scaling>
          <c:orientation val="minMax"/>
        </c:scaling>
        <c:delete val="0"/>
        <c:axPos val="b"/>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275751679"/>
        <c:crosses val="autoZero"/>
        <c:auto val="1"/>
        <c:lblAlgn val="ctr"/>
        <c:lblOffset val="100"/>
        <c:noMultiLvlLbl val="0"/>
      </c:catAx>
      <c:valAx>
        <c:axId val="275751679"/>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611434975"/>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1"/>
  <c:style val="2"/>
  <c:chart>
    <c:title>
      <c:tx>
        <c:rich>
          <a:bodyPr/>
          <a:lstStyle/>
          <a:p>
            <a:pPr>
              <a:defRPr/>
            </a:pPr>
            <a:r>
              <a:rPr lang="en-US"/>
              <a:t>Evolução dos subíndices e do IGDA (2015–2025)</a:t>
            </a:r>
          </a:p>
        </c:rich>
      </c:tx>
      <c:overlay val="1"/>
    </c:title>
    <c:autoTitleDeleted val="0"/>
    <c:plotArea>
      <c:layout/>
      <c:lineChart>
        <c:grouping val="standard"/>
        <c:varyColors val="0"/>
        <c:ser>
          <c:idx val="0"/>
          <c:order val="0"/>
          <c:tx>
            <c:v>Governança</c:v>
          </c:tx>
          <c:spPr>
            <a:ln>
              <a:prstDash val="solid"/>
            </a:ln>
          </c:spPr>
          <c:marker>
            <c:symbol val="none"/>
          </c:marker>
          <c:cat>
            <c:numRef>
              <c:f>'07_Subindices'!$F$4:$P$4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'07_Subindices'!$F$5:$P$5</c:f>
              <c:numCache>
                <c:formatCode>0.0</c:formatCode>
                <c:ptCount val="11"/>
                <c:pt idx="0">
                  <c:v>27.415798000000002</c:v>
                </c:pt>
                <c:pt idx="1">
                  <c:v>28.027149599999994</c:v>
                </c:pt>
                <c:pt idx="2">
                  <c:v>27.731903199999998</c:v>
                </c:pt>
                <c:pt idx="3">
                  <c:v>29.570946399999997</c:v>
                </c:pt>
                <c:pt idx="4">
                  <c:v>31.678183999999998</c:v>
                </c:pt>
                <c:pt idx="5">
                  <c:v>30.817962399999999</c:v>
                </c:pt>
                <c:pt idx="6">
                  <c:v>31.100242000000001</c:v>
                </c:pt>
                <c:pt idx="7">
                  <c:v>33.006381599999997</c:v>
                </c:pt>
                <c:pt idx="8">
                  <c:v>33.637387199999999</c:v>
                </c:pt>
                <c:pt idx="9">
                  <c:v>33.1938076</c:v>
                </c:pt>
                <c:pt idx="10">
                  <c:v>33.1938076</c:v>
                </c:pt>
              </c:numCache>
            </c:numRef>
          </c:val>
          <c:smooth val="0"/>
          <c:extLst>
            <c:ext xmlns:c16="http://schemas.microsoft.com/office/drawing/2014/chart" uri="{C3380CC4-5D6E-409C-BE32-E72D297353CC}">
              <c16:uniqueId val="{00000000-C43E-4F53-B577-5EACE3BD4394}"/>
            </c:ext>
          </c:extLst>
        </c:ser>
        <c:ser>
          <c:idx val="1"/>
          <c:order val="1"/>
          <c:tx>
            <c:v>Macroeconomia</c:v>
          </c:tx>
          <c:spPr>
            <a:ln>
              <a:prstDash val="solid"/>
            </a:ln>
          </c:spPr>
          <c:marker>
            <c:symbol val="none"/>
          </c:marker>
          <c:cat>
            <c:numRef>
              <c:f>'07_Subindices'!$F$4:$P$4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'07_Subindices'!$F$6:$P$6</c:f>
              <c:numCache>
                <c:formatCode>0.0</c:formatCode>
                <c:ptCount val="11"/>
                <c:pt idx="0">
                  <c:v>49.133768107736039</c:v>
                </c:pt>
                <c:pt idx="1">
                  <c:v>44.476291758312172</c:v>
                </c:pt>
                <c:pt idx="2">
                  <c:v>46.557338502599372</c:v>
                </c:pt>
                <c:pt idx="3">
                  <c:v>45.10833095894948</c:v>
                </c:pt>
                <c:pt idx="4">
                  <c:v>44.095034318734243</c:v>
                </c:pt>
                <c:pt idx="5">
                  <c:v>33.062574046126485</c:v>
                </c:pt>
                <c:pt idx="6">
                  <c:v>48.695602599234192</c:v>
                </c:pt>
                <c:pt idx="7">
                  <c:v>49.630240065091314</c:v>
                </c:pt>
                <c:pt idx="8">
                  <c:v>47.263381415405128</c:v>
                </c:pt>
                <c:pt idx="9">
                  <c:v>48.596289571208857</c:v>
                </c:pt>
                <c:pt idx="10">
                  <c:v>49.659758493545056</c:v>
                </c:pt>
              </c:numCache>
            </c:numRef>
          </c:val>
          <c:smooth val="0"/>
          <c:extLst>
            <c:ext xmlns:c16="http://schemas.microsoft.com/office/drawing/2014/chart" uri="{C3380CC4-5D6E-409C-BE32-E72D297353CC}">
              <c16:uniqueId val="{00000001-C43E-4F53-B577-5EACE3BD4394}"/>
            </c:ext>
          </c:extLst>
        </c:ser>
        <c:ser>
          <c:idx val="2"/>
          <c:order val="2"/>
          <c:tx>
            <c:v>Capital Humano</c:v>
          </c:tx>
          <c:spPr>
            <a:ln>
              <a:prstDash val="solid"/>
            </a:ln>
          </c:spPr>
          <c:marker>
            <c:symbol val="none"/>
          </c:marker>
          <c:cat>
            <c:numRef>
              <c:f>'07_Subindices'!$F$4:$P$4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'07_Subindices'!$F$7:$P$7</c:f>
              <c:numCache>
                <c:formatCode>0.0</c:formatCode>
                <c:ptCount val="11"/>
                <c:pt idx="0">
                  <c:v>50.4790343816302</c:v>
                </c:pt>
                <c:pt idx="1">
                  <c:v>56.861999734226245</c:v>
                </c:pt>
                <c:pt idx="2">
                  <c:v>56.57129959172471</c:v>
                </c:pt>
                <c:pt idx="3">
                  <c:v>56.257329482203879</c:v>
                </c:pt>
                <c:pt idx="4">
                  <c:v>56.302874629753752</c:v>
                </c:pt>
                <c:pt idx="5">
                  <c:v>57.924943128556905</c:v>
                </c:pt>
                <c:pt idx="6">
                  <c:v>56.994872579711362</c:v>
                </c:pt>
                <c:pt idx="7">
                  <c:v>58.047500024518392</c:v>
                </c:pt>
                <c:pt idx="8">
                  <c:v>58.688721924774967</c:v>
                </c:pt>
                <c:pt idx="9">
                  <c:v>58.943166369219412</c:v>
                </c:pt>
                <c:pt idx="10">
                  <c:v>59.051499702552746</c:v>
                </c:pt>
              </c:numCache>
            </c:numRef>
          </c:val>
          <c:smooth val="0"/>
          <c:extLst>
            <c:ext xmlns:c16="http://schemas.microsoft.com/office/drawing/2014/chart" uri="{C3380CC4-5D6E-409C-BE32-E72D297353CC}">
              <c16:uniqueId val="{00000002-C43E-4F53-B577-5EACE3BD4394}"/>
            </c:ext>
          </c:extLst>
        </c:ser>
        <c:ser>
          <c:idx val="3"/>
          <c:order val="3"/>
          <c:tx>
            <c:v>Inclusão Social</c:v>
          </c:tx>
          <c:spPr>
            <a:ln>
              <a:prstDash val="solid"/>
            </a:ln>
          </c:spPr>
          <c:marker>
            <c:symbol val="none"/>
          </c:marker>
          <c:cat>
            <c:numRef>
              <c:f>'07_Subindices'!$F$4:$P$4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'07_Subindices'!$F$8:$P$8</c:f>
              <c:numCache>
                <c:formatCode>0.0</c:formatCode>
                <c:ptCount val="11"/>
                <c:pt idx="0">
                  <c:v>50.768338557993722</c:v>
                </c:pt>
                <c:pt idx="1">
                  <c:v>47.543051201671879</c:v>
                </c:pt>
                <c:pt idx="2">
                  <c:v>42.71229536746781</c:v>
                </c:pt>
                <c:pt idx="3">
                  <c:v>42.157122953674701</c:v>
                </c:pt>
                <c:pt idx="4">
                  <c:v>42.722413793103449</c:v>
                </c:pt>
                <c:pt idx="5">
                  <c:v>42.114942528735632</c:v>
                </c:pt>
                <c:pt idx="6">
                  <c:v>41.670463253221847</c:v>
                </c:pt>
                <c:pt idx="7">
                  <c:v>44.068477882270969</c:v>
                </c:pt>
                <c:pt idx="8">
                  <c:v>45.496064089167525</c:v>
                </c:pt>
                <c:pt idx="9">
                  <c:v>49.638662486938323</c:v>
                </c:pt>
                <c:pt idx="10">
                  <c:v>49.409125740160221</c:v>
                </c:pt>
              </c:numCache>
            </c:numRef>
          </c:val>
          <c:smooth val="0"/>
          <c:extLst>
            <c:ext xmlns:c16="http://schemas.microsoft.com/office/drawing/2014/chart" uri="{C3380CC4-5D6E-409C-BE32-E72D297353CC}">
              <c16:uniqueId val="{00000003-C43E-4F53-B577-5EACE3BD4394}"/>
            </c:ext>
          </c:extLst>
        </c:ser>
        <c:ser>
          <c:idx val="4"/>
          <c:order val="4"/>
          <c:tx>
            <c:v>Infraestruturas</c:v>
          </c:tx>
          <c:spPr>
            <a:ln>
              <a:prstDash val="solid"/>
            </a:ln>
          </c:spPr>
          <c:marker>
            <c:symbol val="none"/>
          </c:marker>
          <c:cat>
            <c:numRef>
              <c:f>'07_Subindices'!$F$4:$P$4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'07_Subindices'!$F$9:$P$9</c:f>
              <c:numCache>
                <c:formatCode>0.0</c:formatCode>
                <c:ptCount val="11"/>
                <c:pt idx="0">
                  <c:v>45.989555869783167</c:v>
                </c:pt>
                <c:pt idx="1">
                  <c:v>39.273908700006679</c:v>
                </c:pt>
                <c:pt idx="2">
                  <c:v>44.683769108757488</c:v>
                </c:pt>
                <c:pt idx="3">
                  <c:v>42.129239629241894</c:v>
                </c:pt>
                <c:pt idx="4">
                  <c:v>44.854885911165049</c:v>
                </c:pt>
                <c:pt idx="5">
                  <c:v>42.272598701323361</c:v>
                </c:pt>
                <c:pt idx="6">
                  <c:v>44.079488580924043</c:v>
                </c:pt>
                <c:pt idx="7">
                  <c:v>45.812539538030073</c:v>
                </c:pt>
                <c:pt idx="8">
                  <c:v>46.239818385103277</c:v>
                </c:pt>
                <c:pt idx="9">
                  <c:v>47.984622518916311</c:v>
                </c:pt>
                <c:pt idx="10">
                  <c:v>47.984622518916311</c:v>
                </c:pt>
              </c:numCache>
            </c:numRef>
          </c:val>
          <c:smooth val="0"/>
          <c:extLst>
            <c:ext xmlns:c16="http://schemas.microsoft.com/office/drawing/2014/chart" uri="{C3380CC4-5D6E-409C-BE32-E72D297353CC}">
              <c16:uniqueId val="{00000004-C43E-4F53-B577-5EACE3BD4394}"/>
            </c:ext>
          </c:extLst>
        </c:ser>
        <c:ser>
          <c:idx val="5"/>
          <c:order val="5"/>
          <c:tx>
            <c:v>Mercado Trabalho</c:v>
          </c:tx>
          <c:spPr>
            <a:ln>
              <a:prstDash val="solid"/>
            </a:ln>
          </c:spPr>
          <c:marker>
            <c:symbol val="none"/>
          </c:marker>
          <c:cat>
            <c:numRef>
              <c:f>'07_Subindices'!$F$4:$P$4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'07_Subindices'!$F$10:$P$10</c:f>
              <c:numCache>
                <c:formatCode>0.0</c:formatCode>
                <c:ptCount val="11"/>
                <c:pt idx="0">
                  <c:v>65.104270808678507</c:v>
                </c:pt>
                <c:pt idx="1">
                  <c:v>63.743466173570027</c:v>
                </c:pt>
                <c:pt idx="2">
                  <c:v>63.451157889546344</c:v>
                </c:pt>
                <c:pt idx="3">
                  <c:v>62.984661834319525</c:v>
                </c:pt>
                <c:pt idx="4">
                  <c:v>62.982749506903346</c:v>
                </c:pt>
                <c:pt idx="5">
                  <c:v>59.207059566074953</c:v>
                </c:pt>
                <c:pt idx="6">
                  <c:v>62.696662623274165</c:v>
                </c:pt>
                <c:pt idx="7">
                  <c:v>67.141387278106492</c:v>
                </c:pt>
                <c:pt idx="8">
                  <c:v>66.686718934911241</c:v>
                </c:pt>
                <c:pt idx="9">
                  <c:v>67.060912820512812</c:v>
                </c:pt>
                <c:pt idx="10">
                  <c:v>66.046859664694281</c:v>
                </c:pt>
              </c:numCache>
            </c:numRef>
          </c:val>
          <c:smooth val="0"/>
          <c:extLst>
            <c:ext xmlns:c16="http://schemas.microsoft.com/office/drawing/2014/chart" uri="{C3380CC4-5D6E-409C-BE32-E72D297353CC}">
              <c16:uniqueId val="{00000005-C43E-4F53-B577-5EACE3BD4394}"/>
            </c:ext>
          </c:extLst>
        </c:ser>
        <c:ser>
          <c:idx val="6"/>
          <c:order val="6"/>
          <c:tx>
            <c:v>Saúde/Alimentar</c:v>
          </c:tx>
          <c:spPr>
            <a:ln>
              <a:prstDash val="solid"/>
            </a:ln>
          </c:spPr>
          <c:marker>
            <c:symbol val="none"/>
          </c:marker>
          <c:cat>
            <c:numRef>
              <c:f>'07_Subindices'!$F$4:$P$4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'07_Subindices'!$F$11:$P$11</c:f>
              <c:numCache>
                <c:formatCode>0.0</c:formatCode>
                <c:ptCount val="11"/>
                <c:pt idx="0">
                  <c:v>59.24485122952381</c:v>
                </c:pt>
                <c:pt idx="1">
                  <c:v>58.281854842380952</c:v>
                </c:pt>
                <c:pt idx="2">
                  <c:v>57.759990908571424</c:v>
                </c:pt>
                <c:pt idx="3">
                  <c:v>58.248642695714288</c:v>
                </c:pt>
                <c:pt idx="4">
                  <c:v>58.239980912380965</c:v>
                </c:pt>
                <c:pt idx="5">
                  <c:v>58.15015419904762</c:v>
                </c:pt>
                <c:pt idx="6">
                  <c:v>56.503792958095232</c:v>
                </c:pt>
                <c:pt idx="7">
                  <c:v>56.375636221904756</c:v>
                </c:pt>
                <c:pt idx="8">
                  <c:v>58.255549660952383</c:v>
                </c:pt>
                <c:pt idx="9">
                  <c:v>56.807549660952382</c:v>
                </c:pt>
                <c:pt idx="10">
                  <c:v>57.021835375238098</c:v>
                </c:pt>
              </c:numCache>
            </c:numRef>
          </c:val>
          <c:smooth val="0"/>
          <c:extLst>
            <c:ext xmlns:c16="http://schemas.microsoft.com/office/drawing/2014/chart" uri="{C3380CC4-5D6E-409C-BE32-E72D297353CC}">
              <c16:uniqueId val="{00000006-C43E-4F53-B577-5EACE3BD4394}"/>
            </c:ext>
          </c:extLst>
        </c:ser>
        <c:ser>
          <c:idx val="7"/>
          <c:order val="7"/>
          <c:tx>
            <c:v>Diversificação</c:v>
          </c:tx>
          <c:spPr>
            <a:ln>
              <a:prstDash val="solid"/>
            </a:ln>
          </c:spPr>
          <c:marker>
            <c:symbol val="none"/>
          </c:marker>
          <c:cat>
            <c:numRef>
              <c:f>'07_Subindices'!$F$4:$P$4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'07_Subindices'!$F$12:$P$12</c:f>
              <c:numCache>
                <c:formatCode>0.0</c:formatCode>
                <c:ptCount val="11"/>
                <c:pt idx="0">
                  <c:v>19.988441072755187</c:v>
                </c:pt>
                <c:pt idx="1">
                  <c:v>23.478583209191974</c:v>
                </c:pt>
                <c:pt idx="2">
                  <c:v>24.641193541811887</c:v>
                </c:pt>
                <c:pt idx="3">
                  <c:v>23.183337006898377</c:v>
                </c:pt>
                <c:pt idx="4">
                  <c:v>21.835223422876471</c:v>
                </c:pt>
                <c:pt idx="5">
                  <c:v>17.201785256447533</c:v>
                </c:pt>
                <c:pt idx="6">
                  <c:v>24.55190943479478</c:v>
                </c:pt>
                <c:pt idx="7">
                  <c:v>22.852555767836172</c:v>
                </c:pt>
                <c:pt idx="8">
                  <c:v>23.132466989087224</c:v>
                </c:pt>
                <c:pt idx="9">
                  <c:v>24.84501895430645</c:v>
                </c:pt>
                <c:pt idx="10">
                  <c:v>24.85907584683132</c:v>
                </c:pt>
              </c:numCache>
            </c:numRef>
          </c:val>
          <c:smooth val="0"/>
          <c:extLst>
            <c:ext xmlns:c16="http://schemas.microsoft.com/office/drawing/2014/chart" uri="{C3380CC4-5D6E-409C-BE32-E72D297353CC}">
              <c16:uniqueId val="{00000007-C43E-4F53-B577-5EACE3BD4394}"/>
            </c:ext>
          </c:extLst>
        </c:ser>
        <c:ser>
          <c:idx val="8"/>
          <c:order val="8"/>
          <c:tx>
            <c:v>Ambiente</c:v>
          </c:tx>
          <c:spPr>
            <a:ln>
              <a:prstDash val="solid"/>
            </a:ln>
          </c:spPr>
          <c:marker>
            <c:symbol val="none"/>
          </c:marker>
          <c:cat>
            <c:numRef>
              <c:f>'07_Subindices'!$F$4:$P$4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'07_Subindices'!$F$13:$P$13</c:f>
              <c:numCache>
                <c:formatCode>0.0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8-C43E-4F53-B577-5EACE3BD4394}"/>
            </c:ext>
          </c:extLst>
        </c:ser>
        <c:ser>
          <c:idx val="9"/>
          <c:order val="9"/>
          <c:tx>
            <c:v>Demografia</c:v>
          </c:tx>
          <c:spPr>
            <a:ln>
              <a:prstDash val="solid"/>
            </a:ln>
          </c:spPr>
          <c:marker>
            <c:symbol val="none"/>
          </c:marker>
          <c:cat>
            <c:numRef>
              <c:f>'07_Subindices'!$F$4:$P$4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'07_Subindices'!$F$14:$P$14</c:f>
              <c:numCache>
                <c:formatCode>0.0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9-C43E-4F53-B577-5EACE3BD4394}"/>
            </c:ext>
          </c:extLst>
        </c:ser>
        <c:ser>
          <c:idx val="10"/>
          <c:order val="10"/>
          <c:tx>
            <c:v>Digital/Inovação</c:v>
          </c:tx>
          <c:spPr>
            <a:ln>
              <a:prstDash val="solid"/>
            </a:ln>
          </c:spPr>
          <c:marker>
            <c:symbol val="none"/>
          </c:marker>
          <c:cat>
            <c:numRef>
              <c:f>'07_Subindices'!$F$4:$P$4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'07_Subindices'!$F$15:$P$15</c:f>
              <c:numCache>
                <c:formatCode>0.0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A-C43E-4F53-B577-5EACE3BD4394}"/>
            </c:ext>
          </c:extLst>
        </c:ser>
        <c:ser>
          <c:idx val="11"/>
          <c:order val="11"/>
          <c:tx>
            <c:v>IGDA-BDA</c:v>
          </c:tx>
          <c:spPr>
            <a:ln w="28000">
              <a:solidFill>
                <a:srgbClr val="1F4E5F"/>
              </a:solidFill>
              <a:prstDash val="solid"/>
            </a:ln>
          </c:spPr>
          <c:marker>
            <c:symbol val="none"/>
          </c:marker>
          <c:cat>
            <c:numRef>
              <c:f>'07_Subindices'!$F$4:$P$4</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'07_Subindices'!$F$18:$P$18</c:f>
              <c:numCache>
                <c:formatCode>0.0</c:formatCode>
                <c:ptCount val="11"/>
                <c:pt idx="0">
                  <c:v>43.248684111213123</c:v>
                </c:pt>
                <c:pt idx="1">
                  <c:v>42.933393485198948</c:v>
                </c:pt>
                <c:pt idx="2">
                  <c:v>43.400965089370771</c:v>
                </c:pt>
                <c:pt idx="3">
                  <c:v>42.835765267401101</c:v>
                </c:pt>
                <c:pt idx="4">
                  <c:v>43.173605483726718</c:v>
                </c:pt>
                <c:pt idx="5">
                  <c:v>39.742017061261691</c:v>
                </c:pt>
                <c:pt idx="6">
                  <c:v>43.898045503056984</c:v>
                </c:pt>
                <c:pt idx="7">
                  <c:v>44.929552882565105</c:v>
                </c:pt>
                <c:pt idx="8">
                  <c:v>45.270081985777637</c:v>
                </c:pt>
                <c:pt idx="9">
                  <c:v>46.386470755815132</c:v>
                </c:pt>
                <c:pt idx="10">
                  <c:v>46.432548972529112</c:v>
                </c:pt>
              </c:numCache>
            </c:numRef>
          </c:val>
          <c:smooth val="0"/>
          <c:extLst>
            <c:ext xmlns:c16="http://schemas.microsoft.com/office/drawing/2014/chart" uri="{C3380CC4-5D6E-409C-BE32-E72D297353CC}">
              <c16:uniqueId val="{0000000B-C43E-4F53-B577-5EACE3BD4394}"/>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100"/>
          <c:min val="0"/>
        </c:scaling>
        <c:delete val="0"/>
        <c:axPos val="l"/>
        <c:title>
          <c:tx>
            <c:rich>
              <a:bodyPr/>
              <a:lstStyle/>
              <a:p>
                <a:pPr>
                  <a:defRPr/>
                </a:pPr>
                <a:r>
                  <a:rPr lang="en-US"/>
                  <a:t>Score (0–100)</a:t>
                </a:r>
              </a:p>
            </c:rich>
          </c:tx>
          <c:overlay val="1"/>
        </c:title>
        <c:numFmt formatCode="0.0" sourceLinked="1"/>
        <c:majorTickMark val="none"/>
        <c:minorTickMark val="none"/>
        <c:tickLblPos val="nextTo"/>
        <c:crossAx val="10"/>
        <c:crosses val="autoZero"/>
        <c:crossBetween val="between"/>
      </c:valAx>
    </c:plotArea>
    <c:legend>
      <c:legendPos val="r"/>
      <c:layout>
        <c:manualLayout>
          <c:xMode val="edge"/>
          <c:yMode val="edge"/>
          <c:x val="0.74930732256308452"/>
          <c:y val="0.57162088862752924"/>
          <c:w val="8.9751002818434122E-2"/>
          <c:h val="0.36565766037351322"/>
        </c:manualLayout>
      </c:layout>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1"/>
  <c:style val="2"/>
  <c:chart>
    <c:title>
      <c:tx>
        <c:rich>
          <a:bodyPr/>
          <a:lstStyle/>
          <a:p>
            <a:pPr>
              <a:defRPr/>
            </a:pPr>
            <a:r>
              <a:rPr lang="en-US"/>
              <a:t>Perfil dimensional — Ano A vs Ano B</a:t>
            </a:r>
          </a:p>
        </c:rich>
      </c:tx>
      <c:overlay val="1"/>
    </c:title>
    <c:autoTitleDeleted val="0"/>
    <c:plotArea>
      <c:layout/>
      <c:radarChart>
        <c:radarStyle val="marker"/>
        <c:varyColors val="0"/>
        <c:ser>
          <c:idx val="0"/>
          <c:order val="0"/>
          <c:tx>
            <c:strRef>
              <c:f>'08_Visualizacoes'!$C$25</c:f>
              <c:strCache>
                <c:ptCount val="1"/>
                <c:pt idx="0">
                  <c:v>2021</c:v>
                </c:pt>
              </c:strCache>
            </c:strRef>
          </c:tx>
          <c:spPr>
            <a:ln w="28575">
              <a:prstDash val="solid"/>
            </a:ln>
          </c:spPr>
          <c:marker>
            <c:symbol val="none"/>
          </c:marker>
          <c:cat>
            <c:strRef>
              <c:f>'08_Visualizacoes'!$B$26:$B$33</c:f>
              <c:strCache>
                <c:ptCount val="8"/>
                <c:pt idx="0">
                  <c:v>Governança</c:v>
                </c:pt>
                <c:pt idx="1">
                  <c:v>Macroeconomia</c:v>
                </c:pt>
                <c:pt idx="2">
                  <c:v>Capital Humano</c:v>
                </c:pt>
                <c:pt idx="3">
                  <c:v>Inclusão Social</c:v>
                </c:pt>
                <c:pt idx="4">
                  <c:v>Infraestruturas</c:v>
                </c:pt>
                <c:pt idx="5">
                  <c:v>Mercado Trabalho</c:v>
                </c:pt>
                <c:pt idx="6">
                  <c:v>Saúde/Alimentar</c:v>
                </c:pt>
                <c:pt idx="7">
                  <c:v>Diversificação</c:v>
                </c:pt>
              </c:strCache>
            </c:strRef>
          </c:cat>
          <c:val>
            <c:numRef>
              <c:f>'08_Visualizacoes'!$C$26:$C$33</c:f>
              <c:numCache>
                <c:formatCode>0.0</c:formatCode>
                <c:ptCount val="8"/>
                <c:pt idx="0">
                  <c:v>31.100242000000001</c:v>
                </c:pt>
                <c:pt idx="1">
                  <c:v>48.695602599234192</c:v>
                </c:pt>
                <c:pt idx="2">
                  <c:v>56.994872579711362</c:v>
                </c:pt>
                <c:pt idx="3">
                  <c:v>41.670463253221847</c:v>
                </c:pt>
                <c:pt idx="4">
                  <c:v>44.079488580924043</c:v>
                </c:pt>
                <c:pt idx="5">
                  <c:v>62.696662623274165</c:v>
                </c:pt>
                <c:pt idx="6">
                  <c:v>56.503792958095232</c:v>
                </c:pt>
                <c:pt idx="7">
                  <c:v>24.55190943479478</c:v>
                </c:pt>
              </c:numCache>
            </c:numRef>
          </c:val>
          <c:extLst>
            <c:ext xmlns:c16="http://schemas.microsoft.com/office/drawing/2014/chart" uri="{C3380CC4-5D6E-409C-BE32-E72D297353CC}">
              <c16:uniqueId val="{00000000-6E69-4754-B94D-6C5690A03FC6}"/>
            </c:ext>
          </c:extLst>
        </c:ser>
        <c:ser>
          <c:idx val="1"/>
          <c:order val="1"/>
          <c:tx>
            <c:strRef>
              <c:f>'08_Visualizacoes'!$D$25</c:f>
              <c:strCache>
                <c:ptCount val="1"/>
                <c:pt idx="0">
                  <c:v>2025</c:v>
                </c:pt>
              </c:strCache>
            </c:strRef>
          </c:tx>
          <c:spPr>
            <a:ln w="19050">
              <a:prstDash val="solid"/>
            </a:ln>
          </c:spPr>
          <c:marker>
            <c:symbol val="none"/>
          </c:marker>
          <c:cat>
            <c:strRef>
              <c:f>'08_Visualizacoes'!$B$26:$B$33</c:f>
              <c:strCache>
                <c:ptCount val="8"/>
                <c:pt idx="0">
                  <c:v>Governança</c:v>
                </c:pt>
                <c:pt idx="1">
                  <c:v>Macroeconomia</c:v>
                </c:pt>
                <c:pt idx="2">
                  <c:v>Capital Humano</c:v>
                </c:pt>
                <c:pt idx="3">
                  <c:v>Inclusão Social</c:v>
                </c:pt>
                <c:pt idx="4">
                  <c:v>Infraestruturas</c:v>
                </c:pt>
                <c:pt idx="5">
                  <c:v>Mercado Trabalho</c:v>
                </c:pt>
                <c:pt idx="6">
                  <c:v>Saúde/Alimentar</c:v>
                </c:pt>
                <c:pt idx="7">
                  <c:v>Diversificação</c:v>
                </c:pt>
              </c:strCache>
            </c:strRef>
          </c:cat>
          <c:val>
            <c:numRef>
              <c:f>'08_Visualizacoes'!$D$26:$D$33</c:f>
              <c:numCache>
                <c:formatCode>0.0</c:formatCode>
                <c:ptCount val="8"/>
                <c:pt idx="0">
                  <c:v>33.1938076</c:v>
                </c:pt>
                <c:pt idx="1">
                  <c:v>49.659758493545056</c:v>
                </c:pt>
                <c:pt idx="2">
                  <c:v>59.051499702552746</c:v>
                </c:pt>
                <c:pt idx="3">
                  <c:v>49.409125740160221</c:v>
                </c:pt>
                <c:pt idx="4">
                  <c:v>47.984622518916311</c:v>
                </c:pt>
                <c:pt idx="5">
                  <c:v>66.046859664694281</c:v>
                </c:pt>
                <c:pt idx="6">
                  <c:v>57.021835375238098</c:v>
                </c:pt>
                <c:pt idx="7">
                  <c:v>24.85907584683132</c:v>
                </c:pt>
              </c:numCache>
            </c:numRef>
          </c:val>
          <c:extLst>
            <c:ext xmlns:c16="http://schemas.microsoft.com/office/drawing/2014/chart" uri="{C3380CC4-5D6E-409C-BE32-E72D297353CC}">
              <c16:uniqueId val="{00000001-6E69-4754-B94D-6C5690A03FC6}"/>
            </c:ext>
          </c:extLst>
        </c:ser>
        <c:dLbls>
          <c:showLegendKey val="0"/>
          <c:showVal val="0"/>
          <c:showCatName val="0"/>
          <c:showSerName val="0"/>
          <c:showPercent val="0"/>
          <c:showBubbleSize val="0"/>
        </c:dLbls>
        <c:axId val="10"/>
        <c:axId val="100"/>
      </c:rad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100"/>
          <c:min val="0"/>
        </c:scaling>
        <c:delete val="0"/>
        <c:axPos val="l"/>
        <c:majorGridlines/>
        <c:numFmt formatCode="0.0" sourceLinked="1"/>
        <c:majorTickMark val="none"/>
        <c:minorTickMark val="none"/>
        <c:tickLblPos val="nextTo"/>
        <c:crossAx val="10"/>
        <c:crosses val="autoZero"/>
        <c:crossBetween val="between"/>
      </c:valAx>
    </c:plotArea>
    <c:legend>
      <c:legendPos val="r"/>
      <c:layout>
        <c:manualLayout>
          <c:xMode val="edge"/>
          <c:yMode val="edge"/>
          <c:x val="0.8391333333333334"/>
          <c:y val="0.41314318181818183"/>
          <c:w val="0.13644358974358969"/>
          <c:h val="9.3536868686868682E-2"/>
        </c:manualLayout>
      </c:layout>
      <c:overlay val="1"/>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1"/>
  <c:style val="2"/>
  <c:chart>
    <c:title>
      <c:tx>
        <c:rich>
          <a:bodyPr/>
          <a:lstStyle/>
          <a:p>
            <a:pPr>
              <a:defRPr/>
            </a:pPr>
            <a:r>
              <a:rPr lang="en-US"/>
              <a:t>Variação por dimensão (Ano B − Ano A, p.p.)</a:t>
            </a:r>
          </a:p>
        </c:rich>
      </c:tx>
      <c:overlay val="1"/>
    </c:title>
    <c:autoTitleDeleted val="0"/>
    <c:plotArea>
      <c:layout/>
      <c:barChart>
        <c:barDir val="bar"/>
        <c:grouping val="clustered"/>
        <c:varyColors val="0"/>
        <c:ser>
          <c:idx val="0"/>
          <c:order val="0"/>
          <c:spPr>
            <a:solidFill>
              <a:srgbClr val="2E6E81"/>
            </a:solidFill>
            <a:ln>
              <a:prstDash val="solid"/>
            </a:ln>
          </c:spPr>
          <c:invertIfNegative val="1"/>
          <c:cat>
            <c:strRef>
              <c:f>'08_Visualizacoes'!$B$26:$B$33</c:f>
              <c:strCache>
                <c:ptCount val="8"/>
                <c:pt idx="0">
                  <c:v>Governança</c:v>
                </c:pt>
                <c:pt idx="1">
                  <c:v>Macroeconomia</c:v>
                </c:pt>
                <c:pt idx="2">
                  <c:v>Capital Humano</c:v>
                </c:pt>
                <c:pt idx="3">
                  <c:v>Inclusão Social</c:v>
                </c:pt>
                <c:pt idx="4">
                  <c:v>Infraestruturas</c:v>
                </c:pt>
                <c:pt idx="5">
                  <c:v>Mercado Trabalho</c:v>
                </c:pt>
                <c:pt idx="6">
                  <c:v>Saúde/Alimentar</c:v>
                </c:pt>
                <c:pt idx="7">
                  <c:v>Diversificação</c:v>
                </c:pt>
              </c:strCache>
            </c:strRef>
          </c:cat>
          <c:val>
            <c:numRef>
              <c:f>'08_Visualizacoes'!$E$26:$E$33</c:f>
              <c:numCache>
                <c:formatCode>\+0.0;\-0.0;0.0</c:formatCode>
                <c:ptCount val="8"/>
                <c:pt idx="0">
                  <c:v>2.093565599999998</c:v>
                </c:pt>
                <c:pt idx="1">
                  <c:v>0.96415589431086346</c:v>
                </c:pt>
                <c:pt idx="2">
                  <c:v>2.0566271228413839</c:v>
                </c:pt>
                <c:pt idx="3">
                  <c:v>7.7386624869383738</c:v>
                </c:pt>
                <c:pt idx="4">
                  <c:v>3.905133937992268</c:v>
                </c:pt>
                <c:pt idx="5">
                  <c:v>3.3501970414201168</c:v>
                </c:pt>
                <c:pt idx="6">
                  <c:v>0.51804241714286547</c:v>
                </c:pt>
                <c:pt idx="7">
                  <c:v>0.30716641203654049</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22B4-4C3E-9227-614E483C2091}"/>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0;\-0.0;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1</xdr:col>
      <xdr:colOff>0</xdr:colOff>
      <xdr:row>50</xdr:row>
      <xdr:rowOff>0</xdr:rowOff>
    </xdr:from>
    <xdr:ext cx="4680000" cy="306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0</xdr:colOff>
      <xdr:row>50</xdr:row>
      <xdr:rowOff>0</xdr:rowOff>
    </xdr:from>
    <xdr:ext cx="5400000" cy="306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21</xdr:col>
      <xdr:colOff>509190</xdr:colOff>
      <xdr:row>14</xdr:row>
      <xdr:rowOff>110728</xdr:rowOff>
    </xdr:from>
    <xdr:to>
      <xdr:col>29</xdr:col>
      <xdr:colOff>217090</xdr:colOff>
      <xdr:row>29</xdr:row>
      <xdr:rowOff>154384</xdr:rowOff>
    </xdr:to>
    <xdr:graphicFrame macro="">
      <xdr:nvGraphicFramePr>
        <xdr:cNvPr id="2" name="Chart 2">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2095499</xdr:colOff>
      <xdr:row>37</xdr:row>
      <xdr:rowOff>0</xdr:rowOff>
    </xdr:from>
    <xdr:ext cx="14835188" cy="7536656"/>
    <xdr:graphicFrame macro="">
      <xdr:nvGraphicFramePr>
        <xdr:cNvPr id="3" name="Chart 1">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501649</xdr:colOff>
      <xdr:row>37</xdr:row>
      <xdr:rowOff>63500</xdr:rowOff>
    </xdr:from>
    <xdr:ext cx="4899025" cy="3960000"/>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13</xdr:col>
      <xdr:colOff>0</xdr:colOff>
      <xdr:row>22</xdr:row>
      <xdr:rowOff>0</xdr:rowOff>
    </xdr:from>
    <xdr:ext cx="7239000" cy="3952875"/>
    <xdr:graphicFrame macro="">
      <xdr:nvGraphicFramePr>
        <xdr:cNvPr id="3" name="Chart 2">
          <a:extLst>
            <a:ext uri="{FF2B5EF4-FFF2-40B4-BE49-F238E27FC236}">
              <a16:creationId xmlns:a16="http://schemas.microsoft.com/office/drawing/2014/main" id="{00000000-0008-0000-0800-000003000000}"/>
            </a:ext>
            <a:ext uri="{147F2762-F138-4A5C-976F-8EAC2B608ADB}">
              <a16:predDERef xmlns:a16="http://schemas.microsoft.com/office/drawing/2014/main" pre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26" Type="http://schemas.openxmlformats.org/officeDocument/2006/relationships/hyperlink" Target="https://data.worldbank.org/indicator/SP.DYN.IMRT.IN?locations=AO" TargetMode="External"/><Relationship Id="rId21" Type="http://schemas.openxmlformats.org/officeDocument/2006/relationships/hyperlink" Target="https://data.worldbank.org/indicator/FR.INR.RINR?locations=AO" TargetMode="External"/><Relationship Id="rId34" Type="http://schemas.openxmlformats.org/officeDocument/2006/relationships/hyperlink" Target="https://data.worldbank.org/indicator/IE.PPI.TRAN.CD?locations=AO" TargetMode="External"/><Relationship Id="rId42" Type="http://schemas.openxmlformats.org/officeDocument/2006/relationships/hyperlink" Target="https://data.worldbank.org/indicator/SH_UHC_SCI?locations=AO" TargetMode="External"/><Relationship Id="rId47" Type="http://schemas.openxmlformats.org/officeDocument/2006/relationships/hyperlink" Target="https://data.worldbank.org/indicator/FS.AST.PRVT.GD.ZS?locations=AO" TargetMode="External"/><Relationship Id="rId50" Type="http://schemas.openxmlformats.org/officeDocument/2006/relationships/hyperlink" Target="https://data.worldbank.org/indicator/IC.BUS.NDNS.ZS?locations=AO" TargetMode="External"/><Relationship Id="rId55" Type="http://schemas.openxmlformats.org/officeDocument/2006/relationships/hyperlink" Target="https://data.worldbank.org/indicator/SP.URB.TOTL.IN.ZS?locations=AO" TargetMode="External"/><Relationship Id="rId63" Type="http://schemas.openxmlformats.org/officeDocument/2006/relationships/hyperlink" Target="https://data.worldbank.org/indicator/BX.GSR.CCIS.ZS?locations=AO" TargetMode="External"/><Relationship Id="rId7" Type="http://schemas.openxmlformats.org/officeDocument/2006/relationships/hyperlink" Target="https://www.ine.gov.ao/publicacoes/detalhes/NDIzNTI%3D" TargetMode="External"/><Relationship Id="rId2" Type="http://schemas.openxmlformats.org/officeDocument/2006/relationships/hyperlink" Target="https://data.worldbank.org/indicator/NY.GDP.MKTP.KD.ZG?locations=AO" TargetMode="External"/><Relationship Id="rId16" Type="http://schemas.openxmlformats.org/officeDocument/2006/relationships/hyperlink" Target="https://data.worldbank.org/indicator/NY.GNP.PCAP.PP.CD?locations=AO" TargetMode="External"/><Relationship Id="rId29" Type="http://schemas.openxmlformats.org/officeDocument/2006/relationships/hyperlink" Target="https://data.worldbank.org/indicator/SL.UEM.NEET.ZS?locations=AO" TargetMode="External"/><Relationship Id="rId11" Type="http://schemas.openxmlformats.org/officeDocument/2006/relationships/hyperlink" Target="https://data.worldbank.org/indicator/PA.NUS.FCRF?locations=AO" TargetMode="External"/><Relationship Id="rId24" Type="http://schemas.openxmlformats.org/officeDocument/2006/relationships/hyperlink" Target="https://data.worldbank.org/indicator/NE.TRD.GNFS.ZS?locations=AO" TargetMode="External"/><Relationship Id="rId32" Type="http://schemas.openxmlformats.org/officeDocument/2006/relationships/hyperlink" Target="https://data.worldbank.org/indicator/IT.NET.USER.ZS?locations=AO" TargetMode="External"/><Relationship Id="rId37" Type="http://schemas.openxmlformats.org/officeDocument/2006/relationships/hyperlink" Target="https://data.worldbank.org/indicator/SL.UEM.NEET.ZS?locations=AO" TargetMode="External"/><Relationship Id="rId40" Type="http://schemas.openxmlformats.org/officeDocument/2006/relationships/hyperlink" Target="https://data.worldbank.org/indicator/SH.XPD.CHEX.GD.ZS?locations=AO" TargetMode="External"/><Relationship Id="rId45" Type="http://schemas.openxmlformats.org/officeDocument/2006/relationships/hyperlink" Target="https://data.worldbank.org/indicator/NE.GDI.FTOT.ZS?locations=AO" TargetMode="External"/><Relationship Id="rId53" Type="http://schemas.openxmlformats.org/officeDocument/2006/relationships/hyperlink" Target="https://data.worldbank.org/indicator/SP.POP.TOTL?locations=AO" TargetMode="External"/><Relationship Id="rId58" Type="http://schemas.openxmlformats.org/officeDocument/2006/relationships/hyperlink" Target="https://data.worldbank.org/indicator/SP.POP.DPND.YG?locations=AO" TargetMode="External"/><Relationship Id="rId5" Type="http://schemas.openxmlformats.org/officeDocument/2006/relationships/hyperlink" Target="https://data.worldbank.org/indicator/FI.RES.TOTL.MO?locations=AO" TargetMode="External"/><Relationship Id="rId61" Type="http://schemas.openxmlformats.org/officeDocument/2006/relationships/hyperlink" Target="https://data.worldbank.org/indicator/SM.POP.RHCR.EO?locations=AO" TargetMode="External"/><Relationship Id="rId19" Type="http://schemas.openxmlformats.org/officeDocument/2006/relationships/hyperlink" Target="https://data.worldbank.org/indicator/FB.AST.NPER.ZS?locations=AO" TargetMode="External"/><Relationship Id="rId14" Type="http://schemas.openxmlformats.org/officeDocument/2006/relationships/hyperlink" Target="https://data.worldbank.org/indicator/FR.INR.LEND?locations=AO" TargetMode="External"/><Relationship Id="rId22" Type="http://schemas.openxmlformats.org/officeDocument/2006/relationships/hyperlink" Target="https://data.worldbank.org/indicator/GC.XPN.TOTL.GD.ZS?locations=AO" TargetMode="External"/><Relationship Id="rId27" Type="http://schemas.openxmlformats.org/officeDocument/2006/relationships/hyperlink" Target="https://data.worldbank.org/indicator/SI.POV.DDAY?locations=AO" TargetMode="External"/><Relationship Id="rId30" Type="http://schemas.openxmlformats.org/officeDocument/2006/relationships/hyperlink" Target="https://data.worldbank.org/indicator/SH.H2O.BASW.ZS?locations=AO" TargetMode="External"/><Relationship Id="rId35" Type="http://schemas.openxmlformats.org/officeDocument/2006/relationships/hyperlink" Target="https://data.worldbank.org/indicator/SL.EMP.TOTL.SP.ZS?locations=AO" TargetMode="External"/><Relationship Id="rId43" Type="http://schemas.openxmlformats.org/officeDocument/2006/relationships/hyperlink" Target="https://www.ine.gov.ao/publicacoes/detalhes/NDIzNTI%3D" TargetMode="External"/><Relationship Id="rId48" Type="http://schemas.openxmlformats.org/officeDocument/2006/relationships/hyperlink" Target="https://data.worldbank.org/indicator/NV.AGR.TOTL.ZS?locations=AO" TargetMode="External"/><Relationship Id="rId56" Type="http://schemas.openxmlformats.org/officeDocument/2006/relationships/hyperlink" Target="https://data.worldbank.org/indicator/SP.POP.DPND?locations=AO" TargetMode="External"/><Relationship Id="rId64" Type="http://schemas.openxmlformats.org/officeDocument/2006/relationships/hyperlink" Target="https://data.worldbank.org/indicator/TX.VAL.ICTG.ZS.UN?locations=AO" TargetMode="External"/><Relationship Id="rId8" Type="http://schemas.openxmlformats.org/officeDocument/2006/relationships/hyperlink" Target="https://data.worldbank.org/indicator/BN.CAB.XOKA.GD.ZS?locations=AO" TargetMode="External"/><Relationship Id="rId51" Type="http://schemas.openxmlformats.org/officeDocument/2006/relationships/hyperlink" Target="https://data.worldbank.org/indicator/NV.IND.TOTL.ZS?locations=AO" TargetMode="External"/><Relationship Id="rId3" Type="http://schemas.openxmlformats.org/officeDocument/2006/relationships/hyperlink" Target="https://data.worldbank.org/indicator/NY.GDP.PCAP.CD?locations=AO" TargetMode="External"/><Relationship Id="rId12" Type="http://schemas.openxmlformats.org/officeDocument/2006/relationships/hyperlink" Target="https://data.worldbank.org/indicator/NE.EXP.GNFS.ZS?locations=AO" TargetMode="External"/><Relationship Id="rId17" Type="http://schemas.openxmlformats.org/officeDocument/2006/relationships/hyperlink" Target="https://data.worldbank.org/indicator/GC.REV.XGRT.GD.ZS?locations=AO" TargetMode="External"/><Relationship Id="rId25" Type="http://schemas.openxmlformats.org/officeDocument/2006/relationships/hyperlink" Target="https://data.worldbank.org/indicator/SP.DYN.LE00.IN?locations=AO" TargetMode="External"/><Relationship Id="rId33" Type="http://schemas.openxmlformats.org/officeDocument/2006/relationships/hyperlink" Target="https://data.worldbank.org/indicator/IS.SHP.GOOD.TU?locations=AO" TargetMode="External"/><Relationship Id="rId38" Type="http://schemas.openxmlformats.org/officeDocument/2006/relationships/hyperlink" Target="https://data.worldbank.org/indicator/SL.UEM.TOTL.NE.ZS?locations=AO" TargetMode="External"/><Relationship Id="rId46" Type="http://schemas.openxmlformats.org/officeDocument/2006/relationships/hyperlink" Target="https://data.worldbank.org/indicator/BX.KLT.DINV.WD.GD.ZS?locations=AO" TargetMode="External"/><Relationship Id="rId59" Type="http://schemas.openxmlformats.org/officeDocument/2006/relationships/hyperlink" Target="https://data.worldbank.org/indicator/SP.URB.GROW?locations=AO" TargetMode="External"/><Relationship Id="rId20" Type="http://schemas.openxmlformats.org/officeDocument/2006/relationships/hyperlink" Target="https://www.ine.gov.ao/publicacoes/detalhes/NDIzNTI%3D" TargetMode="External"/><Relationship Id="rId41" Type="http://schemas.openxmlformats.org/officeDocument/2006/relationships/hyperlink" Target="https://data.worldbank.org/indicator/SH.IMM.MEAS?locations=AO" TargetMode="External"/><Relationship Id="rId54" Type="http://schemas.openxmlformats.org/officeDocument/2006/relationships/hyperlink" Target="https://data.worldbank.org/indicator/SP.POP.GROW?locations=AO" TargetMode="External"/><Relationship Id="rId62" Type="http://schemas.openxmlformats.org/officeDocument/2006/relationships/hyperlink" Target="https://data.worldbank.org/indicator/SM.POP.RHCR.EA?locations=AO" TargetMode="External"/><Relationship Id="rId1" Type="http://schemas.openxmlformats.org/officeDocument/2006/relationships/hyperlink" Target="https://www.transparency.org/en/countries/angola" TargetMode="External"/><Relationship Id="rId6" Type="http://schemas.openxmlformats.org/officeDocument/2006/relationships/hyperlink" Target="https://www.ine.gov.ao/publicacoes/detalhes/NDIzNTI%3D" TargetMode="External"/><Relationship Id="rId15" Type="http://schemas.openxmlformats.org/officeDocument/2006/relationships/hyperlink" Target="https://data.worldbank.org/indicator/FM.LBL.BMNY.GD.ZS?locations=AO" TargetMode="External"/><Relationship Id="rId23" Type="http://schemas.openxmlformats.org/officeDocument/2006/relationships/hyperlink" Target="https://data.worldbank.org/indicator/TG.VAL.TOTL.GD.ZS?locations=AO" TargetMode="External"/><Relationship Id="rId28" Type="http://schemas.openxmlformats.org/officeDocument/2006/relationships/hyperlink" Target="https://data.worldbank.org/indicator/NY.GNP.PCAP.CD?locations=AO" TargetMode="External"/><Relationship Id="rId36" Type="http://schemas.openxmlformats.org/officeDocument/2006/relationships/hyperlink" Target="https://data.worldbank.org/indicator/SL.UEM.TOTL.ZS?locations=AO" TargetMode="External"/><Relationship Id="rId49" Type="http://schemas.openxmlformats.org/officeDocument/2006/relationships/hyperlink" Target="https://data.worldbank.org/indicator/NV.SRV.TOTL.ZS?locations=AO" TargetMode="External"/><Relationship Id="rId57" Type="http://schemas.openxmlformats.org/officeDocument/2006/relationships/hyperlink" Target="https://data.worldbank.org/indicator/SP.RUR.TOTL.ZS?locations=AO" TargetMode="External"/><Relationship Id="rId10" Type="http://schemas.openxmlformats.org/officeDocument/2006/relationships/hyperlink" Target="https://data.worldbank.org/indicator/BX.KLT.DINV.WD.GD.ZS?locations=AO" TargetMode="External"/><Relationship Id="rId31" Type="http://schemas.openxmlformats.org/officeDocument/2006/relationships/hyperlink" Target="https://data.worldbank.org/indicator/SH.STA.BASS.ZS?locations=AO" TargetMode="External"/><Relationship Id="rId44" Type="http://schemas.openxmlformats.org/officeDocument/2006/relationships/hyperlink" Target="https://data.worldbank.org/indicator/NV.IND.MANF.ZS?locations=AO" TargetMode="External"/><Relationship Id="rId52" Type="http://schemas.openxmlformats.org/officeDocument/2006/relationships/hyperlink" Target="https://data.worldbank.org/indicator/EN.ATM.PM25.MC.M3?locations=AO" TargetMode="External"/><Relationship Id="rId60" Type="http://schemas.openxmlformats.org/officeDocument/2006/relationships/hyperlink" Target="https://data.worldbank.org/indicator/SP.POP.DPND.OL?locations=AO" TargetMode="External"/><Relationship Id="rId65" Type="http://schemas.openxmlformats.org/officeDocument/2006/relationships/hyperlink" Target="https://data.worldbank.org/indicator/IP.JRN.ARTC.SC?locations=AO" TargetMode="External"/><Relationship Id="rId4" Type="http://schemas.openxmlformats.org/officeDocument/2006/relationships/hyperlink" Target="https://data.worldbank.org/indicator/FP.CPI.TOTL.ZG?locations=AO" TargetMode="External"/><Relationship Id="rId9" Type="http://schemas.openxmlformats.org/officeDocument/2006/relationships/hyperlink" Target="https://data.worldbank.org/indicator/GC.TAX.TOTL.GD.ZS?locations=AO" TargetMode="External"/><Relationship Id="rId13" Type="http://schemas.openxmlformats.org/officeDocument/2006/relationships/hyperlink" Target="https://data.worldbank.org/indicator/FS.AST.PRVT.GD.ZS?locations=AO" TargetMode="External"/><Relationship Id="rId18" Type="http://schemas.openxmlformats.org/officeDocument/2006/relationships/hyperlink" Target="https://data.worldbank.org/indicator/FB.BNK.CAPA.ZS?locations=AO" TargetMode="External"/><Relationship Id="rId39" Type="http://schemas.openxmlformats.org/officeDocument/2006/relationships/hyperlink" Target="https://data.worldbank.org/indicator/SH.STA.MMRT?locations=A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5F"/>
  </sheetPr>
  <dimension ref="B2:O48"/>
  <sheetViews>
    <sheetView showGridLines="0" topLeftCell="A20" workbookViewId="0">
      <selection activeCell="S30" sqref="S30"/>
    </sheetView>
  </sheetViews>
  <sheetFormatPr defaultRowHeight="14.45"/>
  <cols>
    <col min="1" max="1" width="3" customWidth="1"/>
    <col min="2" max="2" width="13" customWidth="1"/>
    <col min="3" max="4" width="8" customWidth="1"/>
    <col min="5" max="5" width="13" customWidth="1"/>
    <col min="6" max="7" width="8" customWidth="1"/>
    <col min="8" max="8" width="13" customWidth="1"/>
    <col min="9" max="10" width="8" customWidth="1"/>
    <col min="11" max="11" width="13" customWidth="1"/>
    <col min="12" max="13" width="8" customWidth="1"/>
    <col min="14" max="14" width="13" customWidth="1"/>
    <col min="15" max="16" width="8" customWidth="1"/>
  </cols>
  <sheetData>
    <row r="2" spans="2:15" ht="23.45" customHeight="1">
      <c r="B2" s="1" t="s">
        <v>0</v>
      </c>
    </row>
    <row r="3" spans="2:15">
      <c r="B3" s="2" t="str">
        <f>"Período 2015–2025  ·  "&amp;TEXT(SUMPRODUCT(('01_Criterios'!$C$26:$C$36=1)*1),"0")&amp;" dimensões activas  ·  "&amp;TEXT(SUM('01_Criterios'!$H$26:$H$36),"0")&amp;" indicadores seleccionados  ·  selecção "&amp;LOWER('01_Criterios'!$C$18)</f>
        <v>Período 2015–2025  ·  8 dimensões activas  ·  41 indicadores seleccionados  ·  selecção automática</v>
      </c>
    </row>
    <row r="5" spans="2:15" ht="15.6" customHeight="1">
      <c r="B5" s="42" t="s">
        <v>1</v>
      </c>
      <c r="C5" s="54"/>
      <c r="D5" s="54"/>
      <c r="E5" s="54"/>
      <c r="F5" s="54"/>
      <c r="G5" s="54"/>
      <c r="H5" s="54"/>
      <c r="I5" s="54"/>
      <c r="J5" s="54"/>
      <c r="K5" s="54"/>
      <c r="L5" s="54"/>
      <c r="M5" s="54"/>
      <c r="N5" s="54"/>
      <c r="O5" s="54"/>
    </row>
    <row r="7" spans="2:15">
      <c r="B7" s="47">
        <f>IFERROR(LOOKUP(9.99E+307,'07_Subindices'!F18:P18),"–")</f>
        <v>46.432548972529112</v>
      </c>
      <c r="C7" s="54"/>
      <c r="E7" s="47">
        <f>IFERROR(INDEX('07_Subindices'!F18:P18,MATCH(TRUE,INDEX(ISNUMBER('07_Subindices'!F18:P18),0),0)),"–")</f>
        <v>43.248684111213123</v>
      </c>
      <c r="F7" s="54"/>
      <c r="H7" s="44">
        <f>IF('07_Subindices'!S18="","–",'07_Subindices'!S18)</f>
        <v>3.183864861315989</v>
      </c>
      <c r="I7" s="54"/>
      <c r="K7" s="46" t="str">
        <f>IFERROR(INDEX('07_Subindices'!$A$5:$A$15,MATCH(MAX('07_Subindices'!$T$5:$T$15),'07_Subindices'!$T$5:$T$15,0)),"–")</f>
        <v>Mercado Trabalho</v>
      </c>
      <c r="L7" s="54"/>
      <c r="N7" s="46" t="str">
        <f>IFERROR(INDEX('07_Subindices'!$A$5:$A$15,MATCH(MIN('07_Subindices'!$T$5:$T$15),'07_Subindices'!$T$5:$T$15,0)),"–")</f>
        <v>Diversificação</v>
      </c>
      <c r="O7" s="54"/>
    </row>
    <row r="8" spans="2:15">
      <c r="B8" s="54"/>
      <c r="C8" s="54"/>
      <c r="E8" s="54"/>
      <c r="F8" s="54"/>
      <c r="H8" s="54"/>
      <c r="I8" s="54"/>
      <c r="K8" s="54"/>
      <c r="L8" s="54"/>
      <c r="N8" s="54"/>
      <c r="O8" s="54"/>
    </row>
    <row r="9" spans="2:15">
      <c r="B9" s="43" t="str">
        <f>"IGDA "&amp;IFERROR(LOOKUP(2,1/ISNUMBER('07_Subindices'!F18:P18),'07_Subindices'!$F$4:$P$4),"")&amp;" (último ano)"</f>
        <v>IGDA 2025 (último ano)</v>
      </c>
      <c r="C9" s="54"/>
      <c r="E9" s="43" t="str">
        <f>"IGDA "&amp;IFERROR(INDEX('07_Subindices'!$F$4:$P$4,MATCH(TRUE,INDEX(ISNUMBER('07_Subindices'!F18:P18),0),0)),"")&amp;" (primeiro ano)"</f>
        <v>IGDA 2015 (primeiro ano)</v>
      </c>
      <c r="F9" s="54"/>
      <c r="H9" s="43" t="str">
        <f>"Variação no período (p.p.)"</f>
        <v>Variação no período (p.p.)</v>
      </c>
      <c r="I9" s="54"/>
      <c r="K9" s="43" t="str">
        <f>"Melhor dimensão (último ano)"</f>
        <v>Melhor dimensão (último ano)</v>
      </c>
      <c r="L9" s="54"/>
      <c r="N9" s="43" t="str">
        <f>"Pior dimensão (último ano)"</f>
        <v>Pior dimensão (último ano)</v>
      </c>
      <c r="O9" s="54"/>
    </row>
    <row r="11" spans="2:15" ht="18.600000000000001" customHeight="1">
      <c r="B11" s="45" t="str">
        <f>SUMPRODUCT(('01_Criterios'!$C$26:$C$36=1)*1)&amp;" / 11"</f>
        <v>8 / 11</v>
      </c>
      <c r="C11" s="54"/>
      <c r="E11" s="45">
        <f>SUM('01_Criterios'!$H$26:$H$36)</f>
        <v>41</v>
      </c>
      <c r="F11" s="54"/>
      <c r="H11" s="48">
        <f>IFERROR(SUM('05_Flags_Qualidade'!$W$5:$W$114)/(SUM('05_Flags_Qualidade'!$V$5:$V$114)+SUM('05_Flags_Qualidade'!$W$5:$W$114)),0)</f>
        <v>5.7649667405764965E-2</v>
      </c>
      <c r="I11" s="54"/>
      <c r="K11" s="45" t="str">
        <f>IFERROR(LOOKUP(2,1/('07_Subindices'!F19:P19&lt;&gt;""),'07_Subindices'!F19:P19),"–")</f>
        <v>Médio</v>
      </c>
      <c r="L11" s="54"/>
    </row>
    <row r="12" spans="2:15">
      <c r="B12" s="43" t="str">
        <f>"Dimensões activas"</f>
        <v>Dimensões activas</v>
      </c>
      <c r="C12" s="54"/>
      <c r="E12" s="43" t="str">
        <f>"Indicadores no índice"</f>
        <v>Indicadores no índice</v>
      </c>
      <c r="F12" s="54"/>
      <c r="H12" s="43" t="str">
        <f>"Células estimadas (imputação)"</f>
        <v>Células estimadas (imputação)</v>
      </c>
      <c r="I12" s="54"/>
      <c r="K12" s="43" t="str">
        <f>"Classificação (último ano)"</f>
        <v>Classificação (último ano)</v>
      </c>
      <c r="L12" s="54"/>
    </row>
    <row r="14" spans="2:15" ht="15.6" customHeight="1">
      <c r="B14" s="42" t="s">
        <v>2</v>
      </c>
      <c r="C14" s="54"/>
      <c r="D14" s="54"/>
      <c r="E14" s="54"/>
      <c r="F14" s="54"/>
      <c r="G14" s="54"/>
      <c r="H14" s="54"/>
      <c r="I14" s="54"/>
      <c r="J14" s="54"/>
      <c r="K14" s="54"/>
      <c r="L14" s="54"/>
      <c r="M14" s="54"/>
      <c r="N14" s="54"/>
      <c r="O14" s="54"/>
    </row>
    <row r="15" spans="2:15">
      <c r="B15" s="3" t="s">
        <v>3</v>
      </c>
      <c r="E15" s="4" t="s">
        <v>4</v>
      </c>
    </row>
    <row r="16" spans="2:15">
      <c r="B16" s="3" t="s">
        <v>5</v>
      </c>
      <c r="E16" s="4" t="s">
        <v>6</v>
      </c>
    </row>
    <row r="17" spans="2:15">
      <c r="B17" s="3" t="s">
        <v>7</v>
      </c>
      <c r="E17" s="4" t="s">
        <v>8</v>
      </c>
    </row>
    <row r="18" spans="2:15">
      <c r="B18" s="3" t="s">
        <v>9</v>
      </c>
      <c r="E18" s="4" t="s">
        <v>10</v>
      </c>
    </row>
    <row r="19" spans="2:15">
      <c r="B19" s="3" t="s">
        <v>11</v>
      </c>
      <c r="E19" s="4" t="s">
        <v>12</v>
      </c>
    </row>
    <row r="20" spans="2:15">
      <c r="B20" s="3" t="s">
        <v>13</v>
      </c>
      <c r="E20" s="4" t="s">
        <v>14</v>
      </c>
    </row>
    <row r="21" spans="2:15">
      <c r="B21" s="3" t="s">
        <v>15</v>
      </c>
      <c r="E21" s="4" t="s">
        <v>16</v>
      </c>
    </row>
    <row r="22" spans="2:15">
      <c r="B22" s="3" t="s">
        <v>17</v>
      </c>
      <c r="E22" s="4" t="s">
        <v>18</v>
      </c>
    </row>
    <row r="23" spans="2:15">
      <c r="B23" s="3" t="s">
        <v>19</v>
      </c>
      <c r="E23" s="4" t="s">
        <v>20</v>
      </c>
    </row>
    <row r="24" spans="2:15">
      <c r="B24" s="3" t="s">
        <v>21</v>
      </c>
      <c r="E24" s="4" t="s">
        <v>22</v>
      </c>
    </row>
    <row r="26" spans="2:15" ht="15.6" customHeight="1">
      <c r="B26" s="42" t="s">
        <v>23</v>
      </c>
      <c r="C26" s="54"/>
      <c r="D26" s="54"/>
      <c r="E26" s="54"/>
      <c r="F26" s="54"/>
      <c r="G26" s="54"/>
      <c r="H26" s="54"/>
      <c r="I26" s="54"/>
      <c r="J26" s="54"/>
      <c r="K26" s="54"/>
      <c r="L26" s="54"/>
      <c r="M26" s="54"/>
      <c r="N26" s="54"/>
      <c r="O26" s="54"/>
    </row>
    <row r="27" spans="2:15">
      <c r="B27" s="5" t="s">
        <v>24</v>
      </c>
      <c r="C27" s="5">
        <v>2015</v>
      </c>
      <c r="D27" s="5">
        <v>2016</v>
      </c>
      <c r="E27" s="5">
        <v>2017</v>
      </c>
      <c r="F27" s="5">
        <v>2018</v>
      </c>
      <c r="G27" s="5">
        <v>2019</v>
      </c>
      <c r="H27" s="5">
        <v>2020</v>
      </c>
      <c r="I27" s="5">
        <v>2021</v>
      </c>
      <c r="J27" s="5">
        <v>2022</v>
      </c>
      <c r="K27" s="5">
        <v>2023</v>
      </c>
      <c r="L27" s="5">
        <v>2024</v>
      </c>
      <c r="M27" s="5">
        <v>2025</v>
      </c>
    </row>
    <row r="28" spans="2:15">
      <c r="B28" s="6" t="str">
        <f>'07_Subindices'!A5</f>
        <v>Governança</v>
      </c>
      <c r="C28" s="7">
        <f>IF('07_Subindices'!F5="","",'07_Subindices'!F5)</f>
        <v>27.415798000000002</v>
      </c>
      <c r="D28" s="7">
        <f>IF('07_Subindices'!G5="","",'07_Subindices'!G5)</f>
        <v>28.027149599999994</v>
      </c>
      <c r="E28" s="7">
        <f>IF('07_Subindices'!H5="","",'07_Subindices'!H5)</f>
        <v>27.731903199999998</v>
      </c>
      <c r="F28" s="7">
        <f>IF('07_Subindices'!I5="","",'07_Subindices'!I5)</f>
        <v>29.570946399999997</v>
      </c>
      <c r="G28" s="7">
        <f>IF('07_Subindices'!J5="","",'07_Subindices'!J5)</f>
        <v>31.678183999999998</v>
      </c>
      <c r="H28" s="7">
        <f>IF('07_Subindices'!K5="","",'07_Subindices'!K5)</f>
        <v>30.817962399999999</v>
      </c>
      <c r="I28" s="7">
        <f>IF('07_Subindices'!L5="","",'07_Subindices'!L5)</f>
        <v>31.100242000000001</v>
      </c>
      <c r="J28" s="7">
        <f>IF('07_Subindices'!M5="","",'07_Subindices'!M5)</f>
        <v>33.006381599999997</v>
      </c>
      <c r="K28" s="7">
        <f>IF('07_Subindices'!N5="","",'07_Subindices'!N5)</f>
        <v>33.637387199999999</v>
      </c>
      <c r="L28" s="7">
        <f>IF('07_Subindices'!O5="","",'07_Subindices'!O5)</f>
        <v>33.1938076</v>
      </c>
      <c r="M28" s="7">
        <f>IF('07_Subindices'!P5="","",'07_Subindices'!P5)</f>
        <v>33.1938076</v>
      </c>
    </row>
    <row r="29" spans="2:15">
      <c r="B29" s="6" t="str">
        <f>'07_Subindices'!A6</f>
        <v>Macroeconomia</v>
      </c>
      <c r="C29" s="7">
        <f>IF('07_Subindices'!F6="","",'07_Subindices'!F6)</f>
        <v>49.133768107736039</v>
      </c>
      <c r="D29" s="7">
        <f>IF('07_Subindices'!G6="","",'07_Subindices'!G6)</f>
        <v>44.476291758312172</v>
      </c>
      <c r="E29" s="7">
        <f>IF('07_Subindices'!H6="","",'07_Subindices'!H6)</f>
        <v>46.557338502599372</v>
      </c>
      <c r="F29" s="7">
        <f>IF('07_Subindices'!I6="","",'07_Subindices'!I6)</f>
        <v>45.10833095894948</v>
      </c>
      <c r="G29" s="7">
        <f>IF('07_Subindices'!J6="","",'07_Subindices'!J6)</f>
        <v>44.095034318734243</v>
      </c>
      <c r="H29" s="7">
        <f>IF('07_Subindices'!K6="","",'07_Subindices'!K6)</f>
        <v>33.062574046126485</v>
      </c>
      <c r="I29" s="7">
        <f>IF('07_Subindices'!L6="","",'07_Subindices'!L6)</f>
        <v>48.695602599234192</v>
      </c>
      <c r="J29" s="7">
        <f>IF('07_Subindices'!M6="","",'07_Subindices'!M6)</f>
        <v>49.630240065091314</v>
      </c>
      <c r="K29" s="7">
        <f>IF('07_Subindices'!N6="","",'07_Subindices'!N6)</f>
        <v>47.263381415405128</v>
      </c>
      <c r="L29" s="7">
        <f>IF('07_Subindices'!O6="","",'07_Subindices'!O6)</f>
        <v>48.596289571208857</v>
      </c>
      <c r="M29" s="7">
        <f>IF('07_Subindices'!P6="","",'07_Subindices'!P6)</f>
        <v>49.659758493545056</v>
      </c>
    </row>
    <row r="30" spans="2:15">
      <c r="B30" s="6" t="str">
        <f>'07_Subindices'!A7</f>
        <v>Capital Humano</v>
      </c>
      <c r="C30" s="7">
        <f>IF('07_Subindices'!F7="","",'07_Subindices'!F7)</f>
        <v>50.4790343816302</v>
      </c>
      <c r="D30" s="7">
        <f>IF('07_Subindices'!G7="","",'07_Subindices'!G7)</f>
        <v>56.861999734226245</v>
      </c>
      <c r="E30" s="7">
        <f>IF('07_Subindices'!H7="","",'07_Subindices'!H7)</f>
        <v>56.57129959172471</v>
      </c>
      <c r="F30" s="7">
        <f>IF('07_Subindices'!I7="","",'07_Subindices'!I7)</f>
        <v>56.257329482203879</v>
      </c>
      <c r="G30" s="7">
        <f>IF('07_Subindices'!J7="","",'07_Subindices'!J7)</f>
        <v>56.302874629753752</v>
      </c>
      <c r="H30" s="7">
        <f>IF('07_Subindices'!K7="","",'07_Subindices'!K7)</f>
        <v>57.924943128556905</v>
      </c>
      <c r="I30" s="7">
        <f>IF('07_Subindices'!L7="","",'07_Subindices'!L7)</f>
        <v>56.994872579711362</v>
      </c>
      <c r="J30" s="7">
        <f>IF('07_Subindices'!M7="","",'07_Subindices'!M7)</f>
        <v>58.047500024518392</v>
      </c>
      <c r="K30" s="7">
        <f>IF('07_Subindices'!N7="","",'07_Subindices'!N7)</f>
        <v>58.688721924774967</v>
      </c>
      <c r="L30" s="7">
        <f>IF('07_Subindices'!O7="","",'07_Subindices'!O7)</f>
        <v>58.943166369219412</v>
      </c>
      <c r="M30" s="7">
        <f>IF('07_Subindices'!P7="","",'07_Subindices'!P7)</f>
        <v>59.051499702552746</v>
      </c>
    </row>
    <row r="31" spans="2:15">
      <c r="B31" s="6" t="str">
        <f>'07_Subindices'!A8</f>
        <v>Inclusão Social</v>
      </c>
      <c r="C31" s="7">
        <f>IF('07_Subindices'!F8="","",'07_Subindices'!F8)</f>
        <v>50.768338557993722</v>
      </c>
      <c r="D31" s="7">
        <f>IF('07_Subindices'!G8="","",'07_Subindices'!G8)</f>
        <v>47.543051201671879</v>
      </c>
      <c r="E31" s="7">
        <f>IF('07_Subindices'!H8="","",'07_Subindices'!H8)</f>
        <v>42.71229536746781</v>
      </c>
      <c r="F31" s="7">
        <f>IF('07_Subindices'!I8="","",'07_Subindices'!I8)</f>
        <v>42.157122953674701</v>
      </c>
      <c r="G31" s="7">
        <f>IF('07_Subindices'!J8="","",'07_Subindices'!J8)</f>
        <v>42.722413793103449</v>
      </c>
      <c r="H31" s="7">
        <f>IF('07_Subindices'!K8="","",'07_Subindices'!K8)</f>
        <v>42.114942528735632</v>
      </c>
      <c r="I31" s="7">
        <f>IF('07_Subindices'!L8="","",'07_Subindices'!L8)</f>
        <v>41.670463253221847</v>
      </c>
      <c r="J31" s="7">
        <f>IF('07_Subindices'!M8="","",'07_Subindices'!M8)</f>
        <v>44.068477882270969</v>
      </c>
      <c r="K31" s="7">
        <f>IF('07_Subindices'!N8="","",'07_Subindices'!N8)</f>
        <v>45.496064089167525</v>
      </c>
      <c r="L31" s="7">
        <f>IF('07_Subindices'!O8="","",'07_Subindices'!O8)</f>
        <v>49.638662486938323</v>
      </c>
      <c r="M31" s="7">
        <f>IF('07_Subindices'!P8="","",'07_Subindices'!P8)</f>
        <v>49.409125740160221</v>
      </c>
    </row>
    <row r="32" spans="2:15">
      <c r="B32" s="6" t="str">
        <f>'07_Subindices'!A9</f>
        <v>Infraestruturas</v>
      </c>
      <c r="C32" s="7">
        <f>IF('07_Subindices'!F9="","",'07_Subindices'!F9)</f>
        <v>45.989555869783167</v>
      </c>
      <c r="D32" s="7">
        <f>IF('07_Subindices'!G9="","",'07_Subindices'!G9)</f>
        <v>39.273908700006679</v>
      </c>
      <c r="E32" s="7">
        <f>IF('07_Subindices'!H9="","",'07_Subindices'!H9)</f>
        <v>44.683769108757488</v>
      </c>
      <c r="F32" s="7">
        <f>IF('07_Subindices'!I9="","",'07_Subindices'!I9)</f>
        <v>42.129239629241894</v>
      </c>
      <c r="G32" s="7">
        <f>IF('07_Subindices'!J9="","",'07_Subindices'!J9)</f>
        <v>44.854885911165049</v>
      </c>
      <c r="H32" s="7">
        <f>IF('07_Subindices'!K9="","",'07_Subindices'!K9)</f>
        <v>42.272598701323361</v>
      </c>
      <c r="I32" s="7">
        <f>IF('07_Subindices'!L9="","",'07_Subindices'!L9)</f>
        <v>44.079488580924043</v>
      </c>
      <c r="J32" s="7">
        <f>IF('07_Subindices'!M9="","",'07_Subindices'!M9)</f>
        <v>45.812539538030073</v>
      </c>
      <c r="K32" s="7">
        <f>IF('07_Subindices'!N9="","",'07_Subindices'!N9)</f>
        <v>46.239818385103277</v>
      </c>
      <c r="L32" s="7">
        <f>IF('07_Subindices'!O9="","",'07_Subindices'!O9)</f>
        <v>47.984622518916311</v>
      </c>
      <c r="M32" s="7">
        <f>IF('07_Subindices'!P9="","",'07_Subindices'!P9)</f>
        <v>47.984622518916311</v>
      </c>
    </row>
    <row r="33" spans="2:15">
      <c r="B33" s="6" t="str">
        <f>'07_Subindices'!A10</f>
        <v>Mercado Trabalho</v>
      </c>
      <c r="C33" s="7">
        <f>IF('07_Subindices'!F10="","",'07_Subindices'!F10)</f>
        <v>65.104270808678507</v>
      </c>
      <c r="D33" s="7">
        <f>IF('07_Subindices'!G10="","",'07_Subindices'!G10)</f>
        <v>63.743466173570027</v>
      </c>
      <c r="E33" s="7">
        <f>IF('07_Subindices'!H10="","",'07_Subindices'!H10)</f>
        <v>63.451157889546344</v>
      </c>
      <c r="F33" s="7">
        <f>IF('07_Subindices'!I10="","",'07_Subindices'!I10)</f>
        <v>62.984661834319525</v>
      </c>
      <c r="G33" s="7">
        <f>IF('07_Subindices'!J10="","",'07_Subindices'!J10)</f>
        <v>62.982749506903346</v>
      </c>
      <c r="H33" s="7">
        <f>IF('07_Subindices'!K10="","",'07_Subindices'!K10)</f>
        <v>59.207059566074953</v>
      </c>
      <c r="I33" s="7">
        <f>IF('07_Subindices'!L10="","",'07_Subindices'!L10)</f>
        <v>62.696662623274165</v>
      </c>
      <c r="J33" s="7">
        <f>IF('07_Subindices'!M10="","",'07_Subindices'!M10)</f>
        <v>67.141387278106492</v>
      </c>
      <c r="K33" s="7">
        <f>IF('07_Subindices'!N10="","",'07_Subindices'!N10)</f>
        <v>66.686718934911241</v>
      </c>
      <c r="L33" s="7">
        <f>IF('07_Subindices'!O10="","",'07_Subindices'!O10)</f>
        <v>67.060912820512812</v>
      </c>
      <c r="M33" s="7">
        <f>IF('07_Subindices'!P10="","",'07_Subindices'!P10)</f>
        <v>66.046859664694281</v>
      </c>
    </row>
    <row r="34" spans="2:15">
      <c r="B34" s="6" t="str">
        <f>'07_Subindices'!A11</f>
        <v>Saúde/Alimentar</v>
      </c>
      <c r="C34" s="7">
        <f>IF('07_Subindices'!F11="","",'07_Subindices'!F11)</f>
        <v>59.24485122952381</v>
      </c>
      <c r="D34" s="7">
        <f>IF('07_Subindices'!G11="","",'07_Subindices'!G11)</f>
        <v>58.281854842380952</v>
      </c>
      <c r="E34" s="7">
        <f>IF('07_Subindices'!H11="","",'07_Subindices'!H11)</f>
        <v>57.759990908571424</v>
      </c>
      <c r="F34" s="7">
        <f>IF('07_Subindices'!I11="","",'07_Subindices'!I11)</f>
        <v>58.248642695714288</v>
      </c>
      <c r="G34" s="7">
        <f>IF('07_Subindices'!J11="","",'07_Subindices'!J11)</f>
        <v>58.239980912380965</v>
      </c>
      <c r="H34" s="7">
        <f>IF('07_Subindices'!K11="","",'07_Subindices'!K11)</f>
        <v>58.15015419904762</v>
      </c>
      <c r="I34" s="7">
        <f>IF('07_Subindices'!L11="","",'07_Subindices'!L11)</f>
        <v>56.503792958095232</v>
      </c>
      <c r="J34" s="7">
        <f>IF('07_Subindices'!M11="","",'07_Subindices'!M11)</f>
        <v>56.375636221904756</v>
      </c>
      <c r="K34" s="7">
        <f>IF('07_Subindices'!N11="","",'07_Subindices'!N11)</f>
        <v>58.255549660952383</v>
      </c>
      <c r="L34" s="7">
        <f>IF('07_Subindices'!O11="","",'07_Subindices'!O11)</f>
        <v>56.807549660952382</v>
      </c>
      <c r="M34" s="7">
        <f>IF('07_Subindices'!P11="","",'07_Subindices'!P11)</f>
        <v>57.021835375238098</v>
      </c>
    </row>
    <row r="35" spans="2:15">
      <c r="B35" s="6" t="str">
        <f>'07_Subindices'!A12</f>
        <v>Diversificação</v>
      </c>
      <c r="C35" s="7">
        <f>IF('07_Subindices'!F12="","",'07_Subindices'!F12)</f>
        <v>19.988441072755187</v>
      </c>
      <c r="D35" s="7">
        <f>IF('07_Subindices'!G12="","",'07_Subindices'!G12)</f>
        <v>23.478583209191974</v>
      </c>
      <c r="E35" s="7">
        <f>IF('07_Subindices'!H12="","",'07_Subindices'!H12)</f>
        <v>24.641193541811887</v>
      </c>
      <c r="F35" s="7">
        <f>IF('07_Subindices'!I12="","",'07_Subindices'!I12)</f>
        <v>23.183337006898377</v>
      </c>
      <c r="G35" s="7">
        <f>IF('07_Subindices'!J12="","",'07_Subindices'!J12)</f>
        <v>21.835223422876471</v>
      </c>
      <c r="H35" s="7">
        <f>IF('07_Subindices'!K12="","",'07_Subindices'!K12)</f>
        <v>17.201785256447533</v>
      </c>
      <c r="I35" s="7">
        <f>IF('07_Subindices'!L12="","",'07_Subindices'!L12)</f>
        <v>24.55190943479478</v>
      </c>
      <c r="J35" s="7">
        <f>IF('07_Subindices'!M12="","",'07_Subindices'!M12)</f>
        <v>22.852555767836172</v>
      </c>
      <c r="K35" s="7">
        <f>IF('07_Subindices'!N12="","",'07_Subindices'!N12)</f>
        <v>23.132466989087224</v>
      </c>
      <c r="L35" s="7">
        <f>IF('07_Subindices'!O12="","",'07_Subindices'!O12)</f>
        <v>24.84501895430645</v>
      </c>
      <c r="M35" s="7">
        <f>IF('07_Subindices'!P12="","",'07_Subindices'!P12)</f>
        <v>24.85907584683132</v>
      </c>
    </row>
    <row r="36" spans="2:15">
      <c r="B36" s="6" t="str">
        <f>'07_Subindices'!A13</f>
        <v>Ambiente</v>
      </c>
      <c r="C36" s="7" t="str">
        <f>IF('07_Subindices'!F13="","",'07_Subindices'!F13)</f>
        <v/>
      </c>
      <c r="D36" s="7" t="str">
        <f>IF('07_Subindices'!G13="","",'07_Subindices'!G13)</f>
        <v/>
      </c>
      <c r="E36" s="7" t="str">
        <f>IF('07_Subindices'!H13="","",'07_Subindices'!H13)</f>
        <v/>
      </c>
      <c r="F36" s="7" t="str">
        <f>IF('07_Subindices'!I13="","",'07_Subindices'!I13)</f>
        <v/>
      </c>
      <c r="G36" s="7" t="str">
        <f>IF('07_Subindices'!J13="","",'07_Subindices'!J13)</f>
        <v/>
      </c>
      <c r="H36" s="7" t="str">
        <f>IF('07_Subindices'!K13="","",'07_Subindices'!K13)</f>
        <v/>
      </c>
      <c r="I36" s="7" t="str">
        <f>IF('07_Subindices'!L13="","",'07_Subindices'!L13)</f>
        <v/>
      </c>
      <c r="J36" s="7" t="str">
        <f>IF('07_Subindices'!M13="","",'07_Subindices'!M13)</f>
        <v/>
      </c>
      <c r="K36" s="7" t="str">
        <f>IF('07_Subindices'!N13="","",'07_Subindices'!N13)</f>
        <v/>
      </c>
      <c r="L36" s="7" t="str">
        <f>IF('07_Subindices'!O13="","",'07_Subindices'!O13)</f>
        <v/>
      </c>
      <c r="M36" s="7" t="str">
        <f>IF('07_Subindices'!P13="","",'07_Subindices'!P13)</f>
        <v/>
      </c>
    </row>
    <row r="37" spans="2:15">
      <c r="B37" s="6" t="str">
        <f>'07_Subindices'!A14</f>
        <v>Demografia</v>
      </c>
      <c r="C37" s="7" t="str">
        <f>IF('07_Subindices'!F14="","",'07_Subindices'!F14)</f>
        <v/>
      </c>
      <c r="D37" s="7" t="str">
        <f>IF('07_Subindices'!G14="","",'07_Subindices'!G14)</f>
        <v/>
      </c>
      <c r="E37" s="7" t="str">
        <f>IF('07_Subindices'!H14="","",'07_Subindices'!H14)</f>
        <v/>
      </c>
      <c r="F37" s="7" t="str">
        <f>IF('07_Subindices'!I14="","",'07_Subindices'!I14)</f>
        <v/>
      </c>
      <c r="G37" s="7" t="str">
        <f>IF('07_Subindices'!J14="","",'07_Subindices'!J14)</f>
        <v/>
      </c>
      <c r="H37" s="7" t="str">
        <f>IF('07_Subindices'!K14="","",'07_Subindices'!K14)</f>
        <v/>
      </c>
      <c r="I37" s="7" t="str">
        <f>IF('07_Subindices'!L14="","",'07_Subindices'!L14)</f>
        <v/>
      </c>
      <c r="J37" s="7" t="str">
        <f>IF('07_Subindices'!M14="","",'07_Subindices'!M14)</f>
        <v/>
      </c>
      <c r="K37" s="7" t="str">
        <f>IF('07_Subindices'!N14="","",'07_Subindices'!N14)</f>
        <v/>
      </c>
      <c r="L37" s="7" t="str">
        <f>IF('07_Subindices'!O14="","",'07_Subindices'!O14)</f>
        <v/>
      </c>
      <c r="M37" s="7" t="str">
        <f>IF('07_Subindices'!P14="","",'07_Subindices'!P14)</f>
        <v/>
      </c>
    </row>
    <row r="38" spans="2:15">
      <c r="B38" s="6" t="str">
        <f>'07_Subindices'!A15</f>
        <v>Digital/Inovação</v>
      </c>
      <c r="C38" s="7" t="str">
        <f>IF('07_Subindices'!F15="","",'07_Subindices'!F15)</f>
        <v/>
      </c>
      <c r="D38" s="7" t="str">
        <f>IF('07_Subindices'!G15="","",'07_Subindices'!G15)</f>
        <v/>
      </c>
      <c r="E38" s="7" t="str">
        <f>IF('07_Subindices'!H15="","",'07_Subindices'!H15)</f>
        <v/>
      </c>
      <c r="F38" s="7" t="str">
        <f>IF('07_Subindices'!I15="","",'07_Subindices'!I15)</f>
        <v/>
      </c>
      <c r="G38" s="7" t="str">
        <f>IF('07_Subindices'!J15="","",'07_Subindices'!J15)</f>
        <v/>
      </c>
      <c r="H38" s="7" t="str">
        <f>IF('07_Subindices'!K15="","",'07_Subindices'!K15)</f>
        <v/>
      </c>
      <c r="I38" s="7" t="str">
        <f>IF('07_Subindices'!L15="","",'07_Subindices'!L15)</f>
        <v/>
      </c>
      <c r="J38" s="7" t="str">
        <f>IF('07_Subindices'!M15="","",'07_Subindices'!M15)</f>
        <v/>
      </c>
      <c r="K38" s="7" t="str">
        <f>IF('07_Subindices'!N15="","",'07_Subindices'!N15)</f>
        <v/>
      </c>
      <c r="L38" s="7" t="str">
        <f>IF('07_Subindices'!O15="","",'07_Subindices'!O15)</f>
        <v/>
      </c>
      <c r="M38" s="7" t="str">
        <f>IF('07_Subindices'!P15="","",'07_Subindices'!P15)</f>
        <v/>
      </c>
    </row>
    <row r="39" spans="2:15">
      <c r="B39" s="8" t="s">
        <v>25</v>
      </c>
      <c r="C39" s="9">
        <f>IF('07_Subindices'!F18="","",'07_Subindices'!F18)</f>
        <v>43.248684111213123</v>
      </c>
      <c r="D39" s="9">
        <f>IF('07_Subindices'!G18="","",'07_Subindices'!G18)</f>
        <v>42.933393485198948</v>
      </c>
      <c r="E39" s="9">
        <f>IF('07_Subindices'!H18="","",'07_Subindices'!H18)</f>
        <v>43.400965089370771</v>
      </c>
      <c r="F39" s="9">
        <f>IF('07_Subindices'!I18="","",'07_Subindices'!I18)</f>
        <v>42.835765267401101</v>
      </c>
      <c r="G39" s="9">
        <f>IF('07_Subindices'!J18="","",'07_Subindices'!J18)</f>
        <v>43.173605483726718</v>
      </c>
      <c r="H39" s="9">
        <f>IF('07_Subindices'!K18="","",'07_Subindices'!K18)</f>
        <v>39.742017061261691</v>
      </c>
      <c r="I39" s="9">
        <f>IF('07_Subindices'!L18="","",'07_Subindices'!L18)</f>
        <v>43.898045503056984</v>
      </c>
      <c r="J39" s="9">
        <f>IF('07_Subindices'!M18="","",'07_Subindices'!M18)</f>
        <v>44.929552882565105</v>
      </c>
      <c r="K39" s="9">
        <f>IF('07_Subindices'!N18="","",'07_Subindices'!N18)</f>
        <v>45.270081985777637</v>
      </c>
      <c r="L39" s="9">
        <f>IF('07_Subindices'!O18="","",'07_Subindices'!O18)</f>
        <v>46.386470755815132</v>
      </c>
      <c r="M39" s="9">
        <f>IF('07_Subindices'!P18="","",'07_Subindices'!P18)</f>
        <v>46.432548972529112</v>
      </c>
    </row>
    <row r="42" spans="2:15" ht="15.6" customHeight="1">
      <c r="B42" s="42" t="s">
        <v>26</v>
      </c>
      <c r="C42" s="54"/>
      <c r="D42" s="54"/>
      <c r="E42" s="54"/>
      <c r="F42" s="54"/>
      <c r="G42" s="54"/>
      <c r="H42" s="54"/>
      <c r="I42" s="54"/>
      <c r="J42" s="54"/>
      <c r="K42" s="54"/>
      <c r="L42" s="54"/>
      <c r="M42" s="54"/>
      <c r="N42" s="54"/>
      <c r="O42" s="54"/>
    </row>
    <row r="43" spans="2:15">
      <c r="B43" s="10" t="str">
        <f>"• IGDA no último ano com dados: "&amp;IFERROR(FIXED(LOOKUP(9.99E+307,'07_Subindices'!F18:P18),1),"–")&amp;" ("&amp;IFERROR(LOOKUP(2,1/ISNUMBER('07_Subindices'!F18:P18),'07_Subindices'!$F$4:$P$4),"–")&amp;") — classificação "&amp;IFERROR(LOOKUP(2,1/('07_Subindices'!F19:P19&lt;&gt;""),'07_Subindices'!F19:P19),"–")</f>
        <v>• IGDA no último ano com dados: 46,4 (2025) — classificação Médio</v>
      </c>
    </row>
    <row r="44" spans="2:15">
      <c r="B44" s="10" t="str">
        <f>"• Variação no período: "&amp;IF('07_Subindices'!S18="","–",FIXED('07_Subindices'!S18,1))&amp;" p.p. desde "&amp;IFERROR(INDEX('07_Subindices'!$F$4:$P$4,MATCH(TRUE,INDEX(ISNUMBER('07_Subindices'!F18:P18),0),0)),"–")</f>
        <v>• Variação no período: 3,2 p.p. desde 2015</v>
      </c>
    </row>
    <row r="45" spans="2:15">
      <c r="B45" s="10" t="str">
        <f>"• Dimensão mais forte: "&amp;IFERROR(INDEX('07_Subindices'!$A$5:$A$15,MATCH(MAX('07_Subindices'!$T$5:$T$15),'07_Subindices'!$T$5:$T$15,0))&amp;" ("&amp;FIXED(MAX('07_Subindices'!$T$5:$T$15),1)&amp;")","–")</f>
        <v>• Dimensão mais forte: Mercado Trabalho (66,0)</v>
      </c>
    </row>
    <row r="46" spans="2:15">
      <c r="B46" s="10" t="str">
        <f>"• Dimensão mais fraca: "&amp;IFERROR(INDEX('07_Subindices'!$A$5:$A$15,MATCH(MIN('07_Subindices'!$T$5:$T$15),'07_Subindices'!$T$5:$T$15,0))&amp;" ("&amp;FIXED(MIN('07_Subindices'!$T$5:$T$15),1)&amp;")","–")</f>
        <v>• Dimensão mais fraca: Diversificação (24,9)</v>
      </c>
    </row>
    <row r="47" spans="2:15">
      <c r="B47" s="10" t="str">
        <f>"• Maior progresso no período: "&amp;IFERROR(INDEX('07_Subindices'!$A$5:$A$15,MATCH(MAX('07_Subindices'!$U$5:$U$15),'07_Subindices'!$U$5:$U$15,0))&amp;" ("&amp;FIXED(MAX('07_Subindices'!$U$5:$U$15),1)&amp;" p.p.)","–")</f>
        <v>• Maior progresso no período: Capital Humano (8,6 p.p.)</v>
      </c>
    </row>
    <row r="48" spans="2:15">
      <c r="B48" s="10" t="str">
        <f>"• Maior retrocesso no período: "&amp;IFERROR(INDEX('07_Subindices'!$A$5:$A$15,MATCH(MIN('07_Subindices'!$U$5:$U$15),'07_Subindices'!$U$5:$U$15,0))&amp;" ("&amp;FIXED(MIN('07_Subindices'!$U$5:$U$15),1)&amp;" p.p.)","–")</f>
        <v>• Maior retrocesso no período: Saúde/Alimentar (-2,2 p.p.)</v>
      </c>
    </row>
  </sheetData>
  <mergeCells count="22">
    <mergeCell ref="B5:O5"/>
    <mergeCell ref="B42:O42"/>
    <mergeCell ref="E9:F9"/>
    <mergeCell ref="B14:O14"/>
    <mergeCell ref="H11:I11"/>
    <mergeCell ref="K12:L12"/>
    <mergeCell ref="E11:F11"/>
    <mergeCell ref="B9:C9"/>
    <mergeCell ref="N9:O9"/>
    <mergeCell ref="H12:I12"/>
    <mergeCell ref="B26:O26"/>
    <mergeCell ref="E12:F12"/>
    <mergeCell ref="H7:I8"/>
    <mergeCell ref="K9:L9"/>
    <mergeCell ref="H9:I9"/>
    <mergeCell ref="B12:C12"/>
    <mergeCell ref="K11:L11"/>
    <mergeCell ref="K7:L8"/>
    <mergeCell ref="B11:C11"/>
    <mergeCell ref="E7:F8"/>
    <mergeCell ref="B7:C8"/>
    <mergeCell ref="N7:O8"/>
  </mergeCells>
  <conditionalFormatting sqref="C28:M38">
    <cfRule type="colorScale" priority="1">
      <colorScale>
        <cfvo type="num" val="0"/>
        <cfvo type="num" val="50"/>
        <cfvo type="num" val="100"/>
        <color rgb="FFF8696B"/>
        <color rgb="FFFFEB84"/>
        <color rgb="FF63BE7B"/>
      </colorScale>
    </cfRule>
  </conditionalFormatting>
  <hyperlinks>
    <hyperlink ref="B15" location="'01_Criterios'!A1" display="→ 01 · Critérios de selecção" xr:uid="{00000000-0004-0000-0000-000000000000}"/>
    <hyperlink ref="B16" location="'02_Base_Potencial'!A1" display="→ 02 · Base potencial" xr:uid="{00000000-0004-0000-0000-000001000000}"/>
    <hyperlink ref="B17" location="'03_Base_Indice'!A1" display="→ 03 · Base do índice" xr:uid="{00000000-0004-0000-0000-000002000000}"/>
    <hyperlink ref="B18" location="'04_Dados_Ajustados'!A1" display="→ 04 · Dados ajustados" xr:uid="{00000000-0004-0000-0000-000003000000}"/>
    <hyperlink ref="B19" location="'05_Flags_Qualidade'!A1" display="→ 05 · Flags de qualidade" xr:uid="{00000000-0004-0000-0000-000004000000}"/>
    <hyperlink ref="B20" location="'06_Normalizacao'!A1" display="→ 06 · Normalização" xr:uid="{00000000-0004-0000-0000-000005000000}"/>
    <hyperlink ref="B21" location="'07_Subindices'!A1" display="→ 07 · Subíndices" xr:uid="{00000000-0004-0000-0000-000006000000}"/>
    <hyperlink ref="B22" location="'08_Visualizacoes'!A1" display="→ 08 · Visualizações" xr:uid="{00000000-0004-0000-0000-000007000000}"/>
    <hyperlink ref="B23" location="'09_Metodologia'!A1" display="→ 09 · Metodologia" xr:uid="{00000000-0004-0000-0000-000008000000}"/>
    <hyperlink ref="B24" location="'10_Fontes'!A1" display="→ 10 · Fontes" xr:uid="{00000000-0004-0000-0000-000009000000}"/>
  </hyperlink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9A227"/>
  </sheetPr>
  <dimension ref="A1:J40"/>
  <sheetViews>
    <sheetView showGridLines="0" topLeftCell="A8" workbookViewId="0">
      <selection activeCell="I16" sqref="I16"/>
    </sheetView>
  </sheetViews>
  <sheetFormatPr defaultRowHeight="14.45"/>
  <cols>
    <col min="1" max="1" width="9" customWidth="1"/>
    <col min="2" max="2" width="46" customWidth="1"/>
    <col min="3" max="3" width="12" customWidth="1"/>
    <col min="4" max="4" width="9" customWidth="1"/>
    <col min="5" max="5" width="14" customWidth="1"/>
    <col min="6" max="6" width="11" customWidth="1"/>
    <col min="7" max="7" width="10" customWidth="1"/>
    <col min="8" max="8" width="13" customWidth="1"/>
    <col min="9" max="9" width="18" customWidth="1"/>
    <col min="10" max="10" width="16" customWidth="1"/>
  </cols>
  <sheetData>
    <row r="1" spans="1:6">
      <c r="A1" s="3" t="s">
        <v>27</v>
      </c>
    </row>
    <row r="2" spans="1:6" ht="23.45" customHeight="1">
      <c r="B2" s="1" t="s">
        <v>28</v>
      </c>
    </row>
    <row r="3" spans="1:6">
      <c r="B3" s="2" t="s">
        <v>29</v>
      </c>
    </row>
    <row r="5" spans="1:6" ht="15.6" customHeight="1">
      <c r="B5" s="42" t="s">
        <v>30</v>
      </c>
      <c r="C5" s="54"/>
      <c r="D5" s="54"/>
      <c r="E5" s="54"/>
    </row>
    <row r="6" spans="1:6">
      <c r="B6" s="11" t="s">
        <v>31</v>
      </c>
      <c r="C6" s="11" t="s">
        <v>32</v>
      </c>
      <c r="D6" s="50" t="s">
        <v>33</v>
      </c>
      <c r="E6" s="55"/>
      <c r="F6" s="56"/>
    </row>
    <row r="7" spans="1:6">
      <c r="B7" s="12" t="s">
        <v>34</v>
      </c>
      <c r="C7" s="13">
        <v>2015</v>
      </c>
      <c r="D7" s="49" t="s">
        <v>35</v>
      </c>
      <c r="E7" s="54"/>
      <c r="F7" s="54"/>
    </row>
    <row r="8" spans="1:6">
      <c r="B8" s="12" t="s">
        <v>36</v>
      </c>
      <c r="C8" s="13">
        <v>2025</v>
      </c>
      <c r="D8" s="49" t="s">
        <v>37</v>
      </c>
      <c r="E8" s="54"/>
      <c r="F8" s="54"/>
    </row>
    <row r="9" spans="1:6">
      <c r="B9" s="12" t="s">
        <v>38</v>
      </c>
      <c r="C9" s="13">
        <v>0</v>
      </c>
      <c r="D9" s="49" t="s">
        <v>39</v>
      </c>
      <c r="E9" s="54"/>
      <c r="F9" s="54"/>
    </row>
    <row r="10" spans="1:6">
      <c r="B10" s="12" t="s">
        <v>40</v>
      </c>
      <c r="C10" s="13">
        <v>100</v>
      </c>
      <c r="D10" s="49" t="s">
        <v>41</v>
      </c>
      <c r="E10" s="54"/>
      <c r="F10" s="54"/>
    </row>
    <row r="11" spans="1:6" ht="29.1" customHeight="1">
      <c r="B11" s="12" t="s">
        <v>42</v>
      </c>
      <c r="C11" s="14">
        <v>0.8</v>
      </c>
      <c r="D11" s="49" t="s">
        <v>43</v>
      </c>
      <c r="E11" s="54"/>
      <c r="F11" s="54"/>
    </row>
    <row r="12" spans="1:6">
      <c r="B12" s="12" t="s">
        <v>44</v>
      </c>
      <c r="C12" s="13">
        <v>2023</v>
      </c>
      <c r="D12" s="49" t="s">
        <v>45</v>
      </c>
      <c r="E12" s="54"/>
      <c r="F12" s="54"/>
    </row>
    <row r="13" spans="1:6">
      <c r="B13" s="12" t="s">
        <v>46</v>
      </c>
      <c r="C13" s="13">
        <v>2</v>
      </c>
      <c r="D13" s="49" t="s">
        <v>47</v>
      </c>
      <c r="E13" s="54"/>
      <c r="F13" s="54"/>
    </row>
    <row r="14" spans="1:6">
      <c r="B14" s="12" t="s">
        <v>48</v>
      </c>
      <c r="C14" s="13">
        <v>2</v>
      </c>
      <c r="D14" s="49" t="s">
        <v>49</v>
      </c>
      <c r="E14" s="54"/>
      <c r="F14" s="54"/>
    </row>
    <row r="15" spans="1:6">
      <c r="B15" s="12" t="s">
        <v>50</v>
      </c>
      <c r="C15" s="13">
        <v>2</v>
      </c>
      <c r="D15" s="49" t="s">
        <v>51</v>
      </c>
      <c r="E15" s="54"/>
      <c r="F15" s="54"/>
    </row>
    <row r="16" spans="1:6" ht="29.1" customHeight="1">
      <c r="B16" s="12" t="s">
        <v>52</v>
      </c>
      <c r="C16" s="14">
        <v>0.75</v>
      </c>
      <c r="D16" s="49" t="s">
        <v>53</v>
      </c>
      <c r="E16" s="54"/>
      <c r="F16" s="54"/>
    </row>
    <row r="17" spans="2:10">
      <c r="B17" s="12" t="s">
        <v>54</v>
      </c>
      <c r="C17" s="13">
        <v>4</v>
      </c>
      <c r="D17" s="49" t="s">
        <v>55</v>
      </c>
      <c r="E17" s="54"/>
      <c r="F17" s="54"/>
    </row>
    <row r="18" spans="2:10">
      <c r="B18" s="12" t="s">
        <v>56</v>
      </c>
      <c r="C18" s="13" t="s">
        <v>57</v>
      </c>
      <c r="D18" s="49" t="s">
        <v>58</v>
      </c>
      <c r="E18" s="54"/>
      <c r="F18" s="54"/>
    </row>
    <row r="19" spans="2:10">
      <c r="B19" s="12" t="s">
        <v>59</v>
      </c>
      <c r="C19" s="15">
        <v>0.4</v>
      </c>
      <c r="D19" s="49" t="s">
        <v>60</v>
      </c>
      <c r="E19" s="54"/>
      <c r="F19" s="54"/>
    </row>
    <row r="20" spans="2:10">
      <c r="B20" s="12" t="s">
        <v>61</v>
      </c>
      <c r="C20" s="15">
        <v>0.35</v>
      </c>
      <c r="D20" s="49" t="s">
        <v>62</v>
      </c>
      <c r="E20" s="54"/>
      <c r="F20" s="54"/>
    </row>
    <row r="21" spans="2:10">
      <c r="B21" s="12" t="s">
        <v>63</v>
      </c>
      <c r="C21" s="15">
        <v>0.25</v>
      </c>
      <c r="D21" s="49" t="s">
        <v>64</v>
      </c>
      <c r="E21" s="54"/>
      <c r="F21" s="54"/>
    </row>
    <row r="22" spans="2:10">
      <c r="B22" s="12" t="s">
        <v>65</v>
      </c>
      <c r="C22" s="13">
        <v>12</v>
      </c>
      <c r="D22" s="49" t="s">
        <v>66</v>
      </c>
      <c r="E22" s="54"/>
      <c r="F22" s="54"/>
    </row>
    <row r="24" spans="2:10" ht="15.6" customHeight="1">
      <c r="B24" s="42" t="s">
        <v>67</v>
      </c>
      <c r="C24" s="54"/>
      <c r="D24" s="54"/>
      <c r="E24" s="54"/>
      <c r="F24" s="54"/>
      <c r="G24" s="54"/>
      <c r="H24" s="54"/>
      <c r="I24" s="54"/>
      <c r="J24" s="54"/>
    </row>
    <row r="25" spans="2:10">
      <c r="B25" s="11" t="s">
        <v>24</v>
      </c>
      <c r="C25" s="11" t="s">
        <v>68</v>
      </c>
      <c r="D25" s="11" t="s">
        <v>69</v>
      </c>
      <c r="E25" s="11" t="s">
        <v>70</v>
      </c>
      <c r="F25" s="11" t="s">
        <v>71</v>
      </c>
      <c r="G25" s="11" t="s">
        <v>72</v>
      </c>
      <c r="H25" s="11" t="s">
        <v>73</v>
      </c>
      <c r="I25" s="11" t="s">
        <v>74</v>
      </c>
      <c r="J25" s="11" t="s">
        <v>75</v>
      </c>
    </row>
    <row r="26" spans="2:10">
      <c r="B26" s="16" t="s">
        <v>76</v>
      </c>
      <c r="C26" s="13">
        <v>1</v>
      </c>
      <c r="D26" s="13">
        <v>1</v>
      </c>
      <c r="E26" s="13">
        <v>5</v>
      </c>
      <c r="F26" s="17">
        <f>COUNTIF('02_Base_Potencial'!$B$5:$B$335,$B26)</f>
        <v>28</v>
      </c>
      <c r="G26" s="17">
        <f>SUMPRODUCT(('02_Base_Potencial'!$B$5:$B$335=$B26)*('02_Base_Potencial'!$AL$5:$AL$335=1))</f>
        <v>8</v>
      </c>
      <c r="H26" s="17">
        <f>SUMPRODUCT(('02_Base_Potencial'!$B$5:$B$335=$B26)*('02_Base_Potencial'!$AQ$5:$AQ$335=1))</f>
        <v>5</v>
      </c>
      <c r="I26" s="18">
        <f>IFERROR(SUMPRODUCT(('02_Base_Potencial'!$B$5:$B$335=$B26)*('02_Base_Potencial'!$AQ$5:$AQ$335=1),'02_Base_Potencial'!$AC$5:$AC$335)/$H26,"")</f>
        <v>0.92727272727272736</v>
      </c>
      <c r="J26" s="19">
        <f>IFERROR(SUMPRODUCT(('02_Base_Potencial'!$B$5:$B$335=$B26)*('02_Base_Potencial'!$AQ$5:$AQ$335=1),'02_Base_Potencial'!$AK$5:$AK$335)/$H26,"")</f>
        <v>94.240000000000009</v>
      </c>
    </row>
    <row r="27" spans="2:10">
      <c r="B27" s="16" t="s">
        <v>77</v>
      </c>
      <c r="C27" s="13">
        <v>1</v>
      </c>
      <c r="D27" s="13">
        <v>1</v>
      </c>
      <c r="E27" s="13">
        <v>7</v>
      </c>
      <c r="F27" s="17">
        <f>COUNTIF('02_Base_Potencial'!$B$5:$B$335,$B27)</f>
        <v>57</v>
      </c>
      <c r="G27" s="17">
        <f>SUMPRODUCT(('02_Base_Potencial'!$B$5:$B$335=$B27)*('02_Base_Potencial'!$AL$5:$AL$335=1))</f>
        <v>48</v>
      </c>
      <c r="H27" s="17">
        <f>SUMPRODUCT(('02_Base_Potencial'!$B$5:$B$335=$B27)*('02_Base_Potencial'!$AQ$5:$AQ$335=1))</f>
        <v>7</v>
      </c>
      <c r="I27" s="18">
        <f>IFERROR(SUMPRODUCT(('02_Base_Potencial'!$B$5:$B$335=$B27)*('02_Base_Potencial'!$AQ$5:$AQ$335=1),'02_Base_Potencial'!$AC$5:$AC$335)/$H27,"")</f>
        <v>1</v>
      </c>
      <c r="J27" s="19">
        <f>IFERROR(SUMPRODUCT(('02_Base_Potencial'!$B$5:$B$335=$B27)*('02_Base_Potencial'!$AQ$5:$AQ$335=1),'02_Base_Potencial'!$AK$5:$AK$335)/$H27,"")</f>
        <v>111.14285714285714</v>
      </c>
    </row>
    <row r="28" spans="2:10">
      <c r="B28" s="16" t="s">
        <v>78</v>
      </c>
      <c r="C28" s="13">
        <v>1</v>
      </c>
      <c r="D28" s="13">
        <v>1</v>
      </c>
      <c r="E28" s="13">
        <v>5</v>
      </c>
      <c r="F28" s="17">
        <f>COUNTIF('02_Base_Potencial'!$B$5:$B$335,$B28)</f>
        <v>30</v>
      </c>
      <c r="G28" s="17">
        <f>SUMPRODUCT(('02_Base_Potencial'!$B$5:$B$335=$B28)*('02_Base_Potencial'!$AL$5:$AL$335=1))</f>
        <v>6</v>
      </c>
      <c r="H28" s="17">
        <f>SUMPRODUCT(('02_Base_Potencial'!$B$5:$B$335=$B28)*('02_Base_Potencial'!$AQ$5:$AQ$335=1))</f>
        <v>4</v>
      </c>
      <c r="I28" s="18">
        <f>IFERROR(SUMPRODUCT(('02_Base_Potencial'!$B$5:$B$335=$B28)*('02_Base_Potencial'!$AQ$5:$AQ$335=1),'02_Base_Potencial'!$AC$5:$AC$335)/$H28,"")</f>
        <v>0.93181818181818188</v>
      </c>
      <c r="J28" s="19">
        <f>IFERROR(SUMPRODUCT(('02_Base_Potencial'!$B$5:$B$335=$B28)*('02_Base_Potencial'!$AQ$5:$AQ$335=1),'02_Base_Potencial'!$AK$5:$AK$335)/$H28,"")</f>
        <v>90.224999999999994</v>
      </c>
    </row>
    <row r="29" spans="2:10">
      <c r="B29" s="16" t="s">
        <v>79</v>
      </c>
      <c r="C29" s="13">
        <v>1</v>
      </c>
      <c r="D29" s="13">
        <v>1</v>
      </c>
      <c r="E29" s="13">
        <v>5</v>
      </c>
      <c r="F29" s="17">
        <f>COUNTIF('02_Base_Potencial'!$B$5:$B$335,$B29)</f>
        <v>30</v>
      </c>
      <c r="G29" s="17">
        <f>SUMPRODUCT(('02_Base_Potencial'!$B$5:$B$335=$B29)*('02_Base_Potencial'!$AL$5:$AL$335=1))</f>
        <v>5</v>
      </c>
      <c r="H29" s="17">
        <f>SUMPRODUCT(('02_Base_Potencial'!$B$5:$B$335=$B29)*('02_Base_Potencial'!$AQ$5:$AQ$335=1))</f>
        <v>3</v>
      </c>
      <c r="I29" s="18">
        <f>IFERROR(SUMPRODUCT(('02_Base_Potencial'!$B$5:$B$335=$B29)*('02_Base_Potencial'!$AQ$5:$AQ$335=1),'02_Base_Potencial'!$AC$5:$AC$335)/$H29,"")</f>
        <v>0.96969696969696972</v>
      </c>
      <c r="J29" s="19">
        <f>IFERROR(SUMPRODUCT(('02_Base_Potencial'!$B$5:$B$335=$B29)*('02_Base_Potencial'!$AQ$5:$AQ$335=1),'02_Base_Potencial'!$AK$5:$AK$335)/$H29,"")</f>
        <v>96.166666666666671</v>
      </c>
    </row>
    <row r="30" spans="2:10">
      <c r="B30" s="16" t="s">
        <v>80</v>
      </c>
      <c r="C30" s="13">
        <v>1</v>
      </c>
      <c r="D30" s="13">
        <v>1</v>
      </c>
      <c r="E30" s="13">
        <v>5</v>
      </c>
      <c r="F30" s="17">
        <f>COUNTIF('02_Base_Potencial'!$B$5:$B$335,$B30)</f>
        <v>33</v>
      </c>
      <c r="G30" s="17">
        <f>SUMPRODUCT(('02_Base_Potencial'!$B$5:$B$335=$B30)*('02_Base_Potencial'!$AL$5:$AL$335=1))</f>
        <v>17</v>
      </c>
      <c r="H30" s="17">
        <f>SUMPRODUCT(('02_Base_Potencial'!$B$5:$B$335=$B30)*('02_Base_Potencial'!$AQ$5:$AQ$335=1))</f>
        <v>5</v>
      </c>
      <c r="I30" s="18">
        <f>IFERROR(SUMPRODUCT(('02_Base_Potencial'!$B$5:$B$335=$B30)*('02_Base_Potencial'!$AQ$5:$AQ$335=1),'02_Base_Potencial'!$AC$5:$AC$335)/$H30,"")</f>
        <v>0.87272727272727268</v>
      </c>
      <c r="J30" s="19">
        <f>IFERROR(SUMPRODUCT(('02_Base_Potencial'!$B$5:$B$335=$B30)*('02_Base_Potencial'!$AQ$5:$AQ$335=1),'02_Base_Potencial'!$AK$5:$AK$335)/$H30,"")</f>
        <v>89.61999999999999</v>
      </c>
    </row>
    <row r="31" spans="2:10">
      <c r="B31" s="16" t="s">
        <v>81</v>
      </c>
      <c r="C31" s="13">
        <v>1</v>
      </c>
      <c r="D31" s="13">
        <v>1</v>
      </c>
      <c r="E31" s="13">
        <v>5</v>
      </c>
      <c r="F31" s="17">
        <f>COUNTIF('02_Base_Potencial'!$B$5:$B$335,$B31)</f>
        <v>27</v>
      </c>
      <c r="G31" s="17">
        <f>SUMPRODUCT(('02_Base_Potencial'!$B$5:$B$335=$B31)*('02_Base_Potencial'!$AL$5:$AL$335=1))</f>
        <v>19</v>
      </c>
      <c r="H31" s="17">
        <f>SUMPRODUCT(('02_Base_Potencial'!$B$5:$B$335=$B31)*('02_Base_Potencial'!$AQ$5:$AQ$335=1))</f>
        <v>5</v>
      </c>
      <c r="I31" s="18">
        <f>IFERROR(SUMPRODUCT(('02_Base_Potencial'!$B$5:$B$335=$B31)*('02_Base_Potencial'!$AQ$5:$AQ$335=1),'02_Base_Potencial'!$AC$5:$AC$335)/$H31,"")</f>
        <v>1</v>
      </c>
      <c r="J31" s="19">
        <f>IFERROR(SUMPRODUCT(('02_Base_Potencial'!$B$5:$B$335=$B31)*('02_Base_Potencial'!$AQ$5:$AQ$335=1),'02_Base_Potencial'!$AK$5:$AK$335)/$H31,"")</f>
        <v>104.8</v>
      </c>
    </row>
    <row r="32" spans="2:10">
      <c r="B32" s="16" t="s">
        <v>82</v>
      </c>
      <c r="C32" s="13">
        <v>1</v>
      </c>
      <c r="D32" s="13">
        <v>1</v>
      </c>
      <c r="E32" s="13">
        <v>7</v>
      </c>
      <c r="F32" s="17">
        <f>COUNTIF('02_Base_Potencial'!$B$5:$B$335,$B32)</f>
        <v>37</v>
      </c>
      <c r="G32" s="17">
        <f>SUMPRODUCT(('02_Base_Potencial'!$B$5:$B$335=$B32)*('02_Base_Potencial'!$AL$5:$AL$335=1))</f>
        <v>17</v>
      </c>
      <c r="H32" s="17">
        <f>SUMPRODUCT(('02_Base_Potencial'!$B$5:$B$335=$B32)*('02_Base_Potencial'!$AQ$5:$AQ$335=1))</f>
        <v>7</v>
      </c>
      <c r="I32" s="18">
        <f>IFERROR(SUMPRODUCT(('02_Base_Potencial'!$B$5:$B$335=$B32)*('02_Base_Potencial'!$AQ$5:$AQ$335=1),'02_Base_Potencial'!$AC$5:$AC$335)/$H32,"")</f>
        <v>0.88311688311688319</v>
      </c>
      <c r="J32" s="19">
        <f>IFERROR(SUMPRODUCT(('02_Base_Potencial'!$B$5:$B$335=$B32)*('02_Base_Potencial'!$AQ$5:$AQ$335=1),'02_Base_Potencial'!$AK$5:$AK$335)/$H32,"")</f>
        <v>96.957142857142841</v>
      </c>
    </row>
    <row r="33" spans="2:10">
      <c r="B33" s="16" t="s">
        <v>83</v>
      </c>
      <c r="C33" s="13">
        <v>1</v>
      </c>
      <c r="D33" s="13">
        <v>1</v>
      </c>
      <c r="E33" s="13">
        <v>5</v>
      </c>
      <c r="F33" s="17">
        <f>COUNTIF('02_Base_Potencial'!$B$5:$B$335,$B33)</f>
        <v>20</v>
      </c>
      <c r="G33" s="17">
        <f>SUMPRODUCT(('02_Base_Potencial'!$B$5:$B$335=$B33)*('02_Base_Potencial'!$AL$5:$AL$335=1))</f>
        <v>15</v>
      </c>
      <c r="H33" s="17">
        <f>SUMPRODUCT(('02_Base_Potencial'!$B$5:$B$335=$B33)*('02_Base_Potencial'!$AQ$5:$AQ$335=1))</f>
        <v>5</v>
      </c>
      <c r="I33" s="18">
        <f>IFERROR(SUMPRODUCT(('02_Base_Potencial'!$B$5:$B$335=$B33)*('02_Base_Potencial'!$AQ$5:$AQ$335=1),'02_Base_Potencial'!$AC$5:$AC$335)/$H33,"")</f>
        <v>0.96363636363636362</v>
      </c>
      <c r="J33" s="19">
        <f>IFERROR(SUMPRODUCT(('02_Base_Potencial'!$B$5:$B$335=$B33)*('02_Base_Potencial'!$AQ$5:$AQ$335=1),'02_Base_Potencial'!$AK$5:$AK$335)/$H33,"")</f>
        <v>94.12</v>
      </c>
    </row>
    <row r="34" spans="2:10">
      <c r="B34" s="16" t="s">
        <v>84</v>
      </c>
      <c r="C34" s="13">
        <v>0</v>
      </c>
      <c r="D34" s="13">
        <v>1</v>
      </c>
      <c r="E34" s="13">
        <v>7</v>
      </c>
      <c r="F34" s="17">
        <f>COUNTIF('02_Base_Potencial'!$B$5:$B$335,$B34)</f>
        <v>23</v>
      </c>
      <c r="G34" s="17">
        <f>SUMPRODUCT(('02_Base_Potencial'!$B$5:$B$335=$B34)*('02_Base_Potencial'!$AL$5:$AL$335=1))</f>
        <v>10</v>
      </c>
      <c r="H34" s="17">
        <f>SUMPRODUCT(('02_Base_Potencial'!$B$5:$B$335=$B34)*('02_Base_Potencial'!$AQ$5:$AQ$335=1))</f>
        <v>0</v>
      </c>
      <c r="I34" s="18" t="str">
        <f>IFERROR(SUMPRODUCT(('02_Base_Potencial'!$B$5:$B$335=$B34)*('02_Base_Potencial'!$AQ$5:$AQ$335=1),'02_Base_Potencial'!$AC$5:$AC$335)/$H34,"")</f>
        <v/>
      </c>
      <c r="J34" s="19" t="str">
        <f>IFERROR(SUMPRODUCT(('02_Base_Potencial'!$B$5:$B$335=$B34)*('02_Base_Potencial'!$AQ$5:$AQ$335=1),'02_Base_Potencial'!$AK$5:$AK$335)/$H34,"")</f>
        <v/>
      </c>
    </row>
    <row r="35" spans="2:10">
      <c r="B35" s="16" t="s">
        <v>85</v>
      </c>
      <c r="C35" s="13">
        <v>0</v>
      </c>
      <c r="D35" s="13">
        <v>1</v>
      </c>
      <c r="E35" s="13">
        <v>7</v>
      </c>
      <c r="F35" s="17">
        <f>COUNTIF('02_Base_Potencial'!$B$5:$B$335,$B35)</f>
        <v>23</v>
      </c>
      <c r="G35" s="17">
        <f>SUMPRODUCT(('02_Base_Potencial'!$B$5:$B$335=$B35)*('02_Base_Potencial'!$AL$5:$AL$335=1))</f>
        <v>7</v>
      </c>
      <c r="H35" s="17">
        <f>SUMPRODUCT(('02_Base_Potencial'!$B$5:$B$335=$B35)*('02_Base_Potencial'!$AQ$5:$AQ$335=1))</f>
        <v>0</v>
      </c>
      <c r="I35" s="18" t="str">
        <f>IFERROR(SUMPRODUCT(('02_Base_Potencial'!$B$5:$B$335=$B35)*('02_Base_Potencial'!$AQ$5:$AQ$335=1),'02_Base_Potencial'!$AC$5:$AC$335)/$H35,"")</f>
        <v/>
      </c>
      <c r="J35" s="19" t="str">
        <f>IFERROR(SUMPRODUCT(('02_Base_Potencial'!$B$5:$B$335=$B35)*('02_Base_Potencial'!$AQ$5:$AQ$335=1),'02_Base_Potencial'!$AK$5:$AK$335)/$H35,"")</f>
        <v/>
      </c>
    </row>
    <row r="36" spans="2:10">
      <c r="B36" s="16" t="s">
        <v>86</v>
      </c>
      <c r="C36" s="13">
        <v>0</v>
      </c>
      <c r="D36" s="13">
        <v>1</v>
      </c>
      <c r="E36" s="13">
        <v>7</v>
      </c>
      <c r="F36" s="17">
        <f>COUNTIF('02_Base_Potencial'!$B$5:$B$335,$B36)</f>
        <v>23</v>
      </c>
      <c r="G36" s="17">
        <f>SUMPRODUCT(('02_Base_Potencial'!$B$5:$B$335=$B36)*('02_Base_Potencial'!$AL$5:$AL$335=1))</f>
        <v>9</v>
      </c>
      <c r="H36" s="17">
        <f>SUMPRODUCT(('02_Base_Potencial'!$B$5:$B$335=$B36)*('02_Base_Potencial'!$AQ$5:$AQ$335=1))</f>
        <v>0</v>
      </c>
      <c r="I36" s="18" t="str">
        <f>IFERROR(SUMPRODUCT(('02_Base_Potencial'!$B$5:$B$335=$B36)*('02_Base_Potencial'!$AQ$5:$AQ$335=1),'02_Base_Potencial'!$AC$5:$AC$335)/$H36,"")</f>
        <v/>
      </c>
      <c r="J36" s="19" t="str">
        <f>IFERROR(SUMPRODUCT(('02_Base_Potencial'!$B$5:$B$335=$B36)*('02_Base_Potencial'!$AQ$5:$AQ$335=1),'02_Base_Potencial'!$AK$5:$AK$335)/$H36,"")</f>
        <v/>
      </c>
    </row>
    <row r="38" spans="2:10">
      <c r="B38" s="49" t="s">
        <v>87</v>
      </c>
      <c r="C38" s="54"/>
      <c r="D38" s="54"/>
      <c r="E38" s="54"/>
      <c r="F38" s="54"/>
      <c r="G38" s="54"/>
      <c r="H38" s="54"/>
      <c r="I38" s="54"/>
      <c r="J38" s="54"/>
    </row>
    <row r="39" spans="2:10">
      <c r="B39" s="54"/>
      <c r="C39" s="54"/>
      <c r="D39" s="54"/>
      <c r="E39" s="54"/>
      <c r="F39" s="54"/>
      <c r="G39" s="54"/>
      <c r="H39" s="54"/>
      <c r="I39" s="54"/>
      <c r="J39" s="54"/>
    </row>
    <row r="40" spans="2:10">
      <c r="B40" s="54"/>
      <c r="C40" s="54"/>
      <c r="D40" s="54"/>
      <c r="E40" s="54"/>
      <c r="F40" s="54"/>
      <c r="G40" s="54"/>
      <c r="H40" s="54"/>
      <c r="I40" s="54"/>
      <c r="J40" s="54"/>
    </row>
  </sheetData>
  <mergeCells count="20">
    <mergeCell ref="B38:J40"/>
    <mergeCell ref="D12:F12"/>
    <mergeCell ref="D18:F18"/>
    <mergeCell ref="D9:F9"/>
    <mergeCell ref="D8:F8"/>
    <mergeCell ref="D15:F15"/>
    <mergeCell ref="B24:J24"/>
    <mergeCell ref="D14:F14"/>
    <mergeCell ref="D20:F20"/>
    <mergeCell ref="D10:F10"/>
    <mergeCell ref="D19:F19"/>
    <mergeCell ref="D22:F22"/>
    <mergeCell ref="D21:F21"/>
    <mergeCell ref="D13:F13"/>
    <mergeCell ref="D11:F11"/>
    <mergeCell ref="D17:F17"/>
    <mergeCell ref="B5:E5"/>
    <mergeCell ref="D7:F7"/>
    <mergeCell ref="D16:F16"/>
    <mergeCell ref="D6:F6"/>
  </mergeCells>
  <dataValidations count="2">
    <dataValidation type="list" sqref="C18" xr:uid="{00000000-0002-0000-0100-000000000000}">
      <formula1>"Automática,Manual"</formula1>
    </dataValidation>
    <dataValidation type="list" sqref="C26 C27 C28 C29 C30 C31 C32 C33 C34 C35 C36" xr:uid="{00000000-0002-0000-0100-000001000000}">
      <formula1>"1,0"</formula1>
    </dataValidation>
  </dataValidations>
  <hyperlinks>
    <hyperlink ref="A1" location="'00_Painel'!A1" display="← Painel"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497B0"/>
  </sheetPr>
  <dimension ref="A1:AS335"/>
  <sheetViews>
    <sheetView workbookViewId="0">
      <pane xSplit="4" ySplit="4" topLeftCell="E298" activePane="bottomRight" state="frozen"/>
      <selection pane="bottomRight" activeCell="K304" sqref="K304"/>
      <selection pane="bottomLeft"/>
      <selection pane="topRight"/>
    </sheetView>
  </sheetViews>
  <sheetFormatPr defaultRowHeight="14.45"/>
  <cols>
    <col min="1" max="1" width="9" customWidth="1"/>
    <col min="2" max="2" width="30" customWidth="1"/>
    <col min="3" max="3" width="22" customWidth="1"/>
    <col min="4" max="4" width="44" customWidth="1"/>
    <col min="5" max="5" width="16" customWidth="1"/>
    <col min="6" max="6" width="8" customWidth="1"/>
    <col min="7" max="9" width="9" customWidth="1"/>
    <col min="10" max="10" width="6" customWidth="1"/>
    <col min="11" max="11" width="26" customWidth="1"/>
    <col min="12" max="12" width="20" customWidth="1"/>
    <col min="13" max="13" width="26" customWidth="1"/>
    <col min="14" max="14" width="9" customWidth="1"/>
    <col min="15" max="15" width="18" customWidth="1"/>
    <col min="16" max="27" width="9" customWidth="1"/>
    <col min="28" max="28" width="7" customWidth="1"/>
    <col min="29" max="29" width="10" customWidth="1"/>
    <col min="30" max="31" width="9" customWidth="1"/>
    <col min="32" max="32" width="11" customWidth="1"/>
    <col min="33" max="33" width="9" customWidth="1"/>
    <col min="34" max="35" width="10" customWidth="1"/>
    <col min="36" max="37" width="11" customWidth="1"/>
    <col min="38" max="38" width="8" customWidth="1"/>
    <col min="39" max="39" width="30" customWidth="1"/>
    <col min="40" max="41" width="9" customWidth="1"/>
    <col min="42" max="42" width="12" customWidth="1"/>
    <col min="43" max="43" width="13" customWidth="1"/>
    <col min="44" max="44" width="6" customWidth="1"/>
    <col min="45" max="45" width="40" customWidth="1"/>
  </cols>
  <sheetData>
    <row r="1" spans="1:45">
      <c r="A1" s="3" t="s">
        <v>27</v>
      </c>
    </row>
    <row r="2" spans="1:45" ht="23.45" customHeight="1">
      <c r="B2" s="1" t="s">
        <v>88</v>
      </c>
    </row>
    <row r="3" spans="1:45">
      <c r="B3" s="2" t="s">
        <v>89</v>
      </c>
    </row>
    <row r="4" spans="1:45" ht="39" customHeight="1">
      <c r="A4" s="11" t="s">
        <v>90</v>
      </c>
      <c r="B4" s="11" t="s">
        <v>24</v>
      </c>
      <c r="C4" s="11" t="s">
        <v>91</v>
      </c>
      <c r="D4" s="11" t="s">
        <v>92</v>
      </c>
      <c r="E4" s="11" t="s">
        <v>93</v>
      </c>
      <c r="F4" s="11" t="s">
        <v>94</v>
      </c>
      <c r="G4" s="11" t="s">
        <v>95</v>
      </c>
      <c r="H4" s="11" t="s">
        <v>96</v>
      </c>
      <c r="I4" s="11" t="s">
        <v>97</v>
      </c>
      <c r="J4" s="11" t="s">
        <v>69</v>
      </c>
      <c r="K4" s="11" t="s">
        <v>98</v>
      </c>
      <c r="L4" s="11" t="s">
        <v>99</v>
      </c>
      <c r="M4" s="11" t="s">
        <v>100</v>
      </c>
      <c r="N4" s="11" t="s">
        <v>101</v>
      </c>
      <c r="O4" s="11" t="s">
        <v>102</v>
      </c>
      <c r="P4" s="11" t="s">
        <v>103</v>
      </c>
      <c r="Q4" s="11">
        <v>2015</v>
      </c>
      <c r="R4" s="11">
        <v>2016</v>
      </c>
      <c r="S4" s="11">
        <v>2017</v>
      </c>
      <c r="T4" s="11">
        <v>2018</v>
      </c>
      <c r="U4" s="11">
        <v>2019</v>
      </c>
      <c r="V4" s="11">
        <v>2020</v>
      </c>
      <c r="W4" s="11">
        <v>2021</v>
      </c>
      <c r="X4" s="11">
        <v>2022</v>
      </c>
      <c r="Y4" s="11">
        <v>2023</v>
      </c>
      <c r="Z4" s="11">
        <v>2024</v>
      </c>
      <c r="AA4" s="11">
        <v>2025</v>
      </c>
      <c r="AB4" s="11" t="s">
        <v>104</v>
      </c>
      <c r="AC4" s="11" t="s">
        <v>105</v>
      </c>
      <c r="AD4" s="11" t="s">
        <v>106</v>
      </c>
      <c r="AE4" s="11" t="s">
        <v>107</v>
      </c>
      <c r="AF4" s="11" t="s">
        <v>108</v>
      </c>
      <c r="AG4" s="11" t="s">
        <v>109</v>
      </c>
      <c r="AH4" s="11" t="s">
        <v>110</v>
      </c>
      <c r="AI4" s="11" t="s">
        <v>111</v>
      </c>
      <c r="AJ4" s="11" t="s">
        <v>112</v>
      </c>
      <c r="AK4" s="11" t="s">
        <v>113</v>
      </c>
      <c r="AL4" s="11" t="s">
        <v>114</v>
      </c>
      <c r="AM4" s="11" t="s">
        <v>115</v>
      </c>
      <c r="AN4" s="11" t="s">
        <v>116</v>
      </c>
      <c r="AO4" s="11" t="s">
        <v>117</v>
      </c>
      <c r="AP4" s="11" t="s">
        <v>118</v>
      </c>
      <c r="AQ4" s="11" t="s">
        <v>119</v>
      </c>
      <c r="AR4" s="11" t="s">
        <v>120</v>
      </c>
      <c r="AS4" s="11" t="s">
        <v>121</v>
      </c>
    </row>
    <row r="5" spans="1:45">
      <c r="A5" s="20" t="s">
        <v>122</v>
      </c>
      <c r="B5" s="21" t="s">
        <v>76</v>
      </c>
      <c r="C5" s="21" t="s">
        <v>123</v>
      </c>
      <c r="D5" s="21" t="s">
        <v>124</v>
      </c>
      <c r="E5" s="20" t="s">
        <v>125</v>
      </c>
      <c r="F5" s="20" t="s">
        <v>126</v>
      </c>
      <c r="G5" s="20">
        <v>-2.5</v>
      </c>
      <c r="H5" s="20">
        <v>2.5</v>
      </c>
      <c r="I5" s="20">
        <v>0</v>
      </c>
      <c r="J5" s="22">
        <v>1</v>
      </c>
      <c r="K5" s="21" t="s">
        <v>127</v>
      </c>
      <c r="L5" s="20" t="s">
        <v>128</v>
      </c>
      <c r="M5" s="21" t="s">
        <v>129</v>
      </c>
      <c r="N5" s="20">
        <v>0</v>
      </c>
      <c r="O5" s="21" t="s">
        <v>122</v>
      </c>
      <c r="P5" s="20" t="s">
        <v>130</v>
      </c>
      <c r="Q5" s="6">
        <v>-0.55910260000000001</v>
      </c>
      <c r="R5" s="6">
        <v>-0.43462800000000001</v>
      </c>
      <c r="S5" s="6">
        <v>-0.53721450000000004</v>
      </c>
      <c r="T5" s="6">
        <v>-0.4058117</v>
      </c>
      <c r="U5" s="6">
        <v>-0.42070390000000002</v>
      </c>
      <c r="V5" s="6">
        <v>-0.64276339999999998</v>
      </c>
      <c r="W5" s="6">
        <v>-0.79360679999999995</v>
      </c>
      <c r="X5" s="6">
        <v>-0.54140679999999997</v>
      </c>
      <c r="Y5" s="6">
        <v>-0.31316539999999998</v>
      </c>
      <c r="Z5" s="6">
        <v>-0.57359640000000001</v>
      </c>
      <c r="AA5" s="6"/>
      <c r="AB5" s="20">
        <f>COUNT(Q5:AA5)</f>
        <v>10</v>
      </c>
      <c r="AC5" s="23">
        <f>AB5/11</f>
        <v>0.90909090909090906</v>
      </c>
      <c r="AD5" s="20">
        <f>IFERROR(INDEX($Q$4:$AA$4,MATCH(TRUE,INDEX(ISNUMBER(Q5:AA5),0),0)),"")</f>
        <v>2015</v>
      </c>
      <c r="AE5" s="20">
        <f>IFERROR(LOOKUP(2,1/ISNUMBER(Q5:AA5),$Q$4:$AA$4),"")</f>
        <v>2024</v>
      </c>
      <c r="AF5" s="23">
        <f>IF(AB5=0,"",AB5/(AE5-AD5+1))</f>
        <v>1</v>
      </c>
      <c r="AG5" s="20">
        <f>IF(AB5=0,"",'01_Criterios'!$C$8-AE5)</f>
        <v>1</v>
      </c>
      <c r="AH5" s="7">
        <f>IF(P5="Em uso",100,IF(P5="Alta",85,IF(P5="Média",55,30)))</f>
        <v>100</v>
      </c>
      <c r="AI5" s="7">
        <f>ROUND(100*AC5,1)</f>
        <v>90.9</v>
      </c>
      <c r="AJ5" s="7">
        <f>IF(AB5=0,0,ROUND(MAX(0,100*AF5-10*AG5),1))</f>
        <v>90</v>
      </c>
      <c r="AK5" s="7">
        <f>ROUND(('01_Criterios'!$C$19*AH5+'01_Criterios'!$C$20*AI5+'01_Criterios'!$C$21*AJ5)/('01_Criterios'!$C$19+'01_Criterios'!$C$20+'01_Criterios'!$C$21)+N5*'01_Criterios'!$C$22,1)</f>
        <v>94.3</v>
      </c>
      <c r="AL5" s="20">
        <f>IF(AND(AB5&gt;=3,AC5&gt;='01_Criterios'!$C$11,N(AE5)&gt;='01_Criterios'!$C$12,OR(F5="+",F5="-"),ISNUMBER(G5),ISNUMBER(H5)),1,0)</f>
        <v>1</v>
      </c>
      <c r="AM5" s="24" t="str">
        <f>IF(AL5=1,"",TRIM(IF(AB5=0,"sem dados no período; ",IF(AB5&lt;3,"série demasiado curta; ",""))&amp;IF(AND(AB5&gt;0,AC5&lt;'01_Criterios'!$C$11),"cobertura insuficiente; ","")&amp;IF(AND(AB5&gt;0,N(AE5)&lt;'01_Criterios'!$C$12),"desactualizado; ","")&amp;IF(AND(F5&lt;&gt;"+",F5&lt;&gt;"-"),"sentido ambíguo; ","")&amp;IF(OR(NOT(ISNUMBER(G5)),NOT(ISNUMBER(H5))),"sem limites min/max; ","")))</f>
        <v/>
      </c>
      <c r="AN5" s="20">
        <f>IF(OR(AL5=0,$AP5="Excluir"),0,IF(SUMPRODUCT(($O$5:$O$335=$O5)*($AL$5:$AL$335=1)*($AP$5:$AP$335&lt;&gt;"Excluir")*(($AK$5:$AK$335&gt;$AK5)+(($AK$5:$AK$335=$AK5)*(ROW($O$5:$O$335)&lt;ROW()))))=0,1,0))</f>
        <v>1</v>
      </c>
      <c r="AO5" s="20">
        <f>IF(AN5=0,"",1+SUMPRODUCT(($B$5:$B$335=$B5)*($AN$5:$AN$335=1)*(($AK$5:$AK$335&gt;$AK5)+(($AK$5:$AK$335=$AK5)*(ROW($B$5:$B$335)&lt;ROW())))))</f>
        <v>2</v>
      </c>
      <c r="AP5" s="22" t="s">
        <v>131</v>
      </c>
      <c r="AQ5" s="20">
        <f>IF(INDEX('01_Criterios'!$C$26:$C$36,MATCH($B5,'01_Criterios'!$B$26:$B$36,0))&lt;&gt;1,0,IF($AP5="Excluir",0,IF($AP5="Incluir",IF(AND(OR($F5="+",$F5="-"),ISNUMBER($G5),ISNUMBER($H5),COUNT($Q5:$AA5)&gt;0),1,0),IF('01_Criterios'!$C$18="Automática",IF(AND($AN5=1,$AO5&lt;&gt;"",$AO5&lt;=INDEX('01_Criterios'!$E$26:$E$36,MATCH($B5,'01_Criterios'!$B$26:$B$36,0))),1,0),0))))</f>
        <v>1</v>
      </c>
      <c r="AR5" s="20">
        <f>IF(AQ5=0,"",IF($AO5&lt;&gt;"",1+SUMPRODUCT(($B$5:$B$335=$B5)*($AQ$5:$AQ$335=1)*($AO$5:$AO$335&lt;$AO5)),1+SUMPRODUCT(($B$5:$B$335=$B5)*($AQ$5:$AQ$335=1)*ISNUMBER($AO$5:$AO$335))+SUMPRODUCT(($B$5:$B$335=$B5)*($AQ$5:$AQ$335=1)*($AO$5:$AO$335="")*(ROW($AO$5:$AO$335)&lt;ROW()))))</f>
        <v>2</v>
      </c>
      <c r="AS5" s="24" t="s">
        <v>132</v>
      </c>
    </row>
    <row r="6" spans="1:45">
      <c r="A6" s="25" t="s">
        <v>133</v>
      </c>
      <c r="B6" s="26" t="s">
        <v>76</v>
      </c>
      <c r="C6" s="26" t="s">
        <v>123</v>
      </c>
      <c r="D6" s="26" t="s">
        <v>134</v>
      </c>
      <c r="E6" s="25" t="s">
        <v>135</v>
      </c>
      <c r="F6" s="25" t="s">
        <v>126</v>
      </c>
      <c r="G6" s="25">
        <v>0</v>
      </c>
      <c r="H6" s="25">
        <v>100</v>
      </c>
      <c r="I6" s="25">
        <v>55</v>
      </c>
      <c r="J6" s="22">
        <v>1</v>
      </c>
      <c r="K6" s="26" t="s">
        <v>127</v>
      </c>
      <c r="L6" s="25"/>
      <c r="M6" s="26" t="s">
        <v>129</v>
      </c>
      <c r="N6" s="25">
        <v>0</v>
      </c>
      <c r="O6" s="26" t="s">
        <v>133</v>
      </c>
      <c r="P6" s="25" t="s">
        <v>130</v>
      </c>
      <c r="Q6" s="27">
        <v>37.090000000000003</v>
      </c>
      <c r="R6" s="27">
        <v>38.46</v>
      </c>
      <c r="S6" s="27">
        <v>38.409999999999997</v>
      </c>
      <c r="T6" s="27">
        <v>41.49</v>
      </c>
      <c r="U6" s="27">
        <v>43.86</v>
      </c>
      <c r="V6" s="27">
        <v>41.9</v>
      </c>
      <c r="W6" s="27"/>
      <c r="X6" s="27"/>
      <c r="Y6" s="27"/>
      <c r="Z6" s="27"/>
      <c r="AA6" s="27"/>
      <c r="AB6" s="25">
        <f>COUNT(Q6:AA6)</f>
        <v>6</v>
      </c>
      <c r="AC6" s="28">
        <f>AB6/11</f>
        <v>0.54545454545454541</v>
      </c>
      <c r="AD6" s="25">
        <f>IFERROR(INDEX($Q$4:$AA$4,MATCH(TRUE,INDEX(ISNUMBER(Q6:AA6),0),0)),"")</f>
        <v>2015</v>
      </c>
      <c r="AE6" s="25">
        <f>IFERROR(LOOKUP(2,1/ISNUMBER(Q6:AA6),$Q$4:$AA$4),"")</f>
        <v>2020</v>
      </c>
      <c r="AF6" s="28">
        <f>IF(AB6=0,"",AB6/(AE6-AD6+1))</f>
        <v>1</v>
      </c>
      <c r="AG6" s="25">
        <f>IF(AB6=0,"",'01_Criterios'!$C$8-AE6)</f>
        <v>5</v>
      </c>
      <c r="AH6" s="29">
        <f>IF(P6="Em uso",100,IF(P6="Alta",85,IF(P6="Média",55,30)))</f>
        <v>100</v>
      </c>
      <c r="AI6" s="29">
        <f>ROUND(100*AC6,1)</f>
        <v>54.5</v>
      </c>
      <c r="AJ6" s="29">
        <f>IF(AB6=0,0,ROUND(MAX(0,100*AF6-10*AG6),1))</f>
        <v>50</v>
      </c>
      <c r="AK6" s="29">
        <f>ROUND(('01_Criterios'!$C$19*AH6+'01_Criterios'!$C$20*AI6+'01_Criterios'!$C$21*AJ6)/('01_Criterios'!$C$19+'01_Criterios'!$C$20+'01_Criterios'!$C$21)+N6*'01_Criterios'!$C$22,1)</f>
        <v>71.599999999999994</v>
      </c>
      <c r="AL6" s="25">
        <f>IF(AND(AB6&gt;=3,AC6&gt;='01_Criterios'!$C$11,N(AE6)&gt;='01_Criterios'!$C$12,OR(F6="+",F6="-"),ISNUMBER(G6),ISNUMBER(H6)),1,0)</f>
        <v>0</v>
      </c>
      <c r="AM6" s="30" t="str">
        <f>IF(AL6=1,"",TRIM(IF(AB6=0,"sem dados no período; ",IF(AB6&lt;3,"série demasiado curta; ",""))&amp;IF(AND(AB6&gt;0,AC6&lt;'01_Criterios'!$C$11),"cobertura insuficiente; ","")&amp;IF(AND(AB6&gt;0,N(AE6)&lt;'01_Criterios'!$C$12),"desactualizado; ","")&amp;IF(AND(F6&lt;&gt;"+",F6&lt;&gt;"-"),"sentido ambíguo; ","")&amp;IF(OR(NOT(ISNUMBER(G6)),NOT(ISNUMBER(H6))),"sem limites min/max; ","")))</f>
        <v>cobertura insuficiente; desactualizado;</v>
      </c>
      <c r="AN6" s="25">
        <f>IF(OR(AL6=0,$AP6="Excluir"),0,IF(SUMPRODUCT(($O$5:$O$335=$O6)*($AL$5:$AL$335=1)*($AP$5:$AP$335&lt;&gt;"Excluir")*(($AK$5:$AK$335&gt;$AK6)+(($AK$5:$AK$335=$AK6)*(ROW($O$5:$O$335)&lt;ROW()))))=0,1,0))</f>
        <v>0</v>
      </c>
      <c r="AO6" s="25" t="str">
        <f>IF(AN6=0,"",1+SUMPRODUCT(($B$5:$B$335=$B6)*($AN$5:$AN$335=1)*(($AK$5:$AK$335&gt;$AK6)+(($AK$5:$AK$335=$AK6)*(ROW($B$5:$B$335)&lt;ROW())))))</f>
        <v/>
      </c>
      <c r="AP6" s="22" t="s">
        <v>131</v>
      </c>
      <c r="AQ6" s="25">
        <f>IF(INDEX('01_Criterios'!$C$26:$C$36,MATCH($B6,'01_Criterios'!$B$26:$B$36,0))&lt;&gt;1,0,IF($AP6="Excluir",0,IF($AP6="Incluir",IF(AND(OR($F6="+",$F6="-"),ISNUMBER($G6),ISNUMBER($H6),COUNT($Q6:$AA6)&gt;0),1,0),IF('01_Criterios'!$C$18="Automática",IF(AND($AN6=1,$AO6&lt;&gt;"",$AO6&lt;=INDEX('01_Criterios'!$E$26:$E$36,MATCH($B6,'01_Criterios'!$B$26:$B$36,0))),1,0),0))))</f>
        <v>0</v>
      </c>
      <c r="AR6" s="25" t="str">
        <f>IF(AQ6=0,"",IF($AO6&lt;&gt;"",1+SUMPRODUCT(($B$5:$B$335=$B6)*($AQ$5:$AQ$335=1)*($AO$5:$AO$335&lt;$AO6)),1+SUMPRODUCT(($B$5:$B$335=$B6)*($AQ$5:$AQ$335=1)*ISNUMBER($AO$5:$AO$335))+SUMPRODUCT(($B$5:$B$335=$B6)*($AQ$5:$AQ$335=1)*($AO$5:$AO$335="")*(ROW($AO$5:$AO$335)&lt;ROW()))))</f>
        <v/>
      </c>
      <c r="AS6" s="24" t="s">
        <v>132</v>
      </c>
    </row>
    <row r="7" spans="1:45">
      <c r="A7" s="20" t="s">
        <v>136</v>
      </c>
      <c r="B7" s="21" t="s">
        <v>76</v>
      </c>
      <c r="C7" s="21" t="s">
        <v>123</v>
      </c>
      <c r="D7" s="21" t="s">
        <v>137</v>
      </c>
      <c r="E7" s="20" t="s">
        <v>135</v>
      </c>
      <c r="F7" s="20" t="s">
        <v>126</v>
      </c>
      <c r="G7" s="20">
        <v>0</v>
      </c>
      <c r="H7" s="20">
        <v>100</v>
      </c>
      <c r="I7" s="20">
        <v>35</v>
      </c>
      <c r="J7" s="22">
        <v>1</v>
      </c>
      <c r="K7" s="21" t="s">
        <v>138</v>
      </c>
      <c r="L7" s="20" t="s">
        <v>139</v>
      </c>
      <c r="M7" s="21" t="s">
        <v>140</v>
      </c>
      <c r="N7" s="20">
        <v>0</v>
      </c>
      <c r="O7" s="21" t="s">
        <v>136</v>
      </c>
      <c r="P7" s="20" t="s">
        <v>130</v>
      </c>
      <c r="Q7" s="6">
        <v>15</v>
      </c>
      <c r="R7" s="6">
        <v>18</v>
      </c>
      <c r="S7" s="6">
        <v>19</v>
      </c>
      <c r="T7" s="6">
        <v>19</v>
      </c>
      <c r="U7" s="6">
        <v>26</v>
      </c>
      <c r="V7" s="6">
        <v>27</v>
      </c>
      <c r="W7" s="6">
        <v>29</v>
      </c>
      <c r="X7" s="6">
        <v>33</v>
      </c>
      <c r="Y7" s="6">
        <v>33</v>
      </c>
      <c r="Z7" s="6">
        <v>32</v>
      </c>
      <c r="AA7" s="6">
        <v>32</v>
      </c>
      <c r="AB7" s="20">
        <f>COUNT(Q7:AA7)</f>
        <v>11</v>
      </c>
      <c r="AC7" s="23">
        <f>AB7/11</f>
        <v>1</v>
      </c>
      <c r="AD7" s="20">
        <f>IFERROR(INDEX($Q$4:$AA$4,MATCH(TRUE,INDEX(ISNUMBER(Q7:AA7),0),0)),"")</f>
        <v>2015</v>
      </c>
      <c r="AE7" s="20">
        <f>IFERROR(LOOKUP(2,1/ISNUMBER(Q7:AA7),$Q$4:$AA$4),"")</f>
        <v>2025</v>
      </c>
      <c r="AF7" s="23">
        <f>IF(AB7=0,"",AB7/(AE7-AD7+1))</f>
        <v>1</v>
      </c>
      <c r="AG7" s="20">
        <f>IF(AB7=0,"",'01_Criterios'!$C$8-AE7)</f>
        <v>0</v>
      </c>
      <c r="AH7" s="7">
        <f>IF(P7="Em uso",100,IF(P7="Alta",85,IF(P7="Média",55,30)))</f>
        <v>100</v>
      </c>
      <c r="AI7" s="7">
        <f>ROUND(100*AC7,1)</f>
        <v>100</v>
      </c>
      <c r="AJ7" s="7">
        <f>IF(AB7=0,0,ROUND(MAX(0,100*AF7-10*AG7),1))</f>
        <v>100</v>
      </c>
      <c r="AK7" s="7">
        <f>ROUND(('01_Criterios'!$C$19*AH7+'01_Criterios'!$C$20*AI7+'01_Criterios'!$C$21*AJ7)/('01_Criterios'!$C$19+'01_Criterios'!$C$20+'01_Criterios'!$C$21)+N7*'01_Criterios'!$C$22,1)</f>
        <v>100</v>
      </c>
      <c r="AL7" s="20">
        <f>IF(AND(AB7&gt;=3,AC7&gt;='01_Criterios'!$C$11,N(AE7)&gt;='01_Criterios'!$C$12,OR(F7="+",F7="-"),ISNUMBER(G7),ISNUMBER(H7)),1,0)</f>
        <v>1</v>
      </c>
      <c r="AM7" s="24" t="str">
        <f>IF(AL7=1,"",TRIM(IF(AB7=0,"sem dados no período; ",IF(AB7&lt;3,"série demasiado curta; ",""))&amp;IF(AND(AB7&gt;0,AC7&lt;'01_Criterios'!$C$11),"cobertura insuficiente; ","")&amp;IF(AND(AB7&gt;0,N(AE7)&lt;'01_Criterios'!$C$12),"desactualizado; ","")&amp;IF(AND(F7&lt;&gt;"+",F7&lt;&gt;"-"),"sentido ambíguo; ","")&amp;IF(OR(NOT(ISNUMBER(G7)),NOT(ISNUMBER(H7))),"sem limites min/max; ","")))</f>
        <v/>
      </c>
      <c r="AN7" s="20">
        <f>IF(OR(AL7=0,$AP7="Excluir"),0,IF(SUMPRODUCT(($O$5:$O$335=$O7)*($AL$5:$AL$335=1)*($AP$5:$AP$335&lt;&gt;"Excluir")*(($AK$5:$AK$335&gt;$AK7)+(($AK$5:$AK$335=$AK7)*(ROW($O$5:$O$335)&lt;ROW()))))=0,1,0))</f>
        <v>1</v>
      </c>
      <c r="AO7" s="20">
        <f>IF(AN7=0,"",1+SUMPRODUCT(($B$5:$B$335=$B7)*($AN$5:$AN$335=1)*(($AK$5:$AK$335&gt;$AK7)+(($AK$5:$AK$335=$AK7)*(ROW($B$5:$B$335)&lt;ROW())))))</f>
        <v>1</v>
      </c>
      <c r="AP7" s="22" t="s">
        <v>131</v>
      </c>
      <c r="AQ7" s="20">
        <f>IF(INDEX('01_Criterios'!$C$26:$C$36,MATCH($B7,'01_Criterios'!$B$26:$B$36,0))&lt;&gt;1,0,IF($AP7="Excluir",0,IF($AP7="Incluir",IF(AND(OR($F7="+",$F7="-"),ISNUMBER($G7),ISNUMBER($H7),COUNT($Q7:$AA7)&gt;0),1,0),IF('01_Criterios'!$C$18="Automática",IF(AND($AN7=1,$AO7&lt;&gt;"",$AO7&lt;=INDEX('01_Criterios'!$E$26:$E$36,MATCH($B7,'01_Criterios'!$B$26:$B$36,0))),1,0),0))))</f>
        <v>1</v>
      </c>
      <c r="AR7" s="20">
        <f>IF(AQ7=0,"",IF($AO7&lt;&gt;"",1+SUMPRODUCT(($B$5:$B$335=$B7)*($AQ$5:$AQ$335=1)*($AO$5:$AO$335&lt;$AO7)),1+SUMPRODUCT(($B$5:$B$335=$B7)*($AQ$5:$AQ$335=1)*ISNUMBER($AO$5:$AO$335))+SUMPRODUCT(($B$5:$B$335=$B7)*($AQ$5:$AQ$335=1)*($AO$5:$AO$335="")*(ROW($AO$5:$AO$335)&lt;ROW()))))</f>
        <v>1</v>
      </c>
      <c r="AS7" s="24" t="s">
        <v>141</v>
      </c>
    </row>
    <row r="8" spans="1:45">
      <c r="A8" s="25" t="s">
        <v>142</v>
      </c>
      <c r="B8" s="26" t="s">
        <v>76</v>
      </c>
      <c r="C8" s="26" t="s">
        <v>123</v>
      </c>
      <c r="D8" s="26" t="s">
        <v>143</v>
      </c>
      <c r="E8" s="25" t="s">
        <v>125</v>
      </c>
      <c r="F8" s="25" t="s">
        <v>126</v>
      </c>
      <c r="G8" s="25">
        <v>-2.5</v>
      </c>
      <c r="H8" s="25">
        <v>2.5</v>
      </c>
      <c r="I8" s="25">
        <v>0</v>
      </c>
      <c r="J8" s="22">
        <v>1</v>
      </c>
      <c r="K8" s="26" t="s">
        <v>127</v>
      </c>
      <c r="L8" s="25" t="s">
        <v>144</v>
      </c>
      <c r="M8" s="26" t="s">
        <v>129</v>
      </c>
      <c r="N8" s="25">
        <v>0</v>
      </c>
      <c r="O8" s="26" t="s">
        <v>142</v>
      </c>
      <c r="P8" s="25" t="s">
        <v>130</v>
      </c>
      <c r="Q8" s="27">
        <v>-1.3086297</v>
      </c>
      <c r="R8" s="27">
        <v>-1.3287764</v>
      </c>
      <c r="S8" s="27">
        <v>-1.3317055</v>
      </c>
      <c r="T8" s="27">
        <v>-1.1105522000000001</v>
      </c>
      <c r="U8" s="27">
        <v>-1.0519681999999999</v>
      </c>
      <c r="V8" s="27">
        <v>-0.94750380000000001</v>
      </c>
      <c r="W8" s="27">
        <v>-1.0980135</v>
      </c>
      <c r="X8" s="27">
        <v>-1.1625439</v>
      </c>
      <c r="Y8" s="27">
        <v>-1.1944432</v>
      </c>
      <c r="Z8" s="27">
        <v>-1.1697408</v>
      </c>
      <c r="AA8" s="27"/>
      <c r="AB8" s="25">
        <f>COUNT(Q8:AA8)</f>
        <v>10</v>
      </c>
      <c r="AC8" s="28">
        <f>AB8/11</f>
        <v>0.90909090909090906</v>
      </c>
      <c r="AD8" s="25">
        <f>IFERROR(INDEX($Q$4:$AA$4,MATCH(TRUE,INDEX(ISNUMBER(Q8:AA8),0),0)),"")</f>
        <v>2015</v>
      </c>
      <c r="AE8" s="25">
        <f>IFERROR(LOOKUP(2,1/ISNUMBER(Q8:AA8),$Q$4:$AA$4),"")</f>
        <v>2024</v>
      </c>
      <c r="AF8" s="28">
        <f>IF(AB8=0,"",AB8/(AE8-AD8+1))</f>
        <v>1</v>
      </c>
      <c r="AG8" s="25">
        <f>IF(AB8=0,"",'01_Criterios'!$C$8-AE8)</f>
        <v>1</v>
      </c>
      <c r="AH8" s="29">
        <f>IF(P8="Em uso",100,IF(P8="Alta",85,IF(P8="Média",55,30)))</f>
        <v>100</v>
      </c>
      <c r="AI8" s="29">
        <f>ROUND(100*AC8,1)</f>
        <v>90.9</v>
      </c>
      <c r="AJ8" s="29">
        <f>IF(AB8=0,0,ROUND(MAX(0,100*AF8-10*AG8),1))</f>
        <v>90</v>
      </c>
      <c r="AK8" s="29">
        <f>ROUND(('01_Criterios'!$C$19*AH8+'01_Criterios'!$C$20*AI8+'01_Criterios'!$C$21*AJ8)/('01_Criterios'!$C$19+'01_Criterios'!$C$20+'01_Criterios'!$C$21)+N8*'01_Criterios'!$C$22,1)</f>
        <v>94.3</v>
      </c>
      <c r="AL8" s="25">
        <f>IF(AND(AB8&gt;=3,AC8&gt;='01_Criterios'!$C$11,N(AE8)&gt;='01_Criterios'!$C$12,OR(F8="+",F8="-"),ISNUMBER(G8),ISNUMBER(H8)),1,0)</f>
        <v>1</v>
      </c>
      <c r="AM8" s="30" t="str">
        <f>IF(AL8=1,"",TRIM(IF(AB8=0,"sem dados no período; ",IF(AB8&lt;3,"série demasiado curta; ",""))&amp;IF(AND(AB8&gt;0,AC8&lt;'01_Criterios'!$C$11),"cobertura insuficiente; ","")&amp;IF(AND(AB8&gt;0,N(AE8)&lt;'01_Criterios'!$C$12),"desactualizado; ","")&amp;IF(AND(F8&lt;&gt;"+",F8&lt;&gt;"-"),"sentido ambíguo; ","")&amp;IF(OR(NOT(ISNUMBER(G8)),NOT(ISNUMBER(H8))),"sem limites min/max; ","")))</f>
        <v/>
      </c>
      <c r="AN8" s="25">
        <f>IF(OR(AL8=0,$AP8="Excluir"),0,IF(SUMPRODUCT(($O$5:$O$335=$O8)*($AL$5:$AL$335=1)*($AP$5:$AP$335&lt;&gt;"Excluir")*(($AK$5:$AK$335&gt;$AK8)+(($AK$5:$AK$335=$AK8)*(ROW($O$5:$O$335)&lt;ROW()))))=0,1,0))</f>
        <v>1</v>
      </c>
      <c r="AO8" s="25">
        <f>IF(AN8=0,"",1+SUMPRODUCT(($B$5:$B$335=$B8)*($AN$5:$AN$335=1)*(($AK$5:$AK$335&gt;$AK8)+(($AK$5:$AK$335=$AK8)*(ROW($B$5:$B$335)&lt;ROW())))))</f>
        <v>3</v>
      </c>
      <c r="AP8" s="22" t="s">
        <v>131</v>
      </c>
      <c r="AQ8" s="25">
        <f>IF(INDEX('01_Criterios'!$C$26:$C$36,MATCH($B8,'01_Criterios'!$B$26:$B$36,0))&lt;&gt;1,0,IF($AP8="Excluir",0,IF($AP8="Incluir",IF(AND(OR($F8="+",$F8="-"),ISNUMBER($G8),ISNUMBER($H8),COUNT($Q8:$AA8)&gt;0),1,0),IF('01_Criterios'!$C$18="Automática",IF(AND($AN8=1,$AO8&lt;&gt;"",$AO8&lt;=INDEX('01_Criterios'!$E$26:$E$36,MATCH($B8,'01_Criterios'!$B$26:$B$36,0))),1,0),0))))</f>
        <v>1</v>
      </c>
      <c r="AR8" s="25">
        <f>IF(AQ8=0,"",IF($AO8&lt;&gt;"",1+SUMPRODUCT(($B$5:$B$335=$B8)*($AQ$5:$AQ$335=1)*($AO$5:$AO$335&lt;$AO8)),1+SUMPRODUCT(($B$5:$B$335=$B8)*($AQ$5:$AQ$335=1)*ISNUMBER($AO$5:$AO$335))+SUMPRODUCT(($B$5:$B$335=$B8)*($AQ$5:$AQ$335=1)*($AO$5:$AO$335="")*(ROW($AO$5:$AO$335)&lt;ROW()))))</f>
        <v>3</v>
      </c>
      <c r="AS8" s="24" t="s">
        <v>132</v>
      </c>
    </row>
    <row r="9" spans="1:45">
      <c r="A9" s="20" t="s">
        <v>145</v>
      </c>
      <c r="B9" s="21" t="s">
        <v>76</v>
      </c>
      <c r="C9" s="21" t="s">
        <v>123</v>
      </c>
      <c r="D9" s="21" t="s">
        <v>146</v>
      </c>
      <c r="E9" s="20" t="s">
        <v>125</v>
      </c>
      <c r="F9" s="20" t="s">
        <v>126</v>
      </c>
      <c r="G9" s="20">
        <v>-2.5</v>
      </c>
      <c r="H9" s="20">
        <v>2.5</v>
      </c>
      <c r="I9" s="20">
        <v>0</v>
      </c>
      <c r="J9" s="22">
        <v>1</v>
      </c>
      <c r="K9" s="21" t="s">
        <v>127</v>
      </c>
      <c r="L9" s="20" t="s">
        <v>147</v>
      </c>
      <c r="M9" s="21" t="s">
        <v>129</v>
      </c>
      <c r="N9" s="20">
        <v>0</v>
      </c>
      <c r="O9" s="21" t="s">
        <v>145</v>
      </c>
      <c r="P9" s="20" t="s">
        <v>130</v>
      </c>
      <c r="Q9" s="6">
        <v>-0.93782370000000004</v>
      </c>
      <c r="R9" s="6">
        <v>-0.94938469999999997</v>
      </c>
      <c r="S9" s="6">
        <v>-0.96811570000000002</v>
      </c>
      <c r="T9" s="6">
        <v>-0.9784602</v>
      </c>
      <c r="U9" s="6">
        <v>-0.91169650000000002</v>
      </c>
      <c r="V9" s="6">
        <v>-1.0163603999999999</v>
      </c>
      <c r="W9" s="6">
        <v>-0.9347008</v>
      </c>
      <c r="X9" s="6">
        <v>-0.83257179999999997</v>
      </c>
      <c r="Y9" s="6">
        <v>-0.82870259999999996</v>
      </c>
      <c r="Z9" s="6">
        <v>-0.78519090000000002</v>
      </c>
      <c r="AA9" s="6"/>
      <c r="AB9" s="20">
        <f>COUNT(Q9:AA9)</f>
        <v>10</v>
      </c>
      <c r="AC9" s="23">
        <f>AB9/11</f>
        <v>0.90909090909090906</v>
      </c>
      <c r="AD9" s="20">
        <f>IFERROR(INDEX($Q$4:$AA$4,MATCH(TRUE,INDEX(ISNUMBER(Q9:AA9),0),0)),"")</f>
        <v>2015</v>
      </c>
      <c r="AE9" s="20">
        <f>IFERROR(LOOKUP(2,1/ISNUMBER(Q9:AA9),$Q$4:$AA$4),"")</f>
        <v>2024</v>
      </c>
      <c r="AF9" s="23">
        <f>IF(AB9=0,"",AB9/(AE9-AD9+1))</f>
        <v>1</v>
      </c>
      <c r="AG9" s="20">
        <f>IF(AB9=0,"",'01_Criterios'!$C$8-AE9)</f>
        <v>1</v>
      </c>
      <c r="AH9" s="7">
        <f>IF(P9="Em uso",100,IF(P9="Alta",85,IF(P9="Média",55,30)))</f>
        <v>100</v>
      </c>
      <c r="AI9" s="7">
        <f>ROUND(100*AC9,1)</f>
        <v>90.9</v>
      </c>
      <c r="AJ9" s="7">
        <f>IF(AB9=0,0,ROUND(MAX(0,100*AF9-10*AG9),1))</f>
        <v>90</v>
      </c>
      <c r="AK9" s="7">
        <f>ROUND(('01_Criterios'!$C$19*AH9+'01_Criterios'!$C$20*AI9+'01_Criterios'!$C$21*AJ9)/('01_Criterios'!$C$19+'01_Criterios'!$C$20+'01_Criterios'!$C$21)+N9*'01_Criterios'!$C$22,1)</f>
        <v>94.3</v>
      </c>
      <c r="AL9" s="20">
        <f>IF(AND(AB9&gt;=3,AC9&gt;='01_Criterios'!$C$11,N(AE9)&gt;='01_Criterios'!$C$12,OR(F9="+",F9="-"),ISNUMBER(G9),ISNUMBER(H9)),1,0)</f>
        <v>1</v>
      </c>
      <c r="AM9" s="24" t="str">
        <f>IF(AL9=1,"",TRIM(IF(AB9=0,"sem dados no período; ",IF(AB9&lt;3,"série demasiado curta; ",""))&amp;IF(AND(AB9&gt;0,AC9&lt;'01_Criterios'!$C$11),"cobertura insuficiente; ","")&amp;IF(AND(AB9&gt;0,N(AE9)&lt;'01_Criterios'!$C$12),"desactualizado; ","")&amp;IF(AND(F9&lt;&gt;"+",F9&lt;&gt;"-"),"sentido ambíguo; ","")&amp;IF(OR(NOT(ISNUMBER(G9)),NOT(ISNUMBER(H9))),"sem limites min/max; ","")))</f>
        <v/>
      </c>
      <c r="AN9" s="20">
        <f>IF(OR(AL9=0,$AP9="Excluir"),0,IF(SUMPRODUCT(($O$5:$O$335=$O9)*($AL$5:$AL$335=1)*($AP$5:$AP$335&lt;&gt;"Excluir")*(($AK$5:$AK$335&gt;$AK9)+(($AK$5:$AK$335=$AK9)*(ROW($O$5:$O$335)&lt;ROW()))))=0,1,0))</f>
        <v>1</v>
      </c>
      <c r="AO9" s="20">
        <f>IF(AN9=0,"",1+SUMPRODUCT(($B$5:$B$335=$B9)*($AN$5:$AN$335=1)*(($AK$5:$AK$335&gt;$AK9)+(($AK$5:$AK$335=$AK9)*(ROW($B$5:$B$335)&lt;ROW())))))</f>
        <v>4</v>
      </c>
      <c r="AP9" s="22" t="s">
        <v>131</v>
      </c>
      <c r="AQ9" s="20">
        <f>IF(INDEX('01_Criterios'!$C$26:$C$36,MATCH($B9,'01_Criterios'!$B$26:$B$36,0))&lt;&gt;1,0,IF($AP9="Excluir",0,IF($AP9="Incluir",IF(AND(OR($F9="+",$F9="-"),ISNUMBER($G9),ISNUMBER($H9),COUNT($Q9:$AA9)&gt;0),1,0),IF('01_Criterios'!$C$18="Automática",IF(AND($AN9=1,$AO9&lt;&gt;"",$AO9&lt;=INDEX('01_Criterios'!$E$26:$E$36,MATCH($B9,'01_Criterios'!$B$26:$B$36,0))),1,0),0))))</f>
        <v>1</v>
      </c>
      <c r="AR9" s="20">
        <f>IF(AQ9=0,"",IF($AO9&lt;&gt;"",1+SUMPRODUCT(($B$5:$B$335=$B9)*($AQ$5:$AQ$335=1)*($AO$5:$AO$335&lt;$AO9)),1+SUMPRODUCT(($B$5:$B$335=$B9)*($AQ$5:$AQ$335=1)*ISNUMBER($AO$5:$AO$335))+SUMPRODUCT(($B$5:$B$335=$B9)*($AQ$5:$AQ$335=1)*($AO$5:$AO$335="")*(ROW($AO$5:$AO$335)&lt;ROW()))))</f>
        <v>4</v>
      </c>
      <c r="AS9" s="24" t="s">
        <v>132</v>
      </c>
    </row>
    <row r="10" spans="1:45">
      <c r="A10" s="25" t="s">
        <v>148</v>
      </c>
      <c r="B10" s="26" t="s">
        <v>76</v>
      </c>
      <c r="C10" s="26" t="s">
        <v>123</v>
      </c>
      <c r="D10" s="26" t="s">
        <v>149</v>
      </c>
      <c r="E10" s="25" t="s">
        <v>135</v>
      </c>
      <c r="F10" s="25" t="s">
        <v>126</v>
      </c>
      <c r="G10" s="25">
        <v>0</v>
      </c>
      <c r="H10" s="25">
        <v>100</v>
      </c>
      <c r="I10" s="25">
        <v>55</v>
      </c>
      <c r="J10" s="22">
        <v>1</v>
      </c>
      <c r="K10" s="26" t="s">
        <v>150</v>
      </c>
      <c r="L10" s="25" t="s">
        <v>151</v>
      </c>
      <c r="M10" s="26" t="s">
        <v>150</v>
      </c>
      <c r="N10" s="25">
        <v>0</v>
      </c>
      <c r="O10" s="26" t="s">
        <v>148</v>
      </c>
      <c r="P10" s="25" t="s">
        <v>152</v>
      </c>
      <c r="Q10" s="27"/>
      <c r="R10" s="27"/>
      <c r="S10" s="27"/>
      <c r="T10" s="27"/>
      <c r="U10" s="27"/>
      <c r="V10" s="27"/>
      <c r="W10" s="27"/>
      <c r="X10" s="27"/>
      <c r="Y10" s="27">
        <v>43.8</v>
      </c>
      <c r="Z10" s="27"/>
      <c r="AA10" s="27"/>
      <c r="AB10" s="25">
        <f>COUNT(Q10:AA10)</f>
        <v>1</v>
      </c>
      <c r="AC10" s="28">
        <f>AB10/11</f>
        <v>9.0909090909090912E-2</v>
      </c>
      <c r="AD10" s="25">
        <f>IFERROR(INDEX($Q$4:$AA$4,MATCH(TRUE,INDEX(ISNUMBER(Q10:AA10),0),0)),"")</f>
        <v>2023</v>
      </c>
      <c r="AE10" s="25">
        <f>IFERROR(LOOKUP(2,1/ISNUMBER(Q10:AA10),$Q$4:$AA$4),"")</f>
        <v>2023</v>
      </c>
      <c r="AF10" s="28">
        <f>IF(AB10=0,"",AB10/(AE10-AD10+1))</f>
        <v>1</v>
      </c>
      <c r="AG10" s="25">
        <f>IF(AB10=0,"",'01_Criterios'!$C$8-AE10)</f>
        <v>2</v>
      </c>
      <c r="AH10" s="29">
        <f>IF(P10="Em uso",100,IF(P10="Alta",85,IF(P10="Média",55,30)))</f>
        <v>85</v>
      </c>
      <c r="AI10" s="29">
        <f>ROUND(100*AC10,1)</f>
        <v>9.1</v>
      </c>
      <c r="AJ10" s="29">
        <f>IF(AB10=0,0,ROUND(MAX(0,100*AF10-10*AG10),1))</f>
        <v>80</v>
      </c>
      <c r="AK10" s="29">
        <f>ROUND(('01_Criterios'!$C$19*AH10+'01_Criterios'!$C$20*AI10+'01_Criterios'!$C$21*AJ10)/('01_Criterios'!$C$19+'01_Criterios'!$C$20+'01_Criterios'!$C$21)+N10*'01_Criterios'!$C$22,1)</f>
        <v>57.2</v>
      </c>
      <c r="AL10" s="25">
        <f>IF(AND(AB10&gt;=3,AC10&gt;='01_Criterios'!$C$11,N(AE10)&gt;='01_Criterios'!$C$12,OR(F10="+",F10="-"),ISNUMBER(G10),ISNUMBER(H10)),1,0)</f>
        <v>0</v>
      </c>
      <c r="AM10" s="30" t="str">
        <f>IF(AL10=1,"",TRIM(IF(AB10=0,"sem dados no período; ",IF(AB10&lt;3,"série demasiado curta; ",""))&amp;IF(AND(AB10&gt;0,AC10&lt;'01_Criterios'!$C$11),"cobertura insuficiente; ","")&amp;IF(AND(AB10&gt;0,N(AE10)&lt;'01_Criterios'!$C$12),"desactualizado; ","")&amp;IF(AND(F10&lt;&gt;"+",F10&lt;&gt;"-"),"sentido ambíguo; ","")&amp;IF(OR(NOT(ISNUMBER(G10)),NOT(ISNUMBER(H10))),"sem limites min/max; ","")))</f>
        <v>série demasiado curta; cobertura insuficiente;</v>
      </c>
      <c r="AN10" s="25">
        <f>IF(OR(AL10=0,$AP10="Excluir"),0,IF(SUMPRODUCT(($O$5:$O$335=$O10)*($AL$5:$AL$335=1)*($AP$5:$AP$335&lt;&gt;"Excluir")*(($AK$5:$AK$335&gt;$AK10)+(($AK$5:$AK$335=$AK10)*(ROW($O$5:$O$335)&lt;ROW()))))=0,1,0))</f>
        <v>0</v>
      </c>
      <c r="AO10" s="25" t="str">
        <f>IF(AN10=0,"",1+SUMPRODUCT(($B$5:$B$335=$B10)*($AN$5:$AN$335=1)*(($AK$5:$AK$335&gt;$AK10)+(($AK$5:$AK$335=$AK10)*(ROW($B$5:$B$335)&lt;ROW())))))</f>
        <v/>
      </c>
      <c r="AP10" s="22" t="s">
        <v>131</v>
      </c>
      <c r="AQ10" s="25">
        <f>IF(INDEX('01_Criterios'!$C$26:$C$36,MATCH($B10,'01_Criterios'!$B$26:$B$36,0))&lt;&gt;1,0,IF($AP10="Excluir",0,IF($AP10="Incluir",IF(AND(OR($F10="+",$F10="-"),ISNUMBER($G10),ISNUMBER($H10),COUNT($Q10:$AA10)&gt;0),1,0),IF('01_Criterios'!$C$18="Automática",IF(AND($AN10=1,$AO10&lt;&gt;"",$AO10&lt;=INDEX('01_Criterios'!$E$26:$E$36,MATCH($B10,'01_Criterios'!$B$26:$B$36,0))),1,0),0))))</f>
        <v>0</v>
      </c>
      <c r="AR10" s="25" t="str">
        <f>IF(AQ10=0,"",IF($AO10&lt;&gt;"",1+SUMPRODUCT(($B$5:$B$335=$B10)*($AQ$5:$AQ$335=1)*($AO$5:$AO$335&lt;$AO10)),1+SUMPRODUCT(($B$5:$B$335=$B10)*($AQ$5:$AQ$335=1)*ISNUMBER($AO$5:$AO$335))+SUMPRODUCT(($B$5:$B$335=$B10)*($AQ$5:$AQ$335=1)*($AO$5:$AO$335="")*(ROW($AO$5:$AO$335)&lt;ROW()))))</f>
        <v/>
      </c>
      <c r="AS10" s="24" t="s">
        <v>153</v>
      </c>
    </row>
    <row r="11" spans="1:45">
      <c r="A11" s="20" t="s">
        <v>154</v>
      </c>
      <c r="B11" s="21" t="s">
        <v>76</v>
      </c>
      <c r="C11" s="21" t="s">
        <v>155</v>
      </c>
      <c r="D11" s="21" t="s">
        <v>156</v>
      </c>
      <c r="E11" s="20" t="s">
        <v>157</v>
      </c>
      <c r="F11" s="20" t="s">
        <v>158</v>
      </c>
      <c r="G11" s="20">
        <v>0</v>
      </c>
      <c r="H11" s="20">
        <v>100</v>
      </c>
      <c r="I11" s="20">
        <v>10</v>
      </c>
      <c r="J11" s="22">
        <v>1</v>
      </c>
      <c r="K11" s="21" t="s">
        <v>159</v>
      </c>
      <c r="L11" s="20" t="s">
        <v>160</v>
      </c>
      <c r="M11" s="21" t="s">
        <v>161</v>
      </c>
      <c r="N11" s="20">
        <v>0</v>
      </c>
      <c r="O11" s="21" t="s">
        <v>154</v>
      </c>
      <c r="P11" s="20" t="s">
        <v>152</v>
      </c>
      <c r="Q11" s="6"/>
      <c r="R11" s="6"/>
      <c r="S11" s="6"/>
      <c r="T11" s="6"/>
      <c r="U11" s="6"/>
      <c r="V11" s="6"/>
      <c r="W11" s="6"/>
      <c r="X11" s="6"/>
      <c r="Y11" s="6"/>
      <c r="Z11" s="6">
        <v>21.507503509999999</v>
      </c>
      <c r="AA11" s="6"/>
      <c r="AB11" s="20">
        <f>COUNT(Q11:AA11)</f>
        <v>1</v>
      </c>
      <c r="AC11" s="23">
        <f>AB11/11</f>
        <v>9.0909090909090912E-2</v>
      </c>
      <c r="AD11" s="20">
        <f>IFERROR(INDEX($Q$4:$AA$4,MATCH(TRUE,INDEX(ISNUMBER(Q11:AA11),0),0)),"")</f>
        <v>2024</v>
      </c>
      <c r="AE11" s="20">
        <f>IFERROR(LOOKUP(2,1/ISNUMBER(Q11:AA11),$Q$4:$AA$4),"")</f>
        <v>2024</v>
      </c>
      <c r="AF11" s="23">
        <f>IF(AB11=0,"",AB11/(AE11-AD11+1))</f>
        <v>1</v>
      </c>
      <c r="AG11" s="20">
        <f>IF(AB11=0,"",'01_Criterios'!$C$8-AE11)</f>
        <v>1</v>
      </c>
      <c r="AH11" s="7">
        <f>IF(P11="Em uso",100,IF(P11="Alta",85,IF(P11="Média",55,30)))</f>
        <v>85</v>
      </c>
      <c r="AI11" s="7">
        <f>ROUND(100*AC11,1)</f>
        <v>9.1</v>
      </c>
      <c r="AJ11" s="7">
        <f>IF(AB11=0,0,ROUND(MAX(0,100*AF11-10*AG11),1))</f>
        <v>90</v>
      </c>
      <c r="AK11" s="7">
        <f>ROUND(('01_Criterios'!$C$19*AH11+'01_Criterios'!$C$20*AI11+'01_Criterios'!$C$21*AJ11)/('01_Criterios'!$C$19+'01_Criterios'!$C$20+'01_Criterios'!$C$21)+N11*'01_Criterios'!$C$22,1)</f>
        <v>59.7</v>
      </c>
      <c r="AL11" s="20">
        <f>IF(AND(AB11&gt;=3,AC11&gt;='01_Criterios'!$C$11,N(AE11)&gt;='01_Criterios'!$C$12,OR(F11="+",F11="-"),ISNUMBER(G11),ISNUMBER(H11)),1,0)</f>
        <v>0</v>
      </c>
      <c r="AM11" s="24" t="str">
        <f>IF(AL11=1,"",TRIM(IF(AB11=0,"sem dados no período; ",IF(AB11&lt;3,"série demasiado curta; ",""))&amp;IF(AND(AB11&gt;0,AC11&lt;'01_Criterios'!$C$11),"cobertura insuficiente; ","")&amp;IF(AND(AB11&gt;0,N(AE11)&lt;'01_Criterios'!$C$12),"desactualizado; ","")&amp;IF(AND(F11&lt;&gt;"+",F11&lt;&gt;"-"),"sentido ambíguo; ","")&amp;IF(OR(NOT(ISNUMBER(G11)),NOT(ISNUMBER(H11))),"sem limites min/max; ","")))</f>
        <v>série demasiado curta; cobertura insuficiente;</v>
      </c>
      <c r="AN11" s="20">
        <f>IF(OR(AL11=0,$AP11="Excluir"),0,IF(SUMPRODUCT(($O$5:$O$335=$O11)*($AL$5:$AL$335=1)*($AP$5:$AP$335&lt;&gt;"Excluir")*(($AK$5:$AK$335&gt;$AK11)+(($AK$5:$AK$335=$AK11)*(ROW($O$5:$O$335)&lt;ROW()))))=0,1,0))</f>
        <v>0</v>
      </c>
      <c r="AO11" s="20" t="str">
        <f>IF(AN11=0,"",1+SUMPRODUCT(($B$5:$B$335=$B11)*($AN$5:$AN$335=1)*(($AK$5:$AK$335&gt;$AK11)+(($AK$5:$AK$335=$AK11)*(ROW($B$5:$B$335)&lt;ROW())))))</f>
        <v/>
      </c>
      <c r="AP11" s="22" t="s">
        <v>131</v>
      </c>
      <c r="AQ11" s="20">
        <f>IF(INDEX('01_Criterios'!$C$26:$C$36,MATCH($B11,'01_Criterios'!$B$26:$B$36,0))&lt;&gt;1,0,IF($AP11="Excluir",0,IF($AP11="Incluir",IF(AND(OR($F11="+",$F11="-"),ISNUMBER($G11),ISNUMBER($H11),COUNT($Q11:$AA11)&gt;0),1,0),IF('01_Criterios'!$C$18="Automática",IF(AND($AN11=1,$AO11&lt;&gt;"",$AO11&lt;=INDEX('01_Criterios'!$E$26:$E$36,MATCH($B11,'01_Criterios'!$B$26:$B$36,0))),1,0),0))))</f>
        <v>0</v>
      </c>
      <c r="AR11" s="20" t="str">
        <f>IF(AQ11=0,"",IF($AO11&lt;&gt;"",1+SUMPRODUCT(($B$5:$B$335=$B11)*($AQ$5:$AQ$335=1)*($AO$5:$AO$335&lt;$AO11)),1+SUMPRODUCT(($B$5:$B$335=$B11)*($AQ$5:$AQ$335=1)*ISNUMBER($AO$5:$AO$335))+SUMPRODUCT(($B$5:$B$335=$B11)*($AQ$5:$AQ$335=1)*($AO$5:$AO$335="")*(ROW($AO$5:$AO$335)&lt;ROW()))))</f>
        <v/>
      </c>
      <c r="AS11" s="24" t="s">
        <v>162</v>
      </c>
    </row>
    <row r="12" spans="1:45">
      <c r="A12" s="25" t="s">
        <v>163</v>
      </c>
      <c r="B12" s="26" t="s">
        <v>76</v>
      </c>
      <c r="C12" s="26" t="s">
        <v>155</v>
      </c>
      <c r="D12" s="26" t="s">
        <v>164</v>
      </c>
      <c r="E12" s="25" t="s">
        <v>157</v>
      </c>
      <c r="F12" s="25" t="s">
        <v>158</v>
      </c>
      <c r="G12" s="25">
        <v>0</v>
      </c>
      <c r="H12" s="25">
        <v>100</v>
      </c>
      <c r="I12" s="25">
        <v>10</v>
      </c>
      <c r="J12" s="22">
        <v>1</v>
      </c>
      <c r="K12" s="26" t="s">
        <v>159</v>
      </c>
      <c r="L12" s="25" t="s">
        <v>165</v>
      </c>
      <c r="M12" s="26" t="s">
        <v>161</v>
      </c>
      <c r="N12" s="25">
        <v>0</v>
      </c>
      <c r="O12" s="26" t="s">
        <v>163</v>
      </c>
      <c r="P12" s="25" t="s">
        <v>152</v>
      </c>
      <c r="Q12" s="27"/>
      <c r="R12" s="27"/>
      <c r="S12" s="27"/>
      <c r="T12" s="27"/>
      <c r="U12" s="27"/>
      <c r="V12" s="27"/>
      <c r="W12" s="27"/>
      <c r="X12" s="27"/>
      <c r="Y12" s="27"/>
      <c r="Z12" s="27">
        <v>19.121404649999999</v>
      </c>
      <c r="AA12" s="27"/>
      <c r="AB12" s="25">
        <f>COUNT(Q12:AA12)</f>
        <v>1</v>
      </c>
      <c r="AC12" s="28">
        <f>AB12/11</f>
        <v>9.0909090909090912E-2</v>
      </c>
      <c r="AD12" s="25">
        <f>IFERROR(INDEX($Q$4:$AA$4,MATCH(TRUE,INDEX(ISNUMBER(Q12:AA12),0),0)),"")</f>
        <v>2024</v>
      </c>
      <c r="AE12" s="25">
        <f>IFERROR(LOOKUP(2,1/ISNUMBER(Q12:AA12),$Q$4:$AA$4),"")</f>
        <v>2024</v>
      </c>
      <c r="AF12" s="28">
        <f>IF(AB12=0,"",AB12/(AE12-AD12+1))</f>
        <v>1</v>
      </c>
      <c r="AG12" s="25">
        <f>IF(AB12=0,"",'01_Criterios'!$C$8-AE12)</f>
        <v>1</v>
      </c>
      <c r="AH12" s="29">
        <f>IF(P12="Em uso",100,IF(P12="Alta",85,IF(P12="Média",55,30)))</f>
        <v>85</v>
      </c>
      <c r="AI12" s="29">
        <f>ROUND(100*AC12,1)</f>
        <v>9.1</v>
      </c>
      <c r="AJ12" s="29">
        <f>IF(AB12=0,0,ROUND(MAX(0,100*AF12-10*AG12),1))</f>
        <v>90</v>
      </c>
      <c r="AK12" s="29">
        <f>ROUND(('01_Criterios'!$C$19*AH12+'01_Criterios'!$C$20*AI12+'01_Criterios'!$C$21*AJ12)/('01_Criterios'!$C$19+'01_Criterios'!$C$20+'01_Criterios'!$C$21)+N12*'01_Criterios'!$C$22,1)</f>
        <v>59.7</v>
      </c>
      <c r="AL12" s="25">
        <f>IF(AND(AB12&gt;=3,AC12&gt;='01_Criterios'!$C$11,N(AE12)&gt;='01_Criterios'!$C$12,OR(F12="+",F12="-"),ISNUMBER(G12),ISNUMBER(H12)),1,0)</f>
        <v>0</v>
      </c>
      <c r="AM12" s="30" t="str">
        <f>IF(AL12=1,"",TRIM(IF(AB12=0,"sem dados no período; ",IF(AB12&lt;3,"série demasiado curta; ",""))&amp;IF(AND(AB12&gt;0,AC12&lt;'01_Criterios'!$C$11),"cobertura insuficiente; ","")&amp;IF(AND(AB12&gt;0,N(AE12)&lt;'01_Criterios'!$C$12),"desactualizado; ","")&amp;IF(AND(F12&lt;&gt;"+",F12&lt;&gt;"-"),"sentido ambíguo; ","")&amp;IF(OR(NOT(ISNUMBER(G12)),NOT(ISNUMBER(H12))),"sem limites min/max; ","")))</f>
        <v>série demasiado curta; cobertura insuficiente;</v>
      </c>
      <c r="AN12" s="25">
        <f>IF(OR(AL12=0,$AP12="Excluir"),0,IF(SUMPRODUCT(($O$5:$O$335=$O12)*($AL$5:$AL$335=1)*($AP$5:$AP$335&lt;&gt;"Excluir")*(($AK$5:$AK$335&gt;$AK12)+(($AK$5:$AK$335=$AK12)*(ROW($O$5:$O$335)&lt;ROW()))))=0,1,0))</f>
        <v>0</v>
      </c>
      <c r="AO12" s="25" t="str">
        <f>IF(AN12=0,"",1+SUMPRODUCT(($B$5:$B$335=$B12)*($AN$5:$AN$335=1)*(($AK$5:$AK$335&gt;$AK12)+(($AK$5:$AK$335=$AK12)*(ROW($B$5:$B$335)&lt;ROW())))))</f>
        <v/>
      </c>
      <c r="AP12" s="22" t="s">
        <v>131</v>
      </c>
      <c r="AQ12" s="25">
        <f>IF(INDEX('01_Criterios'!$C$26:$C$36,MATCH($B12,'01_Criterios'!$B$26:$B$36,0))&lt;&gt;1,0,IF($AP12="Excluir",0,IF($AP12="Incluir",IF(AND(OR($F12="+",$F12="-"),ISNUMBER($G12),ISNUMBER($H12),COUNT($Q12:$AA12)&gt;0),1,0),IF('01_Criterios'!$C$18="Automática",IF(AND($AN12=1,$AO12&lt;&gt;"",$AO12&lt;=INDEX('01_Criterios'!$E$26:$E$36,MATCH($B12,'01_Criterios'!$B$26:$B$36,0))),1,0),0))))</f>
        <v>0</v>
      </c>
      <c r="AR12" s="25" t="str">
        <f>IF(AQ12=0,"",IF($AO12&lt;&gt;"",1+SUMPRODUCT(($B$5:$B$335=$B12)*($AQ$5:$AQ$335=1)*($AO$5:$AO$335&lt;$AO12)),1+SUMPRODUCT(($B$5:$B$335=$B12)*($AQ$5:$AQ$335=1)*ISNUMBER($AO$5:$AO$335))+SUMPRODUCT(($B$5:$B$335=$B12)*($AQ$5:$AQ$335=1)*($AO$5:$AO$335="")*(ROW($AO$5:$AO$335)&lt;ROW()))))</f>
        <v/>
      </c>
      <c r="AS12" s="24" t="s">
        <v>166</v>
      </c>
    </row>
    <row r="13" spans="1:45">
      <c r="A13" s="20" t="s">
        <v>167</v>
      </c>
      <c r="B13" s="21" t="s">
        <v>76</v>
      </c>
      <c r="C13" s="21" t="s">
        <v>123</v>
      </c>
      <c r="D13" s="21" t="s">
        <v>168</v>
      </c>
      <c r="E13" s="20" t="s">
        <v>125</v>
      </c>
      <c r="F13" s="20" t="s">
        <v>126</v>
      </c>
      <c r="G13" s="20">
        <v>-2.5</v>
      </c>
      <c r="H13" s="20">
        <v>2.5</v>
      </c>
      <c r="I13" s="20">
        <v>0</v>
      </c>
      <c r="J13" s="22">
        <v>1</v>
      </c>
      <c r="K13" s="21" t="s">
        <v>169</v>
      </c>
      <c r="L13" s="20" t="s">
        <v>170</v>
      </c>
      <c r="M13" s="21" t="s">
        <v>129</v>
      </c>
      <c r="N13" s="20">
        <v>0</v>
      </c>
      <c r="O13" s="21" t="s">
        <v>167</v>
      </c>
      <c r="P13" s="20" t="s">
        <v>152</v>
      </c>
      <c r="Q13" s="6">
        <v>-1.0904944999999999</v>
      </c>
      <c r="R13" s="6">
        <v>-1.1804235000000001</v>
      </c>
      <c r="S13" s="6">
        <v>-1.1799885000000001</v>
      </c>
      <c r="T13" s="6">
        <v>-1.0624393000000001</v>
      </c>
      <c r="U13" s="6">
        <v>-0.99608540000000001</v>
      </c>
      <c r="V13" s="6">
        <v>-1.0388818</v>
      </c>
      <c r="W13" s="6">
        <v>-0.84861839999999999</v>
      </c>
      <c r="X13" s="6">
        <v>-0.86188209999999998</v>
      </c>
      <c r="Y13" s="6">
        <v>-0.90434199999999998</v>
      </c>
      <c r="Z13" s="6">
        <v>-0.77301999999999993</v>
      </c>
      <c r="AA13" s="6"/>
      <c r="AB13" s="20">
        <f>COUNT(Q13:AA13)</f>
        <v>10</v>
      </c>
      <c r="AC13" s="23">
        <f>AB13/11</f>
        <v>0.90909090909090906</v>
      </c>
      <c r="AD13" s="20">
        <f>IFERROR(INDEX($Q$4:$AA$4,MATCH(TRUE,INDEX(ISNUMBER(Q13:AA13),0),0)),"")</f>
        <v>2015</v>
      </c>
      <c r="AE13" s="20">
        <f>IFERROR(LOOKUP(2,1/ISNUMBER(Q13:AA13),$Q$4:$AA$4),"")</f>
        <v>2024</v>
      </c>
      <c r="AF13" s="23">
        <f>IF(AB13=0,"",AB13/(AE13-AD13+1))</f>
        <v>1</v>
      </c>
      <c r="AG13" s="20">
        <f>IF(AB13=0,"",'01_Criterios'!$C$8-AE13)</f>
        <v>1</v>
      </c>
      <c r="AH13" s="7">
        <f>IF(P13="Em uso",100,IF(P13="Alta",85,IF(P13="Média",55,30)))</f>
        <v>85</v>
      </c>
      <c r="AI13" s="7">
        <f>ROUND(100*AC13,1)</f>
        <v>90.9</v>
      </c>
      <c r="AJ13" s="7">
        <f>IF(AB13=0,0,ROUND(MAX(0,100*AF13-10*AG13),1))</f>
        <v>90</v>
      </c>
      <c r="AK13" s="7">
        <f>ROUND(('01_Criterios'!$C$19*AH13+'01_Criterios'!$C$20*AI13+'01_Criterios'!$C$21*AJ13)/('01_Criterios'!$C$19+'01_Criterios'!$C$20+'01_Criterios'!$C$21)+N13*'01_Criterios'!$C$22,1)</f>
        <v>88.3</v>
      </c>
      <c r="AL13" s="20">
        <f>IF(AND(AB13&gt;=3,AC13&gt;='01_Criterios'!$C$11,N(AE13)&gt;='01_Criterios'!$C$12,OR(F13="+",F13="-"),ISNUMBER(G13),ISNUMBER(H13)),1,0)</f>
        <v>1</v>
      </c>
      <c r="AM13" s="24" t="str">
        <f>IF(AL13=1,"",TRIM(IF(AB13=0,"sem dados no período; ",IF(AB13&lt;3,"série demasiado curta; ",""))&amp;IF(AND(AB13&gt;0,AC13&lt;'01_Criterios'!$C$11),"cobertura insuficiente; ","")&amp;IF(AND(AB13&gt;0,N(AE13)&lt;'01_Criterios'!$C$12),"desactualizado; ","")&amp;IF(AND(F13&lt;&gt;"+",F13&lt;&gt;"-"),"sentido ambíguo; ","")&amp;IF(OR(NOT(ISNUMBER(G13)),NOT(ISNUMBER(H13))),"sem limites min/max; ","")))</f>
        <v/>
      </c>
      <c r="AN13" s="20">
        <f>IF(OR(AL13=0,$AP13="Excluir"),0,IF(SUMPRODUCT(($O$5:$O$335=$O13)*($AL$5:$AL$335=1)*($AP$5:$AP$335&lt;&gt;"Excluir")*(($AK$5:$AK$335&gt;$AK13)+(($AK$5:$AK$335=$AK13)*(ROW($O$5:$O$335)&lt;ROW()))))=0,1,0))</f>
        <v>1</v>
      </c>
      <c r="AO13" s="20">
        <f>IF(AN13=0,"",1+SUMPRODUCT(($B$5:$B$335=$B13)*($AN$5:$AN$335=1)*(($AK$5:$AK$335&gt;$AK13)+(($AK$5:$AK$335=$AK13)*(ROW($B$5:$B$335)&lt;ROW())))))</f>
        <v>5</v>
      </c>
      <c r="AP13" s="22" t="s">
        <v>131</v>
      </c>
      <c r="AQ13" s="20">
        <f>IF(INDEX('01_Criterios'!$C$26:$C$36,MATCH($B13,'01_Criterios'!$B$26:$B$36,0))&lt;&gt;1,0,IF($AP13="Excluir",0,IF($AP13="Incluir",IF(AND(OR($F13="+",$F13="-"),ISNUMBER($G13),ISNUMBER($H13),COUNT($Q13:$AA13)&gt;0),1,0),IF('01_Criterios'!$C$18="Automática",IF(AND($AN13=1,$AO13&lt;&gt;"",$AO13&lt;=INDEX('01_Criterios'!$E$26:$E$36,MATCH($B13,'01_Criterios'!$B$26:$B$36,0))),1,0),0))))</f>
        <v>1</v>
      </c>
      <c r="AR13" s="20">
        <f>IF(AQ13=0,"",IF($AO13&lt;&gt;"",1+SUMPRODUCT(($B$5:$B$335=$B13)*($AQ$5:$AQ$335=1)*($AO$5:$AO$335&lt;$AO13)),1+SUMPRODUCT(($B$5:$B$335=$B13)*($AQ$5:$AQ$335=1)*ISNUMBER($AO$5:$AO$335))+SUMPRODUCT(($B$5:$B$335=$B13)*($AQ$5:$AQ$335=1)*($AO$5:$AO$335="")*(ROW($AO$5:$AO$335)&lt;ROW()))))</f>
        <v>5</v>
      </c>
      <c r="AS13" s="24" t="s">
        <v>171</v>
      </c>
    </row>
    <row r="14" spans="1:45">
      <c r="A14" s="25" t="s">
        <v>172</v>
      </c>
      <c r="B14" s="26" t="s">
        <v>76</v>
      </c>
      <c r="C14" s="26" t="s">
        <v>123</v>
      </c>
      <c r="D14" s="26" t="s">
        <v>173</v>
      </c>
      <c r="E14" s="25" t="s">
        <v>125</v>
      </c>
      <c r="F14" s="25" t="s">
        <v>126</v>
      </c>
      <c r="G14" s="25">
        <v>-2.5</v>
      </c>
      <c r="H14" s="25">
        <v>2.5</v>
      </c>
      <c r="I14" s="25">
        <v>0</v>
      </c>
      <c r="J14" s="22">
        <v>1</v>
      </c>
      <c r="K14" s="26" t="s">
        <v>169</v>
      </c>
      <c r="L14" s="25" t="s">
        <v>174</v>
      </c>
      <c r="M14" s="26" t="s">
        <v>129</v>
      </c>
      <c r="N14" s="25">
        <v>0</v>
      </c>
      <c r="O14" s="26" t="s">
        <v>172</v>
      </c>
      <c r="P14" s="25" t="s">
        <v>152</v>
      </c>
      <c r="Q14" s="27">
        <v>-1.4857648999999999</v>
      </c>
      <c r="R14" s="27">
        <v>-1.4881941999999999</v>
      </c>
      <c r="S14" s="27">
        <v>-1.4208092999999999</v>
      </c>
      <c r="T14" s="27">
        <v>-1.1817820000000001</v>
      </c>
      <c r="U14" s="27">
        <v>-0.96479879999999996</v>
      </c>
      <c r="V14" s="27">
        <v>-0.89183229999999991</v>
      </c>
      <c r="W14" s="27">
        <v>-0.64165059999999996</v>
      </c>
      <c r="X14" s="27">
        <v>-0.60315370000000001</v>
      </c>
      <c r="Y14" s="27">
        <v>-0.62425180000000002</v>
      </c>
      <c r="Z14" s="27">
        <v>-0.62257929999999995</v>
      </c>
      <c r="AA14" s="27"/>
      <c r="AB14" s="25">
        <f>COUNT(Q14:AA14)</f>
        <v>10</v>
      </c>
      <c r="AC14" s="28">
        <f>AB14/11</f>
        <v>0.90909090909090906</v>
      </c>
      <c r="AD14" s="25">
        <f>IFERROR(INDEX($Q$4:$AA$4,MATCH(TRUE,INDEX(ISNUMBER(Q14:AA14),0),0)),"")</f>
        <v>2015</v>
      </c>
      <c r="AE14" s="25">
        <f>IFERROR(LOOKUP(2,1/ISNUMBER(Q14:AA14),$Q$4:$AA$4),"")</f>
        <v>2024</v>
      </c>
      <c r="AF14" s="28">
        <f>IF(AB14=0,"",AB14/(AE14-AD14+1))</f>
        <v>1</v>
      </c>
      <c r="AG14" s="25">
        <f>IF(AB14=0,"",'01_Criterios'!$C$8-AE14)</f>
        <v>1</v>
      </c>
      <c r="AH14" s="29">
        <f>IF(P14="Em uso",100,IF(P14="Alta",85,IF(P14="Média",55,30)))</f>
        <v>85</v>
      </c>
      <c r="AI14" s="29">
        <f>ROUND(100*AC14,1)</f>
        <v>90.9</v>
      </c>
      <c r="AJ14" s="29">
        <f>IF(AB14=0,0,ROUND(MAX(0,100*AF14-10*AG14),1))</f>
        <v>90</v>
      </c>
      <c r="AK14" s="29">
        <f>ROUND(('01_Criterios'!$C$19*AH14+'01_Criterios'!$C$20*AI14+'01_Criterios'!$C$21*AJ14)/('01_Criterios'!$C$19+'01_Criterios'!$C$20+'01_Criterios'!$C$21)+N14*'01_Criterios'!$C$22,1)</f>
        <v>88.3</v>
      </c>
      <c r="AL14" s="25">
        <f>IF(AND(AB14&gt;=3,AC14&gt;='01_Criterios'!$C$11,N(AE14)&gt;='01_Criterios'!$C$12,OR(F14="+",F14="-"),ISNUMBER(G14),ISNUMBER(H14)),1,0)</f>
        <v>1</v>
      </c>
      <c r="AM14" s="30" t="str">
        <f>IF(AL14=1,"",TRIM(IF(AB14=0,"sem dados no período; ",IF(AB14&lt;3,"série demasiado curta; ",""))&amp;IF(AND(AB14&gt;0,AC14&lt;'01_Criterios'!$C$11),"cobertura insuficiente; ","")&amp;IF(AND(AB14&gt;0,N(AE14)&lt;'01_Criterios'!$C$12),"desactualizado; ","")&amp;IF(AND(F14&lt;&gt;"+",F14&lt;&gt;"-"),"sentido ambíguo; ","")&amp;IF(OR(NOT(ISNUMBER(G14)),NOT(ISNUMBER(H14))),"sem limites min/max; ","")))</f>
        <v/>
      </c>
      <c r="AN14" s="25">
        <f>IF(OR(AL14=0,$AP14="Excluir"),0,IF(SUMPRODUCT(($O$5:$O$335=$O14)*($AL$5:$AL$335=1)*($AP$5:$AP$335&lt;&gt;"Excluir")*(($AK$5:$AK$335&gt;$AK14)+(($AK$5:$AK$335=$AK14)*(ROW($O$5:$O$335)&lt;ROW()))))=0,1,0))</f>
        <v>0</v>
      </c>
      <c r="AO14" s="25" t="str">
        <f>IF(AN14=0,"",1+SUMPRODUCT(($B$5:$B$335=$B14)*($AN$5:$AN$335=1)*(($AK$5:$AK$335&gt;$AK14)+(($AK$5:$AK$335=$AK14)*(ROW($B$5:$B$335)&lt;ROW())))))</f>
        <v/>
      </c>
      <c r="AP14" s="22" t="s">
        <v>175</v>
      </c>
      <c r="AQ14" s="25">
        <f>IF(INDEX('01_Criterios'!$C$26:$C$36,MATCH($B14,'01_Criterios'!$B$26:$B$36,0))&lt;&gt;1,0,IF($AP14="Excluir",0,IF($AP14="Incluir",IF(AND(OR($F14="+",$F14="-"),ISNUMBER($G14),ISNUMBER($H14),COUNT($Q14:$AA14)&gt;0),1,0),IF('01_Criterios'!$C$18="Automática",IF(AND($AN14=1,$AO14&lt;&gt;"",$AO14&lt;=INDEX('01_Criterios'!$E$26:$E$36,MATCH($B14,'01_Criterios'!$B$26:$B$36,0))),1,0),0))))</f>
        <v>0</v>
      </c>
      <c r="AR14" s="25" t="str">
        <f>IF(AQ14=0,"",IF($AO14&lt;&gt;"",1+SUMPRODUCT(($B$5:$B$335=$B14)*($AQ$5:$AQ$335=1)*($AO$5:$AO$335&lt;$AO14)),1+SUMPRODUCT(($B$5:$B$335=$B14)*($AQ$5:$AQ$335=1)*ISNUMBER($AO$5:$AO$335))+SUMPRODUCT(($B$5:$B$335=$B14)*($AQ$5:$AQ$335=1)*($AO$5:$AO$335="")*(ROW($AO$5:$AO$335)&lt;ROW()))))</f>
        <v/>
      </c>
      <c r="AS14" s="24" t="s">
        <v>176</v>
      </c>
    </row>
    <row r="15" spans="1:45">
      <c r="A15" s="20" t="s">
        <v>177</v>
      </c>
      <c r="B15" s="21" t="s">
        <v>76</v>
      </c>
      <c r="C15" s="21" t="s">
        <v>123</v>
      </c>
      <c r="D15" s="21" t="s">
        <v>178</v>
      </c>
      <c r="E15" s="20" t="s">
        <v>125</v>
      </c>
      <c r="F15" s="20" t="s">
        <v>126</v>
      </c>
      <c r="G15" s="20">
        <v>-2.5</v>
      </c>
      <c r="H15" s="20">
        <v>2.5</v>
      </c>
      <c r="I15" s="20">
        <v>0</v>
      </c>
      <c r="J15" s="22">
        <v>1</v>
      </c>
      <c r="K15" s="21" t="s">
        <v>169</v>
      </c>
      <c r="L15" s="20" t="s">
        <v>179</v>
      </c>
      <c r="M15" s="21" t="s">
        <v>129</v>
      </c>
      <c r="N15" s="20">
        <v>0</v>
      </c>
      <c r="O15" s="21" t="s">
        <v>177</v>
      </c>
      <c r="P15" s="20" t="s">
        <v>180</v>
      </c>
      <c r="Q15" s="6">
        <v>-1.1542998</v>
      </c>
      <c r="R15" s="6">
        <v>-1.1949799999999999</v>
      </c>
      <c r="S15" s="6">
        <v>-1.131561</v>
      </c>
      <c r="T15" s="6">
        <v>-1.005668</v>
      </c>
      <c r="U15" s="6">
        <v>-0.93821759999999998</v>
      </c>
      <c r="V15" s="6">
        <v>-0.93768979999999991</v>
      </c>
      <c r="W15" s="6">
        <v>-0.99850849999999991</v>
      </c>
      <c r="X15" s="6">
        <v>-1.0480912</v>
      </c>
      <c r="Y15" s="6">
        <v>-1.0209360000000001</v>
      </c>
      <c r="Z15" s="6">
        <v>-1.0588932</v>
      </c>
      <c r="AA15" s="6"/>
      <c r="AB15" s="20">
        <f>COUNT(Q15:AA15)</f>
        <v>10</v>
      </c>
      <c r="AC15" s="23">
        <f>AB15/11</f>
        <v>0.90909090909090906</v>
      </c>
      <c r="AD15" s="20">
        <f>IFERROR(INDEX($Q$4:$AA$4,MATCH(TRUE,INDEX(ISNUMBER(Q15:AA15),0),0)),"")</f>
        <v>2015</v>
      </c>
      <c r="AE15" s="20">
        <f>IFERROR(LOOKUP(2,1/ISNUMBER(Q15:AA15),$Q$4:$AA$4),"")</f>
        <v>2024</v>
      </c>
      <c r="AF15" s="23">
        <f>IF(AB15=0,"",AB15/(AE15-AD15+1))</f>
        <v>1</v>
      </c>
      <c r="AG15" s="20">
        <f>IF(AB15=0,"",'01_Criterios'!$C$8-AE15)</f>
        <v>1</v>
      </c>
      <c r="AH15" s="7">
        <f>IF(P15="Em uso",100,IF(P15="Alta",85,IF(P15="Média",55,30)))</f>
        <v>55</v>
      </c>
      <c r="AI15" s="7">
        <f>ROUND(100*AC15,1)</f>
        <v>90.9</v>
      </c>
      <c r="AJ15" s="7">
        <f>IF(AB15=0,0,ROUND(MAX(0,100*AF15-10*AG15),1))</f>
        <v>90</v>
      </c>
      <c r="AK15" s="7">
        <f>ROUND(('01_Criterios'!$C$19*AH15+'01_Criterios'!$C$20*AI15+'01_Criterios'!$C$21*AJ15)/('01_Criterios'!$C$19+'01_Criterios'!$C$20+'01_Criterios'!$C$21)+N15*'01_Criterios'!$C$22,1)</f>
        <v>76.3</v>
      </c>
      <c r="AL15" s="20">
        <f>IF(AND(AB15&gt;=3,AC15&gt;='01_Criterios'!$C$11,N(AE15)&gt;='01_Criterios'!$C$12,OR(F15="+",F15="-"),ISNUMBER(G15),ISNUMBER(H15)),1,0)</f>
        <v>1</v>
      </c>
      <c r="AM15" s="24" t="str">
        <f>IF(AL15=1,"",TRIM(IF(AB15=0,"sem dados no período; ",IF(AB15&lt;3,"série demasiado curta; ",""))&amp;IF(AND(AB15&gt;0,AC15&lt;'01_Criterios'!$C$11),"cobertura insuficiente; ","")&amp;IF(AND(AB15&gt;0,N(AE15)&lt;'01_Criterios'!$C$12),"desactualizado; ","")&amp;IF(AND(F15&lt;&gt;"+",F15&lt;&gt;"-"),"sentido ambíguo; ","")&amp;IF(OR(NOT(ISNUMBER(G15)),NOT(ISNUMBER(H15))),"sem limites min/max; ","")))</f>
        <v/>
      </c>
      <c r="AN15" s="20">
        <f>IF(OR(AL15=0,$AP15="Excluir"),0,IF(SUMPRODUCT(($O$5:$O$335=$O15)*($AL$5:$AL$335=1)*($AP$5:$AP$335&lt;&gt;"Excluir")*(($AK$5:$AK$335&gt;$AK15)+(($AK$5:$AK$335=$AK15)*(ROW($O$5:$O$335)&lt;ROW()))))=0,1,0))</f>
        <v>1</v>
      </c>
      <c r="AO15" s="20">
        <f>IF(AN15=0,"",1+SUMPRODUCT(($B$5:$B$335=$B15)*($AN$5:$AN$335=1)*(($AK$5:$AK$335&gt;$AK15)+(($AK$5:$AK$335=$AK15)*(ROW($B$5:$B$335)&lt;ROW())))))</f>
        <v>6</v>
      </c>
      <c r="AP15" s="22" t="s">
        <v>131</v>
      </c>
      <c r="AQ15" s="20">
        <f>IF(INDEX('01_Criterios'!$C$26:$C$36,MATCH($B15,'01_Criterios'!$B$26:$B$36,0))&lt;&gt;1,0,IF($AP15="Excluir",0,IF($AP15="Incluir",IF(AND(OR($F15="+",$F15="-"),ISNUMBER($G15),ISNUMBER($H15),COUNT($Q15:$AA15)&gt;0),1,0),IF('01_Criterios'!$C$18="Automática",IF(AND($AN15=1,$AO15&lt;&gt;"",$AO15&lt;=INDEX('01_Criterios'!$E$26:$E$36,MATCH($B15,'01_Criterios'!$B$26:$B$36,0))),1,0),0))))</f>
        <v>0</v>
      </c>
      <c r="AR15" s="20" t="str">
        <f>IF(AQ15=0,"",IF($AO15&lt;&gt;"",1+SUMPRODUCT(($B$5:$B$335=$B15)*($AQ$5:$AQ$335=1)*($AO$5:$AO$335&lt;$AO15)),1+SUMPRODUCT(($B$5:$B$335=$B15)*($AQ$5:$AQ$335=1)*ISNUMBER($AO$5:$AO$335))+SUMPRODUCT(($B$5:$B$335=$B15)*($AQ$5:$AQ$335=1)*($AO$5:$AO$335="")*(ROW($AO$5:$AO$335)&lt;ROW()))))</f>
        <v/>
      </c>
      <c r="AS15" s="24" t="s">
        <v>181</v>
      </c>
    </row>
    <row r="16" spans="1:45">
      <c r="A16" s="25" t="s">
        <v>182</v>
      </c>
      <c r="B16" s="26" t="s">
        <v>76</v>
      </c>
      <c r="C16" s="26" t="s">
        <v>123</v>
      </c>
      <c r="D16" s="26" t="s">
        <v>183</v>
      </c>
      <c r="E16" s="25" t="s">
        <v>135</v>
      </c>
      <c r="F16" s="25" t="s">
        <v>126</v>
      </c>
      <c r="G16" s="25">
        <v>0</v>
      </c>
      <c r="H16" s="25">
        <v>100</v>
      </c>
      <c r="I16" s="25">
        <v>55</v>
      </c>
      <c r="J16" s="22">
        <v>1</v>
      </c>
      <c r="K16" s="26" t="s">
        <v>150</v>
      </c>
      <c r="L16" s="25" t="s">
        <v>184</v>
      </c>
      <c r="M16" s="26" t="s">
        <v>150</v>
      </c>
      <c r="N16" s="25">
        <v>0</v>
      </c>
      <c r="O16" s="26" t="s">
        <v>185</v>
      </c>
      <c r="P16" s="25" t="s">
        <v>180</v>
      </c>
      <c r="Q16" s="27"/>
      <c r="R16" s="27"/>
      <c r="S16" s="27"/>
      <c r="T16" s="27"/>
      <c r="U16" s="27"/>
      <c r="V16" s="27"/>
      <c r="W16" s="27"/>
      <c r="X16" s="27"/>
      <c r="Y16" s="27">
        <v>44.2</v>
      </c>
      <c r="Z16" s="27"/>
      <c r="AA16" s="27"/>
      <c r="AB16" s="25">
        <f>COUNT(Q16:AA16)</f>
        <v>1</v>
      </c>
      <c r="AC16" s="28">
        <f>AB16/11</f>
        <v>9.0909090909090912E-2</v>
      </c>
      <c r="AD16" s="25">
        <f>IFERROR(INDEX($Q$4:$AA$4,MATCH(TRUE,INDEX(ISNUMBER(Q16:AA16),0),0)),"")</f>
        <v>2023</v>
      </c>
      <c r="AE16" s="25">
        <f>IFERROR(LOOKUP(2,1/ISNUMBER(Q16:AA16),$Q$4:$AA$4),"")</f>
        <v>2023</v>
      </c>
      <c r="AF16" s="28">
        <f>IF(AB16=0,"",AB16/(AE16-AD16+1))</f>
        <v>1</v>
      </c>
      <c r="AG16" s="25">
        <f>IF(AB16=0,"",'01_Criterios'!$C$8-AE16)</f>
        <v>2</v>
      </c>
      <c r="AH16" s="29">
        <f>IF(P16="Em uso",100,IF(P16="Alta",85,IF(P16="Média",55,30)))</f>
        <v>55</v>
      </c>
      <c r="AI16" s="29">
        <f>ROUND(100*AC16,1)</f>
        <v>9.1</v>
      </c>
      <c r="AJ16" s="29">
        <f>IF(AB16=0,0,ROUND(MAX(0,100*AF16-10*AG16),1))</f>
        <v>80</v>
      </c>
      <c r="AK16" s="29">
        <f>ROUND(('01_Criterios'!$C$19*AH16+'01_Criterios'!$C$20*AI16+'01_Criterios'!$C$21*AJ16)/('01_Criterios'!$C$19+'01_Criterios'!$C$20+'01_Criterios'!$C$21)+N16*'01_Criterios'!$C$22,1)</f>
        <v>45.2</v>
      </c>
      <c r="AL16" s="25">
        <f>IF(AND(AB16&gt;=3,AC16&gt;='01_Criterios'!$C$11,N(AE16)&gt;='01_Criterios'!$C$12,OR(F16="+",F16="-"),ISNUMBER(G16),ISNUMBER(H16)),1,0)</f>
        <v>0</v>
      </c>
      <c r="AM16" s="30" t="str">
        <f>IF(AL16=1,"",TRIM(IF(AB16=0,"sem dados no período; ",IF(AB16&lt;3,"série demasiado curta; ",""))&amp;IF(AND(AB16&gt;0,AC16&lt;'01_Criterios'!$C$11),"cobertura insuficiente; ","")&amp;IF(AND(AB16&gt;0,N(AE16)&lt;'01_Criterios'!$C$12),"desactualizado; ","")&amp;IF(AND(F16&lt;&gt;"+",F16&lt;&gt;"-"),"sentido ambíguo; ","")&amp;IF(OR(NOT(ISNUMBER(G16)),NOT(ISNUMBER(H16))),"sem limites min/max; ","")))</f>
        <v>série demasiado curta; cobertura insuficiente;</v>
      </c>
      <c r="AN16" s="25">
        <f>IF(OR(AL16=0,$AP16="Excluir"),0,IF(SUMPRODUCT(($O$5:$O$335=$O16)*($AL$5:$AL$335=1)*($AP$5:$AP$335&lt;&gt;"Excluir")*(($AK$5:$AK$335&gt;$AK16)+(($AK$5:$AK$335=$AK16)*(ROW($O$5:$O$335)&lt;ROW()))))=0,1,0))</f>
        <v>0</v>
      </c>
      <c r="AO16" s="25" t="str">
        <f>IF(AN16=0,"",1+SUMPRODUCT(($B$5:$B$335=$B16)*($AN$5:$AN$335=1)*(($AK$5:$AK$335&gt;$AK16)+(($AK$5:$AK$335=$AK16)*(ROW($B$5:$B$335)&lt;ROW())))))</f>
        <v/>
      </c>
      <c r="AP16" s="22" t="s">
        <v>131</v>
      </c>
      <c r="AQ16" s="25">
        <f>IF(INDEX('01_Criterios'!$C$26:$C$36,MATCH($B16,'01_Criterios'!$B$26:$B$36,0))&lt;&gt;1,0,IF($AP16="Excluir",0,IF($AP16="Incluir",IF(AND(OR($F16="+",$F16="-"),ISNUMBER($G16),ISNUMBER($H16),COUNT($Q16:$AA16)&gt;0),1,0),IF('01_Criterios'!$C$18="Automática",IF(AND($AN16=1,$AO16&lt;&gt;"",$AO16&lt;=INDEX('01_Criterios'!$E$26:$E$36,MATCH($B16,'01_Criterios'!$B$26:$B$36,0))),1,0),0))))</f>
        <v>0</v>
      </c>
      <c r="AR16" s="25" t="str">
        <f>IF(AQ16=0,"",IF($AO16&lt;&gt;"",1+SUMPRODUCT(($B$5:$B$335=$B16)*($AQ$5:$AQ$335=1)*($AO$5:$AO$335&lt;$AO16)),1+SUMPRODUCT(($B$5:$B$335=$B16)*($AQ$5:$AQ$335=1)*ISNUMBER($AO$5:$AO$335))+SUMPRODUCT(($B$5:$B$335=$B16)*($AQ$5:$AQ$335=1)*($AO$5:$AO$335="")*(ROW($AO$5:$AO$335)&lt;ROW()))))</f>
        <v/>
      </c>
      <c r="AS16" s="24" t="s">
        <v>186</v>
      </c>
    </row>
    <row r="17" spans="1:45">
      <c r="A17" s="20" t="s">
        <v>187</v>
      </c>
      <c r="B17" s="21" t="s">
        <v>76</v>
      </c>
      <c r="C17" s="21" t="s">
        <v>123</v>
      </c>
      <c r="D17" s="21" t="s">
        <v>188</v>
      </c>
      <c r="E17" s="20" t="s">
        <v>135</v>
      </c>
      <c r="F17" s="20" t="s">
        <v>126</v>
      </c>
      <c r="G17" s="20">
        <v>0</v>
      </c>
      <c r="H17" s="20">
        <v>100</v>
      </c>
      <c r="I17" s="20">
        <v>50</v>
      </c>
      <c r="J17" s="22">
        <v>1</v>
      </c>
      <c r="K17" s="21" t="s">
        <v>189</v>
      </c>
      <c r="L17" s="20" t="s">
        <v>190</v>
      </c>
      <c r="M17" s="21" t="s">
        <v>189</v>
      </c>
      <c r="N17" s="20">
        <v>0</v>
      </c>
      <c r="O17" s="21" t="s">
        <v>187</v>
      </c>
      <c r="P17" s="20" t="s">
        <v>180</v>
      </c>
      <c r="Q17" s="6">
        <v>26</v>
      </c>
      <c r="R17" s="6"/>
      <c r="S17" s="6">
        <v>25</v>
      </c>
      <c r="T17" s="6"/>
      <c r="U17" s="6">
        <v>36</v>
      </c>
      <c r="V17" s="6"/>
      <c r="W17" s="6">
        <v>30</v>
      </c>
      <c r="X17" s="6"/>
      <c r="Y17" s="6">
        <v>26</v>
      </c>
      <c r="Z17" s="6"/>
      <c r="AA17" s="6"/>
      <c r="AB17" s="20">
        <f>COUNT(Q17:AA17)</f>
        <v>5</v>
      </c>
      <c r="AC17" s="23">
        <f>AB17/11</f>
        <v>0.45454545454545453</v>
      </c>
      <c r="AD17" s="20">
        <f>IFERROR(INDEX($Q$4:$AA$4,MATCH(TRUE,INDEX(ISNUMBER(Q17:AA17),0),0)),"")</f>
        <v>2015</v>
      </c>
      <c r="AE17" s="20">
        <f>IFERROR(LOOKUP(2,1/ISNUMBER(Q17:AA17),$Q$4:$AA$4),"")</f>
        <v>2023</v>
      </c>
      <c r="AF17" s="23">
        <f>IF(AB17=0,"",AB17/(AE17-AD17+1))</f>
        <v>0.55555555555555558</v>
      </c>
      <c r="AG17" s="20">
        <f>IF(AB17=0,"",'01_Criterios'!$C$8-AE17)</f>
        <v>2</v>
      </c>
      <c r="AH17" s="7">
        <f>IF(P17="Em uso",100,IF(P17="Alta",85,IF(P17="Média",55,30)))</f>
        <v>55</v>
      </c>
      <c r="AI17" s="7">
        <f>ROUND(100*AC17,1)</f>
        <v>45.5</v>
      </c>
      <c r="AJ17" s="7">
        <f>IF(AB17=0,0,ROUND(MAX(0,100*AF17-10*AG17),1))</f>
        <v>35.6</v>
      </c>
      <c r="AK17" s="7">
        <f>ROUND(('01_Criterios'!$C$19*AH17+'01_Criterios'!$C$20*AI17+'01_Criterios'!$C$21*AJ17)/('01_Criterios'!$C$19+'01_Criterios'!$C$20+'01_Criterios'!$C$21)+N17*'01_Criterios'!$C$22,1)</f>
        <v>46.8</v>
      </c>
      <c r="AL17" s="20">
        <f>IF(AND(AB17&gt;=3,AC17&gt;='01_Criterios'!$C$11,N(AE17)&gt;='01_Criterios'!$C$12,OR(F17="+",F17="-"),ISNUMBER(G17),ISNUMBER(H17)),1,0)</f>
        <v>0</v>
      </c>
      <c r="AM17" s="24" t="str">
        <f>IF(AL17=1,"",TRIM(IF(AB17=0,"sem dados no período; ",IF(AB17&lt;3,"série demasiado curta; ",""))&amp;IF(AND(AB17&gt;0,AC17&lt;'01_Criterios'!$C$11),"cobertura insuficiente; ","")&amp;IF(AND(AB17&gt;0,N(AE17)&lt;'01_Criterios'!$C$12),"desactualizado; ","")&amp;IF(AND(F17&lt;&gt;"+",F17&lt;&gt;"-"),"sentido ambíguo; ","")&amp;IF(OR(NOT(ISNUMBER(G17)),NOT(ISNUMBER(H17))),"sem limites min/max; ","")))</f>
        <v>cobertura insuficiente;</v>
      </c>
      <c r="AN17" s="20">
        <f>IF(OR(AL17=0,$AP17="Excluir"),0,IF(SUMPRODUCT(($O$5:$O$335=$O17)*($AL$5:$AL$335=1)*($AP$5:$AP$335&lt;&gt;"Excluir")*(($AK$5:$AK$335&gt;$AK17)+(($AK$5:$AK$335=$AK17)*(ROW($O$5:$O$335)&lt;ROW()))))=0,1,0))</f>
        <v>0</v>
      </c>
      <c r="AO17" s="20" t="str">
        <f>IF(AN17=0,"",1+SUMPRODUCT(($B$5:$B$335=$B17)*($AN$5:$AN$335=1)*(($AK$5:$AK$335&gt;$AK17)+(($AK$5:$AK$335=$AK17)*(ROW($B$5:$B$335)&lt;ROW())))))</f>
        <v/>
      </c>
      <c r="AP17" s="22" t="s">
        <v>131</v>
      </c>
      <c r="AQ17" s="20">
        <f>IF(INDEX('01_Criterios'!$C$26:$C$36,MATCH($B17,'01_Criterios'!$B$26:$B$36,0))&lt;&gt;1,0,IF($AP17="Excluir",0,IF($AP17="Incluir",IF(AND(OR($F17="+",$F17="-"),ISNUMBER($G17),ISNUMBER($H17),COUNT($Q17:$AA17)&gt;0),1,0),IF('01_Criterios'!$C$18="Automática",IF(AND($AN17=1,$AO17&lt;&gt;"",$AO17&lt;=INDEX('01_Criterios'!$E$26:$E$36,MATCH($B17,'01_Criterios'!$B$26:$B$36,0))),1,0),0))))</f>
        <v>0</v>
      </c>
      <c r="AR17" s="20" t="str">
        <f>IF(AQ17=0,"",IF($AO17&lt;&gt;"",1+SUMPRODUCT(($B$5:$B$335=$B17)*($AQ$5:$AQ$335=1)*($AO$5:$AO$335&lt;$AO17)),1+SUMPRODUCT(($B$5:$B$335=$B17)*($AQ$5:$AQ$335=1)*ISNUMBER($AO$5:$AO$335))+SUMPRODUCT(($B$5:$B$335=$B17)*($AQ$5:$AQ$335=1)*($AO$5:$AO$335="")*(ROW($AO$5:$AO$335)&lt;ROW()))))</f>
        <v/>
      </c>
      <c r="AS17" s="24" t="s">
        <v>191</v>
      </c>
    </row>
    <row r="18" spans="1:45">
      <c r="A18" s="25" t="s">
        <v>192</v>
      </c>
      <c r="B18" s="26" t="s">
        <v>76</v>
      </c>
      <c r="C18" s="26" t="s">
        <v>123</v>
      </c>
      <c r="D18" s="26" t="s">
        <v>193</v>
      </c>
      <c r="E18" s="25" t="s">
        <v>157</v>
      </c>
      <c r="F18" s="25" t="s">
        <v>158</v>
      </c>
      <c r="G18" s="25">
        <v>0</v>
      </c>
      <c r="H18" s="25">
        <v>100</v>
      </c>
      <c r="I18" s="25">
        <v>10</v>
      </c>
      <c r="J18" s="22">
        <v>1</v>
      </c>
      <c r="K18" s="26" t="s">
        <v>194</v>
      </c>
      <c r="L18" s="25"/>
      <c r="M18" s="26" t="s">
        <v>129</v>
      </c>
      <c r="N18" s="25">
        <v>0</v>
      </c>
      <c r="O18" s="26" t="s">
        <v>192</v>
      </c>
      <c r="P18" s="25" t="s">
        <v>180</v>
      </c>
      <c r="Q18" s="27"/>
      <c r="R18" s="27"/>
      <c r="S18" s="27"/>
      <c r="T18" s="27"/>
      <c r="U18" s="27"/>
      <c r="V18" s="27"/>
      <c r="W18" s="27"/>
      <c r="X18" s="27"/>
      <c r="Y18" s="27"/>
      <c r="Z18" s="27"/>
      <c r="AA18" s="27"/>
      <c r="AB18" s="25">
        <f>COUNT(Q18:AA18)</f>
        <v>0</v>
      </c>
      <c r="AC18" s="28">
        <f>AB18/11</f>
        <v>0</v>
      </c>
      <c r="AD18" s="25" t="str">
        <f>IFERROR(INDEX($Q$4:$AA$4,MATCH(TRUE,INDEX(ISNUMBER(Q18:AA18),0),0)),"")</f>
        <v/>
      </c>
      <c r="AE18" s="25" t="str">
        <f>IFERROR(LOOKUP(2,1/ISNUMBER(Q18:AA18),$Q$4:$AA$4),"")</f>
        <v/>
      </c>
      <c r="AF18" s="28" t="str">
        <f>IF(AB18=0,"",AB18/(AE18-AD18+1))</f>
        <v/>
      </c>
      <c r="AG18" s="25" t="str">
        <f>IF(AB18=0,"",'01_Criterios'!$C$8-AE18)</f>
        <v/>
      </c>
      <c r="AH18" s="29">
        <f>IF(P18="Em uso",100,IF(P18="Alta",85,IF(P18="Média",55,30)))</f>
        <v>55</v>
      </c>
      <c r="AI18" s="29">
        <f>ROUND(100*AC18,1)</f>
        <v>0</v>
      </c>
      <c r="AJ18" s="29">
        <f>IF(AB18=0,0,ROUND(MAX(0,100*AF18-10*AG18),1))</f>
        <v>0</v>
      </c>
      <c r="AK18" s="29">
        <f>ROUND(('01_Criterios'!$C$19*AH18+'01_Criterios'!$C$20*AI18+'01_Criterios'!$C$21*AJ18)/('01_Criterios'!$C$19+'01_Criterios'!$C$20+'01_Criterios'!$C$21)+N18*'01_Criterios'!$C$22,1)</f>
        <v>22</v>
      </c>
      <c r="AL18" s="25">
        <f>IF(AND(AB18&gt;=3,AC18&gt;='01_Criterios'!$C$11,N(AE18)&gt;='01_Criterios'!$C$12,OR(F18="+",F18="-"),ISNUMBER(G18),ISNUMBER(H18)),1,0)</f>
        <v>0</v>
      </c>
      <c r="AM18" s="30" t="str">
        <f>IF(AL18=1,"",TRIM(IF(AB18=0,"sem dados no período; ",IF(AB18&lt;3,"série demasiado curta; ",""))&amp;IF(AND(AB18&gt;0,AC18&lt;'01_Criterios'!$C$11),"cobertura insuficiente; ","")&amp;IF(AND(AB18&gt;0,N(AE18)&lt;'01_Criterios'!$C$12),"desactualizado; ","")&amp;IF(AND(F18&lt;&gt;"+",F18&lt;&gt;"-"),"sentido ambíguo; ","")&amp;IF(OR(NOT(ISNUMBER(G18)),NOT(ISNUMBER(H18))),"sem limites min/max; ","")))</f>
        <v>sem dados no período;</v>
      </c>
      <c r="AN18" s="25">
        <f>IF(OR(AL18=0,$AP18="Excluir"),0,IF(SUMPRODUCT(($O$5:$O$335=$O18)*($AL$5:$AL$335=1)*($AP$5:$AP$335&lt;&gt;"Excluir")*(($AK$5:$AK$335&gt;$AK18)+(($AK$5:$AK$335=$AK18)*(ROW($O$5:$O$335)&lt;ROW()))))=0,1,0))</f>
        <v>0</v>
      </c>
      <c r="AO18" s="25" t="str">
        <f>IF(AN18=0,"",1+SUMPRODUCT(($B$5:$B$335=$B18)*($AN$5:$AN$335=1)*(($AK$5:$AK$335&gt;$AK18)+(($AK$5:$AK$335=$AK18)*(ROW($B$5:$B$335)&lt;ROW())))))</f>
        <v/>
      </c>
      <c r="AP18" s="22" t="s">
        <v>131</v>
      </c>
      <c r="AQ18" s="25">
        <f>IF(INDEX('01_Criterios'!$C$26:$C$36,MATCH($B18,'01_Criterios'!$B$26:$B$36,0))&lt;&gt;1,0,IF($AP18="Excluir",0,IF($AP18="Incluir",IF(AND(OR($F18="+",$F18="-"),ISNUMBER($G18),ISNUMBER($H18),COUNT($Q18:$AA18)&gt;0),1,0),IF('01_Criterios'!$C$18="Automática",IF(AND($AN18=1,$AO18&lt;&gt;"",$AO18&lt;=INDEX('01_Criterios'!$E$26:$E$36,MATCH($B18,'01_Criterios'!$B$26:$B$36,0))),1,0),0))))</f>
        <v>0</v>
      </c>
      <c r="AR18" s="25" t="str">
        <f>IF(AQ18=0,"",IF($AO18&lt;&gt;"",1+SUMPRODUCT(($B$5:$B$335=$B18)*($AQ$5:$AQ$335=1)*($AO$5:$AO$335&lt;$AO18)),1+SUMPRODUCT(($B$5:$B$335=$B18)*($AQ$5:$AQ$335=1)*ISNUMBER($AO$5:$AO$335))+SUMPRODUCT(($B$5:$B$335=$B18)*($AQ$5:$AQ$335=1)*($AO$5:$AO$335="")*(ROW($AO$5:$AO$335)&lt;ROW()))))</f>
        <v/>
      </c>
      <c r="AS18" s="24" t="s">
        <v>195</v>
      </c>
    </row>
    <row r="19" spans="1:45">
      <c r="A19" s="20" t="s">
        <v>196</v>
      </c>
      <c r="B19" s="21" t="s">
        <v>76</v>
      </c>
      <c r="C19" s="21" t="s">
        <v>123</v>
      </c>
      <c r="D19" s="21" t="s">
        <v>197</v>
      </c>
      <c r="E19" s="20" t="s">
        <v>135</v>
      </c>
      <c r="F19" s="20" t="s">
        <v>126</v>
      </c>
      <c r="G19" s="20">
        <v>0</v>
      </c>
      <c r="H19" s="20">
        <v>100</v>
      </c>
      <c r="I19" s="20">
        <v>65</v>
      </c>
      <c r="J19" s="22">
        <v>1</v>
      </c>
      <c r="K19" s="21" t="s">
        <v>127</v>
      </c>
      <c r="L19" s="20" t="s">
        <v>198</v>
      </c>
      <c r="M19" s="21" t="s">
        <v>161</v>
      </c>
      <c r="N19" s="20">
        <v>0</v>
      </c>
      <c r="O19" s="21" t="s">
        <v>196</v>
      </c>
      <c r="P19" s="20" t="s">
        <v>180</v>
      </c>
      <c r="Q19" s="6"/>
      <c r="R19" s="6">
        <v>47.395416666666698</v>
      </c>
      <c r="S19" s="6">
        <v>48.359583333333298</v>
      </c>
      <c r="T19" s="6">
        <v>54.572083333333303</v>
      </c>
      <c r="U19" s="6">
        <v>57.952500000000001</v>
      </c>
      <c r="V19" s="6">
        <v>59.17</v>
      </c>
      <c r="W19" s="6">
        <v>56.456249999999997</v>
      </c>
      <c r="X19" s="6">
        <v>54.967083333333299</v>
      </c>
      <c r="Y19" s="6">
        <v>57.595833333333303</v>
      </c>
      <c r="Z19" s="6">
        <v>58.152083333333302</v>
      </c>
      <c r="AA19" s="6"/>
      <c r="AB19" s="20">
        <f>COUNT(Q19:AA19)</f>
        <v>9</v>
      </c>
      <c r="AC19" s="23">
        <f>AB19/11</f>
        <v>0.81818181818181823</v>
      </c>
      <c r="AD19" s="20">
        <f>IFERROR(INDEX($Q$4:$AA$4,MATCH(TRUE,INDEX(ISNUMBER(Q19:AA19),0),0)),"")</f>
        <v>2016</v>
      </c>
      <c r="AE19" s="20">
        <f>IFERROR(LOOKUP(2,1/ISNUMBER(Q19:AA19),$Q$4:$AA$4),"")</f>
        <v>2024</v>
      </c>
      <c r="AF19" s="23">
        <f>IF(AB19=0,"",AB19/(AE19-AD19+1))</f>
        <v>1</v>
      </c>
      <c r="AG19" s="20">
        <f>IF(AB19=0,"",'01_Criterios'!$C$8-AE19)</f>
        <v>1</v>
      </c>
      <c r="AH19" s="7">
        <f>IF(P19="Em uso",100,IF(P19="Alta",85,IF(P19="Média",55,30)))</f>
        <v>55</v>
      </c>
      <c r="AI19" s="7">
        <f>ROUND(100*AC19,1)</f>
        <v>81.8</v>
      </c>
      <c r="AJ19" s="7">
        <f>IF(AB19=0,0,ROUND(MAX(0,100*AF19-10*AG19),1))</f>
        <v>90</v>
      </c>
      <c r="AK19" s="7">
        <f>ROUND(('01_Criterios'!$C$19*AH19+'01_Criterios'!$C$20*AI19+'01_Criterios'!$C$21*AJ19)/('01_Criterios'!$C$19+'01_Criterios'!$C$20+'01_Criterios'!$C$21)+N19*'01_Criterios'!$C$22,1)</f>
        <v>73.099999999999994</v>
      </c>
      <c r="AL19" s="20">
        <f>IF(AND(AB19&gt;=3,AC19&gt;='01_Criterios'!$C$11,N(AE19)&gt;='01_Criterios'!$C$12,OR(F19="+",F19="-"),ISNUMBER(G19),ISNUMBER(H19)),1,0)</f>
        <v>1</v>
      </c>
      <c r="AM19" s="24" t="str">
        <f>IF(AL19=1,"",TRIM(IF(AB19=0,"sem dados no período; ",IF(AB19&lt;3,"série demasiado curta; ",""))&amp;IF(AND(AB19&gt;0,AC19&lt;'01_Criterios'!$C$11),"cobertura insuficiente; ","")&amp;IF(AND(AB19&gt;0,N(AE19)&lt;'01_Criterios'!$C$12),"desactualizado; ","")&amp;IF(AND(F19&lt;&gt;"+",F19&lt;&gt;"-"),"sentido ambíguo; ","")&amp;IF(OR(NOT(ISNUMBER(G19)),NOT(ISNUMBER(H19))),"sem limites min/max; ","")))</f>
        <v/>
      </c>
      <c r="AN19" s="20">
        <f>IF(OR(AL19=0,$AP19="Excluir"),0,IF(SUMPRODUCT(($O$5:$O$335=$O19)*($AL$5:$AL$335=1)*($AP$5:$AP$335&lt;&gt;"Excluir")*(($AK$5:$AK$335&gt;$AK19)+(($AK$5:$AK$335=$AK19)*(ROW($O$5:$O$335)&lt;ROW()))))=0,1,0))</f>
        <v>1</v>
      </c>
      <c r="AO19" s="20">
        <f>IF(AN19=0,"",1+SUMPRODUCT(($B$5:$B$335=$B19)*($AN$5:$AN$335=1)*(($AK$5:$AK$335&gt;$AK19)+(($AK$5:$AK$335=$AK19)*(ROW($B$5:$B$335)&lt;ROW())))))</f>
        <v>7</v>
      </c>
      <c r="AP19" s="22" t="s">
        <v>131</v>
      </c>
      <c r="AQ19" s="20">
        <f>IF(INDEX('01_Criterios'!$C$26:$C$36,MATCH($B19,'01_Criterios'!$B$26:$B$36,0))&lt;&gt;1,0,IF($AP19="Excluir",0,IF($AP19="Incluir",IF(AND(OR($F19="+",$F19="-"),ISNUMBER($G19),ISNUMBER($H19),COUNT($Q19:$AA19)&gt;0),1,0),IF('01_Criterios'!$C$18="Automática",IF(AND($AN19=1,$AO19&lt;&gt;"",$AO19&lt;=INDEX('01_Criterios'!$E$26:$E$36,MATCH($B19,'01_Criterios'!$B$26:$B$36,0))),1,0),0))))</f>
        <v>0</v>
      </c>
      <c r="AR19" s="20" t="str">
        <f>IF(AQ19=0,"",IF($AO19&lt;&gt;"",1+SUMPRODUCT(($B$5:$B$335=$B19)*($AQ$5:$AQ$335=1)*($AO$5:$AO$335&lt;$AO19)),1+SUMPRODUCT(($B$5:$B$335=$B19)*($AQ$5:$AQ$335=1)*ISNUMBER($AO$5:$AO$335))+SUMPRODUCT(($B$5:$B$335=$B19)*($AQ$5:$AQ$335=1)*($AO$5:$AO$335="")*(ROW($AO$5:$AO$335)&lt;ROW()))))</f>
        <v/>
      </c>
      <c r="AS19" s="24" t="s">
        <v>199</v>
      </c>
    </row>
    <row r="20" spans="1:45">
      <c r="A20" s="25" t="s">
        <v>200</v>
      </c>
      <c r="B20" s="26" t="s">
        <v>76</v>
      </c>
      <c r="C20" s="26" t="s">
        <v>201</v>
      </c>
      <c r="D20" s="26" t="s">
        <v>202</v>
      </c>
      <c r="E20" s="25" t="s">
        <v>203</v>
      </c>
      <c r="F20" s="25" t="s">
        <v>126</v>
      </c>
      <c r="G20" s="25">
        <v>1</v>
      </c>
      <c r="H20" s="25">
        <v>6</v>
      </c>
      <c r="I20" s="25">
        <v>4</v>
      </c>
      <c r="J20" s="22">
        <v>1</v>
      </c>
      <c r="K20" s="26" t="s">
        <v>204</v>
      </c>
      <c r="L20" s="25" t="s">
        <v>205</v>
      </c>
      <c r="M20" s="26" t="s">
        <v>161</v>
      </c>
      <c r="N20" s="25">
        <v>0</v>
      </c>
      <c r="O20" s="26" t="s">
        <v>200</v>
      </c>
      <c r="P20" s="25" t="s">
        <v>180</v>
      </c>
      <c r="Q20" s="27"/>
      <c r="R20" s="27"/>
      <c r="S20" s="27"/>
      <c r="T20" s="27"/>
      <c r="U20" s="27"/>
      <c r="V20" s="27"/>
      <c r="W20" s="27"/>
      <c r="X20" s="27"/>
      <c r="Y20" s="27"/>
      <c r="Z20" s="27"/>
      <c r="AA20" s="27"/>
      <c r="AB20" s="25">
        <f>COUNT(Q20:AA20)</f>
        <v>0</v>
      </c>
      <c r="AC20" s="28">
        <f>AB20/11</f>
        <v>0</v>
      </c>
      <c r="AD20" s="25" t="str">
        <f>IFERROR(INDEX($Q$4:$AA$4,MATCH(TRUE,INDEX(ISNUMBER(Q20:AA20),0),0)),"")</f>
        <v/>
      </c>
      <c r="AE20" s="25" t="str">
        <f>IFERROR(LOOKUP(2,1/ISNUMBER(Q20:AA20),$Q$4:$AA$4),"")</f>
        <v/>
      </c>
      <c r="AF20" s="28" t="str">
        <f>IF(AB20=0,"",AB20/(AE20-AD20+1))</f>
        <v/>
      </c>
      <c r="AG20" s="25" t="str">
        <f>IF(AB20=0,"",'01_Criterios'!$C$8-AE20)</f>
        <v/>
      </c>
      <c r="AH20" s="29">
        <f>IF(P20="Em uso",100,IF(P20="Alta",85,IF(P20="Média",55,30)))</f>
        <v>55</v>
      </c>
      <c r="AI20" s="29">
        <f>ROUND(100*AC20,1)</f>
        <v>0</v>
      </c>
      <c r="AJ20" s="29">
        <f>IF(AB20=0,0,ROUND(MAX(0,100*AF20-10*AG20),1))</f>
        <v>0</v>
      </c>
      <c r="AK20" s="29">
        <f>ROUND(('01_Criterios'!$C$19*AH20+'01_Criterios'!$C$20*AI20+'01_Criterios'!$C$21*AJ20)/('01_Criterios'!$C$19+'01_Criterios'!$C$20+'01_Criterios'!$C$21)+N20*'01_Criterios'!$C$22,1)</f>
        <v>22</v>
      </c>
      <c r="AL20" s="25">
        <f>IF(AND(AB20&gt;=3,AC20&gt;='01_Criterios'!$C$11,N(AE20)&gt;='01_Criterios'!$C$12,OR(F20="+",F20="-"),ISNUMBER(G20),ISNUMBER(H20)),1,0)</f>
        <v>0</v>
      </c>
      <c r="AM20" s="30" t="str">
        <f>IF(AL20=1,"",TRIM(IF(AB20=0,"sem dados no período; ",IF(AB20&lt;3,"série demasiado curta; ",""))&amp;IF(AND(AB20&gt;0,AC20&lt;'01_Criterios'!$C$11),"cobertura insuficiente; ","")&amp;IF(AND(AB20&gt;0,N(AE20)&lt;'01_Criterios'!$C$12),"desactualizado; ","")&amp;IF(AND(F20&lt;&gt;"+",F20&lt;&gt;"-"),"sentido ambíguo; ","")&amp;IF(OR(NOT(ISNUMBER(G20)),NOT(ISNUMBER(H20))),"sem limites min/max; ","")))</f>
        <v>sem dados no período;</v>
      </c>
      <c r="AN20" s="25">
        <f>IF(OR(AL20=0,$AP20="Excluir"),0,IF(SUMPRODUCT(($O$5:$O$335=$O20)*($AL$5:$AL$335=1)*($AP$5:$AP$335&lt;&gt;"Excluir")*(($AK$5:$AK$335&gt;$AK20)+(($AK$5:$AK$335=$AK20)*(ROW($O$5:$O$335)&lt;ROW()))))=0,1,0))</f>
        <v>0</v>
      </c>
      <c r="AO20" s="25" t="str">
        <f>IF(AN20=0,"",1+SUMPRODUCT(($B$5:$B$335=$B20)*($AN$5:$AN$335=1)*(($AK$5:$AK$335&gt;$AK20)+(($AK$5:$AK$335=$AK20)*(ROW($B$5:$B$335)&lt;ROW())))))</f>
        <v/>
      </c>
      <c r="AP20" s="22" t="s">
        <v>131</v>
      </c>
      <c r="AQ20" s="25">
        <f>IF(INDEX('01_Criterios'!$C$26:$C$36,MATCH($B20,'01_Criterios'!$B$26:$B$36,0))&lt;&gt;1,0,IF($AP20="Excluir",0,IF($AP20="Incluir",IF(AND(OR($F20="+",$F20="-"),ISNUMBER($G20),ISNUMBER($H20),COUNT($Q20:$AA20)&gt;0),1,0),IF('01_Criterios'!$C$18="Automática",IF(AND($AN20=1,$AO20&lt;&gt;"",$AO20&lt;=INDEX('01_Criterios'!$E$26:$E$36,MATCH($B20,'01_Criterios'!$B$26:$B$36,0))),1,0),0))))</f>
        <v>0</v>
      </c>
      <c r="AR20" s="25" t="str">
        <f>IF(AQ20=0,"",IF($AO20&lt;&gt;"",1+SUMPRODUCT(($B$5:$B$335=$B20)*($AQ$5:$AQ$335=1)*($AO$5:$AO$335&lt;$AO20)),1+SUMPRODUCT(($B$5:$B$335=$B20)*($AQ$5:$AQ$335=1)*ISNUMBER($AO$5:$AO$335))+SUMPRODUCT(($B$5:$B$335=$B20)*($AQ$5:$AQ$335=1)*($AO$5:$AO$335="")*(ROW($AO$5:$AO$335)&lt;ROW()))))</f>
        <v/>
      </c>
      <c r="AS20" s="24" t="s">
        <v>206</v>
      </c>
    </row>
    <row r="21" spans="1:45">
      <c r="A21" s="20" t="s">
        <v>207</v>
      </c>
      <c r="B21" s="21" t="s">
        <v>76</v>
      </c>
      <c r="C21" s="21" t="s">
        <v>201</v>
      </c>
      <c r="D21" s="21" t="s">
        <v>208</v>
      </c>
      <c r="E21" s="20" t="s">
        <v>203</v>
      </c>
      <c r="F21" s="20" t="s">
        <v>126</v>
      </c>
      <c r="G21" s="20">
        <v>1</v>
      </c>
      <c r="H21" s="20">
        <v>6</v>
      </c>
      <c r="I21" s="20">
        <v>4</v>
      </c>
      <c r="J21" s="22">
        <v>1</v>
      </c>
      <c r="K21" s="21" t="s">
        <v>204</v>
      </c>
      <c r="L21" s="20" t="s">
        <v>209</v>
      </c>
      <c r="M21" s="21" t="s">
        <v>161</v>
      </c>
      <c r="N21" s="20">
        <v>0</v>
      </c>
      <c r="O21" s="21" t="s">
        <v>207</v>
      </c>
      <c r="P21" s="20" t="s">
        <v>180</v>
      </c>
      <c r="Q21" s="6"/>
      <c r="R21" s="6"/>
      <c r="S21" s="6"/>
      <c r="T21" s="6"/>
      <c r="U21" s="6"/>
      <c r="V21" s="6"/>
      <c r="W21" s="6"/>
      <c r="X21" s="6"/>
      <c r="Y21" s="6"/>
      <c r="Z21" s="6"/>
      <c r="AA21" s="6"/>
      <c r="AB21" s="20">
        <f>COUNT(Q21:AA21)</f>
        <v>0</v>
      </c>
      <c r="AC21" s="23">
        <f>AB21/11</f>
        <v>0</v>
      </c>
      <c r="AD21" s="20" t="str">
        <f>IFERROR(INDEX($Q$4:$AA$4,MATCH(TRUE,INDEX(ISNUMBER(Q21:AA21),0),0)),"")</f>
        <v/>
      </c>
      <c r="AE21" s="20" t="str">
        <f>IFERROR(LOOKUP(2,1/ISNUMBER(Q21:AA21),$Q$4:$AA$4),"")</f>
        <v/>
      </c>
      <c r="AF21" s="23" t="str">
        <f>IF(AB21=0,"",AB21/(AE21-AD21+1))</f>
        <v/>
      </c>
      <c r="AG21" s="20" t="str">
        <f>IF(AB21=0,"",'01_Criterios'!$C$8-AE21)</f>
        <v/>
      </c>
      <c r="AH21" s="7">
        <f>IF(P21="Em uso",100,IF(P21="Alta",85,IF(P21="Média",55,30)))</f>
        <v>55</v>
      </c>
      <c r="AI21" s="7">
        <f>ROUND(100*AC21,1)</f>
        <v>0</v>
      </c>
      <c r="AJ21" s="7">
        <f>IF(AB21=0,0,ROUND(MAX(0,100*AF21-10*AG21),1))</f>
        <v>0</v>
      </c>
      <c r="AK21" s="7">
        <f>ROUND(('01_Criterios'!$C$19*AH21+'01_Criterios'!$C$20*AI21+'01_Criterios'!$C$21*AJ21)/('01_Criterios'!$C$19+'01_Criterios'!$C$20+'01_Criterios'!$C$21)+N21*'01_Criterios'!$C$22,1)</f>
        <v>22</v>
      </c>
      <c r="AL21" s="20">
        <f>IF(AND(AB21&gt;=3,AC21&gt;='01_Criterios'!$C$11,N(AE21)&gt;='01_Criterios'!$C$12,OR(F21="+",F21="-"),ISNUMBER(G21),ISNUMBER(H21)),1,0)</f>
        <v>0</v>
      </c>
      <c r="AM21" s="24" t="str">
        <f>IF(AL21=1,"",TRIM(IF(AB21=0,"sem dados no período; ",IF(AB21&lt;3,"série demasiado curta; ",""))&amp;IF(AND(AB21&gt;0,AC21&lt;'01_Criterios'!$C$11),"cobertura insuficiente; ","")&amp;IF(AND(AB21&gt;0,N(AE21)&lt;'01_Criterios'!$C$12),"desactualizado; ","")&amp;IF(AND(F21&lt;&gt;"+",F21&lt;&gt;"-"),"sentido ambíguo; ","")&amp;IF(OR(NOT(ISNUMBER(G21)),NOT(ISNUMBER(H21))),"sem limites min/max; ","")))</f>
        <v>sem dados no período;</v>
      </c>
      <c r="AN21" s="20">
        <f>IF(OR(AL21=0,$AP21="Excluir"),0,IF(SUMPRODUCT(($O$5:$O$335=$O21)*($AL$5:$AL$335=1)*($AP$5:$AP$335&lt;&gt;"Excluir")*(($AK$5:$AK$335&gt;$AK21)+(($AK$5:$AK$335=$AK21)*(ROW($O$5:$O$335)&lt;ROW()))))=0,1,0))</f>
        <v>0</v>
      </c>
      <c r="AO21" s="20" t="str">
        <f>IF(AN21=0,"",1+SUMPRODUCT(($B$5:$B$335=$B21)*($AN$5:$AN$335=1)*(($AK$5:$AK$335&gt;$AK21)+(($AK$5:$AK$335=$AK21)*(ROW($B$5:$B$335)&lt;ROW())))))</f>
        <v/>
      </c>
      <c r="AP21" s="22" t="s">
        <v>131</v>
      </c>
      <c r="AQ21" s="20">
        <f>IF(INDEX('01_Criterios'!$C$26:$C$36,MATCH($B21,'01_Criterios'!$B$26:$B$36,0))&lt;&gt;1,0,IF($AP21="Excluir",0,IF($AP21="Incluir",IF(AND(OR($F21="+",$F21="-"),ISNUMBER($G21),ISNUMBER($H21),COUNT($Q21:$AA21)&gt;0),1,0),IF('01_Criterios'!$C$18="Automática",IF(AND($AN21=1,$AO21&lt;&gt;"",$AO21&lt;=INDEX('01_Criterios'!$E$26:$E$36,MATCH($B21,'01_Criterios'!$B$26:$B$36,0))),1,0),0))))</f>
        <v>0</v>
      </c>
      <c r="AR21" s="20" t="str">
        <f>IF(AQ21=0,"",IF($AO21&lt;&gt;"",1+SUMPRODUCT(($B$5:$B$335=$B21)*($AQ$5:$AQ$335=1)*($AO$5:$AO$335&lt;$AO21)),1+SUMPRODUCT(($B$5:$B$335=$B21)*($AQ$5:$AQ$335=1)*ISNUMBER($AO$5:$AO$335))+SUMPRODUCT(($B$5:$B$335=$B21)*($AQ$5:$AQ$335=1)*($AO$5:$AO$335="")*(ROW($AO$5:$AO$335)&lt;ROW()))))</f>
        <v/>
      </c>
      <c r="AS21" s="24" t="s">
        <v>210</v>
      </c>
    </row>
    <row r="22" spans="1:45">
      <c r="A22" s="25" t="s">
        <v>211</v>
      </c>
      <c r="B22" s="26" t="s">
        <v>76</v>
      </c>
      <c r="C22" s="26" t="s">
        <v>201</v>
      </c>
      <c r="D22" s="26" t="s">
        <v>212</v>
      </c>
      <c r="E22" s="25" t="s">
        <v>203</v>
      </c>
      <c r="F22" s="25" t="s">
        <v>126</v>
      </c>
      <c r="G22" s="25">
        <v>1</v>
      </c>
      <c r="H22" s="25">
        <v>6</v>
      </c>
      <c r="I22" s="25">
        <v>4</v>
      </c>
      <c r="J22" s="22">
        <v>1</v>
      </c>
      <c r="K22" s="26" t="s">
        <v>204</v>
      </c>
      <c r="L22" s="25" t="s">
        <v>213</v>
      </c>
      <c r="M22" s="26" t="s">
        <v>161</v>
      </c>
      <c r="N22" s="25">
        <v>0</v>
      </c>
      <c r="O22" s="26" t="s">
        <v>211</v>
      </c>
      <c r="P22" s="25" t="s">
        <v>180</v>
      </c>
      <c r="Q22" s="27"/>
      <c r="R22" s="27"/>
      <c r="S22" s="27"/>
      <c r="T22" s="27"/>
      <c r="U22" s="27"/>
      <c r="V22" s="27"/>
      <c r="W22" s="27"/>
      <c r="X22" s="27"/>
      <c r="Y22" s="27"/>
      <c r="Z22" s="27"/>
      <c r="AA22" s="27"/>
      <c r="AB22" s="25">
        <f>COUNT(Q22:AA22)</f>
        <v>0</v>
      </c>
      <c r="AC22" s="28">
        <f>AB22/11</f>
        <v>0</v>
      </c>
      <c r="AD22" s="25" t="str">
        <f>IFERROR(INDEX($Q$4:$AA$4,MATCH(TRUE,INDEX(ISNUMBER(Q22:AA22),0),0)),"")</f>
        <v/>
      </c>
      <c r="AE22" s="25" t="str">
        <f>IFERROR(LOOKUP(2,1/ISNUMBER(Q22:AA22),$Q$4:$AA$4),"")</f>
        <v/>
      </c>
      <c r="AF22" s="28" t="str">
        <f>IF(AB22=0,"",AB22/(AE22-AD22+1))</f>
        <v/>
      </c>
      <c r="AG22" s="25" t="str">
        <f>IF(AB22=0,"",'01_Criterios'!$C$8-AE22)</f>
        <v/>
      </c>
      <c r="AH22" s="29">
        <f>IF(P22="Em uso",100,IF(P22="Alta",85,IF(P22="Média",55,30)))</f>
        <v>55</v>
      </c>
      <c r="AI22" s="29">
        <f>ROUND(100*AC22,1)</f>
        <v>0</v>
      </c>
      <c r="AJ22" s="29">
        <f>IF(AB22=0,0,ROUND(MAX(0,100*AF22-10*AG22),1))</f>
        <v>0</v>
      </c>
      <c r="AK22" s="29">
        <f>ROUND(('01_Criterios'!$C$19*AH22+'01_Criterios'!$C$20*AI22+'01_Criterios'!$C$21*AJ22)/('01_Criterios'!$C$19+'01_Criterios'!$C$20+'01_Criterios'!$C$21)+N22*'01_Criterios'!$C$22,1)</f>
        <v>22</v>
      </c>
      <c r="AL22" s="25">
        <f>IF(AND(AB22&gt;=3,AC22&gt;='01_Criterios'!$C$11,N(AE22)&gt;='01_Criterios'!$C$12,OR(F22="+",F22="-"),ISNUMBER(G22),ISNUMBER(H22)),1,0)</f>
        <v>0</v>
      </c>
      <c r="AM22" s="30" t="str">
        <f>IF(AL22=1,"",TRIM(IF(AB22=0,"sem dados no período; ",IF(AB22&lt;3,"série demasiado curta; ",""))&amp;IF(AND(AB22&gt;0,AC22&lt;'01_Criterios'!$C$11),"cobertura insuficiente; ","")&amp;IF(AND(AB22&gt;0,N(AE22)&lt;'01_Criterios'!$C$12),"desactualizado; ","")&amp;IF(AND(F22&lt;&gt;"+",F22&lt;&gt;"-"),"sentido ambíguo; ","")&amp;IF(OR(NOT(ISNUMBER(G22)),NOT(ISNUMBER(H22))),"sem limites min/max; ","")))</f>
        <v>sem dados no período;</v>
      </c>
      <c r="AN22" s="25">
        <f>IF(OR(AL22=0,$AP22="Excluir"),0,IF(SUMPRODUCT(($O$5:$O$335=$O22)*($AL$5:$AL$335=1)*($AP$5:$AP$335&lt;&gt;"Excluir")*(($AK$5:$AK$335&gt;$AK22)+(($AK$5:$AK$335=$AK22)*(ROW($O$5:$O$335)&lt;ROW()))))=0,1,0))</f>
        <v>0</v>
      </c>
      <c r="AO22" s="25" t="str">
        <f>IF(AN22=0,"",1+SUMPRODUCT(($B$5:$B$335=$B22)*($AN$5:$AN$335=1)*(($AK$5:$AK$335&gt;$AK22)+(($AK$5:$AK$335=$AK22)*(ROW($B$5:$B$335)&lt;ROW())))))</f>
        <v/>
      </c>
      <c r="AP22" s="22" t="s">
        <v>131</v>
      </c>
      <c r="AQ22" s="25">
        <f>IF(INDEX('01_Criterios'!$C$26:$C$36,MATCH($B22,'01_Criterios'!$B$26:$B$36,0))&lt;&gt;1,0,IF($AP22="Excluir",0,IF($AP22="Incluir",IF(AND(OR($F22="+",$F22="-"),ISNUMBER($G22),ISNUMBER($H22),COUNT($Q22:$AA22)&gt;0),1,0),IF('01_Criterios'!$C$18="Automática",IF(AND($AN22=1,$AO22&lt;&gt;"",$AO22&lt;=INDEX('01_Criterios'!$E$26:$E$36,MATCH($B22,'01_Criterios'!$B$26:$B$36,0))),1,0),0))))</f>
        <v>0</v>
      </c>
      <c r="AR22" s="25" t="str">
        <f>IF(AQ22=0,"",IF($AO22&lt;&gt;"",1+SUMPRODUCT(($B$5:$B$335=$B22)*($AQ$5:$AQ$335=1)*($AO$5:$AO$335&lt;$AO22)),1+SUMPRODUCT(($B$5:$B$335=$B22)*($AQ$5:$AQ$335=1)*ISNUMBER($AO$5:$AO$335))+SUMPRODUCT(($B$5:$B$335=$B22)*($AQ$5:$AQ$335=1)*($AO$5:$AO$335="")*(ROW($AO$5:$AO$335)&lt;ROW()))))</f>
        <v/>
      </c>
      <c r="AS22" s="24" t="s">
        <v>214</v>
      </c>
    </row>
    <row r="23" spans="1:45">
      <c r="A23" s="20" t="s">
        <v>215</v>
      </c>
      <c r="B23" s="21" t="s">
        <v>76</v>
      </c>
      <c r="C23" s="21" t="s">
        <v>201</v>
      </c>
      <c r="D23" s="21" t="s">
        <v>216</v>
      </c>
      <c r="E23" s="20" t="s">
        <v>203</v>
      </c>
      <c r="F23" s="20" t="s">
        <v>126</v>
      </c>
      <c r="G23" s="20">
        <v>1</v>
      </c>
      <c r="H23" s="20">
        <v>6</v>
      </c>
      <c r="I23" s="20">
        <v>4</v>
      </c>
      <c r="J23" s="22">
        <v>1</v>
      </c>
      <c r="K23" s="21" t="s">
        <v>204</v>
      </c>
      <c r="L23" s="20" t="s">
        <v>217</v>
      </c>
      <c r="M23" s="21" t="s">
        <v>161</v>
      </c>
      <c r="N23" s="20">
        <v>0</v>
      </c>
      <c r="O23" s="21" t="s">
        <v>215</v>
      </c>
      <c r="P23" s="20" t="s">
        <v>180</v>
      </c>
      <c r="Q23" s="6"/>
      <c r="R23" s="6"/>
      <c r="S23" s="6"/>
      <c r="T23" s="6"/>
      <c r="U23" s="6"/>
      <c r="V23" s="6"/>
      <c r="W23" s="6"/>
      <c r="X23" s="6"/>
      <c r="Y23" s="6"/>
      <c r="Z23" s="6"/>
      <c r="AA23" s="6"/>
      <c r="AB23" s="20">
        <f>COUNT(Q23:AA23)</f>
        <v>0</v>
      </c>
      <c r="AC23" s="23">
        <f>AB23/11</f>
        <v>0</v>
      </c>
      <c r="AD23" s="20" t="str">
        <f>IFERROR(INDEX($Q$4:$AA$4,MATCH(TRUE,INDEX(ISNUMBER(Q23:AA23),0),0)),"")</f>
        <v/>
      </c>
      <c r="AE23" s="20" t="str">
        <f>IFERROR(LOOKUP(2,1/ISNUMBER(Q23:AA23),$Q$4:$AA$4),"")</f>
        <v/>
      </c>
      <c r="AF23" s="23" t="str">
        <f>IF(AB23=0,"",AB23/(AE23-AD23+1))</f>
        <v/>
      </c>
      <c r="AG23" s="20" t="str">
        <f>IF(AB23=0,"",'01_Criterios'!$C$8-AE23)</f>
        <v/>
      </c>
      <c r="AH23" s="7">
        <f>IF(P23="Em uso",100,IF(P23="Alta",85,IF(P23="Média",55,30)))</f>
        <v>55</v>
      </c>
      <c r="AI23" s="7">
        <f>ROUND(100*AC23,1)</f>
        <v>0</v>
      </c>
      <c r="AJ23" s="7">
        <f>IF(AB23=0,0,ROUND(MAX(0,100*AF23-10*AG23),1))</f>
        <v>0</v>
      </c>
      <c r="AK23" s="7">
        <f>ROUND(('01_Criterios'!$C$19*AH23+'01_Criterios'!$C$20*AI23+'01_Criterios'!$C$21*AJ23)/('01_Criterios'!$C$19+'01_Criterios'!$C$20+'01_Criterios'!$C$21)+N23*'01_Criterios'!$C$22,1)</f>
        <v>22</v>
      </c>
      <c r="AL23" s="20">
        <f>IF(AND(AB23&gt;=3,AC23&gt;='01_Criterios'!$C$11,N(AE23)&gt;='01_Criterios'!$C$12,OR(F23="+",F23="-"),ISNUMBER(G23),ISNUMBER(H23)),1,0)</f>
        <v>0</v>
      </c>
      <c r="AM23" s="24" t="str">
        <f>IF(AL23=1,"",TRIM(IF(AB23=0,"sem dados no período; ",IF(AB23&lt;3,"série demasiado curta; ",""))&amp;IF(AND(AB23&gt;0,AC23&lt;'01_Criterios'!$C$11),"cobertura insuficiente; ","")&amp;IF(AND(AB23&gt;0,N(AE23)&lt;'01_Criterios'!$C$12),"desactualizado; ","")&amp;IF(AND(F23&lt;&gt;"+",F23&lt;&gt;"-"),"sentido ambíguo; ","")&amp;IF(OR(NOT(ISNUMBER(G23)),NOT(ISNUMBER(H23))),"sem limites min/max; ","")))</f>
        <v>sem dados no período;</v>
      </c>
      <c r="AN23" s="20">
        <f>IF(OR(AL23=0,$AP23="Excluir"),0,IF(SUMPRODUCT(($O$5:$O$335=$O23)*($AL$5:$AL$335=1)*($AP$5:$AP$335&lt;&gt;"Excluir")*(($AK$5:$AK$335&gt;$AK23)+(($AK$5:$AK$335=$AK23)*(ROW($O$5:$O$335)&lt;ROW()))))=0,1,0))</f>
        <v>0</v>
      </c>
      <c r="AO23" s="20" t="str">
        <f>IF(AN23=0,"",1+SUMPRODUCT(($B$5:$B$335=$B23)*($AN$5:$AN$335=1)*(($AK$5:$AK$335&gt;$AK23)+(($AK$5:$AK$335=$AK23)*(ROW($B$5:$B$335)&lt;ROW())))))</f>
        <v/>
      </c>
      <c r="AP23" s="22" t="s">
        <v>131</v>
      </c>
      <c r="AQ23" s="20">
        <f>IF(INDEX('01_Criterios'!$C$26:$C$36,MATCH($B23,'01_Criterios'!$B$26:$B$36,0))&lt;&gt;1,0,IF($AP23="Excluir",0,IF($AP23="Incluir",IF(AND(OR($F23="+",$F23="-"),ISNUMBER($G23),ISNUMBER($H23),COUNT($Q23:$AA23)&gt;0),1,0),IF('01_Criterios'!$C$18="Automática",IF(AND($AN23=1,$AO23&lt;&gt;"",$AO23&lt;=INDEX('01_Criterios'!$E$26:$E$36,MATCH($B23,'01_Criterios'!$B$26:$B$36,0))),1,0),0))))</f>
        <v>0</v>
      </c>
      <c r="AR23" s="20" t="str">
        <f>IF(AQ23=0,"",IF($AO23&lt;&gt;"",1+SUMPRODUCT(($B$5:$B$335=$B23)*($AQ$5:$AQ$335=1)*($AO$5:$AO$335&lt;$AO23)),1+SUMPRODUCT(($B$5:$B$335=$B23)*($AQ$5:$AQ$335=1)*ISNUMBER($AO$5:$AO$335))+SUMPRODUCT(($B$5:$B$335=$B23)*($AQ$5:$AQ$335=1)*($AO$5:$AO$335="")*(ROW($AO$5:$AO$335)&lt;ROW()))))</f>
        <v/>
      </c>
      <c r="AS23" s="24" t="s">
        <v>218</v>
      </c>
    </row>
    <row r="24" spans="1:45">
      <c r="A24" s="25" t="s">
        <v>219</v>
      </c>
      <c r="B24" s="26" t="s">
        <v>76</v>
      </c>
      <c r="C24" s="26" t="s">
        <v>220</v>
      </c>
      <c r="D24" s="26" t="s">
        <v>221</v>
      </c>
      <c r="E24" s="25" t="s">
        <v>203</v>
      </c>
      <c r="F24" s="25" t="s">
        <v>126</v>
      </c>
      <c r="G24" s="25">
        <v>1</v>
      </c>
      <c r="H24" s="25">
        <v>6</v>
      </c>
      <c r="I24" s="25">
        <v>4</v>
      </c>
      <c r="J24" s="22">
        <v>1</v>
      </c>
      <c r="K24" s="26" t="s">
        <v>204</v>
      </c>
      <c r="L24" s="25" t="s">
        <v>222</v>
      </c>
      <c r="M24" s="26" t="s">
        <v>161</v>
      </c>
      <c r="N24" s="25">
        <v>0</v>
      </c>
      <c r="O24" s="26" t="s">
        <v>219</v>
      </c>
      <c r="P24" s="25" t="s">
        <v>180</v>
      </c>
      <c r="Q24" s="27"/>
      <c r="R24" s="27"/>
      <c r="S24" s="27"/>
      <c r="T24" s="27"/>
      <c r="U24" s="27"/>
      <c r="V24" s="27"/>
      <c r="W24" s="27"/>
      <c r="X24" s="27"/>
      <c r="Y24" s="27"/>
      <c r="Z24" s="27"/>
      <c r="AA24" s="27"/>
      <c r="AB24" s="25">
        <f>COUNT(Q24:AA24)</f>
        <v>0</v>
      </c>
      <c r="AC24" s="28">
        <f>AB24/11</f>
        <v>0</v>
      </c>
      <c r="AD24" s="25" t="str">
        <f>IFERROR(INDEX($Q$4:$AA$4,MATCH(TRUE,INDEX(ISNUMBER(Q24:AA24),0),0)),"")</f>
        <v/>
      </c>
      <c r="AE24" s="25" t="str">
        <f>IFERROR(LOOKUP(2,1/ISNUMBER(Q24:AA24),$Q$4:$AA$4),"")</f>
        <v/>
      </c>
      <c r="AF24" s="28" t="str">
        <f>IF(AB24=0,"",AB24/(AE24-AD24+1))</f>
        <v/>
      </c>
      <c r="AG24" s="25" t="str">
        <f>IF(AB24=0,"",'01_Criterios'!$C$8-AE24)</f>
        <v/>
      </c>
      <c r="AH24" s="29">
        <f>IF(P24="Em uso",100,IF(P24="Alta",85,IF(P24="Média",55,30)))</f>
        <v>55</v>
      </c>
      <c r="AI24" s="29">
        <f>ROUND(100*AC24,1)</f>
        <v>0</v>
      </c>
      <c r="AJ24" s="29">
        <f>IF(AB24=0,0,ROUND(MAX(0,100*AF24-10*AG24),1))</f>
        <v>0</v>
      </c>
      <c r="AK24" s="29">
        <f>ROUND(('01_Criterios'!$C$19*AH24+'01_Criterios'!$C$20*AI24+'01_Criterios'!$C$21*AJ24)/('01_Criterios'!$C$19+'01_Criterios'!$C$20+'01_Criterios'!$C$21)+N24*'01_Criterios'!$C$22,1)</f>
        <v>22</v>
      </c>
      <c r="AL24" s="25">
        <f>IF(AND(AB24&gt;=3,AC24&gt;='01_Criterios'!$C$11,N(AE24)&gt;='01_Criterios'!$C$12,OR(F24="+",F24="-"),ISNUMBER(G24),ISNUMBER(H24)),1,0)</f>
        <v>0</v>
      </c>
      <c r="AM24" s="30" t="str">
        <f>IF(AL24=1,"",TRIM(IF(AB24=0,"sem dados no período; ",IF(AB24&lt;3,"série demasiado curta; ",""))&amp;IF(AND(AB24&gt;0,AC24&lt;'01_Criterios'!$C$11),"cobertura insuficiente; ","")&amp;IF(AND(AB24&gt;0,N(AE24)&lt;'01_Criterios'!$C$12),"desactualizado; ","")&amp;IF(AND(F24&lt;&gt;"+",F24&lt;&gt;"-"),"sentido ambíguo; ","")&amp;IF(OR(NOT(ISNUMBER(G24)),NOT(ISNUMBER(H24))),"sem limites min/max; ","")))</f>
        <v>sem dados no período;</v>
      </c>
      <c r="AN24" s="25">
        <f>IF(OR(AL24=0,$AP24="Excluir"),0,IF(SUMPRODUCT(($O$5:$O$335=$O24)*($AL$5:$AL$335=1)*($AP$5:$AP$335&lt;&gt;"Excluir")*(($AK$5:$AK$335&gt;$AK24)+(($AK$5:$AK$335=$AK24)*(ROW($O$5:$O$335)&lt;ROW()))))=0,1,0))</f>
        <v>0</v>
      </c>
      <c r="AO24" s="25" t="str">
        <f>IF(AN24=0,"",1+SUMPRODUCT(($B$5:$B$335=$B24)*($AN$5:$AN$335=1)*(($AK$5:$AK$335&gt;$AK24)+(($AK$5:$AK$335=$AK24)*(ROW($B$5:$B$335)&lt;ROW())))))</f>
        <v/>
      </c>
      <c r="AP24" s="22" t="s">
        <v>131</v>
      </c>
      <c r="AQ24" s="25">
        <f>IF(INDEX('01_Criterios'!$C$26:$C$36,MATCH($B24,'01_Criterios'!$B$26:$B$36,0))&lt;&gt;1,0,IF($AP24="Excluir",0,IF($AP24="Incluir",IF(AND(OR($F24="+",$F24="-"),ISNUMBER($G24),ISNUMBER($H24),COUNT($Q24:$AA24)&gt;0),1,0),IF('01_Criterios'!$C$18="Automática",IF(AND($AN24=1,$AO24&lt;&gt;"",$AO24&lt;=INDEX('01_Criterios'!$E$26:$E$36,MATCH($B24,'01_Criterios'!$B$26:$B$36,0))),1,0),0))))</f>
        <v>0</v>
      </c>
      <c r="AR24" s="25" t="str">
        <f>IF(AQ24=0,"",IF($AO24&lt;&gt;"",1+SUMPRODUCT(($B$5:$B$335=$B24)*($AQ$5:$AQ$335=1)*($AO$5:$AO$335&lt;$AO24)),1+SUMPRODUCT(($B$5:$B$335=$B24)*($AQ$5:$AQ$335=1)*ISNUMBER($AO$5:$AO$335))+SUMPRODUCT(($B$5:$B$335=$B24)*($AQ$5:$AQ$335=1)*($AO$5:$AO$335="")*(ROW($AO$5:$AO$335)&lt;ROW()))))</f>
        <v/>
      </c>
      <c r="AS24" s="24" t="s">
        <v>223</v>
      </c>
    </row>
    <row r="25" spans="1:45">
      <c r="A25" s="20" t="s">
        <v>224</v>
      </c>
      <c r="B25" s="21" t="s">
        <v>76</v>
      </c>
      <c r="C25" s="21" t="s">
        <v>225</v>
      </c>
      <c r="D25" s="21" t="s">
        <v>226</v>
      </c>
      <c r="E25" s="20" t="s">
        <v>203</v>
      </c>
      <c r="F25" s="20" t="s">
        <v>126</v>
      </c>
      <c r="G25" s="20">
        <v>1</v>
      </c>
      <c r="H25" s="20">
        <v>6</v>
      </c>
      <c r="I25" s="20">
        <v>4</v>
      </c>
      <c r="J25" s="22">
        <v>1</v>
      </c>
      <c r="K25" s="21" t="s">
        <v>204</v>
      </c>
      <c r="L25" s="20" t="s">
        <v>227</v>
      </c>
      <c r="M25" s="21" t="s">
        <v>161</v>
      </c>
      <c r="N25" s="20">
        <v>0</v>
      </c>
      <c r="O25" s="21" t="s">
        <v>224</v>
      </c>
      <c r="P25" s="20" t="s">
        <v>180</v>
      </c>
      <c r="Q25" s="6"/>
      <c r="R25" s="6"/>
      <c r="S25" s="6"/>
      <c r="T25" s="6"/>
      <c r="U25" s="6"/>
      <c r="V25" s="6"/>
      <c r="W25" s="6"/>
      <c r="X25" s="6"/>
      <c r="Y25" s="6"/>
      <c r="Z25" s="6"/>
      <c r="AA25" s="6"/>
      <c r="AB25" s="20">
        <f>COUNT(Q25:AA25)</f>
        <v>0</v>
      </c>
      <c r="AC25" s="23">
        <f>AB25/11</f>
        <v>0</v>
      </c>
      <c r="AD25" s="20" t="str">
        <f>IFERROR(INDEX($Q$4:$AA$4,MATCH(TRUE,INDEX(ISNUMBER(Q25:AA25),0),0)),"")</f>
        <v/>
      </c>
      <c r="AE25" s="20" t="str">
        <f>IFERROR(LOOKUP(2,1/ISNUMBER(Q25:AA25),$Q$4:$AA$4),"")</f>
        <v/>
      </c>
      <c r="AF25" s="23" t="str">
        <f>IF(AB25=0,"",AB25/(AE25-AD25+1))</f>
        <v/>
      </c>
      <c r="AG25" s="20" t="str">
        <f>IF(AB25=0,"",'01_Criterios'!$C$8-AE25)</f>
        <v/>
      </c>
      <c r="AH25" s="7">
        <f>IF(P25="Em uso",100,IF(P25="Alta",85,IF(P25="Média",55,30)))</f>
        <v>55</v>
      </c>
      <c r="AI25" s="7">
        <f>ROUND(100*AC25,1)</f>
        <v>0</v>
      </c>
      <c r="AJ25" s="7">
        <f>IF(AB25=0,0,ROUND(MAX(0,100*AF25-10*AG25),1))</f>
        <v>0</v>
      </c>
      <c r="AK25" s="7">
        <f>ROUND(('01_Criterios'!$C$19*AH25+'01_Criterios'!$C$20*AI25+'01_Criterios'!$C$21*AJ25)/('01_Criterios'!$C$19+'01_Criterios'!$C$20+'01_Criterios'!$C$21)+N25*'01_Criterios'!$C$22,1)</f>
        <v>22</v>
      </c>
      <c r="AL25" s="20">
        <f>IF(AND(AB25&gt;=3,AC25&gt;='01_Criterios'!$C$11,N(AE25)&gt;='01_Criterios'!$C$12,OR(F25="+",F25="-"),ISNUMBER(G25),ISNUMBER(H25)),1,0)</f>
        <v>0</v>
      </c>
      <c r="AM25" s="24" t="str">
        <f>IF(AL25=1,"",TRIM(IF(AB25=0,"sem dados no período; ",IF(AB25&lt;3,"série demasiado curta; ",""))&amp;IF(AND(AB25&gt;0,AC25&lt;'01_Criterios'!$C$11),"cobertura insuficiente; ","")&amp;IF(AND(AB25&gt;0,N(AE25)&lt;'01_Criterios'!$C$12),"desactualizado; ","")&amp;IF(AND(F25&lt;&gt;"+",F25&lt;&gt;"-"),"sentido ambíguo; ","")&amp;IF(OR(NOT(ISNUMBER(G25)),NOT(ISNUMBER(H25))),"sem limites min/max; ","")))</f>
        <v>sem dados no período;</v>
      </c>
      <c r="AN25" s="20">
        <f>IF(OR(AL25=0,$AP25="Excluir"),0,IF(SUMPRODUCT(($O$5:$O$335=$O25)*($AL$5:$AL$335=1)*($AP$5:$AP$335&lt;&gt;"Excluir")*(($AK$5:$AK$335&gt;$AK25)+(($AK$5:$AK$335=$AK25)*(ROW($O$5:$O$335)&lt;ROW()))))=0,1,0))</f>
        <v>0</v>
      </c>
      <c r="AO25" s="20" t="str">
        <f>IF(AN25=0,"",1+SUMPRODUCT(($B$5:$B$335=$B25)*($AN$5:$AN$335=1)*(($AK$5:$AK$335&gt;$AK25)+(($AK$5:$AK$335=$AK25)*(ROW($B$5:$B$335)&lt;ROW())))))</f>
        <v/>
      </c>
      <c r="AP25" s="22" t="s">
        <v>131</v>
      </c>
      <c r="AQ25" s="20">
        <f>IF(INDEX('01_Criterios'!$C$26:$C$36,MATCH($B25,'01_Criterios'!$B$26:$B$36,0))&lt;&gt;1,0,IF($AP25="Excluir",0,IF($AP25="Incluir",IF(AND(OR($F25="+",$F25="-"),ISNUMBER($G25),ISNUMBER($H25),COUNT($Q25:$AA25)&gt;0),1,0),IF('01_Criterios'!$C$18="Automática",IF(AND($AN25=1,$AO25&lt;&gt;"",$AO25&lt;=INDEX('01_Criterios'!$E$26:$E$36,MATCH($B25,'01_Criterios'!$B$26:$B$36,0))),1,0),0))))</f>
        <v>0</v>
      </c>
      <c r="AR25" s="20" t="str">
        <f>IF(AQ25=0,"",IF($AO25&lt;&gt;"",1+SUMPRODUCT(($B$5:$B$335=$B25)*($AQ$5:$AQ$335=1)*($AO$5:$AO$335&lt;$AO25)),1+SUMPRODUCT(($B$5:$B$335=$B25)*($AQ$5:$AQ$335=1)*ISNUMBER($AO$5:$AO$335))+SUMPRODUCT(($B$5:$B$335=$B25)*($AQ$5:$AQ$335=1)*($AO$5:$AO$335="")*(ROW($AO$5:$AO$335)&lt;ROW()))))</f>
        <v/>
      </c>
      <c r="AS25" s="24" t="s">
        <v>228</v>
      </c>
    </row>
    <row r="26" spans="1:45">
      <c r="A26" s="25" t="s">
        <v>229</v>
      </c>
      <c r="B26" s="26" t="s">
        <v>76</v>
      </c>
      <c r="C26" s="26" t="s">
        <v>230</v>
      </c>
      <c r="D26" s="26" t="s">
        <v>231</v>
      </c>
      <c r="E26" s="25" t="s">
        <v>232</v>
      </c>
      <c r="F26" s="25" t="s">
        <v>158</v>
      </c>
      <c r="G26" s="25">
        <v>0</v>
      </c>
      <c r="H26" s="25">
        <v>50</v>
      </c>
      <c r="I26" s="25">
        <v>5</v>
      </c>
      <c r="J26" s="22">
        <v>1</v>
      </c>
      <c r="K26" s="26" t="s">
        <v>204</v>
      </c>
      <c r="L26" s="25" t="s">
        <v>233</v>
      </c>
      <c r="M26" s="26" t="s">
        <v>161</v>
      </c>
      <c r="N26" s="25">
        <v>0</v>
      </c>
      <c r="O26" s="26" t="s">
        <v>229</v>
      </c>
      <c r="P26" s="25" t="s">
        <v>180</v>
      </c>
      <c r="Q26" s="27">
        <v>4.4534732438949902</v>
      </c>
      <c r="R26" s="27">
        <v>4.0982665634561402</v>
      </c>
      <c r="S26" s="27"/>
      <c r="T26" s="27"/>
      <c r="U26" s="27"/>
      <c r="V26" s="27"/>
      <c r="W26" s="27"/>
      <c r="X26" s="27"/>
      <c r="Y26" s="27"/>
      <c r="Z26" s="27"/>
      <c r="AA26" s="27"/>
      <c r="AB26" s="25">
        <f>COUNT(Q26:AA26)</f>
        <v>2</v>
      </c>
      <c r="AC26" s="28">
        <f>AB26/11</f>
        <v>0.18181818181818182</v>
      </c>
      <c r="AD26" s="25">
        <f>IFERROR(INDEX($Q$4:$AA$4,MATCH(TRUE,INDEX(ISNUMBER(Q26:AA26),0),0)),"")</f>
        <v>2015</v>
      </c>
      <c r="AE26" s="25">
        <f>IFERROR(LOOKUP(2,1/ISNUMBER(Q26:AA26),$Q$4:$AA$4),"")</f>
        <v>2016</v>
      </c>
      <c r="AF26" s="28">
        <f>IF(AB26=0,"",AB26/(AE26-AD26+1))</f>
        <v>1</v>
      </c>
      <c r="AG26" s="25">
        <f>IF(AB26=0,"",'01_Criterios'!$C$8-AE26)</f>
        <v>9</v>
      </c>
      <c r="AH26" s="29">
        <f>IF(P26="Em uso",100,IF(P26="Alta",85,IF(P26="Média",55,30)))</f>
        <v>55</v>
      </c>
      <c r="AI26" s="29">
        <f>ROUND(100*AC26,1)</f>
        <v>18.2</v>
      </c>
      <c r="AJ26" s="29">
        <f>IF(AB26=0,0,ROUND(MAX(0,100*AF26-10*AG26),1))</f>
        <v>10</v>
      </c>
      <c r="AK26" s="29">
        <f>ROUND(('01_Criterios'!$C$19*AH26+'01_Criterios'!$C$20*AI26+'01_Criterios'!$C$21*AJ26)/('01_Criterios'!$C$19+'01_Criterios'!$C$20+'01_Criterios'!$C$21)+N26*'01_Criterios'!$C$22,1)</f>
        <v>30.9</v>
      </c>
      <c r="AL26" s="25">
        <f>IF(AND(AB26&gt;=3,AC26&gt;='01_Criterios'!$C$11,N(AE26)&gt;='01_Criterios'!$C$12,OR(F26="+",F26="-"),ISNUMBER(G26),ISNUMBER(H26)),1,0)</f>
        <v>0</v>
      </c>
      <c r="AM26" s="30" t="str">
        <f>IF(AL26=1,"",TRIM(IF(AB26=0,"sem dados no período; ",IF(AB26&lt;3,"série demasiado curta; ",""))&amp;IF(AND(AB26&gt;0,AC26&lt;'01_Criterios'!$C$11),"cobertura insuficiente; ","")&amp;IF(AND(AB26&gt;0,N(AE26)&lt;'01_Criterios'!$C$12),"desactualizado; ","")&amp;IF(AND(F26&lt;&gt;"+",F26&lt;&gt;"-"),"sentido ambíguo; ","")&amp;IF(OR(NOT(ISNUMBER(G26)),NOT(ISNUMBER(H26))),"sem limites min/max; ","")))</f>
        <v>série demasiado curta; cobertura insuficiente; desactualizado;</v>
      </c>
      <c r="AN26" s="25">
        <f>IF(OR(AL26=0,$AP26="Excluir"),0,IF(SUMPRODUCT(($O$5:$O$335=$O26)*($AL$5:$AL$335=1)*($AP$5:$AP$335&lt;&gt;"Excluir")*(($AK$5:$AK$335&gt;$AK26)+(($AK$5:$AK$335=$AK26)*(ROW($O$5:$O$335)&lt;ROW()))))=0,1,0))</f>
        <v>0</v>
      </c>
      <c r="AO26" s="25" t="str">
        <f>IF(AN26=0,"",1+SUMPRODUCT(($B$5:$B$335=$B26)*($AN$5:$AN$335=1)*(($AK$5:$AK$335&gt;$AK26)+(($AK$5:$AK$335=$AK26)*(ROW($B$5:$B$335)&lt;ROW())))))</f>
        <v/>
      </c>
      <c r="AP26" s="22" t="s">
        <v>131</v>
      </c>
      <c r="AQ26" s="25">
        <f>IF(INDEX('01_Criterios'!$C$26:$C$36,MATCH($B26,'01_Criterios'!$B$26:$B$36,0))&lt;&gt;1,0,IF($AP26="Excluir",0,IF($AP26="Incluir",IF(AND(OR($F26="+",$F26="-"),ISNUMBER($G26),ISNUMBER($H26),COUNT($Q26:$AA26)&gt;0),1,0),IF('01_Criterios'!$C$18="Automática",IF(AND($AN26=1,$AO26&lt;&gt;"",$AO26&lt;=INDEX('01_Criterios'!$E$26:$E$36,MATCH($B26,'01_Criterios'!$B$26:$B$36,0))),1,0),0))))</f>
        <v>0</v>
      </c>
      <c r="AR26" s="25" t="str">
        <f>IF(AQ26=0,"",IF($AO26&lt;&gt;"",1+SUMPRODUCT(($B$5:$B$335=$B26)*($AQ$5:$AQ$335=1)*($AO$5:$AO$335&lt;$AO26)),1+SUMPRODUCT(($B$5:$B$335=$B26)*($AQ$5:$AQ$335=1)*ISNUMBER($AO$5:$AO$335))+SUMPRODUCT(($B$5:$B$335=$B26)*($AQ$5:$AQ$335=1)*($AO$5:$AO$335="")*(ROW($AO$5:$AO$335)&lt;ROW()))))</f>
        <v/>
      </c>
      <c r="AS26" s="24" t="s">
        <v>234</v>
      </c>
    </row>
    <row r="27" spans="1:45">
      <c r="A27" s="20" t="s">
        <v>235</v>
      </c>
      <c r="B27" s="21" t="s">
        <v>76</v>
      </c>
      <c r="C27" s="21" t="s">
        <v>230</v>
      </c>
      <c r="D27" s="21" t="s">
        <v>236</v>
      </c>
      <c r="E27" s="20" t="s">
        <v>237</v>
      </c>
      <c r="F27" s="20" t="s">
        <v>158</v>
      </c>
      <c r="G27" s="20">
        <v>0</v>
      </c>
      <c r="H27" s="20">
        <v>5000</v>
      </c>
      <c r="I27" s="20">
        <v>0</v>
      </c>
      <c r="J27" s="22">
        <v>1</v>
      </c>
      <c r="K27" s="21" t="s">
        <v>204</v>
      </c>
      <c r="L27" s="20" t="s">
        <v>238</v>
      </c>
      <c r="M27" s="21" t="s">
        <v>161</v>
      </c>
      <c r="N27" s="20">
        <v>0</v>
      </c>
      <c r="O27" s="21" t="s">
        <v>235</v>
      </c>
      <c r="P27" s="20" t="s">
        <v>180</v>
      </c>
      <c r="Q27" s="6"/>
      <c r="R27" s="6">
        <v>25</v>
      </c>
      <c r="S27" s="6">
        <v>25</v>
      </c>
      <c r="T27" s="6"/>
      <c r="U27" s="6">
        <v>25</v>
      </c>
      <c r="V27" s="6">
        <v>21</v>
      </c>
      <c r="W27" s="6"/>
      <c r="X27" s="6">
        <v>20</v>
      </c>
      <c r="Y27" s="6"/>
      <c r="Z27" s="6">
        <v>25</v>
      </c>
      <c r="AA27" s="6"/>
      <c r="AB27" s="20">
        <f>COUNT(Q27:AA27)</f>
        <v>6</v>
      </c>
      <c r="AC27" s="23">
        <f>AB27/11</f>
        <v>0.54545454545454541</v>
      </c>
      <c r="AD27" s="20">
        <f>IFERROR(INDEX($Q$4:$AA$4,MATCH(TRUE,INDEX(ISNUMBER(Q27:AA27),0),0)),"")</f>
        <v>2016</v>
      </c>
      <c r="AE27" s="20">
        <f>IFERROR(LOOKUP(2,1/ISNUMBER(Q27:AA27),$Q$4:$AA$4),"")</f>
        <v>2024</v>
      </c>
      <c r="AF27" s="23">
        <f>IF(AB27=0,"",AB27/(AE27-AD27+1))</f>
        <v>0.66666666666666663</v>
      </c>
      <c r="AG27" s="20">
        <f>IF(AB27=0,"",'01_Criterios'!$C$8-AE27)</f>
        <v>1</v>
      </c>
      <c r="AH27" s="7">
        <f>IF(P27="Em uso",100,IF(P27="Alta",85,IF(P27="Média",55,30)))</f>
        <v>55</v>
      </c>
      <c r="AI27" s="7">
        <f>ROUND(100*AC27,1)</f>
        <v>54.5</v>
      </c>
      <c r="AJ27" s="7">
        <f>IF(AB27=0,0,ROUND(MAX(0,100*AF27-10*AG27),1))</f>
        <v>56.7</v>
      </c>
      <c r="AK27" s="7">
        <f>ROUND(('01_Criterios'!$C$19*AH27+'01_Criterios'!$C$20*AI27+'01_Criterios'!$C$21*AJ27)/('01_Criterios'!$C$19+'01_Criterios'!$C$20+'01_Criterios'!$C$21)+N27*'01_Criterios'!$C$22,1)</f>
        <v>55.3</v>
      </c>
      <c r="AL27" s="20">
        <f>IF(AND(AB27&gt;=3,AC27&gt;='01_Criterios'!$C$11,N(AE27)&gt;='01_Criterios'!$C$12,OR(F27="+",F27="-"),ISNUMBER(G27),ISNUMBER(H27)),1,0)</f>
        <v>0</v>
      </c>
      <c r="AM27" s="24" t="str">
        <f>IF(AL27=1,"",TRIM(IF(AB27=0,"sem dados no período; ",IF(AB27&lt;3,"série demasiado curta; ",""))&amp;IF(AND(AB27&gt;0,AC27&lt;'01_Criterios'!$C$11),"cobertura insuficiente; ","")&amp;IF(AND(AB27&gt;0,N(AE27)&lt;'01_Criterios'!$C$12),"desactualizado; ","")&amp;IF(AND(F27&lt;&gt;"+",F27&lt;&gt;"-"),"sentido ambíguo; ","")&amp;IF(OR(NOT(ISNUMBER(G27)),NOT(ISNUMBER(H27))),"sem limites min/max; ","")))</f>
        <v>cobertura insuficiente;</v>
      </c>
      <c r="AN27" s="20">
        <f>IF(OR(AL27=0,$AP27="Excluir"),0,IF(SUMPRODUCT(($O$5:$O$335=$O27)*($AL$5:$AL$335=1)*($AP$5:$AP$335&lt;&gt;"Excluir")*(($AK$5:$AK$335&gt;$AK27)+(($AK$5:$AK$335=$AK27)*(ROW($O$5:$O$335)&lt;ROW()))))=0,1,0))</f>
        <v>0</v>
      </c>
      <c r="AO27" s="20" t="str">
        <f>IF(AN27=0,"",1+SUMPRODUCT(($B$5:$B$335=$B27)*($AN$5:$AN$335=1)*(($AK$5:$AK$335&gt;$AK27)+(($AK$5:$AK$335=$AK27)*(ROW($B$5:$B$335)&lt;ROW())))))</f>
        <v/>
      </c>
      <c r="AP27" s="22" t="s">
        <v>131</v>
      </c>
      <c r="AQ27" s="20">
        <f>IF(INDEX('01_Criterios'!$C$26:$C$36,MATCH($B27,'01_Criterios'!$B$26:$B$36,0))&lt;&gt;1,0,IF($AP27="Excluir",0,IF($AP27="Incluir",IF(AND(OR($F27="+",$F27="-"),ISNUMBER($G27),ISNUMBER($H27),COUNT($Q27:$AA27)&gt;0),1,0),IF('01_Criterios'!$C$18="Automática",IF(AND($AN27=1,$AO27&lt;&gt;"",$AO27&lt;=INDEX('01_Criterios'!$E$26:$E$36,MATCH($B27,'01_Criterios'!$B$26:$B$36,0))),1,0),0))))</f>
        <v>0</v>
      </c>
      <c r="AR27" s="20" t="str">
        <f>IF(AQ27=0,"",IF($AO27&lt;&gt;"",1+SUMPRODUCT(($B$5:$B$335=$B27)*($AQ$5:$AQ$335=1)*($AO$5:$AO$335&lt;$AO27)),1+SUMPRODUCT(($B$5:$B$335=$B27)*($AQ$5:$AQ$335=1)*ISNUMBER($AO$5:$AO$335))+SUMPRODUCT(($B$5:$B$335=$B27)*($AQ$5:$AQ$335=1)*($AO$5:$AO$335="")*(ROW($AO$5:$AO$335)&lt;ROW()))))</f>
        <v/>
      </c>
      <c r="AS27" s="24" t="s">
        <v>239</v>
      </c>
    </row>
    <row r="28" spans="1:45">
      <c r="A28" s="25" t="s">
        <v>240</v>
      </c>
      <c r="B28" s="26" t="s">
        <v>76</v>
      </c>
      <c r="C28" s="26" t="s">
        <v>241</v>
      </c>
      <c r="D28" s="26" t="s">
        <v>242</v>
      </c>
      <c r="E28" s="25" t="s">
        <v>135</v>
      </c>
      <c r="F28" s="25" t="s">
        <v>126</v>
      </c>
      <c r="G28" s="25">
        <v>0</v>
      </c>
      <c r="H28" s="25">
        <v>100</v>
      </c>
      <c r="I28" s="25">
        <v>60</v>
      </c>
      <c r="J28" s="22">
        <v>1</v>
      </c>
      <c r="K28" s="26" t="s">
        <v>150</v>
      </c>
      <c r="L28" s="25" t="s">
        <v>243</v>
      </c>
      <c r="M28" s="26" t="s">
        <v>150</v>
      </c>
      <c r="N28" s="25">
        <v>0</v>
      </c>
      <c r="O28" s="26" t="s">
        <v>240</v>
      </c>
      <c r="P28" s="25" t="s">
        <v>180</v>
      </c>
      <c r="Q28" s="27"/>
      <c r="R28" s="27"/>
      <c r="S28" s="27"/>
      <c r="T28" s="27"/>
      <c r="U28" s="27"/>
      <c r="V28" s="27"/>
      <c r="W28" s="27"/>
      <c r="X28" s="27"/>
      <c r="Y28" s="27">
        <v>45.8</v>
      </c>
      <c r="Z28" s="27"/>
      <c r="AA28" s="27"/>
      <c r="AB28" s="25">
        <f>COUNT(Q28:AA28)</f>
        <v>1</v>
      </c>
      <c r="AC28" s="28">
        <f>AB28/11</f>
        <v>9.0909090909090912E-2</v>
      </c>
      <c r="AD28" s="25">
        <f>IFERROR(INDEX($Q$4:$AA$4,MATCH(TRUE,INDEX(ISNUMBER(Q28:AA28),0),0)),"")</f>
        <v>2023</v>
      </c>
      <c r="AE28" s="25">
        <f>IFERROR(LOOKUP(2,1/ISNUMBER(Q28:AA28),$Q$4:$AA$4),"")</f>
        <v>2023</v>
      </c>
      <c r="AF28" s="28">
        <f>IF(AB28=0,"",AB28/(AE28-AD28+1))</f>
        <v>1</v>
      </c>
      <c r="AG28" s="25">
        <f>IF(AB28=0,"",'01_Criterios'!$C$8-AE28)</f>
        <v>2</v>
      </c>
      <c r="AH28" s="29">
        <f>IF(P28="Em uso",100,IF(P28="Alta",85,IF(P28="Média",55,30)))</f>
        <v>55</v>
      </c>
      <c r="AI28" s="29">
        <f>ROUND(100*AC28,1)</f>
        <v>9.1</v>
      </c>
      <c r="AJ28" s="29">
        <f>IF(AB28=0,0,ROUND(MAX(0,100*AF28-10*AG28),1))</f>
        <v>80</v>
      </c>
      <c r="AK28" s="29">
        <f>ROUND(('01_Criterios'!$C$19*AH28+'01_Criterios'!$C$20*AI28+'01_Criterios'!$C$21*AJ28)/('01_Criterios'!$C$19+'01_Criterios'!$C$20+'01_Criterios'!$C$21)+N28*'01_Criterios'!$C$22,1)</f>
        <v>45.2</v>
      </c>
      <c r="AL28" s="25">
        <f>IF(AND(AB28&gt;=3,AC28&gt;='01_Criterios'!$C$11,N(AE28)&gt;='01_Criterios'!$C$12,OR(F28="+",F28="-"),ISNUMBER(G28),ISNUMBER(H28)),1,0)</f>
        <v>0</v>
      </c>
      <c r="AM28" s="30" t="str">
        <f>IF(AL28=1,"",TRIM(IF(AB28=0,"sem dados no período; ",IF(AB28&lt;3,"série demasiado curta; ",""))&amp;IF(AND(AB28&gt;0,AC28&lt;'01_Criterios'!$C$11),"cobertura insuficiente; ","")&amp;IF(AND(AB28&gt;0,N(AE28)&lt;'01_Criterios'!$C$12),"desactualizado; ","")&amp;IF(AND(F28&lt;&gt;"+",F28&lt;&gt;"-"),"sentido ambíguo; ","")&amp;IF(OR(NOT(ISNUMBER(G28)),NOT(ISNUMBER(H28))),"sem limites min/max; ","")))</f>
        <v>série demasiado curta; cobertura insuficiente;</v>
      </c>
      <c r="AN28" s="25">
        <f>IF(OR(AL28=0,$AP28="Excluir"),0,IF(SUMPRODUCT(($O$5:$O$335=$O28)*($AL$5:$AL$335=1)*($AP$5:$AP$335&lt;&gt;"Excluir")*(($AK$5:$AK$335&gt;$AK28)+(($AK$5:$AK$335=$AK28)*(ROW($O$5:$O$335)&lt;ROW()))))=0,1,0))</f>
        <v>0</v>
      </c>
      <c r="AO28" s="25" t="str">
        <f>IF(AN28=0,"",1+SUMPRODUCT(($B$5:$B$335=$B28)*($AN$5:$AN$335=1)*(($AK$5:$AK$335&gt;$AK28)+(($AK$5:$AK$335=$AK28)*(ROW($B$5:$B$335)&lt;ROW())))))</f>
        <v/>
      </c>
      <c r="AP28" s="22" t="s">
        <v>131</v>
      </c>
      <c r="AQ28" s="25">
        <f>IF(INDEX('01_Criterios'!$C$26:$C$36,MATCH($B28,'01_Criterios'!$B$26:$B$36,0))&lt;&gt;1,0,IF($AP28="Excluir",0,IF($AP28="Incluir",IF(AND(OR($F28="+",$F28="-"),ISNUMBER($G28),ISNUMBER($H28),COUNT($Q28:$AA28)&gt;0),1,0),IF('01_Criterios'!$C$18="Automática",IF(AND($AN28=1,$AO28&lt;&gt;"",$AO28&lt;=INDEX('01_Criterios'!$E$26:$E$36,MATCH($B28,'01_Criterios'!$B$26:$B$36,0))),1,0),0))))</f>
        <v>0</v>
      </c>
      <c r="AR28" s="25" t="str">
        <f>IF(AQ28=0,"",IF($AO28&lt;&gt;"",1+SUMPRODUCT(($B$5:$B$335=$B28)*($AQ$5:$AQ$335=1)*($AO$5:$AO$335&lt;$AO28)),1+SUMPRODUCT(($B$5:$B$335=$B28)*($AQ$5:$AQ$335=1)*ISNUMBER($AO$5:$AO$335))+SUMPRODUCT(($B$5:$B$335=$B28)*($AQ$5:$AQ$335=1)*($AO$5:$AO$335="")*(ROW($AO$5:$AO$335)&lt;ROW()))))</f>
        <v/>
      </c>
      <c r="AS28" s="24" t="s">
        <v>244</v>
      </c>
    </row>
    <row r="29" spans="1:45">
      <c r="A29" s="20" t="s">
        <v>245</v>
      </c>
      <c r="B29" s="21" t="s">
        <v>76</v>
      </c>
      <c r="C29" s="21" t="s">
        <v>241</v>
      </c>
      <c r="D29" s="21" t="s">
        <v>246</v>
      </c>
      <c r="E29" s="20" t="s">
        <v>135</v>
      </c>
      <c r="F29" s="20" t="s">
        <v>126</v>
      </c>
      <c r="G29" s="20">
        <v>0</v>
      </c>
      <c r="H29" s="20">
        <v>100</v>
      </c>
      <c r="I29" s="20">
        <v>60</v>
      </c>
      <c r="J29" s="22">
        <v>1</v>
      </c>
      <c r="K29" s="21" t="s">
        <v>150</v>
      </c>
      <c r="L29" s="20" t="s">
        <v>184</v>
      </c>
      <c r="M29" s="21" t="s">
        <v>150</v>
      </c>
      <c r="N29" s="20">
        <v>0</v>
      </c>
      <c r="O29" s="21" t="s">
        <v>185</v>
      </c>
      <c r="P29" s="20" t="s">
        <v>180</v>
      </c>
      <c r="Q29" s="6"/>
      <c r="R29" s="6"/>
      <c r="S29" s="6"/>
      <c r="T29" s="6"/>
      <c r="U29" s="6"/>
      <c r="V29" s="6"/>
      <c r="W29" s="6"/>
      <c r="X29" s="6"/>
      <c r="Y29" s="6">
        <v>44.2</v>
      </c>
      <c r="Z29" s="6"/>
      <c r="AA29" s="6"/>
      <c r="AB29" s="20">
        <f>COUNT(Q29:AA29)</f>
        <v>1</v>
      </c>
      <c r="AC29" s="23">
        <f>AB29/11</f>
        <v>9.0909090909090912E-2</v>
      </c>
      <c r="AD29" s="20">
        <f>IFERROR(INDEX($Q$4:$AA$4,MATCH(TRUE,INDEX(ISNUMBER(Q29:AA29),0),0)),"")</f>
        <v>2023</v>
      </c>
      <c r="AE29" s="20">
        <f>IFERROR(LOOKUP(2,1/ISNUMBER(Q29:AA29),$Q$4:$AA$4),"")</f>
        <v>2023</v>
      </c>
      <c r="AF29" s="23">
        <f>IF(AB29=0,"",AB29/(AE29-AD29+1))</f>
        <v>1</v>
      </c>
      <c r="AG29" s="20">
        <f>IF(AB29=0,"",'01_Criterios'!$C$8-AE29)</f>
        <v>2</v>
      </c>
      <c r="AH29" s="7">
        <f>IF(P29="Em uso",100,IF(P29="Alta",85,IF(P29="Média",55,30)))</f>
        <v>55</v>
      </c>
      <c r="AI29" s="7">
        <f>ROUND(100*AC29,1)</f>
        <v>9.1</v>
      </c>
      <c r="AJ29" s="7">
        <f>IF(AB29=0,0,ROUND(MAX(0,100*AF29-10*AG29),1))</f>
        <v>80</v>
      </c>
      <c r="AK29" s="7">
        <f>ROUND(('01_Criterios'!$C$19*AH29+'01_Criterios'!$C$20*AI29+'01_Criterios'!$C$21*AJ29)/('01_Criterios'!$C$19+'01_Criterios'!$C$20+'01_Criterios'!$C$21)+N29*'01_Criterios'!$C$22,1)</f>
        <v>45.2</v>
      </c>
      <c r="AL29" s="20">
        <f>IF(AND(AB29&gt;=3,AC29&gt;='01_Criterios'!$C$11,N(AE29)&gt;='01_Criterios'!$C$12,OR(F29="+",F29="-"),ISNUMBER(G29),ISNUMBER(H29)),1,0)</f>
        <v>0</v>
      </c>
      <c r="AM29" s="24" t="str">
        <f>IF(AL29=1,"",TRIM(IF(AB29=0,"sem dados no período; ",IF(AB29&lt;3,"série demasiado curta; ",""))&amp;IF(AND(AB29&gt;0,AC29&lt;'01_Criterios'!$C$11),"cobertura insuficiente; ","")&amp;IF(AND(AB29&gt;0,N(AE29)&lt;'01_Criterios'!$C$12),"desactualizado; ","")&amp;IF(AND(F29&lt;&gt;"+",F29&lt;&gt;"-"),"sentido ambíguo; ","")&amp;IF(OR(NOT(ISNUMBER(G29)),NOT(ISNUMBER(H29))),"sem limites min/max; ","")))</f>
        <v>série demasiado curta; cobertura insuficiente;</v>
      </c>
      <c r="AN29" s="20">
        <f>IF(OR(AL29=0,$AP29="Excluir"),0,IF(SUMPRODUCT(($O$5:$O$335=$O29)*($AL$5:$AL$335=1)*($AP$5:$AP$335&lt;&gt;"Excluir")*(($AK$5:$AK$335&gt;$AK29)+(($AK$5:$AK$335=$AK29)*(ROW($O$5:$O$335)&lt;ROW()))))=0,1,0))</f>
        <v>0</v>
      </c>
      <c r="AO29" s="20" t="str">
        <f>IF(AN29=0,"",1+SUMPRODUCT(($B$5:$B$335=$B29)*($AN$5:$AN$335=1)*(($AK$5:$AK$335&gt;$AK29)+(($AK$5:$AK$335=$AK29)*(ROW($B$5:$B$335)&lt;ROW())))))</f>
        <v/>
      </c>
      <c r="AP29" s="22" t="s">
        <v>131</v>
      </c>
      <c r="AQ29" s="20">
        <f>IF(INDEX('01_Criterios'!$C$26:$C$36,MATCH($B29,'01_Criterios'!$B$26:$B$36,0))&lt;&gt;1,0,IF($AP29="Excluir",0,IF($AP29="Incluir",IF(AND(OR($F29="+",$F29="-"),ISNUMBER($G29),ISNUMBER($H29),COUNT($Q29:$AA29)&gt;0),1,0),IF('01_Criterios'!$C$18="Automática",IF(AND($AN29=1,$AO29&lt;&gt;"",$AO29&lt;=INDEX('01_Criterios'!$E$26:$E$36,MATCH($B29,'01_Criterios'!$B$26:$B$36,0))),1,0),0))))</f>
        <v>0</v>
      </c>
      <c r="AR29" s="20" t="str">
        <f>IF(AQ29=0,"",IF($AO29&lt;&gt;"",1+SUMPRODUCT(($B$5:$B$335=$B29)*($AQ$5:$AQ$335=1)*($AO$5:$AO$335&lt;$AO29)),1+SUMPRODUCT(($B$5:$B$335=$B29)*($AQ$5:$AQ$335=1)*ISNUMBER($AO$5:$AO$335))+SUMPRODUCT(($B$5:$B$335=$B29)*($AQ$5:$AQ$335=1)*($AO$5:$AO$335="")*(ROW($AO$5:$AO$335)&lt;ROW()))))</f>
        <v/>
      </c>
      <c r="AS29" s="24" t="s">
        <v>247</v>
      </c>
    </row>
    <row r="30" spans="1:45">
      <c r="A30" s="25" t="s">
        <v>248</v>
      </c>
      <c r="B30" s="26" t="s">
        <v>76</v>
      </c>
      <c r="C30" s="26" t="s">
        <v>249</v>
      </c>
      <c r="D30" s="26" t="s">
        <v>250</v>
      </c>
      <c r="E30" s="25" t="s">
        <v>251</v>
      </c>
      <c r="F30" s="25" t="s">
        <v>158</v>
      </c>
      <c r="G30" s="25">
        <v>0</v>
      </c>
      <c r="H30" s="25">
        <v>120</v>
      </c>
      <c r="I30" s="25">
        <v>70</v>
      </c>
      <c r="J30" s="22">
        <v>1</v>
      </c>
      <c r="K30" s="26" t="s">
        <v>252</v>
      </c>
      <c r="L30" s="25" t="s">
        <v>253</v>
      </c>
      <c r="M30" s="26" t="s">
        <v>254</v>
      </c>
      <c r="N30" s="25">
        <v>0</v>
      </c>
      <c r="O30" s="26" t="s">
        <v>248</v>
      </c>
      <c r="P30" s="25" t="s">
        <v>180</v>
      </c>
      <c r="Q30" s="27"/>
      <c r="R30" s="27"/>
      <c r="S30" s="27"/>
      <c r="T30" s="27"/>
      <c r="U30" s="27"/>
      <c r="V30" s="27">
        <v>90.7</v>
      </c>
      <c r="W30" s="27">
        <v>89</v>
      </c>
      <c r="X30" s="27">
        <v>88.1</v>
      </c>
      <c r="Y30" s="27">
        <v>86.9</v>
      </c>
      <c r="Z30" s="27">
        <v>85.6</v>
      </c>
      <c r="AA30" s="27"/>
      <c r="AB30" s="25">
        <f>COUNT(Q30:AA30)</f>
        <v>5</v>
      </c>
      <c r="AC30" s="28">
        <f>AB30/11</f>
        <v>0.45454545454545453</v>
      </c>
      <c r="AD30" s="25">
        <f>IFERROR(INDEX($Q$4:$AA$4,MATCH(TRUE,INDEX(ISNUMBER(Q30:AA30),0),0)),"")</f>
        <v>2020</v>
      </c>
      <c r="AE30" s="25">
        <f>IFERROR(LOOKUP(2,1/ISNUMBER(Q30:AA30),$Q$4:$AA$4),"")</f>
        <v>2024</v>
      </c>
      <c r="AF30" s="28">
        <f>IF(AB30=0,"",AB30/(AE30-AD30+1))</f>
        <v>1</v>
      </c>
      <c r="AG30" s="25">
        <f>IF(AB30=0,"",'01_Criterios'!$C$8-AE30)</f>
        <v>1</v>
      </c>
      <c r="AH30" s="29">
        <f>IF(P30="Em uso",100,IF(P30="Alta",85,IF(P30="Média",55,30)))</f>
        <v>55</v>
      </c>
      <c r="AI30" s="29">
        <f>ROUND(100*AC30,1)</f>
        <v>45.5</v>
      </c>
      <c r="AJ30" s="29">
        <f>IF(AB30=0,0,ROUND(MAX(0,100*AF30-10*AG30),1))</f>
        <v>90</v>
      </c>
      <c r="AK30" s="29">
        <f>ROUND(('01_Criterios'!$C$19*AH30+'01_Criterios'!$C$20*AI30+'01_Criterios'!$C$21*AJ30)/('01_Criterios'!$C$19+'01_Criterios'!$C$20+'01_Criterios'!$C$21)+N30*'01_Criterios'!$C$22,1)</f>
        <v>60.4</v>
      </c>
      <c r="AL30" s="25">
        <f>IF(AND(AB30&gt;=3,AC30&gt;='01_Criterios'!$C$11,N(AE30)&gt;='01_Criterios'!$C$12,OR(F30="+",F30="-"),ISNUMBER(G30),ISNUMBER(H30)),1,0)</f>
        <v>0</v>
      </c>
      <c r="AM30" s="30" t="str">
        <f>IF(AL30=1,"",TRIM(IF(AB30=0,"sem dados no período; ",IF(AB30&lt;3,"série demasiado curta; ",""))&amp;IF(AND(AB30&gt;0,AC30&lt;'01_Criterios'!$C$11),"cobertura insuficiente; ","")&amp;IF(AND(AB30&gt;0,N(AE30)&lt;'01_Criterios'!$C$12),"desactualizado; ","")&amp;IF(AND(F30&lt;&gt;"+",F30&lt;&gt;"-"),"sentido ambíguo; ","")&amp;IF(OR(NOT(ISNUMBER(G30)),NOT(ISNUMBER(H30))),"sem limites min/max; ","")))</f>
        <v>cobertura insuficiente;</v>
      </c>
      <c r="AN30" s="25">
        <f>IF(OR(AL30=0,$AP30="Excluir"),0,IF(SUMPRODUCT(($O$5:$O$335=$O30)*($AL$5:$AL$335=1)*($AP$5:$AP$335&lt;&gt;"Excluir")*(($AK$5:$AK$335&gt;$AK30)+(($AK$5:$AK$335=$AK30)*(ROW($O$5:$O$335)&lt;ROW()))))=0,1,0))</f>
        <v>0</v>
      </c>
      <c r="AO30" s="25" t="str">
        <f>IF(AN30=0,"",1+SUMPRODUCT(($B$5:$B$335=$B30)*($AN$5:$AN$335=1)*(($AK$5:$AK$335&gt;$AK30)+(($AK$5:$AK$335=$AK30)*(ROW($B$5:$B$335)&lt;ROW())))))</f>
        <v/>
      </c>
      <c r="AP30" s="22" t="s">
        <v>131</v>
      </c>
      <c r="AQ30" s="25">
        <f>IF(INDEX('01_Criterios'!$C$26:$C$36,MATCH($B30,'01_Criterios'!$B$26:$B$36,0))&lt;&gt;1,0,IF($AP30="Excluir",0,IF($AP30="Incluir",IF(AND(OR($F30="+",$F30="-"),ISNUMBER($G30),ISNUMBER($H30),COUNT($Q30:$AA30)&gt;0),1,0),IF('01_Criterios'!$C$18="Automática",IF(AND($AN30=1,$AO30&lt;&gt;"",$AO30&lt;=INDEX('01_Criterios'!$E$26:$E$36,MATCH($B30,'01_Criterios'!$B$26:$B$36,0))),1,0),0))))</f>
        <v>0</v>
      </c>
      <c r="AR30" s="25" t="str">
        <f>IF(AQ30=0,"",IF($AO30&lt;&gt;"",1+SUMPRODUCT(($B$5:$B$335=$B30)*($AQ$5:$AQ$335=1)*($AO$5:$AO$335&lt;$AO30)),1+SUMPRODUCT(($B$5:$B$335=$B30)*($AQ$5:$AQ$335=1)*ISNUMBER($AO$5:$AO$335))+SUMPRODUCT(($B$5:$B$335=$B30)*($AQ$5:$AQ$335=1)*($AO$5:$AO$335="")*(ROW($AO$5:$AO$335)&lt;ROW()))))</f>
        <v/>
      </c>
      <c r="AS30" s="24" t="s">
        <v>255</v>
      </c>
    </row>
    <row r="31" spans="1:45">
      <c r="A31" s="20" t="s">
        <v>256</v>
      </c>
      <c r="B31" s="21" t="s">
        <v>76</v>
      </c>
      <c r="C31" s="21" t="s">
        <v>257</v>
      </c>
      <c r="D31" s="21" t="s">
        <v>258</v>
      </c>
      <c r="E31" s="20" t="s">
        <v>259</v>
      </c>
      <c r="F31" s="20" t="s">
        <v>126</v>
      </c>
      <c r="G31" s="20">
        <v>0</v>
      </c>
      <c r="H31" s="20">
        <v>100</v>
      </c>
      <c r="I31" s="20">
        <v>65</v>
      </c>
      <c r="J31" s="22">
        <v>1</v>
      </c>
      <c r="K31" s="21" t="s">
        <v>260</v>
      </c>
      <c r="L31" s="20" t="s">
        <v>261</v>
      </c>
      <c r="M31" s="21" t="s">
        <v>254</v>
      </c>
      <c r="N31" s="20">
        <v>0</v>
      </c>
      <c r="O31" s="21" t="s">
        <v>256</v>
      </c>
      <c r="P31" s="20" t="s">
        <v>180</v>
      </c>
      <c r="Q31" s="6"/>
      <c r="R31" s="6"/>
      <c r="S31" s="6"/>
      <c r="T31" s="6"/>
      <c r="U31" s="6"/>
      <c r="V31" s="6"/>
      <c r="W31" s="6"/>
      <c r="X31" s="6">
        <v>57.17</v>
      </c>
      <c r="Y31" s="6">
        <v>48.3</v>
      </c>
      <c r="Z31" s="6">
        <v>52.44</v>
      </c>
      <c r="AA31" s="6"/>
      <c r="AB31" s="20">
        <f>COUNT(Q31:AA31)</f>
        <v>3</v>
      </c>
      <c r="AC31" s="23">
        <f>AB31/11</f>
        <v>0.27272727272727271</v>
      </c>
      <c r="AD31" s="20">
        <f>IFERROR(INDEX($Q$4:$AA$4,MATCH(TRUE,INDEX(ISNUMBER(Q31:AA31),0),0)),"")</f>
        <v>2022</v>
      </c>
      <c r="AE31" s="20">
        <f>IFERROR(LOOKUP(2,1/ISNUMBER(Q31:AA31),$Q$4:$AA$4),"")</f>
        <v>2024</v>
      </c>
      <c r="AF31" s="23">
        <f>IF(AB31=0,"",AB31/(AE31-AD31+1))</f>
        <v>1</v>
      </c>
      <c r="AG31" s="20">
        <f>IF(AB31=0,"",'01_Criterios'!$C$8-AE31)</f>
        <v>1</v>
      </c>
      <c r="AH31" s="7">
        <f>IF(P31="Em uso",100,IF(P31="Alta",85,IF(P31="Média",55,30)))</f>
        <v>55</v>
      </c>
      <c r="AI31" s="7">
        <f>ROUND(100*AC31,1)</f>
        <v>27.3</v>
      </c>
      <c r="AJ31" s="7">
        <f>IF(AB31=0,0,ROUND(MAX(0,100*AF31-10*AG31),1))</f>
        <v>90</v>
      </c>
      <c r="AK31" s="7">
        <f>ROUND(('01_Criterios'!$C$19*AH31+'01_Criterios'!$C$20*AI31+'01_Criterios'!$C$21*AJ31)/('01_Criterios'!$C$19+'01_Criterios'!$C$20+'01_Criterios'!$C$21)+N31*'01_Criterios'!$C$22,1)</f>
        <v>54.1</v>
      </c>
      <c r="AL31" s="20">
        <f>IF(AND(AB31&gt;=3,AC31&gt;='01_Criterios'!$C$11,N(AE31)&gt;='01_Criterios'!$C$12,OR(F31="+",F31="-"),ISNUMBER(G31),ISNUMBER(H31)),1,0)</f>
        <v>0</v>
      </c>
      <c r="AM31" s="24" t="str">
        <f>IF(AL31=1,"",TRIM(IF(AB31=0,"sem dados no período; ",IF(AB31&lt;3,"série demasiado curta; ",""))&amp;IF(AND(AB31&gt;0,AC31&lt;'01_Criterios'!$C$11),"cobertura insuficiente; ","")&amp;IF(AND(AB31&gt;0,N(AE31)&lt;'01_Criterios'!$C$12),"desactualizado; ","")&amp;IF(AND(F31&lt;&gt;"+",F31&lt;&gt;"-"),"sentido ambíguo; ","")&amp;IF(OR(NOT(ISNUMBER(G31)),NOT(ISNUMBER(H31))),"sem limites min/max; ","")))</f>
        <v>cobertura insuficiente;</v>
      </c>
      <c r="AN31" s="20">
        <f>IF(OR(AL31=0,$AP31="Excluir"),0,IF(SUMPRODUCT(($O$5:$O$335=$O31)*($AL$5:$AL$335=1)*($AP$5:$AP$335&lt;&gt;"Excluir")*(($AK$5:$AK$335&gt;$AK31)+(($AK$5:$AK$335=$AK31)*(ROW($O$5:$O$335)&lt;ROW()))))=0,1,0))</f>
        <v>0</v>
      </c>
      <c r="AO31" s="20" t="str">
        <f>IF(AN31=0,"",1+SUMPRODUCT(($B$5:$B$335=$B31)*($AN$5:$AN$335=1)*(($AK$5:$AK$335&gt;$AK31)+(($AK$5:$AK$335=$AK31)*(ROW($B$5:$B$335)&lt;ROW())))))</f>
        <v/>
      </c>
      <c r="AP31" s="22" t="s">
        <v>131</v>
      </c>
      <c r="AQ31" s="20">
        <f>IF(INDEX('01_Criterios'!$C$26:$C$36,MATCH($B31,'01_Criterios'!$B$26:$B$36,0))&lt;&gt;1,0,IF($AP31="Excluir",0,IF($AP31="Incluir",IF(AND(OR($F31="+",$F31="-"),ISNUMBER($G31),ISNUMBER($H31),COUNT($Q31:$AA31)&gt;0),1,0),IF('01_Criterios'!$C$18="Automática",IF(AND($AN31=1,$AO31&lt;&gt;"",$AO31&lt;=INDEX('01_Criterios'!$E$26:$E$36,MATCH($B31,'01_Criterios'!$B$26:$B$36,0))),1,0),0))))</f>
        <v>0</v>
      </c>
      <c r="AR31" s="20" t="str">
        <f>IF(AQ31=0,"",IF($AO31&lt;&gt;"",1+SUMPRODUCT(($B$5:$B$335=$B31)*($AQ$5:$AQ$335=1)*($AO$5:$AO$335&lt;$AO31)),1+SUMPRODUCT(($B$5:$B$335=$B31)*($AQ$5:$AQ$335=1)*ISNUMBER($AO$5:$AO$335))+SUMPRODUCT(($B$5:$B$335=$B31)*($AQ$5:$AQ$335=1)*($AO$5:$AO$335="")*(ROW($AO$5:$AO$335)&lt;ROW()))))</f>
        <v/>
      </c>
      <c r="AS31" s="24" t="s">
        <v>262</v>
      </c>
    </row>
    <row r="32" spans="1:45">
      <c r="A32" s="25" t="s">
        <v>263</v>
      </c>
      <c r="B32" s="26" t="s">
        <v>76</v>
      </c>
      <c r="C32" s="26" t="s">
        <v>264</v>
      </c>
      <c r="D32" s="26" t="s">
        <v>265</v>
      </c>
      <c r="E32" s="25" t="s">
        <v>135</v>
      </c>
      <c r="F32" s="25" t="s">
        <v>126</v>
      </c>
      <c r="G32" s="25">
        <v>0</v>
      </c>
      <c r="H32" s="25">
        <v>100</v>
      </c>
      <c r="I32" s="25">
        <v>50</v>
      </c>
      <c r="J32" s="22">
        <v>1</v>
      </c>
      <c r="K32" s="26" t="s">
        <v>266</v>
      </c>
      <c r="L32" s="25" t="s">
        <v>267</v>
      </c>
      <c r="M32" s="26" t="s">
        <v>254</v>
      </c>
      <c r="N32" s="25">
        <v>0</v>
      </c>
      <c r="O32" s="26" t="s">
        <v>263</v>
      </c>
      <c r="P32" s="25" t="s">
        <v>268</v>
      </c>
      <c r="Q32" s="27"/>
      <c r="R32" s="27"/>
      <c r="S32" s="27"/>
      <c r="T32" s="27"/>
      <c r="U32" s="27"/>
      <c r="V32" s="27"/>
      <c r="W32" s="27"/>
      <c r="X32" s="27"/>
      <c r="Y32" s="27">
        <v>40.5</v>
      </c>
      <c r="Z32" s="27"/>
      <c r="AA32" s="27"/>
      <c r="AB32" s="25">
        <f>COUNT(Q32:AA32)</f>
        <v>1</v>
      </c>
      <c r="AC32" s="28">
        <f>AB32/11</f>
        <v>9.0909090909090912E-2</v>
      </c>
      <c r="AD32" s="25">
        <f>IFERROR(INDEX($Q$4:$AA$4,MATCH(TRUE,INDEX(ISNUMBER(Q32:AA32),0),0)),"")</f>
        <v>2023</v>
      </c>
      <c r="AE32" s="25">
        <f>IFERROR(LOOKUP(2,1/ISNUMBER(Q32:AA32),$Q$4:$AA$4),"")</f>
        <v>2023</v>
      </c>
      <c r="AF32" s="28">
        <f>IF(AB32=0,"",AB32/(AE32-AD32+1))</f>
        <v>1</v>
      </c>
      <c r="AG32" s="25">
        <f>IF(AB32=0,"",'01_Criterios'!$C$8-AE32)</f>
        <v>2</v>
      </c>
      <c r="AH32" s="29">
        <f>IF(P32="Em uso",100,IF(P32="Alta",85,IF(P32="Média",55,30)))</f>
        <v>30</v>
      </c>
      <c r="AI32" s="29">
        <f>ROUND(100*AC32,1)</f>
        <v>9.1</v>
      </c>
      <c r="AJ32" s="29">
        <f>IF(AB32=0,0,ROUND(MAX(0,100*AF32-10*AG32),1))</f>
        <v>80</v>
      </c>
      <c r="AK32" s="29">
        <f>ROUND(('01_Criterios'!$C$19*AH32+'01_Criterios'!$C$20*AI32+'01_Criterios'!$C$21*AJ32)/('01_Criterios'!$C$19+'01_Criterios'!$C$20+'01_Criterios'!$C$21)+N32*'01_Criterios'!$C$22,1)</f>
        <v>35.200000000000003</v>
      </c>
      <c r="AL32" s="25">
        <f>IF(AND(AB32&gt;=3,AC32&gt;='01_Criterios'!$C$11,N(AE32)&gt;='01_Criterios'!$C$12,OR(F32="+",F32="-"),ISNUMBER(G32),ISNUMBER(H32)),1,0)</f>
        <v>0</v>
      </c>
      <c r="AM32" s="30" t="str">
        <f>IF(AL32=1,"",TRIM(IF(AB32=0,"sem dados no período; ",IF(AB32&lt;3,"série demasiado curta; ",""))&amp;IF(AND(AB32&gt;0,AC32&lt;'01_Criterios'!$C$11),"cobertura insuficiente; ","")&amp;IF(AND(AB32&gt;0,N(AE32)&lt;'01_Criterios'!$C$12),"desactualizado; ","")&amp;IF(AND(F32&lt;&gt;"+",F32&lt;&gt;"-"),"sentido ambíguo; ","")&amp;IF(OR(NOT(ISNUMBER(G32)),NOT(ISNUMBER(H32))),"sem limites min/max; ","")))</f>
        <v>série demasiado curta; cobertura insuficiente;</v>
      </c>
      <c r="AN32" s="25">
        <f>IF(OR(AL32=0,$AP32="Excluir"),0,IF(SUMPRODUCT(($O$5:$O$335=$O32)*($AL$5:$AL$335=1)*($AP$5:$AP$335&lt;&gt;"Excluir")*(($AK$5:$AK$335&gt;$AK32)+(($AK$5:$AK$335=$AK32)*(ROW($O$5:$O$335)&lt;ROW()))))=0,1,0))</f>
        <v>0</v>
      </c>
      <c r="AO32" s="25" t="str">
        <f>IF(AN32=0,"",1+SUMPRODUCT(($B$5:$B$335=$B32)*($AN$5:$AN$335=1)*(($AK$5:$AK$335&gt;$AK32)+(($AK$5:$AK$335=$AK32)*(ROW($B$5:$B$335)&lt;ROW())))))</f>
        <v/>
      </c>
      <c r="AP32" s="22" t="s">
        <v>131</v>
      </c>
      <c r="AQ32" s="25">
        <f>IF(INDEX('01_Criterios'!$C$26:$C$36,MATCH($B32,'01_Criterios'!$B$26:$B$36,0))&lt;&gt;1,0,IF($AP32="Excluir",0,IF($AP32="Incluir",IF(AND(OR($F32="+",$F32="-"),ISNUMBER($G32),ISNUMBER($H32),COUNT($Q32:$AA32)&gt;0),1,0),IF('01_Criterios'!$C$18="Automática",IF(AND($AN32=1,$AO32&lt;&gt;"",$AO32&lt;=INDEX('01_Criterios'!$E$26:$E$36,MATCH($B32,'01_Criterios'!$B$26:$B$36,0))),1,0),0))))</f>
        <v>0</v>
      </c>
      <c r="AR32" s="25" t="str">
        <f>IF(AQ32=0,"",IF($AO32&lt;&gt;"",1+SUMPRODUCT(($B$5:$B$335=$B32)*($AQ$5:$AQ$335=1)*($AO$5:$AO$335&lt;$AO32)),1+SUMPRODUCT(($B$5:$B$335=$B32)*($AQ$5:$AQ$335=1)*ISNUMBER($AO$5:$AO$335))+SUMPRODUCT(($B$5:$B$335=$B32)*($AQ$5:$AQ$335=1)*($AO$5:$AO$335="")*(ROW($AO$5:$AO$335)&lt;ROW()))))</f>
        <v/>
      </c>
      <c r="AS32" s="24" t="s">
        <v>269</v>
      </c>
    </row>
    <row r="33" spans="1:45">
      <c r="A33" s="20" t="s">
        <v>270</v>
      </c>
      <c r="B33" s="21" t="s">
        <v>77</v>
      </c>
      <c r="C33" s="21" t="s">
        <v>271</v>
      </c>
      <c r="D33" s="21" t="s">
        <v>272</v>
      </c>
      <c r="E33" s="20" t="s">
        <v>157</v>
      </c>
      <c r="F33" s="20" t="s">
        <v>126</v>
      </c>
      <c r="G33" s="20">
        <v>-10</v>
      </c>
      <c r="H33" s="20">
        <v>15</v>
      </c>
      <c r="I33" s="20">
        <v>5</v>
      </c>
      <c r="J33" s="22">
        <v>1</v>
      </c>
      <c r="K33" s="21" t="s">
        <v>273</v>
      </c>
      <c r="L33" s="20" t="s">
        <v>274</v>
      </c>
      <c r="M33" s="21" t="s">
        <v>161</v>
      </c>
      <c r="N33" s="20">
        <v>1</v>
      </c>
      <c r="O33" s="21" t="s">
        <v>275</v>
      </c>
      <c r="P33" s="20" t="s">
        <v>130</v>
      </c>
      <c r="Q33" s="6">
        <v>0.76317771091500197</v>
      </c>
      <c r="R33" s="6">
        <v>-0.2330769548052842</v>
      </c>
      <c r="S33" s="6">
        <v>-0.16468865696107571</v>
      </c>
      <c r="T33" s="6">
        <v>-0.5066975436161556</v>
      </c>
      <c r="U33" s="6">
        <v>-1.05523414494337</v>
      </c>
      <c r="V33" s="6">
        <v>-5.2734912830000704</v>
      </c>
      <c r="W33" s="6">
        <v>1.0905836994481459</v>
      </c>
      <c r="X33" s="6">
        <v>3.5574920667566658</v>
      </c>
      <c r="Y33" s="6">
        <v>1.3201658708103139</v>
      </c>
      <c r="Z33" s="6">
        <v>4.9526786042595603</v>
      </c>
      <c r="AA33" s="6">
        <v>3.133535424500081</v>
      </c>
      <c r="AB33" s="20">
        <f>COUNT(Q33:AA33)</f>
        <v>11</v>
      </c>
      <c r="AC33" s="23">
        <f>AB33/11</f>
        <v>1</v>
      </c>
      <c r="AD33" s="20">
        <f>IFERROR(INDEX($Q$4:$AA$4,MATCH(TRUE,INDEX(ISNUMBER(Q33:AA33),0),0)),"")</f>
        <v>2015</v>
      </c>
      <c r="AE33" s="20">
        <f>IFERROR(LOOKUP(2,1/ISNUMBER(Q33:AA33),$Q$4:$AA$4),"")</f>
        <v>2025</v>
      </c>
      <c r="AF33" s="23">
        <f>IF(AB33=0,"",AB33/(AE33-AD33+1))</f>
        <v>1</v>
      </c>
      <c r="AG33" s="20">
        <f>IF(AB33=0,"",'01_Criterios'!$C$8-AE33)</f>
        <v>0</v>
      </c>
      <c r="AH33" s="7">
        <f>IF(P33="Em uso",100,IF(P33="Alta",85,IF(P33="Média",55,30)))</f>
        <v>100</v>
      </c>
      <c r="AI33" s="7">
        <f>ROUND(100*AC33,1)</f>
        <v>100</v>
      </c>
      <c r="AJ33" s="7">
        <f>IF(AB33=0,0,ROUND(MAX(0,100*AF33-10*AG33),1))</f>
        <v>100</v>
      </c>
      <c r="AK33" s="7">
        <f>ROUND(('01_Criterios'!$C$19*AH33+'01_Criterios'!$C$20*AI33+'01_Criterios'!$C$21*AJ33)/('01_Criterios'!$C$19+'01_Criterios'!$C$20+'01_Criterios'!$C$21)+N33*'01_Criterios'!$C$22,1)</f>
        <v>112</v>
      </c>
      <c r="AL33" s="20">
        <f>IF(AND(AB33&gt;=3,AC33&gt;='01_Criterios'!$C$11,N(AE33)&gt;='01_Criterios'!$C$12,OR(F33="+",F33="-"),ISNUMBER(G33),ISNUMBER(H33)),1,0)</f>
        <v>1</v>
      </c>
      <c r="AM33" s="24" t="str">
        <f>IF(AL33=1,"",TRIM(IF(AB33=0,"sem dados no período; ",IF(AB33&lt;3,"série demasiado curta; ",""))&amp;IF(AND(AB33&gt;0,AC33&lt;'01_Criterios'!$C$11),"cobertura insuficiente; ","")&amp;IF(AND(AB33&gt;0,N(AE33)&lt;'01_Criterios'!$C$12),"desactualizado; ","")&amp;IF(AND(F33&lt;&gt;"+",F33&lt;&gt;"-"),"sentido ambíguo; ","")&amp;IF(OR(NOT(ISNUMBER(G33)),NOT(ISNUMBER(H33))),"sem limites min/max; ","")))</f>
        <v/>
      </c>
      <c r="AN33" s="20">
        <f>IF(OR(AL33=0,$AP33="Excluir"),0,IF(SUMPRODUCT(($O$5:$O$335=$O33)*($AL$5:$AL$335=1)*($AP$5:$AP$335&lt;&gt;"Excluir")*(($AK$5:$AK$335&gt;$AK33)+(($AK$5:$AK$335=$AK33)*(ROW($O$5:$O$335)&lt;ROW()))))=0,1,0))</f>
        <v>1</v>
      </c>
      <c r="AO33" s="20">
        <f>IF(AN33=0,"",1+SUMPRODUCT(($B$5:$B$335=$B33)*($AN$5:$AN$335=1)*(($AK$5:$AK$335&gt;$AK33)+(($AK$5:$AK$335=$AK33)*(ROW($B$5:$B$335)&lt;ROW())))))</f>
        <v>1</v>
      </c>
      <c r="AP33" s="22" t="s">
        <v>131</v>
      </c>
      <c r="AQ33" s="20">
        <f>IF(INDEX('01_Criterios'!$C$26:$C$36,MATCH($B33,'01_Criterios'!$B$26:$B$36,0))&lt;&gt;1,0,IF($AP33="Excluir",0,IF($AP33="Incluir",IF(AND(OR($F33="+",$F33="-"),ISNUMBER($G33),ISNUMBER($H33),COUNT($Q33:$AA33)&gt;0),1,0),IF('01_Criterios'!$C$18="Automática",IF(AND($AN33=1,$AO33&lt;&gt;"",$AO33&lt;=INDEX('01_Criterios'!$E$26:$E$36,MATCH($B33,'01_Criterios'!$B$26:$B$36,0))),1,0),0))))</f>
        <v>1</v>
      </c>
      <c r="AR33" s="20">
        <f>IF(AQ33=0,"",IF($AO33&lt;&gt;"",1+SUMPRODUCT(($B$5:$B$335=$B33)*($AQ$5:$AQ$335=1)*($AO$5:$AO$335&lt;$AO33)),1+SUMPRODUCT(($B$5:$B$335=$B33)*($AQ$5:$AQ$335=1)*ISNUMBER($AO$5:$AO$335))+SUMPRODUCT(($B$5:$B$335=$B33)*($AQ$5:$AQ$335=1)*($AO$5:$AO$335="")*(ROW($AO$5:$AO$335)&lt;ROW()))))</f>
        <v>1</v>
      </c>
      <c r="AS33" s="24" t="s">
        <v>276</v>
      </c>
    </row>
    <row r="34" spans="1:45">
      <c r="A34" s="25" t="s">
        <v>277</v>
      </c>
      <c r="B34" s="26" t="s">
        <v>77</v>
      </c>
      <c r="C34" s="26" t="s">
        <v>271</v>
      </c>
      <c r="D34" s="26" t="s">
        <v>278</v>
      </c>
      <c r="E34" s="25" t="s">
        <v>279</v>
      </c>
      <c r="F34" s="25" t="s">
        <v>126</v>
      </c>
      <c r="G34" s="25">
        <v>500</v>
      </c>
      <c r="H34" s="25">
        <v>15000</v>
      </c>
      <c r="I34" s="25">
        <v>5000</v>
      </c>
      <c r="J34" s="22">
        <v>1</v>
      </c>
      <c r="K34" s="26" t="s">
        <v>273</v>
      </c>
      <c r="L34" s="25" t="s">
        <v>280</v>
      </c>
      <c r="M34" s="26" t="s">
        <v>161</v>
      </c>
      <c r="N34" s="25">
        <v>1</v>
      </c>
      <c r="O34" s="26" t="s">
        <v>281</v>
      </c>
      <c r="P34" s="25" t="s">
        <v>130</v>
      </c>
      <c r="Q34" s="27">
        <v>3641.7289392025282</v>
      </c>
      <c r="R34" s="27">
        <v>2082.3734359470459</v>
      </c>
      <c r="S34" s="27">
        <v>2832.1499795051191</v>
      </c>
      <c r="T34" s="27">
        <v>2891.8303237874661</v>
      </c>
      <c r="U34" s="27">
        <v>2507.8680721364221</v>
      </c>
      <c r="V34" s="27">
        <v>1749.179483848204</v>
      </c>
      <c r="W34" s="27">
        <v>2266.9683486158378</v>
      </c>
      <c r="X34" s="27">
        <v>3598.5366907734119</v>
      </c>
      <c r="Y34" s="27">
        <v>2885.5134913080642</v>
      </c>
      <c r="Z34" s="27">
        <v>2720.8190066971538</v>
      </c>
      <c r="AA34" s="27">
        <v>3129.4766233106252</v>
      </c>
      <c r="AB34" s="25">
        <f>COUNT(Q34:AA34)</f>
        <v>11</v>
      </c>
      <c r="AC34" s="28">
        <f>AB34/11</f>
        <v>1</v>
      </c>
      <c r="AD34" s="25">
        <f>IFERROR(INDEX($Q$4:$AA$4,MATCH(TRUE,INDEX(ISNUMBER(Q34:AA34),0),0)),"")</f>
        <v>2015</v>
      </c>
      <c r="AE34" s="25">
        <f>IFERROR(LOOKUP(2,1/ISNUMBER(Q34:AA34),$Q$4:$AA$4),"")</f>
        <v>2025</v>
      </c>
      <c r="AF34" s="28">
        <f>IF(AB34=0,"",AB34/(AE34-AD34+1))</f>
        <v>1</v>
      </c>
      <c r="AG34" s="25">
        <f>IF(AB34=0,"",'01_Criterios'!$C$8-AE34)</f>
        <v>0</v>
      </c>
      <c r="AH34" s="29">
        <f>IF(P34="Em uso",100,IF(P34="Alta",85,IF(P34="Média",55,30)))</f>
        <v>100</v>
      </c>
      <c r="AI34" s="29">
        <f>ROUND(100*AC34,1)</f>
        <v>100</v>
      </c>
      <c r="AJ34" s="29">
        <f>IF(AB34=0,0,ROUND(MAX(0,100*AF34-10*AG34),1))</f>
        <v>100</v>
      </c>
      <c r="AK34" s="29">
        <f>ROUND(('01_Criterios'!$C$19*AH34+'01_Criterios'!$C$20*AI34+'01_Criterios'!$C$21*AJ34)/('01_Criterios'!$C$19+'01_Criterios'!$C$20+'01_Criterios'!$C$21)+N34*'01_Criterios'!$C$22,1)</f>
        <v>112</v>
      </c>
      <c r="AL34" s="25">
        <f>IF(AND(AB34&gt;=3,AC34&gt;='01_Criterios'!$C$11,N(AE34)&gt;='01_Criterios'!$C$12,OR(F34="+",F34="-"),ISNUMBER(G34),ISNUMBER(H34)),1,0)</f>
        <v>1</v>
      </c>
      <c r="AM34" s="30" t="str">
        <f>IF(AL34=1,"",TRIM(IF(AB34=0,"sem dados no período; ",IF(AB34&lt;3,"série demasiado curta; ",""))&amp;IF(AND(AB34&gt;0,AC34&lt;'01_Criterios'!$C$11),"cobertura insuficiente; ","")&amp;IF(AND(AB34&gt;0,N(AE34)&lt;'01_Criterios'!$C$12),"desactualizado; ","")&amp;IF(AND(F34&lt;&gt;"+",F34&lt;&gt;"-"),"sentido ambíguo; ","")&amp;IF(OR(NOT(ISNUMBER(G34)),NOT(ISNUMBER(H34))),"sem limites min/max; ","")))</f>
        <v/>
      </c>
      <c r="AN34" s="25">
        <f>IF(OR(AL34=0,$AP34="Excluir"),0,IF(SUMPRODUCT(($O$5:$O$335=$O34)*($AL$5:$AL$335=1)*($AP$5:$AP$335&lt;&gt;"Excluir")*(($AK$5:$AK$335&gt;$AK34)+(($AK$5:$AK$335=$AK34)*(ROW($O$5:$O$335)&lt;ROW()))))=0,1,0))</f>
        <v>1</v>
      </c>
      <c r="AO34" s="25">
        <f>IF(AN34=0,"",1+SUMPRODUCT(($B$5:$B$335=$B34)*($AN$5:$AN$335=1)*(($AK$5:$AK$335&gt;$AK34)+(($AK$5:$AK$335=$AK34)*(ROW($B$5:$B$335)&lt;ROW())))))</f>
        <v>2</v>
      </c>
      <c r="AP34" s="22" t="s">
        <v>131</v>
      </c>
      <c r="AQ34" s="25">
        <f>IF(INDEX('01_Criterios'!$C$26:$C$36,MATCH($B34,'01_Criterios'!$B$26:$B$36,0))&lt;&gt;1,0,IF($AP34="Excluir",0,IF($AP34="Incluir",IF(AND(OR($F34="+",$F34="-"),ISNUMBER($G34),ISNUMBER($H34),COUNT($Q34:$AA34)&gt;0),1,0),IF('01_Criterios'!$C$18="Automática",IF(AND($AN34=1,$AO34&lt;&gt;"",$AO34&lt;=INDEX('01_Criterios'!$E$26:$E$36,MATCH($B34,'01_Criterios'!$B$26:$B$36,0))),1,0),0))))</f>
        <v>1</v>
      </c>
      <c r="AR34" s="25">
        <f>IF(AQ34=0,"",IF($AO34&lt;&gt;"",1+SUMPRODUCT(($B$5:$B$335=$B34)*($AQ$5:$AQ$335=1)*($AO$5:$AO$335&lt;$AO34)),1+SUMPRODUCT(($B$5:$B$335=$B34)*($AQ$5:$AQ$335=1)*ISNUMBER($AO$5:$AO$335))+SUMPRODUCT(($B$5:$B$335=$B34)*($AQ$5:$AQ$335=1)*($AO$5:$AO$335="")*(ROW($AO$5:$AO$335)&lt;ROW()))))</f>
        <v>2</v>
      </c>
      <c r="AS34" s="24" t="s">
        <v>282</v>
      </c>
    </row>
    <row r="35" spans="1:45">
      <c r="A35" s="20" t="s">
        <v>283</v>
      </c>
      <c r="B35" s="21" t="s">
        <v>77</v>
      </c>
      <c r="C35" s="21" t="s">
        <v>271</v>
      </c>
      <c r="D35" s="21" t="s">
        <v>284</v>
      </c>
      <c r="E35" s="20" t="s">
        <v>157</v>
      </c>
      <c r="F35" s="20" t="s">
        <v>158</v>
      </c>
      <c r="G35" s="20">
        <v>0</v>
      </c>
      <c r="H35" s="20">
        <v>50</v>
      </c>
      <c r="I35" s="20">
        <v>10</v>
      </c>
      <c r="J35" s="22">
        <v>1</v>
      </c>
      <c r="K35" s="21" t="s">
        <v>285</v>
      </c>
      <c r="L35" s="20" t="s">
        <v>286</v>
      </c>
      <c r="M35" s="21" t="s">
        <v>161</v>
      </c>
      <c r="N35" s="20">
        <v>1</v>
      </c>
      <c r="O35" s="21" t="s">
        <v>287</v>
      </c>
      <c r="P35" s="20" t="s">
        <v>130</v>
      </c>
      <c r="Q35" s="6">
        <v>9.3559721553378399</v>
      </c>
      <c r="R35" s="6">
        <v>30.694415080671909</v>
      </c>
      <c r="S35" s="6">
        <v>29.844479901567929</v>
      </c>
      <c r="T35" s="6">
        <v>19.62893797015208</v>
      </c>
      <c r="U35" s="6">
        <v>17.080954143438031</v>
      </c>
      <c r="V35" s="6">
        <v>22.271539247050971</v>
      </c>
      <c r="W35" s="6">
        <v>25.754294884189061</v>
      </c>
      <c r="X35" s="6">
        <v>21.355290132082221</v>
      </c>
      <c r="Y35" s="6">
        <v>13.64410177677148</v>
      </c>
      <c r="Z35" s="6">
        <v>28.240494891577239</v>
      </c>
      <c r="AA35" s="6">
        <v>20.162019757233121</v>
      </c>
      <c r="AB35" s="20">
        <f>COUNT(Q35:AA35)</f>
        <v>11</v>
      </c>
      <c r="AC35" s="23">
        <f>AB35/11</f>
        <v>1</v>
      </c>
      <c r="AD35" s="20">
        <f>IFERROR(INDEX($Q$4:$AA$4,MATCH(TRUE,INDEX(ISNUMBER(Q35:AA35),0),0)),"")</f>
        <v>2015</v>
      </c>
      <c r="AE35" s="20">
        <f>IFERROR(LOOKUP(2,1/ISNUMBER(Q35:AA35),$Q$4:$AA$4),"")</f>
        <v>2025</v>
      </c>
      <c r="AF35" s="23">
        <f>IF(AB35=0,"",AB35/(AE35-AD35+1))</f>
        <v>1</v>
      </c>
      <c r="AG35" s="20">
        <f>IF(AB35=0,"",'01_Criterios'!$C$8-AE35)</f>
        <v>0</v>
      </c>
      <c r="AH35" s="7">
        <f>IF(P35="Em uso",100,IF(P35="Alta",85,IF(P35="Média",55,30)))</f>
        <v>100</v>
      </c>
      <c r="AI35" s="7">
        <f>ROUND(100*AC35,1)</f>
        <v>100</v>
      </c>
      <c r="AJ35" s="7">
        <f>IF(AB35=0,0,ROUND(MAX(0,100*AF35-10*AG35),1))</f>
        <v>100</v>
      </c>
      <c r="AK35" s="7">
        <f>ROUND(('01_Criterios'!$C$19*AH35+'01_Criterios'!$C$20*AI35+'01_Criterios'!$C$21*AJ35)/('01_Criterios'!$C$19+'01_Criterios'!$C$20+'01_Criterios'!$C$21)+N35*'01_Criterios'!$C$22,1)</f>
        <v>112</v>
      </c>
      <c r="AL35" s="20">
        <f>IF(AND(AB35&gt;=3,AC35&gt;='01_Criterios'!$C$11,N(AE35)&gt;='01_Criterios'!$C$12,OR(F35="+",F35="-"),ISNUMBER(G35),ISNUMBER(H35)),1,0)</f>
        <v>1</v>
      </c>
      <c r="AM35" s="24" t="str">
        <f>IF(AL35=1,"",TRIM(IF(AB35=0,"sem dados no período; ",IF(AB35&lt;3,"série demasiado curta; ",""))&amp;IF(AND(AB35&gt;0,AC35&lt;'01_Criterios'!$C$11),"cobertura insuficiente; ","")&amp;IF(AND(AB35&gt;0,N(AE35)&lt;'01_Criterios'!$C$12),"desactualizado; ","")&amp;IF(AND(F35&lt;&gt;"+",F35&lt;&gt;"-"),"sentido ambíguo; ","")&amp;IF(OR(NOT(ISNUMBER(G35)),NOT(ISNUMBER(H35))),"sem limites min/max; ","")))</f>
        <v/>
      </c>
      <c r="AN35" s="20">
        <f>IF(OR(AL35=0,$AP35="Excluir"),0,IF(SUMPRODUCT(($O$5:$O$335=$O35)*($AL$5:$AL$335=1)*($AP$5:$AP$335&lt;&gt;"Excluir")*(($AK$5:$AK$335&gt;$AK35)+(($AK$5:$AK$335=$AK35)*(ROW($O$5:$O$335)&lt;ROW()))))=0,1,0))</f>
        <v>1</v>
      </c>
      <c r="AO35" s="20">
        <f>IF(AN35=0,"",1+SUMPRODUCT(($B$5:$B$335=$B35)*($AN$5:$AN$335=1)*(($AK$5:$AK$335&gt;$AK35)+(($AK$5:$AK$335=$AK35)*(ROW($B$5:$B$335)&lt;ROW())))))</f>
        <v>3</v>
      </c>
      <c r="AP35" s="22" t="s">
        <v>131</v>
      </c>
      <c r="AQ35" s="20">
        <f>IF(INDEX('01_Criterios'!$C$26:$C$36,MATCH($B35,'01_Criterios'!$B$26:$B$36,0))&lt;&gt;1,0,IF($AP35="Excluir",0,IF($AP35="Incluir",IF(AND(OR($F35="+",$F35="-"),ISNUMBER($G35),ISNUMBER($H35),COUNT($Q35:$AA35)&gt;0),1,0),IF('01_Criterios'!$C$18="Automática",IF(AND($AN35=1,$AO35&lt;&gt;"",$AO35&lt;=INDEX('01_Criterios'!$E$26:$E$36,MATCH($B35,'01_Criterios'!$B$26:$B$36,0))),1,0),0))))</f>
        <v>1</v>
      </c>
      <c r="AR35" s="20">
        <f>IF(AQ35=0,"",IF($AO35&lt;&gt;"",1+SUMPRODUCT(($B$5:$B$335=$B35)*($AQ$5:$AQ$335=1)*($AO$5:$AO$335&lt;$AO35)),1+SUMPRODUCT(($B$5:$B$335=$B35)*($AQ$5:$AQ$335=1)*ISNUMBER($AO$5:$AO$335))+SUMPRODUCT(($B$5:$B$335=$B35)*($AQ$5:$AQ$335=1)*($AO$5:$AO$335="")*(ROW($AO$5:$AO$335)&lt;ROW()))))</f>
        <v>3</v>
      </c>
      <c r="AS35" s="24" t="s">
        <v>288</v>
      </c>
    </row>
    <row r="36" spans="1:45">
      <c r="A36" s="25" t="s">
        <v>289</v>
      </c>
      <c r="B36" s="26" t="s">
        <v>77</v>
      </c>
      <c r="C36" s="26" t="s">
        <v>271</v>
      </c>
      <c r="D36" s="26" t="s">
        <v>290</v>
      </c>
      <c r="E36" s="25" t="s">
        <v>157</v>
      </c>
      <c r="F36" s="25" t="s">
        <v>158</v>
      </c>
      <c r="G36" s="25">
        <v>0</v>
      </c>
      <c r="H36" s="25">
        <v>150</v>
      </c>
      <c r="I36" s="25">
        <v>60</v>
      </c>
      <c r="J36" s="22">
        <v>1</v>
      </c>
      <c r="K36" s="26" t="s">
        <v>291</v>
      </c>
      <c r="L36" s="25" t="s">
        <v>292</v>
      </c>
      <c r="M36" s="26" t="s">
        <v>129</v>
      </c>
      <c r="N36" s="25">
        <v>1</v>
      </c>
      <c r="O36" s="26" t="s">
        <v>293</v>
      </c>
      <c r="P36" s="25" t="s">
        <v>130</v>
      </c>
      <c r="Q36" s="27">
        <v>50</v>
      </c>
      <c r="R36" s="27">
        <v>67</v>
      </c>
      <c r="S36" s="27">
        <v>60</v>
      </c>
      <c r="T36" s="27">
        <v>83</v>
      </c>
      <c r="U36" s="27">
        <v>101</v>
      </c>
      <c r="V36" s="27">
        <v>119</v>
      </c>
      <c r="W36" s="27">
        <v>74</v>
      </c>
      <c r="X36" s="27">
        <v>56</v>
      </c>
      <c r="Y36" s="27">
        <v>72</v>
      </c>
      <c r="Z36" s="27">
        <v>60</v>
      </c>
      <c r="AA36" s="27">
        <v>63</v>
      </c>
      <c r="AB36" s="25">
        <f>COUNT(Q36:AA36)</f>
        <v>11</v>
      </c>
      <c r="AC36" s="28">
        <f>AB36/11</f>
        <v>1</v>
      </c>
      <c r="AD36" s="25">
        <f>IFERROR(INDEX($Q$4:$AA$4,MATCH(TRUE,INDEX(ISNUMBER(Q36:AA36),0),0)),"")</f>
        <v>2015</v>
      </c>
      <c r="AE36" s="25">
        <f>IFERROR(LOOKUP(2,1/ISNUMBER(Q36:AA36),$Q$4:$AA$4),"")</f>
        <v>2025</v>
      </c>
      <c r="AF36" s="28">
        <f>IF(AB36=0,"",AB36/(AE36-AD36+1))</f>
        <v>1</v>
      </c>
      <c r="AG36" s="25">
        <f>IF(AB36=0,"",'01_Criterios'!$C$8-AE36)</f>
        <v>0</v>
      </c>
      <c r="AH36" s="29">
        <f>IF(P36="Em uso",100,IF(P36="Alta",85,IF(P36="Média",55,30)))</f>
        <v>100</v>
      </c>
      <c r="AI36" s="29">
        <f>ROUND(100*AC36,1)</f>
        <v>100</v>
      </c>
      <c r="AJ36" s="29">
        <f>IF(AB36=0,0,ROUND(MAX(0,100*AF36-10*AG36),1))</f>
        <v>100</v>
      </c>
      <c r="AK36" s="29">
        <f>ROUND(('01_Criterios'!$C$19*AH36+'01_Criterios'!$C$20*AI36+'01_Criterios'!$C$21*AJ36)/('01_Criterios'!$C$19+'01_Criterios'!$C$20+'01_Criterios'!$C$21)+N36*'01_Criterios'!$C$22,1)</f>
        <v>112</v>
      </c>
      <c r="AL36" s="25">
        <f>IF(AND(AB36&gt;=3,AC36&gt;='01_Criterios'!$C$11,N(AE36)&gt;='01_Criterios'!$C$12,OR(F36="+",F36="-"),ISNUMBER(G36),ISNUMBER(H36)),1,0)</f>
        <v>1</v>
      </c>
      <c r="AM36" s="30" t="str">
        <f>IF(AL36=1,"",TRIM(IF(AB36=0,"sem dados no período; ",IF(AB36&lt;3,"série demasiado curta; ",""))&amp;IF(AND(AB36&gt;0,AC36&lt;'01_Criterios'!$C$11),"cobertura insuficiente; ","")&amp;IF(AND(AB36&gt;0,N(AE36)&lt;'01_Criterios'!$C$12),"desactualizado; ","")&amp;IF(AND(F36&lt;&gt;"+",F36&lt;&gt;"-"),"sentido ambíguo; ","")&amp;IF(OR(NOT(ISNUMBER(G36)),NOT(ISNUMBER(H36))),"sem limites min/max; ","")))</f>
        <v/>
      </c>
      <c r="AN36" s="25">
        <f>IF(OR(AL36=0,$AP36="Excluir"),0,IF(SUMPRODUCT(($O$5:$O$335=$O36)*($AL$5:$AL$335=1)*($AP$5:$AP$335&lt;&gt;"Excluir")*(($AK$5:$AK$335&gt;$AK36)+(($AK$5:$AK$335=$AK36)*(ROW($O$5:$O$335)&lt;ROW()))))=0,1,0))</f>
        <v>1</v>
      </c>
      <c r="AO36" s="25">
        <f>IF(AN36=0,"",1+SUMPRODUCT(($B$5:$B$335=$B36)*($AN$5:$AN$335=1)*(($AK$5:$AK$335&gt;$AK36)+(($AK$5:$AK$335=$AK36)*(ROW($B$5:$B$335)&lt;ROW())))))</f>
        <v>4</v>
      </c>
      <c r="AP36" s="22" t="s">
        <v>131</v>
      </c>
      <c r="AQ36" s="25">
        <f>IF(INDEX('01_Criterios'!$C$26:$C$36,MATCH($B36,'01_Criterios'!$B$26:$B$36,0))&lt;&gt;1,0,IF($AP36="Excluir",0,IF($AP36="Incluir",IF(AND(OR($F36="+",$F36="-"),ISNUMBER($G36),ISNUMBER($H36),COUNT($Q36:$AA36)&gt;0),1,0),IF('01_Criterios'!$C$18="Automática",IF(AND($AN36=1,$AO36&lt;&gt;"",$AO36&lt;=INDEX('01_Criterios'!$E$26:$E$36,MATCH($B36,'01_Criterios'!$B$26:$B$36,0))),1,0),0))))</f>
        <v>1</v>
      </c>
      <c r="AR36" s="25">
        <f>IF(AQ36=0,"",IF($AO36&lt;&gt;"",1+SUMPRODUCT(($B$5:$B$335=$B36)*($AQ$5:$AQ$335=1)*($AO$5:$AO$335&lt;$AO36)),1+SUMPRODUCT(($B$5:$B$335=$B36)*($AQ$5:$AQ$335=1)*ISNUMBER($AO$5:$AO$335))+SUMPRODUCT(($B$5:$B$335=$B36)*($AQ$5:$AQ$335=1)*($AO$5:$AO$335="")*(ROW($AO$5:$AO$335)&lt;ROW()))))</f>
        <v>4</v>
      </c>
      <c r="AS36" s="24" t="s">
        <v>132</v>
      </c>
    </row>
    <row r="37" spans="1:45">
      <c r="A37" s="20" t="s">
        <v>294</v>
      </c>
      <c r="B37" s="21" t="s">
        <v>77</v>
      </c>
      <c r="C37" s="21" t="s">
        <v>271</v>
      </c>
      <c r="D37" s="21" t="s">
        <v>295</v>
      </c>
      <c r="E37" s="20" t="s">
        <v>157</v>
      </c>
      <c r="F37" s="20" t="s">
        <v>126</v>
      </c>
      <c r="G37" s="20">
        <v>-15</v>
      </c>
      <c r="H37" s="20">
        <v>10</v>
      </c>
      <c r="I37" s="20">
        <v>0</v>
      </c>
      <c r="J37" s="22">
        <v>1</v>
      </c>
      <c r="K37" s="21" t="s">
        <v>291</v>
      </c>
      <c r="L37" s="20" t="s">
        <v>296</v>
      </c>
      <c r="M37" s="21" t="s">
        <v>129</v>
      </c>
      <c r="N37" s="20">
        <v>1</v>
      </c>
      <c r="O37" s="21" t="s">
        <v>297</v>
      </c>
      <c r="P37" s="20" t="s">
        <v>130</v>
      </c>
      <c r="Q37" s="6">
        <v>-2</v>
      </c>
      <c r="R37" s="6">
        <v>-3</v>
      </c>
      <c r="S37" s="6">
        <v>1.5</v>
      </c>
      <c r="T37" s="6">
        <v>-0.5</v>
      </c>
      <c r="U37" s="6">
        <v>0.5</v>
      </c>
      <c r="V37" s="6">
        <v>-5</v>
      </c>
      <c r="W37" s="6">
        <v>1.5</v>
      </c>
      <c r="X37" s="6">
        <v>0.7</v>
      </c>
      <c r="Y37" s="6">
        <v>-1.9</v>
      </c>
      <c r="Z37" s="6">
        <v>-1.5</v>
      </c>
      <c r="AA37" s="6">
        <v>-1.65</v>
      </c>
      <c r="AB37" s="20">
        <f>COUNT(Q37:AA37)</f>
        <v>11</v>
      </c>
      <c r="AC37" s="23">
        <f>AB37/11</f>
        <v>1</v>
      </c>
      <c r="AD37" s="20">
        <f>IFERROR(INDEX($Q$4:$AA$4,MATCH(TRUE,INDEX(ISNUMBER(Q37:AA37),0),0)),"")</f>
        <v>2015</v>
      </c>
      <c r="AE37" s="20">
        <f>IFERROR(LOOKUP(2,1/ISNUMBER(Q37:AA37),$Q$4:$AA$4),"")</f>
        <v>2025</v>
      </c>
      <c r="AF37" s="23">
        <f>IF(AB37=0,"",AB37/(AE37-AD37+1))</f>
        <v>1</v>
      </c>
      <c r="AG37" s="20">
        <f>IF(AB37=0,"",'01_Criterios'!$C$8-AE37)</f>
        <v>0</v>
      </c>
      <c r="AH37" s="7">
        <f>IF(P37="Em uso",100,IF(P37="Alta",85,IF(P37="Média",55,30)))</f>
        <v>100</v>
      </c>
      <c r="AI37" s="7">
        <f>ROUND(100*AC37,1)</f>
        <v>100</v>
      </c>
      <c r="AJ37" s="7">
        <f>IF(AB37=0,0,ROUND(MAX(0,100*AF37-10*AG37),1))</f>
        <v>100</v>
      </c>
      <c r="AK37" s="7">
        <f>ROUND(('01_Criterios'!$C$19*AH37+'01_Criterios'!$C$20*AI37+'01_Criterios'!$C$21*AJ37)/('01_Criterios'!$C$19+'01_Criterios'!$C$20+'01_Criterios'!$C$21)+N37*'01_Criterios'!$C$22,1)</f>
        <v>112</v>
      </c>
      <c r="AL37" s="20">
        <f>IF(AND(AB37&gt;=3,AC37&gt;='01_Criterios'!$C$11,N(AE37)&gt;='01_Criterios'!$C$12,OR(F37="+",F37="-"),ISNUMBER(G37),ISNUMBER(H37)),1,0)</f>
        <v>1</v>
      </c>
      <c r="AM37" s="24" t="str">
        <f>IF(AL37=1,"",TRIM(IF(AB37=0,"sem dados no período; ",IF(AB37&lt;3,"série demasiado curta; ",""))&amp;IF(AND(AB37&gt;0,AC37&lt;'01_Criterios'!$C$11),"cobertura insuficiente; ","")&amp;IF(AND(AB37&gt;0,N(AE37)&lt;'01_Criterios'!$C$12),"desactualizado; ","")&amp;IF(AND(F37&lt;&gt;"+",F37&lt;&gt;"-"),"sentido ambíguo; ","")&amp;IF(OR(NOT(ISNUMBER(G37)),NOT(ISNUMBER(H37))),"sem limites min/max; ","")))</f>
        <v/>
      </c>
      <c r="AN37" s="20">
        <f>IF(OR(AL37=0,$AP37="Excluir"),0,IF(SUMPRODUCT(($O$5:$O$335=$O37)*($AL$5:$AL$335=1)*($AP$5:$AP$335&lt;&gt;"Excluir")*(($AK$5:$AK$335&gt;$AK37)+(($AK$5:$AK$335=$AK37)*(ROW($O$5:$O$335)&lt;ROW()))))=0,1,0))</f>
        <v>1</v>
      </c>
      <c r="AO37" s="20">
        <f>IF(AN37=0,"",1+SUMPRODUCT(($B$5:$B$335=$B37)*($AN$5:$AN$335=1)*(($AK$5:$AK$335&gt;$AK37)+(($AK$5:$AK$335=$AK37)*(ROW($B$5:$B$335)&lt;ROW())))))</f>
        <v>5</v>
      </c>
      <c r="AP37" s="22" t="s">
        <v>131</v>
      </c>
      <c r="AQ37" s="20">
        <f>IF(INDEX('01_Criterios'!$C$26:$C$36,MATCH($B37,'01_Criterios'!$B$26:$B$36,0))&lt;&gt;1,0,IF($AP37="Excluir",0,IF($AP37="Incluir",IF(AND(OR($F37="+",$F37="-"),ISNUMBER($G37),ISNUMBER($H37),COUNT($Q37:$AA37)&gt;0),1,0),IF('01_Criterios'!$C$18="Automática",IF(AND($AN37=1,$AO37&lt;&gt;"",$AO37&lt;=INDEX('01_Criterios'!$E$26:$E$36,MATCH($B37,'01_Criterios'!$B$26:$B$36,0))),1,0),0))))</f>
        <v>1</v>
      </c>
      <c r="AR37" s="20">
        <f>IF(AQ37=0,"",IF($AO37&lt;&gt;"",1+SUMPRODUCT(($B$5:$B$335=$B37)*($AQ$5:$AQ$335=1)*($AO$5:$AO$335&lt;$AO37)),1+SUMPRODUCT(($B$5:$B$335=$B37)*($AQ$5:$AQ$335=1)*ISNUMBER($AO$5:$AO$335))+SUMPRODUCT(($B$5:$B$335=$B37)*($AQ$5:$AQ$335=1)*($AO$5:$AO$335="")*(ROW($AO$5:$AO$335)&lt;ROW()))))</f>
        <v>5</v>
      </c>
      <c r="AS37" s="24" t="s">
        <v>132</v>
      </c>
    </row>
    <row r="38" spans="1:45">
      <c r="A38" s="25" t="s">
        <v>298</v>
      </c>
      <c r="B38" s="26" t="s">
        <v>77</v>
      </c>
      <c r="C38" s="26" t="s">
        <v>271</v>
      </c>
      <c r="D38" s="26" t="s">
        <v>299</v>
      </c>
      <c r="E38" s="25" t="s">
        <v>157</v>
      </c>
      <c r="F38" s="25" t="s">
        <v>126</v>
      </c>
      <c r="G38" s="25">
        <v>0</v>
      </c>
      <c r="H38" s="25">
        <v>10</v>
      </c>
      <c r="I38" s="25">
        <v>3</v>
      </c>
      <c r="J38" s="22">
        <v>1</v>
      </c>
      <c r="K38" s="26" t="s">
        <v>300</v>
      </c>
      <c r="L38" s="25"/>
      <c r="M38" s="26" t="s">
        <v>129</v>
      </c>
      <c r="N38" s="25">
        <v>1</v>
      </c>
      <c r="O38" s="26" t="s">
        <v>298</v>
      </c>
      <c r="P38" s="25" t="s">
        <v>130</v>
      </c>
      <c r="Q38" s="27"/>
      <c r="R38" s="27"/>
      <c r="S38" s="27"/>
      <c r="T38" s="27"/>
      <c r="U38" s="27"/>
      <c r="V38" s="27"/>
      <c r="W38" s="27"/>
      <c r="X38" s="27"/>
      <c r="Y38" s="27"/>
      <c r="Z38" s="27"/>
      <c r="AA38" s="27"/>
      <c r="AB38" s="25">
        <f>COUNT(Q38:AA38)</f>
        <v>0</v>
      </c>
      <c r="AC38" s="28">
        <f>AB38/11</f>
        <v>0</v>
      </c>
      <c r="AD38" s="25" t="str">
        <f>IFERROR(INDEX($Q$4:$AA$4,MATCH(TRUE,INDEX(ISNUMBER(Q38:AA38),0),0)),"")</f>
        <v/>
      </c>
      <c r="AE38" s="25" t="str">
        <f>IFERROR(LOOKUP(2,1/ISNUMBER(Q38:AA38),$Q$4:$AA$4),"")</f>
        <v/>
      </c>
      <c r="AF38" s="28" t="str">
        <f>IF(AB38=0,"",AB38/(AE38-AD38+1))</f>
        <v/>
      </c>
      <c r="AG38" s="25" t="str">
        <f>IF(AB38=0,"",'01_Criterios'!$C$8-AE38)</f>
        <v/>
      </c>
      <c r="AH38" s="29">
        <f>IF(P38="Em uso",100,IF(P38="Alta",85,IF(P38="Média",55,30)))</f>
        <v>100</v>
      </c>
      <c r="AI38" s="29">
        <f>ROUND(100*AC38,1)</f>
        <v>0</v>
      </c>
      <c r="AJ38" s="29">
        <f>IF(AB38=0,0,ROUND(MAX(0,100*AF38-10*AG38),1))</f>
        <v>0</v>
      </c>
      <c r="AK38" s="29">
        <f>ROUND(('01_Criterios'!$C$19*AH38+'01_Criterios'!$C$20*AI38+'01_Criterios'!$C$21*AJ38)/('01_Criterios'!$C$19+'01_Criterios'!$C$20+'01_Criterios'!$C$21)+N38*'01_Criterios'!$C$22,1)</f>
        <v>52</v>
      </c>
      <c r="AL38" s="25">
        <f>IF(AND(AB38&gt;=3,AC38&gt;='01_Criterios'!$C$11,N(AE38)&gt;='01_Criterios'!$C$12,OR(F38="+",F38="-"),ISNUMBER(G38),ISNUMBER(H38)),1,0)</f>
        <v>0</v>
      </c>
      <c r="AM38" s="30" t="str">
        <f>IF(AL38=1,"",TRIM(IF(AB38=0,"sem dados no período; ",IF(AB38&lt;3,"série demasiado curta; ",""))&amp;IF(AND(AB38&gt;0,AC38&lt;'01_Criterios'!$C$11),"cobertura insuficiente; ","")&amp;IF(AND(AB38&gt;0,N(AE38)&lt;'01_Criterios'!$C$12),"desactualizado; ","")&amp;IF(AND(F38&lt;&gt;"+",F38&lt;&gt;"-"),"sentido ambíguo; ","")&amp;IF(OR(NOT(ISNUMBER(G38)),NOT(ISNUMBER(H38))),"sem limites min/max; ","")))</f>
        <v>sem dados no período;</v>
      </c>
      <c r="AN38" s="25">
        <f>IF(OR(AL38=0,$AP38="Excluir"),0,IF(SUMPRODUCT(($O$5:$O$335=$O38)*($AL$5:$AL$335=1)*($AP$5:$AP$335&lt;&gt;"Excluir")*(($AK$5:$AK$335&gt;$AK38)+(($AK$5:$AK$335=$AK38)*(ROW($O$5:$O$335)&lt;ROW()))))=0,1,0))</f>
        <v>0</v>
      </c>
      <c r="AO38" s="25" t="str">
        <f>IF(AN38=0,"",1+SUMPRODUCT(($B$5:$B$335=$B38)*($AN$5:$AN$335=1)*(($AK$5:$AK$335&gt;$AK38)+(($AK$5:$AK$335=$AK38)*(ROW($B$5:$B$335)&lt;ROW())))))</f>
        <v/>
      </c>
      <c r="AP38" s="22" t="s">
        <v>131</v>
      </c>
      <c r="AQ38" s="25">
        <f>IF(INDEX('01_Criterios'!$C$26:$C$36,MATCH($B38,'01_Criterios'!$B$26:$B$36,0))&lt;&gt;1,0,IF($AP38="Excluir",0,IF($AP38="Incluir",IF(AND(OR($F38="+",$F38="-"),ISNUMBER($G38),ISNUMBER($H38),COUNT($Q38:$AA38)&gt;0),1,0),IF('01_Criterios'!$C$18="Automática",IF(AND($AN38=1,$AO38&lt;&gt;"",$AO38&lt;=INDEX('01_Criterios'!$E$26:$E$36,MATCH($B38,'01_Criterios'!$B$26:$B$36,0))),1,0),0))))</f>
        <v>0</v>
      </c>
      <c r="AR38" s="25" t="str">
        <f>IF(AQ38=0,"",IF($AO38&lt;&gt;"",1+SUMPRODUCT(($B$5:$B$335=$B38)*($AQ$5:$AQ$335=1)*($AO$5:$AO$335&lt;$AO38)),1+SUMPRODUCT(($B$5:$B$335=$B38)*($AQ$5:$AQ$335=1)*ISNUMBER($AO$5:$AO$335))+SUMPRODUCT(($B$5:$B$335=$B38)*($AQ$5:$AQ$335=1)*($AO$5:$AO$335="")*(ROW($AO$5:$AO$335)&lt;ROW()))))</f>
        <v/>
      </c>
      <c r="AS38" s="24" t="s">
        <v>132</v>
      </c>
    </row>
    <row r="39" spans="1:45">
      <c r="A39" s="20" t="s">
        <v>301</v>
      </c>
      <c r="B39" s="21" t="s">
        <v>77</v>
      </c>
      <c r="C39" s="21" t="s">
        <v>271</v>
      </c>
      <c r="D39" s="21" t="s">
        <v>302</v>
      </c>
      <c r="E39" s="20" t="s">
        <v>303</v>
      </c>
      <c r="F39" s="20" t="s">
        <v>126</v>
      </c>
      <c r="G39" s="20">
        <v>0</v>
      </c>
      <c r="H39" s="20">
        <v>12</v>
      </c>
      <c r="I39" s="20">
        <v>6</v>
      </c>
      <c r="J39" s="22">
        <v>1</v>
      </c>
      <c r="K39" s="21" t="s">
        <v>304</v>
      </c>
      <c r="L39" s="20" t="s">
        <v>305</v>
      </c>
      <c r="M39" s="21" t="s">
        <v>161</v>
      </c>
      <c r="N39" s="20">
        <v>1</v>
      </c>
      <c r="O39" s="21" t="s">
        <v>306</v>
      </c>
      <c r="P39" s="20" t="s">
        <v>130</v>
      </c>
      <c r="Q39" s="6">
        <v>6.4820456906484099</v>
      </c>
      <c r="R39" s="6">
        <v>9.0838712049007402</v>
      </c>
      <c r="S39" s="6">
        <v>5.8181869184485802</v>
      </c>
      <c r="T39" s="6">
        <v>5.4126401540864002</v>
      </c>
      <c r="U39" s="6">
        <v>6.4250942899666397</v>
      </c>
      <c r="V39" s="6">
        <v>8.0261477231075897</v>
      </c>
      <c r="W39" s="6">
        <v>6.9491541464897404</v>
      </c>
      <c r="X39" s="6">
        <v>4.3768328674862804</v>
      </c>
      <c r="Y39" s="6">
        <v>5.0892711356043199</v>
      </c>
      <c r="Z39" s="6">
        <v>5.5137491057931198</v>
      </c>
      <c r="AA39" s="6">
        <v>5.3228022877449641</v>
      </c>
      <c r="AB39" s="20">
        <f>COUNT(Q39:AA39)</f>
        <v>11</v>
      </c>
      <c r="AC39" s="23">
        <f>AB39/11</f>
        <v>1</v>
      </c>
      <c r="AD39" s="20">
        <f>IFERROR(INDEX($Q$4:$AA$4,MATCH(TRUE,INDEX(ISNUMBER(Q39:AA39),0),0)),"")</f>
        <v>2015</v>
      </c>
      <c r="AE39" s="20">
        <f>IFERROR(LOOKUP(2,1/ISNUMBER(Q39:AA39),$Q$4:$AA$4),"")</f>
        <v>2025</v>
      </c>
      <c r="AF39" s="23">
        <f>IF(AB39=0,"",AB39/(AE39-AD39+1))</f>
        <v>1</v>
      </c>
      <c r="AG39" s="20">
        <f>IF(AB39=0,"",'01_Criterios'!$C$8-AE39)</f>
        <v>0</v>
      </c>
      <c r="AH39" s="7">
        <f>IF(P39="Em uso",100,IF(P39="Alta",85,IF(P39="Média",55,30)))</f>
        <v>100</v>
      </c>
      <c r="AI39" s="7">
        <f>ROUND(100*AC39,1)</f>
        <v>100</v>
      </c>
      <c r="AJ39" s="7">
        <f>IF(AB39=0,0,ROUND(MAX(0,100*AF39-10*AG39),1))</f>
        <v>100</v>
      </c>
      <c r="AK39" s="7">
        <f>ROUND(('01_Criterios'!$C$19*AH39+'01_Criterios'!$C$20*AI39+'01_Criterios'!$C$21*AJ39)/('01_Criterios'!$C$19+'01_Criterios'!$C$20+'01_Criterios'!$C$21)+N39*'01_Criterios'!$C$22,1)</f>
        <v>112</v>
      </c>
      <c r="AL39" s="20">
        <f>IF(AND(AB39&gt;=3,AC39&gt;='01_Criterios'!$C$11,N(AE39)&gt;='01_Criterios'!$C$12,OR(F39="+",F39="-"),ISNUMBER(G39),ISNUMBER(H39)),1,0)</f>
        <v>1</v>
      </c>
      <c r="AM39" s="24" t="str">
        <f>IF(AL39=1,"",TRIM(IF(AB39=0,"sem dados no período; ",IF(AB39&lt;3,"série demasiado curta; ",""))&amp;IF(AND(AB39&gt;0,AC39&lt;'01_Criterios'!$C$11),"cobertura insuficiente; ","")&amp;IF(AND(AB39&gt;0,N(AE39)&lt;'01_Criterios'!$C$12),"desactualizado; ","")&amp;IF(AND(F39&lt;&gt;"+",F39&lt;&gt;"-"),"sentido ambíguo; ","")&amp;IF(OR(NOT(ISNUMBER(G39)),NOT(ISNUMBER(H39))),"sem limites min/max; ","")))</f>
        <v/>
      </c>
      <c r="AN39" s="20">
        <f>IF(OR(AL39=0,$AP39="Excluir"),0,IF(SUMPRODUCT(($O$5:$O$335=$O39)*($AL$5:$AL$335=1)*($AP$5:$AP$335&lt;&gt;"Excluir")*(($AK$5:$AK$335&gt;$AK39)+(($AK$5:$AK$335=$AK39)*(ROW($O$5:$O$335)&lt;ROW()))))=0,1,0))</f>
        <v>1</v>
      </c>
      <c r="AO39" s="20">
        <f>IF(AN39=0,"",1+SUMPRODUCT(($B$5:$B$335=$B39)*($AN$5:$AN$335=1)*(($AK$5:$AK$335&gt;$AK39)+(($AK$5:$AK$335=$AK39)*(ROW($B$5:$B$335)&lt;ROW())))))</f>
        <v>6</v>
      </c>
      <c r="AP39" s="22" t="s">
        <v>131</v>
      </c>
      <c r="AQ39" s="20">
        <f>IF(INDEX('01_Criterios'!$C$26:$C$36,MATCH($B39,'01_Criterios'!$B$26:$B$36,0))&lt;&gt;1,0,IF($AP39="Excluir",0,IF($AP39="Incluir",IF(AND(OR($F39="+",$F39="-"),ISNUMBER($G39),ISNUMBER($H39),COUNT($Q39:$AA39)&gt;0),1,0),IF('01_Criterios'!$C$18="Automática",IF(AND($AN39=1,$AO39&lt;&gt;"",$AO39&lt;=INDEX('01_Criterios'!$E$26:$E$36,MATCH($B39,'01_Criterios'!$B$26:$B$36,0))),1,0),0))))</f>
        <v>1</v>
      </c>
      <c r="AR39" s="20">
        <f>IF(AQ39=0,"",IF($AO39&lt;&gt;"",1+SUMPRODUCT(($B$5:$B$335=$B39)*($AQ$5:$AQ$335=1)*($AO$5:$AO$335&lt;$AO39)),1+SUMPRODUCT(($B$5:$B$335=$B39)*($AQ$5:$AQ$335=1)*ISNUMBER($AO$5:$AO$335))+SUMPRODUCT(($B$5:$B$335=$B39)*($AQ$5:$AQ$335=1)*($AO$5:$AO$335="")*(ROW($AO$5:$AO$335)&lt;ROW()))))</f>
        <v>6</v>
      </c>
      <c r="AS39" s="24" t="s">
        <v>307</v>
      </c>
    </row>
    <row r="40" spans="1:45">
      <c r="A40" s="25" t="s">
        <v>308</v>
      </c>
      <c r="B40" s="26" t="s">
        <v>77</v>
      </c>
      <c r="C40" s="26" t="s">
        <v>271</v>
      </c>
      <c r="D40" s="26" t="s">
        <v>309</v>
      </c>
      <c r="E40" s="25" t="s">
        <v>157</v>
      </c>
      <c r="F40" s="25" t="s">
        <v>126</v>
      </c>
      <c r="G40" s="25">
        <v>-10</v>
      </c>
      <c r="H40" s="25">
        <v>15</v>
      </c>
      <c r="I40" s="25">
        <v>5</v>
      </c>
      <c r="J40" s="22">
        <v>1</v>
      </c>
      <c r="K40" s="26" t="s">
        <v>310</v>
      </c>
      <c r="L40" s="25" t="s">
        <v>311</v>
      </c>
      <c r="M40" s="26" t="s">
        <v>129</v>
      </c>
      <c r="N40" s="25">
        <v>1</v>
      </c>
      <c r="O40" s="26" t="s">
        <v>308</v>
      </c>
      <c r="P40" s="25" t="s">
        <v>152</v>
      </c>
      <c r="Q40" s="27">
        <v>-3.6888000000000001</v>
      </c>
      <c r="R40" s="27">
        <v>0.92749999999999999</v>
      </c>
      <c r="S40" s="27">
        <v>3.9201000000000001</v>
      </c>
      <c r="T40" s="27">
        <v>3.1939000000000002</v>
      </c>
      <c r="U40" s="27">
        <v>1.2479</v>
      </c>
      <c r="V40" s="27">
        <v>-4.7728000000000002</v>
      </c>
      <c r="W40" s="27">
        <v>5.3132999999999999</v>
      </c>
      <c r="X40" s="27">
        <v>3.1457000000000002</v>
      </c>
      <c r="Y40" s="27">
        <v>2.3972000000000002</v>
      </c>
      <c r="Z40" s="27">
        <v>5.3951000000000002</v>
      </c>
      <c r="AA40" s="27">
        <v>5.3792999999999997</v>
      </c>
      <c r="AB40" s="25">
        <f>COUNT(Q40:AA40)</f>
        <v>11</v>
      </c>
      <c r="AC40" s="28">
        <f>AB40/11</f>
        <v>1</v>
      </c>
      <c r="AD40" s="25">
        <f>IFERROR(INDEX($Q$4:$AA$4,MATCH(TRUE,INDEX(ISNUMBER(Q40:AA40),0),0)),"")</f>
        <v>2015</v>
      </c>
      <c r="AE40" s="25">
        <f>IFERROR(LOOKUP(2,1/ISNUMBER(Q40:AA40),$Q$4:$AA$4),"")</f>
        <v>2025</v>
      </c>
      <c r="AF40" s="28">
        <f>IF(AB40=0,"",AB40/(AE40-AD40+1))</f>
        <v>1</v>
      </c>
      <c r="AG40" s="25">
        <f>IF(AB40=0,"",'01_Criterios'!$C$8-AE40)</f>
        <v>0</v>
      </c>
      <c r="AH40" s="29">
        <f>IF(P40="Em uso",100,IF(P40="Alta",85,IF(P40="Média",55,30)))</f>
        <v>85</v>
      </c>
      <c r="AI40" s="29">
        <f>ROUND(100*AC40,1)</f>
        <v>100</v>
      </c>
      <c r="AJ40" s="29">
        <f>IF(AB40=0,0,ROUND(MAX(0,100*AF40-10*AG40),1))</f>
        <v>100</v>
      </c>
      <c r="AK40" s="29">
        <f>ROUND(('01_Criterios'!$C$19*AH40+'01_Criterios'!$C$20*AI40+'01_Criterios'!$C$21*AJ40)/('01_Criterios'!$C$19+'01_Criterios'!$C$20+'01_Criterios'!$C$21)+N40*'01_Criterios'!$C$22,1)</f>
        <v>106</v>
      </c>
      <c r="AL40" s="25">
        <f>IF(AND(AB40&gt;=3,AC40&gt;='01_Criterios'!$C$11,N(AE40)&gt;='01_Criterios'!$C$12,OR(F40="+",F40="-"),ISNUMBER(G40),ISNUMBER(H40)),1,0)</f>
        <v>1</v>
      </c>
      <c r="AM40" s="30" t="str">
        <f>IF(AL40=1,"",TRIM(IF(AB40=0,"sem dados no período; ",IF(AB40&lt;3,"série demasiado curta; ",""))&amp;IF(AND(AB40&gt;0,AC40&lt;'01_Criterios'!$C$11),"cobertura insuficiente; ","")&amp;IF(AND(AB40&gt;0,N(AE40)&lt;'01_Criterios'!$C$12),"desactualizado; ","")&amp;IF(AND(F40&lt;&gt;"+",F40&lt;&gt;"-"),"sentido ambíguo; ","")&amp;IF(OR(NOT(ISNUMBER(G40)),NOT(ISNUMBER(H40))),"sem limites min/max; ","")))</f>
        <v/>
      </c>
      <c r="AN40" s="25">
        <f>IF(OR(AL40=0,$AP40="Excluir"),0,IF(SUMPRODUCT(($O$5:$O$335=$O40)*($AL$5:$AL$335=1)*($AP$5:$AP$335&lt;&gt;"Excluir")*(($AK$5:$AK$335&gt;$AK40)+(($AK$5:$AK$335=$AK40)*(ROW($O$5:$O$335)&lt;ROW()))))=0,1,0))</f>
        <v>1</v>
      </c>
      <c r="AO40" s="25">
        <f>IF(AN40=0,"",1+SUMPRODUCT(($B$5:$B$335=$B40)*($AN$5:$AN$335=1)*(($AK$5:$AK$335&gt;$AK40)+(($AK$5:$AK$335=$AK40)*(ROW($B$5:$B$335)&lt;ROW())))))</f>
        <v>7</v>
      </c>
      <c r="AP40" s="22" t="s">
        <v>131</v>
      </c>
      <c r="AQ40" s="25">
        <f>IF(INDEX('01_Criterios'!$C$26:$C$36,MATCH($B40,'01_Criterios'!$B$26:$B$36,0))&lt;&gt;1,0,IF($AP40="Excluir",0,IF($AP40="Incluir",IF(AND(OR($F40="+",$F40="-"),ISNUMBER($G40),ISNUMBER($H40),COUNT($Q40:$AA40)&gt;0),1,0),IF('01_Criterios'!$C$18="Automática",IF(AND($AN40=1,$AO40&lt;&gt;"",$AO40&lt;=INDEX('01_Criterios'!$E$26:$E$36,MATCH($B40,'01_Criterios'!$B$26:$B$36,0))),1,0),0))))</f>
        <v>1</v>
      </c>
      <c r="AR40" s="25">
        <f>IF(AQ40=0,"",IF($AO40&lt;&gt;"",1+SUMPRODUCT(($B$5:$B$335=$B40)*($AQ$5:$AQ$335=1)*($AO$5:$AO$335&lt;$AO40)),1+SUMPRODUCT(($B$5:$B$335=$B40)*($AQ$5:$AQ$335=1)*ISNUMBER($AO$5:$AO$335))+SUMPRODUCT(($B$5:$B$335=$B40)*($AQ$5:$AQ$335=1)*($AO$5:$AO$335="")*(ROW($AO$5:$AO$335)&lt;ROW()))))</f>
        <v>7</v>
      </c>
      <c r="AS40" s="24" t="s">
        <v>312</v>
      </c>
    </row>
    <row r="41" spans="1:45">
      <c r="A41" s="20" t="s">
        <v>313</v>
      </c>
      <c r="B41" s="21" t="s">
        <v>77</v>
      </c>
      <c r="C41" s="21" t="s">
        <v>314</v>
      </c>
      <c r="D41" s="21" t="s">
        <v>315</v>
      </c>
      <c r="E41" s="20" t="s">
        <v>157</v>
      </c>
      <c r="F41" s="20" t="s">
        <v>316</v>
      </c>
      <c r="G41" s="20">
        <v>0</v>
      </c>
      <c r="H41" s="20">
        <v>40</v>
      </c>
      <c r="I41" s="20">
        <v>10</v>
      </c>
      <c r="J41" s="22">
        <v>1</v>
      </c>
      <c r="K41" s="21" t="s">
        <v>317</v>
      </c>
      <c r="L41" s="20" t="s">
        <v>318</v>
      </c>
      <c r="M41" s="21" t="s">
        <v>317</v>
      </c>
      <c r="N41" s="20">
        <v>1</v>
      </c>
      <c r="O41" s="21" t="s">
        <v>313</v>
      </c>
      <c r="P41" s="20" t="s">
        <v>152</v>
      </c>
      <c r="Q41" s="6">
        <v>11</v>
      </c>
      <c r="R41" s="6">
        <v>16</v>
      </c>
      <c r="S41" s="6">
        <v>18</v>
      </c>
      <c r="T41" s="6">
        <v>16.5</v>
      </c>
      <c r="U41" s="6"/>
      <c r="V41" s="6">
        <v>15.5</v>
      </c>
      <c r="W41" s="6">
        <v>20</v>
      </c>
      <c r="X41" s="6">
        <v>19.5</v>
      </c>
      <c r="Y41" s="6">
        <v>18</v>
      </c>
      <c r="Z41" s="6">
        <v>19.5</v>
      </c>
      <c r="AA41" s="6">
        <v>18.5</v>
      </c>
      <c r="AB41" s="20">
        <f>COUNT(Q41:AA41)</f>
        <v>10</v>
      </c>
      <c r="AC41" s="23">
        <f>AB41/11</f>
        <v>0.90909090909090906</v>
      </c>
      <c r="AD41" s="20">
        <f>IFERROR(INDEX($Q$4:$AA$4,MATCH(TRUE,INDEX(ISNUMBER(Q41:AA41),0),0)),"")</f>
        <v>2015</v>
      </c>
      <c r="AE41" s="20">
        <f>IFERROR(LOOKUP(2,1/ISNUMBER(Q41:AA41),$Q$4:$AA$4),"")</f>
        <v>2025</v>
      </c>
      <c r="AF41" s="23">
        <f>IF(AB41=0,"",AB41/(AE41-AD41+1))</f>
        <v>0.90909090909090906</v>
      </c>
      <c r="AG41" s="20">
        <f>IF(AB41=0,"",'01_Criterios'!$C$8-AE41)</f>
        <v>0</v>
      </c>
      <c r="AH41" s="7">
        <f>IF(P41="Em uso",100,IF(P41="Alta",85,IF(P41="Média",55,30)))</f>
        <v>85</v>
      </c>
      <c r="AI41" s="7">
        <f>ROUND(100*AC41,1)</f>
        <v>90.9</v>
      </c>
      <c r="AJ41" s="7">
        <f>IF(AB41=0,0,ROUND(MAX(0,100*AF41-10*AG41),1))</f>
        <v>90.9</v>
      </c>
      <c r="AK41" s="7">
        <f>ROUND(('01_Criterios'!$C$19*AH41+'01_Criterios'!$C$20*AI41+'01_Criterios'!$C$21*AJ41)/('01_Criterios'!$C$19+'01_Criterios'!$C$20+'01_Criterios'!$C$21)+N41*'01_Criterios'!$C$22,1)</f>
        <v>100.5</v>
      </c>
      <c r="AL41" s="20">
        <f>IF(AND(AB41&gt;=3,AC41&gt;='01_Criterios'!$C$11,N(AE41)&gt;='01_Criterios'!$C$12,OR(F41="+",F41="-"),ISNUMBER(G41),ISNUMBER(H41)),1,0)</f>
        <v>0</v>
      </c>
      <c r="AM41" s="24" t="str">
        <f>IF(AL41=1,"",TRIM(IF(AB41=0,"sem dados no período; ",IF(AB41&lt;3,"série demasiado curta; ",""))&amp;IF(AND(AB41&gt;0,AC41&lt;'01_Criterios'!$C$11),"cobertura insuficiente; ","")&amp;IF(AND(AB41&gt;0,N(AE41)&lt;'01_Criterios'!$C$12),"desactualizado; ","")&amp;IF(AND(F41&lt;&gt;"+",F41&lt;&gt;"-"),"sentido ambíguo; ","")&amp;IF(OR(NOT(ISNUMBER(G41)),NOT(ISNUMBER(H41))),"sem limites min/max; ","")))</f>
        <v>sentido ambíguo;</v>
      </c>
      <c r="AN41" s="20">
        <f>IF(OR(AL41=0,$AP41="Excluir"),0,IF(SUMPRODUCT(($O$5:$O$335=$O41)*($AL$5:$AL$335=1)*($AP$5:$AP$335&lt;&gt;"Excluir")*(($AK$5:$AK$335&gt;$AK41)+(($AK$5:$AK$335=$AK41)*(ROW($O$5:$O$335)&lt;ROW()))))=0,1,0))</f>
        <v>0</v>
      </c>
      <c r="AO41" s="20" t="str">
        <f>IF(AN41=0,"",1+SUMPRODUCT(($B$5:$B$335=$B41)*($AN$5:$AN$335=1)*(($AK$5:$AK$335&gt;$AK41)+(($AK$5:$AK$335=$AK41)*(ROW($B$5:$B$335)&lt;ROW())))))</f>
        <v/>
      </c>
      <c r="AP41" s="22" t="s">
        <v>131</v>
      </c>
      <c r="AQ41" s="20">
        <f>IF(INDEX('01_Criterios'!$C$26:$C$36,MATCH($B41,'01_Criterios'!$B$26:$B$36,0))&lt;&gt;1,0,IF($AP41="Excluir",0,IF($AP41="Incluir",IF(AND(OR($F41="+",$F41="-"),ISNUMBER($G41),ISNUMBER($H41),COUNT($Q41:$AA41)&gt;0),1,0),IF('01_Criterios'!$C$18="Automática",IF(AND($AN41=1,$AO41&lt;&gt;"",$AO41&lt;=INDEX('01_Criterios'!$E$26:$E$36,MATCH($B41,'01_Criterios'!$B$26:$B$36,0))),1,0),0))))</f>
        <v>0</v>
      </c>
      <c r="AR41" s="20" t="str">
        <f>IF(AQ41=0,"",IF($AO41&lt;&gt;"",1+SUMPRODUCT(($B$5:$B$335=$B41)*($AQ$5:$AQ$335=1)*($AO$5:$AO$335&lt;$AO41)),1+SUMPRODUCT(($B$5:$B$335=$B41)*($AQ$5:$AQ$335=1)*ISNUMBER($AO$5:$AO$335))+SUMPRODUCT(($B$5:$B$335=$B41)*($AQ$5:$AQ$335=1)*($AO$5:$AO$335="")*(ROW($AO$5:$AO$335)&lt;ROW()))))</f>
        <v/>
      </c>
      <c r="AS41" s="24" t="s">
        <v>319</v>
      </c>
    </row>
    <row r="42" spans="1:45">
      <c r="A42" s="25" t="s">
        <v>320</v>
      </c>
      <c r="B42" s="26" t="s">
        <v>77</v>
      </c>
      <c r="C42" s="26" t="s">
        <v>321</v>
      </c>
      <c r="D42" s="26" t="s">
        <v>322</v>
      </c>
      <c r="E42" s="25" t="s">
        <v>157</v>
      </c>
      <c r="F42" s="25" t="s">
        <v>158</v>
      </c>
      <c r="G42" s="25">
        <v>0</v>
      </c>
      <c r="H42" s="25">
        <v>50</v>
      </c>
      <c r="I42" s="25">
        <v>10</v>
      </c>
      <c r="J42" s="22">
        <v>1</v>
      </c>
      <c r="K42" s="26" t="s">
        <v>323</v>
      </c>
      <c r="L42" s="25" t="s">
        <v>324</v>
      </c>
      <c r="M42" s="26" t="s">
        <v>323</v>
      </c>
      <c r="N42" s="25">
        <v>1</v>
      </c>
      <c r="O42" s="26" t="s">
        <v>287</v>
      </c>
      <c r="P42" s="25" t="s">
        <v>152</v>
      </c>
      <c r="Q42" s="27"/>
      <c r="R42" s="27">
        <v>41.12</v>
      </c>
      <c r="S42" s="27">
        <v>23.67</v>
      </c>
      <c r="T42" s="27">
        <v>18.600000000000001</v>
      </c>
      <c r="U42" s="27">
        <v>16.899999999999999</v>
      </c>
      <c r="V42" s="27">
        <v>25.1</v>
      </c>
      <c r="W42" s="27">
        <v>27.03</v>
      </c>
      <c r="X42" s="27">
        <v>13.86</v>
      </c>
      <c r="Y42" s="27">
        <v>20.010000000000002</v>
      </c>
      <c r="Z42" s="27">
        <v>27.5</v>
      </c>
      <c r="AA42" s="27">
        <v>15.7</v>
      </c>
      <c r="AB42" s="25">
        <f>COUNT(Q42:AA42)</f>
        <v>10</v>
      </c>
      <c r="AC42" s="28">
        <f>AB42/11</f>
        <v>0.90909090909090906</v>
      </c>
      <c r="AD42" s="25">
        <f>IFERROR(INDEX($Q$4:$AA$4,MATCH(TRUE,INDEX(ISNUMBER(Q42:AA42),0),0)),"")</f>
        <v>2016</v>
      </c>
      <c r="AE42" s="25">
        <f>IFERROR(LOOKUP(2,1/ISNUMBER(Q42:AA42),$Q$4:$AA$4),"")</f>
        <v>2025</v>
      </c>
      <c r="AF42" s="28">
        <f>IF(AB42=0,"",AB42/(AE42-AD42+1))</f>
        <v>1</v>
      </c>
      <c r="AG42" s="25">
        <f>IF(AB42=0,"",'01_Criterios'!$C$8-AE42)</f>
        <v>0</v>
      </c>
      <c r="AH42" s="29">
        <f>IF(P42="Em uso",100,IF(P42="Alta",85,IF(P42="Média",55,30)))</f>
        <v>85</v>
      </c>
      <c r="AI42" s="29">
        <f>ROUND(100*AC42,1)</f>
        <v>90.9</v>
      </c>
      <c r="AJ42" s="29">
        <f>IF(AB42=0,0,ROUND(MAX(0,100*AF42-10*AG42),1))</f>
        <v>100</v>
      </c>
      <c r="AK42" s="29">
        <f>ROUND(('01_Criterios'!$C$19*AH42+'01_Criterios'!$C$20*AI42+'01_Criterios'!$C$21*AJ42)/('01_Criterios'!$C$19+'01_Criterios'!$C$20+'01_Criterios'!$C$21)+N42*'01_Criterios'!$C$22,1)</f>
        <v>102.8</v>
      </c>
      <c r="AL42" s="25">
        <f>IF(AND(AB42&gt;=3,AC42&gt;='01_Criterios'!$C$11,N(AE42)&gt;='01_Criterios'!$C$12,OR(F42="+",F42="-"),ISNUMBER(G42),ISNUMBER(H42)),1,0)</f>
        <v>1</v>
      </c>
      <c r="AM42" s="30" t="str">
        <f>IF(AL42=1,"",TRIM(IF(AB42=0,"sem dados no período; ",IF(AB42&lt;3,"série demasiado curta; ",""))&amp;IF(AND(AB42&gt;0,AC42&lt;'01_Criterios'!$C$11),"cobertura insuficiente; ","")&amp;IF(AND(AB42&gt;0,N(AE42)&lt;'01_Criterios'!$C$12),"desactualizado; ","")&amp;IF(AND(F42&lt;&gt;"+",F42&lt;&gt;"-"),"sentido ambíguo; ","")&amp;IF(OR(NOT(ISNUMBER(G42)),NOT(ISNUMBER(H42))),"sem limites min/max; ","")))</f>
        <v/>
      </c>
      <c r="AN42" s="25">
        <f>IF(OR(AL42=0,$AP42="Excluir"),0,IF(SUMPRODUCT(($O$5:$O$335=$O42)*($AL$5:$AL$335=1)*($AP$5:$AP$335&lt;&gt;"Excluir")*(($AK$5:$AK$335&gt;$AK42)+(($AK$5:$AK$335=$AK42)*(ROW($O$5:$O$335)&lt;ROW()))))=0,1,0))</f>
        <v>0</v>
      </c>
      <c r="AO42" s="25" t="str">
        <f>IF(AN42=0,"",1+SUMPRODUCT(($B$5:$B$335=$B42)*($AN$5:$AN$335=1)*(($AK$5:$AK$335&gt;$AK42)+(($AK$5:$AK$335=$AK42)*(ROW($B$5:$B$335)&lt;ROW())))))</f>
        <v/>
      </c>
      <c r="AP42" s="22" t="s">
        <v>131</v>
      </c>
      <c r="AQ42" s="25">
        <f>IF(INDEX('01_Criterios'!$C$26:$C$36,MATCH($B42,'01_Criterios'!$B$26:$B$36,0))&lt;&gt;1,0,IF($AP42="Excluir",0,IF($AP42="Incluir",IF(AND(OR($F42="+",$F42="-"),ISNUMBER($G42),ISNUMBER($H42),COUNT($Q42:$AA42)&gt;0),1,0),IF('01_Criterios'!$C$18="Automática",IF(AND($AN42=1,$AO42&lt;&gt;"",$AO42&lt;=INDEX('01_Criterios'!$E$26:$E$36,MATCH($B42,'01_Criterios'!$B$26:$B$36,0))),1,0),0))))</f>
        <v>0</v>
      </c>
      <c r="AR42" s="25" t="str">
        <f>IF(AQ42=0,"",IF($AO42&lt;&gt;"",1+SUMPRODUCT(($B$5:$B$335=$B42)*($AQ$5:$AQ$335=1)*($AO$5:$AO$335&lt;$AO42)),1+SUMPRODUCT(($B$5:$B$335=$B42)*($AQ$5:$AQ$335=1)*ISNUMBER($AO$5:$AO$335))+SUMPRODUCT(($B$5:$B$335=$B42)*($AQ$5:$AQ$335=1)*($AO$5:$AO$335="")*(ROW($AO$5:$AO$335)&lt;ROW()))))</f>
        <v/>
      </c>
      <c r="AS42" s="24" t="s">
        <v>325</v>
      </c>
    </row>
    <row r="43" spans="1:45">
      <c r="A43" s="20" t="s">
        <v>326</v>
      </c>
      <c r="B43" s="21" t="s">
        <v>77</v>
      </c>
      <c r="C43" s="21" t="s">
        <v>327</v>
      </c>
      <c r="D43" s="21" t="s">
        <v>328</v>
      </c>
      <c r="E43" s="20" t="s">
        <v>157</v>
      </c>
      <c r="F43" s="20" t="s">
        <v>126</v>
      </c>
      <c r="G43" s="20">
        <v>-10</v>
      </c>
      <c r="H43" s="20">
        <v>15</v>
      </c>
      <c r="I43" s="20">
        <v>5</v>
      </c>
      <c r="J43" s="22">
        <v>1</v>
      </c>
      <c r="K43" s="21" t="s">
        <v>329</v>
      </c>
      <c r="L43" s="20" t="s">
        <v>330</v>
      </c>
      <c r="M43" s="21" t="s">
        <v>329</v>
      </c>
      <c r="N43" s="20">
        <v>1</v>
      </c>
      <c r="O43" s="21" t="s">
        <v>275</v>
      </c>
      <c r="P43" s="20" t="s">
        <v>152</v>
      </c>
      <c r="Q43" s="6">
        <v>0.76319999999999999</v>
      </c>
      <c r="R43" s="6">
        <v>-0.2331</v>
      </c>
      <c r="S43" s="6">
        <v>-0.16470000000000001</v>
      </c>
      <c r="T43" s="6">
        <v>-0.50670000000000004</v>
      </c>
      <c r="U43" s="6">
        <v>-1.0551999999999999</v>
      </c>
      <c r="V43" s="6">
        <v>-5.2735000000000003</v>
      </c>
      <c r="W43" s="6">
        <v>1.0906</v>
      </c>
      <c r="X43" s="6">
        <v>3.5575000000000001</v>
      </c>
      <c r="Y43" s="6">
        <v>1.3202</v>
      </c>
      <c r="Z43" s="6">
        <v>4.9527000000000001</v>
      </c>
      <c r="AA43" s="6">
        <v>3.1299000000000001</v>
      </c>
      <c r="AB43" s="20">
        <f>COUNT(Q43:AA43)</f>
        <v>11</v>
      </c>
      <c r="AC43" s="23">
        <f>AB43/11</f>
        <v>1</v>
      </c>
      <c r="AD43" s="20">
        <f>IFERROR(INDEX($Q$4:$AA$4,MATCH(TRUE,INDEX(ISNUMBER(Q43:AA43),0),0)),"")</f>
        <v>2015</v>
      </c>
      <c r="AE43" s="20">
        <f>IFERROR(LOOKUP(2,1/ISNUMBER(Q43:AA43),$Q$4:$AA$4),"")</f>
        <v>2025</v>
      </c>
      <c r="AF43" s="23">
        <f>IF(AB43=0,"",AB43/(AE43-AD43+1))</f>
        <v>1</v>
      </c>
      <c r="AG43" s="20">
        <f>IF(AB43=0,"",'01_Criterios'!$C$8-AE43)</f>
        <v>0</v>
      </c>
      <c r="AH43" s="7">
        <f>IF(P43="Em uso",100,IF(P43="Alta",85,IF(P43="Média",55,30)))</f>
        <v>85</v>
      </c>
      <c r="AI43" s="7">
        <f>ROUND(100*AC43,1)</f>
        <v>100</v>
      </c>
      <c r="AJ43" s="7">
        <f>IF(AB43=0,0,ROUND(MAX(0,100*AF43-10*AG43),1))</f>
        <v>100</v>
      </c>
      <c r="AK43" s="7">
        <f>ROUND(('01_Criterios'!$C$19*AH43+'01_Criterios'!$C$20*AI43+'01_Criterios'!$C$21*AJ43)/('01_Criterios'!$C$19+'01_Criterios'!$C$20+'01_Criterios'!$C$21)+N43*'01_Criterios'!$C$22,1)</f>
        <v>106</v>
      </c>
      <c r="AL43" s="20">
        <f>IF(AND(AB43&gt;=3,AC43&gt;='01_Criterios'!$C$11,N(AE43)&gt;='01_Criterios'!$C$12,OR(F43="+",F43="-"),ISNUMBER(G43),ISNUMBER(H43)),1,0)</f>
        <v>1</v>
      </c>
      <c r="AM43" s="24" t="str">
        <f>IF(AL43=1,"",TRIM(IF(AB43=0,"sem dados no período; ",IF(AB43&lt;3,"série demasiado curta; ",""))&amp;IF(AND(AB43&gt;0,AC43&lt;'01_Criterios'!$C$11),"cobertura insuficiente; ","")&amp;IF(AND(AB43&gt;0,N(AE43)&lt;'01_Criterios'!$C$12),"desactualizado; ","")&amp;IF(AND(F43&lt;&gt;"+",F43&lt;&gt;"-"),"sentido ambíguo; ","")&amp;IF(OR(NOT(ISNUMBER(G43)),NOT(ISNUMBER(H43))),"sem limites min/max; ","")))</f>
        <v/>
      </c>
      <c r="AN43" s="20">
        <f>IF(OR(AL43=0,$AP43="Excluir"),0,IF(SUMPRODUCT(($O$5:$O$335=$O43)*($AL$5:$AL$335=1)*($AP$5:$AP$335&lt;&gt;"Excluir")*(($AK$5:$AK$335&gt;$AK43)+(($AK$5:$AK$335=$AK43)*(ROW($O$5:$O$335)&lt;ROW()))))=0,1,0))</f>
        <v>0</v>
      </c>
      <c r="AO43" s="20" t="str">
        <f>IF(AN43=0,"",1+SUMPRODUCT(($B$5:$B$335=$B43)*($AN$5:$AN$335=1)*(($AK$5:$AK$335&gt;$AK43)+(($AK$5:$AK$335=$AK43)*(ROW($B$5:$B$335)&lt;ROW())))))</f>
        <v/>
      </c>
      <c r="AP43" s="22" t="s">
        <v>131</v>
      </c>
      <c r="AQ43" s="20">
        <f>IF(INDEX('01_Criterios'!$C$26:$C$36,MATCH($B43,'01_Criterios'!$B$26:$B$36,0))&lt;&gt;1,0,IF($AP43="Excluir",0,IF($AP43="Incluir",IF(AND(OR($F43="+",$F43="-"),ISNUMBER($G43),ISNUMBER($H43),COUNT($Q43:$AA43)&gt;0),1,0),IF('01_Criterios'!$C$18="Automática",IF(AND($AN43=1,$AO43&lt;&gt;"",$AO43&lt;=INDEX('01_Criterios'!$E$26:$E$36,MATCH($B43,'01_Criterios'!$B$26:$B$36,0))),1,0),0))))</f>
        <v>0</v>
      </c>
      <c r="AR43" s="20" t="str">
        <f>IF(AQ43=0,"",IF($AO43&lt;&gt;"",1+SUMPRODUCT(($B$5:$B$335=$B43)*($AQ$5:$AQ$335=1)*($AO$5:$AO$335&lt;$AO43)),1+SUMPRODUCT(($B$5:$B$335=$B43)*($AQ$5:$AQ$335=1)*ISNUMBER($AO$5:$AO$335))+SUMPRODUCT(($B$5:$B$335=$B43)*($AQ$5:$AQ$335=1)*($AO$5:$AO$335="")*(ROW($AO$5:$AO$335)&lt;ROW()))))</f>
        <v/>
      </c>
      <c r="AS43" s="24" t="s">
        <v>331</v>
      </c>
    </row>
    <row r="44" spans="1:45">
      <c r="A44" s="25" t="s">
        <v>332</v>
      </c>
      <c r="B44" s="26" t="s">
        <v>77</v>
      </c>
      <c r="C44" s="26" t="s">
        <v>220</v>
      </c>
      <c r="D44" s="26" t="s">
        <v>333</v>
      </c>
      <c r="E44" s="25" t="s">
        <v>334</v>
      </c>
      <c r="F44" s="25" t="s">
        <v>158</v>
      </c>
      <c r="G44" s="25">
        <v>0</v>
      </c>
      <c r="H44" s="25">
        <v>150</v>
      </c>
      <c r="I44" s="25">
        <v>60</v>
      </c>
      <c r="J44" s="22">
        <v>1</v>
      </c>
      <c r="K44" s="26" t="s">
        <v>335</v>
      </c>
      <c r="L44" s="25" t="s">
        <v>336</v>
      </c>
      <c r="M44" s="26" t="s">
        <v>335</v>
      </c>
      <c r="N44" s="25">
        <v>1</v>
      </c>
      <c r="O44" s="26" t="s">
        <v>337</v>
      </c>
      <c r="P44" s="25" t="s">
        <v>152</v>
      </c>
      <c r="Q44" s="27">
        <v>27.561599999999999</v>
      </c>
      <c r="R44" s="27">
        <v>38.1173</v>
      </c>
      <c r="S44" s="27">
        <v>30.576000000000001</v>
      </c>
      <c r="T44" s="27">
        <v>40.677700000000002</v>
      </c>
      <c r="U44" s="27">
        <v>51.920099999999998</v>
      </c>
      <c r="V44" s="27">
        <v>75.790999999999997</v>
      </c>
      <c r="W44" s="27">
        <v>61.030200000000001</v>
      </c>
      <c r="X44" s="27">
        <v>37.346200000000003</v>
      </c>
      <c r="Y44" s="27">
        <v>43.981699999999996</v>
      </c>
      <c r="Z44" s="27">
        <v>39.108800000000002</v>
      </c>
      <c r="AA44" s="27">
        <v>38.2821</v>
      </c>
      <c r="AB44" s="25">
        <f>COUNT(Q44:AA44)</f>
        <v>11</v>
      </c>
      <c r="AC44" s="28">
        <f>AB44/11</f>
        <v>1</v>
      </c>
      <c r="AD44" s="25">
        <f>IFERROR(INDEX($Q$4:$AA$4,MATCH(TRUE,INDEX(ISNUMBER(Q44:AA44),0),0)),"")</f>
        <v>2015</v>
      </c>
      <c r="AE44" s="25">
        <f>IFERROR(LOOKUP(2,1/ISNUMBER(Q44:AA44),$Q$4:$AA$4),"")</f>
        <v>2025</v>
      </c>
      <c r="AF44" s="28">
        <f>IF(AB44=0,"",AB44/(AE44-AD44+1))</f>
        <v>1</v>
      </c>
      <c r="AG44" s="25">
        <f>IF(AB44=0,"",'01_Criterios'!$C$8-AE44)</f>
        <v>0</v>
      </c>
      <c r="AH44" s="29">
        <f>IF(P44="Em uso",100,IF(P44="Alta",85,IF(P44="Média",55,30)))</f>
        <v>85</v>
      </c>
      <c r="AI44" s="29">
        <f>ROUND(100*AC44,1)</f>
        <v>100</v>
      </c>
      <c r="AJ44" s="29">
        <f>IF(AB44=0,0,ROUND(MAX(0,100*AF44-10*AG44),1))</f>
        <v>100</v>
      </c>
      <c r="AK44" s="29">
        <f>ROUND(('01_Criterios'!$C$19*AH44+'01_Criterios'!$C$20*AI44+'01_Criterios'!$C$21*AJ44)/('01_Criterios'!$C$19+'01_Criterios'!$C$20+'01_Criterios'!$C$21)+N44*'01_Criterios'!$C$22,1)</f>
        <v>106</v>
      </c>
      <c r="AL44" s="25">
        <f>IF(AND(AB44&gt;=3,AC44&gt;='01_Criterios'!$C$11,N(AE44)&gt;='01_Criterios'!$C$12,OR(F44="+",F44="-"),ISNUMBER(G44),ISNUMBER(H44)),1,0)</f>
        <v>1</v>
      </c>
      <c r="AM44" s="30" t="str">
        <f>IF(AL44=1,"",TRIM(IF(AB44=0,"sem dados no período; ",IF(AB44&lt;3,"série demasiado curta; ",""))&amp;IF(AND(AB44&gt;0,AC44&lt;'01_Criterios'!$C$11),"cobertura insuficiente; ","")&amp;IF(AND(AB44&gt;0,N(AE44)&lt;'01_Criterios'!$C$12),"desactualizado; ","")&amp;IF(AND(F44&lt;&gt;"+",F44&lt;&gt;"-"),"sentido ambíguo; ","")&amp;IF(OR(NOT(ISNUMBER(G44)),NOT(ISNUMBER(H44))),"sem limites min/max; ","")))</f>
        <v/>
      </c>
      <c r="AN44" s="25">
        <f>IF(OR(AL44=0,$AP44="Excluir"),0,IF(SUMPRODUCT(($O$5:$O$335=$O44)*($AL$5:$AL$335=1)*($AP$5:$AP$335&lt;&gt;"Excluir")*(($AK$5:$AK$335&gt;$AK44)+(($AK$5:$AK$335=$AK44)*(ROW($O$5:$O$335)&lt;ROW()))))=0,1,0))</f>
        <v>1</v>
      </c>
      <c r="AO44" s="25">
        <f>IF(AN44=0,"",1+SUMPRODUCT(($B$5:$B$335=$B44)*($AN$5:$AN$335=1)*(($AK$5:$AK$335&gt;$AK44)+(($AK$5:$AK$335=$AK44)*(ROW($B$5:$B$335)&lt;ROW())))))</f>
        <v>8</v>
      </c>
      <c r="AP44" s="22" t="s">
        <v>131</v>
      </c>
      <c r="AQ44" s="25">
        <f>IF(INDEX('01_Criterios'!$C$26:$C$36,MATCH($B44,'01_Criterios'!$B$26:$B$36,0))&lt;&gt;1,0,IF($AP44="Excluir",0,IF($AP44="Incluir",IF(AND(OR($F44="+",$F44="-"),ISNUMBER($G44),ISNUMBER($H44),COUNT($Q44:$AA44)&gt;0),1,0),IF('01_Criterios'!$C$18="Automática",IF(AND($AN44=1,$AO44&lt;&gt;"",$AO44&lt;=INDEX('01_Criterios'!$E$26:$E$36,MATCH($B44,'01_Criterios'!$B$26:$B$36,0))),1,0),0))))</f>
        <v>0</v>
      </c>
      <c r="AR44" s="25" t="str">
        <f>IF(AQ44=0,"",IF($AO44&lt;&gt;"",1+SUMPRODUCT(($B$5:$B$335=$B44)*($AQ$5:$AQ$335=1)*($AO$5:$AO$335&lt;$AO44)),1+SUMPRODUCT(($B$5:$B$335=$B44)*($AQ$5:$AQ$335=1)*ISNUMBER($AO$5:$AO$335))+SUMPRODUCT(($B$5:$B$335=$B44)*($AQ$5:$AQ$335=1)*($AO$5:$AO$335="")*(ROW($AO$5:$AO$335)&lt;ROW()))))</f>
        <v/>
      </c>
      <c r="AS44" s="24" t="s">
        <v>338</v>
      </c>
    </row>
    <row r="45" spans="1:45">
      <c r="A45" s="20" t="s">
        <v>339</v>
      </c>
      <c r="B45" s="21" t="s">
        <v>77</v>
      </c>
      <c r="C45" s="21" t="s">
        <v>340</v>
      </c>
      <c r="D45" s="21" t="s">
        <v>341</v>
      </c>
      <c r="E45" s="20" t="s">
        <v>334</v>
      </c>
      <c r="F45" s="20" t="s">
        <v>126</v>
      </c>
      <c r="G45" s="20">
        <v>0</v>
      </c>
      <c r="H45" s="20">
        <v>60</v>
      </c>
      <c r="I45" s="20">
        <v>25</v>
      </c>
      <c r="J45" s="22">
        <v>1</v>
      </c>
      <c r="K45" s="21" t="s">
        <v>329</v>
      </c>
      <c r="L45" s="20" t="s">
        <v>342</v>
      </c>
      <c r="M45" s="21" t="s">
        <v>329</v>
      </c>
      <c r="N45" s="20">
        <v>1</v>
      </c>
      <c r="O45" s="21" t="s">
        <v>343</v>
      </c>
      <c r="P45" s="20" t="s">
        <v>152</v>
      </c>
      <c r="Q45" s="6">
        <v>29.072099999999999</v>
      </c>
      <c r="R45" s="6">
        <v>29.634799999999998</v>
      </c>
      <c r="S45" s="6">
        <v>28.7057</v>
      </c>
      <c r="T45" s="6">
        <v>23.894100000000002</v>
      </c>
      <c r="U45" s="6">
        <v>24.4514</v>
      </c>
      <c r="V45" s="6">
        <v>19.665700000000001</v>
      </c>
      <c r="W45" s="6">
        <v>16.2194</v>
      </c>
      <c r="X45" s="6">
        <v>14.465400000000001</v>
      </c>
      <c r="Y45" s="6">
        <v>12.421200000000001</v>
      </c>
      <c r="Z45" s="6">
        <v>10.6228</v>
      </c>
      <c r="AA45" s="6"/>
      <c r="AB45" s="20">
        <f>COUNT(Q45:AA45)</f>
        <v>10</v>
      </c>
      <c r="AC45" s="23">
        <f>AB45/11</f>
        <v>0.90909090909090906</v>
      </c>
      <c r="AD45" s="20">
        <f>IFERROR(INDEX($Q$4:$AA$4,MATCH(TRUE,INDEX(ISNUMBER(Q45:AA45),0),0)),"")</f>
        <v>2015</v>
      </c>
      <c r="AE45" s="20">
        <f>IFERROR(LOOKUP(2,1/ISNUMBER(Q45:AA45),$Q$4:$AA$4),"")</f>
        <v>2024</v>
      </c>
      <c r="AF45" s="23">
        <f>IF(AB45=0,"",AB45/(AE45-AD45+1))</f>
        <v>1</v>
      </c>
      <c r="AG45" s="20">
        <f>IF(AB45=0,"",'01_Criterios'!$C$8-AE45)</f>
        <v>1</v>
      </c>
      <c r="AH45" s="7">
        <f>IF(P45="Em uso",100,IF(P45="Alta",85,IF(P45="Média",55,30)))</f>
        <v>85</v>
      </c>
      <c r="AI45" s="7">
        <f>ROUND(100*AC45,1)</f>
        <v>90.9</v>
      </c>
      <c r="AJ45" s="7">
        <f>IF(AB45=0,0,ROUND(MAX(0,100*AF45-10*AG45),1))</f>
        <v>90</v>
      </c>
      <c r="AK45" s="7">
        <f>ROUND(('01_Criterios'!$C$19*AH45+'01_Criterios'!$C$20*AI45+'01_Criterios'!$C$21*AJ45)/('01_Criterios'!$C$19+'01_Criterios'!$C$20+'01_Criterios'!$C$21)+N45*'01_Criterios'!$C$22,1)</f>
        <v>100.3</v>
      </c>
      <c r="AL45" s="20">
        <f>IF(AND(AB45&gt;=3,AC45&gt;='01_Criterios'!$C$11,N(AE45)&gt;='01_Criterios'!$C$12,OR(F45="+",F45="-"),ISNUMBER(G45),ISNUMBER(H45)),1,0)</f>
        <v>1</v>
      </c>
      <c r="AM45" s="24" t="str">
        <f>IF(AL45=1,"",TRIM(IF(AB45=0,"sem dados no período; ",IF(AB45&lt;3,"série demasiado curta; ",""))&amp;IF(AND(AB45&gt;0,AC45&lt;'01_Criterios'!$C$11),"cobertura insuficiente; ","")&amp;IF(AND(AB45&gt;0,N(AE45)&lt;'01_Criterios'!$C$12),"desactualizado; ","")&amp;IF(AND(F45&lt;&gt;"+",F45&lt;&gt;"-"),"sentido ambíguo; ","")&amp;IF(OR(NOT(ISNUMBER(G45)),NOT(ISNUMBER(H45))),"sem limites min/max; ","")))</f>
        <v/>
      </c>
      <c r="AN45" s="20">
        <f>IF(OR(AL45=0,$AP45="Excluir"),0,IF(SUMPRODUCT(($O$5:$O$335=$O45)*($AL$5:$AL$335=1)*($AP$5:$AP$335&lt;&gt;"Excluir")*(($AK$5:$AK$335&gt;$AK45)+(($AK$5:$AK$335=$AK45)*(ROW($O$5:$O$335)&lt;ROW()))))=0,1,0))</f>
        <v>1</v>
      </c>
      <c r="AO45" s="20">
        <f>IF(AN45=0,"",1+SUMPRODUCT(($B$5:$B$335=$B45)*($AN$5:$AN$335=1)*(($AK$5:$AK$335&gt;$AK45)+(($AK$5:$AK$335=$AK45)*(ROW($B$5:$B$335)&lt;ROW())))))</f>
        <v>11</v>
      </c>
      <c r="AP45" s="22" t="s">
        <v>131</v>
      </c>
      <c r="AQ45" s="20">
        <f>IF(INDEX('01_Criterios'!$C$26:$C$36,MATCH($B45,'01_Criterios'!$B$26:$B$36,0))&lt;&gt;1,0,IF($AP45="Excluir",0,IF($AP45="Incluir",IF(AND(OR($F45="+",$F45="-"),ISNUMBER($G45),ISNUMBER($H45),COUNT($Q45:$AA45)&gt;0),1,0),IF('01_Criterios'!$C$18="Automática",IF(AND($AN45=1,$AO45&lt;&gt;"",$AO45&lt;=INDEX('01_Criterios'!$E$26:$E$36,MATCH($B45,'01_Criterios'!$B$26:$B$36,0))),1,0),0))))</f>
        <v>0</v>
      </c>
      <c r="AR45" s="20" t="str">
        <f>IF(AQ45=0,"",IF($AO45&lt;&gt;"",1+SUMPRODUCT(($B$5:$B$335=$B45)*($AQ$5:$AQ$335=1)*($AO$5:$AO$335&lt;$AO45)),1+SUMPRODUCT(($B$5:$B$335=$B45)*($AQ$5:$AQ$335=1)*ISNUMBER($AO$5:$AO$335))+SUMPRODUCT(($B$5:$B$335=$B45)*($AQ$5:$AQ$335=1)*($AO$5:$AO$335="")*(ROW($AO$5:$AO$335)&lt;ROW()))))</f>
        <v/>
      </c>
      <c r="AS45" s="24" t="s">
        <v>344</v>
      </c>
    </row>
    <row r="46" spans="1:45">
      <c r="A46" s="25" t="s">
        <v>345</v>
      </c>
      <c r="B46" s="26" t="s">
        <v>77</v>
      </c>
      <c r="C46" s="26" t="s">
        <v>346</v>
      </c>
      <c r="D46" s="26" t="s">
        <v>347</v>
      </c>
      <c r="E46" s="25" t="s">
        <v>334</v>
      </c>
      <c r="F46" s="25" t="s">
        <v>126</v>
      </c>
      <c r="G46" s="25">
        <v>-30</v>
      </c>
      <c r="H46" s="25">
        <v>30</v>
      </c>
      <c r="I46" s="25">
        <v>0</v>
      </c>
      <c r="J46" s="22">
        <v>1</v>
      </c>
      <c r="K46" s="26" t="s">
        <v>335</v>
      </c>
      <c r="L46" s="25" t="s">
        <v>348</v>
      </c>
      <c r="M46" s="26" t="s">
        <v>335</v>
      </c>
      <c r="N46" s="25">
        <v>1</v>
      </c>
      <c r="O46" s="26" t="s">
        <v>349</v>
      </c>
      <c r="P46" s="25" t="s">
        <v>152</v>
      </c>
      <c r="Q46" s="27">
        <v>-7.8045</v>
      </c>
      <c r="R46" s="27">
        <v>-2.6493000000000002</v>
      </c>
      <c r="S46" s="27">
        <v>-0.44600000000000001</v>
      </c>
      <c r="T46" s="27">
        <v>6.4093</v>
      </c>
      <c r="U46" s="27">
        <v>5.3926999999999996</v>
      </c>
      <c r="V46" s="27">
        <v>1.3187</v>
      </c>
      <c r="W46" s="27">
        <v>10.0001</v>
      </c>
      <c r="X46" s="27">
        <v>8.4374000000000002</v>
      </c>
      <c r="Y46" s="27">
        <v>3.7075999999999998</v>
      </c>
      <c r="Z46" s="27">
        <v>5.2769000000000004</v>
      </c>
      <c r="AA46" s="27">
        <v>0.37830000000000003</v>
      </c>
      <c r="AB46" s="25">
        <f>COUNT(Q46:AA46)</f>
        <v>11</v>
      </c>
      <c r="AC46" s="28">
        <f>AB46/11</f>
        <v>1</v>
      </c>
      <c r="AD46" s="25">
        <f>IFERROR(INDEX($Q$4:$AA$4,MATCH(TRUE,INDEX(ISNUMBER(Q46:AA46),0),0)),"")</f>
        <v>2015</v>
      </c>
      <c r="AE46" s="25">
        <f>IFERROR(LOOKUP(2,1/ISNUMBER(Q46:AA46),$Q$4:$AA$4),"")</f>
        <v>2025</v>
      </c>
      <c r="AF46" s="28">
        <f>IF(AB46=0,"",AB46/(AE46-AD46+1))</f>
        <v>1</v>
      </c>
      <c r="AG46" s="25">
        <f>IF(AB46=0,"",'01_Criterios'!$C$8-AE46)</f>
        <v>0</v>
      </c>
      <c r="AH46" s="29">
        <f>IF(P46="Em uso",100,IF(P46="Alta",85,IF(P46="Média",55,30)))</f>
        <v>85</v>
      </c>
      <c r="AI46" s="29">
        <f>ROUND(100*AC46,1)</f>
        <v>100</v>
      </c>
      <c r="AJ46" s="29">
        <f>IF(AB46=0,0,ROUND(MAX(0,100*AF46-10*AG46),1))</f>
        <v>100</v>
      </c>
      <c r="AK46" s="29">
        <f>ROUND(('01_Criterios'!$C$19*AH46+'01_Criterios'!$C$20*AI46+'01_Criterios'!$C$21*AJ46)/('01_Criterios'!$C$19+'01_Criterios'!$C$20+'01_Criterios'!$C$21)+N46*'01_Criterios'!$C$22,1)</f>
        <v>106</v>
      </c>
      <c r="AL46" s="25">
        <f>IF(AND(AB46&gt;=3,AC46&gt;='01_Criterios'!$C$11,N(AE46)&gt;='01_Criterios'!$C$12,OR(F46="+",F46="-"),ISNUMBER(G46),ISNUMBER(H46)),1,0)</f>
        <v>1</v>
      </c>
      <c r="AM46" s="30" t="str">
        <f>IF(AL46=1,"",TRIM(IF(AB46=0,"sem dados no período; ",IF(AB46&lt;3,"série demasiado curta; ",""))&amp;IF(AND(AB46&gt;0,AC46&lt;'01_Criterios'!$C$11),"cobertura insuficiente; ","")&amp;IF(AND(AB46&gt;0,N(AE46)&lt;'01_Criterios'!$C$12),"desactualizado; ","")&amp;IF(AND(F46&lt;&gt;"+",F46&lt;&gt;"-"),"sentido ambíguo; ","")&amp;IF(OR(NOT(ISNUMBER(G46)),NOT(ISNUMBER(H46))),"sem limites min/max; ","")))</f>
        <v/>
      </c>
      <c r="AN46" s="25">
        <f>IF(OR(AL46=0,$AP46="Excluir"),0,IF(SUMPRODUCT(($O$5:$O$335=$O46)*($AL$5:$AL$335=1)*($AP$5:$AP$335&lt;&gt;"Excluir")*(($AK$5:$AK$335&gt;$AK46)+(($AK$5:$AK$335=$AK46)*(ROW($O$5:$O$335)&lt;ROW()))))=0,1,0))</f>
        <v>1</v>
      </c>
      <c r="AO46" s="25">
        <f>IF(AN46=0,"",1+SUMPRODUCT(($B$5:$B$335=$B46)*($AN$5:$AN$335=1)*(($AK$5:$AK$335&gt;$AK46)+(($AK$5:$AK$335=$AK46)*(ROW($B$5:$B$335)&lt;ROW())))))</f>
        <v>9</v>
      </c>
      <c r="AP46" s="22" t="s">
        <v>131</v>
      </c>
      <c r="AQ46" s="25">
        <f>IF(INDEX('01_Criterios'!$C$26:$C$36,MATCH($B46,'01_Criterios'!$B$26:$B$36,0))&lt;&gt;1,0,IF($AP46="Excluir",0,IF($AP46="Incluir",IF(AND(OR($F46="+",$F46="-"),ISNUMBER($G46),ISNUMBER($H46),COUNT($Q46:$AA46)&gt;0),1,0),IF('01_Criterios'!$C$18="Automática",IF(AND($AN46=1,$AO46&lt;&gt;"",$AO46&lt;=INDEX('01_Criterios'!$E$26:$E$36,MATCH($B46,'01_Criterios'!$B$26:$B$36,0))),1,0),0))))</f>
        <v>0</v>
      </c>
      <c r="AR46" s="25" t="str">
        <f>IF(AQ46=0,"",IF($AO46&lt;&gt;"",1+SUMPRODUCT(($B$5:$B$335=$B46)*($AQ$5:$AQ$335=1)*($AO$5:$AO$335&lt;$AO46)),1+SUMPRODUCT(($B$5:$B$335=$B46)*($AQ$5:$AQ$335=1)*ISNUMBER($AO$5:$AO$335))+SUMPRODUCT(($B$5:$B$335=$B46)*($AQ$5:$AQ$335=1)*($AO$5:$AO$335="")*(ROW($AO$5:$AO$335)&lt;ROW()))))</f>
        <v/>
      </c>
      <c r="AS46" s="24" t="s">
        <v>350</v>
      </c>
    </row>
    <row r="47" spans="1:45">
      <c r="A47" s="20" t="s">
        <v>351</v>
      </c>
      <c r="B47" s="21" t="s">
        <v>77</v>
      </c>
      <c r="C47" s="21" t="s">
        <v>346</v>
      </c>
      <c r="D47" s="21" t="s">
        <v>352</v>
      </c>
      <c r="E47" s="20" t="s">
        <v>334</v>
      </c>
      <c r="F47" s="20" t="s">
        <v>126</v>
      </c>
      <c r="G47" s="20">
        <v>-10</v>
      </c>
      <c r="H47" s="20">
        <v>20</v>
      </c>
      <c r="I47" s="20">
        <v>5</v>
      </c>
      <c r="J47" s="22">
        <v>1</v>
      </c>
      <c r="K47" s="21" t="s">
        <v>335</v>
      </c>
      <c r="L47" s="20" t="s">
        <v>353</v>
      </c>
      <c r="M47" s="21" t="s">
        <v>335</v>
      </c>
      <c r="N47" s="20">
        <v>1</v>
      </c>
      <c r="O47" s="21" t="s">
        <v>354</v>
      </c>
      <c r="P47" s="20" t="s">
        <v>152</v>
      </c>
      <c r="Q47" s="6">
        <v>8.2149000000000001</v>
      </c>
      <c r="R47" s="6">
        <v>-0.38850000000000001</v>
      </c>
      <c r="S47" s="6">
        <v>-6.1654</v>
      </c>
      <c r="T47" s="6">
        <v>-5.5946999999999996</v>
      </c>
      <c r="U47" s="6">
        <v>-1.8360000000000001</v>
      </c>
      <c r="V47" s="6">
        <v>-2.9597000000000002</v>
      </c>
      <c r="W47" s="6">
        <v>-3.9262000000000001</v>
      </c>
      <c r="X47" s="6">
        <v>-4.7625999999999999</v>
      </c>
      <c r="Y47" s="6">
        <v>-1.9074</v>
      </c>
      <c r="Z47" s="6">
        <v>-0.95620000000000005</v>
      </c>
      <c r="AA47" s="6">
        <v>0.72199999999999998</v>
      </c>
      <c r="AB47" s="20">
        <f>COUNT(Q47:AA47)</f>
        <v>11</v>
      </c>
      <c r="AC47" s="23">
        <f>AB47/11</f>
        <v>1</v>
      </c>
      <c r="AD47" s="20">
        <f>IFERROR(INDEX($Q$4:$AA$4,MATCH(TRUE,INDEX(ISNUMBER(Q47:AA47),0),0)),"")</f>
        <v>2015</v>
      </c>
      <c r="AE47" s="20">
        <f>IFERROR(LOOKUP(2,1/ISNUMBER(Q47:AA47),$Q$4:$AA$4),"")</f>
        <v>2025</v>
      </c>
      <c r="AF47" s="23">
        <f>IF(AB47=0,"",AB47/(AE47-AD47+1))</f>
        <v>1</v>
      </c>
      <c r="AG47" s="20">
        <f>IF(AB47=0,"",'01_Criterios'!$C$8-AE47)</f>
        <v>0</v>
      </c>
      <c r="AH47" s="7">
        <f>IF(P47="Em uso",100,IF(P47="Alta",85,IF(P47="Média",55,30)))</f>
        <v>85</v>
      </c>
      <c r="AI47" s="7">
        <f>ROUND(100*AC47,1)</f>
        <v>100</v>
      </c>
      <c r="AJ47" s="7">
        <f>IF(AB47=0,0,ROUND(MAX(0,100*AF47-10*AG47),1))</f>
        <v>100</v>
      </c>
      <c r="AK47" s="7">
        <f>ROUND(('01_Criterios'!$C$19*AH47+'01_Criterios'!$C$20*AI47+'01_Criterios'!$C$21*AJ47)/('01_Criterios'!$C$19+'01_Criterios'!$C$20+'01_Criterios'!$C$21)+N47*'01_Criterios'!$C$22,1)</f>
        <v>106</v>
      </c>
      <c r="AL47" s="20">
        <f>IF(AND(AB47&gt;=3,AC47&gt;='01_Criterios'!$C$11,N(AE47)&gt;='01_Criterios'!$C$12,OR(F47="+",F47="-"),ISNUMBER(G47),ISNUMBER(H47)),1,0)</f>
        <v>1</v>
      </c>
      <c r="AM47" s="24" t="str">
        <f>IF(AL47=1,"",TRIM(IF(AB47=0,"sem dados no período; ",IF(AB47&lt;3,"série demasiado curta; ",""))&amp;IF(AND(AB47&gt;0,AC47&lt;'01_Criterios'!$C$11),"cobertura insuficiente; ","")&amp;IF(AND(AB47&gt;0,N(AE47)&lt;'01_Criterios'!$C$12),"desactualizado; ","")&amp;IF(AND(F47&lt;&gt;"+",F47&lt;&gt;"-"),"sentido ambíguo; ","")&amp;IF(OR(NOT(ISNUMBER(G47)),NOT(ISNUMBER(H47))),"sem limites min/max; ","")))</f>
        <v/>
      </c>
      <c r="AN47" s="20">
        <f>IF(OR(AL47=0,$AP47="Excluir"),0,IF(SUMPRODUCT(($O$5:$O$335=$O47)*($AL$5:$AL$335=1)*($AP$5:$AP$335&lt;&gt;"Excluir")*(($AK$5:$AK$335&gt;$AK47)+(($AK$5:$AK$335=$AK47)*(ROW($O$5:$O$335)&lt;ROW()))))=0,1,0))</f>
        <v>1</v>
      </c>
      <c r="AO47" s="20">
        <f>IF(AN47=0,"",1+SUMPRODUCT(($B$5:$B$335=$B47)*($AN$5:$AN$335=1)*(($AK$5:$AK$335&gt;$AK47)+(($AK$5:$AK$335=$AK47)*(ROW($B$5:$B$335)&lt;ROW())))))</f>
        <v>10</v>
      </c>
      <c r="AP47" s="22" t="s">
        <v>131</v>
      </c>
      <c r="AQ47" s="20">
        <f>IF(INDEX('01_Criterios'!$C$26:$C$36,MATCH($B47,'01_Criterios'!$B$26:$B$36,0))&lt;&gt;1,0,IF($AP47="Excluir",0,IF($AP47="Incluir",IF(AND(OR($F47="+",$F47="-"),ISNUMBER($G47),ISNUMBER($H47),COUNT($Q47:$AA47)&gt;0),1,0),IF('01_Criterios'!$C$18="Automática",IF(AND($AN47=1,$AO47&lt;&gt;"",$AO47&lt;=INDEX('01_Criterios'!$E$26:$E$36,MATCH($B47,'01_Criterios'!$B$26:$B$36,0))),1,0),0))))</f>
        <v>0</v>
      </c>
      <c r="AR47" s="20" t="str">
        <f>IF(AQ47=0,"",IF($AO47&lt;&gt;"",1+SUMPRODUCT(($B$5:$B$335=$B47)*($AQ$5:$AQ$335=1)*($AO$5:$AO$335&lt;$AO47)),1+SUMPRODUCT(($B$5:$B$335=$B47)*($AQ$5:$AQ$335=1)*ISNUMBER($AO$5:$AO$335))+SUMPRODUCT(($B$5:$B$335=$B47)*($AQ$5:$AQ$335=1)*($AO$5:$AO$335="")*(ROW($AO$5:$AO$335)&lt;ROW()))))</f>
        <v/>
      </c>
      <c r="AS47" s="24" t="s">
        <v>355</v>
      </c>
    </row>
    <row r="48" spans="1:45">
      <c r="A48" s="25" t="s">
        <v>356</v>
      </c>
      <c r="B48" s="26" t="s">
        <v>77</v>
      </c>
      <c r="C48" s="26" t="s">
        <v>346</v>
      </c>
      <c r="D48" s="26" t="s">
        <v>357</v>
      </c>
      <c r="E48" s="25" t="s">
        <v>358</v>
      </c>
      <c r="F48" s="25" t="s">
        <v>126</v>
      </c>
      <c r="G48" s="25">
        <v>0</v>
      </c>
      <c r="H48" s="25">
        <v>12</v>
      </c>
      <c r="I48" s="25">
        <v>6</v>
      </c>
      <c r="J48" s="22">
        <v>1</v>
      </c>
      <c r="K48" s="26" t="s">
        <v>335</v>
      </c>
      <c r="L48" s="25" t="s">
        <v>359</v>
      </c>
      <c r="M48" s="26" t="s">
        <v>335</v>
      </c>
      <c r="N48" s="25">
        <v>1</v>
      </c>
      <c r="O48" s="26" t="s">
        <v>306</v>
      </c>
      <c r="P48" s="25" t="s">
        <v>152</v>
      </c>
      <c r="Q48" s="27">
        <v>7.7178000000000004</v>
      </c>
      <c r="R48" s="27">
        <v>11.3895</v>
      </c>
      <c r="S48" s="27">
        <v>7.7409999999999997</v>
      </c>
      <c r="T48" s="27">
        <v>7.4957000000000003</v>
      </c>
      <c r="U48" s="27">
        <v>9.2621000000000002</v>
      </c>
      <c r="V48" s="27">
        <v>11.7883</v>
      </c>
      <c r="W48" s="27">
        <v>9.875</v>
      </c>
      <c r="X48" s="27">
        <v>6.1721000000000004</v>
      </c>
      <c r="Y48" s="27">
        <v>7.4603000000000002</v>
      </c>
      <c r="Z48" s="27">
        <v>8.3416999999999994</v>
      </c>
      <c r="AA48" s="27">
        <v>7.9385000000000003</v>
      </c>
      <c r="AB48" s="25">
        <f>COUNT(Q48:AA48)</f>
        <v>11</v>
      </c>
      <c r="AC48" s="28">
        <f>AB48/11</f>
        <v>1</v>
      </c>
      <c r="AD48" s="25">
        <f>IFERROR(INDEX($Q$4:$AA$4,MATCH(TRUE,INDEX(ISNUMBER(Q48:AA48),0),0)),"")</f>
        <v>2015</v>
      </c>
      <c r="AE48" s="25">
        <f>IFERROR(LOOKUP(2,1/ISNUMBER(Q48:AA48),$Q$4:$AA$4),"")</f>
        <v>2025</v>
      </c>
      <c r="AF48" s="28">
        <f>IF(AB48=0,"",AB48/(AE48-AD48+1))</f>
        <v>1</v>
      </c>
      <c r="AG48" s="25">
        <f>IF(AB48=0,"",'01_Criterios'!$C$8-AE48)</f>
        <v>0</v>
      </c>
      <c r="AH48" s="29">
        <f>IF(P48="Em uso",100,IF(P48="Alta",85,IF(P48="Média",55,30)))</f>
        <v>85</v>
      </c>
      <c r="AI48" s="29">
        <f>ROUND(100*AC48,1)</f>
        <v>100</v>
      </c>
      <c r="AJ48" s="29">
        <f>IF(AB48=0,0,ROUND(MAX(0,100*AF48-10*AG48),1))</f>
        <v>100</v>
      </c>
      <c r="AK48" s="29">
        <f>ROUND(('01_Criterios'!$C$19*AH48+'01_Criterios'!$C$20*AI48+'01_Criterios'!$C$21*AJ48)/('01_Criterios'!$C$19+'01_Criterios'!$C$20+'01_Criterios'!$C$21)+N48*'01_Criterios'!$C$22,1)</f>
        <v>106</v>
      </c>
      <c r="AL48" s="25">
        <f>IF(AND(AB48&gt;=3,AC48&gt;='01_Criterios'!$C$11,N(AE48)&gt;='01_Criterios'!$C$12,OR(F48="+",F48="-"),ISNUMBER(G48),ISNUMBER(H48)),1,0)</f>
        <v>1</v>
      </c>
      <c r="AM48" s="30" t="str">
        <f>IF(AL48=1,"",TRIM(IF(AB48=0,"sem dados no período; ",IF(AB48&lt;3,"série demasiado curta; ",""))&amp;IF(AND(AB48&gt;0,AC48&lt;'01_Criterios'!$C$11),"cobertura insuficiente; ","")&amp;IF(AND(AB48&gt;0,N(AE48)&lt;'01_Criterios'!$C$12),"desactualizado; ","")&amp;IF(AND(F48&lt;&gt;"+",F48&lt;&gt;"-"),"sentido ambíguo; ","")&amp;IF(OR(NOT(ISNUMBER(G48)),NOT(ISNUMBER(H48))),"sem limites min/max; ","")))</f>
        <v/>
      </c>
      <c r="AN48" s="25">
        <f>IF(OR(AL48=0,$AP48="Excluir"),0,IF(SUMPRODUCT(($O$5:$O$335=$O48)*($AL$5:$AL$335=1)*($AP$5:$AP$335&lt;&gt;"Excluir")*(($AK$5:$AK$335&gt;$AK48)+(($AK$5:$AK$335=$AK48)*(ROW($O$5:$O$335)&lt;ROW()))))=0,1,0))</f>
        <v>0</v>
      </c>
      <c r="AO48" s="25" t="str">
        <f>IF(AN48=0,"",1+SUMPRODUCT(($B$5:$B$335=$B48)*($AN$5:$AN$335=1)*(($AK$5:$AK$335&gt;$AK48)+(($AK$5:$AK$335=$AK48)*(ROW($B$5:$B$335)&lt;ROW())))))</f>
        <v/>
      </c>
      <c r="AP48" s="22" t="s">
        <v>131</v>
      </c>
      <c r="AQ48" s="25">
        <f>IF(INDEX('01_Criterios'!$C$26:$C$36,MATCH($B48,'01_Criterios'!$B$26:$B$36,0))&lt;&gt;1,0,IF($AP48="Excluir",0,IF($AP48="Incluir",IF(AND(OR($F48="+",$F48="-"),ISNUMBER($G48),ISNUMBER($H48),COUNT($Q48:$AA48)&gt;0),1,0),IF('01_Criterios'!$C$18="Automática",IF(AND($AN48=1,$AO48&lt;&gt;"",$AO48&lt;=INDEX('01_Criterios'!$E$26:$E$36,MATCH($B48,'01_Criterios'!$B$26:$B$36,0))),1,0),0))))</f>
        <v>0</v>
      </c>
      <c r="AR48" s="25" t="str">
        <f>IF(AQ48=0,"",IF($AO48&lt;&gt;"",1+SUMPRODUCT(($B$5:$B$335=$B48)*($AQ$5:$AQ$335=1)*($AO$5:$AO$335&lt;$AO48)),1+SUMPRODUCT(($B$5:$B$335=$B48)*($AQ$5:$AQ$335=1)*ISNUMBER($AO$5:$AO$335))+SUMPRODUCT(($B$5:$B$335=$B48)*($AQ$5:$AQ$335=1)*($AO$5:$AO$335="")*(ROW($AO$5:$AO$335)&lt;ROW()))))</f>
        <v/>
      </c>
      <c r="AS48" s="24" t="s">
        <v>360</v>
      </c>
    </row>
    <row r="49" spans="1:45">
      <c r="A49" s="20" t="s">
        <v>361</v>
      </c>
      <c r="B49" s="21" t="s">
        <v>77</v>
      </c>
      <c r="C49" s="21" t="s">
        <v>271</v>
      </c>
      <c r="D49" s="21" t="s">
        <v>362</v>
      </c>
      <c r="E49" s="20" t="s">
        <v>157</v>
      </c>
      <c r="F49" s="20" t="s">
        <v>126</v>
      </c>
      <c r="G49" s="20">
        <v>-30</v>
      </c>
      <c r="H49" s="20">
        <v>30</v>
      </c>
      <c r="I49" s="20">
        <v>0</v>
      </c>
      <c r="J49" s="22">
        <v>1</v>
      </c>
      <c r="K49" s="21" t="s">
        <v>204</v>
      </c>
      <c r="L49" s="20" t="s">
        <v>363</v>
      </c>
      <c r="M49" s="21" t="s">
        <v>161</v>
      </c>
      <c r="N49" s="20">
        <v>0</v>
      </c>
      <c r="O49" s="21" t="s">
        <v>349</v>
      </c>
      <c r="P49" s="20" t="s">
        <v>152</v>
      </c>
      <c r="Q49" s="6">
        <v>-10.018075447644</v>
      </c>
      <c r="R49" s="6">
        <v>-5.0768355070231319</v>
      </c>
      <c r="S49" s="6">
        <v>-0.73907522381265833</v>
      </c>
      <c r="T49" s="6">
        <v>8.1791278570016992</v>
      </c>
      <c r="U49" s="6">
        <v>6.3273230302613088</v>
      </c>
      <c r="V49" s="6">
        <v>1.4901512980942371</v>
      </c>
      <c r="W49" s="6">
        <v>10.729471989393319</v>
      </c>
      <c r="X49" s="6">
        <v>9.1729831644032611</v>
      </c>
      <c r="Y49" s="6">
        <v>3.9465306196979348</v>
      </c>
      <c r="Z49" s="6">
        <v>6.1212788554718482</v>
      </c>
      <c r="AA49" s="6">
        <v>0.43885340284803781</v>
      </c>
      <c r="AB49" s="20">
        <f>COUNT(Q49:AA49)</f>
        <v>11</v>
      </c>
      <c r="AC49" s="23">
        <f>AB49/11</f>
        <v>1</v>
      </c>
      <c r="AD49" s="20">
        <f>IFERROR(INDEX($Q$4:$AA$4,MATCH(TRUE,INDEX(ISNUMBER(Q49:AA49),0),0)),"")</f>
        <v>2015</v>
      </c>
      <c r="AE49" s="20">
        <f>IFERROR(LOOKUP(2,1/ISNUMBER(Q49:AA49),$Q$4:$AA$4),"")</f>
        <v>2025</v>
      </c>
      <c r="AF49" s="23">
        <f>IF(AB49=0,"",AB49/(AE49-AD49+1))</f>
        <v>1</v>
      </c>
      <c r="AG49" s="20">
        <f>IF(AB49=0,"",'01_Criterios'!$C$8-AE49)</f>
        <v>0</v>
      </c>
      <c r="AH49" s="7">
        <f>IF(P49="Em uso",100,IF(P49="Alta",85,IF(P49="Média",55,30)))</f>
        <v>85</v>
      </c>
      <c r="AI49" s="7">
        <f>ROUND(100*AC49,1)</f>
        <v>100</v>
      </c>
      <c r="AJ49" s="7">
        <f>IF(AB49=0,0,ROUND(MAX(0,100*AF49-10*AG49),1))</f>
        <v>100</v>
      </c>
      <c r="AK49" s="7">
        <f>ROUND(('01_Criterios'!$C$19*AH49+'01_Criterios'!$C$20*AI49+'01_Criterios'!$C$21*AJ49)/('01_Criterios'!$C$19+'01_Criterios'!$C$20+'01_Criterios'!$C$21)+N49*'01_Criterios'!$C$22,1)</f>
        <v>94</v>
      </c>
      <c r="AL49" s="20">
        <f>IF(AND(AB49&gt;=3,AC49&gt;='01_Criterios'!$C$11,N(AE49)&gt;='01_Criterios'!$C$12,OR(F49="+",F49="-"),ISNUMBER(G49),ISNUMBER(H49)),1,0)</f>
        <v>1</v>
      </c>
      <c r="AM49" s="24" t="str">
        <f>IF(AL49=1,"",TRIM(IF(AB49=0,"sem dados no período; ",IF(AB49&lt;3,"série demasiado curta; ",""))&amp;IF(AND(AB49&gt;0,AC49&lt;'01_Criterios'!$C$11),"cobertura insuficiente; ","")&amp;IF(AND(AB49&gt;0,N(AE49)&lt;'01_Criterios'!$C$12),"desactualizado; ","")&amp;IF(AND(F49&lt;&gt;"+",F49&lt;&gt;"-"),"sentido ambíguo; ","")&amp;IF(OR(NOT(ISNUMBER(G49)),NOT(ISNUMBER(H49))),"sem limites min/max; ","")))</f>
        <v/>
      </c>
      <c r="AN49" s="20">
        <f>IF(OR(AL49=0,$AP49="Excluir"),0,IF(SUMPRODUCT(($O$5:$O$335=$O49)*($AL$5:$AL$335=1)*($AP$5:$AP$335&lt;&gt;"Excluir")*(($AK$5:$AK$335&gt;$AK49)+(($AK$5:$AK$335=$AK49)*(ROW($O$5:$O$335)&lt;ROW()))))=0,1,0))</f>
        <v>0</v>
      </c>
      <c r="AO49" s="20" t="str">
        <f>IF(AN49=0,"",1+SUMPRODUCT(($B$5:$B$335=$B49)*($AN$5:$AN$335=1)*(($AK$5:$AK$335&gt;$AK49)+(($AK$5:$AK$335=$AK49)*(ROW($B$5:$B$335)&lt;ROW())))))</f>
        <v/>
      </c>
      <c r="AP49" s="22" t="s">
        <v>131</v>
      </c>
      <c r="AQ49" s="20">
        <f>IF(INDEX('01_Criterios'!$C$26:$C$36,MATCH($B49,'01_Criterios'!$B$26:$B$36,0))&lt;&gt;1,0,IF($AP49="Excluir",0,IF($AP49="Incluir",IF(AND(OR($F49="+",$F49="-"),ISNUMBER($G49),ISNUMBER($H49),COUNT($Q49:$AA49)&gt;0),1,0),IF('01_Criterios'!$C$18="Automática",IF(AND($AN49=1,$AO49&lt;&gt;"",$AO49&lt;=INDEX('01_Criterios'!$E$26:$E$36,MATCH($B49,'01_Criterios'!$B$26:$B$36,0))),1,0),0))))</f>
        <v>0</v>
      </c>
      <c r="AR49" s="20" t="str">
        <f>IF(AQ49=0,"",IF($AO49&lt;&gt;"",1+SUMPRODUCT(($B$5:$B$335=$B49)*($AQ$5:$AQ$335=1)*($AO$5:$AO$335&lt;$AO49)),1+SUMPRODUCT(($B$5:$B$335=$B49)*($AQ$5:$AQ$335=1)*ISNUMBER($AO$5:$AO$335))+SUMPRODUCT(($B$5:$B$335=$B49)*($AQ$5:$AQ$335=1)*($AO$5:$AO$335="")*(ROW($AO$5:$AO$335)&lt;ROW()))))</f>
        <v/>
      </c>
      <c r="AS49" s="24" t="s">
        <v>364</v>
      </c>
    </row>
    <row r="50" spans="1:45">
      <c r="A50" s="25" t="s">
        <v>365</v>
      </c>
      <c r="B50" s="26" t="s">
        <v>77</v>
      </c>
      <c r="C50" s="26" t="s">
        <v>271</v>
      </c>
      <c r="D50" s="26" t="s">
        <v>366</v>
      </c>
      <c r="E50" s="25" t="s">
        <v>157</v>
      </c>
      <c r="F50" s="25" t="s">
        <v>126</v>
      </c>
      <c r="G50" s="25">
        <v>0</v>
      </c>
      <c r="H50" s="25">
        <v>40</v>
      </c>
      <c r="I50" s="25">
        <v>18</v>
      </c>
      <c r="J50" s="22">
        <v>1</v>
      </c>
      <c r="K50" s="26" t="s">
        <v>204</v>
      </c>
      <c r="L50" s="25" t="s">
        <v>367</v>
      </c>
      <c r="M50" s="26" t="s">
        <v>161</v>
      </c>
      <c r="N50" s="25">
        <v>0</v>
      </c>
      <c r="O50" s="26" t="s">
        <v>368</v>
      </c>
      <c r="P50" s="25" t="s">
        <v>152</v>
      </c>
      <c r="Q50" s="27">
        <v>9.7095138699633701</v>
      </c>
      <c r="R50" s="27">
        <v>8.4499371061408297</v>
      </c>
      <c r="S50" s="27">
        <v>7.9376944936445186</v>
      </c>
      <c r="T50" s="27">
        <v>9.819914764417037</v>
      </c>
      <c r="U50" s="27">
        <v>11.22498112057411</v>
      </c>
      <c r="V50" s="27">
        <v>20.63697890548066</v>
      </c>
      <c r="W50" s="27">
        <v>10.877738611543309</v>
      </c>
      <c r="X50" s="27">
        <v>13.027509429551451</v>
      </c>
      <c r="Y50" s="27">
        <v>8.9632544466981177</v>
      </c>
      <c r="Z50" s="27">
        <v>7.5879730952561228</v>
      </c>
      <c r="AA50" s="27"/>
      <c r="AB50" s="25">
        <f>COUNT(Q50:AA50)</f>
        <v>10</v>
      </c>
      <c r="AC50" s="28">
        <f>AB50/11</f>
        <v>0.90909090909090906</v>
      </c>
      <c r="AD50" s="25">
        <f>IFERROR(INDEX($Q$4:$AA$4,MATCH(TRUE,INDEX(ISNUMBER(Q50:AA50),0),0)),"")</f>
        <v>2015</v>
      </c>
      <c r="AE50" s="25">
        <f>IFERROR(LOOKUP(2,1/ISNUMBER(Q50:AA50),$Q$4:$AA$4),"")</f>
        <v>2024</v>
      </c>
      <c r="AF50" s="28">
        <f>IF(AB50=0,"",AB50/(AE50-AD50+1))</f>
        <v>1</v>
      </c>
      <c r="AG50" s="25">
        <f>IF(AB50=0,"",'01_Criterios'!$C$8-AE50)</f>
        <v>1</v>
      </c>
      <c r="AH50" s="29">
        <f>IF(P50="Em uso",100,IF(P50="Alta",85,IF(P50="Média",55,30)))</f>
        <v>85</v>
      </c>
      <c r="AI50" s="29">
        <f>ROUND(100*AC50,1)</f>
        <v>90.9</v>
      </c>
      <c r="AJ50" s="29">
        <f>IF(AB50=0,0,ROUND(MAX(0,100*AF50-10*AG50),1))</f>
        <v>90</v>
      </c>
      <c r="AK50" s="29">
        <f>ROUND(('01_Criterios'!$C$19*AH50+'01_Criterios'!$C$20*AI50+'01_Criterios'!$C$21*AJ50)/('01_Criterios'!$C$19+'01_Criterios'!$C$20+'01_Criterios'!$C$21)+N50*'01_Criterios'!$C$22,1)</f>
        <v>88.3</v>
      </c>
      <c r="AL50" s="25">
        <f>IF(AND(AB50&gt;=3,AC50&gt;='01_Criterios'!$C$11,N(AE50)&gt;='01_Criterios'!$C$12,OR(F50="+",F50="-"),ISNUMBER(G50),ISNUMBER(H50)),1,0)</f>
        <v>1</v>
      </c>
      <c r="AM50" s="30" t="str">
        <f>IF(AL50=1,"",TRIM(IF(AB50=0,"sem dados no período; ",IF(AB50&lt;3,"série demasiado curta; ",""))&amp;IF(AND(AB50&gt;0,AC50&lt;'01_Criterios'!$C$11),"cobertura insuficiente; ","")&amp;IF(AND(AB50&gt;0,N(AE50)&lt;'01_Criterios'!$C$12),"desactualizado; ","")&amp;IF(AND(F50&lt;&gt;"+",F50&lt;&gt;"-"),"sentido ambíguo; ","")&amp;IF(OR(NOT(ISNUMBER(G50)),NOT(ISNUMBER(H50))),"sem limites min/max; ","")))</f>
        <v/>
      </c>
      <c r="AN50" s="25">
        <f>IF(OR(AL50=0,$AP50="Excluir"),0,IF(SUMPRODUCT(($O$5:$O$335=$O50)*($AL$5:$AL$335=1)*($AP$5:$AP$335&lt;&gt;"Excluir")*(($AK$5:$AK$335&gt;$AK50)+(($AK$5:$AK$335=$AK50)*(ROW($O$5:$O$335)&lt;ROW()))))=0,1,0))</f>
        <v>1</v>
      </c>
      <c r="AO50" s="25">
        <f>IF(AN50=0,"",1+SUMPRODUCT(($B$5:$B$335=$B50)*($AN$5:$AN$335=1)*(($AK$5:$AK$335&gt;$AK50)+(($AK$5:$AK$335=$AK50)*(ROW($B$5:$B$335)&lt;ROW())))))</f>
        <v>17</v>
      </c>
      <c r="AP50" s="22" t="s">
        <v>131</v>
      </c>
      <c r="AQ50" s="25">
        <f>IF(INDEX('01_Criterios'!$C$26:$C$36,MATCH($B50,'01_Criterios'!$B$26:$B$36,0))&lt;&gt;1,0,IF($AP50="Excluir",0,IF($AP50="Incluir",IF(AND(OR($F50="+",$F50="-"),ISNUMBER($G50),ISNUMBER($H50),COUNT($Q50:$AA50)&gt;0),1,0),IF('01_Criterios'!$C$18="Automática",IF(AND($AN50=1,$AO50&lt;&gt;"",$AO50&lt;=INDEX('01_Criterios'!$E$26:$E$36,MATCH($B50,'01_Criterios'!$B$26:$B$36,0))),1,0),0))))</f>
        <v>0</v>
      </c>
      <c r="AR50" s="25" t="str">
        <f>IF(AQ50=0,"",IF($AO50&lt;&gt;"",1+SUMPRODUCT(($B$5:$B$335=$B50)*($AQ$5:$AQ$335=1)*($AO$5:$AO$335&lt;$AO50)),1+SUMPRODUCT(($B$5:$B$335=$B50)*($AQ$5:$AQ$335=1)*ISNUMBER($AO$5:$AO$335))+SUMPRODUCT(($B$5:$B$335=$B50)*($AQ$5:$AQ$335=1)*($AO$5:$AO$335="")*(ROW($AO$5:$AO$335)&lt;ROW()))))</f>
        <v/>
      </c>
      <c r="AS50" s="24" t="s">
        <v>369</v>
      </c>
    </row>
    <row r="51" spans="1:45">
      <c r="A51" s="20" t="s">
        <v>370</v>
      </c>
      <c r="B51" s="21" t="s">
        <v>77</v>
      </c>
      <c r="C51" s="21" t="s">
        <v>271</v>
      </c>
      <c r="D51" s="21" t="s">
        <v>371</v>
      </c>
      <c r="E51" s="20" t="s">
        <v>157</v>
      </c>
      <c r="F51" s="20" t="s">
        <v>126</v>
      </c>
      <c r="G51" s="20">
        <v>-10</v>
      </c>
      <c r="H51" s="20">
        <v>20</v>
      </c>
      <c r="I51" s="20">
        <v>5</v>
      </c>
      <c r="J51" s="22">
        <v>1</v>
      </c>
      <c r="K51" s="21" t="s">
        <v>204</v>
      </c>
      <c r="L51" s="20" t="s">
        <v>372</v>
      </c>
      <c r="M51" s="21" t="s">
        <v>161</v>
      </c>
      <c r="N51" s="20">
        <v>0</v>
      </c>
      <c r="O51" s="21" t="s">
        <v>354</v>
      </c>
      <c r="P51" s="20" t="s">
        <v>152</v>
      </c>
      <c r="Q51" s="6">
        <v>9.7795154502447996</v>
      </c>
      <c r="R51" s="6">
        <v>-0.29540475886763651</v>
      </c>
      <c r="S51" s="6">
        <v>-8.6387131616293029</v>
      </c>
      <c r="T51" s="6">
        <v>-7.1333082880951926</v>
      </c>
      <c r="U51" s="6">
        <v>-5.0477721828997124</v>
      </c>
      <c r="V51" s="6">
        <v>-3.189887603746882</v>
      </c>
      <c r="W51" s="6">
        <v>-5.5632323414115383</v>
      </c>
      <c r="X51" s="6">
        <v>-5.1457918685519761</v>
      </c>
      <c r="Y51" s="6">
        <v>-1.998854414452103</v>
      </c>
      <c r="Z51" s="6">
        <v>-1.0765010719966861</v>
      </c>
      <c r="AA51" s="6"/>
      <c r="AB51" s="20">
        <f>COUNT(Q51:AA51)</f>
        <v>10</v>
      </c>
      <c r="AC51" s="23">
        <f>AB51/11</f>
        <v>0.90909090909090906</v>
      </c>
      <c r="AD51" s="20">
        <f>IFERROR(INDEX($Q$4:$AA$4,MATCH(TRUE,INDEX(ISNUMBER(Q51:AA51),0),0)),"")</f>
        <v>2015</v>
      </c>
      <c r="AE51" s="20">
        <f>IFERROR(LOOKUP(2,1/ISNUMBER(Q51:AA51),$Q$4:$AA$4),"")</f>
        <v>2024</v>
      </c>
      <c r="AF51" s="23">
        <f>IF(AB51=0,"",AB51/(AE51-AD51+1))</f>
        <v>1</v>
      </c>
      <c r="AG51" s="20">
        <f>IF(AB51=0,"",'01_Criterios'!$C$8-AE51)</f>
        <v>1</v>
      </c>
      <c r="AH51" s="7">
        <f>IF(P51="Em uso",100,IF(P51="Alta",85,IF(P51="Média",55,30)))</f>
        <v>85</v>
      </c>
      <c r="AI51" s="7">
        <f>ROUND(100*AC51,1)</f>
        <v>90.9</v>
      </c>
      <c r="AJ51" s="7">
        <f>IF(AB51=0,0,ROUND(MAX(0,100*AF51-10*AG51),1))</f>
        <v>90</v>
      </c>
      <c r="AK51" s="7">
        <f>ROUND(('01_Criterios'!$C$19*AH51+'01_Criterios'!$C$20*AI51+'01_Criterios'!$C$21*AJ51)/('01_Criterios'!$C$19+'01_Criterios'!$C$20+'01_Criterios'!$C$21)+N51*'01_Criterios'!$C$22,1)</f>
        <v>88.3</v>
      </c>
      <c r="AL51" s="20">
        <f>IF(AND(AB51&gt;=3,AC51&gt;='01_Criterios'!$C$11,N(AE51)&gt;='01_Criterios'!$C$12,OR(F51="+",F51="-"),ISNUMBER(G51),ISNUMBER(H51)),1,0)</f>
        <v>1</v>
      </c>
      <c r="AM51" s="24" t="str">
        <f>IF(AL51=1,"",TRIM(IF(AB51=0,"sem dados no período; ",IF(AB51&lt;3,"série demasiado curta; ",""))&amp;IF(AND(AB51&gt;0,AC51&lt;'01_Criterios'!$C$11),"cobertura insuficiente; ","")&amp;IF(AND(AB51&gt;0,N(AE51)&lt;'01_Criterios'!$C$12),"desactualizado; ","")&amp;IF(AND(F51&lt;&gt;"+",F51&lt;&gt;"-"),"sentido ambíguo; ","")&amp;IF(OR(NOT(ISNUMBER(G51)),NOT(ISNUMBER(H51))),"sem limites min/max; ","")))</f>
        <v/>
      </c>
      <c r="AN51" s="20">
        <f>IF(OR(AL51=0,$AP51="Excluir"),0,IF(SUMPRODUCT(($O$5:$O$335=$O51)*($AL$5:$AL$335=1)*($AP$5:$AP$335&lt;&gt;"Excluir")*(($AK$5:$AK$335&gt;$AK51)+(($AK$5:$AK$335=$AK51)*(ROW($O$5:$O$335)&lt;ROW()))))=0,1,0))</f>
        <v>0</v>
      </c>
      <c r="AO51" s="20" t="str">
        <f>IF(AN51=0,"",1+SUMPRODUCT(($B$5:$B$335=$B51)*($AN$5:$AN$335=1)*(($AK$5:$AK$335&gt;$AK51)+(($AK$5:$AK$335=$AK51)*(ROW($B$5:$B$335)&lt;ROW())))))</f>
        <v/>
      </c>
      <c r="AP51" s="22" t="s">
        <v>131</v>
      </c>
      <c r="AQ51" s="20">
        <f>IF(INDEX('01_Criterios'!$C$26:$C$36,MATCH($B51,'01_Criterios'!$B$26:$B$36,0))&lt;&gt;1,0,IF($AP51="Excluir",0,IF($AP51="Incluir",IF(AND(OR($F51="+",$F51="-"),ISNUMBER($G51),ISNUMBER($H51),COUNT($Q51:$AA51)&gt;0),1,0),IF('01_Criterios'!$C$18="Automática",IF(AND($AN51=1,$AO51&lt;&gt;"",$AO51&lt;=INDEX('01_Criterios'!$E$26:$E$36,MATCH($B51,'01_Criterios'!$B$26:$B$36,0))),1,0),0))))</f>
        <v>0</v>
      </c>
      <c r="AR51" s="20" t="str">
        <f>IF(AQ51=0,"",IF($AO51&lt;&gt;"",1+SUMPRODUCT(($B$5:$B$335=$B51)*($AQ$5:$AQ$335=1)*($AO$5:$AO$335&lt;$AO51)),1+SUMPRODUCT(($B$5:$B$335=$B51)*($AQ$5:$AQ$335=1)*ISNUMBER($AO$5:$AO$335))+SUMPRODUCT(($B$5:$B$335=$B51)*($AQ$5:$AQ$335=1)*($AO$5:$AO$335="")*(ROW($AO$5:$AO$335)&lt;ROW()))))</f>
        <v/>
      </c>
      <c r="AS51" s="24" t="s">
        <v>373</v>
      </c>
    </row>
    <row r="52" spans="1:45">
      <c r="A52" s="25" t="s">
        <v>374</v>
      </c>
      <c r="B52" s="26" t="s">
        <v>77</v>
      </c>
      <c r="C52" s="26" t="s">
        <v>271</v>
      </c>
      <c r="D52" s="26" t="s">
        <v>375</v>
      </c>
      <c r="E52" s="25" t="s">
        <v>157</v>
      </c>
      <c r="F52" s="25" t="s">
        <v>158</v>
      </c>
      <c r="G52" s="25">
        <v>0</v>
      </c>
      <c r="H52" s="25">
        <v>60</v>
      </c>
      <c r="I52" s="25">
        <v>15</v>
      </c>
      <c r="J52" s="22">
        <v>1</v>
      </c>
      <c r="K52" s="26" t="s">
        <v>204</v>
      </c>
      <c r="L52" s="25" t="s">
        <v>376</v>
      </c>
      <c r="M52" s="26" t="s">
        <v>161</v>
      </c>
      <c r="N52" s="25">
        <v>0</v>
      </c>
      <c r="O52" s="26" t="s">
        <v>377</v>
      </c>
      <c r="P52" s="25" t="s">
        <v>152</v>
      </c>
      <c r="Q52" s="27">
        <v>12.718730309027199</v>
      </c>
      <c r="R52" s="27">
        <v>19.7483988340046</v>
      </c>
      <c r="S52" s="27">
        <v>24.711006005538199</v>
      </c>
      <c r="T52" s="27">
        <v>30.730402728590501</v>
      </c>
      <c r="U52" s="27">
        <v>27.504828641195999</v>
      </c>
      <c r="V52" s="27">
        <v>18.571959505383699</v>
      </c>
      <c r="W52" s="27">
        <v>28.274439882584399</v>
      </c>
      <c r="X52" s="27"/>
      <c r="Y52" s="27"/>
      <c r="Z52" s="27"/>
      <c r="AA52" s="27"/>
      <c r="AB52" s="25">
        <f>COUNT(Q52:AA52)</f>
        <v>7</v>
      </c>
      <c r="AC52" s="28">
        <f>AB52/11</f>
        <v>0.63636363636363635</v>
      </c>
      <c r="AD52" s="25">
        <f>IFERROR(INDEX($Q$4:$AA$4,MATCH(TRUE,INDEX(ISNUMBER(Q52:AA52),0),0)),"")</f>
        <v>2015</v>
      </c>
      <c r="AE52" s="25">
        <f>IFERROR(LOOKUP(2,1/ISNUMBER(Q52:AA52),$Q$4:$AA$4),"")</f>
        <v>2021</v>
      </c>
      <c r="AF52" s="28">
        <f>IF(AB52=0,"",AB52/(AE52-AD52+1))</f>
        <v>1</v>
      </c>
      <c r="AG52" s="25">
        <f>IF(AB52=0,"",'01_Criterios'!$C$8-AE52)</f>
        <v>4</v>
      </c>
      <c r="AH52" s="29">
        <f>IF(P52="Em uso",100,IF(P52="Alta",85,IF(P52="Média",55,30)))</f>
        <v>85</v>
      </c>
      <c r="AI52" s="29">
        <f>ROUND(100*AC52,1)</f>
        <v>63.6</v>
      </c>
      <c r="AJ52" s="29">
        <f>IF(AB52=0,0,ROUND(MAX(0,100*AF52-10*AG52),1))</f>
        <v>60</v>
      </c>
      <c r="AK52" s="29">
        <f>ROUND(('01_Criterios'!$C$19*AH52+'01_Criterios'!$C$20*AI52+'01_Criterios'!$C$21*AJ52)/('01_Criterios'!$C$19+'01_Criterios'!$C$20+'01_Criterios'!$C$21)+N52*'01_Criterios'!$C$22,1)</f>
        <v>71.3</v>
      </c>
      <c r="AL52" s="25">
        <f>IF(AND(AB52&gt;=3,AC52&gt;='01_Criterios'!$C$11,N(AE52)&gt;='01_Criterios'!$C$12,OR(F52="+",F52="-"),ISNUMBER(G52),ISNUMBER(H52)),1,0)</f>
        <v>0</v>
      </c>
      <c r="AM52" s="30" t="str">
        <f>IF(AL52=1,"",TRIM(IF(AB52=0,"sem dados no período; ",IF(AB52&lt;3,"série demasiado curta; ",""))&amp;IF(AND(AB52&gt;0,AC52&lt;'01_Criterios'!$C$11),"cobertura insuficiente; ","")&amp;IF(AND(AB52&gt;0,N(AE52)&lt;'01_Criterios'!$C$12),"desactualizado; ","")&amp;IF(AND(F52&lt;&gt;"+",F52&lt;&gt;"-"),"sentido ambíguo; ","")&amp;IF(OR(NOT(ISNUMBER(G52)),NOT(ISNUMBER(H52))),"sem limites min/max; ","")))</f>
        <v>cobertura insuficiente; desactualizado;</v>
      </c>
      <c r="AN52" s="25">
        <f>IF(OR(AL52=0,$AP52="Excluir"),0,IF(SUMPRODUCT(($O$5:$O$335=$O52)*($AL$5:$AL$335=1)*($AP$5:$AP$335&lt;&gt;"Excluir")*(($AK$5:$AK$335&gt;$AK52)+(($AK$5:$AK$335=$AK52)*(ROW($O$5:$O$335)&lt;ROW()))))=0,1,0))</f>
        <v>0</v>
      </c>
      <c r="AO52" s="25" t="str">
        <f>IF(AN52=0,"",1+SUMPRODUCT(($B$5:$B$335=$B52)*($AN$5:$AN$335=1)*(($AK$5:$AK$335&gt;$AK52)+(($AK$5:$AK$335=$AK52)*(ROW($B$5:$B$335)&lt;ROW())))))</f>
        <v/>
      </c>
      <c r="AP52" s="22" t="s">
        <v>131</v>
      </c>
      <c r="AQ52" s="25">
        <f>IF(INDEX('01_Criterios'!$C$26:$C$36,MATCH($B52,'01_Criterios'!$B$26:$B$36,0))&lt;&gt;1,0,IF($AP52="Excluir",0,IF($AP52="Incluir",IF(AND(OR($F52="+",$F52="-"),ISNUMBER($G52),ISNUMBER($H52),COUNT($Q52:$AA52)&gt;0),1,0),IF('01_Criterios'!$C$18="Automática",IF(AND($AN52=1,$AO52&lt;&gt;"",$AO52&lt;=INDEX('01_Criterios'!$E$26:$E$36,MATCH($B52,'01_Criterios'!$B$26:$B$36,0))),1,0),0))))</f>
        <v>0</v>
      </c>
      <c r="AR52" s="25" t="str">
        <f>IF(AQ52=0,"",IF($AO52&lt;&gt;"",1+SUMPRODUCT(($B$5:$B$335=$B52)*($AQ$5:$AQ$335=1)*($AO$5:$AO$335&lt;$AO52)),1+SUMPRODUCT(($B$5:$B$335=$B52)*($AQ$5:$AQ$335=1)*ISNUMBER($AO$5:$AO$335))+SUMPRODUCT(($B$5:$B$335=$B52)*($AQ$5:$AQ$335=1)*($AO$5:$AO$335="")*(ROW($AO$5:$AO$335)&lt;ROW()))))</f>
        <v/>
      </c>
      <c r="AS52" s="24" t="s">
        <v>378</v>
      </c>
    </row>
    <row r="53" spans="1:45">
      <c r="A53" s="20" t="s">
        <v>379</v>
      </c>
      <c r="B53" s="21" t="s">
        <v>77</v>
      </c>
      <c r="C53" s="21" t="s">
        <v>220</v>
      </c>
      <c r="D53" s="21" t="s">
        <v>380</v>
      </c>
      <c r="E53" s="20" t="s">
        <v>334</v>
      </c>
      <c r="F53" s="20" t="s">
        <v>158</v>
      </c>
      <c r="G53" s="20">
        <v>0</v>
      </c>
      <c r="H53" s="20">
        <v>150</v>
      </c>
      <c r="I53" s="20">
        <v>60</v>
      </c>
      <c r="J53" s="22">
        <v>1</v>
      </c>
      <c r="K53" s="21" t="s">
        <v>381</v>
      </c>
      <c r="L53" s="20" t="s">
        <v>382</v>
      </c>
      <c r="M53" s="21" t="s">
        <v>383</v>
      </c>
      <c r="N53" s="20">
        <v>0</v>
      </c>
      <c r="O53" s="21" t="s">
        <v>293</v>
      </c>
      <c r="P53" s="20" t="s">
        <v>152</v>
      </c>
      <c r="Q53" s="6">
        <v>50.385818999999998</v>
      </c>
      <c r="R53" s="6">
        <v>65.691623000000007</v>
      </c>
      <c r="S53" s="6">
        <v>59.607196999999999</v>
      </c>
      <c r="T53" s="6">
        <v>81.635503</v>
      </c>
      <c r="U53" s="6">
        <v>100.79929</v>
      </c>
      <c r="V53" s="6">
        <v>119.838606</v>
      </c>
      <c r="W53" s="6">
        <v>75.502733000000006</v>
      </c>
      <c r="X53" s="6">
        <v>57.427174000000001</v>
      </c>
      <c r="Y53" s="6">
        <v>75.739103999999998</v>
      </c>
      <c r="Z53" s="6">
        <v>57.106858000000003</v>
      </c>
      <c r="AA53" s="6">
        <v>51.310898000000002</v>
      </c>
      <c r="AB53" s="20">
        <f>COUNT(Q53:AA53)</f>
        <v>11</v>
      </c>
      <c r="AC53" s="23">
        <f>AB53/11</f>
        <v>1</v>
      </c>
      <c r="AD53" s="20">
        <f>IFERROR(INDEX($Q$4:$AA$4,MATCH(TRUE,INDEX(ISNUMBER(Q53:AA53),0),0)),"")</f>
        <v>2015</v>
      </c>
      <c r="AE53" s="20">
        <f>IFERROR(LOOKUP(2,1/ISNUMBER(Q53:AA53),$Q$4:$AA$4),"")</f>
        <v>2025</v>
      </c>
      <c r="AF53" s="23">
        <f>IF(AB53=0,"",AB53/(AE53-AD53+1))</f>
        <v>1</v>
      </c>
      <c r="AG53" s="20">
        <f>IF(AB53=0,"",'01_Criterios'!$C$8-AE53)</f>
        <v>0</v>
      </c>
      <c r="AH53" s="7">
        <f>IF(P53="Em uso",100,IF(P53="Alta",85,IF(P53="Média",55,30)))</f>
        <v>85</v>
      </c>
      <c r="AI53" s="7">
        <f>ROUND(100*AC53,1)</f>
        <v>100</v>
      </c>
      <c r="AJ53" s="7">
        <f>IF(AB53=0,0,ROUND(MAX(0,100*AF53-10*AG53),1))</f>
        <v>100</v>
      </c>
      <c r="AK53" s="7">
        <f>ROUND(('01_Criterios'!$C$19*AH53+'01_Criterios'!$C$20*AI53+'01_Criterios'!$C$21*AJ53)/('01_Criterios'!$C$19+'01_Criterios'!$C$20+'01_Criterios'!$C$21)+N53*'01_Criterios'!$C$22,1)</f>
        <v>94</v>
      </c>
      <c r="AL53" s="20">
        <f>IF(AND(AB53&gt;=3,AC53&gt;='01_Criterios'!$C$11,N(AE53)&gt;='01_Criterios'!$C$12,OR(F53="+",F53="-"),ISNUMBER(G53),ISNUMBER(H53)),1,0)</f>
        <v>1</v>
      </c>
      <c r="AM53" s="24" t="str">
        <f>IF(AL53=1,"",TRIM(IF(AB53=0,"sem dados no período; ",IF(AB53&lt;3,"série demasiado curta; ",""))&amp;IF(AND(AB53&gt;0,AC53&lt;'01_Criterios'!$C$11),"cobertura insuficiente; ","")&amp;IF(AND(AB53&gt;0,N(AE53)&lt;'01_Criterios'!$C$12),"desactualizado; ","")&amp;IF(AND(F53&lt;&gt;"+",F53&lt;&gt;"-"),"sentido ambíguo; ","")&amp;IF(OR(NOT(ISNUMBER(G53)),NOT(ISNUMBER(H53))),"sem limites min/max; ","")))</f>
        <v/>
      </c>
      <c r="AN53" s="20">
        <f>IF(OR(AL53=0,$AP53="Excluir"),0,IF(SUMPRODUCT(($O$5:$O$335=$O53)*($AL$5:$AL$335=1)*($AP$5:$AP$335&lt;&gt;"Excluir")*(($AK$5:$AK$335&gt;$AK53)+(($AK$5:$AK$335=$AK53)*(ROW($O$5:$O$335)&lt;ROW()))))=0,1,0))</f>
        <v>0</v>
      </c>
      <c r="AO53" s="20" t="str">
        <f>IF(AN53=0,"",1+SUMPRODUCT(($B$5:$B$335=$B53)*($AN$5:$AN$335=1)*(($AK$5:$AK$335&gt;$AK53)+(($AK$5:$AK$335=$AK53)*(ROW($B$5:$B$335)&lt;ROW())))))</f>
        <v/>
      </c>
      <c r="AP53" s="22" t="s">
        <v>131</v>
      </c>
      <c r="AQ53" s="20">
        <f>IF(INDEX('01_Criterios'!$C$26:$C$36,MATCH($B53,'01_Criterios'!$B$26:$B$36,0))&lt;&gt;1,0,IF($AP53="Excluir",0,IF($AP53="Incluir",IF(AND(OR($F53="+",$F53="-"),ISNUMBER($G53),ISNUMBER($H53),COUNT($Q53:$AA53)&gt;0),1,0),IF('01_Criterios'!$C$18="Automática",IF(AND($AN53=1,$AO53&lt;&gt;"",$AO53&lt;=INDEX('01_Criterios'!$E$26:$E$36,MATCH($B53,'01_Criterios'!$B$26:$B$36,0))),1,0),0))))</f>
        <v>0</v>
      </c>
      <c r="AR53" s="20" t="str">
        <f>IF(AQ53=0,"",IF($AO53&lt;&gt;"",1+SUMPRODUCT(($B$5:$B$335=$B53)*($AQ$5:$AQ$335=1)*($AO$5:$AO$335&lt;$AO53)),1+SUMPRODUCT(($B$5:$B$335=$B53)*($AQ$5:$AQ$335=1)*ISNUMBER($AO$5:$AO$335))+SUMPRODUCT(($B$5:$B$335=$B53)*($AQ$5:$AQ$335=1)*($AO$5:$AO$335="")*(ROW($AO$5:$AO$335)&lt;ROW()))))</f>
        <v/>
      </c>
      <c r="AS53" s="24" t="s">
        <v>384</v>
      </c>
    </row>
    <row r="54" spans="1:45">
      <c r="A54" s="25" t="s">
        <v>385</v>
      </c>
      <c r="B54" s="26" t="s">
        <v>77</v>
      </c>
      <c r="C54" s="26" t="s">
        <v>220</v>
      </c>
      <c r="D54" s="26" t="s">
        <v>386</v>
      </c>
      <c r="E54" s="25" t="s">
        <v>334</v>
      </c>
      <c r="F54" s="25" t="s">
        <v>126</v>
      </c>
      <c r="G54" s="25">
        <v>-20</v>
      </c>
      <c r="H54" s="25">
        <v>20</v>
      </c>
      <c r="I54" s="25">
        <v>0</v>
      </c>
      <c r="J54" s="22">
        <v>1</v>
      </c>
      <c r="K54" s="26" t="s">
        <v>381</v>
      </c>
      <c r="L54" s="25" t="s">
        <v>387</v>
      </c>
      <c r="M54" s="26" t="s">
        <v>383</v>
      </c>
      <c r="N54" s="25">
        <v>0</v>
      </c>
      <c r="O54" s="26" t="s">
        <v>297</v>
      </c>
      <c r="P54" s="25" t="s">
        <v>152</v>
      </c>
      <c r="Q54" s="27">
        <v>-2.5820850000000002</v>
      </c>
      <c r="R54" s="27">
        <v>-3.9341780000000002</v>
      </c>
      <c r="S54" s="27">
        <v>-5.6827209999999999</v>
      </c>
      <c r="T54" s="27">
        <v>1.998796</v>
      </c>
      <c r="U54" s="27">
        <v>-0.19541</v>
      </c>
      <c r="V54" s="27">
        <v>-3.0462609999999999</v>
      </c>
      <c r="W54" s="27">
        <v>1.3520430000000001</v>
      </c>
      <c r="X54" s="27">
        <v>1.7791360000000001</v>
      </c>
      <c r="Y54" s="27">
        <v>-2.4918</v>
      </c>
      <c r="Z54" s="27">
        <v>-1.1923269999999999</v>
      </c>
      <c r="AA54" s="27">
        <v>-4.0702369999999997</v>
      </c>
      <c r="AB54" s="25">
        <f>COUNT(Q54:AA54)</f>
        <v>11</v>
      </c>
      <c r="AC54" s="28">
        <f>AB54/11</f>
        <v>1</v>
      </c>
      <c r="AD54" s="25">
        <f>IFERROR(INDEX($Q$4:$AA$4,MATCH(TRUE,INDEX(ISNUMBER(Q54:AA54),0),0)),"")</f>
        <v>2015</v>
      </c>
      <c r="AE54" s="25">
        <f>IFERROR(LOOKUP(2,1/ISNUMBER(Q54:AA54),$Q$4:$AA$4),"")</f>
        <v>2025</v>
      </c>
      <c r="AF54" s="28">
        <f>IF(AB54=0,"",AB54/(AE54-AD54+1))</f>
        <v>1</v>
      </c>
      <c r="AG54" s="25">
        <f>IF(AB54=0,"",'01_Criterios'!$C$8-AE54)</f>
        <v>0</v>
      </c>
      <c r="AH54" s="29">
        <f>IF(P54="Em uso",100,IF(P54="Alta",85,IF(P54="Média",55,30)))</f>
        <v>85</v>
      </c>
      <c r="AI54" s="29">
        <f>ROUND(100*AC54,1)</f>
        <v>100</v>
      </c>
      <c r="AJ54" s="29">
        <f>IF(AB54=0,0,ROUND(MAX(0,100*AF54-10*AG54),1))</f>
        <v>100</v>
      </c>
      <c r="AK54" s="29">
        <f>ROUND(('01_Criterios'!$C$19*AH54+'01_Criterios'!$C$20*AI54+'01_Criterios'!$C$21*AJ54)/('01_Criterios'!$C$19+'01_Criterios'!$C$20+'01_Criterios'!$C$21)+N54*'01_Criterios'!$C$22,1)</f>
        <v>94</v>
      </c>
      <c r="AL54" s="25">
        <f>IF(AND(AB54&gt;=3,AC54&gt;='01_Criterios'!$C$11,N(AE54)&gt;='01_Criterios'!$C$12,OR(F54="+",F54="-"),ISNUMBER(G54),ISNUMBER(H54)),1,0)</f>
        <v>1</v>
      </c>
      <c r="AM54" s="30" t="str">
        <f>IF(AL54=1,"",TRIM(IF(AB54=0,"sem dados no período; ",IF(AB54&lt;3,"série demasiado curta; ",""))&amp;IF(AND(AB54&gt;0,AC54&lt;'01_Criterios'!$C$11),"cobertura insuficiente; ","")&amp;IF(AND(AB54&gt;0,N(AE54)&lt;'01_Criterios'!$C$12),"desactualizado; ","")&amp;IF(AND(F54&lt;&gt;"+",F54&lt;&gt;"-"),"sentido ambíguo; ","")&amp;IF(OR(NOT(ISNUMBER(G54)),NOT(ISNUMBER(H54))),"sem limites min/max; ","")))</f>
        <v/>
      </c>
      <c r="AN54" s="25">
        <f>IF(OR(AL54=0,$AP54="Excluir"),0,IF(SUMPRODUCT(($O$5:$O$335=$O54)*($AL$5:$AL$335=1)*($AP$5:$AP$335&lt;&gt;"Excluir")*(($AK$5:$AK$335&gt;$AK54)+(($AK$5:$AK$335=$AK54)*(ROW($O$5:$O$335)&lt;ROW()))))=0,1,0))</f>
        <v>0</v>
      </c>
      <c r="AO54" s="25" t="str">
        <f>IF(AN54=0,"",1+SUMPRODUCT(($B$5:$B$335=$B54)*($AN$5:$AN$335=1)*(($AK$5:$AK$335&gt;$AK54)+(($AK$5:$AK$335=$AK54)*(ROW($B$5:$B$335)&lt;ROW())))))</f>
        <v/>
      </c>
      <c r="AP54" s="22" t="s">
        <v>131</v>
      </c>
      <c r="AQ54" s="25">
        <f>IF(INDEX('01_Criterios'!$C$26:$C$36,MATCH($B54,'01_Criterios'!$B$26:$B$36,0))&lt;&gt;1,0,IF($AP54="Excluir",0,IF($AP54="Incluir",IF(AND(OR($F54="+",$F54="-"),ISNUMBER($G54),ISNUMBER($H54),COUNT($Q54:$AA54)&gt;0),1,0),IF('01_Criterios'!$C$18="Automática",IF(AND($AN54=1,$AO54&lt;&gt;"",$AO54&lt;=INDEX('01_Criterios'!$E$26:$E$36,MATCH($B54,'01_Criterios'!$B$26:$B$36,0))),1,0),0))))</f>
        <v>0</v>
      </c>
      <c r="AR54" s="25" t="str">
        <f>IF(AQ54=0,"",IF($AO54&lt;&gt;"",1+SUMPRODUCT(($B$5:$B$335=$B54)*($AQ$5:$AQ$335=1)*($AO$5:$AO$335&lt;$AO54)),1+SUMPRODUCT(($B$5:$B$335=$B54)*($AQ$5:$AQ$335=1)*ISNUMBER($AO$5:$AO$335))+SUMPRODUCT(($B$5:$B$335=$B54)*($AQ$5:$AQ$335=1)*($AO$5:$AO$335="")*(ROW($AO$5:$AO$335)&lt;ROW()))))</f>
        <v/>
      </c>
      <c r="AS54" s="24" t="s">
        <v>388</v>
      </c>
    </row>
    <row r="55" spans="1:45">
      <c r="A55" s="20" t="s">
        <v>389</v>
      </c>
      <c r="B55" s="21" t="s">
        <v>77</v>
      </c>
      <c r="C55" s="21" t="s">
        <v>271</v>
      </c>
      <c r="D55" s="21" t="s">
        <v>390</v>
      </c>
      <c r="E55" s="20" t="s">
        <v>391</v>
      </c>
      <c r="F55" s="20" t="s">
        <v>158</v>
      </c>
      <c r="G55" s="20">
        <v>0</v>
      </c>
      <c r="H55" s="20">
        <v>80</v>
      </c>
      <c r="I55" s="20">
        <v>10</v>
      </c>
      <c r="J55" s="22">
        <v>1</v>
      </c>
      <c r="K55" s="21" t="s">
        <v>392</v>
      </c>
      <c r="L55" s="20" t="s">
        <v>393</v>
      </c>
      <c r="M55" s="21" t="s">
        <v>161</v>
      </c>
      <c r="N55" s="20">
        <v>1</v>
      </c>
      <c r="O55" s="21" t="s">
        <v>389</v>
      </c>
      <c r="P55" s="20" t="s">
        <v>180</v>
      </c>
      <c r="Q55" s="6">
        <v>22.134</v>
      </c>
      <c r="R55" s="6">
        <v>36.311399999999999</v>
      </c>
      <c r="S55" s="6">
        <v>1.3806</v>
      </c>
      <c r="T55" s="6">
        <v>52.399900000000002</v>
      </c>
      <c r="U55" s="6">
        <v>44.282200000000003</v>
      </c>
      <c r="V55" s="6">
        <v>58.502699999999997</v>
      </c>
      <c r="W55" s="6">
        <v>9.1971000000000007</v>
      </c>
      <c r="X55" s="6">
        <v>27.061</v>
      </c>
      <c r="Y55" s="6">
        <v>48.733899999999998</v>
      </c>
      <c r="Z55" s="6">
        <v>26.981100000000001</v>
      </c>
      <c r="AA55" s="6">
        <v>4.8452999999999999</v>
      </c>
      <c r="AB55" s="20">
        <f>COUNT(Q55:AA55)</f>
        <v>11</v>
      </c>
      <c r="AC55" s="23">
        <f>AB55/11</f>
        <v>1</v>
      </c>
      <c r="AD55" s="20">
        <f>IFERROR(INDEX($Q$4:$AA$4,MATCH(TRUE,INDEX(ISNUMBER(Q55:AA55),0),0)),"")</f>
        <v>2015</v>
      </c>
      <c r="AE55" s="20">
        <f>IFERROR(LOOKUP(2,1/ISNUMBER(Q55:AA55),$Q$4:$AA$4),"")</f>
        <v>2025</v>
      </c>
      <c r="AF55" s="23">
        <f>IF(AB55=0,"",AB55/(AE55-AD55+1))</f>
        <v>1</v>
      </c>
      <c r="AG55" s="20">
        <f>IF(AB55=0,"",'01_Criterios'!$C$8-AE55)</f>
        <v>0</v>
      </c>
      <c r="AH55" s="7">
        <f>IF(P55="Em uso",100,IF(P55="Alta",85,IF(P55="Média",55,30)))</f>
        <v>55</v>
      </c>
      <c r="AI55" s="7">
        <f>ROUND(100*AC55,1)</f>
        <v>100</v>
      </c>
      <c r="AJ55" s="7">
        <f>IF(AB55=0,0,ROUND(MAX(0,100*AF55-10*AG55),1))</f>
        <v>100</v>
      </c>
      <c r="AK55" s="7">
        <f>ROUND(('01_Criterios'!$C$19*AH55+'01_Criterios'!$C$20*AI55+'01_Criterios'!$C$21*AJ55)/('01_Criterios'!$C$19+'01_Criterios'!$C$20+'01_Criterios'!$C$21)+N55*'01_Criterios'!$C$22,1)</f>
        <v>94</v>
      </c>
      <c r="AL55" s="20">
        <f>IF(AND(AB55&gt;=3,AC55&gt;='01_Criterios'!$C$11,N(AE55)&gt;='01_Criterios'!$C$12,OR(F55="+",F55="-"),ISNUMBER(G55),ISNUMBER(H55)),1,0)</f>
        <v>1</v>
      </c>
      <c r="AM55" s="24" t="str">
        <f>IF(AL55=1,"",TRIM(IF(AB55=0,"sem dados no período; ",IF(AB55&lt;3,"série demasiado curta; ",""))&amp;IF(AND(AB55&gt;0,AC55&lt;'01_Criterios'!$C$11),"cobertura insuficiente; ","")&amp;IF(AND(AB55&gt;0,N(AE55)&lt;'01_Criterios'!$C$12),"desactualizado; ","")&amp;IF(AND(F55&lt;&gt;"+",F55&lt;&gt;"-"),"sentido ambíguo; ","")&amp;IF(OR(NOT(ISNUMBER(G55)),NOT(ISNUMBER(H55))),"sem limites min/max; ","")))</f>
        <v/>
      </c>
      <c r="AN55" s="20">
        <f>IF(OR(AL55=0,$AP55="Excluir"),0,IF(SUMPRODUCT(($O$5:$O$335=$O55)*($AL$5:$AL$335=1)*($AP$5:$AP$335&lt;&gt;"Excluir")*(($AK$5:$AK$335&gt;$AK55)+(($AK$5:$AK$335=$AK55)*(ROW($O$5:$O$335)&lt;ROW()))))=0,1,0))</f>
        <v>1</v>
      </c>
      <c r="AO55" s="20">
        <f>IF(AN55=0,"",1+SUMPRODUCT(($B$5:$B$335=$B55)*($AN$5:$AN$335=1)*(($AK$5:$AK$335&gt;$AK55)+(($AK$5:$AK$335=$AK55)*(ROW($B$5:$B$335)&lt;ROW())))))</f>
        <v>12</v>
      </c>
      <c r="AP55" s="22" t="s">
        <v>131</v>
      </c>
      <c r="AQ55" s="20">
        <f>IF(INDEX('01_Criterios'!$C$26:$C$36,MATCH($B55,'01_Criterios'!$B$26:$B$36,0))&lt;&gt;1,0,IF($AP55="Excluir",0,IF($AP55="Incluir",IF(AND(OR($F55="+",$F55="-"),ISNUMBER($G55),ISNUMBER($H55),COUNT($Q55:$AA55)&gt;0),1,0),IF('01_Criterios'!$C$18="Automática",IF(AND($AN55=1,$AO55&lt;&gt;"",$AO55&lt;=INDEX('01_Criterios'!$E$26:$E$36,MATCH($B55,'01_Criterios'!$B$26:$B$36,0))),1,0),0))))</f>
        <v>0</v>
      </c>
      <c r="AR55" s="20" t="str">
        <f>IF(AQ55=0,"",IF($AO55&lt;&gt;"",1+SUMPRODUCT(($B$5:$B$335=$B55)*($AQ$5:$AQ$335=1)*($AO$5:$AO$335&lt;$AO55)),1+SUMPRODUCT(($B$5:$B$335=$B55)*($AQ$5:$AQ$335=1)*ISNUMBER($AO$5:$AO$335))+SUMPRODUCT(($B$5:$B$335=$B55)*($AQ$5:$AQ$335=1)*($AO$5:$AO$335="")*(ROW($AO$5:$AO$335)&lt;ROW()))))</f>
        <v/>
      </c>
      <c r="AS55" s="24" t="s">
        <v>394</v>
      </c>
    </row>
    <row r="56" spans="1:45">
      <c r="A56" s="25" t="s">
        <v>395</v>
      </c>
      <c r="B56" s="26" t="s">
        <v>77</v>
      </c>
      <c r="C56" s="26" t="s">
        <v>321</v>
      </c>
      <c r="D56" s="26" t="s">
        <v>396</v>
      </c>
      <c r="E56" s="25" t="s">
        <v>157</v>
      </c>
      <c r="F56" s="25" t="s">
        <v>158</v>
      </c>
      <c r="G56" s="25">
        <v>0</v>
      </c>
      <c r="H56" s="25">
        <v>50</v>
      </c>
      <c r="I56" s="25">
        <v>10</v>
      </c>
      <c r="J56" s="22">
        <v>1</v>
      </c>
      <c r="K56" s="26" t="s">
        <v>323</v>
      </c>
      <c r="L56" s="25" t="s">
        <v>397</v>
      </c>
      <c r="M56" s="26" t="s">
        <v>398</v>
      </c>
      <c r="N56" s="25">
        <v>1</v>
      </c>
      <c r="O56" s="26" t="s">
        <v>287</v>
      </c>
      <c r="P56" s="25" t="s">
        <v>180</v>
      </c>
      <c r="Q56" s="27">
        <v>14.27</v>
      </c>
      <c r="R56" s="27">
        <v>41.95</v>
      </c>
      <c r="S56" s="27">
        <v>26.26</v>
      </c>
      <c r="T56" s="27">
        <v>18.21</v>
      </c>
      <c r="U56" s="27">
        <v>17.059999999999999</v>
      </c>
      <c r="V56" s="27">
        <v>25.19</v>
      </c>
      <c r="W56" s="27">
        <v>30.43</v>
      </c>
      <c r="X56" s="27">
        <v>13.14</v>
      </c>
      <c r="Y56" s="27">
        <v>26.02</v>
      </c>
      <c r="Z56" s="27">
        <v>32.18</v>
      </c>
      <c r="AA56" s="27">
        <v>14.2</v>
      </c>
      <c r="AB56" s="25">
        <f>COUNT(Q56:AA56)</f>
        <v>11</v>
      </c>
      <c r="AC56" s="28">
        <f>AB56/11</f>
        <v>1</v>
      </c>
      <c r="AD56" s="25">
        <f>IFERROR(INDEX($Q$4:$AA$4,MATCH(TRUE,INDEX(ISNUMBER(Q56:AA56),0),0)),"")</f>
        <v>2015</v>
      </c>
      <c r="AE56" s="25">
        <f>IFERROR(LOOKUP(2,1/ISNUMBER(Q56:AA56),$Q$4:$AA$4),"")</f>
        <v>2025</v>
      </c>
      <c r="AF56" s="28">
        <f>IF(AB56=0,"",AB56/(AE56-AD56+1))</f>
        <v>1</v>
      </c>
      <c r="AG56" s="25">
        <f>IF(AB56=0,"",'01_Criterios'!$C$8-AE56)</f>
        <v>0</v>
      </c>
      <c r="AH56" s="29">
        <f>IF(P56="Em uso",100,IF(P56="Alta",85,IF(P56="Média",55,30)))</f>
        <v>55</v>
      </c>
      <c r="AI56" s="29">
        <f>ROUND(100*AC56,1)</f>
        <v>100</v>
      </c>
      <c r="AJ56" s="29">
        <f>IF(AB56=0,0,ROUND(MAX(0,100*AF56-10*AG56),1))</f>
        <v>100</v>
      </c>
      <c r="AK56" s="29">
        <f>ROUND(('01_Criterios'!$C$19*AH56+'01_Criterios'!$C$20*AI56+'01_Criterios'!$C$21*AJ56)/('01_Criterios'!$C$19+'01_Criterios'!$C$20+'01_Criterios'!$C$21)+N56*'01_Criterios'!$C$22,1)</f>
        <v>94</v>
      </c>
      <c r="AL56" s="25">
        <f>IF(AND(AB56&gt;=3,AC56&gt;='01_Criterios'!$C$11,N(AE56)&gt;='01_Criterios'!$C$12,OR(F56="+",F56="-"),ISNUMBER(G56),ISNUMBER(H56)),1,0)</f>
        <v>1</v>
      </c>
      <c r="AM56" s="30" t="str">
        <f>IF(AL56=1,"",TRIM(IF(AB56=0,"sem dados no período; ",IF(AB56&lt;3,"série demasiado curta; ",""))&amp;IF(AND(AB56&gt;0,AC56&lt;'01_Criterios'!$C$11),"cobertura insuficiente; ","")&amp;IF(AND(AB56&gt;0,N(AE56)&lt;'01_Criterios'!$C$12),"desactualizado; ","")&amp;IF(AND(F56&lt;&gt;"+",F56&lt;&gt;"-"),"sentido ambíguo; ","")&amp;IF(OR(NOT(ISNUMBER(G56)),NOT(ISNUMBER(H56))),"sem limites min/max; ","")))</f>
        <v/>
      </c>
      <c r="AN56" s="25">
        <f>IF(OR(AL56=0,$AP56="Excluir"),0,IF(SUMPRODUCT(($O$5:$O$335=$O56)*($AL$5:$AL$335=1)*($AP$5:$AP$335&lt;&gt;"Excluir")*(($AK$5:$AK$335&gt;$AK56)+(($AK$5:$AK$335=$AK56)*(ROW($O$5:$O$335)&lt;ROW()))))=0,1,0))</f>
        <v>0</v>
      </c>
      <c r="AO56" s="25" t="str">
        <f>IF(AN56=0,"",1+SUMPRODUCT(($B$5:$B$335=$B56)*($AN$5:$AN$335=1)*(($AK$5:$AK$335&gt;$AK56)+(($AK$5:$AK$335=$AK56)*(ROW($B$5:$B$335)&lt;ROW())))))</f>
        <v/>
      </c>
      <c r="AP56" s="22" t="s">
        <v>131</v>
      </c>
      <c r="AQ56" s="25">
        <f>IF(INDEX('01_Criterios'!$C$26:$C$36,MATCH($B56,'01_Criterios'!$B$26:$B$36,0))&lt;&gt;1,0,IF($AP56="Excluir",0,IF($AP56="Incluir",IF(AND(OR($F56="+",$F56="-"),ISNUMBER($G56),ISNUMBER($H56),COUNT($Q56:$AA56)&gt;0),1,0),IF('01_Criterios'!$C$18="Automática",IF(AND($AN56=1,$AO56&lt;&gt;"",$AO56&lt;=INDEX('01_Criterios'!$E$26:$E$36,MATCH($B56,'01_Criterios'!$B$26:$B$36,0))),1,0),0))))</f>
        <v>0</v>
      </c>
      <c r="AR56" s="25" t="str">
        <f>IF(AQ56=0,"",IF($AO56&lt;&gt;"",1+SUMPRODUCT(($B$5:$B$335=$B56)*($AQ$5:$AQ$335=1)*($AO$5:$AO$335&lt;$AO56)),1+SUMPRODUCT(($B$5:$B$335=$B56)*($AQ$5:$AQ$335=1)*ISNUMBER($AO$5:$AO$335))+SUMPRODUCT(($B$5:$B$335=$B56)*($AQ$5:$AQ$335=1)*($AO$5:$AO$335="")*(ROW($AO$5:$AO$335)&lt;ROW()))))</f>
        <v/>
      </c>
      <c r="AS56" s="24" t="s">
        <v>399</v>
      </c>
    </row>
    <row r="57" spans="1:45">
      <c r="A57" s="20" t="s">
        <v>400</v>
      </c>
      <c r="B57" s="21" t="s">
        <v>77</v>
      </c>
      <c r="C57" s="21" t="s">
        <v>327</v>
      </c>
      <c r="D57" s="21" t="s">
        <v>401</v>
      </c>
      <c r="E57" s="20" t="s">
        <v>402</v>
      </c>
      <c r="F57" s="20" t="s">
        <v>126</v>
      </c>
      <c r="G57" s="20">
        <v>0</v>
      </c>
      <c r="H57" s="20">
        <v>188000</v>
      </c>
      <c r="I57" s="20"/>
      <c r="J57" s="22">
        <v>1</v>
      </c>
      <c r="K57" s="21" t="s">
        <v>335</v>
      </c>
      <c r="L57" s="20" t="s">
        <v>403</v>
      </c>
      <c r="M57" s="21" t="s">
        <v>335</v>
      </c>
      <c r="N57" s="20">
        <v>1</v>
      </c>
      <c r="O57" s="21" t="s">
        <v>400</v>
      </c>
      <c r="P57" s="20" t="s">
        <v>180</v>
      </c>
      <c r="Q57" s="6">
        <v>131627.79389999999</v>
      </c>
      <c r="R57" s="6">
        <v>116484.754</v>
      </c>
      <c r="S57" s="6">
        <v>141910.6268</v>
      </c>
      <c r="T57" s="6">
        <v>115497.6189</v>
      </c>
      <c r="U57" s="6">
        <v>95265.400699999998</v>
      </c>
      <c r="V57" s="6">
        <v>66121.967099999994</v>
      </c>
      <c r="W57" s="6">
        <v>83993.289799999999</v>
      </c>
      <c r="X57" s="6">
        <v>139413.76629999999</v>
      </c>
      <c r="Y57" s="6">
        <v>112875.5361</v>
      </c>
      <c r="Z57" s="6">
        <v>119574.11500000001</v>
      </c>
      <c r="AA57" s="6">
        <v>141731.96239999999</v>
      </c>
      <c r="AB57" s="20">
        <f>COUNT(Q57:AA57)</f>
        <v>11</v>
      </c>
      <c r="AC57" s="23">
        <f>AB57/11</f>
        <v>1</v>
      </c>
      <c r="AD57" s="20">
        <f>IFERROR(INDEX($Q$4:$AA$4,MATCH(TRUE,INDEX(ISNUMBER(Q57:AA57),0),0)),"")</f>
        <v>2015</v>
      </c>
      <c r="AE57" s="20">
        <f>IFERROR(LOOKUP(2,1/ISNUMBER(Q57:AA57),$Q$4:$AA$4),"")</f>
        <v>2025</v>
      </c>
      <c r="AF57" s="23">
        <f>IF(AB57=0,"",AB57/(AE57-AD57+1))</f>
        <v>1</v>
      </c>
      <c r="AG57" s="20">
        <f>IF(AB57=0,"",'01_Criterios'!$C$8-AE57)</f>
        <v>0</v>
      </c>
      <c r="AH57" s="7">
        <f>IF(P57="Em uso",100,IF(P57="Alta",85,IF(P57="Média",55,30)))</f>
        <v>55</v>
      </c>
      <c r="AI57" s="7">
        <f>ROUND(100*AC57,1)</f>
        <v>100</v>
      </c>
      <c r="AJ57" s="7">
        <f>IF(AB57=0,0,ROUND(MAX(0,100*AF57-10*AG57),1))</f>
        <v>100</v>
      </c>
      <c r="AK57" s="7">
        <f>ROUND(('01_Criterios'!$C$19*AH57+'01_Criterios'!$C$20*AI57+'01_Criterios'!$C$21*AJ57)/('01_Criterios'!$C$19+'01_Criterios'!$C$20+'01_Criterios'!$C$21)+N57*'01_Criterios'!$C$22,1)</f>
        <v>94</v>
      </c>
      <c r="AL57" s="20">
        <f>IF(AND(AB57&gt;=3,AC57&gt;='01_Criterios'!$C$11,N(AE57)&gt;='01_Criterios'!$C$12,OR(F57="+",F57="-"),ISNUMBER(G57),ISNUMBER(H57)),1,0)</f>
        <v>1</v>
      </c>
      <c r="AM57" s="24" t="str">
        <f>IF(AL57=1,"",TRIM(IF(AB57=0,"sem dados no período; ",IF(AB57&lt;3,"série demasiado curta; ",""))&amp;IF(AND(AB57&gt;0,AC57&lt;'01_Criterios'!$C$11),"cobertura insuficiente; ","")&amp;IF(AND(AB57&gt;0,N(AE57)&lt;'01_Criterios'!$C$12),"desactualizado; ","")&amp;IF(AND(F57&lt;&gt;"+",F57&lt;&gt;"-"),"sentido ambíguo; ","")&amp;IF(OR(NOT(ISNUMBER(G57)),NOT(ISNUMBER(H57))),"sem limites min/max; ","")))</f>
        <v/>
      </c>
      <c r="AN57" s="20">
        <f>IF(OR(AL57=0,$AP57="Excluir"),0,IF(SUMPRODUCT(($O$5:$O$335=$O57)*($AL$5:$AL$335=1)*($AP$5:$AP$335&lt;&gt;"Excluir")*(($AK$5:$AK$335&gt;$AK57)+(($AK$5:$AK$335=$AK57)*(ROW($O$5:$O$335)&lt;ROW()))))=0,1,0))</f>
        <v>1</v>
      </c>
      <c r="AO57" s="20">
        <f>IF(AN57=0,"",1+SUMPRODUCT(($B$5:$B$335=$B57)*($AN$5:$AN$335=1)*(($AK$5:$AK$335&gt;$AK57)+(($AK$5:$AK$335=$AK57)*(ROW($B$5:$B$335)&lt;ROW())))))</f>
        <v>13</v>
      </c>
      <c r="AP57" s="22" t="s">
        <v>131</v>
      </c>
      <c r="AQ57" s="20">
        <f>IF(INDEX('01_Criterios'!$C$26:$C$36,MATCH($B57,'01_Criterios'!$B$26:$B$36,0))&lt;&gt;1,0,IF($AP57="Excluir",0,IF($AP57="Incluir",IF(AND(OR($F57="+",$F57="-"),ISNUMBER($G57),ISNUMBER($H57),COUNT($Q57:$AA57)&gt;0),1,0),IF('01_Criterios'!$C$18="Automática",IF(AND($AN57=1,$AO57&lt;&gt;"",$AO57&lt;=INDEX('01_Criterios'!$E$26:$E$36,MATCH($B57,'01_Criterios'!$B$26:$B$36,0))),1,0),0))))</f>
        <v>0</v>
      </c>
      <c r="AR57" s="20" t="str">
        <f>IF(AQ57=0,"",IF($AO57&lt;&gt;"",1+SUMPRODUCT(($B$5:$B$335=$B57)*($AQ$5:$AQ$335=1)*($AO$5:$AO$335&lt;$AO57)),1+SUMPRODUCT(($B$5:$B$335=$B57)*($AQ$5:$AQ$335=1)*ISNUMBER($AO$5:$AO$335))+SUMPRODUCT(($B$5:$B$335=$B57)*($AQ$5:$AQ$335=1)*($AO$5:$AO$335="")*(ROW($AO$5:$AO$335)&lt;ROW()))))</f>
        <v/>
      </c>
      <c r="AS57" s="24" t="s">
        <v>404</v>
      </c>
    </row>
    <row r="58" spans="1:45">
      <c r="A58" s="25" t="s">
        <v>405</v>
      </c>
      <c r="B58" s="26" t="s">
        <v>77</v>
      </c>
      <c r="C58" s="26" t="s">
        <v>327</v>
      </c>
      <c r="D58" s="26" t="s">
        <v>406</v>
      </c>
      <c r="E58" s="25" t="s">
        <v>157</v>
      </c>
      <c r="F58" s="25" t="s">
        <v>126</v>
      </c>
      <c r="G58" s="25">
        <v>-15</v>
      </c>
      <c r="H58" s="25">
        <v>12</v>
      </c>
      <c r="I58" s="25">
        <v>3</v>
      </c>
      <c r="J58" s="22">
        <v>1</v>
      </c>
      <c r="K58" s="26" t="s">
        <v>329</v>
      </c>
      <c r="L58" s="25" t="s">
        <v>407</v>
      </c>
      <c r="M58" s="26" t="s">
        <v>329</v>
      </c>
      <c r="N58" s="25">
        <v>1</v>
      </c>
      <c r="O58" s="26" t="s">
        <v>405</v>
      </c>
      <c r="P58" s="25" t="s">
        <v>180</v>
      </c>
      <c r="Q58" s="27">
        <v>-2.1840000000000002</v>
      </c>
      <c r="R58" s="27">
        <v>-3.2145999999999999</v>
      </c>
      <c r="S58" s="27">
        <v>-3.1785000000000001</v>
      </c>
      <c r="T58" s="27">
        <v>-3.5352999999999999</v>
      </c>
      <c r="U58" s="27">
        <v>-4.0900999999999996</v>
      </c>
      <c r="V58" s="27">
        <v>-8.1708999999999996</v>
      </c>
      <c r="W58" s="27">
        <v>-1.9643999999999999</v>
      </c>
      <c r="X58" s="27">
        <v>0.4632</v>
      </c>
      <c r="Y58" s="27">
        <v>-1.6748000000000001</v>
      </c>
      <c r="Z58" s="27">
        <v>-2.2456999999999998</v>
      </c>
      <c r="AA58" s="27"/>
      <c r="AB58" s="25">
        <f>COUNT(Q58:AA58)</f>
        <v>10</v>
      </c>
      <c r="AC58" s="28">
        <f>AB58/11</f>
        <v>0.90909090909090906</v>
      </c>
      <c r="AD58" s="25">
        <f>IFERROR(INDEX($Q$4:$AA$4,MATCH(TRUE,INDEX(ISNUMBER(Q58:AA58),0),0)),"")</f>
        <v>2015</v>
      </c>
      <c r="AE58" s="25">
        <f>IFERROR(LOOKUP(2,1/ISNUMBER(Q58:AA58),$Q$4:$AA$4),"")</f>
        <v>2024</v>
      </c>
      <c r="AF58" s="28">
        <f>IF(AB58=0,"",AB58/(AE58-AD58+1))</f>
        <v>1</v>
      </c>
      <c r="AG58" s="25">
        <f>IF(AB58=0,"",'01_Criterios'!$C$8-AE58)</f>
        <v>1</v>
      </c>
      <c r="AH58" s="29">
        <f>IF(P58="Em uso",100,IF(P58="Alta",85,IF(P58="Média",55,30)))</f>
        <v>55</v>
      </c>
      <c r="AI58" s="29">
        <f>ROUND(100*AC58,1)</f>
        <v>90.9</v>
      </c>
      <c r="AJ58" s="29">
        <f>IF(AB58=0,0,ROUND(MAX(0,100*AF58-10*AG58),1))</f>
        <v>90</v>
      </c>
      <c r="AK58" s="29">
        <f>ROUND(('01_Criterios'!$C$19*AH58+'01_Criterios'!$C$20*AI58+'01_Criterios'!$C$21*AJ58)/('01_Criterios'!$C$19+'01_Criterios'!$C$20+'01_Criterios'!$C$21)+N58*'01_Criterios'!$C$22,1)</f>
        <v>88.3</v>
      </c>
      <c r="AL58" s="25">
        <f>IF(AND(AB58&gt;=3,AC58&gt;='01_Criterios'!$C$11,N(AE58)&gt;='01_Criterios'!$C$12,OR(F58="+",F58="-"),ISNUMBER(G58),ISNUMBER(H58)),1,0)</f>
        <v>1</v>
      </c>
      <c r="AM58" s="30" t="str">
        <f>IF(AL58=1,"",TRIM(IF(AB58=0,"sem dados no período; ",IF(AB58&lt;3,"série demasiado curta; ",""))&amp;IF(AND(AB58&gt;0,AC58&lt;'01_Criterios'!$C$11),"cobertura insuficiente; ","")&amp;IF(AND(AB58&gt;0,N(AE58)&lt;'01_Criterios'!$C$12),"desactualizado; ","")&amp;IF(AND(F58&lt;&gt;"+",F58&lt;&gt;"-"),"sentido ambíguo; ","")&amp;IF(OR(NOT(ISNUMBER(G58)),NOT(ISNUMBER(H58))),"sem limites min/max; ","")))</f>
        <v/>
      </c>
      <c r="AN58" s="25">
        <f>IF(OR(AL58=0,$AP58="Excluir"),0,IF(SUMPRODUCT(($O$5:$O$335=$O58)*($AL$5:$AL$335=1)*($AP$5:$AP$335&lt;&gt;"Excluir")*(($AK$5:$AK$335&gt;$AK58)+(($AK$5:$AK$335=$AK58)*(ROW($O$5:$O$335)&lt;ROW()))))=0,1,0))</f>
        <v>1</v>
      </c>
      <c r="AO58" s="25">
        <f>IF(AN58=0,"",1+SUMPRODUCT(($B$5:$B$335=$B58)*($AN$5:$AN$335=1)*(($AK$5:$AK$335&gt;$AK58)+(($AK$5:$AK$335=$AK58)*(ROW($B$5:$B$335)&lt;ROW())))))</f>
        <v>18</v>
      </c>
      <c r="AP58" s="22" t="s">
        <v>131</v>
      </c>
      <c r="AQ58" s="25">
        <f>IF(INDEX('01_Criterios'!$C$26:$C$36,MATCH($B58,'01_Criterios'!$B$26:$B$36,0))&lt;&gt;1,0,IF($AP58="Excluir",0,IF($AP58="Incluir",IF(AND(OR($F58="+",$F58="-"),ISNUMBER($G58),ISNUMBER($H58),COUNT($Q58:$AA58)&gt;0),1,0),IF('01_Criterios'!$C$18="Automática",IF(AND($AN58=1,$AO58&lt;&gt;"",$AO58&lt;=INDEX('01_Criterios'!$E$26:$E$36,MATCH($B58,'01_Criterios'!$B$26:$B$36,0))),1,0),0))))</f>
        <v>0</v>
      </c>
      <c r="AR58" s="25" t="str">
        <f>IF(AQ58=0,"",IF($AO58&lt;&gt;"",1+SUMPRODUCT(($B$5:$B$335=$B58)*($AQ$5:$AQ$335=1)*($AO$5:$AO$335&lt;$AO58)),1+SUMPRODUCT(($B$5:$B$335=$B58)*($AQ$5:$AQ$335=1)*ISNUMBER($AO$5:$AO$335))+SUMPRODUCT(($B$5:$B$335=$B58)*($AQ$5:$AQ$335=1)*($AO$5:$AO$335="")*(ROW($AO$5:$AO$335)&lt;ROW()))))</f>
        <v/>
      </c>
      <c r="AS58" s="24" t="s">
        <v>408</v>
      </c>
    </row>
    <row r="59" spans="1:45">
      <c r="A59" s="20" t="s">
        <v>409</v>
      </c>
      <c r="B59" s="21" t="s">
        <v>77</v>
      </c>
      <c r="C59" s="21" t="s">
        <v>220</v>
      </c>
      <c r="D59" s="21" t="s">
        <v>410</v>
      </c>
      <c r="E59" s="20" t="s">
        <v>334</v>
      </c>
      <c r="F59" s="20" t="s">
        <v>158</v>
      </c>
      <c r="G59" s="20">
        <v>0</v>
      </c>
      <c r="H59" s="20">
        <v>150</v>
      </c>
      <c r="I59" s="20">
        <v>60</v>
      </c>
      <c r="J59" s="22">
        <v>1</v>
      </c>
      <c r="K59" s="21" t="s">
        <v>335</v>
      </c>
      <c r="L59" s="20" t="s">
        <v>411</v>
      </c>
      <c r="M59" s="21" t="s">
        <v>335</v>
      </c>
      <c r="N59" s="20">
        <v>1</v>
      </c>
      <c r="O59" s="21" t="s">
        <v>337</v>
      </c>
      <c r="P59" s="20" t="s">
        <v>180</v>
      </c>
      <c r="Q59" s="6">
        <v>39.213700000000003</v>
      </c>
      <c r="R59" s="6">
        <v>51.8185</v>
      </c>
      <c r="S59" s="6">
        <v>42.140099999999997</v>
      </c>
      <c r="T59" s="6">
        <v>52.205100000000002</v>
      </c>
      <c r="U59" s="6">
        <v>65.375299999999996</v>
      </c>
      <c r="V59" s="6">
        <v>98.494600000000005</v>
      </c>
      <c r="W59" s="6">
        <v>77.086200000000005</v>
      </c>
      <c r="X59" s="6">
        <v>42.1449</v>
      </c>
      <c r="Y59" s="6">
        <v>49.608600000000003</v>
      </c>
      <c r="Z59" s="6">
        <v>45.418799999999997</v>
      </c>
      <c r="AA59" s="6">
        <v>45.384900000000002</v>
      </c>
      <c r="AB59" s="20">
        <f>COUNT(Q59:AA59)</f>
        <v>11</v>
      </c>
      <c r="AC59" s="23">
        <f>AB59/11</f>
        <v>1</v>
      </c>
      <c r="AD59" s="20">
        <f>IFERROR(INDEX($Q$4:$AA$4,MATCH(TRUE,INDEX(ISNUMBER(Q59:AA59),0),0)),"")</f>
        <v>2015</v>
      </c>
      <c r="AE59" s="20">
        <f>IFERROR(LOOKUP(2,1/ISNUMBER(Q59:AA59),$Q$4:$AA$4),"")</f>
        <v>2025</v>
      </c>
      <c r="AF59" s="23">
        <f>IF(AB59=0,"",AB59/(AE59-AD59+1))</f>
        <v>1</v>
      </c>
      <c r="AG59" s="20">
        <f>IF(AB59=0,"",'01_Criterios'!$C$8-AE59)</f>
        <v>0</v>
      </c>
      <c r="AH59" s="7">
        <f>IF(P59="Em uso",100,IF(P59="Alta",85,IF(P59="Média",55,30)))</f>
        <v>55</v>
      </c>
      <c r="AI59" s="7">
        <f>ROUND(100*AC59,1)</f>
        <v>100</v>
      </c>
      <c r="AJ59" s="7">
        <f>IF(AB59=0,0,ROUND(MAX(0,100*AF59-10*AG59),1))</f>
        <v>100</v>
      </c>
      <c r="AK59" s="7">
        <f>ROUND(('01_Criterios'!$C$19*AH59+'01_Criterios'!$C$20*AI59+'01_Criterios'!$C$21*AJ59)/('01_Criterios'!$C$19+'01_Criterios'!$C$20+'01_Criterios'!$C$21)+N59*'01_Criterios'!$C$22,1)</f>
        <v>94</v>
      </c>
      <c r="AL59" s="20">
        <f>IF(AND(AB59&gt;=3,AC59&gt;='01_Criterios'!$C$11,N(AE59)&gt;='01_Criterios'!$C$12,OR(F59="+",F59="-"),ISNUMBER(G59),ISNUMBER(H59)),1,0)</f>
        <v>1</v>
      </c>
      <c r="AM59" s="24" t="str">
        <f>IF(AL59=1,"",TRIM(IF(AB59=0,"sem dados no período; ",IF(AB59&lt;3,"série demasiado curta; ",""))&amp;IF(AND(AB59&gt;0,AC59&lt;'01_Criterios'!$C$11),"cobertura insuficiente; ","")&amp;IF(AND(AB59&gt;0,N(AE59)&lt;'01_Criterios'!$C$12),"desactualizado; ","")&amp;IF(AND(F59&lt;&gt;"+",F59&lt;&gt;"-"),"sentido ambíguo; ","")&amp;IF(OR(NOT(ISNUMBER(G59)),NOT(ISNUMBER(H59))),"sem limites min/max; ","")))</f>
        <v/>
      </c>
      <c r="AN59" s="20">
        <f>IF(OR(AL59=0,$AP59="Excluir"),0,IF(SUMPRODUCT(($O$5:$O$335=$O59)*($AL$5:$AL$335=1)*($AP$5:$AP$335&lt;&gt;"Excluir")*(($AK$5:$AK$335&gt;$AK59)+(($AK$5:$AK$335=$AK59)*(ROW($O$5:$O$335)&lt;ROW()))))=0,1,0))</f>
        <v>0</v>
      </c>
      <c r="AO59" s="20" t="str">
        <f>IF(AN59=0,"",1+SUMPRODUCT(($B$5:$B$335=$B59)*($AN$5:$AN$335=1)*(($AK$5:$AK$335&gt;$AK59)+(($AK$5:$AK$335=$AK59)*(ROW($B$5:$B$335)&lt;ROW())))))</f>
        <v/>
      </c>
      <c r="AP59" s="22" t="s">
        <v>131</v>
      </c>
      <c r="AQ59" s="20">
        <f>IF(INDEX('01_Criterios'!$C$26:$C$36,MATCH($B59,'01_Criterios'!$B$26:$B$36,0))&lt;&gt;1,0,IF($AP59="Excluir",0,IF($AP59="Incluir",IF(AND(OR($F59="+",$F59="-"),ISNUMBER($G59),ISNUMBER($H59),COUNT($Q59:$AA59)&gt;0),1,0),IF('01_Criterios'!$C$18="Automática",IF(AND($AN59=1,$AO59&lt;&gt;"",$AO59&lt;=INDEX('01_Criterios'!$E$26:$E$36,MATCH($B59,'01_Criterios'!$B$26:$B$36,0))),1,0),0))))</f>
        <v>0</v>
      </c>
      <c r="AR59" s="20" t="str">
        <f>IF(AQ59=0,"",IF($AO59&lt;&gt;"",1+SUMPRODUCT(($B$5:$B$335=$B59)*($AQ$5:$AQ$335=1)*($AO$5:$AO$335&lt;$AO59)),1+SUMPRODUCT(($B$5:$B$335=$B59)*($AQ$5:$AQ$335=1)*ISNUMBER($AO$5:$AO$335))+SUMPRODUCT(($B$5:$B$335=$B59)*($AQ$5:$AQ$335=1)*($AO$5:$AO$335="")*(ROW($AO$5:$AO$335)&lt;ROW()))))</f>
        <v/>
      </c>
      <c r="AS59" s="24" t="s">
        <v>412</v>
      </c>
    </row>
    <row r="60" spans="1:45">
      <c r="A60" s="25" t="s">
        <v>413</v>
      </c>
      <c r="B60" s="26" t="s">
        <v>77</v>
      </c>
      <c r="C60" s="26" t="s">
        <v>220</v>
      </c>
      <c r="D60" s="26" t="s">
        <v>414</v>
      </c>
      <c r="E60" s="25" t="s">
        <v>334</v>
      </c>
      <c r="F60" s="25" t="s">
        <v>316</v>
      </c>
      <c r="G60" s="25">
        <v>-20</v>
      </c>
      <c r="H60" s="25">
        <v>30</v>
      </c>
      <c r="I60" s="25">
        <v>0</v>
      </c>
      <c r="J60" s="22">
        <v>1</v>
      </c>
      <c r="K60" s="26" t="s">
        <v>329</v>
      </c>
      <c r="L60" s="25" t="s">
        <v>415</v>
      </c>
      <c r="M60" s="26" t="s">
        <v>329</v>
      </c>
      <c r="N60" s="25">
        <v>1</v>
      </c>
      <c r="O60" s="26" t="s">
        <v>413</v>
      </c>
      <c r="P60" s="25" t="s">
        <v>180</v>
      </c>
      <c r="Q60" s="27">
        <v>-7.7956000000000003</v>
      </c>
      <c r="R60" s="27">
        <v>-2.6482999999999999</v>
      </c>
      <c r="S60" s="27">
        <v>-0.44409999999999999</v>
      </c>
      <c r="T60" s="27">
        <v>6.4141000000000004</v>
      </c>
      <c r="U60" s="27">
        <v>5.3979999999999997</v>
      </c>
      <c r="V60" s="27">
        <v>1.3202</v>
      </c>
      <c r="W60" s="27">
        <v>10.0024</v>
      </c>
      <c r="X60" s="27">
        <v>8.4505999999999997</v>
      </c>
      <c r="Y60" s="27">
        <v>3.7084000000000001</v>
      </c>
      <c r="Z60" s="27">
        <v>5.1547000000000001</v>
      </c>
      <c r="AA60" s="27"/>
      <c r="AB60" s="25">
        <f>COUNT(Q60:AA60)</f>
        <v>10</v>
      </c>
      <c r="AC60" s="28">
        <f>AB60/11</f>
        <v>0.90909090909090906</v>
      </c>
      <c r="AD60" s="25">
        <f>IFERROR(INDEX($Q$4:$AA$4,MATCH(TRUE,INDEX(ISNUMBER(Q60:AA60),0),0)),"")</f>
        <v>2015</v>
      </c>
      <c r="AE60" s="25">
        <f>IFERROR(LOOKUP(2,1/ISNUMBER(Q60:AA60),$Q$4:$AA$4),"")</f>
        <v>2024</v>
      </c>
      <c r="AF60" s="28">
        <f>IF(AB60=0,"",AB60/(AE60-AD60+1))</f>
        <v>1</v>
      </c>
      <c r="AG60" s="25">
        <f>IF(AB60=0,"",'01_Criterios'!$C$8-AE60)</f>
        <v>1</v>
      </c>
      <c r="AH60" s="29">
        <f>IF(P60="Em uso",100,IF(P60="Alta",85,IF(P60="Média",55,30)))</f>
        <v>55</v>
      </c>
      <c r="AI60" s="29">
        <f>ROUND(100*AC60,1)</f>
        <v>90.9</v>
      </c>
      <c r="AJ60" s="29">
        <f>IF(AB60=0,0,ROUND(MAX(0,100*AF60-10*AG60),1))</f>
        <v>90</v>
      </c>
      <c r="AK60" s="29">
        <f>ROUND(('01_Criterios'!$C$19*AH60+'01_Criterios'!$C$20*AI60+'01_Criterios'!$C$21*AJ60)/('01_Criterios'!$C$19+'01_Criterios'!$C$20+'01_Criterios'!$C$21)+N60*'01_Criterios'!$C$22,1)</f>
        <v>88.3</v>
      </c>
      <c r="AL60" s="25">
        <f>IF(AND(AB60&gt;=3,AC60&gt;='01_Criterios'!$C$11,N(AE60)&gt;='01_Criterios'!$C$12,OR(F60="+",F60="-"),ISNUMBER(G60),ISNUMBER(H60)),1,0)</f>
        <v>0</v>
      </c>
      <c r="AM60" s="30" t="str">
        <f>IF(AL60=1,"",TRIM(IF(AB60=0,"sem dados no período; ",IF(AB60&lt;3,"série demasiado curta; ",""))&amp;IF(AND(AB60&gt;0,AC60&lt;'01_Criterios'!$C$11),"cobertura insuficiente; ","")&amp;IF(AND(AB60&gt;0,N(AE60)&lt;'01_Criterios'!$C$12),"desactualizado; ","")&amp;IF(AND(F60&lt;&gt;"+",F60&lt;&gt;"-"),"sentido ambíguo; ","")&amp;IF(OR(NOT(ISNUMBER(G60)),NOT(ISNUMBER(H60))),"sem limites min/max; ","")))</f>
        <v>sentido ambíguo;</v>
      </c>
      <c r="AN60" s="25">
        <f>IF(OR(AL60=0,$AP60="Excluir"),0,IF(SUMPRODUCT(($O$5:$O$335=$O60)*($AL$5:$AL$335=1)*($AP$5:$AP$335&lt;&gt;"Excluir")*(($AK$5:$AK$335&gt;$AK60)+(($AK$5:$AK$335=$AK60)*(ROW($O$5:$O$335)&lt;ROW()))))=0,1,0))</f>
        <v>0</v>
      </c>
      <c r="AO60" s="25" t="str">
        <f>IF(AN60=0,"",1+SUMPRODUCT(($B$5:$B$335=$B60)*($AN$5:$AN$335=1)*(($AK$5:$AK$335&gt;$AK60)+(($AK$5:$AK$335=$AK60)*(ROW($B$5:$B$335)&lt;ROW())))))</f>
        <v/>
      </c>
      <c r="AP60" s="22" t="s">
        <v>131</v>
      </c>
      <c r="AQ60" s="25">
        <f>IF(INDEX('01_Criterios'!$C$26:$C$36,MATCH($B60,'01_Criterios'!$B$26:$B$36,0))&lt;&gt;1,0,IF($AP60="Excluir",0,IF($AP60="Incluir",IF(AND(OR($F60="+",$F60="-"),ISNUMBER($G60),ISNUMBER($H60),COUNT($Q60:$AA60)&gt;0),1,0),IF('01_Criterios'!$C$18="Automática",IF(AND($AN60=1,$AO60&lt;&gt;"",$AO60&lt;=INDEX('01_Criterios'!$E$26:$E$36,MATCH($B60,'01_Criterios'!$B$26:$B$36,0))),1,0),0))))</f>
        <v>0</v>
      </c>
      <c r="AR60" s="25" t="str">
        <f>IF(AQ60=0,"",IF($AO60&lt;&gt;"",1+SUMPRODUCT(($B$5:$B$335=$B60)*($AQ$5:$AQ$335=1)*($AO$5:$AO$335&lt;$AO60)),1+SUMPRODUCT(($B$5:$B$335=$B60)*($AQ$5:$AQ$335=1)*ISNUMBER($AO$5:$AO$335))+SUMPRODUCT(($B$5:$B$335=$B60)*($AQ$5:$AQ$335=1)*($AO$5:$AO$335="")*(ROW($AO$5:$AO$335)&lt;ROW()))))</f>
        <v/>
      </c>
      <c r="AS60" s="24" t="s">
        <v>344</v>
      </c>
    </row>
    <row r="61" spans="1:45">
      <c r="A61" s="20" t="s">
        <v>416</v>
      </c>
      <c r="B61" s="21" t="s">
        <v>77</v>
      </c>
      <c r="C61" s="21" t="s">
        <v>340</v>
      </c>
      <c r="D61" s="21" t="s">
        <v>417</v>
      </c>
      <c r="E61" s="20" t="s">
        <v>334</v>
      </c>
      <c r="F61" s="20" t="s">
        <v>126</v>
      </c>
      <c r="G61" s="20">
        <v>0</v>
      </c>
      <c r="H61" s="20">
        <v>60</v>
      </c>
      <c r="I61" s="20">
        <v>25</v>
      </c>
      <c r="J61" s="22">
        <v>1</v>
      </c>
      <c r="K61" s="21" t="s">
        <v>329</v>
      </c>
      <c r="L61" s="20" t="s">
        <v>418</v>
      </c>
      <c r="M61" s="21" t="s">
        <v>329</v>
      </c>
      <c r="N61" s="20">
        <v>1</v>
      </c>
      <c r="O61" s="21" t="s">
        <v>419</v>
      </c>
      <c r="P61" s="20" t="s">
        <v>180</v>
      </c>
      <c r="Q61" s="6">
        <v>21.308199999999999</v>
      </c>
      <c r="R61" s="6">
        <v>27.043199999999999</v>
      </c>
      <c r="S61" s="6">
        <v>28.310099999999998</v>
      </c>
      <c r="T61" s="6">
        <v>30.346299999999999</v>
      </c>
      <c r="U61" s="6">
        <v>29.931999999999999</v>
      </c>
      <c r="V61" s="6">
        <v>21.076599999999999</v>
      </c>
      <c r="W61" s="6">
        <v>26.245699999999999</v>
      </c>
      <c r="X61" s="6">
        <v>22.958400000000001</v>
      </c>
      <c r="Y61" s="6">
        <v>16.1494</v>
      </c>
      <c r="Z61" s="6">
        <v>15.883699999999999</v>
      </c>
      <c r="AA61" s="6"/>
      <c r="AB61" s="20">
        <f>COUNT(Q61:AA61)</f>
        <v>10</v>
      </c>
      <c r="AC61" s="23">
        <f>AB61/11</f>
        <v>0.90909090909090906</v>
      </c>
      <c r="AD61" s="20">
        <f>IFERROR(INDEX($Q$4:$AA$4,MATCH(TRUE,INDEX(ISNUMBER(Q61:AA61),0),0)),"")</f>
        <v>2015</v>
      </c>
      <c r="AE61" s="20">
        <f>IFERROR(LOOKUP(2,1/ISNUMBER(Q61:AA61),$Q$4:$AA$4),"")</f>
        <v>2024</v>
      </c>
      <c r="AF61" s="23">
        <f>IF(AB61=0,"",AB61/(AE61-AD61+1))</f>
        <v>1</v>
      </c>
      <c r="AG61" s="20">
        <f>IF(AB61=0,"",'01_Criterios'!$C$8-AE61)</f>
        <v>1</v>
      </c>
      <c r="AH61" s="7">
        <f>IF(P61="Em uso",100,IF(P61="Alta",85,IF(P61="Média",55,30)))</f>
        <v>55</v>
      </c>
      <c r="AI61" s="7">
        <f>ROUND(100*AC61,1)</f>
        <v>90.9</v>
      </c>
      <c r="AJ61" s="7">
        <f>IF(AB61=0,0,ROUND(MAX(0,100*AF61-10*AG61),1))</f>
        <v>90</v>
      </c>
      <c r="AK61" s="7">
        <f>ROUND(('01_Criterios'!$C$19*AH61+'01_Criterios'!$C$20*AI61+'01_Criterios'!$C$21*AJ61)/('01_Criterios'!$C$19+'01_Criterios'!$C$20+'01_Criterios'!$C$21)+N61*'01_Criterios'!$C$22,1)</f>
        <v>88.3</v>
      </c>
      <c r="AL61" s="20">
        <f>IF(AND(AB61&gt;=3,AC61&gt;='01_Criterios'!$C$11,N(AE61)&gt;='01_Criterios'!$C$12,OR(F61="+",F61="-"),ISNUMBER(G61),ISNUMBER(H61)),1,0)</f>
        <v>1</v>
      </c>
      <c r="AM61" s="24" t="str">
        <f>IF(AL61=1,"",TRIM(IF(AB61=0,"sem dados no período; ",IF(AB61&lt;3,"série demasiado curta; ",""))&amp;IF(AND(AB61&gt;0,AC61&lt;'01_Criterios'!$C$11),"cobertura insuficiente; ","")&amp;IF(AND(AB61&gt;0,N(AE61)&lt;'01_Criterios'!$C$12),"desactualizado; ","")&amp;IF(AND(F61&lt;&gt;"+",F61&lt;&gt;"-"),"sentido ambíguo; ","")&amp;IF(OR(NOT(ISNUMBER(G61)),NOT(ISNUMBER(H61))),"sem limites min/max; ","")))</f>
        <v/>
      </c>
      <c r="AN61" s="20">
        <f>IF(OR(AL61=0,$AP61="Excluir"),0,IF(SUMPRODUCT(($O$5:$O$335=$O61)*($AL$5:$AL$335=1)*($AP$5:$AP$335&lt;&gt;"Excluir")*(($AK$5:$AK$335&gt;$AK61)+(($AK$5:$AK$335=$AK61)*(ROW($O$5:$O$335)&lt;ROW()))))=0,1,0))</f>
        <v>1</v>
      </c>
      <c r="AO61" s="20">
        <f>IF(AN61=0,"",1+SUMPRODUCT(($B$5:$B$335=$B61)*($AN$5:$AN$335=1)*(($AK$5:$AK$335&gt;$AK61)+(($AK$5:$AK$335=$AK61)*(ROW($B$5:$B$335)&lt;ROW())))))</f>
        <v>19</v>
      </c>
      <c r="AP61" s="22" t="s">
        <v>131</v>
      </c>
      <c r="AQ61" s="20">
        <f>IF(INDEX('01_Criterios'!$C$26:$C$36,MATCH($B61,'01_Criterios'!$B$26:$B$36,0))&lt;&gt;1,0,IF($AP61="Excluir",0,IF($AP61="Incluir",IF(AND(OR($F61="+",$F61="-"),ISNUMBER($G61),ISNUMBER($H61),COUNT($Q61:$AA61)&gt;0),1,0),IF('01_Criterios'!$C$18="Automática",IF(AND($AN61=1,$AO61&lt;&gt;"",$AO61&lt;=INDEX('01_Criterios'!$E$26:$E$36,MATCH($B61,'01_Criterios'!$B$26:$B$36,0))),1,0),0))))</f>
        <v>0</v>
      </c>
      <c r="AR61" s="20" t="str">
        <f>IF(AQ61=0,"",IF($AO61&lt;&gt;"",1+SUMPRODUCT(($B$5:$B$335=$B61)*($AQ$5:$AQ$335=1)*($AO$5:$AO$335&lt;$AO61)),1+SUMPRODUCT(($B$5:$B$335=$B61)*($AQ$5:$AQ$335=1)*ISNUMBER($AO$5:$AO$335))+SUMPRODUCT(($B$5:$B$335=$B61)*($AQ$5:$AQ$335=1)*($AO$5:$AO$335="")*(ROW($AO$5:$AO$335)&lt;ROW()))))</f>
        <v/>
      </c>
      <c r="AS61" s="24" t="s">
        <v>344</v>
      </c>
    </row>
    <row r="62" spans="1:45">
      <c r="A62" s="25" t="s">
        <v>420</v>
      </c>
      <c r="B62" s="26" t="s">
        <v>77</v>
      </c>
      <c r="C62" s="26" t="s">
        <v>346</v>
      </c>
      <c r="D62" s="26" t="s">
        <v>421</v>
      </c>
      <c r="E62" s="25" t="s">
        <v>334</v>
      </c>
      <c r="F62" s="25" t="s">
        <v>126</v>
      </c>
      <c r="G62" s="25">
        <v>0</v>
      </c>
      <c r="H62" s="25">
        <v>100</v>
      </c>
      <c r="I62" s="25"/>
      <c r="J62" s="22">
        <v>1</v>
      </c>
      <c r="K62" s="26" t="s">
        <v>335</v>
      </c>
      <c r="L62" s="25" t="s">
        <v>422</v>
      </c>
      <c r="M62" s="26" t="s">
        <v>335</v>
      </c>
      <c r="N62" s="25">
        <v>1</v>
      </c>
      <c r="O62" s="26" t="s">
        <v>423</v>
      </c>
      <c r="P62" s="25" t="s">
        <v>180</v>
      </c>
      <c r="Q62" s="27">
        <v>25.208300000000001</v>
      </c>
      <c r="R62" s="27">
        <v>23.6845</v>
      </c>
      <c r="S62" s="27">
        <v>24.390999999999998</v>
      </c>
      <c r="T62" s="27">
        <v>35.288800000000002</v>
      </c>
      <c r="U62" s="27">
        <v>36.4514</v>
      </c>
      <c r="V62" s="27">
        <v>31.664899999999999</v>
      </c>
      <c r="W62" s="27">
        <v>39.981200000000001</v>
      </c>
      <c r="X62" s="27">
        <v>35.8917</v>
      </c>
      <c r="Y62" s="27">
        <v>32.677300000000002</v>
      </c>
      <c r="Z62" s="27">
        <v>30.771699999999999</v>
      </c>
      <c r="AA62" s="27">
        <v>21.558599999999998</v>
      </c>
      <c r="AB62" s="25">
        <f>COUNT(Q62:AA62)</f>
        <v>11</v>
      </c>
      <c r="AC62" s="28">
        <f>AB62/11</f>
        <v>1</v>
      </c>
      <c r="AD62" s="25">
        <f>IFERROR(INDEX($Q$4:$AA$4,MATCH(TRUE,INDEX(ISNUMBER(Q62:AA62),0),0)),"")</f>
        <v>2015</v>
      </c>
      <c r="AE62" s="25">
        <f>IFERROR(LOOKUP(2,1/ISNUMBER(Q62:AA62),$Q$4:$AA$4),"")</f>
        <v>2025</v>
      </c>
      <c r="AF62" s="28">
        <f>IF(AB62=0,"",AB62/(AE62-AD62+1))</f>
        <v>1</v>
      </c>
      <c r="AG62" s="25">
        <f>IF(AB62=0,"",'01_Criterios'!$C$8-AE62)</f>
        <v>0</v>
      </c>
      <c r="AH62" s="29">
        <f>IF(P62="Em uso",100,IF(P62="Alta",85,IF(P62="Média",55,30)))</f>
        <v>55</v>
      </c>
      <c r="AI62" s="29">
        <f>ROUND(100*AC62,1)</f>
        <v>100</v>
      </c>
      <c r="AJ62" s="29">
        <f>IF(AB62=0,0,ROUND(MAX(0,100*AF62-10*AG62),1))</f>
        <v>100</v>
      </c>
      <c r="AK62" s="29">
        <f>ROUND(('01_Criterios'!$C$19*AH62+'01_Criterios'!$C$20*AI62+'01_Criterios'!$C$21*AJ62)/('01_Criterios'!$C$19+'01_Criterios'!$C$20+'01_Criterios'!$C$21)+N62*'01_Criterios'!$C$22,1)</f>
        <v>94</v>
      </c>
      <c r="AL62" s="25">
        <f>IF(AND(AB62&gt;=3,AC62&gt;='01_Criterios'!$C$11,N(AE62)&gt;='01_Criterios'!$C$12,OR(F62="+",F62="-"),ISNUMBER(G62),ISNUMBER(H62)),1,0)</f>
        <v>1</v>
      </c>
      <c r="AM62" s="30" t="str">
        <f>IF(AL62=1,"",TRIM(IF(AB62=0,"sem dados no período; ",IF(AB62&lt;3,"série demasiado curta; ",""))&amp;IF(AND(AB62&gt;0,AC62&lt;'01_Criterios'!$C$11),"cobertura insuficiente; ","")&amp;IF(AND(AB62&gt;0,N(AE62)&lt;'01_Criterios'!$C$12),"desactualizado; ","")&amp;IF(AND(F62&lt;&gt;"+",F62&lt;&gt;"-"),"sentido ambíguo; ","")&amp;IF(OR(NOT(ISNUMBER(G62)),NOT(ISNUMBER(H62))),"sem limites min/max; ","")))</f>
        <v/>
      </c>
      <c r="AN62" s="25">
        <f>IF(OR(AL62=0,$AP62="Excluir"),0,IF(SUMPRODUCT(($O$5:$O$335=$O62)*($AL$5:$AL$335=1)*($AP$5:$AP$335&lt;&gt;"Excluir")*(($AK$5:$AK$335&gt;$AK62)+(($AK$5:$AK$335=$AK62)*(ROW($O$5:$O$335)&lt;ROW()))))=0,1,0))</f>
        <v>1</v>
      </c>
      <c r="AO62" s="25">
        <f>IF(AN62=0,"",1+SUMPRODUCT(($B$5:$B$335=$B62)*($AN$5:$AN$335=1)*(($AK$5:$AK$335&gt;$AK62)+(($AK$5:$AK$335=$AK62)*(ROW($B$5:$B$335)&lt;ROW())))))</f>
        <v>14</v>
      </c>
      <c r="AP62" s="22" t="s">
        <v>131</v>
      </c>
      <c r="AQ62" s="25">
        <f>IF(INDEX('01_Criterios'!$C$26:$C$36,MATCH($B62,'01_Criterios'!$B$26:$B$36,0))&lt;&gt;1,0,IF($AP62="Excluir",0,IF($AP62="Incluir",IF(AND(OR($F62="+",$F62="-"),ISNUMBER($G62),ISNUMBER($H62),COUNT($Q62:$AA62)&gt;0),1,0),IF('01_Criterios'!$C$18="Automática",IF(AND($AN62=1,$AO62&lt;&gt;"",$AO62&lt;=INDEX('01_Criterios'!$E$26:$E$36,MATCH($B62,'01_Criterios'!$B$26:$B$36,0))),1,0),0))))</f>
        <v>0</v>
      </c>
      <c r="AR62" s="25" t="str">
        <f>IF(AQ62=0,"",IF($AO62&lt;&gt;"",1+SUMPRODUCT(($B$5:$B$335=$B62)*($AQ$5:$AQ$335=1)*($AO$5:$AO$335&lt;$AO62)),1+SUMPRODUCT(($B$5:$B$335=$B62)*($AQ$5:$AQ$335=1)*ISNUMBER($AO$5:$AO$335))+SUMPRODUCT(($B$5:$B$335=$B62)*($AQ$5:$AQ$335=1)*($AO$5:$AO$335="")*(ROW($AO$5:$AO$335)&lt;ROW()))))</f>
        <v/>
      </c>
      <c r="AS62" s="24" t="s">
        <v>424</v>
      </c>
    </row>
    <row r="63" spans="1:45">
      <c r="A63" s="20" t="s">
        <v>425</v>
      </c>
      <c r="B63" s="21" t="s">
        <v>77</v>
      </c>
      <c r="C63" s="21" t="s">
        <v>346</v>
      </c>
      <c r="D63" s="21" t="s">
        <v>426</v>
      </c>
      <c r="E63" s="20" t="s">
        <v>334</v>
      </c>
      <c r="F63" s="20" t="s">
        <v>126</v>
      </c>
      <c r="G63" s="20">
        <v>0</v>
      </c>
      <c r="H63" s="20">
        <v>60</v>
      </c>
      <c r="I63" s="20"/>
      <c r="J63" s="22">
        <v>1</v>
      </c>
      <c r="K63" s="21" t="s">
        <v>335</v>
      </c>
      <c r="L63" s="20" t="s">
        <v>427</v>
      </c>
      <c r="M63" s="21" t="s">
        <v>335</v>
      </c>
      <c r="N63" s="20">
        <v>1</v>
      </c>
      <c r="O63" s="21" t="s">
        <v>428</v>
      </c>
      <c r="P63" s="20" t="s">
        <v>180</v>
      </c>
      <c r="Q63" s="6">
        <v>18.5519</v>
      </c>
      <c r="R63" s="6">
        <v>20.906199999999998</v>
      </c>
      <c r="S63" s="6">
        <v>12.8445</v>
      </c>
      <c r="T63" s="6">
        <v>14.000500000000001</v>
      </c>
      <c r="U63" s="6">
        <v>18.0669</v>
      </c>
      <c r="V63" s="6">
        <v>22.5016</v>
      </c>
      <c r="W63" s="6">
        <v>18.4635</v>
      </c>
      <c r="X63" s="6">
        <v>10.5159</v>
      </c>
      <c r="Y63" s="6">
        <v>13.0467</v>
      </c>
      <c r="Z63" s="6">
        <v>13.186400000000001</v>
      </c>
      <c r="AA63" s="6">
        <v>11.2151</v>
      </c>
      <c r="AB63" s="20">
        <f>COUNT(Q63:AA63)</f>
        <v>11</v>
      </c>
      <c r="AC63" s="23">
        <f>AB63/11</f>
        <v>1</v>
      </c>
      <c r="AD63" s="20">
        <f>IFERROR(INDEX($Q$4:$AA$4,MATCH(TRUE,INDEX(ISNUMBER(Q63:AA63),0),0)),"")</f>
        <v>2015</v>
      </c>
      <c r="AE63" s="20">
        <f>IFERROR(LOOKUP(2,1/ISNUMBER(Q63:AA63),$Q$4:$AA$4),"")</f>
        <v>2025</v>
      </c>
      <c r="AF63" s="23">
        <f>IF(AB63=0,"",AB63/(AE63-AD63+1))</f>
        <v>1</v>
      </c>
      <c r="AG63" s="20">
        <f>IF(AB63=0,"",'01_Criterios'!$C$8-AE63)</f>
        <v>0</v>
      </c>
      <c r="AH63" s="7">
        <f>IF(P63="Em uso",100,IF(P63="Alta",85,IF(P63="Média",55,30)))</f>
        <v>55</v>
      </c>
      <c r="AI63" s="7">
        <f>ROUND(100*AC63,1)</f>
        <v>100</v>
      </c>
      <c r="AJ63" s="7">
        <f>IF(AB63=0,0,ROUND(MAX(0,100*AF63-10*AG63),1))</f>
        <v>100</v>
      </c>
      <c r="AK63" s="7">
        <f>ROUND(('01_Criterios'!$C$19*AH63+'01_Criterios'!$C$20*AI63+'01_Criterios'!$C$21*AJ63)/('01_Criterios'!$C$19+'01_Criterios'!$C$20+'01_Criterios'!$C$21)+N63*'01_Criterios'!$C$22,1)</f>
        <v>94</v>
      </c>
      <c r="AL63" s="20">
        <f>IF(AND(AB63&gt;=3,AC63&gt;='01_Criterios'!$C$11,N(AE63)&gt;='01_Criterios'!$C$12,OR(F63="+",F63="-"),ISNUMBER(G63),ISNUMBER(H63)),1,0)</f>
        <v>1</v>
      </c>
      <c r="AM63" s="24" t="str">
        <f>IF(AL63=1,"",TRIM(IF(AB63=0,"sem dados no período; ",IF(AB63&lt;3,"série demasiado curta; ",""))&amp;IF(AND(AB63&gt;0,AC63&lt;'01_Criterios'!$C$11),"cobertura insuficiente; ","")&amp;IF(AND(AB63&gt;0,N(AE63)&lt;'01_Criterios'!$C$12),"desactualizado; ","")&amp;IF(AND(F63&lt;&gt;"+",F63&lt;&gt;"-"),"sentido ambíguo; ","")&amp;IF(OR(NOT(ISNUMBER(G63)),NOT(ISNUMBER(H63))),"sem limites min/max; ","")))</f>
        <v/>
      </c>
      <c r="AN63" s="20">
        <f>IF(OR(AL63=0,$AP63="Excluir"),0,IF(SUMPRODUCT(($O$5:$O$335=$O63)*($AL$5:$AL$335=1)*($AP$5:$AP$335&lt;&gt;"Excluir")*(($AK$5:$AK$335&gt;$AK63)+(($AK$5:$AK$335=$AK63)*(ROW($O$5:$O$335)&lt;ROW()))))=0,1,0))</f>
        <v>1</v>
      </c>
      <c r="AO63" s="20">
        <f>IF(AN63=0,"",1+SUMPRODUCT(($B$5:$B$335=$B63)*($AN$5:$AN$335=1)*(($AK$5:$AK$335&gt;$AK63)+(($AK$5:$AK$335=$AK63)*(ROW($B$5:$B$335)&lt;ROW())))))</f>
        <v>15</v>
      </c>
      <c r="AP63" s="22" t="s">
        <v>131</v>
      </c>
      <c r="AQ63" s="20">
        <f>IF(INDEX('01_Criterios'!$C$26:$C$36,MATCH($B63,'01_Criterios'!$B$26:$B$36,0))&lt;&gt;1,0,IF($AP63="Excluir",0,IF($AP63="Incluir",IF(AND(OR($F63="+",$F63="-"),ISNUMBER($G63),ISNUMBER($H63),COUNT($Q63:$AA63)&gt;0),1,0),IF('01_Criterios'!$C$18="Automática",IF(AND($AN63=1,$AO63&lt;&gt;"",$AO63&lt;=INDEX('01_Criterios'!$E$26:$E$36,MATCH($B63,'01_Criterios'!$B$26:$B$36,0))),1,0),0))))</f>
        <v>0</v>
      </c>
      <c r="AR63" s="20" t="str">
        <f>IF(AQ63=0,"",IF($AO63&lt;&gt;"",1+SUMPRODUCT(($B$5:$B$335=$B63)*($AQ$5:$AQ$335=1)*($AO$5:$AO$335&lt;$AO63)),1+SUMPRODUCT(($B$5:$B$335=$B63)*($AQ$5:$AQ$335=1)*ISNUMBER($AO$5:$AO$335))+SUMPRODUCT(($B$5:$B$335=$B63)*($AQ$5:$AQ$335=1)*($AO$5:$AO$335="")*(ROW($AO$5:$AO$335)&lt;ROW()))))</f>
        <v/>
      </c>
      <c r="AS63" s="24" t="s">
        <v>429</v>
      </c>
    </row>
    <row r="64" spans="1:45">
      <c r="A64" s="25" t="s">
        <v>430</v>
      </c>
      <c r="B64" s="26" t="s">
        <v>77</v>
      </c>
      <c r="C64" s="26" t="s">
        <v>346</v>
      </c>
      <c r="D64" s="26" t="s">
        <v>431</v>
      </c>
      <c r="E64" s="25" t="s">
        <v>157</v>
      </c>
      <c r="F64" s="25" t="s">
        <v>158</v>
      </c>
      <c r="G64" s="25">
        <v>0</v>
      </c>
      <c r="H64" s="25">
        <v>100</v>
      </c>
      <c r="I64" s="25">
        <v>15</v>
      </c>
      <c r="J64" s="22">
        <v>1</v>
      </c>
      <c r="K64" s="26" t="s">
        <v>335</v>
      </c>
      <c r="L64" s="25" t="s">
        <v>432</v>
      </c>
      <c r="M64" s="26" t="s">
        <v>335</v>
      </c>
      <c r="N64" s="25">
        <v>1</v>
      </c>
      <c r="O64" s="26" t="s">
        <v>430</v>
      </c>
      <c r="P64" s="25" t="s">
        <v>180</v>
      </c>
      <c r="Q64" s="27">
        <v>21.410799999999998</v>
      </c>
      <c r="R64" s="27">
        <v>29.0381</v>
      </c>
      <c r="S64" s="27">
        <v>30.3019</v>
      </c>
      <c r="T64" s="27">
        <v>22.872599999999998</v>
      </c>
      <c r="U64" s="27">
        <v>29.715299999999999</v>
      </c>
      <c r="V64" s="27">
        <v>41.963700000000003</v>
      </c>
      <c r="W64" s="27">
        <v>31.194800000000001</v>
      </c>
      <c r="X64" s="27">
        <v>19.1648</v>
      </c>
      <c r="Y64" s="27">
        <v>37.964399999999998</v>
      </c>
      <c r="Z64" s="27">
        <v>30.241199999999999</v>
      </c>
      <c r="AA64" s="27">
        <v>31.533999999999999</v>
      </c>
      <c r="AB64" s="25">
        <f>COUNT(Q64:AA64)</f>
        <v>11</v>
      </c>
      <c r="AC64" s="28">
        <f>AB64/11</f>
        <v>1</v>
      </c>
      <c r="AD64" s="25">
        <f>IFERROR(INDEX($Q$4:$AA$4,MATCH(TRUE,INDEX(ISNUMBER(Q64:AA64),0),0)),"")</f>
        <v>2015</v>
      </c>
      <c r="AE64" s="25">
        <f>IFERROR(LOOKUP(2,1/ISNUMBER(Q64:AA64),$Q$4:$AA$4),"")</f>
        <v>2025</v>
      </c>
      <c r="AF64" s="28">
        <f>IF(AB64=0,"",AB64/(AE64-AD64+1))</f>
        <v>1</v>
      </c>
      <c r="AG64" s="25">
        <f>IF(AB64=0,"",'01_Criterios'!$C$8-AE64)</f>
        <v>0</v>
      </c>
      <c r="AH64" s="29">
        <f>IF(P64="Em uso",100,IF(P64="Alta",85,IF(P64="Média",55,30)))</f>
        <v>55</v>
      </c>
      <c r="AI64" s="29">
        <f>ROUND(100*AC64,1)</f>
        <v>100</v>
      </c>
      <c r="AJ64" s="29">
        <f>IF(AB64=0,0,ROUND(MAX(0,100*AF64-10*AG64),1))</f>
        <v>100</v>
      </c>
      <c r="AK64" s="29">
        <f>ROUND(('01_Criterios'!$C$19*AH64+'01_Criterios'!$C$20*AI64+'01_Criterios'!$C$21*AJ64)/('01_Criterios'!$C$19+'01_Criterios'!$C$20+'01_Criterios'!$C$21)+N64*'01_Criterios'!$C$22,1)</f>
        <v>94</v>
      </c>
      <c r="AL64" s="25">
        <f>IF(AND(AB64&gt;=3,AC64&gt;='01_Criterios'!$C$11,N(AE64)&gt;='01_Criterios'!$C$12,OR(F64="+",F64="-"),ISNUMBER(G64),ISNUMBER(H64)),1,0)</f>
        <v>1</v>
      </c>
      <c r="AM64" s="30" t="str">
        <f>IF(AL64=1,"",TRIM(IF(AB64=0,"sem dados no período; ",IF(AB64&lt;3,"série demasiado curta; ",""))&amp;IF(AND(AB64&gt;0,AC64&lt;'01_Criterios'!$C$11),"cobertura insuficiente; ","")&amp;IF(AND(AB64&gt;0,N(AE64)&lt;'01_Criterios'!$C$12),"desactualizado; ","")&amp;IF(AND(F64&lt;&gt;"+",F64&lt;&gt;"-"),"sentido ambíguo; ","")&amp;IF(OR(NOT(ISNUMBER(G64)),NOT(ISNUMBER(H64))),"sem limites min/max; ","")))</f>
        <v/>
      </c>
      <c r="AN64" s="25">
        <f>IF(OR(AL64=0,$AP64="Excluir"),0,IF(SUMPRODUCT(($O$5:$O$335=$O64)*($AL$5:$AL$335=1)*($AP$5:$AP$335&lt;&gt;"Excluir")*(($AK$5:$AK$335&gt;$AK64)+(($AK$5:$AK$335=$AK64)*(ROW($O$5:$O$335)&lt;ROW()))))=0,1,0))</f>
        <v>1</v>
      </c>
      <c r="AO64" s="25">
        <f>IF(AN64=0,"",1+SUMPRODUCT(($B$5:$B$335=$B64)*($AN$5:$AN$335=1)*(($AK$5:$AK$335&gt;$AK64)+(($AK$5:$AK$335=$AK64)*(ROW($B$5:$B$335)&lt;ROW())))))</f>
        <v>16</v>
      </c>
      <c r="AP64" s="22" t="s">
        <v>131</v>
      </c>
      <c r="AQ64" s="25">
        <f>IF(INDEX('01_Criterios'!$C$26:$C$36,MATCH($B64,'01_Criterios'!$B$26:$B$36,0))&lt;&gt;1,0,IF($AP64="Excluir",0,IF($AP64="Incluir",IF(AND(OR($F64="+",$F64="-"),ISNUMBER($G64),ISNUMBER($H64),COUNT($Q64:$AA64)&gt;0),1,0),IF('01_Criterios'!$C$18="Automática",IF(AND($AN64=1,$AO64&lt;&gt;"",$AO64&lt;=INDEX('01_Criterios'!$E$26:$E$36,MATCH($B64,'01_Criterios'!$B$26:$B$36,0))),1,0),0))))</f>
        <v>0</v>
      </c>
      <c r="AR64" s="25" t="str">
        <f>IF(AQ64=0,"",IF($AO64&lt;&gt;"",1+SUMPRODUCT(($B$5:$B$335=$B64)*($AQ$5:$AQ$335=1)*($AO$5:$AO$335&lt;$AO64)),1+SUMPRODUCT(($B$5:$B$335=$B64)*($AQ$5:$AQ$335=1)*ISNUMBER($AO$5:$AO$335))+SUMPRODUCT(($B$5:$B$335=$B64)*($AQ$5:$AQ$335=1)*($AO$5:$AO$335="")*(ROW($AO$5:$AO$335)&lt;ROW()))))</f>
        <v/>
      </c>
      <c r="AS64" s="24" t="s">
        <v>433</v>
      </c>
    </row>
    <row r="65" spans="1:45">
      <c r="A65" s="20" t="s">
        <v>434</v>
      </c>
      <c r="B65" s="21" t="s">
        <v>77</v>
      </c>
      <c r="C65" s="21" t="s">
        <v>346</v>
      </c>
      <c r="D65" s="21" t="s">
        <v>435</v>
      </c>
      <c r="E65" s="20" t="s">
        <v>402</v>
      </c>
      <c r="F65" s="20" t="s">
        <v>126</v>
      </c>
      <c r="G65" s="20">
        <v>0</v>
      </c>
      <c r="H65" s="20">
        <v>37000</v>
      </c>
      <c r="I65" s="20"/>
      <c r="J65" s="22">
        <v>1</v>
      </c>
      <c r="K65" s="21" t="s">
        <v>335</v>
      </c>
      <c r="L65" s="20" t="s">
        <v>436</v>
      </c>
      <c r="M65" s="21" t="s">
        <v>335</v>
      </c>
      <c r="N65" s="20">
        <v>1</v>
      </c>
      <c r="O65" s="21" t="s">
        <v>428</v>
      </c>
      <c r="P65" s="20" t="s">
        <v>180</v>
      </c>
      <c r="Q65" s="6">
        <v>24419.494600000002</v>
      </c>
      <c r="R65" s="6">
        <v>24352.5422</v>
      </c>
      <c r="S65" s="6">
        <v>18227.7539</v>
      </c>
      <c r="T65" s="6">
        <v>16170.244500000001</v>
      </c>
      <c r="U65" s="6">
        <v>17211.4961</v>
      </c>
      <c r="V65" s="6">
        <v>14878.5291</v>
      </c>
      <c r="W65" s="6">
        <v>15508.1003</v>
      </c>
      <c r="X65" s="6">
        <v>14660.602999999999</v>
      </c>
      <c r="Y65" s="6">
        <v>14726.5738</v>
      </c>
      <c r="Z65" s="6">
        <v>15767.5625</v>
      </c>
      <c r="AA65" s="6">
        <v>15895.33</v>
      </c>
      <c r="AB65" s="20">
        <f>COUNT(Q65:AA65)</f>
        <v>11</v>
      </c>
      <c r="AC65" s="23">
        <f>AB65/11</f>
        <v>1</v>
      </c>
      <c r="AD65" s="20">
        <f>IFERROR(INDEX($Q$4:$AA$4,MATCH(TRUE,INDEX(ISNUMBER(Q65:AA65),0),0)),"")</f>
        <v>2015</v>
      </c>
      <c r="AE65" s="20">
        <f>IFERROR(LOOKUP(2,1/ISNUMBER(Q65:AA65),$Q$4:$AA$4),"")</f>
        <v>2025</v>
      </c>
      <c r="AF65" s="23">
        <f>IF(AB65=0,"",AB65/(AE65-AD65+1))</f>
        <v>1</v>
      </c>
      <c r="AG65" s="20">
        <f>IF(AB65=0,"",'01_Criterios'!$C$8-AE65)</f>
        <v>0</v>
      </c>
      <c r="AH65" s="7">
        <f>IF(P65="Em uso",100,IF(P65="Alta",85,IF(P65="Média",55,30)))</f>
        <v>55</v>
      </c>
      <c r="AI65" s="7">
        <f>ROUND(100*AC65,1)</f>
        <v>100</v>
      </c>
      <c r="AJ65" s="7">
        <f>IF(AB65=0,0,ROUND(MAX(0,100*AF65-10*AG65),1))</f>
        <v>100</v>
      </c>
      <c r="AK65" s="7">
        <f>ROUND(('01_Criterios'!$C$19*AH65+'01_Criterios'!$C$20*AI65+'01_Criterios'!$C$21*AJ65)/('01_Criterios'!$C$19+'01_Criterios'!$C$20+'01_Criterios'!$C$21)+N65*'01_Criterios'!$C$22,1)</f>
        <v>94</v>
      </c>
      <c r="AL65" s="20">
        <f>IF(AND(AB65&gt;=3,AC65&gt;='01_Criterios'!$C$11,N(AE65)&gt;='01_Criterios'!$C$12,OR(F65="+",F65="-"),ISNUMBER(G65),ISNUMBER(H65)),1,0)</f>
        <v>1</v>
      </c>
      <c r="AM65" s="24" t="str">
        <f>IF(AL65=1,"",TRIM(IF(AB65=0,"sem dados no período; ",IF(AB65&lt;3,"série demasiado curta; ",""))&amp;IF(AND(AB65&gt;0,AC65&lt;'01_Criterios'!$C$11),"cobertura insuficiente; ","")&amp;IF(AND(AB65&gt;0,N(AE65)&lt;'01_Criterios'!$C$12),"desactualizado; ","")&amp;IF(AND(F65&lt;&gt;"+",F65&lt;&gt;"-"),"sentido ambíguo; ","")&amp;IF(OR(NOT(ISNUMBER(G65)),NOT(ISNUMBER(H65))),"sem limites min/max; ","")))</f>
        <v/>
      </c>
      <c r="AN65" s="20">
        <f>IF(OR(AL65=0,$AP65="Excluir"),0,IF(SUMPRODUCT(($O$5:$O$335=$O65)*($AL$5:$AL$335=1)*($AP$5:$AP$335&lt;&gt;"Excluir")*(($AK$5:$AK$335&gt;$AK65)+(($AK$5:$AK$335=$AK65)*(ROW($O$5:$O$335)&lt;ROW()))))=0,1,0))</f>
        <v>0</v>
      </c>
      <c r="AO65" s="20" t="str">
        <f>IF(AN65=0,"",1+SUMPRODUCT(($B$5:$B$335=$B65)*($AN$5:$AN$335=1)*(($AK$5:$AK$335&gt;$AK65)+(($AK$5:$AK$335=$AK65)*(ROW($B$5:$B$335)&lt;ROW())))))</f>
        <v/>
      </c>
      <c r="AP65" s="22" t="s">
        <v>131</v>
      </c>
      <c r="AQ65" s="20">
        <f>IF(INDEX('01_Criterios'!$C$26:$C$36,MATCH($B65,'01_Criterios'!$B$26:$B$36,0))&lt;&gt;1,0,IF($AP65="Excluir",0,IF($AP65="Incluir",IF(AND(OR($F65="+",$F65="-"),ISNUMBER($G65),ISNUMBER($H65),COUNT($Q65:$AA65)&gt;0),1,0),IF('01_Criterios'!$C$18="Automática",IF(AND($AN65=1,$AO65&lt;&gt;"",$AO65&lt;=INDEX('01_Criterios'!$E$26:$E$36,MATCH($B65,'01_Criterios'!$B$26:$B$36,0))),1,0),0))))</f>
        <v>0</v>
      </c>
      <c r="AR65" s="20" t="str">
        <f>IF(AQ65=0,"",IF($AO65&lt;&gt;"",1+SUMPRODUCT(($B$5:$B$335=$B65)*($AQ$5:$AQ$335=1)*($AO$5:$AO$335&lt;$AO65)),1+SUMPRODUCT(($B$5:$B$335=$B65)*($AQ$5:$AQ$335=1)*ISNUMBER($AO$5:$AO$335))+SUMPRODUCT(($B$5:$B$335=$B65)*($AQ$5:$AQ$335=1)*($AO$5:$AO$335="")*(ROW($AO$5:$AO$335)&lt;ROW()))))</f>
        <v/>
      </c>
      <c r="AS65" s="24" t="s">
        <v>437</v>
      </c>
    </row>
    <row r="66" spans="1:45">
      <c r="A66" s="25" t="s">
        <v>438</v>
      </c>
      <c r="B66" s="26" t="s">
        <v>77</v>
      </c>
      <c r="C66" s="26" t="s">
        <v>346</v>
      </c>
      <c r="D66" s="26" t="s">
        <v>439</v>
      </c>
      <c r="E66" s="25" t="s">
        <v>440</v>
      </c>
      <c r="F66" s="25" t="s">
        <v>316</v>
      </c>
      <c r="G66" s="25">
        <v>0</v>
      </c>
      <c r="H66" s="25">
        <v>1050</v>
      </c>
      <c r="I66" s="25"/>
      <c r="J66" s="22">
        <v>1</v>
      </c>
      <c r="K66" s="26" t="s">
        <v>335</v>
      </c>
      <c r="L66" s="25" t="s">
        <v>441</v>
      </c>
      <c r="M66" s="26" t="s">
        <v>335</v>
      </c>
      <c r="N66" s="25">
        <v>1</v>
      </c>
      <c r="O66" s="26" t="s">
        <v>438</v>
      </c>
      <c r="P66" s="25" t="s">
        <v>180</v>
      </c>
      <c r="Q66" s="27">
        <v>120.09099999999999</v>
      </c>
      <c r="R66" s="27">
        <v>163.63980000000001</v>
      </c>
      <c r="S66" s="27">
        <v>165.916</v>
      </c>
      <c r="T66" s="27">
        <v>252.76519999999999</v>
      </c>
      <c r="U66" s="27">
        <v>364.61329999999998</v>
      </c>
      <c r="V66" s="27">
        <v>578.38040000000001</v>
      </c>
      <c r="W66" s="27">
        <v>624.14210000000003</v>
      </c>
      <c r="X66" s="27">
        <v>459.76429999999999</v>
      </c>
      <c r="Y66" s="27">
        <v>686.59580000000005</v>
      </c>
      <c r="Z66" s="27">
        <v>869.84619999999995</v>
      </c>
      <c r="AA66" s="27">
        <v>911.96900000000005</v>
      </c>
      <c r="AB66" s="25">
        <f>COUNT(Q66:AA66)</f>
        <v>11</v>
      </c>
      <c r="AC66" s="28">
        <f>AB66/11</f>
        <v>1</v>
      </c>
      <c r="AD66" s="25">
        <f>IFERROR(INDEX($Q$4:$AA$4,MATCH(TRUE,INDEX(ISNUMBER(Q66:AA66),0),0)),"")</f>
        <v>2015</v>
      </c>
      <c r="AE66" s="25">
        <f>IFERROR(LOOKUP(2,1/ISNUMBER(Q66:AA66),$Q$4:$AA$4),"")</f>
        <v>2025</v>
      </c>
      <c r="AF66" s="28">
        <f>IF(AB66=0,"",AB66/(AE66-AD66+1))</f>
        <v>1</v>
      </c>
      <c r="AG66" s="25">
        <f>IF(AB66=0,"",'01_Criterios'!$C$8-AE66)</f>
        <v>0</v>
      </c>
      <c r="AH66" s="29">
        <f>IF(P66="Em uso",100,IF(P66="Alta",85,IF(P66="Média",55,30)))</f>
        <v>55</v>
      </c>
      <c r="AI66" s="29">
        <f>ROUND(100*AC66,1)</f>
        <v>100</v>
      </c>
      <c r="AJ66" s="29">
        <f>IF(AB66=0,0,ROUND(MAX(0,100*AF66-10*AG66),1))</f>
        <v>100</v>
      </c>
      <c r="AK66" s="29">
        <f>ROUND(('01_Criterios'!$C$19*AH66+'01_Criterios'!$C$20*AI66+'01_Criterios'!$C$21*AJ66)/('01_Criterios'!$C$19+'01_Criterios'!$C$20+'01_Criterios'!$C$21)+N66*'01_Criterios'!$C$22,1)</f>
        <v>94</v>
      </c>
      <c r="AL66" s="25">
        <f>IF(AND(AB66&gt;=3,AC66&gt;='01_Criterios'!$C$11,N(AE66)&gt;='01_Criterios'!$C$12,OR(F66="+",F66="-"),ISNUMBER(G66),ISNUMBER(H66)),1,0)</f>
        <v>0</v>
      </c>
      <c r="AM66" s="30" t="str">
        <f>IF(AL66=1,"",TRIM(IF(AB66=0,"sem dados no período; ",IF(AB66&lt;3,"série demasiado curta; ",""))&amp;IF(AND(AB66&gt;0,AC66&lt;'01_Criterios'!$C$11),"cobertura insuficiente; ","")&amp;IF(AND(AB66&gt;0,N(AE66)&lt;'01_Criterios'!$C$12),"desactualizado; ","")&amp;IF(AND(F66&lt;&gt;"+",F66&lt;&gt;"-"),"sentido ambíguo; ","")&amp;IF(OR(NOT(ISNUMBER(G66)),NOT(ISNUMBER(H66))),"sem limites min/max; ","")))</f>
        <v>sentido ambíguo;</v>
      </c>
      <c r="AN66" s="25">
        <f>IF(OR(AL66=0,$AP66="Excluir"),0,IF(SUMPRODUCT(($O$5:$O$335=$O66)*($AL$5:$AL$335=1)*($AP$5:$AP$335&lt;&gt;"Excluir")*(($AK$5:$AK$335&gt;$AK66)+(($AK$5:$AK$335=$AK66)*(ROW($O$5:$O$335)&lt;ROW()))))=0,1,0))</f>
        <v>0</v>
      </c>
      <c r="AO66" s="25" t="str">
        <f>IF(AN66=0,"",1+SUMPRODUCT(($B$5:$B$335=$B66)*($AN$5:$AN$335=1)*(($AK$5:$AK$335&gt;$AK66)+(($AK$5:$AK$335=$AK66)*(ROW($B$5:$B$335)&lt;ROW())))))</f>
        <v/>
      </c>
      <c r="AP66" s="22" t="s">
        <v>131</v>
      </c>
      <c r="AQ66" s="25">
        <f>IF(INDEX('01_Criterios'!$C$26:$C$36,MATCH($B66,'01_Criterios'!$B$26:$B$36,0))&lt;&gt;1,0,IF($AP66="Excluir",0,IF($AP66="Incluir",IF(AND(OR($F66="+",$F66="-"),ISNUMBER($G66),ISNUMBER($H66),COUNT($Q66:$AA66)&gt;0),1,0),IF('01_Criterios'!$C$18="Automática",IF(AND($AN66=1,$AO66&lt;&gt;"",$AO66&lt;=INDEX('01_Criterios'!$E$26:$E$36,MATCH($B66,'01_Criterios'!$B$26:$B$36,0))),1,0),0))))</f>
        <v>0</v>
      </c>
      <c r="AR66" s="25" t="str">
        <f>IF(AQ66=0,"",IF($AO66&lt;&gt;"",1+SUMPRODUCT(($B$5:$B$335=$B66)*($AQ$5:$AQ$335=1)*($AO$5:$AO$335&lt;$AO66)),1+SUMPRODUCT(($B$5:$B$335=$B66)*($AQ$5:$AQ$335=1)*ISNUMBER($AO$5:$AO$335))+SUMPRODUCT(($B$5:$B$335=$B66)*($AQ$5:$AQ$335=1)*($AO$5:$AO$335="")*(ROW($AO$5:$AO$335)&lt;ROW()))))</f>
        <v/>
      </c>
      <c r="AS66" s="24" t="s">
        <v>442</v>
      </c>
    </row>
    <row r="67" spans="1:45">
      <c r="A67" s="20" t="s">
        <v>443</v>
      </c>
      <c r="B67" s="21" t="s">
        <v>77</v>
      </c>
      <c r="C67" s="21" t="s">
        <v>271</v>
      </c>
      <c r="D67" s="21" t="s">
        <v>444</v>
      </c>
      <c r="E67" s="20" t="s">
        <v>157</v>
      </c>
      <c r="F67" s="20" t="s">
        <v>126</v>
      </c>
      <c r="G67" s="20">
        <v>0</v>
      </c>
      <c r="H67" s="20">
        <v>100</v>
      </c>
      <c r="I67" s="20">
        <v>40</v>
      </c>
      <c r="J67" s="22">
        <v>1</v>
      </c>
      <c r="K67" s="21" t="s">
        <v>204</v>
      </c>
      <c r="L67" s="20" t="s">
        <v>445</v>
      </c>
      <c r="M67" s="21" t="s">
        <v>161</v>
      </c>
      <c r="N67" s="20">
        <v>0</v>
      </c>
      <c r="O67" s="21" t="s">
        <v>423</v>
      </c>
      <c r="P67" s="20" t="s">
        <v>180</v>
      </c>
      <c r="Q67" s="6">
        <v>26.148931712458499</v>
      </c>
      <c r="R67" s="6">
        <v>24.297292188981348</v>
      </c>
      <c r="S67" s="6">
        <v>25.084824987972681</v>
      </c>
      <c r="T67" s="6">
        <v>35.84811099941097</v>
      </c>
      <c r="U67" s="6">
        <v>36.950082265198922</v>
      </c>
      <c r="V67" s="6">
        <v>31.759535978126891</v>
      </c>
      <c r="W67" s="6">
        <v>40.092305214066037</v>
      </c>
      <c r="X67" s="6">
        <v>36.013485714786839</v>
      </c>
      <c r="Y67" s="6">
        <v>32.669372372041117</v>
      </c>
      <c r="Z67" s="6">
        <v>30.879521904629438</v>
      </c>
      <c r="AA67" s="6">
        <v>22.977750064037679</v>
      </c>
      <c r="AB67" s="20">
        <f>COUNT(Q67:AA67)</f>
        <v>11</v>
      </c>
      <c r="AC67" s="23">
        <f>AB67/11</f>
        <v>1</v>
      </c>
      <c r="AD67" s="20">
        <f>IFERROR(INDEX($Q$4:$AA$4,MATCH(TRUE,INDEX(ISNUMBER(Q67:AA67),0),0)),"")</f>
        <v>2015</v>
      </c>
      <c r="AE67" s="20">
        <f>IFERROR(LOOKUP(2,1/ISNUMBER(Q67:AA67),$Q$4:$AA$4),"")</f>
        <v>2025</v>
      </c>
      <c r="AF67" s="23">
        <f>IF(AB67=0,"",AB67/(AE67-AD67+1))</f>
        <v>1</v>
      </c>
      <c r="AG67" s="20">
        <f>IF(AB67=0,"",'01_Criterios'!$C$8-AE67)</f>
        <v>0</v>
      </c>
      <c r="AH67" s="7">
        <f>IF(P67="Em uso",100,IF(P67="Alta",85,IF(P67="Média",55,30)))</f>
        <v>55</v>
      </c>
      <c r="AI67" s="7">
        <f>ROUND(100*AC67,1)</f>
        <v>100</v>
      </c>
      <c r="AJ67" s="7">
        <f>IF(AB67=0,0,ROUND(MAX(0,100*AF67-10*AG67),1))</f>
        <v>100</v>
      </c>
      <c r="AK67" s="7">
        <f>ROUND(('01_Criterios'!$C$19*AH67+'01_Criterios'!$C$20*AI67+'01_Criterios'!$C$21*AJ67)/('01_Criterios'!$C$19+'01_Criterios'!$C$20+'01_Criterios'!$C$21)+N67*'01_Criterios'!$C$22,1)</f>
        <v>82</v>
      </c>
      <c r="AL67" s="20">
        <f>IF(AND(AB67&gt;=3,AC67&gt;='01_Criterios'!$C$11,N(AE67)&gt;='01_Criterios'!$C$12,OR(F67="+",F67="-"),ISNUMBER(G67),ISNUMBER(H67)),1,0)</f>
        <v>1</v>
      </c>
      <c r="AM67" s="24" t="str">
        <f>IF(AL67=1,"",TRIM(IF(AB67=0,"sem dados no período; ",IF(AB67&lt;3,"série demasiado curta; ",""))&amp;IF(AND(AB67&gt;0,AC67&lt;'01_Criterios'!$C$11),"cobertura insuficiente; ","")&amp;IF(AND(AB67&gt;0,N(AE67)&lt;'01_Criterios'!$C$12),"desactualizado; ","")&amp;IF(AND(F67&lt;&gt;"+",F67&lt;&gt;"-"),"sentido ambíguo; ","")&amp;IF(OR(NOT(ISNUMBER(G67)),NOT(ISNUMBER(H67))),"sem limites min/max; ","")))</f>
        <v/>
      </c>
      <c r="AN67" s="20">
        <f>IF(OR(AL67=0,$AP67="Excluir"),0,IF(SUMPRODUCT(($O$5:$O$335=$O67)*($AL$5:$AL$335=1)*($AP$5:$AP$335&lt;&gt;"Excluir")*(($AK$5:$AK$335&gt;$AK67)+(($AK$5:$AK$335=$AK67)*(ROW($O$5:$O$335)&lt;ROW()))))=0,1,0))</f>
        <v>0</v>
      </c>
      <c r="AO67" s="20" t="str">
        <f>IF(AN67=0,"",1+SUMPRODUCT(($B$5:$B$335=$B67)*($AN$5:$AN$335=1)*(($AK$5:$AK$335&gt;$AK67)+(($AK$5:$AK$335=$AK67)*(ROW($B$5:$B$335)&lt;ROW())))))</f>
        <v/>
      </c>
      <c r="AP67" s="22" t="s">
        <v>131</v>
      </c>
      <c r="AQ67" s="20">
        <f>IF(INDEX('01_Criterios'!$C$26:$C$36,MATCH($B67,'01_Criterios'!$B$26:$B$36,0))&lt;&gt;1,0,IF($AP67="Excluir",0,IF($AP67="Incluir",IF(AND(OR($F67="+",$F67="-"),ISNUMBER($G67),ISNUMBER($H67),COUNT($Q67:$AA67)&gt;0),1,0),IF('01_Criterios'!$C$18="Automática",IF(AND($AN67=1,$AO67&lt;&gt;"",$AO67&lt;=INDEX('01_Criterios'!$E$26:$E$36,MATCH($B67,'01_Criterios'!$B$26:$B$36,0))),1,0),0))))</f>
        <v>0</v>
      </c>
      <c r="AR67" s="20" t="str">
        <f>IF(AQ67=0,"",IF($AO67&lt;&gt;"",1+SUMPRODUCT(($B$5:$B$335=$B67)*($AQ$5:$AQ$335=1)*($AO$5:$AO$335&lt;$AO67)),1+SUMPRODUCT(($B$5:$B$335=$B67)*($AQ$5:$AQ$335=1)*ISNUMBER($AO$5:$AO$335))+SUMPRODUCT(($B$5:$B$335=$B67)*($AQ$5:$AQ$335=1)*($AO$5:$AO$335="")*(ROW($AO$5:$AO$335)&lt;ROW()))))</f>
        <v/>
      </c>
      <c r="AS67" s="24" t="s">
        <v>446</v>
      </c>
    </row>
    <row r="68" spans="1:45">
      <c r="A68" s="25" t="s">
        <v>447</v>
      </c>
      <c r="B68" s="26" t="s">
        <v>77</v>
      </c>
      <c r="C68" s="26" t="s">
        <v>271</v>
      </c>
      <c r="D68" s="26" t="s">
        <v>448</v>
      </c>
      <c r="E68" s="25" t="s">
        <v>157</v>
      </c>
      <c r="F68" s="25" t="s">
        <v>126</v>
      </c>
      <c r="G68" s="25">
        <v>0</v>
      </c>
      <c r="H68" s="25">
        <v>100</v>
      </c>
      <c r="I68" s="25">
        <v>35</v>
      </c>
      <c r="J68" s="22">
        <v>1</v>
      </c>
      <c r="K68" s="26" t="s">
        <v>204</v>
      </c>
      <c r="L68" s="25" t="s">
        <v>449</v>
      </c>
      <c r="M68" s="26" t="s">
        <v>161</v>
      </c>
      <c r="N68" s="25">
        <v>0</v>
      </c>
      <c r="O68" s="26" t="s">
        <v>450</v>
      </c>
      <c r="P68" s="25" t="s">
        <v>180</v>
      </c>
      <c r="Q68" s="27">
        <v>22.2749280175045</v>
      </c>
      <c r="R68" s="27">
        <v>18.318007502950611</v>
      </c>
      <c r="S68" s="27">
        <v>14.63025795529294</v>
      </c>
      <c r="T68" s="27">
        <v>13.11091760109753</v>
      </c>
      <c r="U68" s="27">
        <v>13.395602867586071</v>
      </c>
      <c r="V68" s="27">
        <v>11.376559084367299</v>
      </c>
      <c r="W68" s="27">
        <v>8.8443017464105509</v>
      </c>
      <c r="X68" s="27">
        <v>7.0250619443541522</v>
      </c>
      <c r="Y68" s="27">
        <v>7.6457337441609194</v>
      </c>
      <c r="Z68" s="27">
        <v>7.1689264092656177</v>
      </c>
      <c r="AA68" s="27">
        <v>6.5808829663826964</v>
      </c>
      <c r="AB68" s="25">
        <f>COUNT(Q68:AA68)</f>
        <v>11</v>
      </c>
      <c r="AC68" s="28">
        <f>AB68/11</f>
        <v>1</v>
      </c>
      <c r="AD68" s="25">
        <f>IFERROR(INDEX($Q$4:$AA$4,MATCH(TRUE,INDEX(ISNUMBER(Q68:AA68),0),0)),"")</f>
        <v>2015</v>
      </c>
      <c r="AE68" s="25">
        <f>IFERROR(LOOKUP(2,1/ISNUMBER(Q68:AA68),$Q$4:$AA$4),"")</f>
        <v>2025</v>
      </c>
      <c r="AF68" s="28">
        <f>IF(AB68=0,"",AB68/(AE68-AD68+1))</f>
        <v>1</v>
      </c>
      <c r="AG68" s="25">
        <f>IF(AB68=0,"",'01_Criterios'!$C$8-AE68)</f>
        <v>0</v>
      </c>
      <c r="AH68" s="29">
        <f>IF(P68="Em uso",100,IF(P68="Alta",85,IF(P68="Média",55,30)))</f>
        <v>55</v>
      </c>
      <c r="AI68" s="29">
        <f>ROUND(100*AC68,1)</f>
        <v>100</v>
      </c>
      <c r="AJ68" s="29">
        <f>IF(AB68=0,0,ROUND(MAX(0,100*AF68-10*AG68),1))</f>
        <v>100</v>
      </c>
      <c r="AK68" s="29">
        <f>ROUND(('01_Criterios'!$C$19*AH68+'01_Criterios'!$C$20*AI68+'01_Criterios'!$C$21*AJ68)/('01_Criterios'!$C$19+'01_Criterios'!$C$20+'01_Criterios'!$C$21)+N68*'01_Criterios'!$C$22,1)</f>
        <v>82</v>
      </c>
      <c r="AL68" s="25">
        <f>IF(AND(AB68&gt;=3,AC68&gt;='01_Criterios'!$C$11,N(AE68)&gt;='01_Criterios'!$C$12,OR(F68="+",F68="-"),ISNUMBER(G68),ISNUMBER(H68)),1,0)</f>
        <v>1</v>
      </c>
      <c r="AM68" s="30" t="str">
        <f>IF(AL68=1,"",TRIM(IF(AB68=0,"sem dados no período; ",IF(AB68&lt;3,"série demasiado curta; ",""))&amp;IF(AND(AB68&gt;0,AC68&lt;'01_Criterios'!$C$11),"cobertura insuficiente; ","")&amp;IF(AND(AB68&gt;0,N(AE68)&lt;'01_Criterios'!$C$12),"desactualizado; ","")&amp;IF(AND(F68&lt;&gt;"+",F68&lt;&gt;"-"),"sentido ambíguo; ","")&amp;IF(OR(NOT(ISNUMBER(G68)),NOT(ISNUMBER(H68))),"sem limites min/max; ","")))</f>
        <v/>
      </c>
      <c r="AN68" s="25">
        <f>IF(OR(AL68=0,$AP68="Excluir"),0,IF(SUMPRODUCT(($O$5:$O$335=$O68)*($AL$5:$AL$335=1)*($AP$5:$AP$335&lt;&gt;"Excluir")*(($AK$5:$AK$335&gt;$AK68)+(($AK$5:$AK$335=$AK68)*(ROW($O$5:$O$335)&lt;ROW()))))=0,1,0))</f>
        <v>0</v>
      </c>
      <c r="AO68" s="25" t="str">
        <f>IF(AN68=0,"",1+SUMPRODUCT(($B$5:$B$335=$B68)*($AN$5:$AN$335=1)*(($AK$5:$AK$335&gt;$AK68)+(($AK$5:$AK$335=$AK68)*(ROW($B$5:$B$335)&lt;ROW())))))</f>
        <v/>
      </c>
      <c r="AP68" s="22" t="s">
        <v>131</v>
      </c>
      <c r="AQ68" s="25">
        <f>IF(INDEX('01_Criterios'!$C$26:$C$36,MATCH($B68,'01_Criterios'!$B$26:$B$36,0))&lt;&gt;1,0,IF($AP68="Excluir",0,IF($AP68="Incluir",IF(AND(OR($F68="+",$F68="-"),ISNUMBER($G68),ISNUMBER($H68),COUNT($Q68:$AA68)&gt;0),1,0),IF('01_Criterios'!$C$18="Automática",IF(AND($AN68=1,$AO68&lt;&gt;"",$AO68&lt;=INDEX('01_Criterios'!$E$26:$E$36,MATCH($B68,'01_Criterios'!$B$26:$B$36,0))),1,0),0))))</f>
        <v>0</v>
      </c>
      <c r="AR68" s="25" t="str">
        <f>IF(AQ68=0,"",IF($AO68&lt;&gt;"",1+SUMPRODUCT(($B$5:$B$335=$B68)*($AQ$5:$AQ$335=1)*($AO$5:$AO$335&lt;$AO68)),1+SUMPRODUCT(($B$5:$B$335=$B68)*($AQ$5:$AQ$335=1)*ISNUMBER($AO$5:$AO$335))+SUMPRODUCT(($B$5:$B$335=$B68)*($AQ$5:$AQ$335=1)*($AO$5:$AO$335="")*(ROW($AO$5:$AO$335)&lt;ROW()))))</f>
        <v/>
      </c>
      <c r="AS68" s="24" t="s">
        <v>451</v>
      </c>
    </row>
    <row r="69" spans="1:45">
      <c r="A69" s="20" t="s">
        <v>452</v>
      </c>
      <c r="B69" s="21" t="s">
        <v>77</v>
      </c>
      <c r="C69" s="21" t="s">
        <v>220</v>
      </c>
      <c r="D69" s="21" t="s">
        <v>453</v>
      </c>
      <c r="E69" s="20" t="s">
        <v>334</v>
      </c>
      <c r="F69" s="20" t="s">
        <v>126</v>
      </c>
      <c r="G69" s="20">
        <v>0</v>
      </c>
      <c r="H69" s="20">
        <v>50</v>
      </c>
      <c r="I69" s="20">
        <v>25</v>
      </c>
      <c r="J69" s="22">
        <v>1</v>
      </c>
      <c r="K69" s="21" t="s">
        <v>381</v>
      </c>
      <c r="L69" s="20" t="s">
        <v>454</v>
      </c>
      <c r="M69" s="21" t="s">
        <v>383</v>
      </c>
      <c r="N69" s="20">
        <v>0</v>
      </c>
      <c r="O69" s="21" t="s">
        <v>368</v>
      </c>
      <c r="P69" s="20" t="s">
        <v>180</v>
      </c>
      <c r="Q69" s="6">
        <v>21.291084999999999</v>
      </c>
      <c r="R69" s="6">
        <v>15.204064000000001</v>
      </c>
      <c r="S69" s="6">
        <v>15.042032000000001</v>
      </c>
      <c r="T69" s="6">
        <v>19.829072</v>
      </c>
      <c r="U69" s="6">
        <v>20.665723</v>
      </c>
      <c r="V69" s="6">
        <v>21.338571999999999</v>
      </c>
      <c r="W69" s="6">
        <v>24.130424000000001</v>
      </c>
      <c r="X69" s="6">
        <v>26.620526000000002</v>
      </c>
      <c r="Y69" s="6">
        <v>20.854164000000001</v>
      </c>
      <c r="Z69" s="6">
        <v>17.790735999999999</v>
      </c>
      <c r="AA69" s="6">
        <v>14.782909999999999</v>
      </c>
      <c r="AB69" s="20">
        <f>COUNT(Q69:AA69)</f>
        <v>11</v>
      </c>
      <c r="AC69" s="23">
        <f>AB69/11</f>
        <v>1</v>
      </c>
      <c r="AD69" s="20">
        <f>IFERROR(INDEX($Q$4:$AA$4,MATCH(TRUE,INDEX(ISNUMBER(Q69:AA69),0),0)),"")</f>
        <v>2015</v>
      </c>
      <c r="AE69" s="20">
        <f>IFERROR(LOOKUP(2,1/ISNUMBER(Q69:AA69),$Q$4:$AA$4),"")</f>
        <v>2025</v>
      </c>
      <c r="AF69" s="23">
        <f>IF(AB69=0,"",AB69/(AE69-AD69+1))</f>
        <v>1</v>
      </c>
      <c r="AG69" s="20">
        <f>IF(AB69=0,"",'01_Criterios'!$C$8-AE69)</f>
        <v>0</v>
      </c>
      <c r="AH69" s="7">
        <f>IF(P69="Em uso",100,IF(P69="Alta",85,IF(P69="Média",55,30)))</f>
        <v>55</v>
      </c>
      <c r="AI69" s="7">
        <f>ROUND(100*AC69,1)</f>
        <v>100</v>
      </c>
      <c r="AJ69" s="7">
        <f>IF(AB69=0,0,ROUND(MAX(0,100*AF69-10*AG69),1))</f>
        <v>100</v>
      </c>
      <c r="AK69" s="7">
        <f>ROUND(('01_Criterios'!$C$19*AH69+'01_Criterios'!$C$20*AI69+'01_Criterios'!$C$21*AJ69)/('01_Criterios'!$C$19+'01_Criterios'!$C$20+'01_Criterios'!$C$21)+N69*'01_Criterios'!$C$22,1)</f>
        <v>82</v>
      </c>
      <c r="AL69" s="20">
        <f>IF(AND(AB69&gt;=3,AC69&gt;='01_Criterios'!$C$11,N(AE69)&gt;='01_Criterios'!$C$12,OR(F69="+",F69="-"),ISNUMBER(G69),ISNUMBER(H69)),1,0)</f>
        <v>1</v>
      </c>
      <c r="AM69" s="24" t="str">
        <f>IF(AL69=1,"",TRIM(IF(AB69=0,"sem dados no período; ",IF(AB69&lt;3,"série demasiado curta; ",""))&amp;IF(AND(AB69&gt;0,AC69&lt;'01_Criterios'!$C$11),"cobertura insuficiente; ","")&amp;IF(AND(AB69&gt;0,N(AE69)&lt;'01_Criterios'!$C$12),"desactualizado; ","")&amp;IF(AND(F69&lt;&gt;"+",F69&lt;&gt;"-"),"sentido ambíguo; ","")&amp;IF(OR(NOT(ISNUMBER(G69)),NOT(ISNUMBER(H69))),"sem limites min/max; ","")))</f>
        <v/>
      </c>
      <c r="AN69" s="20">
        <f>IF(OR(AL69=0,$AP69="Excluir"),0,IF(SUMPRODUCT(($O$5:$O$335=$O69)*($AL$5:$AL$335=1)*($AP$5:$AP$335&lt;&gt;"Excluir")*(($AK$5:$AK$335&gt;$AK69)+(($AK$5:$AK$335=$AK69)*(ROW($O$5:$O$335)&lt;ROW()))))=0,1,0))</f>
        <v>0</v>
      </c>
      <c r="AO69" s="20" t="str">
        <f>IF(AN69=0,"",1+SUMPRODUCT(($B$5:$B$335=$B69)*($AN$5:$AN$335=1)*(($AK$5:$AK$335&gt;$AK69)+(($AK$5:$AK$335=$AK69)*(ROW($B$5:$B$335)&lt;ROW())))))</f>
        <v/>
      </c>
      <c r="AP69" s="22" t="s">
        <v>131</v>
      </c>
      <c r="AQ69" s="20">
        <f>IF(INDEX('01_Criterios'!$C$26:$C$36,MATCH($B69,'01_Criterios'!$B$26:$B$36,0))&lt;&gt;1,0,IF($AP69="Excluir",0,IF($AP69="Incluir",IF(AND(OR($F69="+",$F69="-"),ISNUMBER($G69),ISNUMBER($H69),COUNT($Q69:$AA69)&gt;0),1,0),IF('01_Criterios'!$C$18="Automática",IF(AND($AN69=1,$AO69&lt;&gt;"",$AO69&lt;=INDEX('01_Criterios'!$E$26:$E$36,MATCH($B69,'01_Criterios'!$B$26:$B$36,0))),1,0),0))))</f>
        <v>0</v>
      </c>
      <c r="AR69" s="20" t="str">
        <f>IF(AQ69=0,"",IF($AO69&lt;&gt;"",1+SUMPRODUCT(($B$5:$B$335=$B69)*($AQ$5:$AQ$335=1)*($AO$5:$AO$335&lt;$AO69)),1+SUMPRODUCT(($B$5:$B$335=$B69)*($AQ$5:$AQ$335=1)*ISNUMBER($AO$5:$AO$335))+SUMPRODUCT(($B$5:$B$335=$B69)*($AQ$5:$AQ$335=1)*($AO$5:$AO$335="")*(ROW($AO$5:$AO$335)&lt;ROW()))))</f>
        <v/>
      </c>
      <c r="AS69" s="24" t="s">
        <v>455</v>
      </c>
    </row>
    <row r="70" spans="1:45">
      <c r="A70" s="25" t="s">
        <v>456</v>
      </c>
      <c r="B70" s="26" t="s">
        <v>77</v>
      </c>
      <c r="C70" s="26" t="s">
        <v>220</v>
      </c>
      <c r="D70" s="26" t="s">
        <v>457</v>
      </c>
      <c r="E70" s="25" t="s">
        <v>334</v>
      </c>
      <c r="F70" s="25" t="s">
        <v>126</v>
      </c>
      <c r="G70" s="25">
        <v>-20</v>
      </c>
      <c r="H70" s="25">
        <v>20</v>
      </c>
      <c r="I70" s="25">
        <v>0</v>
      </c>
      <c r="J70" s="22">
        <v>1</v>
      </c>
      <c r="K70" s="26" t="s">
        <v>381</v>
      </c>
      <c r="L70" s="25" t="s">
        <v>458</v>
      </c>
      <c r="M70" s="26" t="s">
        <v>383</v>
      </c>
      <c r="N70" s="25">
        <v>0</v>
      </c>
      <c r="O70" s="26" t="s">
        <v>297</v>
      </c>
      <c r="P70" s="25" t="s">
        <v>180</v>
      </c>
      <c r="Q70" s="27">
        <v>-1.0102230000000001</v>
      </c>
      <c r="R70" s="27">
        <v>-1.4663820000000001</v>
      </c>
      <c r="S70" s="27">
        <v>-2.5675219999999999</v>
      </c>
      <c r="T70" s="27">
        <v>6.0835049999999997</v>
      </c>
      <c r="U70" s="27">
        <v>4.4531489999999998</v>
      </c>
      <c r="V70" s="27">
        <v>2.7474319999999999</v>
      </c>
      <c r="W70" s="27">
        <v>5.7854089999999996</v>
      </c>
      <c r="X70" s="27">
        <v>5.2285300000000001</v>
      </c>
      <c r="Y70" s="27">
        <v>2.4449999999999998</v>
      </c>
      <c r="Z70" s="27">
        <v>3.401119</v>
      </c>
      <c r="AA70" s="27">
        <v>-0.38511000000000001</v>
      </c>
      <c r="AB70" s="25">
        <f>COUNT(Q70:AA70)</f>
        <v>11</v>
      </c>
      <c r="AC70" s="28">
        <f>AB70/11</f>
        <v>1</v>
      </c>
      <c r="AD70" s="25">
        <f>IFERROR(INDEX($Q$4:$AA$4,MATCH(TRUE,INDEX(ISNUMBER(Q70:AA70),0),0)),"")</f>
        <v>2015</v>
      </c>
      <c r="AE70" s="25">
        <f>IFERROR(LOOKUP(2,1/ISNUMBER(Q70:AA70),$Q$4:$AA$4),"")</f>
        <v>2025</v>
      </c>
      <c r="AF70" s="28">
        <f>IF(AB70=0,"",AB70/(AE70-AD70+1))</f>
        <v>1</v>
      </c>
      <c r="AG70" s="25">
        <f>IF(AB70=0,"",'01_Criterios'!$C$8-AE70)</f>
        <v>0</v>
      </c>
      <c r="AH70" s="29">
        <f>IF(P70="Em uso",100,IF(P70="Alta",85,IF(P70="Média",55,30)))</f>
        <v>55</v>
      </c>
      <c r="AI70" s="29">
        <f>ROUND(100*AC70,1)</f>
        <v>100</v>
      </c>
      <c r="AJ70" s="29">
        <f>IF(AB70=0,0,ROUND(MAX(0,100*AF70-10*AG70),1))</f>
        <v>100</v>
      </c>
      <c r="AK70" s="29">
        <f>ROUND(('01_Criterios'!$C$19*AH70+'01_Criterios'!$C$20*AI70+'01_Criterios'!$C$21*AJ70)/('01_Criterios'!$C$19+'01_Criterios'!$C$20+'01_Criterios'!$C$21)+N70*'01_Criterios'!$C$22,1)</f>
        <v>82</v>
      </c>
      <c r="AL70" s="25">
        <f>IF(AND(AB70&gt;=3,AC70&gt;='01_Criterios'!$C$11,N(AE70)&gt;='01_Criterios'!$C$12,OR(F70="+",F70="-"),ISNUMBER(G70),ISNUMBER(H70)),1,0)</f>
        <v>1</v>
      </c>
      <c r="AM70" s="30" t="str">
        <f>IF(AL70=1,"",TRIM(IF(AB70=0,"sem dados no período; ",IF(AB70&lt;3,"série demasiado curta; ",""))&amp;IF(AND(AB70&gt;0,AC70&lt;'01_Criterios'!$C$11),"cobertura insuficiente; ","")&amp;IF(AND(AB70&gt;0,N(AE70)&lt;'01_Criterios'!$C$12),"desactualizado; ","")&amp;IF(AND(F70&lt;&gt;"+",F70&lt;&gt;"-"),"sentido ambíguo; ","")&amp;IF(OR(NOT(ISNUMBER(G70)),NOT(ISNUMBER(H70))),"sem limites min/max; ","")))</f>
        <v/>
      </c>
      <c r="AN70" s="25">
        <f>IF(OR(AL70=0,$AP70="Excluir"),0,IF(SUMPRODUCT(($O$5:$O$335=$O70)*($AL$5:$AL$335=1)*($AP$5:$AP$335&lt;&gt;"Excluir")*(($AK$5:$AK$335&gt;$AK70)+(($AK$5:$AK$335=$AK70)*(ROW($O$5:$O$335)&lt;ROW()))))=0,1,0))</f>
        <v>0</v>
      </c>
      <c r="AO70" s="25" t="str">
        <f>IF(AN70=0,"",1+SUMPRODUCT(($B$5:$B$335=$B70)*($AN$5:$AN$335=1)*(($AK$5:$AK$335&gt;$AK70)+(($AK$5:$AK$335=$AK70)*(ROW($B$5:$B$335)&lt;ROW())))))</f>
        <v/>
      </c>
      <c r="AP70" s="22" t="s">
        <v>131</v>
      </c>
      <c r="AQ70" s="25">
        <f>IF(INDEX('01_Criterios'!$C$26:$C$36,MATCH($B70,'01_Criterios'!$B$26:$B$36,0))&lt;&gt;1,0,IF($AP70="Excluir",0,IF($AP70="Incluir",IF(AND(OR($F70="+",$F70="-"),ISNUMBER($G70),ISNUMBER($H70),COUNT($Q70:$AA70)&gt;0),1,0),IF('01_Criterios'!$C$18="Automática",IF(AND($AN70=1,$AO70&lt;&gt;"",$AO70&lt;=INDEX('01_Criterios'!$E$26:$E$36,MATCH($B70,'01_Criterios'!$B$26:$B$36,0))),1,0),0))))</f>
        <v>0</v>
      </c>
      <c r="AR70" s="25" t="str">
        <f>IF(AQ70=0,"",IF($AO70&lt;&gt;"",1+SUMPRODUCT(($B$5:$B$335=$B70)*($AQ$5:$AQ$335=1)*($AO$5:$AO$335&lt;$AO70)),1+SUMPRODUCT(($B$5:$B$335=$B70)*($AQ$5:$AQ$335=1)*ISNUMBER($AO$5:$AO$335))+SUMPRODUCT(($B$5:$B$335=$B70)*($AQ$5:$AQ$335=1)*($AO$5:$AO$335="")*(ROW($AO$5:$AO$335)&lt;ROW()))))</f>
        <v/>
      </c>
      <c r="AS70" s="24" t="s">
        <v>459</v>
      </c>
    </row>
    <row r="71" spans="1:45">
      <c r="A71" s="20" t="s">
        <v>460</v>
      </c>
      <c r="B71" s="21" t="s">
        <v>77</v>
      </c>
      <c r="C71" s="21" t="s">
        <v>340</v>
      </c>
      <c r="D71" s="21" t="s">
        <v>461</v>
      </c>
      <c r="E71" s="20" t="s">
        <v>334</v>
      </c>
      <c r="F71" s="20" t="s">
        <v>126</v>
      </c>
      <c r="G71" s="20">
        <v>0</v>
      </c>
      <c r="H71" s="20">
        <v>60</v>
      </c>
      <c r="I71" s="20">
        <v>25</v>
      </c>
      <c r="J71" s="22">
        <v>1</v>
      </c>
      <c r="K71" s="21" t="s">
        <v>381</v>
      </c>
      <c r="L71" s="20" t="s">
        <v>462</v>
      </c>
      <c r="M71" s="21" t="s">
        <v>383</v>
      </c>
      <c r="N71" s="20">
        <v>0</v>
      </c>
      <c r="O71" s="21" t="s">
        <v>419</v>
      </c>
      <c r="P71" s="20" t="s">
        <v>180</v>
      </c>
      <c r="Q71" s="6">
        <v>21.306118000000001</v>
      </c>
      <c r="R71" s="6">
        <v>27.043219000000001</v>
      </c>
      <c r="S71" s="6">
        <v>28.310068000000001</v>
      </c>
      <c r="T71" s="6">
        <v>30.346271999999999</v>
      </c>
      <c r="U71" s="6">
        <v>29.932022</v>
      </c>
      <c r="V71" s="6">
        <v>21.076618</v>
      </c>
      <c r="W71" s="6">
        <v>26.362746999999999</v>
      </c>
      <c r="X71" s="6">
        <v>22.958397999999999</v>
      </c>
      <c r="Y71" s="6">
        <v>16.137975999999998</v>
      </c>
      <c r="Z71" s="6">
        <v>15.914693</v>
      </c>
      <c r="AA71" s="6">
        <v>12.885465</v>
      </c>
      <c r="AB71" s="20">
        <f>COUNT(Q71:AA71)</f>
        <v>11</v>
      </c>
      <c r="AC71" s="23">
        <f>AB71/11</f>
        <v>1</v>
      </c>
      <c r="AD71" s="20">
        <f>IFERROR(INDEX($Q$4:$AA$4,MATCH(TRUE,INDEX(ISNUMBER(Q71:AA71),0),0)),"")</f>
        <v>2015</v>
      </c>
      <c r="AE71" s="20">
        <f>IFERROR(LOOKUP(2,1/ISNUMBER(Q71:AA71),$Q$4:$AA$4),"")</f>
        <v>2025</v>
      </c>
      <c r="AF71" s="23">
        <f>IF(AB71=0,"",AB71/(AE71-AD71+1))</f>
        <v>1</v>
      </c>
      <c r="AG71" s="20">
        <f>IF(AB71=0,"",'01_Criterios'!$C$8-AE71)</f>
        <v>0</v>
      </c>
      <c r="AH71" s="7">
        <f>IF(P71="Em uso",100,IF(P71="Alta",85,IF(P71="Média",55,30)))</f>
        <v>55</v>
      </c>
      <c r="AI71" s="7">
        <f>ROUND(100*AC71,1)</f>
        <v>100</v>
      </c>
      <c r="AJ71" s="7">
        <f>IF(AB71=0,0,ROUND(MAX(0,100*AF71-10*AG71),1))</f>
        <v>100</v>
      </c>
      <c r="AK71" s="7">
        <f>ROUND(('01_Criterios'!$C$19*AH71+'01_Criterios'!$C$20*AI71+'01_Criterios'!$C$21*AJ71)/('01_Criterios'!$C$19+'01_Criterios'!$C$20+'01_Criterios'!$C$21)+N71*'01_Criterios'!$C$22,1)</f>
        <v>82</v>
      </c>
      <c r="AL71" s="20">
        <f>IF(AND(AB71&gt;=3,AC71&gt;='01_Criterios'!$C$11,N(AE71)&gt;='01_Criterios'!$C$12,OR(F71="+",F71="-"),ISNUMBER(G71),ISNUMBER(H71)),1,0)</f>
        <v>1</v>
      </c>
      <c r="AM71" s="24" t="str">
        <f>IF(AL71=1,"",TRIM(IF(AB71=0,"sem dados no período; ",IF(AB71&lt;3,"série demasiado curta; ",""))&amp;IF(AND(AB71&gt;0,AC71&lt;'01_Criterios'!$C$11),"cobertura insuficiente; ","")&amp;IF(AND(AB71&gt;0,N(AE71)&lt;'01_Criterios'!$C$12),"desactualizado; ","")&amp;IF(AND(F71&lt;&gt;"+",F71&lt;&gt;"-"),"sentido ambíguo; ","")&amp;IF(OR(NOT(ISNUMBER(G71)),NOT(ISNUMBER(H71))),"sem limites min/max; ","")))</f>
        <v/>
      </c>
      <c r="AN71" s="20">
        <f>IF(OR(AL71=0,$AP71="Excluir"),0,IF(SUMPRODUCT(($O$5:$O$335=$O71)*($AL$5:$AL$335=1)*($AP$5:$AP$335&lt;&gt;"Excluir")*(($AK$5:$AK$335&gt;$AK71)+(($AK$5:$AK$335=$AK71)*(ROW($O$5:$O$335)&lt;ROW()))))=0,1,0))</f>
        <v>0</v>
      </c>
      <c r="AO71" s="20" t="str">
        <f>IF(AN71=0,"",1+SUMPRODUCT(($B$5:$B$335=$B71)*($AN$5:$AN$335=1)*(($AK$5:$AK$335&gt;$AK71)+(($AK$5:$AK$335=$AK71)*(ROW($B$5:$B$335)&lt;ROW())))))</f>
        <v/>
      </c>
      <c r="AP71" s="22" t="s">
        <v>131</v>
      </c>
      <c r="AQ71" s="20">
        <f>IF(INDEX('01_Criterios'!$C$26:$C$36,MATCH($B71,'01_Criterios'!$B$26:$B$36,0))&lt;&gt;1,0,IF($AP71="Excluir",0,IF($AP71="Incluir",IF(AND(OR($F71="+",$F71="-"),ISNUMBER($G71),ISNUMBER($H71),COUNT($Q71:$AA71)&gt;0),1,0),IF('01_Criterios'!$C$18="Automática",IF(AND($AN71=1,$AO71&lt;&gt;"",$AO71&lt;=INDEX('01_Criterios'!$E$26:$E$36,MATCH($B71,'01_Criterios'!$B$26:$B$36,0))),1,0),0))))</f>
        <v>0</v>
      </c>
      <c r="AR71" s="20" t="str">
        <f>IF(AQ71=0,"",IF($AO71&lt;&gt;"",1+SUMPRODUCT(($B$5:$B$335=$B71)*($AQ$5:$AQ$335=1)*($AO$5:$AO$335&lt;$AO71)),1+SUMPRODUCT(($B$5:$B$335=$B71)*($AQ$5:$AQ$335=1)*ISNUMBER($AO$5:$AO$335))+SUMPRODUCT(($B$5:$B$335=$B71)*($AQ$5:$AQ$335=1)*($AO$5:$AO$335="")*(ROW($AO$5:$AO$335)&lt;ROW()))))</f>
        <v/>
      </c>
      <c r="AS71" s="24" t="s">
        <v>463</v>
      </c>
    </row>
    <row r="72" spans="1:45">
      <c r="A72" s="25" t="s">
        <v>464</v>
      </c>
      <c r="B72" s="26" t="s">
        <v>77</v>
      </c>
      <c r="C72" s="26" t="s">
        <v>340</v>
      </c>
      <c r="D72" s="26" t="s">
        <v>465</v>
      </c>
      <c r="E72" s="25" t="s">
        <v>334</v>
      </c>
      <c r="F72" s="25" t="s">
        <v>126</v>
      </c>
      <c r="G72" s="25">
        <v>0</v>
      </c>
      <c r="H72" s="25">
        <v>60</v>
      </c>
      <c r="I72" s="25">
        <v>25</v>
      </c>
      <c r="J72" s="22">
        <v>1</v>
      </c>
      <c r="K72" s="26" t="s">
        <v>381</v>
      </c>
      <c r="L72" s="25" t="s">
        <v>466</v>
      </c>
      <c r="M72" s="26" t="s">
        <v>383</v>
      </c>
      <c r="N72" s="25">
        <v>0</v>
      </c>
      <c r="O72" s="26" t="s">
        <v>343</v>
      </c>
      <c r="P72" s="25" t="s">
        <v>180</v>
      </c>
      <c r="Q72" s="27">
        <v>29.108609999999999</v>
      </c>
      <c r="R72" s="27">
        <v>29.692073000000001</v>
      </c>
      <c r="S72" s="27">
        <v>28.756029999999999</v>
      </c>
      <c r="T72" s="27">
        <v>23.934660999999998</v>
      </c>
      <c r="U72" s="27">
        <v>24.536161</v>
      </c>
      <c r="V72" s="27">
        <v>19.758244999999999</v>
      </c>
      <c r="W72" s="27">
        <v>16.245640999999999</v>
      </c>
      <c r="X72" s="27">
        <v>14.506247999999999</v>
      </c>
      <c r="Y72" s="27">
        <v>12.438866000000001</v>
      </c>
      <c r="Z72" s="27">
        <v>10.637746</v>
      </c>
      <c r="AA72" s="27">
        <v>12.507142</v>
      </c>
      <c r="AB72" s="25">
        <f>COUNT(Q72:AA72)</f>
        <v>11</v>
      </c>
      <c r="AC72" s="28">
        <f>AB72/11</f>
        <v>1</v>
      </c>
      <c r="AD72" s="25">
        <f>IFERROR(INDEX($Q$4:$AA$4,MATCH(TRUE,INDEX(ISNUMBER(Q72:AA72),0),0)),"")</f>
        <v>2015</v>
      </c>
      <c r="AE72" s="25">
        <f>IFERROR(LOOKUP(2,1/ISNUMBER(Q72:AA72),$Q$4:$AA$4),"")</f>
        <v>2025</v>
      </c>
      <c r="AF72" s="28">
        <f>IF(AB72=0,"",AB72/(AE72-AD72+1))</f>
        <v>1</v>
      </c>
      <c r="AG72" s="25">
        <f>IF(AB72=0,"",'01_Criterios'!$C$8-AE72)</f>
        <v>0</v>
      </c>
      <c r="AH72" s="29">
        <f>IF(P72="Em uso",100,IF(P72="Alta",85,IF(P72="Média",55,30)))</f>
        <v>55</v>
      </c>
      <c r="AI72" s="29">
        <f>ROUND(100*AC72,1)</f>
        <v>100</v>
      </c>
      <c r="AJ72" s="29">
        <f>IF(AB72=0,0,ROUND(MAX(0,100*AF72-10*AG72),1))</f>
        <v>100</v>
      </c>
      <c r="AK72" s="29">
        <f>ROUND(('01_Criterios'!$C$19*AH72+'01_Criterios'!$C$20*AI72+'01_Criterios'!$C$21*AJ72)/('01_Criterios'!$C$19+'01_Criterios'!$C$20+'01_Criterios'!$C$21)+N72*'01_Criterios'!$C$22,1)</f>
        <v>82</v>
      </c>
      <c r="AL72" s="25">
        <f>IF(AND(AB72&gt;=3,AC72&gt;='01_Criterios'!$C$11,N(AE72)&gt;='01_Criterios'!$C$12,OR(F72="+",F72="-"),ISNUMBER(G72),ISNUMBER(H72)),1,0)</f>
        <v>1</v>
      </c>
      <c r="AM72" s="30" t="str">
        <f>IF(AL72=1,"",TRIM(IF(AB72=0,"sem dados no período; ",IF(AB72&lt;3,"série demasiado curta; ",""))&amp;IF(AND(AB72&gt;0,AC72&lt;'01_Criterios'!$C$11),"cobertura insuficiente; ","")&amp;IF(AND(AB72&gt;0,N(AE72)&lt;'01_Criterios'!$C$12),"desactualizado; ","")&amp;IF(AND(F72&lt;&gt;"+",F72&lt;&gt;"-"),"sentido ambíguo; ","")&amp;IF(OR(NOT(ISNUMBER(G72)),NOT(ISNUMBER(H72))),"sem limites min/max; ","")))</f>
        <v/>
      </c>
      <c r="AN72" s="25">
        <f>IF(OR(AL72=0,$AP72="Excluir"),0,IF(SUMPRODUCT(($O$5:$O$335=$O72)*($AL$5:$AL$335=1)*($AP$5:$AP$335&lt;&gt;"Excluir")*(($AK$5:$AK$335&gt;$AK72)+(($AK$5:$AK$335=$AK72)*(ROW($O$5:$O$335)&lt;ROW()))))=0,1,0))</f>
        <v>0</v>
      </c>
      <c r="AO72" s="25" t="str">
        <f>IF(AN72=0,"",1+SUMPRODUCT(($B$5:$B$335=$B72)*($AN$5:$AN$335=1)*(($AK$5:$AK$335&gt;$AK72)+(($AK$5:$AK$335=$AK72)*(ROW($B$5:$B$335)&lt;ROW())))))</f>
        <v/>
      </c>
      <c r="AP72" s="22" t="s">
        <v>131</v>
      </c>
      <c r="AQ72" s="25">
        <f>IF(INDEX('01_Criterios'!$C$26:$C$36,MATCH($B72,'01_Criterios'!$B$26:$B$36,0))&lt;&gt;1,0,IF($AP72="Excluir",0,IF($AP72="Incluir",IF(AND(OR($F72="+",$F72="-"),ISNUMBER($G72),ISNUMBER($H72),COUNT($Q72:$AA72)&gt;0),1,0),IF('01_Criterios'!$C$18="Automática",IF(AND($AN72=1,$AO72&lt;&gt;"",$AO72&lt;=INDEX('01_Criterios'!$E$26:$E$36,MATCH($B72,'01_Criterios'!$B$26:$B$36,0))),1,0),0))))</f>
        <v>0</v>
      </c>
      <c r="AR72" s="25" t="str">
        <f>IF(AQ72=0,"",IF($AO72&lt;&gt;"",1+SUMPRODUCT(($B$5:$B$335=$B72)*($AQ$5:$AQ$335=1)*($AO$5:$AO$335&lt;$AO72)),1+SUMPRODUCT(($B$5:$B$335=$B72)*($AQ$5:$AQ$335=1)*ISNUMBER($AO$5:$AO$335))+SUMPRODUCT(($B$5:$B$335=$B72)*($AQ$5:$AQ$335=1)*($AO$5:$AO$335="")*(ROW($AO$5:$AO$335)&lt;ROW()))))</f>
        <v/>
      </c>
      <c r="AS72" s="24" t="s">
        <v>467</v>
      </c>
    </row>
    <row r="73" spans="1:45">
      <c r="A73" s="20" t="s">
        <v>468</v>
      </c>
      <c r="B73" s="21" t="s">
        <v>77</v>
      </c>
      <c r="C73" s="21" t="s">
        <v>314</v>
      </c>
      <c r="D73" s="21" t="s">
        <v>469</v>
      </c>
      <c r="E73" s="20" t="s">
        <v>157</v>
      </c>
      <c r="F73" s="20" t="s">
        <v>158</v>
      </c>
      <c r="G73" s="20">
        <v>0</v>
      </c>
      <c r="H73" s="20">
        <v>80</v>
      </c>
      <c r="I73" s="20">
        <v>15</v>
      </c>
      <c r="J73" s="22">
        <v>1</v>
      </c>
      <c r="K73" s="21" t="s">
        <v>204</v>
      </c>
      <c r="L73" s="20" t="s">
        <v>470</v>
      </c>
      <c r="M73" s="21" t="s">
        <v>161</v>
      </c>
      <c r="N73" s="20">
        <v>0</v>
      </c>
      <c r="O73" s="21" t="s">
        <v>468</v>
      </c>
      <c r="P73" s="20" t="s">
        <v>180</v>
      </c>
      <c r="Q73" s="6">
        <v>16.881862399882198</v>
      </c>
      <c r="R73" s="6">
        <v>15.780503939111499</v>
      </c>
      <c r="S73" s="6">
        <v>15.8061003813255</v>
      </c>
      <c r="T73" s="6">
        <v>20.677004027715601</v>
      </c>
      <c r="U73" s="6">
        <v>19.295367205654902</v>
      </c>
      <c r="V73" s="6">
        <v>19.6558949254322</v>
      </c>
      <c r="W73" s="6">
        <v>19.403154629708201</v>
      </c>
      <c r="X73" s="6">
        <v>20.117211376275801</v>
      </c>
      <c r="Y73" s="6">
        <v>16.920861522595001</v>
      </c>
      <c r="Z73" s="6">
        <v>19.3991553172159</v>
      </c>
      <c r="AA73" s="6">
        <v>19.372102620622869</v>
      </c>
      <c r="AB73" s="20">
        <f>COUNT(Q73:AA73)</f>
        <v>11</v>
      </c>
      <c r="AC73" s="23">
        <f>AB73/11</f>
        <v>1</v>
      </c>
      <c r="AD73" s="20">
        <f>IFERROR(INDEX($Q$4:$AA$4,MATCH(TRUE,INDEX(ISNUMBER(Q73:AA73),0),0)),"")</f>
        <v>2015</v>
      </c>
      <c r="AE73" s="20">
        <f>IFERROR(LOOKUP(2,1/ISNUMBER(Q73:AA73),$Q$4:$AA$4),"")</f>
        <v>2025</v>
      </c>
      <c r="AF73" s="23">
        <f>IF(AB73=0,"",AB73/(AE73-AD73+1))</f>
        <v>1</v>
      </c>
      <c r="AG73" s="20">
        <f>IF(AB73=0,"",'01_Criterios'!$C$8-AE73)</f>
        <v>0</v>
      </c>
      <c r="AH73" s="7">
        <f>IF(P73="Em uso",100,IF(P73="Alta",85,IF(P73="Média",55,30)))</f>
        <v>55</v>
      </c>
      <c r="AI73" s="7">
        <f>ROUND(100*AC73,1)</f>
        <v>100</v>
      </c>
      <c r="AJ73" s="7">
        <f>IF(AB73=0,0,ROUND(MAX(0,100*AF73-10*AG73),1))</f>
        <v>100</v>
      </c>
      <c r="AK73" s="7">
        <f>ROUND(('01_Criterios'!$C$19*AH73+'01_Criterios'!$C$20*AI73+'01_Criterios'!$C$21*AJ73)/('01_Criterios'!$C$19+'01_Criterios'!$C$20+'01_Criterios'!$C$21)+N73*'01_Criterios'!$C$22,1)</f>
        <v>82</v>
      </c>
      <c r="AL73" s="20">
        <f>IF(AND(AB73&gt;=3,AC73&gt;='01_Criterios'!$C$11,N(AE73)&gt;='01_Criterios'!$C$12,OR(F73="+",F73="-"),ISNUMBER(G73),ISNUMBER(H73)),1,0)</f>
        <v>1</v>
      </c>
      <c r="AM73" s="24" t="str">
        <f>IF(AL73=1,"",TRIM(IF(AB73=0,"sem dados no período; ",IF(AB73&lt;3,"série demasiado curta; ",""))&amp;IF(AND(AB73&gt;0,AC73&lt;'01_Criterios'!$C$11),"cobertura insuficiente; ","")&amp;IF(AND(AB73&gt;0,N(AE73)&lt;'01_Criterios'!$C$12),"desactualizado; ","")&amp;IF(AND(F73&lt;&gt;"+",F73&lt;&gt;"-"),"sentido ambíguo; ","")&amp;IF(OR(NOT(ISNUMBER(G73)),NOT(ISNUMBER(H73))),"sem limites min/max; ","")))</f>
        <v/>
      </c>
      <c r="AN73" s="20">
        <f>IF(OR(AL73=0,$AP73="Excluir"),0,IF(SUMPRODUCT(($O$5:$O$335=$O73)*($AL$5:$AL$335=1)*($AP$5:$AP$335&lt;&gt;"Excluir")*(($AK$5:$AK$335&gt;$AK73)+(($AK$5:$AK$335=$AK73)*(ROW($O$5:$O$335)&lt;ROW()))))=0,1,0))</f>
        <v>1</v>
      </c>
      <c r="AO73" s="20">
        <f>IF(AN73=0,"",1+SUMPRODUCT(($B$5:$B$335=$B73)*($AN$5:$AN$335=1)*(($AK$5:$AK$335&gt;$AK73)+(($AK$5:$AK$335=$AK73)*(ROW($B$5:$B$335)&lt;ROW())))))</f>
        <v>22</v>
      </c>
      <c r="AP73" s="22" t="s">
        <v>131</v>
      </c>
      <c r="AQ73" s="20">
        <f>IF(INDEX('01_Criterios'!$C$26:$C$36,MATCH($B73,'01_Criterios'!$B$26:$B$36,0))&lt;&gt;1,0,IF($AP73="Excluir",0,IF($AP73="Incluir",IF(AND(OR($F73="+",$F73="-"),ISNUMBER($G73),ISNUMBER($H73),COUNT($Q73:$AA73)&gt;0),1,0),IF('01_Criterios'!$C$18="Automática",IF(AND($AN73=1,$AO73&lt;&gt;"",$AO73&lt;=INDEX('01_Criterios'!$E$26:$E$36,MATCH($B73,'01_Criterios'!$B$26:$B$36,0))),1,0),0))))</f>
        <v>0</v>
      </c>
      <c r="AR73" s="20" t="str">
        <f>IF(AQ73=0,"",IF($AO73&lt;&gt;"",1+SUMPRODUCT(($B$5:$B$335=$B73)*($AQ$5:$AQ$335=1)*($AO$5:$AO$335&lt;$AO73)),1+SUMPRODUCT(($B$5:$B$335=$B73)*($AQ$5:$AQ$335=1)*ISNUMBER($AO$5:$AO$335))+SUMPRODUCT(($B$5:$B$335=$B73)*($AQ$5:$AQ$335=1)*($AO$5:$AO$335="")*(ROW($AO$5:$AO$335)&lt;ROW()))))</f>
        <v/>
      </c>
      <c r="AS73" s="24" t="s">
        <v>471</v>
      </c>
    </row>
    <row r="74" spans="1:45">
      <c r="A74" s="25" t="s">
        <v>472</v>
      </c>
      <c r="B74" s="26" t="s">
        <v>77</v>
      </c>
      <c r="C74" s="26" t="s">
        <v>314</v>
      </c>
      <c r="D74" s="26" t="s">
        <v>473</v>
      </c>
      <c r="E74" s="25" t="s">
        <v>334</v>
      </c>
      <c r="F74" s="25" t="s">
        <v>126</v>
      </c>
      <c r="G74" s="25">
        <v>0</v>
      </c>
      <c r="H74" s="25">
        <v>100</v>
      </c>
      <c r="I74" s="25">
        <v>35</v>
      </c>
      <c r="J74" s="22">
        <v>1</v>
      </c>
      <c r="K74" s="26" t="s">
        <v>204</v>
      </c>
      <c r="L74" s="25" t="s">
        <v>474</v>
      </c>
      <c r="M74" s="26" t="s">
        <v>161</v>
      </c>
      <c r="N74" s="25">
        <v>0</v>
      </c>
      <c r="O74" s="26" t="s">
        <v>472</v>
      </c>
      <c r="P74" s="25" t="s">
        <v>180</v>
      </c>
      <c r="Q74" s="27">
        <v>36.134526100108602</v>
      </c>
      <c r="R74" s="27">
        <v>34.001398977429197</v>
      </c>
      <c r="S74" s="27">
        <v>27.698713588593201</v>
      </c>
      <c r="T74" s="27">
        <v>26.902958120210769</v>
      </c>
      <c r="U74" s="27">
        <v>29.420297960140839</v>
      </c>
      <c r="V74" s="27">
        <v>33.214621509522871</v>
      </c>
      <c r="W74" s="27">
        <v>21.971555656116919</v>
      </c>
      <c r="X74" s="27">
        <v>17.716048053539691</v>
      </c>
      <c r="Y74" s="27">
        <v>20.18577517281134</v>
      </c>
      <c r="Z74" s="27">
        <v>15.78718333283752</v>
      </c>
      <c r="AA74" s="27">
        <v>13.78662867166128</v>
      </c>
      <c r="AB74" s="25">
        <f>COUNT(Q74:AA74)</f>
        <v>11</v>
      </c>
      <c r="AC74" s="28">
        <f>AB74/11</f>
        <v>1</v>
      </c>
      <c r="AD74" s="25">
        <f>IFERROR(INDEX($Q$4:$AA$4,MATCH(TRUE,INDEX(ISNUMBER(Q74:AA74),0),0)),"")</f>
        <v>2015</v>
      </c>
      <c r="AE74" s="25">
        <f>IFERROR(LOOKUP(2,1/ISNUMBER(Q74:AA74),$Q$4:$AA$4),"")</f>
        <v>2025</v>
      </c>
      <c r="AF74" s="28">
        <f>IF(AB74=0,"",AB74/(AE74-AD74+1))</f>
        <v>1</v>
      </c>
      <c r="AG74" s="25">
        <f>IF(AB74=0,"",'01_Criterios'!$C$8-AE74)</f>
        <v>0</v>
      </c>
      <c r="AH74" s="29">
        <f>IF(P74="Em uso",100,IF(P74="Alta",85,IF(P74="Média",55,30)))</f>
        <v>55</v>
      </c>
      <c r="AI74" s="29">
        <f>ROUND(100*AC74,1)</f>
        <v>100</v>
      </c>
      <c r="AJ74" s="29">
        <f>IF(AB74=0,0,ROUND(MAX(0,100*AF74-10*AG74),1))</f>
        <v>100</v>
      </c>
      <c r="AK74" s="29">
        <f>ROUND(('01_Criterios'!$C$19*AH74+'01_Criterios'!$C$20*AI74+'01_Criterios'!$C$21*AJ74)/('01_Criterios'!$C$19+'01_Criterios'!$C$20+'01_Criterios'!$C$21)+N74*'01_Criterios'!$C$22,1)</f>
        <v>82</v>
      </c>
      <c r="AL74" s="25">
        <f>IF(AND(AB74&gt;=3,AC74&gt;='01_Criterios'!$C$11,N(AE74)&gt;='01_Criterios'!$C$12,OR(F74="+",F74="-"),ISNUMBER(G74),ISNUMBER(H74)),1,0)</f>
        <v>1</v>
      </c>
      <c r="AM74" s="30" t="str">
        <f>IF(AL74=1,"",TRIM(IF(AB74=0,"sem dados no período; ",IF(AB74&lt;3,"série demasiado curta; ",""))&amp;IF(AND(AB74&gt;0,AC74&lt;'01_Criterios'!$C$11),"cobertura insuficiente; ","")&amp;IF(AND(AB74&gt;0,N(AE74)&lt;'01_Criterios'!$C$12),"desactualizado; ","")&amp;IF(AND(F74&lt;&gt;"+",F74&lt;&gt;"-"),"sentido ambíguo; ","")&amp;IF(OR(NOT(ISNUMBER(G74)),NOT(ISNUMBER(H74))),"sem limites min/max; ","")))</f>
        <v/>
      </c>
      <c r="AN74" s="25">
        <f>IF(OR(AL74=0,$AP74="Excluir"),0,IF(SUMPRODUCT(($O$5:$O$335=$O74)*($AL$5:$AL$335=1)*($AP$5:$AP$335&lt;&gt;"Excluir")*(($AK$5:$AK$335&gt;$AK74)+(($AK$5:$AK$335=$AK74)*(ROW($O$5:$O$335)&lt;ROW()))))=0,1,0))</f>
        <v>1</v>
      </c>
      <c r="AO74" s="25">
        <f>IF(AN74=0,"",1+SUMPRODUCT(($B$5:$B$335=$B74)*($AN$5:$AN$335=1)*(($AK$5:$AK$335&gt;$AK74)+(($AK$5:$AK$335=$AK74)*(ROW($B$5:$B$335)&lt;ROW())))))</f>
        <v>23</v>
      </c>
      <c r="AP74" s="22" t="s">
        <v>131</v>
      </c>
      <c r="AQ74" s="25">
        <f>IF(INDEX('01_Criterios'!$C$26:$C$36,MATCH($B74,'01_Criterios'!$B$26:$B$36,0))&lt;&gt;1,0,IF($AP74="Excluir",0,IF($AP74="Incluir",IF(AND(OR($F74="+",$F74="-"),ISNUMBER($G74),ISNUMBER($H74),COUNT($Q74:$AA74)&gt;0),1,0),IF('01_Criterios'!$C$18="Automática",IF(AND($AN74=1,$AO74&lt;&gt;"",$AO74&lt;=INDEX('01_Criterios'!$E$26:$E$36,MATCH($B74,'01_Criterios'!$B$26:$B$36,0))),1,0),0))))</f>
        <v>0</v>
      </c>
      <c r="AR74" s="25" t="str">
        <f>IF(AQ74=0,"",IF($AO74&lt;&gt;"",1+SUMPRODUCT(($B$5:$B$335=$B74)*($AQ$5:$AQ$335=1)*($AO$5:$AO$335&lt;$AO74)),1+SUMPRODUCT(($B$5:$B$335=$B74)*($AQ$5:$AQ$335=1)*ISNUMBER($AO$5:$AO$335))+SUMPRODUCT(($B$5:$B$335=$B74)*($AQ$5:$AQ$335=1)*($AO$5:$AO$335="")*(ROW($AO$5:$AO$335)&lt;ROW()))))</f>
        <v/>
      </c>
      <c r="AS74" s="24" t="s">
        <v>475</v>
      </c>
    </row>
    <row r="75" spans="1:45">
      <c r="A75" s="20" t="s">
        <v>476</v>
      </c>
      <c r="B75" s="21" t="s">
        <v>77</v>
      </c>
      <c r="C75" s="21" t="s">
        <v>327</v>
      </c>
      <c r="D75" s="21" t="s">
        <v>477</v>
      </c>
      <c r="E75" s="20" t="s">
        <v>478</v>
      </c>
      <c r="F75" s="20" t="s">
        <v>126</v>
      </c>
      <c r="G75" s="20">
        <v>0</v>
      </c>
      <c r="H75" s="20">
        <v>30000</v>
      </c>
      <c r="I75" s="20">
        <v>8000</v>
      </c>
      <c r="J75" s="22">
        <v>1</v>
      </c>
      <c r="K75" s="21" t="s">
        <v>204</v>
      </c>
      <c r="L75" s="20" t="s">
        <v>479</v>
      </c>
      <c r="M75" s="21" t="s">
        <v>161</v>
      </c>
      <c r="N75" s="20">
        <v>0</v>
      </c>
      <c r="O75" s="21" t="s">
        <v>281</v>
      </c>
      <c r="P75" s="20" t="s">
        <v>180</v>
      </c>
      <c r="Q75" s="6">
        <v>8067.48584683018</v>
      </c>
      <c r="R75" s="6">
        <v>7766.8378752554599</v>
      </c>
      <c r="S75" s="6">
        <v>8006.8366149769599</v>
      </c>
      <c r="T75" s="6">
        <v>8278.3688617046901</v>
      </c>
      <c r="U75" s="6">
        <v>8572.8789561067097</v>
      </c>
      <c r="V75" s="6">
        <v>7827.42804325818</v>
      </c>
      <c r="W75" s="6">
        <v>8862.2813331452107</v>
      </c>
      <c r="X75" s="6">
        <v>9588.2412951118804</v>
      </c>
      <c r="Y75" s="6">
        <v>9753.6004676378307</v>
      </c>
      <c r="Z75" s="6">
        <v>10118.6089945408</v>
      </c>
      <c r="AA75" s="6"/>
      <c r="AB75" s="20">
        <f>COUNT(Q75:AA75)</f>
        <v>10</v>
      </c>
      <c r="AC75" s="23">
        <f>AB75/11</f>
        <v>0.90909090909090906</v>
      </c>
      <c r="AD75" s="20">
        <f>IFERROR(INDEX($Q$4:$AA$4,MATCH(TRUE,INDEX(ISNUMBER(Q75:AA75),0),0)),"")</f>
        <v>2015</v>
      </c>
      <c r="AE75" s="20">
        <f>IFERROR(LOOKUP(2,1/ISNUMBER(Q75:AA75),$Q$4:$AA$4),"")</f>
        <v>2024</v>
      </c>
      <c r="AF75" s="23">
        <f>IF(AB75=0,"",AB75/(AE75-AD75+1))</f>
        <v>1</v>
      </c>
      <c r="AG75" s="20">
        <f>IF(AB75=0,"",'01_Criterios'!$C$8-AE75)</f>
        <v>1</v>
      </c>
      <c r="AH75" s="7">
        <f>IF(P75="Em uso",100,IF(P75="Alta",85,IF(P75="Média",55,30)))</f>
        <v>55</v>
      </c>
      <c r="AI75" s="7">
        <f>ROUND(100*AC75,1)</f>
        <v>90.9</v>
      </c>
      <c r="AJ75" s="7">
        <f>IF(AB75=0,0,ROUND(MAX(0,100*AF75-10*AG75),1))</f>
        <v>90</v>
      </c>
      <c r="AK75" s="7">
        <f>ROUND(('01_Criterios'!$C$19*AH75+'01_Criterios'!$C$20*AI75+'01_Criterios'!$C$21*AJ75)/('01_Criterios'!$C$19+'01_Criterios'!$C$20+'01_Criterios'!$C$21)+N75*'01_Criterios'!$C$22,1)</f>
        <v>76.3</v>
      </c>
      <c r="AL75" s="20">
        <f>IF(AND(AB75&gt;=3,AC75&gt;='01_Criterios'!$C$11,N(AE75)&gt;='01_Criterios'!$C$12,OR(F75="+",F75="-"),ISNUMBER(G75),ISNUMBER(H75)),1,0)</f>
        <v>1</v>
      </c>
      <c r="AM75" s="24" t="str">
        <f>IF(AL75=1,"",TRIM(IF(AB75=0,"sem dados no período; ",IF(AB75&lt;3,"série demasiado curta; ",""))&amp;IF(AND(AB75&gt;0,AC75&lt;'01_Criterios'!$C$11),"cobertura insuficiente; ","")&amp;IF(AND(AB75&gt;0,N(AE75)&lt;'01_Criterios'!$C$12),"desactualizado; ","")&amp;IF(AND(F75&lt;&gt;"+",F75&lt;&gt;"-"),"sentido ambíguo; ","")&amp;IF(OR(NOT(ISNUMBER(G75)),NOT(ISNUMBER(H75))),"sem limites min/max; ","")))</f>
        <v/>
      </c>
      <c r="AN75" s="20">
        <f>IF(OR(AL75=0,$AP75="Excluir"),0,IF(SUMPRODUCT(($O$5:$O$335=$O75)*($AL$5:$AL$335=1)*($AP$5:$AP$335&lt;&gt;"Excluir")*(($AK$5:$AK$335&gt;$AK75)+(($AK$5:$AK$335=$AK75)*(ROW($O$5:$O$335)&lt;ROW()))))=0,1,0))</f>
        <v>0</v>
      </c>
      <c r="AO75" s="20" t="str">
        <f>IF(AN75=0,"",1+SUMPRODUCT(($B$5:$B$335=$B75)*($AN$5:$AN$335=1)*(($AK$5:$AK$335&gt;$AK75)+(($AK$5:$AK$335=$AK75)*(ROW($B$5:$B$335)&lt;ROW())))))</f>
        <v/>
      </c>
      <c r="AP75" s="22" t="s">
        <v>131</v>
      </c>
      <c r="AQ75" s="20">
        <f>IF(INDEX('01_Criterios'!$C$26:$C$36,MATCH($B75,'01_Criterios'!$B$26:$B$36,0))&lt;&gt;1,0,IF($AP75="Excluir",0,IF($AP75="Incluir",IF(AND(OR($F75="+",$F75="-"),ISNUMBER($G75),ISNUMBER($H75),COUNT($Q75:$AA75)&gt;0),1,0),IF('01_Criterios'!$C$18="Automática",IF(AND($AN75=1,$AO75&lt;&gt;"",$AO75&lt;=INDEX('01_Criterios'!$E$26:$E$36,MATCH($B75,'01_Criterios'!$B$26:$B$36,0))),1,0),0))))</f>
        <v>0</v>
      </c>
      <c r="AR75" s="20" t="str">
        <f>IF(AQ75=0,"",IF($AO75&lt;&gt;"",1+SUMPRODUCT(($B$5:$B$335=$B75)*($AQ$5:$AQ$335=1)*($AO$5:$AO$335&lt;$AO75)),1+SUMPRODUCT(($B$5:$B$335=$B75)*($AQ$5:$AQ$335=1)*ISNUMBER($AO$5:$AO$335))+SUMPRODUCT(($B$5:$B$335=$B75)*($AQ$5:$AQ$335=1)*($AO$5:$AO$335="")*(ROW($AO$5:$AO$335)&lt;ROW()))))</f>
        <v/>
      </c>
      <c r="AS75" s="24" t="s">
        <v>480</v>
      </c>
    </row>
    <row r="76" spans="1:45">
      <c r="A76" s="25" t="s">
        <v>481</v>
      </c>
      <c r="B76" s="26" t="s">
        <v>77</v>
      </c>
      <c r="C76" s="26" t="s">
        <v>327</v>
      </c>
      <c r="D76" s="26" t="s">
        <v>482</v>
      </c>
      <c r="E76" s="25" t="s">
        <v>478</v>
      </c>
      <c r="F76" s="25" t="s">
        <v>126</v>
      </c>
      <c r="G76" s="25">
        <v>0</v>
      </c>
      <c r="H76" s="25">
        <v>30000</v>
      </c>
      <c r="I76" s="25">
        <v>8000</v>
      </c>
      <c r="J76" s="22">
        <v>1</v>
      </c>
      <c r="K76" s="26" t="s">
        <v>204</v>
      </c>
      <c r="L76" s="25" t="s">
        <v>483</v>
      </c>
      <c r="M76" s="26" t="s">
        <v>161</v>
      </c>
      <c r="N76" s="25">
        <v>0</v>
      </c>
      <c r="O76" s="26" t="s">
        <v>484</v>
      </c>
      <c r="P76" s="25" t="s">
        <v>180</v>
      </c>
      <c r="Q76" s="27">
        <v>7710</v>
      </c>
      <c r="R76" s="27">
        <v>7530</v>
      </c>
      <c r="S76" s="27">
        <v>7700</v>
      </c>
      <c r="T76" s="27">
        <v>7800</v>
      </c>
      <c r="U76" s="27">
        <v>7940</v>
      </c>
      <c r="V76" s="27">
        <v>7200</v>
      </c>
      <c r="W76" s="27">
        <v>8110</v>
      </c>
      <c r="X76" s="27">
        <v>8790</v>
      </c>
      <c r="Y76" s="27">
        <v>8820</v>
      </c>
      <c r="Z76" s="27">
        <v>9330</v>
      </c>
      <c r="AA76" s="27">
        <v>9840</v>
      </c>
      <c r="AB76" s="25">
        <f>COUNT(Q76:AA76)</f>
        <v>11</v>
      </c>
      <c r="AC76" s="28">
        <f>AB76/11</f>
        <v>1</v>
      </c>
      <c r="AD76" s="25">
        <f>IFERROR(INDEX($Q$4:$AA$4,MATCH(TRUE,INDEX(ISNUMBER(Q76:AA76),0),0)),"")</f>
        <v>2015</v>
      </c>
      <c r="AE76" s="25">
        <f>IFERROR(LOOKUP(2,1/ISNUMBER(Q76:AA76),$Q$4:$AA$4),"")</f>
        <v>2025</v>
      </c>
      <c r="AF76" s="28">
        <f>IF(AB76=0,"",AB76/(AE76-AD76+1))</f>
        <v>1</v>
      </c>
      <c r="AG76" s="25">
        <f>IF(AB76=0,"",'01_Criterios'!$C$8-AE76)</f>
        <v>0</v>
      </c>
      <c r="AH76" s="29">
        <f>IF(P76="Em uso",100,IF(P76="Alta",85,IF(P76="Média",55,30)))</f>
        <v>55</v>
      </c>
      <c r="AI76" s="29">
        <f>ROUND(100*AC76,1)</f>
        <v>100</v>
      </c>
      <c r="AJ76" s="29">
        <f>IF(AB76=0,0,ROUND(MAX(0,100*AF76-10*AG76),1))</f>
        <v>100</v>
      </c>
      <c r="AK76" s="29">
        <f>ROUND(('01_Criterios'!$C$19*AH76+'01_Criterios'!$C$20*AI76+'01_Criterios'!$C$21*AJ76)/('01_Criterios'!$C$19+'01_Criterios'!$C$20+'01_Criterios'!$C$21)+N76*'01_Criterios'!$C$22,1)</f>
        <v>82</v>
      </c>
      <c r="AL76" s="25">
        <f>IF(AND(AB76&gt;=3,AC76&gt;='01_Criterios'!$C$11,N(AE76)&gt;='01_Criterios'!$C$12,OR(F76="+",F76="-"),ISNUMBER(G76),ISNUMBER(H76)),1,0)</f>
        <v>1</v>
      </c>
      <c r="AM76" s="30" t="str">
        <f>IF(AL76=1,"",TRIM(IF(AB76=0,"sem dados no período; ",IF(AB76&lt;3,"série demasiado curta; ",""))&amp;IF(AND(AB76&gt;0,AC76&lt;'01_Criterios'!$C$11),"cobertura insuficiente; ","")&amp;IF(AND(AB76&gt;0,N(AE76)&lt;'01_Criterios'!$C$12),"desactualizado; ","")&amp;IF(AND(F76&lt;&gt;"+",F76&lt;&gt;"-"),"sentido ambíguo; ","")&amp;IF(OR(NOT(ISNUMBER(G76)),NOT(ISNUMBER(H76))),"sem limites min/max; ","")))</f>
        <v/>
      </c>
      <c r="AN76" s="25">
        <f>IF(OR(AL76=0,$AP76="Excluir"),0,IF(SUMPRODUCT(($O$5:$O$335=$O76)*($AL$5:$AL$335=1)*($AP$5:$AP$335&lt;&gt;"Excluir")*(($AK$5:$AK$335&gt;$AK76)+(($AK$5:$AK$335=$AK76)*(ROW($O$5:$O$335)&lt;ROW()))))=0,1,0))</f>
        <v>0</v>
      </c>
      <c r="AO76" s="25" t="str">
        <f>IF(AN76=0,"",1+SUMPRODUCT(($B$5:$B$335=$B76)*($AN$5:$AN$335=1)*(($AK$5:$AK$335&gt;$AK76)+(($AK$5:$AK$335=$AK76)*(ROW($B$5:$B$335)&lt;ROW())))))</f>
        <v/>
      </c>
      <c r="AP76" s="22" t="s">
        <v>131</v>
      </c>
      <c r="AQ76" s="25">
        <f>IF(INDEX('01_Criterios'!$C$26:$C$36,MATCH($B76,'01_Criterios'!$B$26:$B$36,0))&lt;&gt;1,0,IF($AP76="Excluir",0,IF($AP76="Incluir",IF(AND(OR($F76="+",$F76="-"),ISNUMBER($G76),ISNUMBER($H76),COUNT($Q76:$AA76)&gt;0),1,0),IF('01_Criterios'!$C$18="Automática",IF(AND($AN76=1,$AO76&lt;&gt;"",$AO76&lt;=INDEX('01_Criterios'!$E$26:$E$36,MATCH($B76,'01_Criterios'!$B$26:$B$36,0))),1,0),0))))</f>
        <v>0</v>
      </c>
      <c r="AR76" s="25" t="str">
        <f>IF(AQ76=0,"",IF($AO76&lt;&gt;"",1+SUMPRODUCT(($B$5:$B$335=$B76)*($AQ$5:$AQ$335=1)*($AO$5:$AO$335&lt;$AO76)),1+SUMPRODUCT(($B$5:$B$335=$B76)*($AQ$5:$AQ$335=1)*ISNUMBER($AO$5:$AO$335))+SUMPRODUCT(($B$5:$B$335=$B76)*($AQ$5:$AQ$335=1)*($AO$5:$AO$335="")*(ROW($AO$5:$AO$335)&lt;ROW()))))</f>
        <v/>
      </c>
      <c r="AS76" s="24" t="s">
        <v>485</v>
      </c>
    </row>
    <row r="77" spans="1:45">
      <c r="A77" s="20" t="s">
        <v>486</v>
      </c>
      <c r="B77" s="21" t="s">
        <v>77</v>
      </c>
      <c r="C77" s="21" t="s">
        <v>220</v>
      </c>
      <c r="D77" s="21" t="s">
        <v>487</v>
      </c>
      <c r="E77" s="20" t="s">
        <v>334</v>
      </c>
      <c r="F77" s="20" t="s">
        <v>126</v>
      </c>
      <c r="G77" s="20">
        <v>0</v>
      </c>
      <c r="H77" s="20">
        <v>50</v>
      </c>
      <c r="I77" s="20">
        <v>25</v>
      </c>
      <c r="J77" s="22">
        <v>1</v>
      </c>
      <c r="K77" s="21" t="s">
        <v>204</v>
      </c>
      <c r="L77" s="20" t="s">
        <v>488</v>
      </c>
      <c r="M77" s="21" t="s">
        <v>161</v>
      </c>
      <c r="N77" s="20">
        <v>0</v>
      </c>
      <c r="O77" s="21" t="s">
        <v>368</v>
      </c>
      <c r="P77" s="20" t="s">
        <v>180</v>
      </c>
      <c r="Q77" s="6">
        <v>16.5707852797015</v>
      </c>
      <c r="R77" s="6">
        <v>13.649046195293019</v>
      </c>
      <c r="S77" s="6">
        <v>14.079413397537699</v>
      </c>
      <c r="T77" s="6">
        <v>19.82907175107697</v>
      </c>
      <c r="U77" s="6">
        <v>20.66573531008483</v>
      </c>
      <c r="V77" s="6">
        <v>49.593510895471361</v>
      </c>
      <c r="W77" s="6">
        <v>24.130423694874079</v>
      </c>
      <c r="X77" s="6">
        <v>26.620525933684711</v>
      </c>
      <c r="Y77" s="6">
        <v>20.854163773584599</v>
      </c>
      <c r="Z77" s="6">
        <v>18.234947474515689</v>
      </c>
      <c r="AA77" s="6"/>
      <c r="AB77" s="20">
        <f>COUNT(Q77:AA77)</f>
        <v>10</v>
      </c>
      <c r="AC77" s="23">
        <f>AB77/11</f>
        <v>0.90909090909090906</v>
      </c>
      <c r="AD77" s="20">
        <f>IFERROR(INDEX($Q$4:$AA$4,MATCH(TRUE,INDEX(ISNUMBER(Q77:AA77),0),0)),"")</f>
        <v>2015</v>
      </c>
      <c r="AE77" s="20">
        <f>IFERROR(LOOKUP(2,1/ISNUMBER(Q77:AA77),$Q$4:$AA$4),"")</f>
        <v>2024</v>
      </c>
      <c r="AF77" s="23">
        <f>IF(AB77=0,"",AB77/(AE77-AD77+1))</f>
        <v>1</v>
      </c>
      <c r="AG77" s="20">
        <f>IF(AB77=0,"",'01_Criterios'!$C$8-AE77)</f>
        <v>1</v>
      </c>
      <c r="AH77" s="7">
        <f>IF(P77="Em uso",100,IF(P77="Alta",85,IF(P77="Média",55,30)))</f>
        <v>55</v>
      </c>
      <c r="AI77" s="7">
        <f>ROUND(100*AC77,1)</f>
        <v>90.9</v>
      </c>
      <c r="AJ77" s="7">
        <f>IF(AB77=0,0,ROUND(MAX(0,100*AF77-10*AG77),1))</f>
        <v>90</v>
      </c>
      <c r="AK77" s="7">
        <f>ROUND(('01_Criterios'!$C$19*AH77+'01_Criterios'!$C$20*AI77+'01_Criterios'!$C$21*AJ77)/('01_Criterios'!$C$19+'01_Criterios'!$C$20+'01_Criterios'!$C$21)+N77*'01_Criterios'!$C$22,1)</f>
        <v>76.3</v>
      </c>
      <c r="AL77" s="20">
        <f>IF(AND(AB77&gt;=3,AC77&gt;='01_Criterios'!$C$11,N(AE77)&gt;='01_Criterios'!$C$12,OR(F77="+",F77="-"),ISNUMBER(G77),ISNUMBER(H77)),1,0)</f>
        <v>1</v>
      </c>
      <c r="AM77" s="24" t="str">
        <f>IF(AL77=1,"",TRIM(IF(AB77=0,"sem dados no período; ",IF(AB77&lt;3,"série demasiado curta; ",""))&amp;IF(AND(AB77&gt;0,AC77&lt;'01_Criterios'!$C$11),"cobertura insuficiente; ","")&amp;IF(AND(AB77&gt;0,N(AE77)&lt;'01_Criterios'!$C$12),"desactualizado; ","")&amp;IF(AND(F77&lt;&gt;"+",F77&lt;&gt;"-"),"sentido ambíguo; ","")&amp;IF(OR(NOT(ISNUMBER(G77)),NOT(ISNUMBER(H77))),"sem limites min/max; ","")))</f>
        <v/>
      </c>
      <c r="AN77" s="20">
        <f>IF(OR(AL77=0,$AP77="Excluir"),0,IF(SUMPRODUCT(($O$5:$O$335=$O77)*($AL$5:$AL$335=1)*($AP$5:$AP$335&lt;&gt;"Excluir")*(($AK$5:$AK$335&gt;$AK77)+(($AK$5:$AK$335=$AK77)*(ROW($O$5:$O$335)&lt;ROW()))))=0,1,0))</f>
        <v>0</v>
      </c>
      <c r="AO77" s="20" t="str">
        <f>IF(AN77=0,"",1+SUMPRODUCT(($B$5:$B$335=$B77)*($AN$5:$AN$335=1)*(($AK$5:$AK$335&gt;$AK77)+(($AK$5:$AK$335=$AK77)*(ROW($B$5:$B$335)&lt;ROW())))))</f>
        <v/>
      </c>
      <c r="AP77" s="22" t="s">
        <v>131</v>
      </c>
      <c r="AQ77" s="20">
        <f>IF(INDEX('01_Criterios'!$C$26:$C$36,MATCH($B77,'01_Criterios'!$B$26:$B$36,0))&lt;&gt;1,0,IF($AP77="Excluir",0,IF($AP77="Incluir",IF(AND(OR($F77="+",$F77="-"),ISNUMBER($G77),ISNUMBER($H77),COUNT($Q77:$AA77)&gt;0),1,0),IF('01_Criterios'!$C$18="Automática",IF(AND($AN77=1,$AO77&lt;&gt;"",$AO77&lt;=INDEX('01_Criterios'!$E$26:$E$36,MATCH($B77,'01_Criterios'!$B$26:$B$36,0))),1,0),0))))</f>
        <v>0</v>
      </c>
      <c r="AR77" s="20" t="str">
        <f>IF(AQ77=0,"",IF($AO77&lt;&gt;"",1+SUMPRODUCT(($B$5:$B$335=$B77)*($AQ$5:$AQ$335=1)*($AO$5:$AO$335&lt;$AO77)),1+SUMPRODUCT(($B$5:$B$335=$B77)*($AQ$5:$AQ$335=1)*ISNUMBER($AO$5:$AO$335))+SUMPRODUCT(($B$5:$B$335=$B77)*($AQ$5:$AQ$335=1)*($AO$5:$AO$335="")*(ROW($AO$5:$AO$335)&lt;ROW()))))</f>
        <v/>
      </c>
      <c r="AS77" s="24" t="s">
        <v>489</v>
      </c>
    </row>
    <row r="78" spans="1:45">
      <c r="A78" s="25" t="s">
        <v>490</v>
      </c>
      <c r="B78" s="26" t="s">
        <v>77</v>
      </c>
      <c r="C78" s="26" t="s">
        <v>220</v>
      </c>
      <c r="D78" s="26" t="s">
        <v>491</v>
      </c>
      <c r="E78" s="25" t="s">
        <v>492</v>
      </c>
      <c r="F78" s="25" t="s">
        <v>158</v>
      </c>
      <c r="G78" s="25">
        <v>0</v>
      </c>
      <c r="H78" s="25">
        <v>150</v>
      </c>
      <c r="I78" s="25">
        <v>40</v>
      </c>
      <c r="J78" s="22">
        <v>1</v>
      </c>
      <c r="K78" s="26" t="s">
        <v>204</v>
      </c>
      <c r="L78" s="25" t="s">
        <v>493</v>
      </c>
      <c r="M78" s="26" t="s">
        <v>161</v>
      </c>
      <c r="N78" s="25">
        <v>0</v>
      </c>
      <c r="O78" s="26" t="s">
        <v>337</v>
      </c>
      <c r="P78" s="25" t="s">
        <v>180</v>
      </c>
      <c r="Q78" s="27">
        <v>56.780155181380302</v>
      </c>
      <c r="R78" s="27">
        <v>114.84509473915401</v>
      </c>
      <c r="S78" s="27">
        <v>84.940483271162705</v>
      </c>
      <c r="T78" s="27">
        <v>84.284362579766594</v>
      </c>
      <c r="U78" s="27">
        <v>96.594726790059795</v>
      </c>
      <c r="V78" s="27">
        <v>148.159899274824</v>
      </c>
      <c r="W78" s="27">
        <v>108.138096106725</v>
      </c>
      <c r="X78" s="27">
        <v>62.711515309455599</v>
      </c>
      <c r="Y78" s="27">
        <v>74.562864284328199</v>
      </c>
      <c r="Z78" s="27">
        <v>79.572639151100105</v>
      </c>
      <c r="AA78" s="27"/>
      <c r="AB78" s="25">
        <f>COUNT(Q78:AA78)</f>
        <v>10</v>
      </c>
      <c r="AC78" s="28">
        <f>AB78/11</f>
        <v>0.90909090909090906</v>
      </c>
      <c r="AD78" s="25">
        <f>IFERROR(INDEX($Q$4:$AA$4,MATCH(TRUE,INDEX(ISNUMBER(Q78:AA78),0),0)),"")</f>
        <v>2015</v>
      </c>
      <c r="AE78" s="25">
        <f>IFERROR(LOOKUP(2,1/ISNUMBER(Q78:AA78),$Q$4:$AA$4),"")</f>
        <v>2024</v>
      </c>
      <c r="AF78" s="28">
        <f>IF(AB78=0,"",AB78/(AE78-AD78+1))</f>
        <v>1</v>
      </c>
      <c r="AG78" s="25">
        <f>IF(AB78=0,"",'01_Criterios'!$C$8-AE78)</f>
        <v>1</v>
      </c>
      <c r="AH78" s="29">
        <f>IF(P78="Em uso",100,IF(P78="Alta",85,IF(P78="Média",55,30)))</f>
        <v>55</v>
      </c>
      <c r="AI78" s="29">
        <f>ROUND(100*AC78,1)</f>
        <v>90.9</v>
      </c>
      <c r="AJ78" s="29">
        <f>IF(AB78=0,0,ROUND(MAX(0,100*AF78-10*AG78),1))</f>
        <v>90</v>
      </c>
      <c r="AK78" s="29">
        <f>ROUND(('01_Criterios'!$C$19*AH78+'01_Criterios'!$C$20*AI78+'01_Criterios'!$C$21*AJ78)/('01_Criterios'!$C$19+'01_Criterios'!$C$20+'01_Criterios'!$C$21)+N78*'01_Criterios'!$C$22,1)</f>
        <v>76.3</v>
      </c>
      <c r="AL78" s="25">
        <f>IF(AND(AB78&gt;=3,AC78&gt;='01_Criterios'!$C$11,N(AE78)&gt;='01_Criterios'!$C$12,OR(F78="+",F78="-"),ISNUMBER(G78),ISNUMBER(H78)),1,0)</f>
        <v>1</v>
      </c>
      <c r="AM78" s="30" t="str">
        <f>IF(AL78=1,"",TRIM(IF(AB78=0,"sem dados no período; ",IF(AB78&lt;3,"série demasiado curta; ",""))&amp;IF(AND(AB78&gt;0,AC78&lt;'01_Criterios'!$C$11),"cobertura insuficiente; ","")&amp;IF(AND(AB78&gt;0,N(AE78)&lt;'01_Criterios'!$C$12),"desactualizado; ","")&amp;IF(AND(F78&lt;&gt;"+",F78&lt;&gt;"-"),"sentido ambíguo; ","")&amp;IF(OR(NOT(ISNUMBER(G78)),NOT(ISNUMBER(H78))),"sem limites min/max; ","")))</f>
        <v/>
      </c>
      <c r="AN78" s="25">
        <f>IF(OR(AL78=0,$AP78="Excluir"),0,IF(SUMPRODUCT(($O$5:$O$335=$O78)*($AL$5:$AL$335=1)*($AP$5:$AP$335&lt;&gt;"Excluir")*(($AK$5:$AK$335&gt;$AK78)+(($AK$5:$AK$335=$AK78)*(ROW($O$5:$O$335)&lt;ROW()))))=0,1,0))</f>
        <v>0</v>
      </c>
      <c r="AO78" s="25" t="str">
        <f>IF(AN78=0,"",1+SUMPRODUCT(($B$5:$B$335=$B78)*($AN$5:$AN$335=1)*(($AK$5:$AK$335&gt;$AK78)+(($AK$5:$AK$335=$AK78)*(ROW($B$5:$B$335)&lt;ROW())))))</f>
        <v/>
      </c>
      <c r="AP78" s="22" t="s">
        <v>131</v>
      </c>
      <c r="AQ78" s="25">
        <f>IF(INDEX('01_Criterios'!$C$26:$C$36,MATCH($B78,'01_Criterios'!$B$26:$B$36,0))&lt;&gt;1,0,IF($AP78="Excluir",0,IF($AP78="Incluir",IF(AND(OR($F78="+",$F78="-"),ISNUMBER($G78),ISNUMBER($H78),COUNT($Q78:$AA78)&gt;0),1,0),IF('01_Criterios'!$C$18="Automática",IF(AND($AN78=1,$AO78&lt;&gt;"",$AO78&lt;=INDEX('01_Criterios'!$E$26:$E$36,MATCH($B78,'01_Criterios'!$B$26:$B$36,0))),1,0),0))))</f>
        <v>0</v>
      </c>
      <c r="AR78" s="25" t="str">
        <f>IF(AQ78=0,"",IF($AO78&lt;&gt;"",1+SUMPRODUCT(($B$5:$B$335=$B78)*($AQ$5:$AQ$335=1)*($AO$5:$AO$335&lt;$AO78)),1+SUMPRODUCT(($B$5:$B$335=$B78)*($AQ$5:$AQ$335=1)*ISNUMBER($AO$5:$AO$335))+SUMPRODUCT(($B$5:$B$335=$B78)*($AQ$5:$AQ$335=1)*($AO$5:$AO$335="")*(ROW($AO$5:$AO$335)&lt;ROW()))))</f>
        <v/>
      </c>
      <c r="AS78" s="24" t="s">
        <v>494</v>
      </c>
    </row>
    <row r="79" spans="1:45">
      <c r="A79" s="20" t="s">
        <v>495</v>
      </c>
      <c r="B79" s="21" t="s">
        <v>77</v>
      </c>
      <c r="C79" s="21" t="s">
        <v>496</v>
      </c>
      <c r="D79" s="21" t="s">
        <v>497</v>
      </c>
      <c r="E79" s="20" t="s">
        <v>498</v>
      </c>
      <c r="F79" s="20" t="s">
        <v>126</v>
      </c>
      <c r="G79" s="20">
        <v>0</v>
      </c>
      <c r="H79" s="20">
        <v>30</v>
      </c>
      <c r="I79" s="20">
        <v>12</v>
      </c>
      <c r="J79" s="22">
        <v>1</v>
      </c>
      <c r="K79" s="21" t="s">
        <v>499</v>
      </c>
      <c r="L79" s="20" t="s">
        <v>500</v>
      </c>
      <c r="M79" s="21" t="s">
        <v>161</v>
      </c>
      <c r="N79" s="20">
        <v>0</v>
      </c>
      <c r="O79" s="21" t="s">
        <v>495</v>
      </c>
      <c r="P79" s="20" t="s">
        <v>180</v>
      </c>
      <c r="Q79" s="6">
        <v>9.4400721841420392</v>
      </c>
      <c r="R79" s="6">
        <v>10.8283059553168</v>
      </c>
      <c r="S79" s="6">
        <v>12.3645924301501</v>
      </c>
      <c r="T79" s="6">
        <v>14.1831450300624</v>
      </c>
      <c r="U79" s="6">
        <v>9.8703138020794707</v>
      </c>
      <c r="V79" s="6">
        <v>8.9692710556894806</v>
      </c>
      <c r="W79" s="6">
        <v>10.025967338574601</v>
      </c>
      <c r="X79" s="6"/>
      <c r="Y79" s="6">
        <v>11.6873689644457</v>
      </c>
      <c r="Z79" s="6">
        <v>11.950052351190299</v>
      </c>
      <c r="AA79" s="6"/>
      <c r="AB79" s="20">
        <f>COUNT(Q79:AA79)</f>
        <v>9</v>
      </c>
      <c r="AC79" s="23">
        <f>AB79/11</f>
        <v>0.81818181818181823</v>
      </c>
      <c r="AD79" s="20">
        <f>IFERROR(INDEX($Q$4:$AA$4,MATCH(TRUE,INDEX(ISNUMBER(Q79:AA79),0),0)),"")</f>
        <v>2015</v>
      </c>
      <c r="AE79" s="20">
        <f>IFERROR(LOOKUP(2,1/ISNUMBER(Q79:AA79),$Q$4:$AA$4),"")</f>
        <v>2024</v>
      </c>
      <c r="AF79" s="23">
        <f>IF(AB79=0,"",AB79/(AE79-AD79+1))</f>
        <v>0.9</v>
      </c>
      <c r="AG79" s="20">
        <f>IF(AB79=0,"",'01_Criterios'!$C$8-AE79)</f>
        <v>1</v>
      </c>
      <c r="AH79" s="7">
        <f>IF(P79="Em uso",100,IF(P79="Alta",85,IF(P79="Média",55,30)))</f>
        <v>55</v>
      </c>
      <c r="AI79" s="7">
        <f>ROUND(100*AC79,1)</f>
        <v>81.8</v>
      </c>
      <c r="AJ79" s="7">
        <f>IF(AB79=0,0,ROUND(MAX(0,100*AF79-10*AG79),1))</f>
        <v>80</v>
      </c>
      <c r="AK79" s="7">
        <f>ROUND(('01_Criterios'!$C$19*AH79+'01_Criterios'!$C$20*AI79+'01_Criterios'!$C$21*AJ79)/('01_Criterios'!$C$19+'01_Criterios'!$C$20+'01_Criterios'!$C$21)+N79*'01_Criterios'!$C$22,1)</f>
        <v>70.599999999999994</v>
      </c>
      <c r="AL79" s="20">
        <f>IF(AND(AB79&gt;=3,AC79&gt;='01_Criterios'!$C$11,N(AE79)&gt;='01_Criterios'!$C$12,OR(F79="+",F79="-"),ISNUMBER(G79),ISNUMBER(H79)),1,0)</f>
        <v>1</v>
      </c>
      <c r="AM79" s="24" t="str">
        <f>IF(AL79=1,"",TRIM(IF(AB79=0,"sem dados no período; ",IF(AB79&lt;3,"série demasiado curta; ",""))&amp;IF(AND(AB79&gt;0,AC79&lt;'01_Criterios'!$C$11),"cobertura insuficiente; ","")&amp;IF(AND(AB79&gt;0,N(AE79)&lt;'01_Criterios'!$C$12),"desactualizado; ","")&amp;IF(AND(F79&lt;&gt;"+",F79&lt;&gt;"-"),"sentido ambíguo; ","")&amp;IF(OR(NOT(ISNUMBER(G79)),NOT(ISNUMBER(H79))),"sem limites min/max; ","")))</f>
        <v/>
      </c>
      <c r="AN79" s="20">
        <f>IF(OR(AL79=0,$AP79="Excluir"),0,IF(SUMPRODUCT(($O$5:$O$335=$O79)*($AL$5:$AL$335=1)*($AP$5:$AP$335&lt;&gt;"Excluir")*(($AK$5:$AK$335&gt;$AK79)+(($AK$5:$AK$335=$AK79)*(ROW($O$5:$O$335)&lt;ROW()))))=0,1,0))</f>
        <v>1</v>
      </c>
      <c r="AO79" s="20">
        <f>IF(AN79=0,"",1+SUMPRODUCT(($B$5:$B$335=$B79)*($AN$5:$AN$335=1)*(($AK$5:$AK$335&gt;$AK79)+(($AK$5:$AK$335=$AK79)*(ROW($B$5:$B$335)&lt;ROW())))))</f>
        <v>25</v>
      </c>
      <c r="AP79" s="22" t="s">
        <v>131</v>
      </c>
      <c r="AQ79" s="20">
        <f>IF(INDEX('01_Criterios'!$C$26:$C$36,MATCH($B79,'01_Criterios'!$B$26:$B$36,0))&lt;&gt;1,0,IF($AP79="Excluir",0,IF($AP79="Incluir",IF(AND(OR($F79="+",$F79="-"),ISNUMBER($G79),ISNUMBER($H79),COUNT($Q79:$AA79)&gt;0),1,0),IF('01_Criterios'!$C$18="Automática",IF(AND($AN79=1,$AO79&lt;&gt;"",$AO79&lt;=INDEX('01_Criterios'!$E$26:$E$36,MATCH($B79,'01_Criterios'!$B$26:$B$36,0))),1,0),0))))</f>
        <v>0</v>
      </c>
      <c r="AR79" s="20" t="str">
        <f>IF(AQ79=0,"",IF($AO79&lt;&gt;"",1+SUMPRODUCT(($B$5:$B$335=$B79)*($AQ$5:$AQ$335=1)*($AO$5:$AO$335&lt;$AO79)),1+SUMPRODUCT(($B$5:$B$335=$B79)*($AQ$5:$AQ$335=1)*ISNUMBER($AO$5:$AO$335))+SUMPRODUCT(($B$5:$B$335=$B79)*($AQ$5:$AQ$335=1)*($AO$5:$AO$335="")*(ROW($AO$5:$AO$335)&lt;ROW()))))</f>
        <v/>
      </c>
      <c r="AS79" s="24" t="s">
        <v>501</v>
      </c>
    </row>
    <row r="80" spans="1:45">
      <c r="A80" s="25" t="s">
        <v>502</v>
      </c>
      <c r="B80" s="26" t="s">
        <v>77</v>
      </c>
      <c r="C80" s="26" t="s">
        <v>496</v>
      </c>
      <c r="D80" s="26" t="s">
        <v>503</v>
      </c>
      <c r="E80" s="25" t="s">
        <v>504</v>
      </c>
      <c r="F80" s="25" t="s">
        <v>158</v>
      </c>
      <c r="G80" s="25">
        <v>0</v>
      </c>
      <c r="H80" s="25">
        <v>40</v>
      </c>
      <c r="I80" s="25">
        <v>8</v>
      </c>
      <c r="J80" s="22">
        <v>1</v>
      </c>
      <c r="K80" s="26" t="s">
        <v>499</v>
      </c>
      <c r="L80" s="25" t="s">
        <v>505</v>
      </c>
      <c r="M80" s="26" t="s">
        <v>161</v>
      </c>
      <c r="N80" s="25">
        <v>0</v>
      </c>
      <c r="O80" s="26" t="s">
        <v>502</v>
      </c>
      <c r="P80" s="25" t="s">
        <v>180</v>
      </c>
      <c r="Q80" s="27">
        <v>10.6112339715733</v>
      </c>
      <c r="R80" s="27">
        <v>11.285085806509599</v>
      </c>
      <c r="S80" s="27">
        <v>25.836061027267299</v>
      </c>
      <c r="T80" s="27">
        <v>23.221736685152599</v>
      </c>
      <c r="U80" s="27">
        <v>23.145468821213999</v>
      </c>
      <c r="V80" s="27">
        <v>12.2238112230323</v>
      </c>
      <c r="W80" s="27">
        <v>14.9960876543918</v>
      </c>
      <c r="X80" s="27"/>
      <c r="Y80" s="27">
        <v>10.198723340564401</v>
      </c>
      <c r="Z80" s="27">
        <v>14.1307640434436</v>
      </c>
      <c r="AA80" s="27"/>
      <c r="AB80" s="25">
        <f>COUNT(Q80:AA80)</f>
        <v>9</v>
      </c>
      <c r="AC80" s="28">
        <f>AB80/11</f>
        <v>0.81818181818181823</v>
      </c>
      <c r="AD80" s="25">
        <f>IFERROR(INDEX($Q$4:$AA$4,MATCH(TRUE,INDEX(ISNUMBER(Q80:AA80),0),0)),"")</f>
        <v>2015</v>
      </c>
      <c r="AE80" s="25">
        <f>IFERROR(LOOKUP(2,1/ISNUMBER(Q80:AA80),$Q$4:$AA$4),"")</f>
        <v>2024</v>
      </c>
      <c r="AF80" s="28">
        <f>IF(AB80=0,"",AB80/(AE80-AD80+1))</f>
        <v>0.9</v>
      </c>
      <c r="AG80" s="25">
        <f>IF(AB80=0,"",'01_Criterios'!$C$8-AE80)</f>
        <v>1</v>
      </c>
      <c r="AH80" s="29">
        <f>IF(P80="Em uso",100,IF(P80="Alta",85,IF(P80="Média",55,30)))</f>
        <v>55</v>
      </c>
      <c r="AI80" s="29">
        <f>ROUND(100*AC80,1)</f>
        <v>81.8</v>
      </c>
      <c r="AJ80" s="29">
        <f>IF(AB80=0,0,ROUND(MAX(0,100*AF80-10*AG80),1))</f>
        <v>80</v>
      </c>
      <c r="AK80" s="29">
        <f>ROUND(('01_Criterios'!$C$19*AH80+'01_Criterios'!$C$20*AI80+'01_Criterios'!$C$21*AJ80)/('01_Criterios'!$C$19+'01_Criterios'!$C$20+'01_Criterios'!$C$21)+N80*'01_Criterios'!$C$22,1)</f>
        <v>70.599999999999994</v>
      </c>
      <c r="AL80" s="25">
        <f>IF(AND(AB80&gt;=3,AC80&gt;='01_Criterios'!$C$11,N(AE80)&gt;='01_Criterios'!$C$12,OR(F80="+",F80="-"),ISNUMBER(G80),ISNUMBER(H80)),1,0)</f>
        <v>1</v>
      </c>
      <c r="AM80" s="30" t="str">
        <f>IF(AL80=1,"",TRIM(IF(AB80=0,"sem dados no período; ",IF(AB80&lt;3,"série demasiado curta; ",""))&amp;IF(AND(AB80&gt;0,AC80&lt;'01_Criterios'!$C$11),"cobertura insuficiente; ","")&amp;IF(AND(AB80&gt;0,N(AE80)&lt;'01_Criterios'!$C$12),"desactualizado; ","")&amp;IF(AND(F80&lt;&gt;"+",F80&lt;&gt;"-"),"sentido ambíguo; ","")&amp;IF(OR(NOT(ISNUMBER(G80)),NOT(ISNUMBER(H80))),"sem limites min/max; ","")))</f>
        <v/>
      </c>
      <c r="AN80" s="25">
        <f>IF(OR(AL80=0,$AP80="Excluir"),0,IF(SUMPRODUCT(($O$5:$O$335=$O80)*($AL$5:$AL$335=1)*($AP$5:$AP$335&lt;&gt;"Excluir")*(($AK$5:$AK$335&gt;$AK80)+(($AK$5:$AK$335=$AK80)*(ROW($O$5:$O$335)&lt;ROW()))))=0,1,0))</f>
        <v>1</v>
      </c>
      <c r="AO80" s="25">
        <f>IF(AN80=0,"",1+SUMPRODUCT(($B$5:$B$335=$B80)*($AN$5:$AN$335=1)*(($AK$5:$AK$335&gt;$AK80)+(($AK$5:$AK$335=$AK80)*(ROW($B$5:$B$335)&lt;ROW())))))</f>
        <v>26</v>
      </c>
      <c r="AP80" s="22" t="s">
        <v>131</v>
      </c>
      <c r="AQ80" s="25">
        <f>IF(INDEX('01_Criterios'!$C$26:$C$36,MATCH($B80,'01_Criterios'!$B$26:$B$36,0))&lt;&gt;1,0,IF($AP80="Excluir",0,IF($AP80="Incluir",IF(AND(OR($F80="+",$F80="-"),ISNUMBER($G80),ISNUMBER($H80),COUNT($Q80:$AA80)&gt;0),1,0),IF('01_Criterios'!$C$18="Automática",IF(AND($AN80=1,$AO80&lt;&gt;"",$AO80&lt;=INDEX('01_Criterios'!$E$26:$E$36,MATCH($B80,'01_Criterios'!$B$26:$B$36,0))),1,0),0))))</f>
        <v>0</v>
      </c>
      <c r="AR80" s="25" t="str">
        <f>IF(AQ80=0,"",IF($AO80&lt;&gt;"",1+SUMPRODUCT(($B$5:$B$335=$B80)*($AQ$5:$AQ$335=1)*($AO$5:$AO$335&lt;$AO80)),1+SUMPRODUCT(($B$5:$B$335=$B80)*($AQ$5:$AQ$335=1)*ISNUMBER($AO$5:$AO$335))+SUMPRODUCT(($B$5:$B$335=$B80)*($AQ$5:$AQ$335=1)*($AO$5:$AO$335="")*(ROW($AO$5:$AO$335)&lt;ROW()))))</f>
        <v/>
      </c>
      <c r="AS80" s="24" t="s">
        <v>506</v>
      </c>
    </row>
    <row r="81" spans="1:45">
      <c r="A81" s="20" t="s">
        <v>507</v>
      </c>
      <c r="B81" s="21" t="s">
        <v>77</v>
      </c>
      <c r="C81" s="21" t="s">
        <v>327</v>
      </c>
      <c r="D81" s="21" t="s">
        <v>508</v>
      </c>
      <c r="E81" s="20" t="s">
        <v>157</v>
      </c>
      <c r="F81" s="20" t="s">
        <v>158</v>
      </c>
      <c r="G81" s="20">
        <v>-10</v>
      </c>
      <c r="H81" s="20">
        <v>80</v>
      </c>
      <c r="I81" s="20"/>
      <c r="J81" s="22">
        <v>1</v>
      </c>
      <c r="K81" s="21" t="s">
        <v>329</v>
      </c>
      <c r="L81" s="20" t="s">
        <v>509</v>
      </c>
      <c r="M81" s="21" t="s">
        <v>329</v>
      </c>
      <c r="N81" s="20">
        <v>1</v>
      </c>
      <c r="O81" s="21" t="s">
        <v>507</v>
      </c>
      <c r="P81" s="20" t="s">
        <v>268</v>
      </c>
      <c r="Q81" s="6">
        <v>-2.9573</v>
      </c>
      <c r="R81" s="6">
        <v>20.868600000000001</v>
      </c>
      <c r="S81" s="6">
        <v>23.725999999999999</v>
      </c>
      <c r="T81" s="6">
        <v>24.621600000000001</v>
      </c>
      <c r="U81" s="6">
        <v>20.2499</v>
      </c>
      <c r="V81" s="6">
        <v>16.230499999999999</v>
      </c>
      <c r="W81" s="6">
        <v>35.599499999999999</v>
      </c>
      <c r="X81" s="6">
        <v>18.067799999999998</v>
      </c>
      <c r="Y81" s="6">
        <v>19.334</v>
      </c>
      <c r="Z81" s="6">
        <v>27.8749</v>
      </c>
      <c r="AA81" s="6">
        <v>20.499099999999999</v>
      </c>
      <c r="AB81" s="20">
        <f>COUNT(Q81:AA81)</f>
        <v>11</v>
      </c>
      <c r="AC81" s="23">
        <f>AB81/11</f>
        <v>1</v>
      </c>
      <c r="AD81" s="20">
        <f>IFERROR(INDEX($Q$4:$AA$4,MATCH(TRUE,INDEX(ISNUMBER(Q81:AA81),0),0)),"")</f>
        <v>2015</v>
      </c>
      <c r="AE81" s="20">
        <f>IFERROR(LOOKUP(2,1/ISNUMBER(Q81:AA81),$Q$4:$AA$4),"")</f>
        <v>2025</v>
      </c>
      <c r="AF81" s="23">
        <f>IF(AB81=0,"",AB81/(AE81-AD81+1))</f>
        <v>1</v>
      </c>
      <c r="AG81" s="20">
        <f>IF(AB81=0,"",'01_Criterios'!$C$8-AE81)</f>
        <v>0</v>
      </c>
      <c r="AH81" s="7">
        <f>IF(P81="Em uso",100,IF(P81="Alta",85,IF(P81="Média",55,30)))</f>
        <v>30</v>
      </c>
      <c r="AI81" s="7">
        <f>ROUND(100*AC81,1)</f>
        <v>100</v>
      </c>
      <c r="AJ81" s="7">
        <f>IF(AB81=0,0,ROUND(MAX(0,100*AF81-10*AG81),1))</f>
        <v>100</v>
      </c>
      <c r="AK81" s="7">
        <f>ROUND(('01_Criterios'!$C$19*AH81+'01_Criterios'!$C$20*AI81+'01_Criterios'!$C$21*AJ81)/('01_Criterios'!$C$19+'01_Criterios'!$C$20+'01_Criterios'!$C$21)+N81*'01_Criterios'!$C$22,1)</f>
        <v>84</v>
      </c>
      <c r="AL81" s="20">
        <f>IF(AND(AB81&gt;=3,AC81&gt;='01_Criterios'!$C$11,N(AE81)&gt;='01_Criterios'!$C$12,OR(F81="+",F81="-"),ISNUMBER(G81),ISNUMBER(H81)),1,0)</f>
        <v>1</v>
      </c>
      <c r="AM81" s="24" t="str">
        <f>IF(AL81=1,"",TRIM(IF(AB81=0,"sem dados no período; ",IF(AB81&lt;3,"série demasiado curta; ",""))&amp;IF(AND(AB81&gt;0,AC81&lt;'01_Criterios'!$C$11),"cobertura insuficiente; ","")&amp;IF(AND(AB81&gt;0,N(AE81)&lt;'01_Criterios'!$C$12),"desactualizado; ","")&amp;IF(AND(F81&lt;&gt;"+",F81&lt;&gt;"-"),"sentido ambíguo; ","")&amp;IF(OR(NOT(ISNUMBER(G81)),NOT(ISNUMBER(H81))),"sem limites min/max; ","")))</f>
        <v/>
      </c>
      <c r="AN81" s="20">
        <f>IF(OR(AL81=0,$AP81="Excluir"),0,IF(SUMPRODUCT(($O$5:$O$335=$O81)*($AL$5:$AL$335=1)*($AP$5:$AP$335&lt;&gt;"Excluir")*(($AK$5:$AK$335&gt;$AK81)+(($AK$5:$AK$335=$AK81)*(ROW($O$5:$O$335)&lt;ROW()))))=0,1,0))</f>
        <v>1</v>
      </c>
      <c r="AO81" s="20">
        <f>IF(AN81=0,"",1+SUMPRODUCT(($B$5:$B$335=$B81)*($AN$5:$AN$335=1)*(($AK$5:$AK$335&gt;$AK81)+(($AK$5:$AK$335=$AK81)*(ROW($B$5:$B$335)&lt;ROW())))))</f>
        <v>20</v>
      </c>
      <c r="AP81" s="22" t="s">
        <v>131</v>
      </c>
      <c r="AQ81" s="20">
        <f>IF(INDEX('01_Criterios'!$C$26:$C$36,MATCH($B81,'01_Criterios'!$B$26:$B$36,0))&lt;&gt;1,0,IF($AP81="Excluir",0,IF($AP81="Incluir",IF(AND(OR($F81="+",$F81="-"),ISNUMBER($G81),ISNUMBER($H81),COUNT($Q81:$AA81)&gt;0),1,0),IF('01_Criterios'!$C$18="Automática",IF(AND($AN81=1,$AO81&lt;&gt;"",$AO81&lt;=INDEX('01_Criterios'!$E$26:$E$36,MATCH($B81,'01_Criterios'!$B$26:$B$36,0))),1,0),0))))</f>
        <v>0</v>
      </c>
      <c r="AR81" s="20" t="str">
        <f>IF(AQ81=0,"",IF($AO81&lt;&gt;"",1+SUMPRODUCT(($B$5:$B$335=$B81)*($AQ$5:$AQ$335=1)*($AO$5:$AO$335&lt;$AO81)),1+SUMPRODUCT(($B$5:$B$335=$B81)*($AQ$5:$AQ$335=1)*ISNUMBER($AO$5:$AO$335))+SUMPRODUCT(($B$5:$B$335=$B81)*($AQ$5:$AQ$335=1)*($AO$5:$AO$335="")*(ROW($AO$5:$AO$335)&lt;ROW()))))</f>
        <v/>
      </c>
      <c r="AS81" s="24" t="s">
        <v>510</v>
      </c>
    </row>
    <row r="82" spans="1:45">
      <c r="A82" s="25" t="s">
        <v>511</v>
      </c>
      <c r="B82" s="26" t="s">
        <v>77</v>
      </c>
      <c r="C82" s="26" t="s">
        <v>346</v>
      </c>
      <c r="D82" s="26" t="s">
        <v>512</v>
      </c>
      <c r="E82" s="25" t="s">
        <v>334</v>
      </c>
      <c r="F82" s="25" t="s">
        <v>316</v>
      </c>
      <c r="G82" s="25">
        <v>0</v>
      </c>
      <c r="H82" s="25">
        <v>60</v>
      </c>
      <c r="I82" s="25"/>
      <c r="J82" s="22">
        <v>1</v>
      </c>
      <c r="K82" s="26" t="s">
        <v>335</v>
      </c>
      <c r="L82" s="25" t="s">
        <v>513</v>
      </c>
      <c r="M82" s="26" t="s">
        <v>335</v>
      </c>
      <c r="N82" s="25">
        <v>1</v>
      </c>
      <c r="O82" s="26" t="s">
        <v>511</v>
      </c>
      <c r="P82" s="25" t="s">
        <v>268</v>
      </c>
      <c r="Q82" s="27">
        <v>15.720499999999999</v>
      </c>
      <c r="R82" s="27">
        <v>11.195</v>
      </c>
      <c r="S82" s="27">
        <v>10.191800000000001</v>
      </c>
      <c r="T82" s="27">
        <v>13.678100000000001</v>
      </c>
      <c r="U82" s="27">
        <v>14.8292</v>
      </c>
      <c r="V82" s="27">
        <v>14.432600000000001</v>
      </c>
      <c r="W82" s="27">
        <v>14.0426</v>
      </c>
      <c r="X82" s="27">
        <v>12.3857</v>
      </c>
      <c r="Y82" s="27">
        <v>13.364100000000001</v>
      </c>
      <c r="Z82" s="27">
        <v>11.8673</v>
      </c>
      <c r="AA82" s="27">
        <v>10.9482</v>
      </c>
      <c r="AB82" s="25">
        <f>COUNT(Q82:AA82)</f>
        <v>11</v>
      </c>
      <c r="AC82" s="28">
        <f>AB82/11</f>
        <v>1</v>
      </c>
      <c r="AD82" s="25">
        <f>IFERROR(INDEX($Q$4:$AA$4,MATCH(TRUE,INDEX(ISNUMBER(Q82:AA82),0),0)),"")</f>
        <v>2015</v>
      </c>
      <c r="AE82" s="25">
        <f>IFERROR(LOOKUP(2,1/ISNUMBER(Q82:AA82),$Q$4:$AA$4),"")</f>
        <v>2025</v>
      </c>
      <c r="AF82" s="28">
        <f>IF(AB82=0,"",AB82/(AE82-AD82+1))</f>
        <v>1</v>
      </c>
      <c r="AG82" s="25">
        <f>IF(AB82=0,"",'01_Criterios'!$C$8-AE82)</f>
        <v>0</v>
      </c>
      <c r="AH82" s="29">
        <f>IF(P82="Em uso",100,IF(P82="Alta",85,IF(P82="Média",55,30)))</f>
        <v>30</v>
      </c>
      <c r="AI82" s="29">
        <f>ROUND(100*AC82,1)</f>
        <v>100</v>
      </c>
      <c r="AJ82" s="29">
        <f>IF(AB82=0,0,ROUND(MAX(0,100*AF82-10*AG82),1))</f>
        <v>100</v>
      </c>
      <c r="AK82" s="29">
        <f>ROUND(('01_Criterios'!$C$19*AH82+'01_Criterios'!$C$20*AI82+'01_Criterios'!$C$21*AJ82)/('01_Criterios'!$C$19+'01_Criterios'!$C$20+'01_Criterios'!$C$21)+N82*'01_Criterios'!$C$22,1)</f>
        <v>84</v>
      </c>
      <c r="AL82" s="25">
        <f>IF(AND(AB82&gt;=3,AC82&gt;='01_Criterios'!$C$11,N(AE82)&gt;='01_Criterios'!$C$12,OR(F82="+",F82="-"),ISNUMBER(G82),ISNUMBER(H82)),1,0)</f>
        <v>0</v>
      </c>
      <c r="AM82" s="30" t="str">
        <f>IF(AL82=1,"",TRIM(IF(AB82=0,"sem dados no período; ",IF(AB82&lt;3,"série demasiado curta; ",""))&amp;IF(AND(AB82&gt;0,AC82&lt;'01_Criterios'!$C$11),"cobertura insuficiente; ","")&amp;IF(AND(AB82&gt;0,N(AE82)&lt;'01_Criterios'!$C$12),"desactualizado; ","")&amp;IF(AND(F82&lt;&gt;"+",F82&lt;&gt;"-"),"sentido ambíguo; ","")&amp;IF(OR(NOT(ISNUMBER(G82)),NOT(ISNUMBER(H82))),"sem limites min/max; ","")))</f>
        <v>sentido ambíguo;</v>
      </c>
      <c r="AN82" s="25">
        <f>IF(OR(AL82=0,$AP82="Excluir"),0,IF(SUMPRODUCT(($O$5:$O$335=$O82)*($AL$5:$AL$335=1)*($AP$5:$AP$335&lt;&gt;"Excluir")*(($AK$5:$AK$335&gt;$AK82)+(($AK$5:$AK$335=$AK82)*(ROW($O$5:$O$335)&lt;ROW()))))=0,1,0))</f>
        <v>0</v>
      </c>
      <c r="AO82" s="25" t="str">
        <f>IF(AN82=0,"",1+SUMPRODUCT(($B$5:$B$335=$B82)*($AN$5:$AN$335=1)*(($AK$5:$AK$335&gt;$AK82)+(($AK$5:$AK$335=$AK82)*(ROW($B$5:$B$335)&lt;ROW())))))</f>
        <v/>
      </c>
      <c r="AP82" s="22" t="s">
        <v>131</v>
      </c>
      <c r="AQ82" s="25">
        <f>IF(INDEX('01_Criterios'!$C$26:$C$36,MATCH($B82,'01_Criterios'!$B$26:$B$36,0))&lt;&gt;1,0,IF($AP82="Excluir",0,IF($AP82="Incluir",IF(AND(OR($F82="+",$F82="-"),ISNUMBER($G82),ISNUMBER($H82),COUNT($Q82:$AA82)&gt;0),1,0),IF('01_Criterios'!$C$18="Automática",IF(AND($AN82=1,$AO82&lt;&gt;"",$AO82&lt;=INDEX('01_Criterios'!$E$26:$E$36,MATCH($B82,'01_Criterios'!$B$26:$B$36,0))),1,0),0))))</f>
        <v>0</v>
      </c>
      <c r="AR82" s="25" t="str">
        <f>IF(AQ82=0,"",IF($AO82&lt;&gt;"",1+SUMPRODUCT(($B$5:$B$335=$B82)*($AQ$5:$AQ$335=1)*($AO$5:$AO$335&lt;$AO82)),1+SUMPRODUCT(($B$5:$B$335=$B82)*($AQ$5:$AQ$335=1)*ISNUMBER($AO$5:$AO$335))+SUMPRODUCT(($B$5:$B$335=$B82)*($AQ$5:$AQ$335=1)*($AO$5:$AO$335="")*(ROW($AO$5:$AO$335)&lt;ROW()))))</f>
        <v/>
      </c>
      <c r="AS82" s="24" t="s">
        <v>514</v>
      </c>
    </row>
    <row r="83" spans="1:45">
      <c r="A83" s="20" t="s">
        <v>515</v>
      </c>
      <c r="B83" s="21" t="s">
        <v>77</v>
      </c>
      <c r="C83" s="21" t="s">
        <v>346</v>
      </c>
      <c r="D83" s="21" t="s">
        <v>516</v>
      </c>
      <c r="E83" s="20" t="s">
        <v>157</v>
      </c>
      <c r="F83" s="20" t="s">
        <v>126</v>
      </c>
      <c r="G83" s="20">
        <v>0</v>
      </c>
      <c r="H83" s="20">
        <v>300</v>
      </c>
      <c r="I83" s="20"/>
      <c r="J83" s="22">
        <v>1</v>
      </c>
      <c r="K83" s="21" t="s">
        <v>335</v>
      </c>
      <c r="L83" s="20" t="s">
        <v>517</v>
      </c>
      <c r="M83" s="21" t="s">
        <v>335</v>
      </c>
      <c r="N83" s="20">
        <v>1</v>
      </c>
      <c r="O83" s="21" t="s">
        <v>515</v>
      </c>
      <c r="P83" s="20" t="s">
        <v>268</v>
      </c>
      <c r="Q83" s="6">
        <v>90.698999999999998</v>
      </c>
      <c r="R83" s="6">
        <v>110.3002</v>
      </c>
      <c r="S83" s="6">
        <v>125.9816</v>
      </c>
      <c r="T83" s="6">
        <v>159.88069999999999</v>
      </c>
      <c r="U83" s="6">
        <v>157.76320000000001</v>
      </c>
      <c r="V83" s="6">
        <v>138.68270000000001</v>
      </c>
      <c r="W83" s="6">
        <v>178.6926</v>
      </c>
      <c r="X83" s="6">
        <v>175.46510000000001</v>
      </c>
      <c r="Y83" s="6">
        <v>156.0318</v>
      </c>
      <c r="Z83" s="6">
        <v>162.78569999999999</v>
      </c>
      <c r="AA83" s="6">
        <v>127.6585</v>
      </c>
      <c r="AB83" s="20">
        <f>COUNT(Q83:AA83)</f>
        <v>11</v>
      </c>
      <c r="AC83" s="23">
        <f>AB83/11</f>
        <v>1</v>
      </c>
      <c r="AD83" s="20">
        <f>IFERROR(INDEX($Q$4:$AA$4,MATCH(TRUE,INDEX(ISNUMBER(Q83:AA83),0),0)),"")</f>
        <v>2015</v>
      </c>
      <c r="AE83" s="20">
        <f>IFERROR(LOOKUP(2,1/ISNUMBER(Q83:AA83),$Q$4:$AA$4),"")</f>
        <v>2025</v>
      </c>
      <c r="AF83" s="23">
        <f>IF(AB83=0,"",AB83/(AE83-AD83+1))</f>
        <v>1</v>
      </c>
      <c r="AG83" s="20">
        <f>IF(AB83=0,"",'01_Criterios'!$C$8-AE83)</f>
        <v>0</v>
      </c>
      <c r="AH83" s="7">
        <f>IF(P83="Em uso",100,IF(P83="Alta",85,IF(P83="Média",55,30)))</f>
        <v>30</v>
      </c>
      <c r="AI83" s="7">
        <f>ROUND(100*AC83,1)</f>
        <v>100</v>
      </c>
      <c r="AJ83" s="7">
        <f>IF(AB83=0,0,ROUND(MAX(0,100*AF83-10*AG83),1))</f>
        <v>100</v>
      </c>
      <c r="AK83" s="7">
        <f>ROUND(('01_Criterios'!$C$19*AH83+'01_Criterios'!$C$20*AI83+'01_Criterios'!$C$21*AJ83)/('01_Criterios'!$C$19+'01_Criterios'!$C$20+'01_Criterios'!$C$21)+N83*'01_Criterios'!$C$22,1)</f>
        <v>84</v>
      </c>
      <c r="AL83" s="20">
        <f>IF(AND(AB83&gt;=3,AC83&gt;='01_Criterios'!$C$11,N(AE83)&gt;='01_Criterios'!$C$12,OR(F83="+",F83="-"),ISNUMBER(G83),ISNUMBER(H83)),1,0)</f>
        <v>1</v>
      </c>
      <c r="AM83" s="24" t="str">
        <f>IF(AL83=1,"",TRIM(IF(AB83=0,"sem dados no período; ",IF(AB83&lt;3,"série demasiado curta; ",""))&amp;IF(AND(AB83&gt;0,AC83&lt;'01_Criterios'!$C$11),"cobertura insuficiente; ","")&amp;IF(AND(AB83&gt;0,N(AE83)&lt;'01_Criterios'!$C$12),"desactualizado; ","")&amp;IF(AND(F83&lt;&gt;"+",F83&lt;&gt;"-"),"sentido ambíguo; ","")&amp;IF(OR(NOT(ISNUMBER(G83)),NOT(ISNUMBER(H83))),"sem limites min/max; ","")))</f>
        <v/>
      </c>
      <c r="AN83" s="20">
        <f>IF(OR(AL83=0,$AP83="Excluir"),0,IF(SUMPRODUCT(($O$5:$O$335=$O83)*($AL$5:$AL$335=1)*($AP$5:$AP$335&lt;&gt;"Excluir")*(($AK$5:$AK$335&gt;$AK83)+(($AK$5:$AK$335=$AK83)*(ROW($O$5:$O$335)&lt;ROW()))))=0,1,0))</f>
        <v>1</v>
      </c>
      <c r="AO83" s="20">
        <f>IF(AN83=0,"",1+SUMPRODUCT(($B$5:$B$335=$B83)*($AN$5:$AN$335=1)*(($AK$5:$AK$335&gt;$AK83)+(($AK$5:$AK$335=$AK83)*(ROW($B$5:$B$335)&lt;ROW())))))</f>
        <v>21</v>
      </c>
      <c r="AP83" s="22" t="s">
        <v>131</v>
      </c>
      <c r="AQ83" s="20">
        <f>IF(INDEX('01_Criterios'!$C$26:$C$36,MATCH($B83,'01_Criterios'!$B$26:$B$36,0))&lt;&gt;1,0,IF($AP83="Excluir",0,IF($AP83="Incluir",IF(AND(OR($F83="+",$F83="-"),ISNUMBER($G83),ISNUMBER($H83),COUNT($Q83:$AA83)&gt;0),1,0),IF('01_Criterios'!$C$18="Automática",IF(AND($AN83=1,$AO83&lt;&gt;"",$AO83&lt;=INDEX('01_Criterios'!$E$26:$E$36,MATCH($B83,'01_Criterios'!$B$26:$B$36,0))),1,0),0))))</f>
        <v>0</v>
      </c>
      <c r="AR83" s="20" t="str">
        <f>IF(AQ83=0,"",IF($AO83&lt;&gt;"",1+SUMPRODUCT(($B$5:$B$335=$B83)*($AQ$5:$AQ$335=1)*($AO$5:$AO$335&lt;$AO83)),1+SUMPRODUCT(($B$5:$B$335=$B83)*($AQ$5:$AQ$335=1)*ISNUMBER($AO$5:$AO$335))+SUMPRODUCT(($B$5:$B$335=$B83)*($AQ$5:$AQ$335=1)*($AO$5:$AO$335="")*(ROW($AO$5:$AO$335)&lt;ROW()))))</f>
        <v/>
      </c>
      <c r="AS83" s="24" t="s">
        <v>518</v>
      </c>
    </row>
    <row r="84" spans="1:45">
      <c r="A84" s="25" t="s">
        <v>519</v>
      </c>
      <c r="B84" s="26" t="s">
        <v>77</v>
      </c>
      <c r="C84" s="26" t="s">
        <v>220</v>
      </c>
      <c r="D84" s="26" t="s">
        <v>520</v>
      </c>
      <c r="E84" s="25" t="s">
        <v>334</v>
      </c>
      <c r="F84" s="25" t="s">
        <v>316</v>
      </c>
      <c r="G84" s="25">
        <v>0</v>
      </c>
      <c r="H84" s="25">
        <v>60</v>
      </c>
      <c r="I84" s="25"/>
      <c r="J84" s="22">
        <v>1</v>
      </c>
      <c r="K84" s="26" t="s">
        <v>381</v>
      </c>
      <c r="L84" s="25" t="s">
        <v>521</v>
      </c>
      <c r="M84" s="26" t="s">
        <v>383</v>
      </c>
      <c r="N84" s="25">
        <v>0</v>
      </c>
      <c r="O84" s="26" t="s">
        <v>519</v>
      </c>
      <c r="P84" s="25" t="s">
        <v>268</v>
      </c>
      <c r="Q84" s="27">
        <v>23.873169999999998</v>
      </c>
      <c r="R84" s="27">
        <v>19.138242000000002</v>
      </c>
      <c r="S84" s="27">
        <v>20.724753</v>
      </c>
      <c r="T84" s="27">
        <v>17.830276000000001</v>
      </c>
      <c r="U84" s="27">
        <v>20.861132999999999</v>
      </c>
      <c r="V84" s="27">
        <v>24.384833</v>
      </c>
      <c r="W84" s="27">
        <v>22.778379999999999</v>
      </c>
      <c r="X84" s="27">
        <v>24.841390000000001</v>
      </c>
      <c r="Y84" s="27">
        <v>23.345963999999999</v>
      </c>
      <c r="Z84" s="27">
        <v>18.983063000000001</v>
      </c>
      <c r="AA84" s="27">
        <v>18.853147</v>
      </c>
      <c r="AB84" s="25">
        <f>COUNT(Q84:AA84)</f>
        <v>11</v>
      </c>
      <c r="AC84" s="28">
        <f>AB84/11</f>
        <v>1</v>
      </c>
      <c r="AD84" s="25">
        <f>IFERROR(INDEX($Q$4:$AA$4,MATCH(TRUE,INDEX(ISNUMBER(Q84:AA84),0),0)),"")</f>
        <v>2015</v>
      </c>
      <c r="AE84" s="25">
        <f>IFERROR(LOOKUP(2,1/ISNUMBER(Q84:AA84),$Q$4:$AA$4),"")</f>
        <v>2025</v>
      </c>
      <c r="AF84" s="28">
        <f>IF(AB84=0,"",AB84/(AE84-AD84+1))</f>
        <v>1</v>
      </c>
      <c r="AG84" s="25">
        <f>IF(AB84=0,"",'01_Criterios'!$C$8-AE84)</f>
        <v>0</v>
      </c>
      <c r="AH84" s="29">
        <f>IF(P84="Em uso",100,IF(P84="Alta",85,IF(P84="Média",55,30)))</f>
        <v>30</v>
      </c>
      <c r="AI84" s="29">
        <f>ROUND(100*AC84,1)</f>
        <v>100</v>
      </c>
      <c r="AJ84" s="29">
        <f>IF(AB84=0,0,ROUND(MAX(0,100*AF84-10*AG84),1))</f>
        <v>100</v>
      </c>
      <c r="AK84" s="29">
        <f>ROUND(('01_Criterios'!$C$19*AH84+'01_Criterios'!$C$20*AI84+'01_Criterios'!$C$21*AJ84)/('01_Criterios'!$C$19+'01_Criterios'!$C$20+'01_Criterios'!$C$21)+N84*'01_Criterios'!$C$22,1)</f>
        <v>72</v>
      </c>
      <c r="AL84" s="25">
        <f>IF(AND(AB84&gt;=3,AC84&gt;='01_Criterios'!$C$11,N(AE84)&gt;='01_Criterios'!$C$12,OR(F84="+",F84="-"),ISNUMBER(G84),ISNUMBER(H84)),1,0)</f>
        <v>0</v>
      </c>
      <c r="AM84" s="30" t="str">
        <f>IF(AL84=1,"",TRIM(IF(AB84=0,"sem dados no período; ",IF(AB84&lt;3,"série demasiado curta; ",""))&amp;IF(AND(AB84&gt;0,AC84&lt;'01_Criterios'!$C$11),"cobertura insuficiente; ","")&amp;IF(AND(AB84&gt;0,N(AE84)&lt;'01_Criterios'!$C$12),"desactualizado; ","")&amp;IF(AND(F84&lt;&gt;"+",F84&lt;&gt;"-"),"sentido ambíguo; ","")&amp;IF(OR(NOT(ISNUMBER(G84)),NOT(ISNUMBER(H84))),"sem limites min/max; ","")))</f>
        <v>sentido ambíguo;</v>
      </c>
      <c r="AN84" s="25">
        <f>IF(OR(AL84=0,$AP84="Excluir"),0,IF(SUMPRODUCT(($O$5:$O$335=$O84)*($AL$5:$AL$335=1)*($AP$5:$AP$335&lt;&gt;"Excluir")*(($AK$5:$AK$335&gt;$AK84)+(($AK$5:$AK$335=$AK84)*(ROW($O$5:$O$335)&lt;ROW()))))=0,1,0))</f>
        <v>0</v>
      </c>
      <c r="AO84" s="25" t="str">
        <f>IF(AN84=0,"",1+SUMPRODUCT(($B$5:$B$335=$B84)*($AN$5:$AN$335=1)*(($AK$5:$AK$335&gt;$AK84)+(($AK$5:$AK$335=$AK84)*(ROW($B$5:$B$335)&lt;ROW())))))</f>
        <v/>
      </c>
      <c r="AP84" s="22" t="s">
        <v>131</v>
      </c>
      <c r="AQ84" s="25">
        <f>IF(INDEX('01_Criterios'!$C$26:$C$36,MATCH($B84,'01_Criterios'!$B$26:$B$36,0))&lt;&gt;1,0,IF($AP84="Excluir",0,IF($AP84="Incluir",IF(AND(OR($F84="+",$F84="-"),ISNUMBER($G84),ISNUMBER($H84),COUNT($Q84:$AA84)&gt;0),1,0),IF('01_Criterios'!$C$18="Automática",IF(AND($AN84=1,$AO84&lt;&gt;"",$AO84&lt;=INDEX('01_Criterios'!$E$26:$E$36,MATCH($B84,'01_Criterios'!$B$26:$B$36,0))),1,0),0))))</f>
        <v>0</v>
      </c>
      <c r="AR84" s="25" t="str">
        <f>IF(AQ84=0,"",IF($AO84&lt;&gt;"",1+SUMPRODUCT(($B$5:$B$335=$B84)*($AQ$5:$AQ$335=1)*($AO$5:$AO$335&lt;$AO84)),1+SUMPRODUCT(($B$5:$B$335=$B84)*($AQ$5:$AQ$335=1)*ISNUMBER($AO$5:$AO$335))+SUMPRODUCT(($B$5:$B$335=$B84)*($AQ$5:$AQ$335=1)*($AO$5:$AO$335="")*(ROW($AO$5:$AO$335)&lt;ROW()))))</f>
        <v/>
      </c>
      <c r="AS84" s="24" t="s">
        <v>522</v>
      </c>
    </row>
    <row r="85" spans="1:45">
      <c r="A85" s="20" t="s">
        <v>523</v>
      </c>
      <c r="B85" s="21" t="s">
        <v>77</v>
      </c>
      <c r="C85" s="21" t="s">
        <v>314</v>
      </c>
      <c r="D85" s="21" t="s">
        <v>524</v>
      </c>
      <c r="E85" s="20" t="s">
        <v>157</v>
      </c>
      <c r="F85" s="20" t="s">
        <v>316</v>
      </c>
      <c r="G85" s="20">
        <v>-20</v>
      </c>
      <c r="H85" s="20">
        <v>50</v>
      </c>
      <c r="I85" s="20"/>
      <c r="J85" s="22">
        <v>1</v>
      </c>
      <c r="K85" s="21" t="s">
        <v>204</v>
      </c>
      <c r="L85" s="20" t="s">
        <v>525</v>
      </c>
      <c r="M85" s="21" t="s">
        <v>161</v>
      </c>
      <c r="N85" s="20">
        <v>0</v>
      </c>
      <c r="O85" s="21" t="s">
        <v>523</v>
      </c>
      <c r="P85" s="20" t="s">
        <v>268</v>
      </c>
      <c r="Q85" s="6">
        <v>20.443802156107498</v>
      </c>
      <c r="R85" s="6">
        <v>-4.2095729143764018</v>
      </c>
      <c r="S85" s="6">
        <v>-6.4011320251386064</v>
      </c>
      <c r="T85" s="6">
        <v>-3.1652774602989462</v>
      </c>
      <c r="U85" s="6">
        <v>-0.79375484603095769</v>
      </c>
      <c r="V85" s="6">
        <v>2.947088455361083</v>
      </c>
      <c r="W85" s="6">
        <v>-11.94424698077243</v>
      </c>
      <c r="X85" s="6">
        <v>1.7358217768568669</v>
      </c>
      <c r="Y85" s="6">
        <v>-2.022156498163612</v>
      </c>
      <c r="Z85" s="6">
        <v>-6.6281198656294116</v>
      </c>
      <c r="AA85" s="6">
        <v>-0.93174542382194503</v>
      </c>
      <c r="AB85" s="20">
        <f>COUNT(Q85:AA85)</f>
        <v>11</v>
      </c>
      <c r="AC85" s="23">
        <f>AB85/11</f>
        <v>1</v>
      </c>
      <c r="AD85" s="20">
        <f>IFERROR(INDEX($Q$4:$AA$4,MATCH(TRUE,INDEX(ISNUMBER(Q85:AA85),0),0)),"")</f>
        <v>2015</v>
      </c>
      <c r="AE85" s="20">
        <f>IFERROR(LOOKUP(2,1/ISNUMBER(Q85:AA85),$Q$4:$AA$4),"")</f>
        <v>2025</v>
      </c>
      <c r="AF85" s="23">
        <f>IF(AB85=0,"",AB85/(AE85-AD85+1))</f>
        <v>1</v>
      </c>
      <c r="AG85" s="20">
        <f>IF(AB85=0,"",'01_Criterios'!$C$8-AE85)</f>
        <v>0</v>
      </c>
      <c r="AH85" s="7">
        <f>IF(P85="Em uso",100,IF(P85="Alta",85,IF(P85="Média",55,30)))</f>
        <v>30</v>
      </c>
      <c r="AI85" s="7">
        <f>ROUND(100*AC85,1)</f>
        <v>100</v>
      </c>
      <c r="AJ85" s="7">
        <f>IF(AB85=0,0,ROUND(MAX(0,100*AF85-10*AG85),1))</f>
        <v>100</v>
      </c>
      <c r="AK85" s="7">
        <f>ROUND(('01_Criterios'!$C$19*AH85+'01_Criterios'!$C$20*AI85+'01_Criterios'!$C$21*AJ85)/('01_Criterios'!$C$19+'01_Criterios'!$C$20+'01_Criterios'!$C$21)+N85*'01_Criterios'!$C$22,1)</f>
        <v>72</v>
      </c>
      <c r="AL85" s="20">
        <f>IF(AND(AB85&gt;=3,AC85&gt;='01_Criterios'!$C$11,N(AE85)&gt;='01_Criterios'!$C$12,OR(F85="+",F85="-"),ISNUMBER(G85),ISNUMBER(H85)),1,0)</f>
        <v>0</v>
      </c>
      <c r="AM85" s="24" t="str">
        <f>IF(AL85=1,"",TRIM(IF(AB85=0,"sem dados no período; ",IF(AB85&lt;3,"série demasiado curta; ",""))&amp;IF(AND(AB85&gt;0,AC85&lt;'01_Criterios'!$C$11),"cobertura insuficiente; ","")&amp;IF(AND(AB85&gt;0,N(AE85)&lt;'01_Criterios'!$C$12),"desactualizado; ","")&amp;IF(AND(F85&lt;&gt;"+",F85&lt;&gt;"-"),"sentido ambíguo; ","")&amp;IF(OR(NOT(ISNUMBER(G85)),NOT(ISNUMBER(H85))),"sem limites min/max; ","")))</f>
        <v>sentido ambíguo;</v>
      </c>
      <c r="AN85" s="20">
        <f>IF(OR(AL85=0,$AP85="Excluir"),0,IF(SUMPRODUCT(($O$5:$O$335=$O85)*($AL$5:$AL$335=1)*($AP$5:$AP$335&lt;&gt;"Excluir")*(($AK$5:$AK$335&gt;$AK85)+(($AK$5:$AK$335=$AK85)*(ROW($O$5:$O$335)&lt;ROW()))))=0,1,0))</f>
        <v>0</v>
      </c>
      <c r="AO85" s="20" t="str">
        <f>IF(AN85=0,"",1+SUMPRODUCT(($B$5:$B$335=$B85)*($AN$5:$AN$335=1)*(($AK$5:$AK$335&gt;$AK85)+(($AK$5:$AK$335=$AK85)*(ROW($B$5:$B$335)&lt;ROW())))))</f>
        <v/>
      </c>
      <c r="AP85" s="22" t="s">
        <v>131</v>
      </c>
      <c r="AQ85" s="20">
        <f>IF(INDEX('01_Criterios'!$C$26:$C$36,MATCH($B85,'01_Criterios'!$B$26:$B$36,0))&lt;&gt;1,0,IF($AP85="Excluir",0,IF($AP85="Incluir",IF(AND(OR($F85="+",$F85="-"),ISNUMBER($G85),ISNUMBER($H85),COUNT($Q85:$AA85)&gt;0),1,0),IF('01_Criterios'!$C$18="Automática",IF(AND($AN85=1,$AO85&lt;&gt;"",$AO85&lt;=INDEX('01_Criterios'!$E$26:$E$36,MATCH($B85,'01_Criterios'!$B$26:$B$36,0))),1,0),0))))</f>
        <v>0</v>
      </c>
      <c r="AR85" s="20" t="str">
        <f>IF(AQ85=0,"",IF($AO85&lt;&gt;"",1+SUMPRODUCT(($B$5:$B$335=$B85)*($AQ$5:$AQ$335=1)*($AO$5:$AO$335&lt;$AO85)),1+SUMPRODUCT(($B$5:$B$335=$B85)*($AQ$5:$AQ$335=1)*ISNUMBER($AO$5:$AO$335))+SUMPRODUCT(($B$5:$B$335=$B85)*($AQ$5:$AQ$335=1)*($AO$5:$AO$335="")*(ROW($AO$5:$AO$335)&lt;ROW()))))</f>
        <v/>
      </c>
      <c r="AS85" s="24" t="s">
        <v>526</v>
      </c>
    </row>
    <row r="86" spans="1:45">
      <c r="A86" s="25" t="s">
        <v>527</v>
      </c>
      <c r="B86" s="26" t="s">
        <v>77</v>
      </c>
      <c r="C86" s="26" t="s">
        <v>220</v>
      </c>
      <c r="D86" s="26" t="s">
        <v>528</v>
      </c>
      <c r="E86" s="25" t="s">
        <v>334</v>
      </c>
      <c r="F86" s="25" t="s">
        <v>316</v>
      </c>
      <c r="G86" s="25">
        <v>0</v>
      </c>
      <c r="H86" s="25">
        <v>60</v>
      </c>
      <c r="I86" s="25"/>
      <c r="J86" s="22">
        <v>1</v>
      </c>
      <c r="K86" s="26" t="s">
        <v>204</v>
      </c>
      <c r="L86" s="25" t="s">
        <v>529</v>
      </c>
      <c r="M86" s="26" t="s">
        <v>161</v>
      </c>
      <c r="N86" s="25">
        <v>0</v>
      </c>
      <c r="O86" s="26" t="s">
        <v>527</v>
      </c>
      <c r="P86" s="25" t="s">
        <v>268</v>
      </c>
      <c r="Q86" s="27">
        <v>18.3730580743307</v>
      </c>
      <c r="R86" s="27">
        <v>15.20393213298617</v>
      </c>
      <c r="S86" s="27">
        <v>14.346659401290029</v>
      </c>
      <c r="T86" s="27">
        <v>13.70117262971066</v>
      </c>
      <c r="U86" s="27">
        <v>14.56920256312919</v>
      </c>
      <c r="V86" s="27"/>
      <c r="W86" s="27"/>
      <c r="X86" s="27"/>
      <c r="Y86" s="27"/>
      <c r="Z86" s="27"/>
      <c r="AA86" s="27"/>
      <c r="AB86" s="25">
        <f>COUNT(Q86:AA86)</f>
        <v>5</v>
      </c>
      <c r="AC86" s="28">
        <f>AB86/11</f>
        <v>0.45454545454545453</v>
      </c>
      <c r="AD86" s="25">
        <f>IFERROR(INDEX($Q$4:$AA$4,MATCH(TRUE,INDEX(ISNUMBER(Q86:AA86),0),0)),"")</f>
        <v>2015</v>
      </c>
      <c r="AE86" s="25">
        <f>IFERROR(LOOKUP(2,1/ISNUMBER(Q86:AA86),$Q$4:$AA$4),"")</f>
        <v>2019</v>
      </c>
      <c r="AF86" s="28">
        <f>IF(AB86=0,"",AB86/(AE86-AD86+1))</f>
        <v>1</v>
      </c>
      <c r="AG86" s="25">
        <f>IF(AB86=0,"",'01_Criterios'!$C$8-AE86)</f>
        <v>6</v>
      </c>
      <c r="AH86" s="29">
        <f>IF(P86="Em uso",100,IF(P86="Alta",85,IF(P86="Média",55,30)))</f>
        <v>30</v>
      </c>
      <c r="AI86" s="29">
        <f>ROUND(100*AC86,1)</f>
        <v>45.5</v>
      </c>
      <c r="AJ86" s="29">
        <f>IF(AB86=0,0,ROUND(MAX(0,100*AF86-10*AG86),1))</f>
        <v>40</v>
      </c>
      <c r="AK86" s="29">
        <f>ROUND(('01_Criterios'!$C$19*AH86+'01_Criterios'!$C$20*AI86+'01_Criterios'!$C$21*AJ86)/('01_Criterios'!$C$19+'01_Criterios'!$C$20+'01_Criterios'!$C$21)+N86*'01_Criterios'!$C$22,1)</f>
        <v>37.9</v>
      </c>
      <c r="AL86" s="25">
        <f>IF(AND(AB86&gt;=3,AC86&gt;='01_Criterios'!$C$11,N(AE86)&gt;='01_Criterios'!$C$12,OR(F86="+",F86="-"),ISNUMBER(G86),ISNUMBER(H86)),1,0)</f>
        <v>0</v>
      </c>
      <c r="AM86" s="30" t="str">
        <f>IF(AL86=1,"",TRIM(IF(AB86=0,"sem dados no período; ",IF(AB86&lt;3,"série demasiado curta; ",""))&amp;IF(AND(AB86&gt;0,AC86&lt;'01_Criterios'!$C$11),"cobertura insuficiente; ","")&amp;IF(AND(AB86&gt;0,N(AE86)&lt;'01_Criterios'!$C$12),"desactualizado; ","")&amp;IF(AND(F86&lt;&gt;"+",F86&lt;&gt;"-"),"sentido ambíguo; ","")&amp;IF(OR(NOT(ISNUMBER(G86)),NOT(ISNUMBER(H86))),"sem limites min/max; ","")))</f>
        <v>cobertura insuficiente; desactualizado; sentido ambíguo;</v>
      </c>
      <c r="AN86" s="25">
        <f>IF(OR(AL86=0,$AP86="Excluir"),0,IF(SUMPRODUCT(($O$5:$O$335=$O86)*($AL$5:$AL$335=1)*($AP$5:$AP$335&lt;&gt;"Excluir")*(($AK$5:$AK$335&gt;$AK86)+(($AK$5:$AK$335=$AK86)*(ROW($O$5:$O$335)&lt;ROW()))))=0,1,0))</f>
        <v>0</v>
      </c>
      <c r="AO86" s="25" t="str">
        <f>IF(AN86=0,"",1+SUMPRODUCT(($B$5:$B$335=$B86)*($AN$5:$AN$335=1)*(($AK$5:$AK$335&gt;$AK86)+(($AK$5:$AK$335=$AK86)*(ROW($B$5:$B$335)&lt;ROW())))))</f>
        <v/>
      </c>
      <c r="AP86" s="22" t="s">
        <v>131</v>
      </c>
      <c r="AQ86" s="25">
        <f>IF(INDEX('01_Criterios'!$C$26:$C$36,MATCH($B86,'01_Criterios'!$B$26:$B$36,0))&lt;&gt;1,0,IF($AP86="Excluir",0,IF($AP86="Incluir",IF(AND(OR($F86="+",$F86="-"),ISNUMBER($G86),ISNUMBER($H86),COUNT($Q86:$AA86)&gt;0),1,0),IF('01_Criterios'!$C$18="Automática",IF(AND($AN86=1,$AO86&lt;&gt;"",$AO86&lt;=INDEX('01_Criterios'!$E$26:$E$36,MATCH($B86,'01_Criterios'!$B$26:$B$36,0))),1,0),0))))</f>
        <v>0</v>
      </c>
      <c r="AR86" s="25" t="str">
        <f>IF(AQ86=0,"",IF($AO86&lt;&gt;"",1+SUMPRODUCT(($B$5:$B$335=$B86)*($AQ$5:$AQ$335=1)*($AO$5:$AO$335&lt;$AO86)),1+SUMPRODUCT(($B$5:$B$335=$B86)*($AQ$5:$AQ$335=1)*ISNUMBER($AO$5:$AO$335))+SUMPRODUCT(($B$5:$B$335=$B86)*($AQ$5:$AQ$335=1)*($AO$5:$AO$335="")*(ROW($AO$5:$AO$335)&lt;ROW()))))</f>
        <v/>
      </c>
      <c r="AS86" s="24" t="s">
        <v>530</v>
      </c>
    </row>
    <row r="87" spans="1:45">
      <c r="A87" s="20" t="s">
        <v>531</v>
      </c>
      <c r="B87" s="21" t="s">
        <v>77</v>
      </c>
      <c r="C87" s="21" t="s">
        <v>346</v>
      </c>
      <c r="D87" s="21" t="s">
        <v>532</v>
      </c>
      <c r="E87" s="20" t="s">
        <v>334</v>
      </c>
      <c r="F87" s="20" t="s">
        <v>126</v>
      </c>
      <c r="G87" s="20">
        <v>0</v>
      </c>
      <c r="H87" s="20">
        <v>150</v>
      </c>
      <c r="I87" s="20">
        <v>60</v>
      </c>
      <c r="J87" s="22">
        <v>1</v>
      </c>
      <c r="K87" s="21" t="s">
        <v>204</v>
      </c>
      <c r="L87" s="20" t="s">
        <v>533</v>
      </c>
      <c r="M87" s="21" t="s">
        <v>161</v>
      </c>
      <c r="N87" s="20">
        <v>0</v>
      </c>
      <c r="O87" s="21" t="s">
        <v>534</v>
      </c>
      <c r="P87" s="20" t="s">
        <v>268</v>
      </c>
      <c r="Q87" s="6">
        <v>52.537924926993597</v>
      </c>
      <c r="R87" s="6">
        <v>66.85694707983933</v>
      </c>
      <c r="S87" s="6">
        <v>57.311958448141468</v>
      </c>
      <c r="T87" s="6">
        <v>62.488632061671431</v>
      </c>
      <c r="U87" s="6">
        <v>60.834683928974357</v>
      </c>
      <c r="V87" s="6">
        <v>53.7889352887738</v>
      </c>
      <c r="W87" s="6">
        <v>58.5701353794977</v>
      </c>
      <c r="X87" s="6">
        <v>53.868725850123091</v>
      </c>
      <c r="Y87" s="6">
        <v>52.056560633791207</v>
      </c>
      <c r="Z87" s="6">
        <v>51.606249840550028</v>
      </c>
      <c r="AA87" s="6">
        <v>38.843497402682573</v>
      </c>
      <c r="AB87" s="20">
        <f>COUNT(Q87:AA87)</f>
        <v>11</v>
      </c>
      <c r="AC87" s="23">
        <f>AB87/11</f>
        <v>1</v>
      </c>
      <c r="AD87" s="20">
        <f>IFERROR(INDEX($Q$4:$AA$4,MATCH(TRUE,INDEX(ISNUMBER(Q87:AA87),0),0)),"")</f>
        <v>2015</v>
      </c>
      <c r="AE87" s="20">
        <f>IFERROR(LOOKUP(2,1/ISNUMBER(Q87:AA87),$Q$4:$AA$4),"")</f>
        <v>2025</v>
      </c>
      <c r="AF87" s="23">
        <f>IF(AB87=0,"",AB87/(AE87-AD87+1))</f>
        <v>1</v>
      </c>
      <c r="AG87" s="20">
        <f>IF(AB87=0,"",'01_Criterios'!$C$8-AE87)</f>
        <v>0</v>
      </c>
      <c r="AH87" s="7">
        <f>IF(P87="Em uso",100,IF(P87="Alta",85,IF(P87="Média",55,30)))</f>
        <v>30</v>
      </c>
      <c r="AI87" s="7">
        <f>ROUND(100*AC87,1)</f>
        <v>100</v>
      </c>
      <c r="AJ87" s="7">
        <f>IF(AB87=0,0,ROUND(MAX(0,100*AF87-10*AG87),1))</f>
        <v>100</v>
      </c>
      <c r="AK87" s="7">
        <f>ROUND(('01_Criterios'!$C$19*AH87+'01_Criterios'!$C$20*AI87+'01_Criterios'!$C$21*AJ87)/('01_Criterios'!$C$19+'01_Criterios'!$C$20+'01_Criterios'!$C$21)+N87*'01_Criterios'!$C$22,1)</f>
        <v>72</v>
      </c>
      <c r="AL87" s="20">
        <f>IF(AND(AB87&gt;=3,AC87&gt;='01_Criterios'!$C$11,N(AE87)&gt;='01_Criterios'!$C$12,OR(F87="+",F87="-"),ISNUMBER(G87),ISNUMBER(H87)),1,0)</f>
        <v>1</v>
      </c>
      <c r="AM87" s="24" t="str">
        <f>IF(AL87=1,"",TRIM(IF(AB87=0,"sem dados no período; ",IF(AB87&lt;3,"série demasiado curta; ",""))&amp;IF(AND(AB87&gt;0,AC87&lt;'01_Criterios'!$C$11),"cobertura insuficiente; ","")&amp;IF(AND(AB87&gt;0,N(AE87)&lt;'01_Criterios'!$C$12),"desactualizado; ","")&amp;IF(AND(F87&lt;&gt;"+",F87&lt;&gt;"-"),"sentido ambíguo; ","")&amp;IF(OR(NOT(ISNUMBER(G87)),NOT(ISNUMBER(H87))),"sem limites min/max; ","")))</f>
        <v/>
      </c>
      <c r="AN87" s="20">
        <f>IF(OR(AL87=0,$AP87="Excluir"),0,IF(SUMPRODUCT(($O$5:$O$335=$O87)*($AL$5:$AL$335=1)*($AP$5:$AP$335&lt;&gt;"Excluir")*(($AK$5:$AK$335&gt;$AK87)+(($AK$5:$AK$335=$AK87)*(ROW($O$5:$O$335)&lt;ROW()))))=0,1,0))</f>
        <v>1</v>
      </c>
      <c r="AO87" s="20">
        <f>IF(AN87=0,"",1+SUMPRODUCT(($B$5:$B$335=$B87)*($AN$5:$AN$335=1)*(($AK$5:$AK$335&gt;$AK87)+(($AK$5:$AK$335=$AK87)*(ROW($B$5:$B$335)&lt;ROW())))))</f>
        <v>24</v>
      </c>
      <c r="AP87" s="22" t="s">
        <v>131</v>
      </c>
      <c r="AQ87" s="20">
        <f>IF(INDEX('01_Criterios'!$C$26:$C$36,MATCH($B87,'01_Criterios'!$B$26:$B$36,0))&lt;&gt;1,0,IF($AP87="Excluir",0,IF($AP87="Incluir",IF(AND(OR($F87="+",$F87="-"),ISNUMBER($G87),ISNUMBER($H87),COUNT($Q87:$AA87)&gt;0),1,0),IF('01_Criterios'!$C$18="Automática",IF(AND($AN87=1,$AO87&lt;&gt;"",$AO87&lt;=INDEX('01_Criterios'!$E$26:$E$36,MATCH($B87,'01_Criterios'!$B$26:$B$36,0))),1,0),0))))</f>
        <v>0</v>
      </c>
      <c r="AR87" s="20" t="str">
        <f>IF(AQ87=0,"",IF($AO87&lt;&gt;"",1+SUMPRODUCT(($B$5:$B$335=$B87)*($AQ$5:$AQ$335=1)*($AO$5:$AO$335&lt;$AO87)),1+SUMPRODUCT(($B$5:$B$335=$B87)*($AQ$5:$AQ$335=1)*ISNUMBER($AO$5:$AO$335))+SUMPRODUCT(($B$5:$B$335=$B87)*($AQ$5:$AQ$335=1)*($AO$5:$AO$335="")*(ROW($AO$5:$AO$335)&lt;ROW()))))</f>
        <v/>
      </c>
      <c r="AS87" s="24" t="s">
        <v>535</v>
      </c>
    </row>
    <row r="88" spans="1:45">
      <c r="A88" s="25" t="s">
        <v>536</v>
      </c>
      <c r="B88" s="26" t="s">
        <v>77</v>
      </c>
      <c r="C88" s="26" t="s">
        <v>346</v>
      </c>
      <c r="D88" s="26" t="s">
        <v>537</v>
      </c>
      <c r="E88" s="25" t="s">
        <v>334</v>
      </c>
      <c r="F88" s="25" t="s">
        <v>126</v>
      </c>
      <c r="G88" s="25">
        <v>0</v>
      </c>
      <c r="H88" s="25">
        <v>150</v>
      </c>
      <c r="I88" s="25">
        <v>70</v>
      </c>
      <c r="J88" s="22">
        <v>1</v>
      </c>
      <c r="K88" s="26" t="s">
        <v>204</v>
      </c>
      <c r="L88" s="25" t="s">
        <v>538</v>
      </c>
      <c r="M88" s="26" t="s">
        <v>161</v>
      </c>
      <c r="N88" s="25">
        <v>0</v>
      </c>
      <c r="O88" s="26" t="s">
        <v>534</v>
      </c>
      <c r="P88" s="25" t="s">
        <v>268</v>
      </c>
      <c r="Q88" s="27">
        <v>54.979380877983502</v>
      </c>
      <c r="R88" s="27">
        <v>46.32561305715209</v>
      </c>
      <c r="S88" s="27">
        <v>44.996325320318867</v>
      </c>
      <c r="T88" s="27">
        <v>58.269895389063343</v>
      </c>
      <c r="U88" s="27">
        <v>60.371306873960272</v>
      </c>
      <c r="V88" s="27">
        <v>54.660403068374883</v>
      </c>
      <c r="W88" s="27">
        <v>62.528770532067433</v>
      </c>
      <c r="X88" s="27">
        <v>56.538072228074327</v>
      </c>
      <c r="Y88" s="27">
        <v>53.607012649868587</v>
      </c>
      <c r="Z88" s="27">
        <v>49.848950674096301</v>
      </c>
      <c r="AA88" s="27">
        <v>34.646640370451678</v>
      </c>
      <c r="AB88" s="25">
        <f>COUNT(Q88:AA88)</f>
        <v>11</v>
      </c>
      <c r="AC88" s="28">
        <f>AB88/11</f>
        <v>1</v>
      </c>
      <c r="AD88" s="25">
        <f>IFERROR(INDEX($Q$4:$AA$4,MATCH(TRUE,INDEX(ISNUMBER(Q88:AA88),0),0)),"")</f>
        <v>2015</v>
      </c>
      <c r="AE88" s="25">
        <f>IFERROR(LOOKUP(2,1/ISNUMBER(Q88:AA88),$Q$4:$AA$4),"")</f>
        <v>2025</v>
      </c>
      <c r="AF88" s="28">
        <f>IF(AB88=0,"",AB88/(AE88-AD88+1))</f>
        <v>1</v>
      </c>
      <c r="AG88" s="25">
        <f>IF(AB88=0,"",'01_Criterios'!$C$8-AE88)</f>
        <v>0</v>
      </c>
      <c r="AH88" s="29">
        <f>IF(P88="Em uso",100,IF(P88="Alta",85,IF(P88="Média",55,30)))</f>
        <v>30</v>
      </c>
      <c r="AI88" s="29">
        <f>ROUND(100*AC88,1)</f>
        <v>100</v>
      </c>
      <c r="AJ88" s="29">
        <f>IF(AB88=0,0,ROUND(MAX(0,100*AF88-10*AG88),1))</f>
        <v>100</v>
      </c>
      <c r="AK88" s="29">
        <f>ROUND(('01_Criterios'!$C$19*AH88+'01_Criterios'!$C$20*AI88+'01_Criterios'!$C$21*AJ88)/('01_Criterios'!$C$19+'01_Criterios'!$C$20+'01_Criterios'!$C$21)+N88*'01_Criterios'!$C$22,1)</f>
        <v>72</v>
      </c>
      <c r="AL88" s="25">
        <f>IF(AND(AB88&gt;=3,AC88&gt;='01_Criterios'!$C$11,N(AE88)&gt;='01_Criterios'!$C$12,OR(F88="+",F88="-"),ISNUMBER(G88),ISNUMBER(H88)),1,0)</f>
        <v>1</v>
      </c>
      <c r="AM88" s="30" t="str">
        <f>IF(AL88=1,"",TRIM(IF(AB88=0,"sem dados no período; ",IF(AB88&lt;3,"série demasiado curta; ",""))&amp;IF(AND(AB88&gt;0,AC88&lt;'01_Criterios'!$C$11),"cobertura insuficiente; ","")&amp;IF(AND(AB88&gt;0,N(AE88)&lt;'01_Criterios'!$C$12),"desactualizado; ","")&amp;IF(AND(F88&lt;&gt;"+",F88&lt;&gt;"-"),"sentido ambíguo; ","")&amp;IF(OR(NOT(ISNUMBER(G88)),NOT(ISNUMBER(H88))),"sem limites min/max; ","")))</f>
        <v/>
      </c>
      <c r="AN88" s="25">
        <f>IF(OR(AL88=0,$AP88="Excluir"),0,IF(SUMPRODUCT(($O$5:$O$335=$O88)*($AL$5:$AL$335=1)*($AP$5:$AP$335&lt;&gt;"Excluir")*(($AK$5:$AK$335&gt;$AK88)+(($AK$5:$AK$335=$AK88)*(ROW($O$5:$O$335)&lt;ROW()))))=0,1,0))</f>
        <v>0</v>
      </c>
      <c r="AO88" s="25" t="str">
        <f>IF(AN88=0,"",1+SUMPRODUCT(($B$5:$B$335=$B88)*($AN$5:$AN$335=1)*(($AK$5:$AK$335&gt;$AK88)+(($AK$5:$AK$335=$AK88)*(ROW($B$5:$B$335)&lt;ROW())))))</f>
        <v/>
      </c>
      <c r="AP88" s="22" t="s">
        <v>131</v>
      </c>
      <c r="AQ88" s="25">
        <f>IF(INDEX('01_Criterios'!$C$26:$C$36,MATCH($B88,'01_Criterios'!$B$26:$B$36,0))&lt;&gt;1,0,IF($AP88="Excluir",0,IF($AP88="Incluir",IF(AND(OR($F88="+",$F88="-"),ISNUMBER($G88),ISNUMBER($H88),COUNT($Q88:$AA88)&gt;0),1,0),IF('01_Criterios'!$C$18="Automática",IF(AND($AN88=1,$AO88&lt;&gt;"",$AO88&lt;=INDEX('01_Criterios'!$E$26:$E$36,MATCH($B88,'01_Criterios'!$B$26:$B$36,0))),1,0),0))))</f>
        <v>0</v>
      </c>
      <c r="AR88" s="25" t="str">
        <f>IF(AQ88=0,"",IF($AO88&lt;&gt;"",1+SUMPRODUCT(($B$5:$B$335=$B88)*($AQ$5:$AQ$335=1)*($AO$5:$AO$335&lt;$AO88)),1+SUMPRODUCT(($B$5:$B$335=$B88)*($AQ$5:$AQ$335=1)*ISNUMBER($AO$5:$AO$335))+SUMPRODUCT(($B$5:$B$335=$B88)*($AQ$5:$AQ$335=1)*($AO$5:$AO$335="")*(ROW($AO$5:$AO$335)&lt;ROW()))))</f>
        <v/>
      </c>
      <c r="AS88" s="24" t="s">
        <v>539</v>
      </c>
    </row>
    <row r="89" spans="1:45">
      <c r="A89" s="20" t="s">
        <v>540</v>
      </c>
      <c r="B89" s="21" t="s">
        <v>77</v>
      </c>
      <c r="C89" s="21" t="s">
        <v>346</v>
      </c>
      <c r="D89" s="21" t="s">
        <v>541</v>
      </c>
      <c r="E89" s="20" t="s">
        <v>542</v>
      </c>
      <c r="F89" s="20" t="s">
        <v>126</v>
      </c>
      <c r="G89" s="20">
        <v>-10000000000</v>
      </c>
      <c r="H89" s="20">
        <v>12600000000</v>
      </c>
      <c r="I89" s="20"/>
      <c r="J89" s="22">
        <v>1</v>
      </c>
      <c r="K89" s="21" t="s">
        <v>204</v>
      </c>
      <c r="L89" s="20" t="s">
        <v>543</v>
      </c>
      <c r="M89" s="21" t="s">
        <v>161</v>
      </c>
      <c r="N89" s="20">
        <v>0</v>
      </c>
      <c r="O89" s="21" t="s">
        <v>354</v>
      </c>
      <c r="P89" s="20" t="s">
        <v>268</v>
      </c>
      <c r="Q89" s="6">
        <v>10028215162.6394</v>
      </c>
      <c r="R89" s="6">
        <v>-179517618.91999999</v>
      </c>
      <c r="S89" s="6">
        <v>-7397295409.1899099</v>
      </c>
      <c r="T89" s="6">
        <v>-6456076413.1203299</v>
      </c>
      <c r="U89" s="6">
        <v>-4098478747.6375399</v>
      </c>
      <c r="V89" s="6">
        <v>-1866468113.0745299</v>
      </c>
      <c r="W89" s="6">
        <v>-4355116552.7158804</v>
      </c>
      <c r="X89" s="6">
        <v>-6598652652.0938902</v>
      </c>
      <c r="Y89" s="6">
        <v>-2119632185.51477</v>
      </c>
      <c r="Z89" s="6">
        <v>-1109663097.06424</v>
      </c>
      <c r="AA89" s="6"/>
      <c r="AB89" s="20">
        <f>COUNT(Q89:AA89)</f>
        <v>10</v>
      </c>
      <c r="AC89" s="23">
        <f>AB89/11</f>
        <v>0.90909090909090906</v>
      </c>
      <c r="AD89" s="20">
        <f>IFERROR(INDEX($Q$4:$AA$4,MATCH(TRUE,INDEX(ISNUMBER(Q89:AA89),0),0)),"")</f>
        <v>2015</v>
      </c>
      <c r="AE89" s="20">
        <f>IFERROR(LOOKUP(2,1/ISNUMBER(Q89:AA89),$Q$4:$AA$4),"")</f>
        <v>2024</v>
      </c>
      <c r="AF89" s="23">
        <f>IF(AB89=0,"",AB89/(AE89-AD89+1))</f>
        <v>1</v>
      </c>
      <c r="AG89" s="20">
        <f>IF(AB89=0,"",'01_Criterios'!$C$8-AE89)</f>
        <v>1</v>
      </c>
      <c r="AH89" s="7">
        <f>IF(P89="Em uso",100,IF(P89="Alta",85,IF(P89="Média",55,30)))</f>
        <v>30</v>
      </c>
      <c r="AI89" s="7">
        <f>ROUND(100*AC89,1)</f>
        <v>90.9</v>
      </c>
      <c r="AJ89" s="7">
        <f>IF(AB89=0,0,ROUND(MAX(0,100*AF89-10*AG89),1))</f>
        <v>90</v>
      </c>
      <c r="AK89" s="7">
        <f>ROUND(('01_Criterios'!$C$19*AH89+'01_Criterios'!$C$20*AI89+'01_Criterios'!$C$21*AJ89)/('01_Criterios'!$C$19+'01_Criterios'!$C$20+'01_Criterios'!$C$21)+N89*'01_Criterios'!$C$22,1)</f>
        <v>66.3</v>
      </c>
      <c r="AL89" s="20">
        <f>IF(AND(AB89&gt;=3,AC89&gt;='01_Criterios'!$C$11,N(AE89)&gt;='01_Criterios'!$C$12,OR(F89="+",F89="-"),ISNUMBER(G89),ISNUMBER(H89)),1,0)</f>
        <v>1</v>
      </c>
      <c r="AM89" s="24" t="str">
        <f>IF(AL89=1,"",TRIM(IF(AB89=0,"sem dados no período; ",IF(AB89&lt;3,"série demasiado curta; ",""))&amp;IF(AND(AB89&gt;0,AC89&lt;'01_Criterios'!$C$11),"cobertura insuficiente; ","")&amp;IF(AND(AB89&gt;0,N(AE89)&lt;'01_Criterios'!$C$12),"desactualizado; ","")&amp;IF(AND(F89&lt;&gt;"+",F89&lt;&gt;"-"),"sentido ambíguo; ","")&amp;IF(OR(NOT(ISNUMBER(G89)),NOT(ISNUMBER(H89))),"sem limites min/max; ","")))</f>
        <v/>
      </c>
      <c r="AN89" s="20">
        <f>IF(OR(AL89=0,$AP89="Excluir"),0,IF(SUMPRODUCT(($O$5:$O$335=$O89)*($AL$5:$AL$335=1)*($AP$5:$AP$335&lt;&gt;"Excluir")*(($AK$5:$AK$335&gt;$AK89)+(($AK$5:$AK$335=$AK89)*(ROW($O$5:$O$335)&lt;ROW()))))=0,1,0))</f>
        <v>0</v>
      </c>
      <c r="AO89" s="20" t="str">
        <f>IF(AN89=0,"",1+SUMPRODUCT(($B$5:$B$335=$B89)*($AN$5:$AN$335=1)*(($AK$5:$AK$335&gt;$AK89)+(($AK$5:$AK$335=$AK89)*(ROW($B$5:$B$335)&lt;ROW())))))</f>
        <v/>
      </c>
      <c r="AP89" s="22" t="s">
        <v>131</v>
      </c>
      <c r="AQ89" s="20">
        <f>IF(INDEX('01_Criterios'!$C$26:$C$36,MATCH($B89,'01_Criterios'!$B$26:$B$36,0))&lt;&gt;1,0,IF($AP89="Excluir",0,IF($AP89="Incluir",IF(AND(OR($F89="+",$F89="-"),ISNUMBER($G89),ISNUMBER($H89),COUNT($Q89:$AA89)&gt;0),1,0),IF('01_Criterios'!$C$18="Automática",IF(AND($AN89=1,$AO89&lt;&gt;"",$AO89&lt;=INDEX('01_Criterios'!$E$26:$E$36,MATCH($B89,'01_Criterios'!$B$26:$B$36,0))),1,0),0))))</f>
        <v>0</v>
      </c>
      <c r="AR89" s="20" t="str">
        <f>IF(AQ89=0,"",IF($AO89&lt;&gt;"",1+SUMPRODUCT(($B$5:$B$335=$B89)*($AQ$5:$AQ$335=1)*($AO$5:$AO$335&lt;$AO89)),1+SUMPRODUCT(($B$5:$B$335=$B89)*($AQ$5:$AQ$335=1)*ISNUMBER($AO$5:$AO$335))+SUMPRODUCT(($B$5:$B$335=$B89)*($AQ$5:$AQ$335=1)*($AO$5:$AO$335="")*(ROW($AO$5:$AO$335)&lt;ROW()))))</f>
        <v/>
      </c>
      <c r="AS89" s="24" t="s">
        <v>544</v>
      </c>
    </row>
    <row r="90" spans="1:45">
      <c r="A90" s="25" t="s">
        <v>545</v>
      </c>
      <c r="B90" s="26" t="s">
        <v>78</v>
      </c>
      <c r="C90" s="26" t="s">
        <v>78</v>
      </c>
      <c r="D90" s="26" t="s">
        <v>546</v>
      </c>
      <c r="E90" s="25" t="s">
        <v>547</v>
      </c>
      <c r="F90" s="25" t="s">
        <v>126</v>
      </c>
      <c r="G90" s="25">
        <v>40</v>
      </c>
      <c r="H90" s="25">
        <v>85</v>
      </c>
      <c r="I90" s="25">
        <v>65</v>
      </c>
      <c r="J90" s="22">
        <v>1</v>
      </c>
      <c r="K90" s="26" t="s">
        <v>548</v>
      </c>
      <c r="L90" s="25" t="s">
        <v>549</v>
      </c>
      <c r="M90" s="26" t="s">
        <v>161</v>
      </c>
      <c r="N90" s="25">
        <v>1</v>
      </c>
      <c r="O90" s="26" t="s">
        <v>550</v>
      </c>
      <c r="P90" s="25" t="s">
        <v>130</v>
      </c>
      <c r="Q90" s="27">
        <v>61.042000000000002</v>
      </c>
      <c r="R90" s="27">
        <v>61.619</v>
      </c>
      <c r="S90" s="27">
        <v>62.122</v>
      </c>
      <c r="T90" s="27">
        <v>62.622</v>
      </c>
      <c r="U90" s="27">
        <v>63.051000000000002</v>
      </c>
      <c r="V90" s="27">
        <v>63.116</v>
      </c>
      <c r="W90" s="27">
        <v>62.957999999999998</v>
      </c>
      <c r="X90" s="27">
        <v>64.245999999999995</v>
      </c>
      <c r="Y90" s="27">
        <v>64.617000000000004</v>
      </c>
      <c r="Z90" s="27">
        <v>64.805000000000007</v>
      </c>
      <c r="AA90" s="27">
        <v>65</v>
      </c>
      <c r="AB90" s="25">
        <f>COUNT(Q90:AA90)</f>
        <v>11</v>
      </c>
      <c r="AC90" s="28">
        <f>AB90/11</f>
        <v>1</v>
      </c>
      <c r="AD90" s="25">
        <f>IFERROR(INDEX($Q$4:$AA$4,MATCH(TRUE,INDEX(ISNUMBER(Q90:AA90),0),0)),"")</f>
        <v>2015</v>
      </c>
      <c r="AE90" s="25">
        <f>IFERROR(LOOKUP(2,1/ISNUMBER(Q90:AA90),$Q$4:$AA$4),"")</f>
        <v>2025</v>
      </c>
      <c r="AF90" s="28">
        <f>IF(AB90=0,"",AB90/(AE90-AD90+1))</f>
        <v>1</v>
      </c>
      <c r="AG90" s="25">
        <f>IF(AB90=0,"",'01_Criterios'!$C$8-AE90)</f>
        <v>0</v>
      </c>
      <c r="AH90" s="29">
        <f>IF(P90="Em uso",100,IF(P90="Alta",85,IF(P90="Média",55,30)))</f>
        <v>100</v>
      </c>
      <c r="AI90" s="29">
        <f>ROUND(100*AC90,1)</f>
        <v>100</v>
      </c>
      <c r="AJ90" s="29">
        <f>IF(AB90=0,0,ROUND(MAX(0,100*AF90-10*AG90),1))</f>
        <v>100</v>
      </c>
      <c r="AK90" s="29">
        <f>ROUND(('01_Criterios'!$C$19*AH90+'01_Criterios'!$C$20*AI90+'01_Criterios'!$C$21*AJ90)/('01_Criterios'!$C$19+'01_Criterios'!$C$20+'01_Criterios'!$C$21)+N90*'01_Criterios'!$C$22,1)</f>
        <v>112</v>
      </c>
      <c r="AL90" s="25">
        <f>IF(AND(AB90&gt;=3,AC90&gt;='01_Criterios'!$C$11,N(AE90)&gt;='01_Criterios'!$C$12,OR(F90="+",F90="-"),ISNUMBER(G90),ISNUMBER(H90)),1,0)</f>
        <v>1</v>
      </c>
      <c r="AM90" s="30" t="str">
        <f>IF(AL90=1,"",TRIM(IF(AB90=0,"sem dados no período; ",IF(AB90&lt;3,"série demasiado curta; ",""))&amp;IF(AND(AB90&gt;0,AC90&lt;'01_Criterios'!$C$11),"cobertura insuficiente; ","")&amp;IF(AND(AB90&gt;0,N(AE90)&lt;'01_Criterios'!$C$12),"desactualizado; ","")&amp;IF(AND(F90&lt;&gt;"+",F90&lt;&gt;"-"),"sentido ambíguo; ","")&amp;IF(OR(NOT(ISNUMBER(G90)),NOT(ISNUMBER(H90))),"sem limites min/max; ","")))</f>
        <v/>
      </c>
      <c r="AN90" s="25">
        <f>IF(OR(AL90=0,$AP90="Excluir"),0,IF(SUMPRODUCT(($O$5:$O$335=$O90)*($AL$5:$AL$335=1)*($AP$5:$AP$335&lt;&gt;"Excluir")*(($AK$5:$AK$335&gt;$AK90)+(($AK$5:$AK$335=$AK90)*(ROW($O$5:$O$335)&lt;ROW()))))=0,1,0))</f>
        <v>1</v>
      </c>
      <c r="AO90" s="25">
        <f>IF(AN90=0,"",1+SUMPRODUCT(($B$5:$B$335=$B90)*($AN$5:$AN$335=1)*(($AK$5:$AK$335&gt;$AK90)+(($AK$5:$AK$335=$AK90)*(ROW($B$5:$B$335)&lt;ROW())))))</f>
        <v>1</v>
      </c>
      <c r="AP90" s="22" t="s">
        <v>131</v>
      </c>
      <c r="AQ90" s="25">
        <f>IF(INDEX('01_Criterios'!$C$26:$C$36,MATCH($B90,'01_Criterios'!$B$26:$B$36,0))&lt;&gt;1,0,IF($AP90="Excluir",0,IF($AP90="Incluir",IF(AND(OR($F90="+",$F90="-"),ISNUMBER($G90),ISNUMBER($H90),COUNT($Q90:$AA90)&gt;0),1,0),IF('01_Criterios'!$C$18="Automática",IF(AND($AN90=1,$AO90&lt;&gt;"",$AO90&lt;=INDEX('01_Criterios'!$E$26:$E$36,MATCH($B90,'01_Criterios'!$B$26:$B$36,0))),1,0),0))))</f>
        <v>1</v>
      </c>
      <c r="AR90" s="25">
        <f>IF(AQ90=0,"",IF($AO90&lt;&gt;"",1+SUMPRODUCT(($B$5:$B$335=$B90)*($AQ$5:$AQ$335=1)*($AO$5:$AO$335&lt;$AO90)),1+SUMPRODUCT(($B$5:$B$335=$B90)*($AQ$5:$AQ$335=1)*ISNUMBER($AO$5:$AO$335))+SUMPRODUCT(($B$5:$B$335=$B90)*($AQ$5:$AQ$335=1)*($AO$5:$AO$335="")*(ROW($AO$5:$AO$335)&lt;ROW()))))</f>
        <v>1</v>
      </c>
      <c r="AS90" s="24" t="s">
        <v>551</v>
      </c>
    </row>
    <row r="91" spans="1:45">
      <c r="A91" s="20" t="s">
        <v>552</v>
      </c>
      <c r="B91" s="21" t="s">
        <v>78</v>
      </c>
      <c r="C91" s="21" t="s">
        <v>78</v>
      </c>
      <c r="D91" s="21" t="s">
        <v>553</v>
      </c>
      <c r="E91" s="20" t="s">
        <v>157</v>
      </c>
      <c r="F91" s="20" t="s">
        <v>126</v>
      </c>
      <c r="G91" s="20">
        <v>0</v>
      </c>
      <c r="H91" s="20">
        <v>100</v>
      </c>
      <c r="I91" s="20">
        <v>75</v>
      </c>
      <c r="J91" s="22">
        <v>1</v>
      </c>
      <c r="K91" s="21" t="s">
        <v>554</v>
      </c>
      <c r="L91" s="20" t="s">
        <v>555</v>
      </c>
      <c r="M91" s="21" t="s">
        <v>161</v>
      </c>
      <c r="N91" s="20">
        <v>1</v>
      </c>
      <c r="O91" s="21" t="s">
        <v>556</v>
      </c>
      <c r="P91" s="20" t="s">
        <v>130</v>
      </c>
      <c r="Q91" s="6">
        <v>66.239997863769503</v>
      </c>
      <c r="R91" s="6"/>
      <c r="S91" s="6"/>
      <c r="T91" s="6"/>
      <c r="U91" s="6"/>
      <c r="V91" s="6"/>
      <c r="W91" s="6"/>
      <c r="X91" s="6"/>
      <c r="Y91" s="6">
        <v>68.180000305175795</v>
      </c>
      <c r="Z91" s="6"/>
      <c r="AA91" s="6"/>
      <c r="AB91" s="20">
        <f>COUNT(Q91:AA91)</f>
        <v>2</v>
      </c>
      <c r="AC91" s="23">
        <f>AB91/11</f>
        <v>0.18181818181818182</v>
      </c>
      <c r="AD91" s="20">
        <f>IFERROR(INDEX($Q$4:$AA$4,MATCH(TRUE,INDEX(ISNUMBER(Q91:AA91),0),0)),"")</f>
        <v>2015</v>
      </c>
      <c r="AE91" s="20">
        <f>IFERROR(LOOKUP(2,1/ISNUMBER(Q91:AA91),$Q$4:$AA$4),"")</f>
        <v>2023</v>
      </c>
      <c r="AF91" s="23">
        <f>IF(AB91=0,"",AB91/(AE91-AD91+1))</f>
        <v>0.22222222222222221</v>
      </c>
      <c r="AG91" s="20">
        <f>IF(AB91=0,"",'01_Criterios'!$C$8-AE91)</f>
        <v>2</v>
      </c>
      <c r="AH91" s="7">
        <f>IF(P91="Em uso",100,IF(P91="Alta",85,IF(P91="Média",55,30)))</f>
        <v>100</v>
      </c>
      <c r="AI91" s="7">
        <f>ROUND(100*AC91,1)</f>
        <v>18.2</v>
      </c>
      <c r="AJ91" s="7">
        <f>IF(AB91=0,0,ROUND(MAX(0,100*AF91-10*AG91),1))</f>
        <v>2.2000000000000002</v>
      </c>
      <c r="AK91" s="7">
        <f>ROUND(('01_Criterios'!$C$19*AH91+'01_Criterios'!$C$20*AI91+'01_Criterios'!$C$21*AJ91)/('01_Criterios'!$C$19+'01_Criterios'!$C$20+'01_Criterios'!$C$21)+N91*'01_Criterios'!$C$22,1)</f>
        <v>58.9</v>
      </c>
      <c r="AL91" s="20">
        <f>IF(AND(AB91&gt;=3,AC91&gt;='01_Criterios'!$C$11,N(AE91)&gt;='01_Criterios'!$C$12,OR(F91="+",F91="-"),ISNUMBER(G91),ISNUMBER(H91)),1,0)</f>
        <v>0</v>
      </c>
      <c r="AM91" s="24" t="str">
        <f>IF(AL91=1,"",TRIM(IF(AB91=0,"sem dados no período; ",IF(AB91&lt;3,"série demasiado curta; ",""))&amp;IF(AND(AB91&gt;0,AC91&lt;'01_Criterios'!$C$11),"cobertura insuficiente; ","")&amp;IF(AND(AB91&gt;0,N(AE91)&lt;'01_Criterios'!$C$12),"desactualizado; ","")&amp;IF(AND(F91&lt;&gt;"+",F91&lt;&gt;"-"),"sentido ambíguo; ","")&amp;IF(OR(NOT(ISNUMBER(G91)),NOT(ISNUMBER(H91))),"sem limites min/max; ","")))</f>
        <v>série demasiado curta; cobertura insuficiente;</v>
      </c>
      <c r="AN91" s="20">
        <f>IF(OR(AL91=0,$AP91="Excluir"),0,IF(SUMPRODUCT(($O$5:$O$335=$O91)*($AL$5:$AL$335=1)*($AP$5:$AP$335&lt;&gt;"Excluir")*(($AK$5:$AK$335&gt;$AK91)+(($AK$5:$AK$335=$AK91)*(ROW($O$5:$O$335)&lt;ROW()))))=0,1,0))</f>
        <v>0</v>
      </c>
      <c r="AO91" s="20" t="str">
        <f>IF(AN91=0,"",1+SUMPRODUCT(($B$5:$B$335=$B91)*($AN$5:$AN$335=1)*(($AK$5:$AK$335&gt;$AK91)+(($AK$5:$AK$335=$AK91)*(ROW($B$5:$B$335)&lt;ROW())))))</f>
        <v/>
      </c>
      <c r="AP91" s="22" t="s">
        <v>131</v>
      </c>
      <c r="AQ91" s="20">
        <f>IF(INDEX('01_Criterios'!$C$26:$C$36,MATCH($B91,'01_Criterios'!$B$26:$B$36,0))&lt;&gt;1,0,IF($AP91="Excluir",0,IF($AP91="Incluir",IF(AND(OR($F91="+",$F91="-"),ISNUMBER($G91),ISNUMBER($H91),COUNT($Q91:$AA91)&gt;0),1,0),IF('01_Criterios'!$C$18="Automática",IF(AND($AN91=1,$AO91&lt;&gt;"",$AO91&lt;=INDEX('01_Criterios'!$E$26:$E$36,MATCH($B91,'01_Criterios'!$B$26:$B$36,0))),1,0),0))))</f>
        <v>0</v>
      </c>
      <c r="AR91" s="20" t="str">
        <f>IF(AQ91=0,"",IF($AO91&lt;&gt;"",1+SUMPRODUCT(($B$5:$B$335=$B91)*($AQ$5:$AQ$335=1)*($AO$5:$AO$335&lt;$AO91)),1+SUMPRODUCT(($B$5:$B$335=$B91)*($AQ$5:$AQ$335=1)*ISNUMBER($AO$5:$AO$335))+SUMPRODUCT(($B$5:$B$335=$B91)*($AQ$5:$AQ$335=1)*($AO$5:$AO$335="")*(ROW($AO$5:$AO$335)&lt;ROW()))))</f>
        <v/>
      </c>
      <c r="AS91" s="24" t="s">
        <v>557</v>
      </c>
    </row>
    <row r="92" spans="1:45">
      <c r="A92" s="25" t="s">
        <v>558</v>
      </c>
      <c r="B92" s="26" t="s">
        <v>78</v>
      </c>
      <c r="C92" s="26" t="s">
        <v>78</v>
      </c>
      <c r="D92" s="26" t="s">
        <v>559</v>
      </c>
      <c r="E92" s="25" t="s">
        <v>560</v>
      </c>
      <c r="F92" s="25" t="s">
        <v>158</v>
      </c>
      <c r="G92" s="25">
        <v>0</v>
      </c>
      <c r="H92" s="25">
        <v>150</v>
      </c>
      <c r="I92" s="25">
        <v>40</v>
      </c>
      <c r="J92" s="22">
        <v>1</v>
      </c>
      <c r="K92" s="26" t="s">
        <v>561</v>
      </c>
      <c r="L92" s="25" t="s">
        <v>562</v>
      </c>
      <c r="M92" s="26" t="s">
        <v>161</v>
      </c>
      <c r="N92" s="25">
        <v>1</v>
      </c>
      <c r="O92" s="26" t="s">
        <v>558</v>
      </c>
      <c r="P92" s="25" t="s">
        <v>130</v>
      </c>
      <c r="Q92" s="27">
        <v>38.799999999999997</v>
      </c>
      <c r="R92" s="27">
        <v>37.6</v>
      </c>
      <c r="S92" s="27">
        <v>36.700000000000003</v>
      </c>
      <c r="T92" s="27">
        <v>36</v>
      </c>
      <c r="U92" s="27">
        <v>35.5</v>
      </c>
      <c r="V92" s="27">
        <v>34.9</v>
      </c>
      <c r="W92" s="27">
        <v>34.4</v>
      </c>
      <c r="X92" s="27">
        <v>33.700000000000003</v>
      </c>
      <c r="Y92" s="27">
        <v>33</v>
      </c>
      <c r="Z92" s="27">
        <v>32.1</v>
      </c>
      <c r="AA92" s="27"/>
      <c r="AB92" s="25">
        <f>COUNT(Q92:AA92)</f>
        <v>10</v>
      </c>
      <c r="AC92" s="28">
        <f>AB92/11</f>
        <v>0.90909090909090906</v>
      </c>
      <c r="AD92" s="25">
        <f>IFERROR(INDEX($Q$4:$AA$4,MATCH(TRUE,INDEX(ISNUMBER(Q92:AA92),0),0)),"")</f>
        <v>2015</v>
      </c>
      <c r="AE92" s="25">
        <f>IFERROR(LOOKUP(2,1/ISNUMBER(Q92:AA92),$Q$4:$AA$4),"")</f>
        <v>2024</v>
      </c>
      <c r="AF92" s="28">
        <f>IF(AB92=0,"",AB92/(AE92-AD92+1))</f>
        <v>1</v>
      </c>
      <c r="AG92" s="25">
        <f>IF(AB92=0,"",'01_Criterios'!$C$8-AE92)</f>
        <v>1</v>
      </c>
      <c r="AH92" s="29">
        <f>IF(P92="Em uso",100,IF(P92="Alta",85,IF(P92="Média",55,30)))</f>
        <v>100</v>
      </c>
      <c r="AI92" s="29">
        <f>ROUND(100*AC92,1)</f>
        <v>90.9</v>
      </c>
      <c r="AJ92" s="29">
        <f>IF(AB92=0,0,ROUND(MAX(0,100*AF92-10*AG92),1))</f>
        <v>90</v>
      </c>
      <c r="AK92" s="29">
        <f>ROUND(('01_Criterios'!$C$19*AH92+'01_Criterios'!$C$20*AI92+'01_Criterios'!$C$21*AJ92)/('01_Criterios'!$C$19+'01_Criterios'!$C$20+'01_Criterios'!$C$21)+N92*'01_Criterios'!$C$22,1)</f>
        <v>106.3</v>
      </c>
      <c r="AL92" s="25">
        <f>IF(AND(AB92&gt;=3,AC92&gt;='01_Criterios'!$C$11,N(AE92)&gt;='01_Criterios'!$C$12,OR(F92="+",F92="-"),ISNUMBER(G92),ISNUMBER(H92)),1,0)</f>
        <v>1</v>
      </c>
      <c r="AM92" s="30" t="str">
        <f>IF(AL92=1,"",TRIM(IF(AB92=0,"sem dados no período; ",IF(AB92&lt;3,"série demasiado curta; ",""))&amp;IF(AND(AB92&gt;0,AC92&lt;'01_Criterios'!$C$11),"cobertura insuficiente; ","")&amp;IF(AND(AB92&gt;0,N(AE92)&lt;'01_Criterios'!$C$12),"desactualizado; ","")&amp;IF(AND(F92&lt;&gt;"+",F92&lt;&gt;"-"),"sentido ambíguo; ","")&amp;IF(OR(NOT(ISNUMBER(G92)),NOT(ISNUMBER(H92))),"sem limites min/max; ","")))</f>
        <v/>
      </c>
      <c r="AN92" s="25">
        <f>IF(OR(AL92=0,$AP92="Excluir"),0,IF(SUMPRODUCT(($O$5:$O$335=$O92)*($AL$5:$AL$335=1)*($AP$5:$AP$335&lt;&gt;"Excluir")*(($AK$5:$AK$335&gt;$AK92)+(($AK$5:$AK$335=$AK92)*(ROW($O$5:$O$335)&lt;ROW()))))=0,1,0))</f>
        <v>1</v>
      </c>
      <c r="AO92" s="25">
        <f>IF(AN92=0,"",1+SUMPRODUCT(($B$5:$B$335=$B92)*($AN$5:$AN$335=1)*(($AK$5:$AK$335&gt;$AK92)+(($AK$5:$AK$335=$AK92)*(ROW($B$5:$B$335)&lt;ROW())))))</f>
        <v>2</v>
      </c>
      <c r="AP92" s="22" t="s">
        <v>131</v>
      </c>
      <c r="AQ92" s="25">
        <f>IF(INDEX('01_Criterios'!$C$26:$C$36,MATCH($B92,'01_Criterios'!$B$26:$B$36,0))&lt;&gt;1,0,IF($AP92="Excluir",0,IF($AP92="Incluir",IF(AND(OR($F92="+",$F92="-"),ISNUMBER($G92),ISNUMBER($H92),COUNT($Q92:$AA92)&gt;0),1,0),IF('01_Criterios'!$C$18="Automática",IF(AND($AN92=1,$AO92&lt;&gt;"",$AO92&lt;=INDEX('01_Criterios'!$E$26:$E$36,MATCH($B92,'01_Criterios'!$B$26:$B$36,0))),1,0),0))))</f>
        <v>1</v>
      </c>
      <c r="AR92" s="25">
        <f>IF(AQ92=0,"",IF($AO92&lt;&gt;"",1+SUMPRODUCT(($B$5:$B$335=$B92)*($AQ$5:$AQ$335=1)*($AO$5:$AO$335&lt;$AO92)),1+SUMPRODUCT(($B$5:$B$335=$B92)*($AQ$5:$AQ$335=1)*ISNUMBER($AO$5:$AO$335))+SUMPRODUCT(($B$5:$B$335=$B92)*($AQ$5:$AQ$335=1)*($AO$5:$AO$335="")*(ROW($AO$5:$AO$335)&lt;ROW()))))</f>
        <v>2</v>
      </c>
      <c r="AS92" s="24" t="s">
        <v>563</v>
      </c>
    </row>
    <row r="93" spans="1:45">
      <c r="A93" s="20" t="s">
        <v>564</v>
      </c>
      <c r="B93" s="21" t="s">
        <v>78</v>
      </c>
      <c r="C93" s="21" t="s">
        <v>78</v>
      </c>
      <c r="D93" s="21" t="s">
        <v>565</v>
      </c>
      <c r="E93" s="20" t="s">
        <v>157</v>
      </c>
      <c r="F93" s="20" t="s">
        <v>126</v>
      </c>
      <c r="G93" s="20">
        <v>0</v>
      </c>
      <c r="H93" s="20">
        <v>100</v>
      </c>
      <c r="I93" s="20">
        <v>95</v>
      </c>
      <c r="J93" s="22">
        <v>1</v>
      </c>
      <c r="K93" s="21" t="s">
        <v>566</v>
      </c>
      <c r="L93" s="20" t="s">
        <v>567</v>
      </c>
      <c r="M93" s="21" t="s">
        <v>161</v>
      </c>
      <c r="N93" s="20">
        <v>0</v>
      </c>
      <c r="O93" s="21" t="s">
        <v>568</v>
      </c>
      <c r="P93" s="20" t="s">
        <v>130</v>
      </c>
      <c r="Q93" s="6"/>
      <c r="R93" s="6"/>
      <c r="S93" s="6"/>
      <c r="T93" s="6"/>
      <c r="U93" s="6"/>
      <c r="V93" s="6"/>
      <c r="W93" s="6"/>
      <c r="X93" s="6"/>
      <c r="Y93" s="6"/>
      <c r="Z93" s="6"/>
      <c r="AA93" s="6"/>
      <c r="AB93" s="20">
        <f>COUNT(Q93:AA93)</f>
        <v>0</v>
      </c>
      <c r="AC93" s="23">
        <f>AB93/11</f>
        <v>0</v>
      </c>
      <c r="AD93" s="20" t="str">
        <f>IFERROR(INDEX($Q$4:$AA$4,MATCH(TRUE,INDEX(ISNUMBER(Q93:AA93),0),0)),"")</f>
        <v/>
      </c>
      <c r="AE93" s="20" t="str">
        <f>IFERROR(LOOKUP(2,1/ISNUMBER(Q93:AA93),$Q$4:$AA$4),"")</f>
        <v/>
      </c>
      <c r="AF93" s="23" t="str">
        <f>IF(AB93=0,"",AB93/(AE93-AD93+1))</f>
        <v/>
      </c>
      <c r="AG93" s="20" t="str">
        <f>IF(AB93=0,"",'01_Criterios'!$C$8-AE93)</f>
        <v/>
      </c>
      <c r="AH93" s="7">
        <f>IF(P93="Em uso",100,IF(P93="Alta",85,IF(P93="Média",55,30)))</f>
        <v>100</v>
      </c>
      <c r="AI93" s="7">
        <f>ROUND(100*AC93,1)</f>
        <v>0</v>
      </c>
      <c r="AJ93" s="7">
        <f>IF(AB93=0,0,ROUND(MAX(0,100*AF93-10*AG93),1))</f>
        <v>0</v>
      </c>
      <c r="AK93" s="7">
        <f>ROUND(('01_Criterios'!$C$19*AH93+'01_Criterios'!$C$20*AI93+'01_Criterios'!$C$21*AJ93)/('01_Criterios'!$C$19+'01_Criterios'!$C$20+'01_Criterios'!$C$21)+N93*'01_Criterios'!$C$22,1)</f>
        <v>40</v>
      </c>
      <c r="AL93" s="20">
        <f>IF(AND(AB93&gt;=3,AC93&gt;='01_Criterios'!$C$11,N(AE93)&gt;='01_Criterios'!$C$12,OR(F93="+",F93="-"),ISNUMBER(G93),ISNUMBER(H93)),1,0)</f>
        <v>0</v>
      </c>
      <c r="AM93" s="24" t="str">
        <f>IF(AL93=1,"",TRIM(IF(AB93=0,"sem dados no período; ",IF(AB93&lt;3,"série demasiado curta; ",""))&amp;IF(AND(AB93&gt;0,AC93&lt;'01_Criterios'!$C$11),"cobertura insuficiente; ","")&amp;IF(AND(AB93&gt;0,N(AE93)&lt;'01_Criterios'!$C$12),"desactualizado; ","")&amp;IF(AND(F93&lt;&gt;"+",F93&lt;&gt;"-"),"sentido ambíguo; ","")&amp;IF(OR(NOT(ISNUMBER(G93)),NOT(ISNUMBER(H93))),"sem limites min/max; ","")))</f>
        <v>sem dados no período;</v>
      </c>
      <c r="AN93" s="20">
        <f>IF(OR(AL93=0,$AP93="Excluir"),0,IF(SUMPRODUCT(($O$5:$O$335=$O93)*($AL$5:$AL$335=1)*($AP$5:$AP$335&lt;&gt;"Excluir")*(($AK$5:$AK$335&gt;$AK93)+(($AK$5:$AK$335=$AK93)*(ROW($O$5:$O$335)&lt;ROW()))))=0,1,0))</f>
        <v>0</v>
      </c>
      <c r="AO93" s="20" t="str">
        <f>IF(AN93=0,"",1+SUMPRODUCT(($B$5:$B$335=$B93)*($AN$5:$AN$335=1)*(($AK$5:$AK$335&gt;$AK93)+(($AK$5:$AK$335=$AK93)*(ROW($B$5:$B$335)&lt;ROW())))))</f>
        <v/>
      </c>
      <c r="AP93" s="22" t="s">
        <v>131</v>
      </c>
      <c r="AQ93" s="20">
        <f>IF(INDEX('01_Criterios'!$C$26:$C$36,MATCH($B93,'01_Criterios'!$B$26:$B$36,0))&lt;&gt;1,0,IF($AP93="Excluir",0,IF($AP93="Incluir",IF(AND(OR($F93="+",$F93="-"),ISNUMBER($G93),ISNUMBER($H93),COUNT($Q93:$AA93)&gt;0),1,0),IF('01_Criterios'!$C$18="Automática",IF(AND($AN93=1,$AO93&lt;&gt;"",$AO93&lt;=INDEX('01_Criterios'!$E$26:$E$36,MATCH($B93,'01_Criterios'!$B$26:$B$36,0))),1,0),0))))</f>
        <v>0</v>
      </c>
      <c r="AR93" s="20" t="str">
        <f>IF(AQ93=0,"",IF($AO93&lt;&gt;"",1+SUMPRODUCT(($B$5:$B$335=$B93)*($AQ$5:$AQ$335=1)*($AO$5:$AO$335&lt;$AO93)),1+SUMPRODUCT(($B$5:$B$335=$B93)*($AQ$5:$AQ$335=1)*ISNUMBER($AO$5:$AO$335))+SUMPRODUCT(($B$5:$B$335=$B93)*($AQ$5:$AQ$335=1)*($AO$5:$AO$335="")*(ROW($AO$5:$AO$335)&lt;ROW()))))</f>
        <v/>
      </c>
      <c r="AS93" s="24" t="s">
        <v>569</v>
      </c>
    </row>
    <row r="94" spans="1:45">
      <c r="A94" s="25" t="s">
        <v>570</v>
      </c>
      <c r="B94" s="26" t="s">
        <v>78</v>
      </c>
      <c r="C94" s="26" t="s">
        <v>78</v>
      </c>
      <c r="D94" s="26" t="s">
        <v>571</v>
      </c>
      <c r="E94" s="25" t="s">
        <v>547</v>
      </c>
      <c r="F94" s="25" t="s">
        <v>126</v>
      </c>
      <c r="G94" s="25">
        <v>0</v>
      </c>
      <c r="H94" s="25">
        <v>15</v>
      </c>
      <c r="I94" s="25">
        <v>8</v>
      </c>
      <c r="J94" s="22">
        <v>1</v>
      </c>
      <c r="K94" s="26" t="s">
        <v>572</v>
      </c>
      <c r="L94" s="25" t="s">
        <v>573</v>
      </c>
      <c r="M94" s="26" t="s">
        <v>574</v>
      </c>
      <c r="N94" s="25">
        <v>0</v>
      </c>
      <c r="O94" s="26" t="s">
        <v>575</v>
      </c>
      <c r="P94" s="25" t="s">
        <v>130</v>
      </c>
      <c r="Q94" s="27">
        <v>5.3156299589999998</v>
      </c>
      <c r="R94" s="27">
        <v>5.4173908229999999</v>
      </c>
      <c r="S94" s="27">
        <v>5.521099768</v>
      </c>
      <c r="T94" s="27">
        <v>5.6267940860000003</v>
      </c>
      <c r="U94" s="27">
        <v>5.7345117849999996</v>
      </c>
      <c r="V94" s="27">
        <v>5.8442916010000001</v>
      </c>
      <c r="W94" s="27">
        <v>5.8442916010000001</v>
      </c>
      <c r="X94" s="27">
        <v>5.8442916010000001</v>
      </c>
      <c r="Y94" s="27"/>
      <c r="Z94" s="27"/>
      <c r="AA94" s="27"/>
      <c r="AB94" s="25">
        <f>COUNT(Q94:AA94)</f>
        <v>8</v>
      </c>
      <c r="AC94" s="28">
        <f>AB94/11</f>
        <v>0.72727272727272729</v>
      </c>
      <c r="AD94" s="25">
        <f>IFERROR(INDEX($Q$4:$AA$4,MATCH(TRUE,INDEX(ISNUMBER(Q94:AA94),0),0)),"")</f>
        <v>2015</v>
      </c>
      <c r="AE94" s="25">
        <f>IFERROR(LOOKUP(2,1/ISNUMBER(Q94:AA94),$Q$4:$AA$4),"")</f>
        <v>2022</v>
      </c>
      <c r="AF94" s="28">
        <f>IF(AB94=0,"",AB94/(AE94-AD94+1))</f>
        <v>1</v>
      </c>
      <c r="AG94" s="25">
        <f>IF(AB94=0,"",'01_Criterios'!$C$8-AE94)</f>
        <v>3</v>
      </c>
      <c r="AH94" s="29">
        <f>IF(P94="Em uso",100,IF(P94="Alta",85,IF(P94="Média",55,30)))</f>
        <v>100</v>
      </c>
      <c r="AI94" s="29">
        <f>ROUND(100*AC94,1)</f>
        <v>72.7</v>
      </c>
      <c r="AJ94" s="29">
        <f>IF(AB94=0,0,ROUND(MAX(0,100*AF94-10*AG94),1))</f>
        <v>70</v>
      </c>
      <c r="AK94" s="29">
        <f>ROUND(('01_Criterios'!$C$19*AH94+'01_Criterios'!$C$20*AI94+'01_Criterios'!$C$21*AJ94)/('01_Criterios'!$C$19+'01_Criterios'!$C$20+'01_Criterios'!$C$21)+N94*'01_Criterios'!$C$22,1)</f>
        <v>82.9</v>
      </c>
      <c r="AL94" s="25">
        <f>IF(AND(AB94&gt;=3,AC94&gt;='01_Criterios'!$C$11,N(AE94)&gt;='01_Criterios'!$C$12,OR(F94="+",F94="-"),ISNUMBER(G94),ISNUMBER(H94)),1,0)</f>
        <v>0</v>
      </c>
      <c r="AM94" s="30" t="str">
        <f>IF(AL94=1,"",TRIM(IF(AB94=0,"sem dados no período; ",IF(AB94&lt;3,"série demasiado curta; ",""))&amp;IF(AND(AB94&gt;0,AC94&lt;'01_Criterios'!$C$11),"cobertura insuficiente; ","")&amp;IF(AND(AB94&gt;0,N(AE94)&lt;'01_Criterios'!$C$12),"desactualizado; ","")&amp;IF(AND(F94&lt;&gt;"+",F94&lt;&gt;"-"),"sentido ambíguo; ","")&amp;IF(OR(NOT(ISNUMBER(G94)),NOT(ISNUMBER(H94))),"sem limites min/max; ","")))</f>
        <v>cobertura insuficiente; desactualizado;</v>
      </c>
      <c r="AN94" s="25">
        <f>IF(OR(AL94=0,$AP94="Excluir"),0,IF(SUMPRODUCT(($O$5:$O$335=$O94)*($AL$5:$AL$335=1)*($AP$5:$AP$335&lt;&gt;"Excluir")*(($AK$5:$AK$335&gt;$AK94)+(($AK$5:$AK$335=$AK94)*(ROW($O$5:$O$335)&lt;ROW()))))=0,1,0))</f>
        <v>0</v>
      </c>
      <c r="AO94" s="25" t="str">
        <f>IF(AN94=0,"",1+SUMPRODUCT(($B$5:$B$335=$B94)*($AN$5:$AN$335=1)*(($AK$5:$AK$335&gt;$AK94)+(($AK$5:$AK$335=$AK94)*(ROW($B$5:$B$335)&lt;ROW())))))</f>
        <v/>
      </c>
      <c r="AP94" s="22" t="s">
        <v>131</v>
      </c>
      <c r="AQ94" s="25">
        <f>IF(INDEX('01_Criterios'!$C$26:$C$36,MATCH($B94,'01_Criterios'!$B$26:$B$36,0))&lt;&gt;1,0,IF($AP94="Excluir",0,IF($AP94="Incluir",IF(AND(OR($F94="+",$F94="-"),ISNUMBER($G94),ISNUMBER($H94),COUNT($Q94:$AA94)&gt;0),1,0),IF('01_Criterios'!$C$18="Automática",IF(AND($AN94=1,$AO94&lt;&gt;"",$AO94&lt;=INDEX('01_Criterios'!$E$26:$E$36,MATCH($B94,'01_Criterios'!$B$26:$B$36,0))),1,0),0))))</f>
        <v>0</v>
      </c>
      <c r="AR94" s="25" t="str">
        <f>IF(AQ94=0,"",IF($AO94&lt;&gt;"",1+SUMPRODUCT(($B$5:$B$335=$B94)*($AQ$5:$AQ$335=1)*($AO$5:$AO$335&lt;$AO94)),1+SUMPRODUCT(($B$5:$B$335=$B94)*($AQ$5:$AQ$335=1)*ISNUMBER($AO$5:$AO$335))+SUMPRODUCT(($B$5:$B$335=$B94)*($AQ$5:$AQ$335=1)*($AO$5:$AO$335="")*(ROW($AO$5:$AO$335)&lt;ROW()))))</f>
        <v/>
      </c>
      <c r="AS94" s="24" t="s">
        <v>576</v>
      </c>
    </row>
    <row r="95" spans="1:45">
      <c r="A95" s="20" t="s">
        <v>577</v>
      </c>
      <c r="B95" s="21" t="s">
        <v>78</v>
      </c>
      <c r="C95" s="21" t="s">
        <v>78</v>
      </c>
      <c r="D95" s="21" t="s">
        <v>578</v>
      </c>
      <c r="E95" s="20" t="s">
        <v>579</v>
      </c>
      <c r="F95" s="20" t="s">
        <v>126</v>
      </c>
      <c r="G95" s="20">
        <v>0</v>
      </c>
      <c r="H95" s="20">
        <v>1</v>
      </c>
      <c r="I95" s="20">
        <v>0.6</v>
      </c>
      <c r="J95" s="22">
        <v>1</v>
      </c>
      <c r="K95" s="21" t="s">
        <v>580</v>
      </c>
      <c r="L95" s="20" t="s">
        <v>581</v>
      </c>
      <c r="M95" s="21" t="s">
        <v>574</v>
      </c>
      <c r="N95" s="20">
        <v>0</v>
      </c>
      <c r="O95" s="21" t="s">
        <v>577</v>
      </c>
      <c r="P95" s="20" t="s">
        <v>130</v>
      </c>
      <c r="Q95" s="6">
        <v>0.59099999999999997</v>
      </c>
      <c r="R95" s="6">
        <v>0.59499999999999997</v>
      </c>
      <c r="S95" s="6">
        <v>0.59699999999999998</v>
      </c>
      <c r="T95" s="6">
        <v>0.59799999999999998</v>
      </c>
      <c r="U95" s="6">
        <v>0.59699999999999998</v>
      </c>
      <c r="V95" s="6">
        <v>0.59399999999999997</v>
      </c>
      <c r="W95" s="6">
        <v>0.59</v>
      </c>
      <c r="X95" s="6">
        <v>0.59099999999999997</v>
      </c>
      <c r="Y95" s="6">
        <v>0.61599999999999999</v>
      </c>
      <c r="Z95" s="6"/>
      <c r="AA95" s="6"/>
      <c r="AB95" s="20">
        <f>COUNT(Q95:AA95)</f>
        <v>9</v>
      </c>
      <c r="AC95" s="23">
        <f>AB95/11</f>
        <v>0.81818181818181823</v>
      </c>
      <c r="AD95" s="20">
        <f>IFERROR(INDEX($Q$4:$AA$4,MATCH(TRUE,INDEX(ISNUMBER(Q95:AA95),0),0)),"")</f>
        <v>2015</v>
      </c>
      <c r="AE95" s="20">
        <f>IFERROR(LOOKUP(2,1/ISNUMBER(Q95:AA95),$Q$4:$AA$4),"")</f>
        <v>2023</v>
      </c>
      <c r="AF95" s="23">
        <f>IF(AB95=0,"",AB95/(AE95-AD95+1))</f>
        <v>1</v>
      </c>
      <c r="AG95" s="20">
        <f>IF(AB95=0,"",'01_Criterios'!$C$8-AE95)</f>
        <v>2</v>
      </c>
      <c r="AH95" s="7">
        <f>IF(P95="Em uso",100,IF(P95="Alta",85,IF(P95="Média",55,30)))</f>
        <v>100</v>
      </c>
      <c r="AI95" s="7">
        <f>ROUND(100*AC95,1)</f>
        <v>81.8</v>
      </c>
      <c r="AJ95" s="7">
        <f>IF(AB95=0,0,ROUND(MAX(0,100*AF95-10*AG95),1))</f>
        <v>80</v>
      </c>
      <c r="AK95" s="7">
        <f>ROUND(('01_Criterios'!$C$19*AH95+'01_Criterios'!$C$20*AI95+'01_Criterios'!$C$21*AJ95)/('01_Criterios'!$C$19+'01_Criterios'!$C$20+'01_Criterios'!$C$21)+N95*'01_Criterios'!$C$22,1)</f>
        <v>88.6</v>
      </c>
      <c r="AL95" s="20">
        <f>IF(AND(AB95&gt;=3,AC95&gt;='01_Criterios'!$C$11,N(AE95)&gt;='01_Criterios'!$C$12,OR(F95="+",F95="-"),ISNUMBER(G95),ISNUMBER(H95)),1,0)</f>
        <v>1</v>
      </c>
      <c r="AM95" s="24" t="str">
        <f>IF(AL95=1,"",TRIM(IF(AB95=0,"sem dados no período; ",IF(AB95&lt;3,"série demasiado curta; ",""))&amp;IF(AND(AB95&gt;0,AC95&lt;'01_Criterios'!$C$11),"cobertura insuficiente; ","")&amp;IF(AND(AB95&gt;0,N(AE95)&lt;'01_Criterios'!$C$12),"desactualizado; ","")&amp;IF(AND(F95&lt;&gt;"+",F95&lt;&gt;"-"),"sentido ambíguo; ","")&amp;IF(OR(NOT(ISNUMBER(G95)),NOT(ISNUMBER(H95))),"sem limites min/max; ","")))</f>
        <v/>
      </c>
      <c r="AN95" s="20">
        <f>IF(OR(AL95=0,$AP95="Excluir"),0,IF(SUMPRODUCT(($O$5:$O$335=$O95)*($AL$5:$AL$335=1)*($AP$5:$AP$335&lt;&gt;"Excluir")*(($AK$5:$AK$335&gt;$AK95)+(($AK$5:$AK$335=$AK95)*(ROW($O$5:$O$335)&lt;ROW()))))=0,1,0))</f>
        <v>0</v>
      </c>
      <c r="AO95" s="20" t="str">
        <f>IF(AN95=0,"",1+SUMPRODUCT(($B$5:$B$335=$B95)*($AN$5:$AN$335=1)*(($AK$5:$AK$335&gt;$AK95)+(($AK$5:$AK$335=$AK95)*(ROW($B$5:$B$335)&lt;ROW())))))</f>
        <v/>
      </c>
      <c r="AP95" s="22" t="s">
        <v>175</v>
      </c>
      <c r="AQ95" s="20">
        <f>IF(INDEX('01_Criterios'!$C$26:$C$36,MATCH($B95,'01_Criterios'!$B$26:$B$36,0))&lt;&gt;1,0,IF($AP95="Excluir",0,IF($AP95="Incluir",IF(AND(OR($F95="+",$F95="-"),ISNUMBER($G95),ISNUMBER($H95),COUNT($Q95:$AA95)&gt;0),1,0),IF('01_Criterios'!$C$18="Automática",IF(AND($AN95=1,$AO95&lt;&gt;"",$AO95&lt;=INDEX('01_Criterios'!$E$26:$E$36,MATCH($B95,'01_Criterios'!$B$26:$B$36,0))),1,0),0))))</f>
        <v>0</v>
      </c>
      <c r="AR95" s="20" t="str">
        <f>IF(AQ95=0,"",IF($AO95&lt;&gt;"",1+SUMPRODUCT(($B$5:$B$335=$B95)*($AQ$5:$AQ$335=1)*($AO$5:$AO$335&lt;$AO95)),1+SUMPRODUCT(($B$5:$B$335=$B95)*($AQ$5:$AQ$335=1)*ISNUMBER($AO$5:$AO$335))+SUMPRODUCT(($B$5:$B$335=$B95)*($AQ$5:$AQ$335=1)*($AO$5:$AO$335="")*(ROW($AO$5:$AO$335)&lt;ROW()))))</f>
        <v/>
      </c>
      <c r="AS95" s="24" t="s">
        <v>176</v>
      </c>
    </row>
    <row r="96" spans="1:45">
      <c r="A96" s="25" t="s">
        <v>582</v>
      </c>
      <c r="B96" s="26" t="s">
        <v>78</v>
      </c>
      <c r="C96" s="26" t="s">
        <v>583</v>
      </c>
      <c r="D96" s="26" t="s">
        <v>584</v>
      </c>
      <c r="E96" s="25" t="s">
        <v>585</v>
      </c>
      <c r="F96" s="25" t="s">
        <v>158</v>
      </c>
      <c r="G96" s="25">
        <v>0</v>
      </c>
      <c r="H96" s="25">
        <v>200</v>
      </c>
      <c r="I96" s="25">
        <v>25</v>
      </c>
      <c r="J96" s="22">
        <v>1</v>
      </c>
      <c r="K96" s="26" t="s">
        <v>586</v>
      </c>
      <c r="L96" s="25" t="s">
        <v>587</v>
      </c>
      <c r="M96" s="26" t="s">
        <v>588</v>
      </c>
      <c r="N96" s="25">
        <v>1</v>
      </c>
      <c r="O96" s="26" t="s">
        <v>589</v>
      </c>
      <c r="P96" s="25" t="s">
        <v>152</v>
      </c>
      <c r="Q96" s="27"/>
      <c r="R96" s="27"/>
      <c r="S96" s="27"/>
      <c r="T96" s="27"/>
      <c r="U96" s="27"/>
      <c r="V96" s="27"/>
      <c r="W96" s="27"/>
      <c r="X96" s="27"/>
      <c r="Y96" s="27"/>
      <c r="Z96" s="27">
        <v>52</v>
      </c>
      <c r="AA96" s="27"/>
      <c r="AB96" s="25">
        <f>COUNT(Q96:AA96)</f>
        <v>1</v>
      </c>
      <c r="AC96" s="28">
        <f>AB96/11</f>
        <v>9.0909090909090912E-2</v>
      </c>
      <c r="AD96" s="25">
        <f>IFERROR(INDEX($Q$4:$AA$4,MATCH(TRUE,INDEX(ISNUMBER(Q96:AA96),0),0)),"")</f>
        <v>2024</v>
      </c>
      <c r="AE96" s="25">
        <f>IFERROR(LOOKUP(2,1/ISNUMBER(Q96:AA96),$Q$4:$AA$4),"")</f>
        <v>2024</v>
      </c>
      <c r="AF96" s="28">
        <f>IF(AB96=0,"",AB96/(AE96-AD96+1))</f>
        <v>1</v>
      </c>
      <c r="AG96" s="25">
        <f>IF(AB96=0,"",'01_Criterios'!$C$8-AE96)</f>
        <v>1</v>
      </c>
      <c r="AH96" s="29">
        <f>IF(P96="Em uso",100,IF(P96="Alta",85,IF(P96="Média",55,30)))</f>
        <v>85</v>
      </c>
      <c r="AI96" s="29">
        <f>ROUND(100*AC96,1)</f>
        <v>9.1</v>
      </c>
      <c r="AJ96" s="29">
        <f>IF(AB96=0,0,ROUND(MAX(0,100*AF96-10*AG96),1))</f>
        <v>90</v>
      </c>
      <c r="AK96" s="29">
        <f>ROUND(('01_Criterios'!$C$19*AH96+'01_Criterios'!$C$20*AI96+'01_Criterios'!$C$21*AJ96)/('01_Criterios'!$C$19+'01_Criterios'!$C$20+'01_Criterios'!$C$21)+N96*'01_Criterios'!$C$22,1)</f>
        <v>71.7</v>
      </c>
      <c r="AL96" s="25">
        <f>IF(AND(AB96&gt;=3,AC96&gt;='01_Criterios'!$C$11,N(AE96)&gt;='01_Criterios'!$C$12,OR(F96="+",F96="-"),ISNUMBER(G96),ISNUMBER(H96)),1,0)</f>
        <v>0</v>
      </c>
      <c r="AM96" s="30" t="str">
        <f>IF(AL96=1,"",TRIM(IF(AB96=0,"sem dados no período; ",IF(AB96&lt;3,"série demasiado curta; ",""))&amp;IF(AND(AB96&gt;0,AC96&lt;'01_Criterios'!$C$11),"cobertura insuficiente; ","")&amp;IF(AND(AB96&gt;0,N(AE96)&lt;'01_Criterios'!$C$12),"desactualizado; ","")&amp;IF(AND(F96&lt;&gt;"+",F96&lt;&gt;"-"),"sentido ambíguo; ","")&amp;IF(OR(NOT(ISNUMBER(G96)),NOT(ISNUMBER(H96))),"sem limites min/max; ","")))</f>
        <v>série demasiado curta; cobertura insuficiente;</v>
      </c>
      <c r="AN96" s="25">
        <f>IF(OR(AL96=0,$AP96="Excluir"),0,IF(SUMPRODUCT(($O$5:$O$335=$O96)*($AL$5:$AL$335=1)*($AP$5:$AP$335&lt;&gt;"Excluir")*(($AK$5:$AK$335&gt;$AK96)+(($AK$5:$AK$335=$AK96)*(ROW($O$5:$O$335)&lt;ROW()))))=0,1,0))</f>
        <v>0</v>
      </c>
      <c r="AO96" s="25" t="str">
        <f>IF(AN96=0,"",1+SUMPRODUCT(($B$5:$B$335=$B96)*($AN$5:$AN$335=1)*(($AK$5:$AK$335&gt;$AK96)+(($AK$5:$AK$335=$AK96)*(ROW($B$5:$B$335)&lt;ROW())))))</f>
        <v/>
      </c>
      <c r="AP96" s="22" t="s">
        <v>131</v>
      </c>
      <c r="AQ96" s="25">
        <f>IF(INDEX('01_Criterios'!$C$26:$C$36,MATCH($B96,'01_Criterios'!$B$26:$B$36,0))&lt;&gt;1,0,IF($AP96="Excluir",0,IF($AP96="Incluir",IF(AND(OR($F96="+",$F96="-"),ISNUMBER($G96),ISNUMBER($H96),COUNT($Q96:$AA96)&gt;0),1,0),IF('01_Criterios'!$C$18="Automática",IF(AND($AN96=1,$AO96&lt;&gt;"",$AO96&lt;=INDEX('01_Criterios'!$E$26:$E$36,MATCH($B96,'01_Criterios'!$B$26:$B$36,0))),1,0),0))))</f>
        <v>0</v>
      </c>
      <c r="AR96" s="25" t="str">
        <f>IF(AQ96=0,"",IF($AO96&lt;&gt;"",1+SUMPRODUCT(($B$5:$B$335=$B96)*($AQ$5:$AQ$335=1)*($AO$5:$AO$335&lt;$AO96)),1+SUMPRODUCT(($B$5:$B$335=$B96)*($AQ$5:$AQ$335=1)*ISNUMBER($AO$5:$AO$335))+SUMPRODUCT(($B$5:$B$335=$B96)*($AQ$5:$AQ$335=1)*($AO$5:$AO$335="")*(ROW($AO$5:$AO$335)&lt;ROW()))))</f>
        <v/>
      </c>
      <c r="AS96" s="24" t="s">
        <v>590</v>
      </c>
    </row>
    <row r="97" spans="1:45">
      <c r="A97" s="20" t="s">
        <v>591</v>
      </c>
      <c r="B97" s="21" t="s">
        <v>78</v>
      </c>
      <c r="C97" s="21" t="s">
        <v>78</v>
      </c>
      <c r="D97" s="21" t="s">
        <v>592</v>
      </c>
      <c r="E97" s="20" t="s">
        <v>157</v>
      </c>
      <c r="F97" s="20" t="s">
        <v>126</v>
      </c>
      <c r="G97" s="20">
        <v>0</v>
      </c>
      <c r="H97" s="20">
        <v>100</v>
      </c>
      <c r="I97" s="20">
        <v>90</v>
      </c>
      <c r="J97" s="22">
        <v>1</v>
      </c>
      <c r="K97" s="21" t="s">
        <v>593</v>
      </c>
      <c r="L97" s="20" t="s">
        <v>594</v>
      </c>
      <c r="M97" s="21" t="s">
        <v>161</v>
      </c>
      <c r="N97" s="20">
        <v>0</v>
      </c>
      <c r="O97" s="21" t="s">
        <v>568</v>
      </c>
      <c r="P97" s="20" t="s">
        <v>152</v>
      </c>
      <c r="Q97" s="6"/>
      <c r="R97" s="6"/>
      <c r="S97" s="6"/>
      <c r="T97" s="6"/>
      <c r="U97" s="6"/>
      <c r="V97" s="6"/>
      <c r="W97" s="6">
        <v>60.025939436567697</v>
      </c>
      <c r="X97" s="6"/>
      <c r="Y97" s="6">
        <v>47.855678659646301</v>
      </c>
      <c r="Z97" s="6"/>
      <c r="AA97" s="6"/>
      <c r="AB97" s="20">
        <f>COUNT(Q97:AA97)</f>
        <v>2</v>
      </c>
      <c r="AC97" s="23">
        <f>AB97/11</f>
        <v>0.18181818181818182</v>
      </c>
      <c r="AD97" s="20">
        <f>IFERROR(INDEX($Q$4:$AA$4,MATCH(TRUE,INDEX(ISNUMBER(Q97:AA97),0),0)),"")</f>
        <v>2021</v>
      </c>
      <c r="AE97" s="20">
        <f>IFERROR(LOOKUP(2,1/ISNUMBER(Q97:AA97),$Q$4:$AA$4),"")</f>
        <v>2023</v>
      </c>
      <c r="AF97" s="23">
        <f>IF(AB97=0,"",AB97/(AE97-AD97+1))</f>
        <v>0.66666666666666663</v>
      </c>
      <c r="AG97" s="20">
        <f>IF(AB97=0,"",'01_Criterios'!$C$8-AE97)</f>
        <v>2</v>
      </c>
      <c r="AH97" s="7">
        <f>IF(P97="Em uso",100,IF(P97="Alta",85,IF(P97="Média",55,30)))</f>
        <v>85</v>
      </c>
      <c r="AI97" s="7">
        <f>ROUND(100*AC97,1)</f>
        <v>18.2</v>
      </c>
      <c r="AJ97" s="7">
        <f>IF(AB97=0,0,ROUND(MAX(0,100*AF97-10*AG97),1))</f>
        <v>46.7</v>
      </c>
      <c r="AK97" s="7">
        <f>ROUND(('01_Criterios'!$C$19*AH97+'01_Criterios'!$C$20*AI97+'01_Criterios'!$C$21*AJ97)/('01_Criterios'!$C$19+'01_Criterios'!$C$20+'01_Criterios'!$C$21)+N97*'01_Criterios'!$C$22,1)</f>
        <v>52</v>
      </c>
      <c r="AL97" s="20">
        <f>IF(AND(AB97&gt;=3,AC97&gt;='01_Criterios'!$C$11,N(AE97)&gt;='01_Criterios'!$C$12,OR(F97="+",F97="-"),ISNUMBER(G97),ISNUMBER(H97)),1,0)</f>
        <v>0</v>
      </c>
      <c r="AM97" s="24" t="str">
        <f>IF(AL97=1,"",TRIM(IF(AB97=0,"sem dados no período; ",IF(AB97&lt;3,"série demasiado curta; ",""))&amp;IF(AND(AB97&gt;0,AC97&lt;'01_Criterios'!$C$11),"cobertura insuficiente; ","")&amp;IF(AND(AB97&gt;0,N(AE97)&lt;'01_Criterios'!$C$12),"desactualizado; ","")&amp;IF(AND(F97&lt;&gt;"+",F97&lt;&gt;"-"),"sentido ambíguo; ","")&amp;IF(OR(NOT(ISNUMBER(G97)),NOT(ISNUMBER(H97))),"sem limites min/max; ","")))</f>
        <v>série demasiado curta; cobertura insuficiente;</v>
      </c>
      <c r="AN97" s="20">
        <f>IF(OR(AL97=0,$AP97="Excluir"),0,IF(SUMPRODUCT(($O$5:$O$335=$O97)*($AL$5:$AL$335=1)*($AP$5:$AP$335&lt;&gt;"Excluir")*(($AK$5:$AK$335&gt;$AK97)+(($AK$5:$AK$335=$AK97)*(ROW($O$5:$O$335)&lt;ROW()))))=0,1,0))</f>
        <v>0</v>
      </c>
      <c r="AO97" s="20" t="str">
        <f>IF(AN97=0,"",1+SUMPRODUCT(($B$5:$B$335=$B97)*($AN$5:$AN$335=1)*(($AK$5:$AK$335&gt;$AK97)+(($AK$5:$AK$335=$AK97)*(ROW($B$5:$B$335)&lt;ROW())))))</f>
        <v/>
      </c>
      <c r="AP97" s="22" t="s">
        <v>131</v>
      </c>
      <c r="AQ97" s="20">
        <f>IF(INDEX('01_Criterios'!$C$26:$C$36,MATCH($B97,'01_Criterios'!$B$26:$B$36,0))&lt;&gt;1,0,IF($AP97="Excluir",0,IF($AP97="Incluir",IF(AND(OR($F97="+",$F97="-"),ISNUMBER($G97),ISNUMBER($H97),COUNT($Q97:$AA97)&gt;0),1,0),IF('01_Criterios'!$C$18="Automática",IF(AND($AN97=1,$AO97&lt;&gt;"",$AO97&lt;=INDEX('01_Criterios'!$E$26:$E$36,MATCH($B97,'01_Criterios'!$B$26:$B$36,0))),1,0),0))))</f>
        <v>0</v>
      </c>
      <c r="AR97" s="20" t="str">
        <f>IF(AQ97=0,"",IF($AO97&lt;&gt;"",1+SUMPRODUCT(($B$5:$B$335=$B97)*($AQ$5:$AQ$335=1)*($AO$5:$AO$335&lt;$AO97)),1+SUMPRODUCT(($B$5:$B$335=$B97)*($AQ$5:$AQ$335=1)*ISNUMBER($AO$5:$AO$335))+SUMPRODUCT(($B$5:$B$335=$B97)*($AQ$5:$AQ$335=1)*($AO$5:$AO$335="")*(ROW($AO$5:$AO$335)&lt;ROW()))))</f>
        <v/>
      </c>
      <c r="AS97" s="24" t="s">
        <v>595</v>
      </c>
    </row>
    <row r="98" spans="1:45">
      <c r="A98" s="25" t="s">
        <v>596</v>
      </c>
      <c r="B98" s="26" t="s">
        <v>78</v>
      </c>
      <c r="C98" s="26" t="s">
        <v>78</v>
      </c>
      <c r="D98" s="26" t="s">
        <v>597</v>
      </c>
      <c r="E98" s="25" t="s">
        <v>157</v>
      </c>
      <c r="F98" s="25" t="s">
        <v>126</v>
      </c>
      <c r="G98" s="25">
        <v>0</v>
      </c>
      <c r="H98" s="25">
        <v>150</v>
      </c>
      <c r="I98" s="25">
        <v>80</v>
      </c>
      <c r="J98" s="22">
        <v>1</v>
      </c>
      <c r="K98" s="26" t="s">
        <v>593</v>
      </c>
      <c r="L98" s="25" t="s">
        <v>598</v>
      </c>
      <c r="M98" s="26" t="s">
        <v>161</v>
      </c>
      <c r="N98" s="25">
        <v>0</v>
      </c>
      <c r="O98" s="26" t="s">
        <v>599</v>
      </c>
      <c r="P98" s="25" t="s">
        <v>152</v>
      </c>
      <c r="Q98" s="27"/>
      <c r="R98" s="27">
        <v>54.4167987304753</v>
      </c>
      <c r="S98" s="27"/>
      <c r="T98" s="27"/>
      <c r="U98" s="27"/>
      <c r="V98" s="27"/>
      <c r="W98" s="27">
        <v>53.135154272713102</v>
      </c>
      <c r="X98" s="27"/>
      <c r="Y98" s="27">
        <v>51.483904624677599</v>
      </c>
      <c r="Z98" s="27"/>
      <c r="AA98" s="27"/>
      <c r="AB98" s="25">
        <f>COUNT(Q98:AA98)</f>
        <v>3</v>
      </c>
      <c r="AC98" s="28">
        <f>AB98/11</f>
        <v>0.27272727272727271</v>
      </c>
      <c r="AD98" s="25">
        <f>IFERROR(INDEX($Q$4:$AA$4,MATCH(TRUE,INDEX(ISNUMBER(Q98:AA98),0),0)),"")</f>
        <v>2016</v>
      </c>
      <c r="AE98" s="25">
        <f>IFERROR(LOOKUP(2,1/ISNUMBER(Q98:AA98),$Q$4:$AA$4),"")</f>
        <v>2023</v>
      </c>
      <c r="AF98" s="28">
        <f>IF(AB98=0,"",AB98/(AE98-AD98+1))</f>
        <v>0.375</v>
      </c>
      <c r="AG98" s="25">
        <f>IF(AB98=0,"",'01_Criterios'!$C$8-AE98)</f>
        <v>2</v>
      </c>
      <c r="AH98" s="29">
        <f>IF(P98="Em uso",100,IF(P98="Alta",85,IF(P98="Média",55,30)))</f>
        <v>85</v>
      </c>
      <c r="AI98" s="29">
        <f>ROUND(100*AC98,1)</f>
        <v>27.3</v>
      </c>
      <c r="AJ98" s="29">
        <f>IF(AB98=0,0,ROUND(MAX(0,100*AF98-10*AG98),1))</f>
        <v>17.5</v>
      </c>
      <c r="AK98" s="29">
        <f>ROUND(('01_Criterios'!$C$19*AH98+'01_Criterios'!$C$20*AI98+'01_Criterios'!$C$21*AJ98)/('01_Criterios'!$C$19+'01_Criterios'!$C$20+'01_Criterios'!$C$21)+N98*'01_Criterios'!$C$22,1)</f>
        <v>47.9</v>
      </c>
      <c r="AL98" s="25">
        <f>IF(AND(AB98&gt;=3,AC98&gt;='01_Criterios'!$C$11,N(AE98)&gt;='01_Criterios'!$C$12,OR(F98="+",F98="-"),ISNUMBER(G98),ISNUMBER(H98)),1,0)</f>
        <v>0</v>
      </c>
      <c r="AM98" s="30" t="str">
        <f>IF(AL98=1,"",TRIM(IF(AB98=0,"sem dados no período; ",IF(AB98&lt;3,"série demasiado curta; ",""))&amp;IF(AND(AB98&gt;0,AC98&lt;'01_Criterios'!$C$11),"cobertura insuficiente; ","")&amp;IF(AND(AB98&gt;0,N(AE98)&lt;'01_Criterios'!$C$12),"desactualizado; ","")&amp;IF(AND(F98&lt;&gt;"+",F98&lt;&gt;"-"),"sentido ambíguo; ","")&amp;IF(OR(NOT(ISNUMBER(G98)),NOT(ISNUMBER(H98))),"sem limites min/max; ","")))</f>
        <v>cobertura insuficiente;</v>
      </c>
      <c r="AN98" s="25">
        <f>IF(OR(AL98=0,$AP98="Excluir"),0,IF(SUMPRODUCT(($O$5:$O$335=$O98)*($AL$5:$AL$335=1)*($AP$5:$AP$335&lt;&gt;"Excluir")*(($AK$5:$AK$335&gt;$AK98)+(($AK$5:$AK$335=$AK98)*(ROW($O$5:$O$335)&lt;ROW()))))=0,1,0))</f>
        <v>0</v>
      </c>
      <c r="AO98" s="25" t="str">
        <f>IF(AN98=0,"",1+SUMPRODUCT(($B$5:$B$335=$B98)*($AN$5:$AN$335=1)*(($AK$5:$AK$335&gt;$AK98)+(($AK$5:$AK$335=$AK98)*(ROW($B$5:$B$335)&lt;ROW())))))</f>
        <v/>
      </c>
      <c r="AP98" s="22" t="s">
        <v>131</v>
      </c>
      <c r="AQ98" s="25">
        <f>IF(INDEX('01_Criterios'!$C$26:$C$36,MATCH($B98,'01_Criterios'!$B$26:$B$36,0))&lt;&gt;1,0,IF($AP98="Excluir",0,IF($AP98="Incluir",IF(AND(OR($F98="+",$F98="-"),ISNUMBER($G98),ISNUMBER($H98),COUNT($Q98:$AA98)&gt;0),1,0),IF('01_Criterios'!$C$18="Automática",IF(AND($AN98=1,$AO98&lt;&gt;"",$AO98&lt;=INDEX('01_Criterios'!$E$26:$E$36,MATCH($B98,'01_Criterios'!$B$26:$B$36,0))),1,0),0))))</f>
        <v>0</v>
      </c>
      <c r="AR98" s="25" t="str">
        <f>IF(AQ98=0,"",IF($AO98&lt;&gt;"",1+SUMPRODUCT(($B$5:$B$335=$B98)*($AQ$5:$AQ$335=1)*($AO$5:$AO$335&lt;$AO98)),1+SUMPRODUCT(($B$5:$B$335=$B98)*($AQ$5:$AQ$335=1)*ISNUMBER($AO$5:$AO$335))+SUMPRODUCT(($B$5:$B$335=$B98)*($AQ$5:$AQ$335=1)*($AO$5:$AO$335="")*(ROW($AO$5:$AO$335)&lt;ROW()))))</f>
        <v/>
      </c>
      <c r="AS98" s="24" t="s">
        <v>600</v>
      </c>
    </row>
    <row r="99" spans="1:45">
      <c r="A99" s="20" t="s">
        <v>601</v>
      </c>
      <c r="B99" s="21" t="s">
        <v>78</v>
      </c>
      <c r="C99" s="21" t="s">
        <v>78</v>
      </c>
      <c r="D99" s="21" t="s">
        <v>602</v>
      </c>
      <c r="E99" s="20" t="s">
        <v>547</v>
      </c>
      <c r="F99" s="20" t="s">
        <v>126</v>
      </c>
      <c r="G99" s="20">
        <v>0</v>
      </c>
      <c r="H99" s="20">
        <v>18</v>
      </c>
      <c r="I99" s="20">
        <v>12</v>
      </c>
      <c r="J99" s="22">
        <v>1</v>
      </c>
      <c r="K99" s="21" t="s">
        <v>603</v>
      </c>
      <c r="L99" s="20" t="s">
        <v>604</v>
      </c>
      <c r="M99" s="21" t="s">
        <v>574</v>
      </c>
      <c r="N99" s="20">
        <v>0</v>
      </c>
      <c r="O99" s="21" t="s">
        <v>575</v>
      </c>
      <c r="P99" s="20" t="s">
        <v>152</v>
      </c>
      <c r="Q99" s="6">
        <v>11.748699999999999</v>
      </c>
      <c r="R99" s="6">
        <v>12.167636870000001</v>
      </c>
      <c r="S99" s="6">
        <v>12.1676</v>
      </c>
      <c r="T99" s="6">
        <v>12.1676</v>
      </c>
      <c r="U99" s="6">
        <v>12.1676</v>
      </c>
      <c r="V99" s="6">
        <v>12.1676</v>
      </c>
      <c r="W99" s="6">
        <v>12.1676</v>
      </c>
      <c r="X99" s="6">
        <v>12.1676</v>
      </c>
      <c r="Y99" s="6"/>
      <c r="Z99" s="6"/>
      <c r="AA99" s="6"/>
      <c r="AB99" s="20">
        <f>COUNT(Q99:AA99)</f>
        <v>8</v>
      </c>
      <c r="AC99" s="23">
        <f>AB99/11</f>
        <v>0.72727272727272729</v>
      </c>
      <c r="AD99" s="20">
        <f>IFERROR(INDEX($Q$4:$AA$4,MATCH(TRUE,INDEX(ISNUMBER(Q99:AA99),0),0)),"")</f>
        <v>2015</v>
      </c>
      <c r="AE99" s="20">
        <f>IFERROR(LOOKUP(2,1/ISNUMBER(Q99:AA99),$Q$4:$AA$4),"")</f>
        <v>2022</v>
      </c>
      <c r="AF99" s="23">
        <f>IF(AB99=0,"",AB99/(AE99-AD99+1))</f>
        <v>1</v>
      </c>
      <c r="AG99" s="20">
        <f>IF(AB99=0,"",'01_Criterios'!$C$8-AE99)</f>
        <v>3</v>
      </c>
      <c r="AH99" s="7">
        <f>IF(P99="Em uso",100,IF(P99="Alta",85,IF(P99="Média",55,30)))</f>
        <v>85</v>
      </c>
      <c r="AI99" s="7">
        <f>ROUND(100*AC99,1)</f>
        <v>72.7</v>
      </c>
      <c r="AJ99" s="7">
        <f>IF(AB99=0,0,ROUND(MAX(0,100*AF99-10*AG99),1))</f>
        <v>70</v>
      </c>
      <c r="AK99" s="7">
        <f>ROUND(('01_Criterios'!$C$19*AH99+'01_Criterios'!$C$20*AI99+'01_Criterios'!$C$21*AJ99)/('01_Criterios'!$C$19+'01_Criterios'!$C$20+'01_Criterios'!$C$21)+N99*'01_Criterios'!$C$22,1)</f>
        <v>76.900000000000006</v>
      </c>
      <c r="AL99" s="20">
        <f>IF(AND(AB99&gt;=3,AC99&gt;='01_Criterios'!$C$11,N(AE99)&gt;='01_Criterios'!$C$12,OR(F99="+",F99="-"),ISNUMBER(G99),ISNUMBER(H99)),1,0)</f>
        <v>0</v>
      </c>
      <c r="AM99" s="24" t="str">
        <f>IF(AL99=1,"",TRIM(IF(AB99=0,"sem dados no período; ",IF(AB99&lt;3,"série demasiado curta; ",""))&amp;IF(AND(AB99&gt;0,AC99&lt;'01_Criterios'!$C$11),"cobertura insuficiente; ","")&amp;IF(AND(AB99&gt;0,N(AE99)&lt;'01_Criterios'!$C$12),"desactualizado; ","")&amp;IF(AND(F99&lt;&gt;"+",F99&lt;&gt;"-"),"sentido ambíguo; ","")&amp;IF(OR(NOT(ISNUMBER(G99)),NOT(ISNUMBER(H99))),"sem limites min/max; ","")))</f>
        <v>cobertura insuficiente; desactualizado;</v>
      </c>
      <c r="AN99" s="20">
        <f>IF(OR(AL99=0,$AP99="Excluir"),0,IF(SUMPRODUCT(($O$5:$O$335=$O99)*($AL$5:$AL$335=1)*($AP$5:$AP$335&lt;&gt;"Excluir")*(($AK$5:$AK$335&gt;$AK99)+(($AK$5:$AK$335=$AK99)*(ROW($O$5:$O$335)&lt;ROW()))))=0,1,0))</f>
        <v>0</v>
      </c>
      <c r="AO99" s="20" t="str">
        <f>IF(AN99=0,"",1+SUMPRODUCT(($B$5:$B$335=$B99)*($AN$5:$AN$335=1)*(($AK$5:$AK$335&gt;$AK99)+(($AK$5:$AK$335=$AK99)*(ROW($B$5:$B$335)&lt;ROW())))))</f>
        <v/>
      </c>
      <c r="AP99" s="22" t="s">
        <v>131</v>
      </c>
      <c r="AQ99" s="20">
        <f>IF(INDEX('01_Criterios'!$C$26:$C$36,MATCH($B99,'01_Criterios'!$B$26:$B$36,0))&lt;&gt;1,0,IF($AP99="Excluir",0,IF($AP99="Incluir",IF(AND(OR($F99="+",$F99="-"),ISNUMBER($G99),ISNUMBER($H99),COUNT($Q99:$AA99)&gt;0),1,0),IF('01_Criterios'!$C$18="Automática",IF(AND($AN99=1,$AO99&lt;&gt;"",$AO99&lt;=INDEX('01_Criterios'!$E$26:$E$36,MATCH($B99,'01_Criterios'!$B$26:$B$36,0))),1,0),0))))</f>
        <v>0</v>
      </c>
      <c r="AR99" s="20" t="str">
        <f>IF(AQ99=0,"",IF($AO99&lt;&gt;"",1+SUMPRODUCT(($B$5:$B$335=$B99)*($AQ$5:$AQ$335=1)*($AO$5:$AO$335&lt;$AO99)),1+SUMPRODUCT(($B$5:$B$335=$B99)*($AQ$5:$AQ$335=1)*ISNUMBER($AO$5:$AO$335))+SUMPRODUCT(($B$5:$B$335=$B99)*($AQ$5:$AQ$335=1)*($AO$5:$AO$335="")*(ROW($AO$5:$AO$335)&lt;ROW()))))</f>
        <v/>
      </c>
      <c r="AS99" s="24" t="s">
        <v>605</v>
      </c>
    </row>
    <row r="100" spans="1:45">
      <c r="A100" s="25" t="s">
        <v>606</v>
      </c>
      <c r="B100" s="26" t="s">
        <v>78</v>
      </c>
      <c r="C100" s="26" t="s">
        <v>607</v>
      </c>
      <c r="D100" s="26" t="s">
        <v>608</v>
      </c>
      <c r="E100" s="25" t="s">
        <v>157</v>
      </c>
      <c r="F100" s="25" t="s">
        <v>126</v>
      </c>
      <c r="G100" s="25">
        <v>0</v>
      </c>
      <c r="H100" s="25">
        <v>100</v>
      </c>
      <c r="I100" s="25">
        <v>90</v>
      </c>
      <c r="J100" s="22">
        <v>1</v>
      </c>
      <c r="K100" s="26" t="s">
        <v>593</v>
      </c>
      <c r="L100" s="25" t="s">
        <v>609</v>
      </c>
      <c r="M100" s="26" t="s">
        <v>161</v>
      </c>
      <c r="N100" s="25">
        <v>0</v>
      </c>
      <c r="O100" s="26" t="s">
        <v>606</v>
      </c>
      <c r="P100" s="25" t="s">
        <v>152</v>
      </c>
      <c r="Q100" s="27">
        <v>75.660003662109403</v>
      </c>
      <c r="R100" s="27"/>
      <c r="S100" s="27"/>
      <c r="T100" s="27"/>
      <c r="U100" s="27"/>
      <c r="V100" s="27"/>
      <c r="W100" s="27"/>
      <c r="X100" s="27"/>
      <c r="Y100" s="27">
        <v>80.699996948242202</v>
      </c>
      <c r="Z100" s="27"/>
      <c r="AA100" s="27"/>
      <c r="AB100" s="25">
        <f>COUNT(Q100:AA100)</f>
        <v>2</v>
      </c>
      <c r="AC100" s="28">
        <f>AB100/11</f>
        <v>0.18181818181818182</v>
      </c>
      <c r="AD100" s="25">
        <f>IFERROR(INDEX($Q$4:$AA$4,MATCH(TRUE,INDEX(ISNUMBER(Q100:AA100),0),0)),"")</f>
        <v>2015</v>
      </c>
      <c r="AE100" s="25">
        <f>IFERROR(LOOKUP(2,1/ISNUMBER(Q100:AA100),$Q$4:$AA$4),"")</f>
        <v>2023</v>
      </c>
      <c r="AF100" s="28">
        <f>IF(AB100=0,"",AB100/(AE100-AD100+1))</f>
        <v>0.22222222222222221</v>
      </c>
      <c r="AG100" s="25">
        <f>IF(AB100=0,"",'01_Criterios'!$C$8-AE100)</f>
        <v>2</v>
      </c>
      <c r="AH100" s="29">
        <f>IF(P100="Em uso",100,IF(P100="Alta",85,IF(P100="Média",55,30)))</f>
        <v>85</v>
      </c>
      <c r="AI100" s="29">
        <f>ROUND(100*AC100,1)</f>
        <v>18.2</v>
      </c>
      <c r="AJ100" s="29">
        <f>IF(AB100=0,0,ROUND(MAX(0,100*AF100-10*AG100),1))</f>
        <v>2.2000000000000002</v>
      </c>
      <c r="AK100" s="29">
        <f>ROUND(('01_Criterios'!$C$19*AH100+'01_Criterios'!$C$20*AI100+'01_Criterios'!$C$21*AJ100)/('01_Criterios'!$C$19+'01_Criterios'!$C$20+'01_Criterios'!$C$21)+N100*'01_Criterios'!$C$22,1)</f>
        <v>40.9</v>
      </c>
      <c r="AL100" s="25">
        <f>IF(AND(AB100&gt;=3,AC100&gt;='01_Criterios'!$C$11,N(AE100)&gt;='01_Criterios'!$C$12,OR(F100="+",F100="-"),ISNUMBER(G100),ISNUMBER(H100)),1,0)</f>
        <v>0</v>
      </c>
      <c r="AM100" s="30" t="str">
        <f>IF(AL100=1,"",TRIM(IF(AB100=0,"sem dados no período; ",IF(AB100&lt;3,"série demasiado curta; ",""))&amp;IF(AND(AB100&gt;0,AC100&lt;'01_Criterios'!$C$11),"cobertura insuficiente; ","")&amp;IF(AND(AB100&gt;0,N(AE100)&lt;'01_Criterios'!$C$12),"desactualizado; ","")&amp;IF(AND(F100&lt;&gt;"+",F100&lt;&gt;"-"),"sentido ambíguo; ","")&amp;IF(OR(NOT(ISNUMBER(G100)),NOT(ISNUMBER(H100))),"sem limites min/max; ","")))</f>
        <v>série demasiado curta; cobertura insuficiente;</v>
      </c>
      <c r="AN100" s="25">
        <f>IF(OR(AL100=0,$AP100="Excluir"),0,IF(SUMPRODUCT(($O$5:$O$335=$O100)*($AL$5:$AL$335=1)*($AP$5:$AP$335&lt;&gt;"Excluir")*(($AK$5:$AK$335&gt;$AK100)+(($AK$5:$AK$335=$AK100)*(ROW($O$5:$O$335)&lt;ROW()))))=0,1,0))</f>
        <v>0</v>
      </c>
      <c r="AO100" s="25" t="str">
        <f>IF(AN100=0,"",1+SUMPRODUCT(($B$5:$B$335=$B100)*($AN$5:$AN$335=1)*(($AK$5:$AK$335&gt;$AK100)+(($AK$5:$AK$335=$AK100)*(ROW($B$5:$B$335)&lt;ROW())))))</f>
        <v/>
      </c>
      <c r="AP100" s="22" t="s">
        <v>131</v>
      </c>
      <c r="AQ100" s="25">
        <f>IF(INDEX('01_Criterios'!$C$26:$C$36,MATCH($B100,'01_Criterios'!$B$26:$B$36,0))&lt;&gt;1,0,IF($AP100="Excluir",0,IF($AP100="Incluir",IF(AND(OR($F100="+",$F100="-"),ISNUMBER($G100),ISNUMBER($H100),COUNT($Q100:$AA100)&gt;0),1,0),IF('01_Criterios'!$C$18="Automática",IF(AND($AN100=1,$AO100&lt;&gt;"",$AO100&lt;=INDEX('01_Criterios'!$E$26:$E$36,MATCH($B100,'01_Criterios'!$B$26:$B$36,0))),1,0),0))))</f>
        <v>0</v>
      </c>
      <c r="AR100" s="25" t="str">
        <f>IF(AQ100=0,"",IF($AO100&lt;&gt;"",1+SUMPRODUCT(($B$5:$B$335=$B100)*($AQ$5:$AQ$335=1)*($AO$5:$AO$335&lt;$AO100)),1+SUMPRODUCT(($B$5:$B$335=$B100)*($AQ$5:$AQ$335=1)*ISNUMBER($AO$5:$AO$335))+SUMPRODUCT(($B$5:$B$335=$B100)*($AQ$5:$AQ$335=1)*($AO$5:$AO$335="")*(ROW($AO$5:$AO$335)&lt;ROW()))))</f>
        <v/>
      </c>
      <c r="AS100" s="24" t="s">
        <v>610</v>
      </c>
    </row>
    <row r="101" spans="1:45">
      <c r="A101" s="20" t="s">
        <v>611</v>
      </c>
      <c r="B101" s="21" t="s">
        <v>78</v>
      </c>
      <c r="C101" s="21" t="s">
        <v>612</v>
      </c>
      <c r="D101" s="21" t="s">
        <v>613</v>
      </c>
      <c r="E101" s="20" t="s">
        <v>157</v>
      </c>
      <c r="F101" s="20" t="s">
        <v>158</v>
      </c>
      <c r="G101" s="20">
        <v>0</v>
      </c>
      <c r="H101" s="20">
        <v>100</v>
      </c>
      <c r="I101" s="20">
        <v>5</v>
      </c>
      <c r="J101" s="22">
        <v>1</v>
      </c>
      <c r="K101" s="21" t="s">
        <v>593</v>
      </c>
      <c r="L101" s="20" t="s">
        <v>614</v>
      </c>
      <c r="M101" s="21" t="s">
        <v>161</v>
      </c>
      <c r="N101" s="20">
        <v>0</v>
      </c>
      <c r="O101" s="21" t="s">
        <v>568</v>
      </c>
      <c r="P101" s="20" t="s">
        <v>152</v>
      </c>
      <c r="Q101" s="6"/>
      <c r="R101" s="6"/>
      <c r="S101" s="6"/>
      <c r="T101" s="6"/>
      <c r="U101" s="6"/>
      <c r="V101" s="6"/>
      <c r="W101" s="6"/>
      <c r="X101" s="6"/>
      <c r="Y101" s="6">
        <v>36.762150987751099</v>
      </c>
      <c r="Z101" s="6"/>
      <c r="AA101" s="6"/>
      <c r="AB101" s="20">
        <f>COUNT(Q101:AA101)</f>
        <v>1</v>
      </c>
      <c r="AC101" s="23">
        <f>AB101/11</f>
        <v>9.0909090909090912E-2</v>
      </c>
      <c r="AD101" s="20">
        <f>IFERROR(INDEX($Q$4:$AA$4,MATCH(TRUE,INDEX(ISNUMBER(Q101:AA101),0),0)),"")</f>
        <v>2023</v>
      </c>
      <c r="AE101" s="20">
        <f>IFERROR(LOOKUP(2,1/ISNUMBER(Q101:AA101),$Q$4:$AA$4),"")</f>
        <v>2023</v>
      </c>
      <c r="AF101" s="23">
        <f>IF(AB101=0,"",AB101/(AE101-AD101+1))</f>
        <v>1</v>
      </c>
      <c r="AG101" s="20">
        <f>IF(AB101=0,"",'01_Criterios'!$C$8-AE101)</f>
        <v>2</v>
      </c>
      <c r="AH101" s="7">
        <f>IF(P101="Em uso",100,IF(P101="Alta",85,IF(P101="Média",55,30)))</f>
        <v>85</v>
      </c>
      <c r="AI101" s="7">
        <f>ROUND(100*AC101,1)</f>
        <v>9.1</v>
      </c>
      <c r="AJ101" s="7">
        <f>IF(AB101=0,0,ROUND(MAX(0,100*AF101-10*AG101),1))</f>
        <v>80</v>
      </c>
      <c r="AK101" s="7">
        <f>ROUND(('01_Criterios'!$C$19*AH101+'01_Criterios'!$C$20*AI101+'01_Criterios'!$C$21*AJ101)/('01_Criterios'!$C$19+'01_Criterios'!$C$20+'01_Criterios'!$C$21)+N101*'01_Criterios'!$C$22,1)</f>
        <v>57.2</v>
      </c>
      <c r="AL101" s="20">
        <f>IF(AND(AB101&gt;=3,AC101&gt;='01_Criterios'!$C$11,N(AE101)&gt;='01_Criterios'!$C$12,OR(F101="+",F101="-"),ISNUMBER(G101),ISNUMBER(H101)),1,0)</f>
        <v>0</v>
      </c>
      <c r="AM101" s="24" t="str">
        <f>IF(AL101=1,"",TRIM(IF(AB101=0,"sem dados no período; ",IF(AB101&lt;3,"série demasiado curta; ",""))&amp;IF(AND(AB101&gt;0,AC101&lt;'01_Criterios'!$C$11),"cobertura insuficiente; ","")&amp;IF(AND(AB101&gt;0,N(AE101)&lt;'01_Criterios'!$C$12),"desactualizado; ","")&amp;IF(AND(F101&lt;&gt;"+",F101&lt;&gt;"-"),"sentido ambíguo; ","")&amp;IF(OR(NOT(ISNUMBER(G101)),NOT(ISNUMBER(H101))),"sem limites min/max; ","")))</f>
        <v>série demasiado curta; cobertura insuficiente;</v>
      </c>
      <c r="AN101" s="20">
        <f>IF(OR(AL101=0,$AP101="Excluir"),0,IF(SUMPRODUCT(($O$5:$O$335=$O101)*($AL$5:$AL$335=1)*($AP$5:$AP$335&lt;&gt;"Excluir")*(($AK$5:$AK$335&gt;$AK101)+(($AK$5:$AK$335=$AK101)*(ROW($O$5:$O$335)&lt;ROW()))))=0,1,0))</f>
        <v>0</v>
      </c>
      <c r="AO101" s="20" t="str">
        <f>IF(AN101=0,"",1+SUMPRODUCT(($B$5:$B$335=$B101)*($AN$5:$AN$335=1)*(($AK$5:$AK$335&gt;$AK101)+(($AK$5:$AK$335=$AK101)*(ROW($B$5:$B$335)&lt;ROW())))))</f>
        <v/>
      </c>
      <c r="AP101" s="22" t="s">
        <v>131</v>
      </c>
      <c r="AQ101" s="20">
        <f>IF(INDEX('01_Criterios'!$C$26:$C$36,MATCH($B101,'01_Criterios'!$B$26:$B$36,0))&lt;&gt;1,0,IF($AP101="Excluir",0,IF($AP101="Incluir",IF(AND(OR($F101="+",$F101="-"),ISNUMBER($G101),ISNUMBER($H101),COUNT($Q101:$AA101)&gt;0),1,0),IF('01_Criterios'!$C$18="Automática",IF(AND($AN101=1,$AO101&lt;&gt;"",$AO101&lt;=INDEX('01_Criterios'!$E$26:$E$36,MATCH($B101,'01_Criterios'!$B$26:$B$36,0))),1,0),0))))</f>
        <v>0</v>
      </c>
      <c r="AR101" s="20" t="str">
        <f>IF(AQ101=0,"",IF($AO101&lt;&gt;"",1+SUMPRODUCT(($B$5:$B$335=$B101)*($AQ$5:$AQ$335=1)*($AO$5:$AO$335&lt;$AO101)),1+SUMPRODUCT(($B$5:$B$335=$B101)*($AQ$5:$AQ$335=1)*ISNUMBER($AO$5:$AO$335))+SUMPRODUCT(($B$5:$B$335=$B101)*($AQ$5:$AQ$335=1)*($AO$5:$AO$335="")*(ROW($AO$5:$AO$335)&lt;ROW()))))</f>
        <v/>
      </c>
      <c r="AS101" s="24" t="s">
        <v>615</v>
      </c>
    </row>
    <row r="102" spans="1:45">
      <c r="A102" s="25" t="s">
        <v>616</v>
      </c>
      <c r="B102" s="26" t="s">
        <v>78</v>
      </c>
      <c r="C102" s="26" t="s">
        <v>583</v>
      </c>
      <c r="D102" s="26" t="s">
        <v>617</v>
      </c>
      <c r="E102" s="25" t="s">
        <v>585</v>
      </c>
      <c r="F102" s="25" t="s">
        <v>158</v>
      </c>
      <c r="G102" s="25">
        <v>0</v>
      </c>
      <c r="H102" s="25">
        <v>60</v>
      </c>
      <c r="I102" s="25">
        <v>12</v>
      </c>
      <c r="J102" s="22">
        <v>1</v>
      </c>
      <c r="K102" s="26" t="s">
        <v>618</v>
      </c>
      <c r="L102" s="25" t="s">
        <v>619</v>
      </c>
      <c r="M102" s="26" t="s">
        <v>161</v>
      </c>
      <c r="N102" s="25">
        <v>0</v>
      </c>
      <c r="O102" s="26" t="s">
        <v>620</v>
      </c>
      <c r="P102" s="25" t="s">
        <v>152</v>
      </c>
      <c r="Q102" s="27">
        <v>20.9</v>
      </c>
      <c r="R102" s="27">
        <v>20.399999999999999</v>
      </c>
      <c r="S102" s="27">
        <v>20</v>
      </c>
      <c r="T102" s="27">
        <v>19.7</v>
      </c>
      <c r="U102" s="27">
        <v>19.399999999999999</v>
      </c>
      <c r="V102" s="27">
        <v>19.2</v>
      </c>
      <c r="W102" s="27">
        <v>19</v>
      </c>
      <c r="X102" s="27">
        <v>18.7</v>
      </c>
      <c r="Y102" s="27">
        <v>18.399999999999999</v>
      </c>
      <c r="Z102" s="27">
        <v>18.100000000000001</v>
      </c>
      <c r="AA102" s="27"/>
      <c r="AB102" s="25">
        <f>COUNT(Q102:AA102)</f>
        <v>10</v>
      </c>
      <c r="AC102" s="28">
        <f>AB102/11</f>
        <v>0.90909090909090906</v>
      </c>
      <c r="AD102" s="25">
        <f>IFERROR(INDEX($Q$4:$AA$4,MATCH(TRUE,INDEX(ISNUMBER(Q102:AA102),0),0)),"")</f>
        <v>2015</v>
      </c>
      <c r="AE102" s="25">
        <f>IFERROR(LOOKUP(2,1/ISNUMBER(Q102:AA102),$Q$4:$AA$4),"")</f>
        <v>2024</v>
      </c>
      <c r="AF102" s="28">
        <f>IF(AB102=0,"",AB102/(AE102-AD102+1))</f>
        <v>1</v>
      </c>
      <c r="AG102" s="25">
        <f>IF(AB102=0,"",'01_Criterios'!$C$8-AE102)</f>
        <v>1</v>
      </c>
      <c r="AH102" s="29">
        <f>IF(P102="Em uso",100,IF(P102="Alta",85,IF(P102="Média",55,30)))</f>
        <v>85</v>
      </c>
      <c r="AI102" s="29">
        <f>ROUND(100*AC102,1)</f>
        <v>90.9</v>
      </c>
      <c r="AJ102" s="29">
        <f>IF(AB102=0,0,ROUND(MAX(0,100*AF102-10*AG102),1))</f>
        <v>90</v>
      </c>
      <c r="AK102" s="29">
        <f>ROUND(('01_Criterios'!$C$19*AH102+'01_Criterios'!$C$20*AI102+'01_Criterios'!$C$21*AJ102)/('01_Criterios'!$C$19+'01_Criterios'!$C$20+'01_Criterios'!$C$21)+N102*'01_Criterios'!$C$22,1)</f>
        <v>88.3</v>
      </c>
      <c r="AL102" s="25">
        <f>IF(AND(AB102&gt;=3,AC102&gt;='01_Criterios'!$C$11,N(AE102)&gt;='01_Criterios'!$C$12,OR(F102="+",F102="-"),ISNUMBER(G102),ISNUMBER(H102)),1,0)</f>
        <v>1</v>
      </c>
      <c r="AM102" s="30" t="str">
        <f>IF(AL102=1,"",TRIM(IF(AB102=0,"sem dados no período; ",IF(AB102&lt;3,"série demasiado curta; ",""))&amp;IF(AND(AB102&gt;0,AC102&lt;'01_Criterios'!$C$11),"cobertura insuficiente; ","")&amp;IF(AND(AB102&gt;0,N(AE102)&lt;'01_Criterios'!$C$12),"desactualizado; ","")&amp;IF(AND(F102&lt;&gt;"+",F102&lt;&gt;"-"),"sentido ambíguo; ","")&amp;IF(OR(NOT(ISNUMBER(G102)),NOT(ISNUMBER(H102))),"sem limites min/max; ","")))</f>
        <v/>
      </c>
      <c r="AN102" s="25">
        <f>IF(OR(AL102=0,$AP102="Excluir"),0,IF(SUMPRODUCT(($O$5:$O$335=$O102)*($AL$5:$AL$335=1)*($AP$5:$AP$335&lt;&gt;"Excluir")*(($AK$5:$AK$335&gt;$AK102)+(($AK$5:$AK$335=$AK102)*(ROW($O$5:$O$335)&lt;ROW()))))=0,1,0))</f>
        <v>0</v>
      </c>
      <c r="AO102" s="25" t="str">
        <f>IF(AN102=0,"",1+SUMPRODUCT(($B$5:$B$335=$B102)*($AN$5:$AN$335=1)*(($AK$5:$AK$335&gt;$AK102)+(($AK$5:$AK$335=$AK102)*(ROW($B$5:$B$335)&lt;ROW())))))</f>
        <v/>
      </c>
      <c r="AP102" s="22" t="s">
        <v>175</v>
      </c>
      <c r="AQ102" s="25">
        <f>IF(INDEX('01_Criterios'!$C$26:$C$36,MATCH($B102,'01_Criterios'!$B$26:$B$36,0))&lt;&gt;1,0,IF($AP102="Excluir",0,IF($AP102="Incluir",IF(AND(OR($F102="+",$F102="-"),ISNUMBER($G102),ISNUMBER($H102),COUNT($Q102:$AA102)&gt;0),1,0),IF('01_Criterios'!$C$18="Automática",IF(AND($AN102=1,$AO102&lt;&gt;"",$AO102&lt;=INDEX('01_Criterios'!$E$26:$E$36,MATCH($B102,'01_Criterios'!$B$26:$B$36,0))),1,0),0))))</f>
        <v>0</v>
      </c>
      <c r="AR102" s="25" t="str">
        <f>IF(AQ102=0,"",IF($AO102&lt;&gt;"",1+SUMPRODUCT(($B$5:$B$335=$B102)*($AQ$5:$AQ$335=1)*($AO$5:$AO$335&lt;$AO102)),1+SUMPRODUCT(($B$5:$B$335=$B102)*($AQ$5:$AQ$335=1)*ISNUMBER($AO$5:$AO$335))+SUMPRODUCT(($B$5:$B$335=$B102)*($AQ$5:$AQ$335=1)*($AO$5:$AO$335="")*(ROW($AO$5:$AO$335)&lt;ROW()))))</f>
        <v/>
      </c>
      <c r="AS102" s="24" t="s">
        <v>176</v>
      </c>
    </row>
    <row r="103" spans="1:45">
      <c r="A103" s="20" t="s">
        <v>621</v>
      </c>
      <c r="B103" s="21" t="s">
        <v>78</v>
      </c>
      <c r="C103" s="21" t="s">
        <v>583</v>
      </c>
      <c r="D103" s="21" t="s">
        <v>622</v>
      </c>
      <c r="E103" s="20" t="s">
        <v>585</v>
      </c>
      <c r="F103" s="20" t="s">
        <v>158</v>
      </c>
      <c r="G103" s="20">
        <v>0</v>
      </c>
      <c r="H103" s="20">
        <v>60</v>
      </c>
      <c r="I103" s="20">
        <v>12</v>
      </c>
      <c r="J103" s="22">
        <v>1</v>
      </c>
      <c r="K103" s="21" t="s">
        <v>586</v>
      </c>
      <c r="L103" s="20" t="s">
        <v>623</v>
      </c>
      <c r="M103" s="21" t="s">
        <v>588</v>
      </c>
      <c r="N103" s="20">
        <v>1</v>
      </c>
      <c r="O103" s="21" t="s">
        <v>620</v>
      </c>
      <c r="P103" s="20" t="s">
        <v>180</v>
      </c>
      <c r="Q103" s="6"/>
      <c r="R103" s="6"/>
      <c r="S103" s="6"/>
      <c r="T103" s="6"/>
      <c r="U103" s="6"/>
      <c r="V103" s="6"/>
      <c r="W103" s="6"/>
      <c r="X103" s="6"/>
      <c r="Y103" s="6"/>
      <c r="Z103" s="6">
        <v>16</v>
      </c>
      <c r="AA103" s="6"/>
      <c r="AB103" s="20">
        <f>COUNT(Q103:AA103)</f>
        <v>1</v>
      </c>
      <c r="AC103" s="23">
        <f>AB103/11</f>
        <v>9.0909090909090912E-2</v>
      </c>
      <c r="AD103" s="20">
        <f>IFERROR(INDEX($Q$4:$AA$4,MATCH(TRUE,INDEX(ISNUMBER(Q103:AA103),0),0)),"")</f>
        <v>2024</v>
      </c>
      <c r="AE103" s="20">
        <f>IFERROR(LOOKUP(2,1/ISNUMBER(Q103:AA103),$Q$4:$AA$4),"")</f>
        <v>2024</v>
      </c>
      <c r="AF103" s="23">
        <f>IF(AB103=0,"",AB103/(AE103-AD103+1))</f>
        <v>1</v>
      </c>
      <c r="AG103" s="20">
        <f>IF(AB103=0,"",'01_Criterios'!$C$8-AE103)</f>
        <v>1</v>
      </c>
      <c r="AH103" s="7">
        <f>IF(P103="Em uso",100,IF(P103="Alta",85,IF(P103="Média",55,30)))</f>
        <v>55</v>
      </c>
      <c r="AI103" s="7">
        <f>ROUND(100*AC103,1)</f>
        <v>9.1</v>
      </c>
      <c r="AJ103" s="7">
        <f>IF(AB103=0,0,ROUND(MAX(0,100*AF103-10*AG103),1))</f>
        <v>90</v>
      </c>
      <c r="AK103" s="7">
        <f>ROUND(('01_Criterios'!$C$19*AH103+'01_Criterios'!$C$20*AI103+'01_Criterios'!$C$21*AJ103)/('01_Criterios'!$C$19+'01_Criterios'!$C$20+'01_Criterios'!$C$21)+N103*'01_Criterios'!$C$22,1)</f>
        <v>59.7</v>
      </c>
      <c r="AL103" s="20">
        <f>IF(AND(AB103&gt;=3,AC103&gt;='01_Criterios'!$C$11,N(AE103)&gt;='01_Criterios'!$C$12,OR(F103="+",F103="-"),ISNUMBER(G103),ISNUMBER(H103)),1,0)</f>
        <v>0</v>
      </c>
      <c r="AM103" s="24" t="str">
        <f>IF(AL103=1,"",TRIM(IF(AB103=0,"sem dados no período; ",IF(AB103&lt;3,"série demasiado curta; ",""))&amp;IF(AND(AB103&gt;0,AC103&lt;'01_Criterios'!$C$11),"cobertura insuficiente; ","")&amp;IF(AND(AB103&gt;0,N(AE103)&lt;'01_Criterios'!$C$12),"desactualizado; ","")&amp;IF(AND(F103&lt;&gt;"+",F103&lt;&gt;"-"),"sentido ambíguo; ","")&amp;IF(OR(NOT(ISNUMBER(G103)),NOT(ISNUMBER(H103))),"sem limites min/max; ","")))</f>
        <v>série demasiado curta; cobertura insuficiente;</v>
      </c>
      <c r="AN103" s="20">
        <f>IF(OR(AL103=0,$AP103="Excluir"),0,IF(SUMPRODUCT(($O$5:$O$335=$O103)*($AL$5:$AL$335=1)*($AP$5:$AP$335&lt;&gt;"Excluir")*(($AK$5:$AK$335&gt;$AK103)+(($AK$5:$AK$335=$AK103)*(ROW($O$5:$O$335)&lt;ROW()))))=0,1,0))</f>
        <v>0</v>
      </c>
      <c r="AO103" s="20" t="str">
        <f>IF(AN103=0,"",1+SUMPRODUCT(($B$5:$B$335=$B103)*($AN$5:$AN$335=1)*(($AK$5:$AK$335&gt;$AK103)+(($AK$5:$AK$335=$AK103)*(ROW($B$5:$B$335)&lt;ROW())))))</f>
        <v/>
      </c>
      <c r="AP103" s="22" t="s">
        <v>131</v>
      </c>
      <c r="AQ103" s="20">
        <f>IF(INDEX('01_Criterios'!$C$26:$C$36,MATCH($B103,'01_Criterios'!$B$26:$B$36,0))&lt;&gt;1,0,IF($AP103="Excluir",0,IF($AP103="Incluir",IF(AND(OR($F103="+",$F103="-"),ISNUMBER($G103),ISNUMBER($H103),COUNT($Q103:$AA103)&gt;0),1,0),IF('01_Criterios'!$C$18="Automática",IF(AND($AN103=1,$AO103&lt;&gt;"",$AO103&lt;=INDEX('01_Criterios'!$E$26:$E$36,MATCH($B103,'01_Criterios'!$B$26:$B$36,0))),1,0),0))))</f>
        <v>0</v>
      </c>
      <c r="AR103" s="20" t="str">
        <f>IF(AQ103=0,"",IF($AO103&lt;&gt;"",1+SUMPRODUCT(($B$5:$B$335=$B103)*($AQ$5:$AQ$335=1)*($AO$5:$AO$335&lt;$AO103)),1+SUMPRODUCT(($B$5:$B$335=$B103)*($AQ$5:$AQ$335=1)*ISNUMBER($AO$5:$AO$335))+SUMPRODUCT(($B$5:$B$335=$B103)*($AQ$5:$AQ$335=1)*($AO$5:$AO$335="")*(ROW($AO$5:$AO$335)&lt;ROW()))))</f>
        <v/>
      </c>
      <c r="AS103" s="24" t="s">
        <v>624</v>
      </c>
    </row>
    <row r="104" spans="1:45">
      <c r="A104" s="25" t="s">
        <v>625</v>
      </c>
      <c r="B104" s="26" t="s">
        <v>78</v>
      </c>
      <c r="C104" s="26" t="s">
        <v>78</v>
      </c>
      <c r="D104" s="26" t="s">
        <v>626</v>
      </c>
      <c r="E104" s="25" t="s">
        <v>157</v>
      </c>
      <c r="F104" s="25" t="s">
        <v>126</v>
      </c>
      <c r="G104" s="25">
        <v>0</v>
      </c>
      <c r="H104" s="25">
        <v>100</v>
      </c>
      <c r="I104" s="25">
        <v>20</v>
      </c>
      <c r="J104" s="22">
        <v>1</v>
      </c>
      <c r="K104" s="26" t="s">
        <v>593</v>
      </c>
      <c r="L104" s="25" t="s">
        <v>627</v>
      </c>
      <c r="M104" s="26" t="s">
        <v>161</v>
      </c>
      <c r="N104" s="25">
        <v>0</v>
      </c>
      <c r="O104" s="26" t="s">
        <v>628</v>
      </c>
      <c r="P104" s="25" t="s">
        <v>180</v>
      </c>
      <c r="Q104" s="27">
        <v>8.7832086803312102</v>
      </c>
      <c r="R104" s="27">
        <v>9.7828769623245293</v>
      </c>
      <c r="S104" s="27"/>
      <c r="T104" s="27"/>
      <c r="U104" s="27"/>
      <c r="V104" s="27"/>
      <c r="W104" s="27"/>
      <c r="X104" s="27"/>
      <c r="Y104" s="27">
        <v>10.049358102639999</v>
      </c>
      <c r="Z104" s="27">
        <v>9.9549065722902004</v>
      </c>
      <c r="AA104" s="27"/>
      <c r="AB104" s="25">
        <f>COUNT(Q104:AA104)</f>
        <v>4</v>
      </c>
      <c r="AC104" s="28">
        <f>AB104/11</f>
        <v>0.36363636363636365</v>
      </c>
      <c r="AD104" s="25">
        <f>IFERROR(INDEX($Q$4:$AA$4,MATCH(TRUE,INDEX(ISNUMBER(Q104:AA104),0),0)),"")</f>
        <v>2015</v>
      </c>
      <c r="AE104" s="25">
        <f>IFERROR(LOOKUP(2,1/ISNUMBER(Q104:AA104),$Q$4:$AA$4),"")</f>
        <v>2024</v>
      </c>
      <c r="AF104" s="28">
        <f>IF(AB104=0,"",AB104/(AE104-AD104+1))</f>
        <v>0.4</v>
      </c>
      <c r="AG104" s="25">
        <f>IF(AB104=0,"",'01_Criterios'!$C$8-AE104)</f>
        <v>1</v>
      </c>
      <c r="AH104" s="29">
        <f>IF(P104="Em uso",100,IF(P104="Alta",85,IF(P104="Média",55,30)))</f>
        <v>55</v>
      </c>
      <c r="AI104" s="29">
        <f>ROUND(100*AC104,1)</f>
        <v>36.4</v>
      </c>
      <c r="AJ104" s="29">
        <f>IF(AB104=0,0,ROUND(MAX(0,100*AF104-10*AG104),1))</f>
        <v>30</v>
      </c>
      <c r="AK104" s="29">
        <f>ROUND(('01_Criterios'!$C$19*AH104+'01_Criterios'!$C$20*AI104+'01_Criterios'!$C$21*AJ104)/('01_Criterios'!$C$19+'01_Criterios'!$C$20+'01_Criterios'!$C$21)+N104*'01_Criterios'!$C$22,1)</f>
        <v>42.2</v>
      </c>
      <c r="AL104" s="25">
        <f>IF(AND(AB104&gt;=3,AC104&gt;='01_Criterios'!$C$11,N(AE104)&gt;='01_Criterios'!$C$12,OR(F104="+",F104="-"),ISNUMBER(G104),ISNUMBER(H104)),1,0)</f>
        <v>0</v>
      </c>
      <c r="AM104" s="30" t="str">
        <f>IF(AL104=1,"",TRIM(IF(AB104=0,"sem dados no período; ",IF(AB104&lt;3,"série demasiado curta; ",""))&amp;IF(AND(AB104&gt;0,AC104&lt;'01_Criterios'!$C$11),"cobertura insuficiente; ","")&amp;IF(AND(AB104&gt;0,N(AE104)&lt;'01_Criterios'!$C$12),"desactualizado; ","")&amp;IF(AND(F104&lt;&gt;"+",F104&lt;&gt;"-"),"sentido ambíguo; ","")&amp;IF(OR(NOT(ISNUMBER(G104)),NOT(ISNUMBER(H104))),"sem limites min/max; ","")))</f>
        <v>cobertura insuficiente;</v>
      </c>
      <c r="AN104" s="25">
        <f>IF(OR(AL104=0,$AP104="Excluir"),0,IF(SUMPRODUCT(($O$5:$O$335=$O104)*($AL$5:$AL$335=1)*($AP$5:$AP$335&lt;&gt;"Excluir")*(($AK$5:$AK$335&gt;$AK104)+(($AK$5:$AK$335=$AK104)*(ROW($O$5:$O$335)&lt;ROW()))))=0,1,0))</f>
        <v>0</v>
      </c>
      <c r="AO104" s="25" t="str">
        <f>IF(AN104=0,"",1+SUMPRODUCT(($B$5:$B$335=$B104)*($AN$5:$AN$335=1)*(($AK$5:$AK$335&gt;$AK104)+(($AK$5:$AK$335=$AK104)*(ROW($B$5:$B$335)&lt;ROW())))))</f>
        <v/>
      </c>
      <c r="AP104" s="22" t="s">
        <v>131</v>
      </c>
      <c r="AQ104" s="25">
        <f>IF(INDEX('01_Criterios'!$C$26:$C$36,MATCH($B104,'01_Criterios'!$B$26:$B$36,0))&lt;&gt;1,0,IF($AP104="Excluir",0,IF($AP104="Incluir",IF(AND(OR($F104="+",$F104="-"),ISNUMBER($G104),ISNUMBER($H104),COUNT($Q104:$AA104)&gt;0),1,0),IF('01_Criterios'!$C$18="Automática",IF(AND($AN104=1,$AO104&lt;&gt;"",$AO104&lt;=INDEX('01_Criterios'!$E$26:$E$36,MATCH($B104,'01_Criterios'!$B$26:$B$36,0))),1,0),0))))</f>
        <v>0</v>
      </c>
      <c r="AR104" s="25" t="str">
        <f>IF(AQ104=0,"",IF($AO104&lt;&gt;"",1+SUMPRODUCT(($B$5:$B$335=$B104)*($AQ$5:$AQ$335=1)*($AO$5:$AO$335&lt;$AO104)),1+SUMPRODUCT(($B$5:$B$335=$B104)*($AQ$5:$AQ$335=1)*ISNUMBER($AO$5:$AO$335))+SUMPRODUCT(($B$5:$B$335=$B104)*($AQ$5:$AQ$335=1)*($AO$5:$AO$335="")*(ROW($AO$5:$AO$335)&lt;ROW()))))</f>
        <v/>
      </c>
      <c r="AS104" s="24" t="s">
        <v>629</v>
      </c>
    </row>
    <row r="105" spans="1:45">
      <c r="A105" s="20" t="s">
        <v>630</v>
      </c>
      <c r="B105" s="21" t="s">
        <v>78</v>
      </c>
      <c r="C105" s="21" t="s">
        <v>78</v>
      </c>
      <c r="D105" s="21" t="s">
        <v>631</v>
      </c>
      <c r="E105" s="20" t="s">
        <v>157</v>
      </c>
      <c r="F105" s="20" t="s">
        <v>126</v>
      </c>
      <c r="G105" s="20">
        <v>0</v>
      </c>
      <c r="H105" s="20">
        <v>10</v>
      </c>
      <c r="I105" s="20">
        <v>5</v>
      </c>
      <c r="J105" s="22">
        <v>1</v>
      </c>
      <c r="K105" s="21" t="s">
        <v>593</v>
      </c>
      <c r="L105" s="20" t="s">
        <v>632</v>
      </c>
      <c r="M105" s="21" t="s">
        <v>161</v>
      </c>
      <c r="N105" s="20">
        <v>0</v>
      </c>
      <c r="O105" s="21" t="s">
        <v>630</v>
      </c>
      <c r="P105" s="20" t="s">
        <v>180</v>
      </c>
      <c r="Q105" s="6">
        <v>3.48689580393413</v>
      </c>
      <c r="R105" s="6">
        <v>2.7549366458272502</v>
      </c>
      <c r="S105" s="6">
        <v>2.46687881104886</v>
      </c>
      <c r="T105" s="6">
        <v>2.1835129894627499</v>
      </c>
      <c r="U105" s="6">
        <v>2.0730643818160299</v>
      </c>
      <c r="V105" s="6">
        <v>2.6674473368928502</v>
      </c>
      <c r="W105" s="6">
        <v>2.29719689513241</v>
      </c>
      <c r="X105" s="6">
        <v>2.3853589841663299</v>
      </c>
      <c r="Y105" s="6">
        <v>2.51273663315785</v>
      </c>
      <c r="Z105" s="6"/>
      <c r="AA105" s="6"/>
      <c r="AB105" s="20">
        <f>COUNT(Q105:AA105)</f>
        <v>9</v>
      </c>
      <c r="AC105" s="23">
        <f>AB105/11</f>
        <v>0.81818181818181823</v>
      </c>
      <c r="AD105" s="20">
        <f>IFERROR(INDEX($Q$4:$AA$4,MATCH(TRUE,INDEX(ISNUMBER(Q105:AA105),0),0)),"")</f>
        <v>2015</v>
      </c>
      <c r="AE105" s="20">
        <f>IFERROR(LOOKUP(2,1/ISNUMBER(Q105:AA105),$Q$4:$AA$4),"")</f>
        <v>2023</v>
      </c>
      <c r="AF105" s="23">
        <f>IF(AB105=0,"",AB105/(AE105-AD105+1))</f>
        <v>1</v>
      </c>
      <c r="AG105" s="20">
        <f>IF(AB105=0,"",'01_Criterios'!$C$8-AE105)</f>
        <v>2</v>
      </c>
      <c r="AH105" s="7">
        <f>IF(P105="Em uso",100,IF(P105="Alta",85,IF(P105="Média",55,30)))</f>
        <v>55</v>
      </c>
      <c r="AI105" s="7">
        <f>ROUND(100*AC105,1)</f>
        <v>81.8</v>
      </c>
      <c r="AJ105" s="7">
        <f>IF(AB105=0,0,ROUND(MAX(0,100*AF105-10*AG105),1))</f>
        <v>80</v>
      </c>
      <c r="AK105" s="7">
        <f>ROUND(('01_Criterios'!$C$19*AH105+'01_Criterios'!$C$20*AI105+'01_Criterios'!$C$21*AJ105)/('01_Criterios'!$C$19+'01_Criterios'!$C$20+'01_Criterios'!$C$21)+N105*'01_Criterios'!$C$22,1)</f>
        <v>70.599999999999994</v>
      </c>
      <c r="AL105" s="20">
        <f>IF(AND(AB105&gt;=3,AC105&gt;='01_Criterios'!$C$11,N(AE105)&gt;='01_Criterios'!$C$12,OR(F105="+",F105="-"),ISNUMBER(G105),ISNUMBER(H105)),1,0)</f>
        <v>1</v>
      </c>
      <c r="AM105" s="24" t="str">
        <f>IF(AL105=1,"",TRIM(IF(AB105=0,"sem dados no período; ",IF(AB105&lt;3,"série demasiado curta; ",""))&amp;IF(AND(AB105&gt;0,AC105&lt;'01_Criterios'!$C$11),"cobertura insuficiente; ","")&amp;IF(AND(AB105&gt;0,N(AE105)&lt;'01_Criterios'!$C$12),"desactualizado; ","")&amp;IF(AND(F105&lt;&gt;"+",F105&lt;&gt;"-"),"sentido ambíguo; ","")&amp;IF(OR(NOT(ISNUMBER(G105)),NOT(ISNUMBER(H105))),"sem limites min/max; ","")))</f>
        <v/>
      </c>
      <c r="AN105" s="20">
        <f>IF(OR(AL105=0,$AP105="Excluir"),0,IF(SUMPRODUCT(($O$5:$O$335=$O105)*($AL$5:$AL$335=1)*($AP$5:$AP$335&lt;&gt;"Excluir")*(($AK$5:$AK$335&gt;$AK105)+(($AK$5:$AK$335=$AK105)*(ROW($O$5:$O$335)&lt;ROW()))))=0,1,0))</f>
        <v>1</v>
      </c>
      <c r="AO105" s="20">
        <f>IF(AN105=0,"",1+SUMPRODUCT(($B$5:$B$335=$B105)*($AN$5:$AN$335=1)*(($AK$5:$AK$335&gt;$AK105)+(($AK$5:$AK$335=$AK105)*(ROW($B$5:$B$335)&lt;ROW())))))</f>
        <v>4</v>
      </c>
      <c r="AP105" s="22" t="s">
        <v>131</v>
      </c>
      <c r="AQ105" s="20">
        <f>IF(INDEX('01_Criterios'!$C$26:$C$36,MATCH($B105,'01_Criterios'!$B$26:$B$36,0))&lt;&gt;1,0,IF($AP105="Excluir",0,IF($AP105="Incluir",IF(AND(OR($F105="+",$F105="-"),ISNUMBER($G105),ISNUMBER($H105),COUNT($Q105:$AA105)&gt;0),1,0),IF('01_Criterios'!$C$18="Automática",IF(AND($AN105=1,$AO105&lt;&gt;"",$AO105&lt;=INDEX('01_Criterios'!$E$26:$E$36,MATCH($B105,'01_Criterios'!$B$26:$B$36,0))),1,0),0))))</f>
        <v>1</v>
      </c>
      <c r="AR105" s="20">
        <f>IF(AQ105=0,"",IF($AO105&lt;&gt;"",1+SUMPRODUCT(($B$5:$B$335=$B105)*($AQ$5:$AQ$335=1)*($AO$5:$AO$335&lt;$AO105)),1+SUMPRODUCT(($B$5:$B$335=$B105)*($AQ$5:$AQ$335=1)*ISNUMBER($AO$5:$AO$335))+SUMPRODUCT(($B$5:$B$335=$B105)*($AQ$5:$AQ$335=1)*($AO$5:$AO$335="")*(ROW($AO$5:$AO$335)&lt;ROW()))))</f>
        <v>4</v>
      </c>
      <c r="AS105" s="24" t="s">
        <v>633</v>
      </c>
    </row>
    <row r="106" spans="1:45">
      <c r="A106" s="25" t="s">
        <v>634</v>
      </c>
      <c r="B106" s="26" t="s">
        <v>78</v>
      </c>
      <c r="C106" s="26" t="s">
        <v>78</v>
      </c>
      <c r="D106" s="26" t="s">
        <v>635</v>
      </c>
      <c r="E106" s="25" t="s">
        <v>636</v>
      </c>
      <c r="F106" s="25" t="s">
        <v>158</v>
      </c>
      <c r="G106" s="25">
        <v>10</v>
      </c>
      <c r="H106" s="25">
        <v>80</v>
      </c>
      <c r="I106" s="25">
        <v>35</v>
      </c>
      <c r="J106" s="22">
        <v>1</v>
      </c>
      <c r="K106" s="26" t="s">
        <v>593</v>
      </c>
      <c r="L106" s="25" t="s">
        <v>637</v>
      </c>
      <c r="M106" s="26" t="s">
        <v>161</v>
      </c>
      <c r="N106" s="25">
        <v>0</v>
      </c>
      <c r="O106" s="26" t="s">
        <v>634</v>
      </c>
      <c r="P106" s="25" t="s">
        <v>180</v>
      </c>
      <c r="Q106" s="27">
        <v>50.029510000000002</v>
      </c>
      <c r="R106" s="27"/>
      <c r="S106" s="27"/>
      <c r="T106" s="27"/>
      <c r="U106" s="27"/>
      <c r="V106" s="27"/>
      <c r="W106" s="27"/>
      <c r="X106" s="27"/>
      <c r="Y106" s="27"/>
      <c r="Z106" s="27"/>
      <c r="AA106" s="27"/>
      <c r="AB106" s="25">
        <f>COUNT(Q106:AA106)</f>
        <v>1</v>
      </c>
      <c r="AC106" s="28">
        <f>AB106/11</f>
        <v>9.0909090909090912E-2</v>
      </c>
      <c r="AD106" s="25">
        <f>IFERROR(INDEX($Q$4:$AA$4,MATCH(TRUE,INDEX(ISNUMBER(Q106:AA106),0),0)),"")</f>
        <v>2015</v>
      </c>
      <c r="AE106" s="25">
        <f>IFERROR(LOOKUP(2,1/ISNUMBER(Q106:AA106),$Q$4:$AA$4),"")</f>
        <v>2015</v>
      </c>
      <c r="AF106" s="28">
        <f>IF(AB106=0,"",AB106/(AE106-AD106+1))</f>
        <v>1</v>
      </c>
      <c r="AG106" s="25">
        <f>IF(AB106=0,"",'01_Criterios'!$C$8-AE106)</f>
        <v>10</v>
      </c>
      <c r="AH106" s="29">
        <f>IF(P106="Em uso",100,IF(P106="Alta",85,IF(P106="Média",55,30)))</f>
        <v>55</v>
      </c>
      <c r="AI106" s="29">
        <f>ROUND(100*AC106,1)</f>
        <v>9.1</v>
      </c>
      <c r="AJ106" s="29">
        <f>IF(AB106=0,0,ROUND(MAX(0,100*AF106-10*AG106),1))</f>
        <v>0</v>
      </c>
      <c r="AK106" s="29">
        <f>ROUND(('01_Criterios'!$C$19*AH106+'01_Criterios'!$C$20*AI106+'01_Criterios'!$C$21*AJ106)/('01_Criterios'!$C$19+'01_Criterios'!$C$20+'01_Criterios'!$C$21)+N106*'01_Criterios'!$C$22,1)</f>
        <v>25.2</v>
      </c>
      <c r="AL106" s="25">
        <f>IF(AND(AB106&gt;=3,AC106&gt;='01_Criterios'!$C$11,N(AE106)&gt;='01_Criterios'!$C$12,OR(F106="+",F106="-"),ISNUMBER(G106),ISNUMBER(H106)),1,0)</f>
        <v>0</v>
      </c>
      <c r="AM106" s="30" t="str">
        <f>IF(AL106=1,"",TRIM(IF(AB106=0,"sem dados no período; ",IF(AB106&lt;3,"série demasiado curta; ",""))&amp;IF(AND(AB106&gt;0,AC106&lt;'01_Criterios'!$C$11),"cobertura insuficiente; ","")&amp;IF(AND(AB106&gt;0,N(AE106)&lt;'01_Criterios'!$C$12),"desactualizado; ","")&amp;IF(AND(F106&lt;&gt;"+",F106&lt;&gt;"-"),"sentido ambíguo; ","")&amp;IF(OR(NOT(ISNUMBER(G106)),NOT(ISNUMBER(H106))),"sem limites min/max; ","")))</f>
        <v>série demasiado curta; cobertura insuficiente; desactualizado;</v>
      </c>
      <c r="AN106" s="25">
        <f>IF(OR(AL106=0,$AP106="Excluir"),0,IF(SUMPRODUCT(($O$5:$O$335=$O106)*($AL$5:$AL$335=1)*($AP$5:$AP$335&lt;&gt;"Excluir")*(($AK$5:$AK$335&gt;$AK106)+(($AK$5:$AK$335=$AK106)*(ROW($O$5:$O$335)&lt;ROW()))))=0,1,0))</f>
        <v>0</v>
      </c>
      <c r="AO106" s="25" t="str">
        <f>IF(AN106=0,"",1+SUMPRODUCT(($B$5:$B$335=$B106)*($AN$5:$AN$335=1)*(($AK$5:$AK$335&gt;$AK106)+(($AK$5:$AK$335=$AK106)*(ROW($B$5:$B$335)&lt;ROW())))))</f>
        <v/>
      </c>
      <c r="AP106" s="22" t="s">
        <v>131</v>
      </c>
      <c r="AQ106" s="25">
        <f>IF(INDEX('01_Criterios'!$C$26:$C$36,MATCH($B106,'01_Criterios'!$B$26:$B$36,0))&lt;&gt;1,0,IF($AP106="Excluir",0,IF($AP106="Incluir",IF(AND(OR($F106="+",$F106="-"),ISNUMBER($G106),ISNUMBER($H106),COUNT($Q106:$AA106)&gt;0),1,0),IF('01_Criterios'!$C$18="Automática",IF(AND($AN106=1,$AO106&lt;&gt;"",$AO106&lt;=INDEX('01_Criterios'!$E$26:$E$36,MATCH($B106,'01_Criterios'!$B$26:$B$36,0))),1,0),0))))</f>
        <v>0</v>
      </c>
      <c r="AR106" s="25" t="str">
        <f>IF(AQ106=0,"",IF($AO106&lt;&gt;"",1+SUMPRODUCT(($B$5:$B$335=$B106)*($AQ$5:$AQ$335=1)*($AO$5:$AO$335&lt;$AO106)),1+SUMPRODUCT(($B$5:$B$335=$B106)*($AQ$5:$AQ$335=1)*ISNUMBER($AO$5:$AO$335))+SUMPRODUCT(($B$5:$B$335=$B106)*($AQ$5:$AQ$335=1)*($AO$5:$AO$335="")*(ROW($AO$5:$AO$335)&lt;ROW()))))</f>
        <v/>
      </c>
      <c r="AS106" s="24" t="s">
        <v>638</v>
      </c>
    </row>
    <row r="107" spans="1:45">
      <c r="A107" s="20" t="s">
        <v>639</v>
      </c>
      <c r="B107" s="21" t="s">
        <v>78</v>
      </c>
      <c r="C107" s="21" t="s">
        <v>640</v>
      </c>
      <c r="D107" s="21" t="s">
        <v>641</v>
      </c>
      <c r="E107" s="20" t="s">
        <v>579</v>
      </c>
      <c r="F107" s="20" t="s">
        <v>126</v>
      </c>
      <c r="G107" s="20">
        <v>0</v>
      </c>
      <c r="H107" s="20">
        <v>1</v>
      </c>
      <c r="I107" s="20">
        <v>0.55000000000000004</v>
      </c>
      <c r="J107" s="22">
        <v>1</v>
      </c>
      <c r="K107" s="21" t="s">
        <v>603</v>
      </c>
      <c r="L107" s="20" t="s">
        <v>642</v>
      </c>
      <c r="M107" s="21" t="s">
        <v>574</v>
      </c>
      <c r="N107" s="20">
        <v>0</v>
      </c>
      <c r="O107" s="21" t="s">
        <v>639</v>
      </c>
      <c r="P107" s="20" t="s">
        <v>180</v>
      </c>
      <c r="Q107" s="6">
        <v>0.36499999999999999</v>
      </c>
      <c r="R107" s="6">
        <v>0.37</v>
      </c>
      <c r="S107" s="6">
        <v>0.373</v>
      </c>
      <c r="T107" s="6">
        <v>0.374</v>
      </c>
      <c r="U107" s="6">
        <v>0.34599999999999997</v>
      </c>
      <c r="V107" s="6">
        <v>0.34499999999999997</v>
      </c>
      <c r="W107" s="6">
        <v>0.34399999999999997</v>
      </c>
      <c r="X107" s="6">
        <v>0.34399999999999997</v>
      </c>
      <c r="Y107" s="6"/>
      <c r="Z107" s="6"/>
      <c r="AA107" s="6"/>
      <c r="AB107" s="20">
        <f>COUNT(Q107:AA107)</f>
        <v>8</v>
      </c>
      <c r="AC107" s="23">
        <f>AB107/11</f>
        <v>0.72727272727272729</v>
      </c>
      <c r="AD107" s="20">
        <f>IFERROR(INDEX($Q$4:$AA$4,MATCH(TRUE,INDEX(ISNUMBER(Q107:AA107),0),0)),"")</f>
        <v>2015</v>
      </c>
      <c r="AE107" s="20">
        <f>IFERROR(LOOKUP(2,1/ISNUMBER(Q107:AA107),$Q$4:$AA$4),"")</f>
        <v>2022</v>
      </c>
      <c r="AF107" s="23">
        <f>IF(AB107=0,"",AB107/(AE107-AD107+1))</f>
        <v>1</v>
      </c>
      <c r="AG107" s="20">
        <f>IF(AB107=0,"",'01_Criterios'!$C$8-AE107)</f>
        <v>3</v>
      </c>
      <c r="AH107" s="7">
        <f>IF(P107="Em uso",100,IF(P107="Alta",85,IF(P107="Média",55,30)))</f>
        <v>55</v>
      </c>
      <c r="AI107" s="7">
        <f>ROUND(100*AC107,1)</f>
        <v>72.7</v>
      </c>
      <c r="AJ107" s="7">
        <f>IF(AB107=0,0,ROUND(MAX(0,100*AF107-10*AG107),1))</f>
        <v>70</v>
      </c>
      <c r="AK107" s="7">
        <f>ROUND(('01_Criterios'!$C$19*AH107+'01_Criterios'!$C$20*AI107+'01_Criterios'!$C$21*AJ107)/('01_Criterios'!$C$19+'01_Criterios'!$C$20+'01_Criterios'!$C$21)+N107*'01_Criterios'!$C$22,1)</f>
        <v>64.900000000000006</v>
      </c>
      <c r="AL107" s="20">
        <f>IF(AND(AB107&gt;=3,AC107&gt;='01_Criterios'!$C$11,N(AE107)&gt;='01_Criterios'!$C$12,OR(F107="+",F107="-"),ISNUMBER(G107),ISNUMBER(H107)),1,0)</f>
        <v>0</v>
      </c>
      <c r="AM107" s="24" t="str">
        <f>IF(AL107=1,"",TRIM(IF(AB107=0,"sem dados no período; ",IF(AB107&lt;3,"série demasiado curta; ",""))&amp;IF(AND(AB107&gt;0,AC107&lt;'01_Criterios'!$C$11),"cobertura insuficiente; ","")&amp;IF(AND(AB107&gt;0,N(AE107)&lt;'01_Criterios'!$C$12),"desactualizado; ","")&amp;IF(AND(F107&lt;&gt;"+",F107&lt;&gt;"-"),"sentido ambíguo; ","")&amp;IF(OR(NOT(ISNUMBER(G107)),NOT(ISNUMBER(H107))),"sem limites min/max; ","")))</f>
        <v>cobertura insuficiente; desactualizado;</v>
      </c>
      <c r="AN107" s="20">
        <f>IF(OR(AL107=0,$AP107="Excluir"),0,IF(SUMPRODUCT(($O$5:$O$335=$O107)*($AL$5:$AL$335=1)*($AP$5:$AP$335&lt;&gt;"Excluir")*(($AK$5:$AK$335&gt;$AK107)+(($AK$5:$AK$335=$AK107)*(ROW($O$5:$O$335)&lt;ROW()))))=0,1,0))</f>
        <v>0</v>
      </c>
      <c r="AO107" s="20" t="str">
        <f>IF(AN107=0,"",1+SUMPRODUCT(($B$5:$B$335=$B107)*($AN$5:$AN$335=1)*(($AK$5:$AK$335&gt;$AK107)+(($AK$5:$AK$335=$AK107)*(ROW($B$5:$B$335)&lt;ROW())))))</f>
        <v/>
      </c>
      <c r="AP107" s="22" t="s">
        <v>131</v>
      </c>
      <c r="AQ107" s="20">
        <f>IF(INDEX('01_Criterios'!$C$26:$C$36,MATCH($B107,'01_Criterios'!$B$26:$B$36,0))&lt;&gt;1,0,IF($AP107="Excluir",0,IF($AP107="Incluir",IF(AND(OR($F107="+",$F107="-"),ISNUMBER($G107),ISNUMBER($H107),COUNT($Q107:$AA107)&gt;0),1,0),IF('01_Criterios'!$C$18="Automática",IF(AND($AN107=1,$AO107&lt;&gt;"",$AO107&lt;=INDEX('01_Criterios'!$E$26:$E$36,MATCH($B107,'01_Criterios'!$B$26:$B$36,0))),1,0),0))))</f>
        <v>0</v>
      </c>
      <c r="AR107" s="20" t="str">
        <f>IF(AQ107=0,"",IF($AO107&lt;&gt;"",1+SUMPRODUCT(($B$5:$B$335=$B107)*($AQ$5:$AQ$335=1)*($AO$5:$AO$335&lt;$AO107)),1+SUMPRODUCT(($B$5:$B$335=$B107)*($AQ$5:$AQ$335=1)*ISNUMBER($AO$5:$AO$335))+SUMPRODUCT(($B$5:$B$335=$B107)*($AQ$5:$AQ$335=1)*($AO$5:$AO$335="")*(ROW($AO$5:$AO$335)&lt;ROW()))))</f>
        <v/>
      </c>
      <c r="AS107" s="24" t="s">
        <v>643</v>
      </c>
    </row>
    <row r="108" spans="1:45">
      <c r="A108" s="25" t="s">
        <v>644</v>
      </c>
      <c r="B108" s="26" t="s">
        <v>78</v>
      </c>
      <c r="C108" s="26" t="s">
        <v>640</v>
      </c>
      <c r="D108" s="26" t="s">
        <v>645</v>
      </c>
      <c r="E108" s="25" t="s">
        <v>157</v>
      </c>
      <c r="F108" s="25" t="s">
        <v>158</v>
      </c>
      <c r="G108" s="25">
        <v>0</v>
      </c>
      <c r="H108" s="25">
        <v>100</v>
      </c>
      <c r="I108" s="25">
        <v>25</v>
      </c>
      <c r="J108" s="22">
        <v>1</v>
      </c>
      <c r="K108" s="26" t="s">
        <v>603</v>
      </c>
      <c r="L108" s="25" t="s">
        <v>646</v>
      </c>
      <c r="M108" s="26" t="s">
        <v>574</v>
      </c>
      <c r="N108" s="25">
        <v>0</v>
      </c>
      <c r="O108" s="26" t="s">
        <v>644</v>
      </c>
      <c r="P108" s="25" t="s">
        <v>180</v>
      </c>
      <c r="Q108" s="27">
        <v>34.171439999999997</v>
      </c>
      <c r="R108" s="27">
        <v>34.171439999999997</v>
      </c>
      <c r="S108" s="27">
        <v>34.171439999999997</v>
      </c>
      <c r="T108" s="27">
        <v>34.171439999999997</v>
      </c>
      <c r="U108" s="27">
        <v>34.171439999999997</v>
      </c>
      <c r="V108" s="27">
        <v>34.171439999999997</v>
      </c>
      <c r="W108" s="27">
        <v>34.171439999999997</v>
      </c>
      <c r="X108" s="27">
        <v>34.171439999999997</v>
      </c>
      <c r="Y108" s="27"/>
      <c r="Z108" s="27"/>
      <c r="AA108" s="27"/>
      <c r="AB108" s="25">
        <f>COUNT(Q108:AA108)</f>
        <v>8</v>
      </c>
      <c r="AC108" s="28">
        <f>AB108/11</f>
        <v>0.72727272727272729</v>
      </c>
      <c r="AD108" s="25">
        <f>IFERROR(INDEX($Q$4:$AA$4,MATCH(TRUE,INDEX(ISNUMBER(Q108:AA108),0),0)),"")</f>
        <v>2015</v>
      </c>
      <c r="AE108" s="25">
        <f>IFERROR(LOOKUP(2,1/ISNUMBER(Q108:AA108),$Q$4:$AA$4),"")</f>
        <v>2022</v>
      </c>
      <c r="AF108" s="28">
        <f>IF(AB108=0,"",AB108/(AE108-AD108+1))</f>
        <v>1</v>
      </c>
      <c r="AG108" s="25">
        <f>IF(AB108=0,"",'01_Criterios'!$C$8-AE108)</f>
        <v>3</v>
      </c>
      <c r="AH108" s="29">
        <f>IF(P108="Em uso",100,IF(P108="Alta",85,IF(P108="Média",55,30)))</f>
        <v>55</v>
      </c>
      <c r="AI108" s="29">
        <f>ROUND(100*AC108,1)</f>
        <v>72.7</v>
      </c>
      <c r="AJ108" s="29">
        <f>IF(AB108=0,0,ROUND(MAX(0,100*AF108-10*AG108),1))</f>
        <v>70</v>
      </c>
      <c r="AK108" s="29">
        <f>ROUND(('01_Criterios'!$C$19*AH108+'01_Criterios'!$C$20*AI108+'01_Criterios'!$C$21*AJ108)/('01_Criterios'!$C$19+'01_Criterios'!$C$20+'01_Criterios'!$C$21)+N108*'01_Criterios'!$C$22,1)</f>
        <v>64.900000000000006</v>
      </c>
      <c r="AL108" s="25">
        <f>IF(AND(AB108&gt;=3,AC108&gt;='01_Criterios'!$C$11,N(AE108)&gt;='01_Criterios'!$C$12,OR(F108="+",F108="-"),ISNUMBER(G108),ISNUMBER(H108)),1,0)</f>
        <v>0</v>
      </c>
      <c r="AM108" s="30" t="str">
        <f>IF(AL108=1,"",TRIM(IF(AB108=0,"sem dados no período; ",IF(AB108&lt;3,"série demasiado curta; ",""))&amp;IF(AND(AB108&gt;0,AC108&lt;'01_Criterios'!$C$11),"cobertura insuficiente; ","")&amp;IF(AND(AB108&gt;0,N(AE108)&lt;'01_Criterios'!$C$12),"desactualizado; ","")&amp;IF(AND(F108&lt;&gt;"+",F108&lt;&gt;"-"),"sentido ambíguo; ","")&amp;IF(OR(NOT(ISNUMBER(G108)),NOT(ISNUMBER(H108))),"sem limites min/max; ","")))</f>
        <v>cobertura insuficiente; desactualizado;</v>
      </c>
      <c r="AN108" s="25">
        <f>IF(OR(AL108=0,$AP108="Excluir"),0,IF(SUMPRODUCT(($O$5:$O$335=$O108)*($AL$5:$AL$335=1)*($AP$5:$AP$335&lt;&gt;"Excluir")*(($AK$5:$AK$335&gt;$AK108)+(($AK$5:$AK$335=$AK108)*(ROW($O$5:$O$335)&lt;ROW()))))=0,1,0))</f>
        <v>0</v>
      </c>
      <c r="AO108" s="25" t="str">
        <f>IF(AN108=0,"",1+SUMPRODUCT(($B$5:$B$335=$B108)*($AN$5:$AN$335=1)*(($AK$5:$AK$335&gt;$AK108)+(($AK$5:$AK$335=$AK108)*(ROW($B$5:$B$335)&lt;ROW())))))</f>
        <v/>
      </c>
      <c r="AP108" s="22" t="s">
        <v>131</v>
      </c>
      <c r="AQ108" s="25">
        <f>IF(INDEX('01_Criterios'!$C$26:$C$36,MATCH($B108,'01_Criterios'!$B$26:$B$36,0))&lt;&gt;1,0,IF($AP108="Excluir",0,IF($AP108="Incluir",IF(AND(OR($F108="+",$F108="-"),ISNUMBER($G108),ISNUMBER($H108),COUNT($Q108:$AA108)&gt;0),1,0),IF('01_Criterios'!$C$18="Automática",IF(AND($AN108=1,$AO108&lt;&gt;"",$AO108&lt;=INDEX('01_Criterios'!$E$26:$E$36,MATCH($B108,'01_Criterios'!$B$26:$B$36,0))),1,0),0))))</f>
        <v>0</v>
      </c>
      <c r="AR108" s="25" t="str">
        <f>IF(AQ108=0,"",IF($AO108&lt;&gt;"",1+SUMPRODUCT(($B$5:$B$335=$B108)*($AQ$5:$AQ$335=1)*($AO$5:$AO$335&lt;$AO108)),1+SUMPRODUCT(($B$5:$B$335=$B108)*($AQ$5:$AQ$335=1)*ISNUMBER($AO$5:$AO$335))+SUMPRODUCT(($B$5:$B$335=$B108)*($AQ$5:$AQ$335=1)*($AO$5:$AO$335="")*(ROW($AO$5:$AO$335)&lt;ROW()))))</f>
        <v/>
      </c>
      <c r="AS108" s="24" t="s">
        <v>647</v>
      </c>
    </row>
    <row r="109" spans="1:45">
      <c r="A109" s="20" t="s">
        <v>648</v>
      </c>
      <c r="B109" s="21" t="s">
        <v>78</v>
      </c>
      <c r="C109" s="21" t="s">
        <v>607</v>
      </c>
      <c r="D109" s="21" t="s">
        <v>649</v>
      </c>
      <c r="E109" s="20" t="s">
        <v>157</v>
      </c>
      <c r="F109" s="20" t="s">
        <v>126</v>
      </c>
      <c r="G109" s="20">
        <v>0</v>
      </c>
      <c r="H109" s="20">
        <v>100</v>
      </c>
      <c r="I109" s="20">
        <v>75</v>
      </c>
      <c r="J109" s="22">
        <v>1</v>
      </c>
      <c r="K109" s="21" t="s">
        <v>593</v>
      </c>
      <c r="L109" s="20" t="s">
        <v>650</v>
      </c>
      <c r="M109" s="21" t="s">
        <v>161</v>
      </c>
      <c r="N109" s="20">
        <v>0</v>
      </c>
      <c r="O109" s="21" t="s">
        <v>556</v>
      </c>
      <c r="P109" s="20" t="s">
        <v>180</v>
      </c>
      <c r="Q109" s="6">
        <v>51.930000305175803</v>
      </c>
      <c r="R109" s="6"/>
      <c r="S109" s="6"/>
      <c r="T109" s="6"/>
      <c r="U109" s="6"/>
      <c r="V109" s="6"/>
      <c r="W109" s="6"/>
      <c r="X109" s="6"/>
      <c r="Y109" s="6">
        <v>54.369998931884801</v>
      </c>
      <c r="Z109" s="6"/>
      <c r="AA109" s="6"/>
      <c r="AB109" s="20">
        <f>COUNT(Q109:AA109)</f>
        <v>2</v>
      </c>
      <c r="AC109" s="23">
        <f>AB109/11</f>
        <v>0.18181818181818182</v>
      </c>
      <c r="AD109" s="20">
        <f>IFERROR(INDEX($Q$4:$AA$4,MATCH(TRUE,INDEX(ISNUMBER(Q109:AA109),0),0)),"")</f>
        <v>2015</v>
      </c>
      <c r="AE109" s="20">
        <f>IFERROR(LOOKUP(2,1/ISNUMBER(Q109:AA109),$Q$4:$AA$4),"")</f>
        <v>2023</v>
      </c>
      <c r="AF109" s="23">
        <f>IF(AB109=0,"",AB109/(AE109-AD109+1))</f>
        <v>0.22222222222222221</v>
      </c>
      <c r="AG109" s="20">
        <f>IF(AB109=0,"",'01_Criterios'!$C$8-AE109)</f>
        <v>2</v>
      </c>
      <c r="AH109" s="7">
        <f>IF(P109="Em uso",100,IF(P109="Alta",85,IF(P109="Média",55,30)))</f>
        <v>55</v>
      </c>
      <c r="AI109" s="7">
        <f>ROUND(100*AC109,1)</f>
        <v>18.2</v>
      </c>
      <c r="AJ109" s="7">
        <f>IF(AB109=0,0,ROUND(MAX(0,100*AF109-10*AG109),1))</f>
        <v>2.2000000000000002</v>
      </c>
      <c r="AK109" s="7">
        <f>ROUND(('01_Criterios'!$C$19*AH109+'01_Criterios'!$C$20*AI109+'01_Criterios'!$C$21*AJ109)/('01_Criterios'!$C$19+'01_Criterios'!$C$20+'01_Criterios'!$C$21)+N109*'01_Criterios'!$C$22,1)</f>
        <v>28.9</v>
      </c>
      <c r="AL109" s="20">
        <f>IF(AND(AB109&gt;=3,AC109&gt;='01_Criterios'!$C$11,N(AE109)&gt;='01_Criterios'!$C$12,OR(F109="+",F109="-"),ISNUMBER(G109),ISNUMBER(H109)),1,0)</f>
        <v>0</v>
      </c>
      <c r="AM109" s="24" t="str">
        <f>IF(AL109=1,"",TRIM(IF(AB109=0,"sem dados no período; ",IF(AB109&lt;3,"série demasiado curta; ",""))&amp;IF(AND(AB109&gt;0,AC109&lt;'01_Criterios'!$C$11),"cobertura insuficiente; ","")&amp;IF(AND(AB109&gt;0,N(AE109)&lt;'01_Criterios'!$C$12),"desactualizado; ","")&amp;IF(AND(F109&lt;&gt;"+",F109&lt;&gt;"-"),"sentido ambíguo; ","")&amp;IF(OR(NOT(ISNUMBER(G109)),NOT(ISNUMBER(H109))),"sem limites min/max; ","")))</f>
        <v>série demasiado curta; cobertura insuficiente;</v>
      </c>
      <c r="AN109" s="20">
        <f>IF(OR(AL109=0,$AP109="Excluir"),0,IF(SUMPRODUCT(($O$5:$O$335=$O109)*($AL$5:$AL$335=1)*($AP$5:$AP$335&lt;&gt;"Excluir")*(($AK$5:$AK$335&gt;$AK109)+(($AK$5:$AK$335=$AK109)*(ROW($O$5:$O$335)&lt;ROW()))))=0,1,0))</f>
        <v>0</v>
      </c>
      <c r="AO109" s="20" t="str">
        <f>IF(AN109=0,"",1+SUMPRODUCT(($B$5:$B$335=$B109)*($AN$5:$AN$335=1)*(($AK$5:$AK$335&gt;$AK109)+(($AK$5:$AK$335=$AK109)*(ROW($B$5:$B$335)&lt;ROW())))))</f>
        <v/>
      </c>
      <c r="AP109" s="22" t="s">
        <v>131</v>
      </c>
      <c r="AQ109" s="20">
        <f>IF(INDEX('01_Criterios'!$C$26:$C$36,MATCH($B109,'01_Criterios'!$B$26:$B$36,0))&lt;&gt;1,0,IF($AP109="Excluir",0,IF($AP109="Incluir",IF(AND(OR($F109="+",$F109="-"),ISNUMBER($G109),ISNUMBER($H109),COUNT($Q109:$AA109)&gt;0),1,0),IF('01_Criterios'!$C$18="Automática",IF(AND($AN109=1,$AO109&lt;&gt;"",$AO109&lt;=INDEX('01_Criterios'!$E$26:$E$36,MATCH($B109,'01_Criterios'!$B$26:$B$36,0))),1,0),0))))</f>
        <v>0</v>
      </c>
      <c r="AR109" s="20" t="str">
        <f>IF(AQ109=0,"",IF($AO109&lt;&gt;"",1+SUMPRODUCT(($B$5:$B$335=$B109)*($AQ$5:$AQ$335=1)*($AO$5:$AO$335&lt;$AO109)),1+SUMPRODUCT(($B$5:$B$335=$B109)*($AQ$5:$AQ$335=1)*ISNUMBER($AO$5:$AO$335))+SUMPRODUCT(($B$5:$B$335=$B109)*($AQ$5:$AQ$335=1)*($AO$5:$AO$335="")*(ROW($AO$5:$AO$335)&lt;ROW()))))</f>
        <v/>
      </c>
      <c r="AS109" s="24" t="s">
        <v>651</v>
      </c>
    </row>
    <row r="110" spans="1:45">
      <c r="A110" s="25" t="s">
        <v>652</v>
      </c>
      <c r="B110" s="26" t="s">
        <v>78</v>
      </c>
      <c r="C110" s="26" t="s">
        <v>612</v>
      </c>
      <c r="D110" s="26" t="s">
        <v>653</v>
      </c>
      <c r="E110" s="25" t="s">
        <v>157</v>
      </c>
      <c r="F110" s="25" t="s">
        <v>158</v>
      </c>
      <c r="G110" s="25">
        <v>0</v>
      </c>
      <c r="H110" s="25">
        <v>100</v>
      </c>
      <c r="I110" s="25">
        <v>10</v>
      </c>
      <c r="J110" s="22">
        <v>1</v>
      </c>
      <c r="K110" s="26" t="s">
        <v>593</v>
      </c>
      <c r="L110" s="25" t="s">
        <v>654</v>
      </c>
      <c r="M110" s="26" t="s">
        <v>161</v>
      </c>
      <c r="N110" s="25">
        <v>0</v>
      </c>
      <c r="O110" s="26" t="s">
        <v>599</v>
      </c>
      <c r="P110" s="25" t="s">
        <v>180</v>
      </c>
      <c r="Q110" s="27"/>
      <c r="R110" s="27"/>
      <c r="S110" s="27"/>
      <c r="T110" s="27"/>
      <c r="U110" s="27"/>
      <c r="V110" s="27"/>
      <c r="W110" s="27"/>
      <c r="X110" s="27"/>
      <c r="Y110" s="27">
        <v>21.9300790830662</v>
      </c>
      <c r="Z110" s="27"/>
      <c r="AA110" s="27"/>
      <c r="AB110" s="25">
        <f>COUNT(Q110:AA110)</f>
        <v>1</v>
      </c>
      <c r="AC110" s="28">
        <f>AB110/11</f>
        <v>9.0909090909090912E-2</v>
      </c>
      <c r="AD110" s="25">
        <f>IFERROR(INDEX($Q$4:$AA$4,MATCH(TRUE,INDEX(ISNUMBER(Q110:AA110),0),0)),"")</f>
        <v>2023</v>
      </c>
      <c r="AE110" s="25">
        <f>IFERROR(LOOKUP(2,1/ISNUMBER(Q110:AA110),$Q$4:$AA$4),"")</f>
        <v>2023</v>
      </c>
      <c r="AF110" s="28">
        <f>IF(AB110=0,"",AB110/(AE110-AD110+1))</f>
        <v>1</v>
      </c>
      <c r="AG110" s="25">
        <f>IF(AB110=0,"",'01_Criterios'!$C$8-AE110)</f>
        <v>2</v>
      </c>
      <c r="AH110" s="29">
        <f>IF(P110="Em uso",100,IF(P110="Alta",85,IF(P110="Média",55,30)))</f>
        <v>55</v>
      </c>
      <c r="AI110" s="29">
        <f>ROUND(100*AC110,1)</f>
        <v>9.1</v>
      </c>
      <c r="AJ110" s="29">
        <f>IF(AB110=0,0,ROUND(MAX(0,100*AF110-10*AG110),1))</f>
        <v>80</v>
      </c>
      <c r="AK110" s="29">
        <f>ROUND(('01_Criterios'!$C$19*AH110+'01_Criterios'!$C$20*AI110+'01_Criterios'!$C$21*AJ110)/('01_Criterios'!$C$19+'01_Criterios'!$C$20+'01_Criterios'!$C$21)+N110*'01_Criterios'!$C$22,1)</f>
        <v>45.2</v>
      </c>
      <c r="AL110" s="25">
        <f>IF(AND(AB110&gt;=3,AC110&gt;='01_Criterios'!$C$11,N(AE110)&gt;='01_Criterios'!$C$12,OR(F110="+",F110="-"),ISNUMBER(G110),ISNUMBER(H110)),1,0)</f>
        <v>0</v>
      </c>
      <c r="AM110" s="30" t="str">
        <f>IF(AL110=1,"",TRIM(IF(AB110=0,"sem dados no período; ",IF(AB110&lt;3,"série demasiado curta; ",""))&amp;IF(AND(AB110&gt;0,AC110&lt;'01_Criterios'!$C$11),"cobertura insuficiente; ","")&amp;IF(AND(AB110&gt;0,N(AE110)&lt;'01_Criterios'!$C$12),"desactualizado; ","")&amp;IF(AND(F110&lt;&gt;"+",F110&lt;&gt;"-"),"sentido ambíguo; ","")&amp;IF(OR(NOT(ISNUMBER(G110)),NOT(ISNUMBER(H110))),"sem limites min/max; ","")))</f>
        <v>série demasiado curta; cobertura insuficiente;</v>
      </c>
      <c r="AN110" s="25">
        <f>IF(OR(AL110=0,$AP110="Excluir"),0,IF(SUMPRODUCT(($O$5:$O$335=$O110)*($AL$5:$AL$335=1)*($AP$5:$AP$335&lt;&gt;"Excluir")*(($AK$5:$AK$335&gt;$AK110)+(($AK$5:$AK$335=$AK110)*(ROW($O$5:$O$335)&lt;ROW()))))=0,1,0))</f>
        <v>0</v>
      </c>
      <c r="AO110" s="25" t="str">
        <f>IF(AN110=0,"",1+SUMPRODUCT(($B$5:$B$335=$B110)*($AN$5:$AN$335=1)*(($AK$5:$AK$335&gt;$AK110)+(($AK$5:$AK$335=$AK110)*(ROW($B$5:$B$335)&lt;ROW())))))</f>
        <v/>
      </c>
      <c r="AP110" s="22" t="s">
        <v>131</v>
      </c>
      <c r="AQ110" s="25">
        <f>IF(INDEX('01_Criterios'!$C$26:$C$36,MATCH($B110,'01_Criterios'!$B$26:$B$36,0))&lt;&gt;1,0,IF($AP110="Excluir",0,IF($AP110="Incluir",IF(AND(OR($F110="+",$F110="-"),ISNUMBER($G110),ISNUMBER($H110),COUNT($Q110:$AA110)&gt;0),1,0),IF('01_Criterios'!$C$18="Automática",IF(AND($AN110=1,$AO110&lt;&gt;"",$AO110&lt;=INDEX('01_Criterios'!$E$26:$E$36,MATCH($B110,'01_Criterios'!$B$26:$B$36,0))),1,0),0))))</f>
        <v>0</v>
      </c>
      <c r="AR110" s="25" t="str">
        <f>IF(AQ110=0,"",IF($AO110&lt;&gt;"",1+SUMPRODUCT(($B$5:$B$335=$B110)*($AQ$5:$AQ$335=1)*($AO$5:$AO$335&lt;$AO110)),1+SUMPRODUCT(($B$5:$B$335=$B110)*($AQ$5:$AQ$335=1)*ISNUMBER($AO$5:$AO$335))+SUMPRODUCT(($B$5:$B$335=$B110)*($AQ$5:$AQ$335=1)*($AO$5:$AO$335="")*(ROW($AO$5:$AO$335)&lt;ROW()))))</f>
        <v/>
      </c>
      <c r="AS110" s="24" t="s">
        <v>655</v>
      </c>
    </row>
    <row r="111" spans="1:45">
      <c r="A111" s="20" t="s">
        <v>656</v>
      </c>
      <c r="B111" s="21" t="s">
        <v>78</v>
      </c>
      <c r="C111" s="21" t="s">
        <v>657</v>
      </c>
      <c r="D111" s="21" t="s">
        <v>658</v>
      </c>
      <c r="E111" s="20" t="s">
        <v>157</v>
      </c>
      <c r="F111" s="20" t="s">
        <v>126</v>
      </c>
      <c r="G111" s="20">
        <v>0</v>
      </c>
      <c r="H111" s="20">
        <v>100</v>
      </c>
      <c r="I111" s="20">
        <v>75</v>
      </c>
      <c r="J111" s="22">
        <v>1</v>
      </c>
      <c r="K111" s="21" t="s">
        <v>593</v>
      </c>
      <c r="L111" s="20" t="s">
        <v>659</v>
      </c>
      <c r="M111" s="21" t="s">
        <v>161</v>
      </c>
      <c r="N111" s="20">
        <v>0</v>
      </c>
      <c r="O111" s="21" t="s">
        <v>599</v>
      </c>
      <c r="P111" s="20" t="s">
        <v>180</v>
      </c>
      <c r="Q111" s="6"/>
      <c r="R111" s="6"/>
      <c r="S111" s="6"/>
      <c r="T111" s="6"/>
      <c r="U111" s="6"/>
      <c r="V111" s="6"/>
      <c r="W111" s="6">
        <v>44.939546791037202</v>
      </c>
      <c r="X111" s="6"/>
      <c r="Y111" s="6">
        <v>42.124633282042502</v>
      </c>
      <c r="Z111" s="6"/>
      <c r="AA111" s="6"/>
      <c r="AB111" s="20">
        <f>COUNT(Q111:AA111)</f>
        <v>2</v>
      </c>
      <c r="AC111" s="23">
        <f>AB111/11</f>
        <v>0.18181818181818182</v>
      </c>
      <c r="AD111" s="20">
        <f>IFERROR(INDEX($Q$4:$AA$4,MATCH(TRUE,INDEX(ISNUMBER(Q111:AA111),0),0)),"")</f>
        <v>2021</v>
      </c>
      <c r="AE111" s="20">
        <f>IFERROR(LOOKUP(2,1/ISNUMBER(Q111:AA111),$Q$4:$AA$4),"")</f>
        <v>2023</v>
      </c>
      <c r="AF111" s="23">
        <f>IF(AB111=0,"",AB111/(AE111-AD111+1))</f>
        <v>0.66666666666666663</v>
      </c>
      <c r="AG111" s="20">
        <f>IF(AB111=0,"",'01_Criterios'!$C$8-AE111)</f>
        <v>2</v>
      </c>
      <c r="AH111" s="7">
        <f>IF(P111="Em uso",100,IF(P111="Alta",85,IF(P111="Média",55,30)))</f>
        <v>55</v>
      </c>
      <c r="AI111" s="7">
        <f>ROUND(100*AC111,1)</f>
        <v>18.2</v>
      </c>
      <c r="AJ111" s="7">
        <f>IF(AB111=0,0,ROUND(MAX(0,100*AF111-10*AG111),1))</f>
        <v>46.7</v>
      </c>
      <c r="AK111" s="7">
        <f>ROUND(('01_Criterios'!$C$19*AH111+'01_Criterios'!$C$20*AI111+'01_Criterios'!$C$21*AJ111)/('01_Criterios'!$C$19+'01_Criterios'!$C$20+'01_Criterios'!$C$21)+N111*'01_Criterios'!$C$22,1)</f>
        <v>40</v>
      </c>
      <c r="AL111" s="20">
        <f>IF(AND(AB111&gt;=3,AC111&gt;='01_Criterios'!$C$11,N(AE111)&gt;='01_Criterios'!$C$12,OR(F111="+",F111="-"),ISNUMBER(G111),ISNUMBER(H111)),1,0)</f>
        <v>0</v>
      </c>
      <c r="AM111" s="24" t="str">
        <f>IF(AL111=1,"",TRIM(IF(AB111=0,"sem dados no período; ",IF(AB111&lt;3,"série demasiado curta; ",""))&amp;IF(AND(AB111&gt;0,AC111&lt;'01_Criterios'!$C$11),"cobertura insuficiente; ","")&amp;IF(AND(AB111&gt;0,N(AE111)&lt;'01_Criterios'!$C$12),"desactualizado; ","")&amp;IF(AND(F111&lt;&gt;"+",F111&lt;&gt;"-"),"sentido ambíguo; ","")&amp;IF(OR(NOT(ISNUMBER(G111)),NOT(ISNUMBER(H111))),"sem limites min/max; ","")))</f>
        <v>série demasiado curta; cobertura insuficiente;</v>
      </c>
      <c r="AN111" s="20">
        <f>IF(OR(AL111=0,$AP111="Excluir"),0,IF(SUMPRODUCT(($O$5:$O$335=$O111)*($AL$5:$AL$335=1)*($AP$5:$AP$335&lt;&gt;"Excluir")*(($AK$5:$AK$335&gt;$AK111)+(($AK$5:$AK$335=$AK111)*(ROW($O$5:$O$335)&lt;ROW()))))=0,1,0))</f>
        <v>0</v>
      </c>
      <c r="AO111" s="20" t="str">
        <f>IF(AN111=0,"",1+SUMPRODUCT(($B$5:$B$335=$B111)*($AN$5:$AN$335=1)*(($AK$5:$AK$335&gt;$AK111)+(($AK$5:$AK$335=$AK111)*(ROW($B$5:$B$335)&lt;ROW())))))</f>
        <v/>
      </c>
      <c r="AP111" s="22" t="s">
        <v>131</v>
      </c>
      <c r="AQ111" s="20">
        <f>IF(INDEX('01_Criterios'!$C$26:$C$36,MATCH($B111,'01_Criterios'!$B$26:$B$36,0))&lt;&gt;1,0,IF($AP111="Excluir",0,IF($AP111="Incluir",IF(AND(OR($F111="+",$F111="-"),ISNUMBER($G111),ISNUMBER($H111),COUNT($Q111:$AA111)&gt;0),1,0),IF('01_Criterios'!$C$18="Automática",IF(AND($AN111=1,$AO111&lt;&gt;"",$AO111&lt;=INDEX('01_Criterios'!$E$26:$E$36,MATCH($B111,'01_Criterios'!$B$26:$B$36,0))),1,0),0))))</f>
        <v>0</v>
      </c>
      <c r="AR111" s="20" t="str">
        <f>IF(AQ111=0,"",IF($AO111&lt;&gt;"",1+SUMPRODUCT(($B$5:$B$335=$B111)*($AQ$5:$AQ$335=1)*($AO$5:$AO$335&lt;$AO111)),1+SUMPRODUCT(($B$5:$B$335=$B111)*($AQ$5:$AQ$335=1)*ISNUMBER($AO$5:$AO$335))+SUMPRODUCT(($B$5:$B$335=$B111)*($AQ$5:$AQ$335=1)*($AO$5:$AO$335="")*(ROW($AO$5:$AO$335)&lt;ROW()))))</f>
        <v/>
      </c>
      <c r="AS111" s="24" t="s">
        <v>660</v>
      </c>
    </row>
    <row r="112" spans="1:45">
      <c r="A112" s="25" t="s">
        <v>661</v>
      </c>
      <c r="B112" s="26" t="s">
        <v>78</v>
      </c>
      <c r="C112" s="26" t="s">
        <v>662</v>
      </c>
      <c r="D112" s="26" t="s">
        <v>663</v>
      </c>
      <c r="E112" s="25" t="s">
        <v>157</v>
      </c>
      <c r="F112" s="25" t="s">
        <v>126</v>
      </c>
      <c r="G112" s="25">
        <v>0</v>
      </c>
      <c r="H112" s="25">
        <v>100</v>
      </c>
      <c r="I112" s="25">
        <v>90</v>
      </c>
      <c r="J112" s="22">
        <v>1</v>
      </c>
      <c r="K112" s="26" t="s">
        <v>593</v>
      </c>
      <c r="L112" s="25" t="s">
        <v>664</v>
      </c>
      <c r="M112" s="26" t="s">
        <v>161</v>
      </c>
      <c r="N112" s="25">
        <v>0</v>
      </c>
      <c r="O112" s="26" t="s">
        <v>661</v>
      </c>
      <c r="P112" s="25" t="s">
        <v>180</v>
      </c>
      <c r="Q112" s="27"/>
      <c r="R112" s="27"/>
      <c r="S112" s="27"/>
      <c r="T112" s="27"/>
      <c r="U112" s="27"/>
      <c r="V112" s="27"/>
      <c r="W112" s="27">
        <v>93.284437787304398</v>
      </c>
      <c r="X112" s="27"/>
      <c r="Y112" s="27">
        <v>82.443551074820903</v>
      </c>
      <c r="Z112" s="27"/>
      <c r="AA112" s="27"/>
      <c r="AB112" s="25">
        <f>COUNT(Q112:AA112)</f>
        <v>2</v>
      </c>
      <c r="AC112" s="28">
        <f>AB112/11</f>
        <v>0.18181818181818182</v>
      </c>
      <c r="AD112" s="25">
        <f>IFERROR(INDEX($Q$4:$AA$4,MATCH(TRUE,INDEX(ISNUMBER(Q112:AA112),0),0)),"")</f>
        <v>2021</v>
      </c>
      <c r="AE112" s="25">
        <f>IFERROR(LOOKUP(2,1/ISNUMBER(Q112:AA112),$Q$4:$AA$4),"")</f>
        <v>2023</v>
      </c>
      <c r="AF112" s="28">
        <f>IF(AB112=0,"",AB112/(AE112-AD112+1))</f>
        <v>0.66666666666666663</v>
      </c>
      <c r="AG112" s="25">
        <f>IF(AB112=0,"",'01_Criterios'!$C$8-AE112)</f>
        <v>2</v>
      </c>
      <c r="AH112" s="29">
        <f>IF(P112="Em uso",100,IF(P112="Alta",85,IF(P112="Média",55,30)))</f>
        <v>55</v>
      </c>
      <c r="AI112" s="29">
        <f>ROUND(100*AC112,1)</f>
        <v>18.2</v>
      </c>
      <c r="AJ112" s="29">
        <f>IF(AB112=0,0,ROUND(MAX(0,100*AF112-10*AG112),1))</f>
        <v>46.7</v>
      </c>
      <c r="AK112" s="29">
        <f>ROUND(('01_Criterios'!$C$19*AH112+'01_Criterios'!$C$20*AI112+'01_Criterios'!$C$21*AJ112)/('01_Criterios'!$C$19+'01_Criterios'!$C$20+'01_Criterios'!$C$21)+N112*'01_Criterios'!$C$22,1)</f>
        <v>40</v>
      </c>
      <c r="AL112" s="25">
        <f>IF(AND(AB112&gt;=3,AC112&gt;='01_Criterios'!$C$11,N(AE112)&gt;='01_Criterios'!$C$12,OR(F112="+",F112="-"),ISNUMBER(G112),ISNUMBER(H112)),1,0)</f>
        <v>0</v>
      </c>
      <c r="AM112" s="30" t="str">
        <f>IF(AL112=1,"",TRIM(IF(AB112=0,"sem dados no período; ",IF(AB112&lt;3,"série demasiado curta; ",""))&amp;IF(AND(AB112&gt;0,AC112&lt;'01_Criterios'!$C$11),"cobertura insuficiente; ","")&amp;IF(AND(AB112&gt;0,N(AE112)&lt;'01_Criterios'!$C$12),"desactualizado; ","")&amp;IF(AND(F112&lt;&gt;"+",F112&lt;&gt;"-"),"sentido ambíguo; ","")&amp;IF(OR(NOT(ISNUMBER(G112)),NOT(ISNUMBER(H112))),"sem limites min/max; ","")))</f>
        <v>série demasiado curta; cobertura insuficiente;</v>
      </c>
      <c r="AN112" s="25">
        <f>IF(OR(AL112=0,$AP112="Excluir"),0,IF(SUMPRODUCT(($O$5:$O$335=$O112)*($AL$5:$AL$335=1)*($AP$5:$AP$335&lt;&gt;"Excluir")*(($AK$5:$AK$335&gt;$AK112)+(($AK$5:$AK$335=$AK112)*(ROW($O$5:$O$335)&lt;ROW()))))=0,1,0))</f>
        <v>0</v>
      </c>
      <c r="AO112" s="25" t="str">
        <f>IF(AN112=0,"",1+SUMPRODUCT(($B$5:$B$335=$B112)*($AN$5:$AN$335=1)*(($AK$5:$AK$335&gt;$AK112)+(($AK$5:$AK$335=$AK112)*(ROW($B$5:$B$335)&lt;ROW())))))</f>
        <v/>
      </c>
      <c r="AP112" s="22" t="s">
        <v>131</v>
      </c>
      <c r="AQ112" s="25">
        <f>IF(INDEX('01_Criterios'!$C$26:$C$36,MATCH($B112,'01_Criterios'!$B$26:$B$36,0))&lt;&gt;1,0,IF($AP112="Excluir",0,IF($AP112="Incluir",IF(AND(OR($F112="+",$F112="-"),ISNUMBER($G112),ISNUMBER($H112),COUNT($Q112:$AA112)&gt;0),1,0),IF('01_Criterios'!$C$18="Automática",IF(AND($AN112=1,$AO112&lt;&gt;"",$AO112&lt;=INDEX('01_Criterios'!$E$26:$E$36,MATCH($B112,'01_Criterios'!$B$26:$B$36,0))),1,0),0))))</f>
        <v>0</v>
      </c>
      <c r="AR112" s="25" t="str">
        <f>IF(AQ112=0,"",IF($AO112&lt;&gt;"",1+SUMPRODUCT(($B$5:$B$335=$B112)*($AQ$5:$AQ$335=1)*($AO$5:$AO$335&lt;$AO112)),1+SUMPRODUCT(($B$5:$B$335=$B112)*($AQ$5:$AQ$335=1)*ISNUMBER($AO$5:$AO$335))+SUMPRODUCT(($B$5:$B$335=$B112)*($AQ$5:$AQ$335=1)*($AO$5:$AO$335="")*(ROW($AO$5:$AO$335)&lt;ROW()))))</f>
        <v/>
      </c>
      <c r="AS112" s="24" t="s">
        <v>665</v>
      </c>
    </row>
    <row r="113" spans="1:45">
      <c r="A113" s="20" t="s">
        <v>666</v>
      </c>
      <c r="B113" s="21" t="s">
        <v>78</v>
      </c>
      <c r="C113" s="21" t="s">
        <v>662</v>
      </c>
      <c r="D113" s="21" t="s">
        <v>667</v>
      </c>
      <c r="E113" s="20" t="s">
        <v>668</v>
      </c>
      <c r="F113" s="20" t="s">
        <v>158</v>
      </c>
      <c r="G113" s="20">
        <v>5</v>
      </c>
      <c r="H113" s="20">
        <v>80</v>
      </c>
      <c r="I113" s="20">
        <v>30</v>
      </c>
      <c r="J113" s="22">
        <v>1</v>
      </c>
      <c r="K113" s="21" t="s">
        <v>593</v>
      </c>
      <c r="L113" s="20" t="s">
        <v>669</v>
      </c>
      <c r="M113" s="21" t="s">
        <v>161</v>
      </c>
      <c r="N113" s="20">
        <v>0</v>
      </c>
      <c r="O113" s="21" t="s">
        <v>666</v>
      </c>
      <c r="P113" s="20" t="s">
        <v>180</v>
      </c>
      <c r="Q113" s="6"/>
      <c r="R113" s="6">
        <v>26.766190000000002</v>
      </c>
      <c r="S113" s="6"/>
      <c r="T113" s="6"/>
      <c r="U113" s="6"/>
      <c r="V113" s="6"/>
      <c r="W113" s="6"/>
      <c r="X113" s="6"/>
      <c r="Y113" s="6"/>
      <c r="Z113" s="6"/>
      <c r="AA113" s="6"/>
      <c r="AB113" s="20">
        <f>COUNT(Q113:AA113)</f>
        <v>1</v>
      </c>
      <c r="AC113" s="23">
        <f>AB113/11</f>
        <v>9.0909090909090912E-2</v>
      </c>
      <c r="AD113" s="20">
        <f>IFERROR(INDEX($Q$4:$AA$4,MATCH(TRUE,INDEX(ISNUMBER(Q113:AA113),0),0)),"")</f>
        <v>2016</v>
      </c>
      <c r="AE113" s="20">
        <f>IFERROR(LOOKUP(2,1/ISNUMBER(Q113:AA113),$Q$4:$AA$4),"")</f>
        <v>2016</v>
      </c>
      <c r="AF113" s="23">
        <f>IF(AB113=0,"",AB113/(AE113-AD113+1))</f>
        <v>1</v>
      </c>
      <c r="AG113" s="20">
        <f>IF(AB113=0,"",'01_Criterios'!$C$8-AE113)</f>
        <v>9</v>
      </c>
      <c r="AH113" s="7">
        <f>IF(P113="Em uso",100,IF(P113="Alta",85,IF(P113="Média",55,30)))</f>
        <v>55</v>
      </c>
      <c r="AI113" s="7">
        <f>ROUND(100*AC113,1)</f>
        <v>9.1</v>
      </c>
      <c r="AJ113" s="7">
        <f>IF(AB113=0,0,ROUND(MAX(0,100*AF113-10*AG113),1))</f>
        <v>10</v>
      </c>
      <c r="AK113" s="7">
        <f>ROUND(('01_Criterios'!$C$19*AH113+'01_Criterios'!$C$20*AI113+'01_Criterios'!$C$21*AJ113)/('01_Criterios'!$C$19+'01_Criterios'!$C$20+'01_Criterios'!$C$21)+N113*'01_Criterios'!$C$22,1)</f>
        <v>27.7</v>
      </c>
      <c r="AL113" s="20">
        <f>IF(AND(AB113&gt;=3,AC113&gt;='01_Criterios'!$C$11,N(AE113)&gt;='01_Criterios'!$C$12,OR(F113="+",F113="-"),ISNUMBER(G113),ISNUMBER(H113)),1,0)</f>
        <v>0</v>
      </c>
      <c r="AM113" s="24" t="str">
        <f>IF(AL113=1,"",TRIM(IF(AB113=0,"sem dados no período; ",IF(AB113&lt;3,"série demasiado curta; ",""))&amp;IF(AND(AB113&gt;0,AC113&lt;'01_Criterios'!$C$11),"cobertura insuficiente; ","")&amp;IF(AND(AB113&gt;0,N(AE113)&lt;'01_Criterios'!$C$12),"desactualizado; ","")&amp;IF(AND(F113&lt;&gt;"+",F113&lt;&gt;"-"),"sentido ambíguo; ","")&amp;IF(OR(NOT(ISNUMBER(G113)),NOT(ISNUMBER(H113))),"sem limites min/max; ","")))</f>
        <v>série demasiado curta; cobertura insuficiente; desactualizado;</v>
      </c>
      <c r="AN113" s="20">
        <f>IF(OR(AL113=0,$AP113="Excluir"),0,IF(SUMPRODUCT(($O$5:$O$335=$O113)*($AL$5:$AL$335=1)*($AP$5:$AP$335&lt;&gt;"Excluir")*(($AK$5:$AK$335&gt;$AK113)+(($AK$5:$AK$335=$AK113)*(ROW($O$5:$O$335)&lt;ROW()))))=0,1,0))</f>
        <v>0</v>
      </c>
      <c r="AO113" s="20" t="str">
        <f>IF(AN113=0,"",1+SUMPRODUCT(($B$5:$B$335=$B113)*($AN$5:$AN$335=1)*(($AK$5:$AK$335&gt;$AK113)+(($AK$5:$AK$335=$AK113)*(ROW($B$5:$B$335)&lt;ROW())))))</f>
        <v/>
      </c>
      <c r="AP113" s="22" t="s">
        <v>131</v>
      </c>
      <c r="AQ113" s="20">
        <f>IF(INDEX('01_Criterios'!$C$26:$C$36,MATCH($B113,'01_Criterios'!$B$26:$B$36,0))&lt;&gt;1,0,IF($AP113="Excluir",0,IF($AP113="Incluir",IF(AND(OR($F113="+",$F113="-"),ISNUMBER($G113),ISNUMBER($H113),COUNT($Q113:$AA113)&gt;0),1,0),IF('01_Criterios'!$C$18="Automática",IF(AND($AN113=1,$AO113&lt;&gt;"",$AO113&lt;=INDEX('01_Criterios'!$E$26:$E$36,MATCH($B113,'01_Criterios'!$B$26:$B$36,0))),1,0),0))))</f>
        <v>0</v>
      </c>
      <c r="AR113" s="20" t="str">
        <f>IF(AQ113=0,"",IF($AO113&lt;&gt;"",1+SUMPRODUCT(($B$5:$B$335=$B113)*($AQ$5:$AQ$335=1)*($AO$5:$AO$335&lt;$AO113)),1+SUMPRODUCT(($B$5:$B$335=$B113)*($AQ$5:$AQ$335=1)*ISNUMBER($AO$5:$AO$335))+SUMPRODUCT(($B$5:$B$335=$B113)*($AQ$5:$AQ$335=1)*($AO$5:$AO$335="")*(ROW($AO$5:$AO$335)&lt;ROW()))))</f>
        <v/>
      </c>
      <c r="AS113" s="24" t="s">
        <v>670</v>
      </c>
    </row>
    <row r="114" spans="1:45">
      <c r="A114" s="25" t="s">
        <v>671</v>
      </c>
      <c r="B114" s="26" t="s">
        <v>78</v>
      </c>
      <c r="C114" s="26" t="s">
        <v>672</v>
      </c>
      <c r="D114" s="26" t="s">
        <v>673</v>
      </c>
      <c r="E114" s="25" t="s">
        <v>674</v>
      </c>
      <c r="F114" s="25" t="s">
        <v>126</v>
      </c>
      <c r="G114" s="25">
        <v>30</v>
      </c>
      <c r="H114" s="25">
        <v>80</v>
      </c>
      <c r="I114" s="25">
        <v>60</v>
      </c>
      <c r="J114" s="22">
        <v>1</v>
      </c>
      <c r="K114" s="26" t="s">
        <v>675</v>
      </c>
      <c r="L114" s="25" t="s">
        <v>676</v>
      </c>
      <c r="M114" s="26" t="s">
        <v>677</v>
      </c>
      <c r="N114" s="25">
        <v>0</v>
      </c>
      <c r="O114" s="26" t="s">
        <v>550</v>
      </c>
      <c r="P114" s="25" t="s">
        <v>180</v>
      </c>
      <c r="Q114" s="27">
        <v>52.130204890000002</v>
      </c>
      <c r="R114" s="27">
        <v>53.729703610000001</v>
      </c>
      <c r="S114" s="27">
        <v>55.06104955</v>
      </c>
      <c r="T114" s="27">
        <v>55.221420430000002</v>
      </c>
      <c r="U114" s="27">
        <v>54.31664954</v>
      </c>
      <c r="V114" s="27">
        <v>53.242768640000001</v>
      </c>
      <c r="W114" s="27">
        <v>54.731133919999998</v>
      </c>
      <c r="X114" s="27"/>
      <c r="Y114" s="27"/>
      <c r="Z114" s="27"/>
      <c r="AA114" s="27"/>
      <c r="AB114" s="25">
        <f>COUNT(Q114:AA114)</f>
        <v>7</v>
      </c>
      <c r="AC114" s="28">
        <f>AB114/11</f>
        <v>0.63636363636363635</v>
      </c>
      <c r="AD114" s="25">
        <f>IFERROR(INDEX($Q$4:$AA$4,MATCH(TRUE,INDEX(ISNUMBER(Q114:AA114),0),0)),"")</f>
        <v>2015</v>
      </c>
      <c r="AE114" s="25">
        <f>IFERROR(LOOKUP(2,1/ISNUMBER(Q114:AA114),$Q$4:$AA$4),"")</f>
        <v>2021</v>
      </c>
      <c r="AF114" s="28">
        <f>IF(AB114=0,"",AB114/(AE114-AD114+1))</f>
        <v>1</v>
      </c>
      <c r="AG114" s="25">
        <f>IF(AB114=0,"",'01_Criterios'!$C$8-AE114)</f>
        <v>4</v>
      </c>
      <c r="AH114" s="29">
        <f>IF(P114="Em uso",100,IF(P114="Alta",85,IF(P114="Média",55,30)))</f>
        <v>55</v>
      </c>
      <c r="AI114" s="29">
        <f>ROUND(100*AC114,1)</f>
        <v>63.6</v>
      </c>
      <c r="AJ114" s="29">
        <f>IF(AB114=0,0,ROUND(MAX(0,100*AF114-10*AG114),1))</f>
        <v>60</v>
      </c>
      <c r="AK114" s="29">
        <f>ROUND(('01_Criterios'!$C$19*AH114+'01_Criterios'!$C$20*AI114+'01_Criterios'!$C$21*AJ114)/('01_Criterios'!$C$19+'01_Criterios'!$C$20+'01_Criterios'!$C$21)+N114*'01_Criterios'!$C$22,1)</f>
        <v>59.3</v>
      </c>
      <c r="AL114" s="25">
        <f>IF(AND(AB114&gt;=3,AC114&gt;='01_Criterios'!$C$11,N(AE114)&gt;='01_Criterios'!$C$12,OR(F114="+",F114="-"),ISNUMBER(G114),ISNUMBER(H114)),1,0)</f>
        <v>0</v>
      </c>
      <c r="AM114" s="30" t="str">
        <f>IF(AL114=1,"",TRIM(IF(AB114=0,"sem dados no período; ",IF(AB114&lt;3,"série demasiado curta; ",""))&amp;IF(AND(AB114&gt;0,AC114&lt;'01_Criterios'!$C$11),"cobertura insuficiente; ","")&amp;IF(AND(AB114&gt;0,N(AE114)&lt;'01_Criterios'!$C$12),"desactualizado; ","")&amp;IF(AND(F114&lt;&gt;"+",F114&lt;&gt;"-"),"sentido ambíguo; ","")&amp;IF(OR(NOT(ISNUMBER(G114)),NOT(ISNUMBER(H114))),"sem limites min/max; ","")))</f>
        <v>cobertura insuficiente; desactualizado;</v>
      </c>
      <c r="AN114" s="25">
        <f>IF(OR(AL114=0,$AP114="Excluir"),0,IF(SUMPRODUCT(($O$5:$O$335=$O114)*($AL$5:$AL$335=1)*($AP$5:$AP$335&lt;&gt;"Excluir")*(($AK$5:$AK$335&gt;$AK114)+(($AK$5:$AK$335=$AK114)*(ROW($O$5:$O$335)&lt;ROW()))))=0,1,0))</f>
        <v>0</v>
      </c>
      <c r="AO114" s="25" t="str">
        <f>IF(AN114=0,"",1+SUMPRODUCT(($B$5:$B$335=$B114)*($AN$5:$AN$335=1)*(($AK$5:$AK$335&gt;$AK114)+(($AK$5:$AK$335=$AK114)*(ROW($B$5:$B$335)&lt;ROW())))))</f>
        <v/>
      </c>
      <c r="AP114" s="22" t="s">
        <v>131</v>
      </c>
      <c r="AQ114" s="25">
        <f>IF(INDEX('01_Criterios'!$C$26:$C$36,MATCH($B114,'01_Criterios'!$B$26:$B$36,0))&lt;&gt;1,0,IF($AP114="Excluir",0,IF($AP114="Incluir",IF(AND(OR($F114="+",$F114="-"),ISNUMBER($G114),ISNUMBER($H114),COUNT($Q114:$AA114)&gt;0),1,0),IF('01_Criterios'!$C$18="Automática",IF(AND($AN114=1,$AO114&lt;&gt;"",$AO114&lt;=INDEX('01_Criterios'!$E$26:$E$36,MATCH($B114,'01_Criterios'!$B$26:$B$36,0))),1,0),0))))</f>
        <v>0</v>
      </c>
      <c r="AR114" s="25" t="str">
        <f>IF(AQ114=0,"",IF($AO114&lt;&gt;"",1+SUMPRODUCT(($B$5:$B$335=$B114)*($AQ$5:$AQ$335=1)*($AO$5:$AO$335&lt;$AO114)),1+SUMPRODUCT(($B$5:$B$335=$B114)*($AQ$5:$AQ$335=1)*ISNUMBER($AO$5:$AO$335))+SUMPRODUCT(($B$5:$B$335=$B114)*($AQ$5:$AQ$335=1)*($AO$5:$AO$335="")*(ROW($AO$5:$AO$335)&lt;ROW()))))</f>
        <v/>
      </c>
      <c r="AS114" s="24" t="s">
        <v>678</v>
      </c>
    </row>
    <row r="115" spans="1:45">
      <c r="A115" s="20" t="s">
        <v>679</v>
      </c>
      <c r="B115" s="21" t="s">
        <v>78</v>
      </c>
      <c r="C115" s="21" t="s">
        <v>680</v>
      </c>
      <c r="D115" s="21" t="s">
        <v>681</v>
      </c>
      <c r="E115" s="20" t="s">
        <v>682</v>
      </c>
      <c r="F115" s="20" t="s">
        <v>126</v>
      </c>
      <c r="G115" s="20">
        <v>0</v>
      </c>
      <c r="H115" s="20">
        <v>40</v>
      </c>
      <c r="I115" s="20">
        <v>10</v>
      </c>
      <c r="J115" s="22">
        <v>1</v>
      </c>
      <c r="K115" s="21" t="s">
        <v>593</v>
      </c>
      <c r="L115" s="20" t="s">
        <v>683</v>
      </c>
      <c r="M115" s="21" t="s">
        <v>161</v>
      </c>
      <c r="N115" s="20">
        <v>0</v>
      </c>
      <c r="O115" s="21" t="s">
        <v>628</v>
      </c>
      <c r="P115" s="20" t="s">
        <v>180</v>
      </c>
      <c r="Q115" s="6">
        <v>1.99752998352051</v>
      </c>
      <c r="R115" s="6"/>
      <c r="S115" s="6"/>
      <c r="T115" s="6"/>
      <c r="U115" s="6"/>
      <c r="V115" s="6"/>
      <c r="W115" s="6"/>
      <c r="X115" s="6"/>
      <c r="Y115" s="6">
        <v>6.6422200202941903</v>
      </c>
      <c r="Z115" s="6"/>
      <c r="AA115" s="6"/>
      <c r="AB115" s="20">
        <f>COUNT(Q115:AA115)</f>
        <v>2</v>
      </c>
      <c r="AC115" s="23">
        <f>AB115/11</f>
        <v>0.18181818181818182</v>
      </c>
      <c r="AD115" s="20">
        <f>IFERROR(INDEX($Q$4:$AA$4,MATCH(TRUE,INDEX(ISNUMBER(Q115:AA115),0),0)),"")</f>
        <v>2015</v>
      </c>
      <c r="AE115" s="20">
        <f>IFERROR(LOOKUP(2,1/ISNUMBER(Q115:AA115),$Q$4:$AA$4),"")</f>
        <v>2023</v>
      </c>
      <c r="AF115" s="23">
        <f>IF(AB115=0,"",AB115/(AE115-AD115+1))</f>
        <v>0.22222222222222221</v>
      </c>
      <c r="AG115" s="20">
        <f>IF(AB115=0,"",'01_Criterios'!$C$8-AE115)</f>
        <v>2</v>
      </c>
      <c r="AH115" s="7">
        <f>IF(P115="Em uso",100,IF(P115="Alta",85,IF(P115="Média",55,30)))</f>
        <v>55</v>
      </c>
      <c r="AI115" s="7">
        <f>ROUND(100*AC115,1)</f>
        <v>18.2</v>
      </c>
      <c r="AJ115" s="7">
        <f>IF(AB115=0,0,ROUND(MAX(0,100*AF115-10*AG115),1))</f>
        <v>2.2000000000000002</v>
      </c>
      <c r="AK115" s="7">
        <f>ROUND(('01_Criterios'!$C$19*AH115+'01_Criterios'!$C$20*AI115+'01_Criterios'!$C$21*AJ115)/('01_Criterios'!$C$19+'01_Criterios'!$C$20+'01_Criterios'!$C$21)+N115*'01_Criterios'!$C$22,1)</f>
        <v>28.9</v>
      </c>
      <c r="AL115" s="20">
        <f>IF(AND(AB115&gt;=3,AC115&gt;='01_Criterios'!$C$11,N(AE115)&gt;='01_Criterios'!$C$12,OR(F115="+",F115="-"),ISNUMBER(G115),ISNUMBER(H115)),1,0)</f>
        <v>0</v>
      </c>
      <c r="AM115" s="24" t="str">
        <f>IF(AL115=1,"",TRIM(IF(AB115=0,"sem dados no período; ",IF(AB115&lt;3,"série demasiado curta; ",""))&amp;IF(AND(AB115&gt;0,AC115&lt;'01_Criterios'!$C$11),"cobertura insuficiente; ","")&amp;IF(AND(AB115&gt;0,N(AE115)&lt;'01_Criterios'!$C$12),"desactualizado; ","")&amp;IF(AND(F115&lt;&gt;"+",F115&lt;&gt;"-"),"sentido ambíguo; ","")&amp;IF(OR(NOT(ISNUMBER(G115)),NOT(ISNUMBER(H115))),"sem limites min/max; ","")))</f>
        <v>série demasiado curta; cobertura insuficiente;</v>
      </c>
      <c r="AN115" s="20">
        <f>IF(OR(AL115=0,$AP115="Excluir"),0,IF(SUMPRODUCT(($O$5:$O$335=$O115)*($AL$5:$AL$335=1)*($AP$5:$AP$335&lt;&gt;"Excluir")*(($AK$5:$AK$335&gt;$AK115)+(($AK$5:$AK$335=$AK115)*(ROW($O$5:$O$335)&lt;ROW()))))=0,1,0))</f>
        <v>0</v>
      </c>
      <c r="AO115" s="20" t="str">
        <f>IF(AN115=0,"",1+SUMPRODUCT(($B$5:$B$335=$B115)*($AN$5:$AN$335=1)*(($AK$5:$AK$335&gt;$AK115)+(($AK$5:$AK$335=$AK115)*(ROW($B$5:$B$335)&lt;ROW())))))</f>
        <v/>
      </c>
      <c r="AP115" s="22" t="s">
        <v>131</v>
      </c>
      <c r="AQ115" s="20">
        <f>IF(INDEX('01_Criterios'!$C$26:$C$36,MATCH($B115,'01_Criterios'!$B$26:$B$36,0))&lt;&gt;1,0,IF($AP115="Excluir",0,IF($AP115="Incluir",IF(AND(OR($F115="+",$F115="-"),ISNUMBER($G115),ISNUMBER($H115),COUNT($Q115:$AA115)&gt;0),1,0),IF('01_Criterios'!$C$18="Automática",IF(AND($AN115=1,$AO115&lt;&gt;"",$AO115&lt;=INDEX('01_Criterios'!$E$26:$E$36,MATCH($B115,'01_Criterios'!$B$26:$B$36,0))),1,0),0))))</f>
        <v>0</v>
      </c>
      <c r="AR115" s="20" t="str">
        <f>IF(AQ115=0,"",IF($AO115&lt;&gt;"",1+SUMPRODUCT(($B$5:$B$335=$B115)*($AQ$5:$AQ$335=1)*($AO$5:$AO$335&lt;$AO115)),1+SUMPRODUCT(($B$5:$B$335=$B115)*($AQ$5:$AQ$335=1)*ISNUMBER($AO$5:$AO$335))+SUMPRODUCT(($B$5:$B$335=$B115)*($AQ$5:$AQ$335=1)*($AO$5:$AO$335="")*(ROW($AO$5:$AO$335)&lt;ROW()))))</f>
        <v/>
      </c>
      <c r="AS115" s="24" t="s">
        <v>684</v>
      </c>
    </row>
    <row r="116" spans="1:45">
      <c r="A116" s="25" t="s">
        <v>685</v>
      </c>
      <c r="B116" s="26" t="s">
        <v>78</v>
      </c>
      <c r="C116" s="26" t="s">
        <v>607</v>
      </c>
      <c r="D116" s="26" t="s">
        <v>686</v>
      </c>
      <c r="E116" s="25" t="s">
        <v>157</v>
      </c>
      <c r="F116" s="25" t="s">
        <v>126</v>
      </c>
      <c r="G116" s="25">
        <v>0</v>
      </c>
      <c r="H116" s="25">
        <v>100</v>
      </c>
      <c r="I116" s="25">
        <v>85</v>
      </c>
      <c r="J116" s="22">
        <v>1</v>
      </c>
      <c r="K116" s="26" t="s">
        <v>593</v>
      </c>
      <c r="L116" s="25" t="s">
        <v>687</v>
      </c>
      <c r="M116" s="26" t="s">
        <v>161</v>
      </c>
      <c r="N116" s="25">
        <v>0</v>
      </c>
      <c r="O116" s="26" t="s">
        <v>556</v>
      </c>
      <c r="P116" s="25" t="s">
        <v>180</v>
      </c>
      <c r="Q116" s="27">
        <v>83.769996643066406</v>
      </c>
      <c r="R116" s="27"/>
      <c r="S116" s="27"/>
      <c r="T116" s="27"/>
      <c r="U116" s="27"/>
      <c r="V116" s="27"/>
      <c r="W116" s="27"/>
      <c r="X116" s="27"/>
      <c r="Y116" s="27">
        <v>83.970001220703097</v>
      </c>
      <c r="Z116" s="27"/>
      <c r="AA116" s="27"/>
      <c r="AB116" s="25">
        <f>COUNT(Q116:AA116)</f>
        <v>2</v>
      </c>
      <c r="AC116" s="28">
        <f>AB116/11</f>
        <v>0.18181818181818182</v>
      </c>
      <c r="AD116" s="25">
        <f>IFERROR(INDEX($Q$4:$AA$4,MATCH(TRUE,INDEX(ISNUMBER(Q116:AA116),0),0)),"")</f>
        <v>2015</v>
      </c>
      <c r="AE116" s="25">
        <f>IFERROR(LOOKUP(2,1/ISNUMBER(Q116:AA116),$Q$4:$AA$4),"")</f>
        <v>2023</v>
      </c>
      <c r="AF116" s="28">
        <f>IF(AB116=0,"",AB116/(AE116-AD116+1))</f>
        <v>0.22222222222222221</v>
      </c>
      <c r="AG116" s="25">
        <f>IF(AB116=0,"",'01_Criterios'!$C$8-AE116)</f>
        <v>2</v>
      </c>
      <c r="AH116" s="29">
        <f>IF(P116="Em uso",100,IF(P116="Alta",85,IF(P116="Média",55,30)))</f>
        <v>55</v>
      </c>
      <c r="AI116" s="29">
        <f>ROUND(100*AC116,1)</f>
        <v>18.2</v>
      </c>
      <c r="AJ116" s="29">
        <f>IF(AB116=0,0,ROUND(MAX(0,100*AF116-10*AG116),1))</f>
        <v>2.2000000000000002</v>
      </c>
      <c r="AK116" s="29">
        <f>ROUND(('01_Criterios'!$C$19*AH116+'01_Criterios'!$C$20*AI116+'01_Criterios'!$C$21*AJ116)/('01_Criterios'!$C$19+'01_Criterios'!$C$20+'01_Criterios'!$C$21)+N116*'01_Criterios'!$C$22,1)</f>
        <v>28.9</v>
      </c>
      <c r="AL116" s="25">
        <f>IF(AND(AB116&gt;=3,AC116&gt;='01_Criterios'!$C$11,N(AE116)&gt;='01_Criterios'!$C$12,OR(F116="+",F116="-"),ISNUMBER(G116),ISNUMBER(H116)),1,0)</f>
        <v>0</v>
      </c>
      <c r="AM116" s="30" t="str">
        <f>IF(AL116=1,"",TRIM(IF(AB116=0,"sem dados no período; ",IF(AB116&lt;3,"série demasiado curta; ",""))&amp;IF(AND(AB116&gt;0,AC116&lt;'01_Criterios'!$C$11),"cobertura insuficiente; ","")&amp;IF(AND(AB116&gt;0,N(AE116)&lt;'01_Criterios'!$C$12),"desactualizado; ","")&amp;IF(AND(F116&lt;&gt;"+",F116&lt;&gt;"-"),"sentido ambíguo; ","")&amp;IF(OR(NOT(ISNUMBER(G116)),NOT(ISNUMBER(H116))),"sem limites min/max; ","")))</f>
        <v>série demasiado curta; cobertura insuficiente;</v>
      </c>
      <c r="AN116" s="25">
        <f>IF(OR(AL116=0,$AP116="Excluir"),0,IF(SUMPRODUCT(($O$5:$O$335=$O116)*($AL$5:$AL$335=1)*($AP$5:$AP$335&lt;&gt;"Excluir")*(($AK$5:$AK$335&gt;$AK116)+(($AK$5:$AK$335=$AK116)*(ROW($O$5:$O$335)&lt;ROW()))))=0,1,0))</f>
        <v>0</v>
      </c>
      <c r="AO116" s="25" t="str">
        <f>IF(AN116=0,"",1+SUMPRODUCT(($B$5:$B$335=$B116)*($AN$5:$AN$335=1)*(($AK$5:$AK$335&gt;$AK116)+(($AK$5:$AK$335=$AK116)*(ROW($B$5:$B$335)&lt;ROW())))))</f>
        <v/>
      </c>
      <c r="AP116" s="22" t="s">
        <v>131</v>
      </c>
      <c r="AQ116" s="25">
        <f>IF(INDEX('01_Criterios'!$C$26:$C$36,MATCH($B116,'01_Criterios'!$B$26:$B$36,0))&lt;&gt;1,0,IF($AP116="Excluir",0,IF($AP116="Incluir",IF(AND(OR($F116="+",$F116="-"),ISNUMBER($G116),ISNUMBER($H116),COUNT($Q116:$AA116)&gt;0),1,0),IF('01_Criterios'!$C$18="Automática",IF(AND($AN116=1,$AO116&lt;&gt;"",$AO116&lt;=INDEX('01_Criterios'!$E$26:$E$36,MATCH($B116,'01_Criterios'!$B$26:$B$36,0))),1,0),0))))</f>
        <v>0</v>
      </c>
      <c r="AR116" s="25" t="str">
        <f>IF(AQ116=0,"",IF($AO116&lt;&gt;"",1+SUMPRODUCT(($B$5:$B$335=$B116)*($AQ$5:$AQ$335=1)*($AO$5:$AO$335&lt;$AO116)),1+SUMPRODUCT(($B$5:$B$335=$B116)*($AQ$5:$AQ$335=1)*ISNUMBER($AO$5:$AO$335))+SUMPRODUCT(($B$5:$B$335=$B116)*($AQ$5:$AQ$335=1)*($AO$5:$AO$335="")*(ROW($AO$5:$AO$335)&lt;ROW()))))</f>
        <v/>
      </c>
      <c r="AS116" s="24" t="s">
        <v>688</v>
      </c>
    </row>
    <row r="117" spans="1:45">
      <c r="A117" s="20" t="s">
        <v>689</v>
      </c>
      <c r="B117" s="21" t="s">
        <v>78</v>
      </c>
      <c r="C117" s="21" t="s">
        <v>78</v>
      </c>
      <c r="D117" s="21" t="s">
        <v>690</v>
      </c>
      <c r="E117" s="20" t="s">
        <v>157</v>
      </c>
      <c r="F117" s="20" t="s">
        <v>158</v>
      </c>
      <c r="G117" s="20">
        <v>0</v>
      </c>
      <c r="H117" s="20">
        <v>100</v>
      </c>
      <c r="I117" s="20">
        <v>50</v>
      </c>
      <c r="J117" s="22">
        <v>1</v>
      </c>
      <c r="K117" s="21" t="s">
        <v>593</v>
      </c>
      <c r="L117" s="20" t="s">
        <v>691</v>
      </c>
      <c r="M117" s="21" t="s">
        <v>129</v>
      </c>
      <c r="N117" s="20">
        <v>0</v>
      </c>
      <c r="O117" s="21" t="s">
        <v>689</v>
      </c>
      <c r="P117" s="20" t="s">
        <v>268</v>
      </c>
      <c r="Q117" s="6"/>
      <c r="R117" s="6"/>
      <c r="S117" s="6"/>
      <c r="T117" s="6"/>
      <c r="U117" s="6"/>
      <c r="V117" s="6"/>
      <c r="W117" s="6"/>
      <c r="X117" s="6"/>
      <c r="Y117" s="6"/>
      <c r="Z117" s="6"/>
      <c r="AA117" s="6"/>
      <c r="AB117" s="20">
        <f>COUNT(Q117:AA117)</f>
        <v>0</v>
      </c>
      <c r="AC117" s="23">
        <f>AB117/11</f>
        <v>0</v>
      </c>
      <c r="AD117" s="20" t="str">
        <f>IFERROR(INDEX($Q$4:$AA$4,MATCH(TRUE,INDEX(ISNUMBER(Q117:AA117),0),0)),"")</f>
        <v/>
      </c>
      <c r="AE117" s="20" t="str">
        <f>IFERROR(LOOKUP(2,1/ISNUMBER(Q117:AA117),$Q$4:$AA$4),"")</f>
        <v/>
      </c>
      <c r="AF117" s="23" t="str">
        <f>IF(AB117=0,"",AB117/(AE117-AD117+1))</f>
        <v/>
      </c>
      <c r="AG117" s="20" t="str">
        <f>IF(AB117=0,"",'01_Criterios'!$C$8-AE117)</f>
        <v/>
      </c>
      <c r="AH117" s="7">
        <f>IF(P117="Em uso",100,IF(P117="Alta",85,IF(P117="Média",55,30)))</f>
        <v>30</v>
      </c>
      <c r="AI117" s="7">
        <f>ROUND(100*AC117,1)</f>
        <v>0</v>
      </c>
      <c r="AJ117" s="7">
        <f>IF(AB117=0,0,ROUND(MAX(0,100*AF117-10*AG117),1))</f>
        <v>0</v>
      </c>
      <c r="AK117" s="7">
        <f>ROUND(('01_Criterios'!$C$19*AH117+'01_Criterios'!$C$20*AI117+'01_Criterios'!$C$21*AJ117)/('01_Criterios'!$C$19+'01_Criterios'!$C$20+'01_Criterios'!$C$21)+N117*'01_Criterios'!$C$22,1)</f>
        <v>12</v>
      </c>
      <c r="AL117" s="20">
        <f>IF(AND(AB117&gt;=3,AC117&gt;='01_Criterios'!$C$11,N(AE117)&gt;='01_Criterios'!$C$12,OR(F117="+",F117="-"),ISNUMBER(G117),ISNUMBER(H117)),1,0)</f>
        <v>0</v>
      </c>
      <c r="AM117" s="24" t="str">
        <f>IF(AL117=1,"",TRIM(IF(AB117=0,"sem dados no período; ",IF(AB117&lt;3,"série demasiado curta; ",""))&amp;IF(AND(AB117&gt;0,AC117&lt;'01_Criterios'!$C$11),"cobertura insuficiente; ","")&amp;IF(AND(AB117&gt;0,N(AE117)&lt;'01_Criterios'!$C$12),"desactualizado; ","")&amp;IF(AND(F117&lt;&gt;"+",F117&lt;&gt;"-"),"sentido ambíguo; ","")&amp;IF(OR(NOT(ISNUMBER(G117)),NOT(ISNUMBER(H117))),"sem limites min/max; ","")))</f>
        <v>sem dados no período;</v>
      </c>
      <c r="AN117" s="20">
        <f>IF(OR(AL117=0,$AP117="Excluir"),0,IF(SUMPRODUCT(($O$5:$O$335=$O117)*($AL$5:$AL$335=1)*($AP$5:$AP$335&lt;&gt;"Excluir")*(($AK$5:$AK$335&gt;$AK117)+(($AK$5:$AK$335=$AK117)*(ROW($O$5:$O$335)&lt;ROW()))))=0,1,0))</f>
        <v>0</v>
      </c>
      <c r="AO117" s="20" t="str">
        <f>IF(AN117=0,"",1+SUMPRODUCT(($B$5:$B$335=$B117)*($AN$5:$AN$335=1)*(($AK$5:$AK$335&gt;$AK117)+(($AK$5:$AK$335=$AK117)*(ROW($B$5:$B$335)&lt;ROW())))))</f>
        <v/>
      </c>
      <c r="AP117" s="22" t="s">
        <v>131</v>
      </c>
      <c r="AQ117" s="20">
        <f>IF(INDEX('01_Criterios'!$C$26:$C$36,MATCH($B117,'01_Criterios'!$B$26:$B$36,0))&lt;&gt;1,0,IF($AP117="Excluir",0,IF($AP117="Incluir",IF(AND(OR($F117="+",$F117="-"),ISNUMBER($G117),ISNUMBER($H117),COUNT($Q117:$AA117)&gt;0),1,0),IF('01_Criterios'!$C$18="Automática",IF(AND($AN117=1,$AO117&lt;&gt;"",$AO117&lt;=INDEX('01_Criterios'!$E$26:$E$36,MATCH($B117,'01_Criterios'!$B$26:$B$36,0))),1,0),0))))</f>
        <v>0</v>
      </c>
      <c r="AR117" s="20" t="str">
        <f>IF(AQ117=0,"",IF($AO117&lt;&gt;"",1+SUMPRODUCT(($B$5:$B$335=$B117)*($AQ$5:$AQ$335=1)*($AO$5:$AO$335&lt;$AO117)),1+SUMPRODUCT(($B$5:$B$335=$B117)*($AQ$5:$AQ$335=1)*ISNUMBER($AO$5:$AO$335))+SUMPRODUCT(($B$5:$B$335=$B117)*($AQ$5:$AQ$335=1)*($AO$5:$AO$335="")*(ROW($AO$5:$AO$335)&lt;ROW()))))</f>
        <v/>
      </c>
      <c r="AS117" s="24" t="s">
        <v>692</v>
      </c>
    </row>
    <row r="118" spans="1:45">
      <c r="A118" s="25" t="s">
        <v>693</v>
      </c>
      <c r="B118" s="26" t="s">
        <v>78</v>
      </c>
      <c r="C118" s="26" t="s">
        <v>78</v>
      </c>
      <c r="D118" s="26" t="s">
        <v>694</v>
      </c>
      <c r="E118" s="25" t="s">
        <v>579</v>
      </c>
      <c r="F118" s="25" t="s">
        <v>126</v>
      </c>
      <c r="G118" s="25">
        <v>0</v>
      </c>
      <c r="H118" s="25">
        <v>1</v>
      </c>
      <c r="I118" s="25">
        <v>0.5</v>
      </c>
      <c r="J118" s="22">
        <v>1</v>
      </c>
      <c r="K118" s="26" t="s">
        <v>127</v>
      </c>
      <c r="L118" s="25" t="s">
        <v>695</v>
      </c>
      <c r="M118" s="26" t="s">
        <v>129</v>
      </c>
      <c r="N118" s="25">
        <v>0</v>
      </c>
      <c r="O118" s="26" t="s">
        <v>693</v>
      </c>
      <c r="P118" s="25" t="s">
        <v>268</v>
      </c>
      <c r="Q118" s="27"/>
      <c r="R118" s="27"/>
      <c r="S118" s="27">
        <v>0.36099999999999999</v>
      </c>
      <c r="T118" s="27">
        <v>0.36019095778465299</v>
      </c>
      <c r="U118" s="27"/>
      <c r="V118" s="27">
        <v>0.36240538954734802</v>
      </c>
      <c r="W118" s="27"/>
      <c r="X118" s="27"/>
      <c r="Y118" s="27"/>
      <c r="Z118" s="27"/>
      <c r="AA118" s="27"/>
      <c r="AB118" s="25">
        <f>COUNT(Q118:AA118)</f>
        <v>3</v>
      </c>
      <c r="AC118" s="28">
        <f>AB118/11</f>
        <v>0.27272727272727271</v>
      </c>
      <c r="AD118" s="25">
        <f>IFERROR(INDEX($Q$4:$AA$4,MATCH(TRUE,INDEX(ISNUMBER(Q118:AA118),0),0)),"")</f>
        <v>2017</v>
      </c>
      <c r="AE118" s="25">
        <f>IFERROR(LOOKUP(2,1/ISNUMBER(Q118:AA118),$Q$4:$AA$4),"")</f>
        <v>2020</v>
      </c>
      <c r="AF118" s="28">
        <f>IF(AB118=0,"",AB118/(AE118-AD118+1))</f>
        <v>0.75</v>
      </c>
      <c r="AG118" s="25">
        <f>IF(AB118=0,"",'01_Criterios'!$C$8-AE118)</f>
        <v>5</v>
      </c>
      <c r="AH118" s="29">
        <f>IF(P118="Em uso",100,IF(P118="Alta",85,IF(P118="Média",55,30)))</f>
        <v>30</v>
      </c>
      <c r="AI118" s="29">
        <f>ROUND(100*AC118,1)</f>
        <v>27.3</v>
      </c>
      <c r="AJ118" s="29">
        <f>IF(AB118=0,0,ROUND(MAX(0,100*AF118-10*AG118),1))</f>
        <v>25</v>
      </c>
      <c r="AK118" s="29">
        <f>ROUND(('01_Criterios'!$C$19*AH118+'01_Criterios'!$C$20*AI118+'01_Criterios'!$C$21*AJ118)/('01_Criterios'!$C$19+'01_Criterios'!$C$20+'01_Criterios'!$C$21)+N118*'01_Criterios'!$C$22,1)</f>
        <v>27.8</v>
      </c>
      <c r="AL118" s="25">
        <f>IF(AND(AB118&gt;=3,AC118&gt;='01_Criterios'!$C$11,N(AE118)&gt;='01_Criterios'!$C$12,OR(F118="+",F118="-"),ISNUMBER(G118),ISNUMBER(H118)),1,0)</f>
        <v>0</v>
      </c>
      <c r="AM118" s="30" t="str">
        <f>IF(AL118=1,"",TRIM(IF(AB118=0,"sem dados no período; ",IF(AB118&lt;3,"série demasiado curta; ",""))&amp;IF(AND(AB118&gt;0,AC118&lt;'01_Criterios'!$C$11),"cobertura insuficiente; ","")&amp;IF(AND(AB118&gt;0,N(AE118)&lt;'01_Criterios'!$C$12),"desactualizado; ","")&amp;IF(AND(F118&lt;&gt;"+",F118&lt;&gt;"-"),"sentido ambíguo; ","")&amp;IF(OR(NOT(ISNUMBER(G118)),NOT(ISNUMBER(H118))),"sem limites min/max; ","")))</f>
        <v>cobertura insuficiente; desactualizado;</v>
      </c>
      <c r="AN118" s="25">
        <f>IF(OR(AL118=0,$AP118="Excluir"),0,IF(SUMPRODUCT(($O$5:$O$335=$O118)*($AL$5:$AL$335=1)*($AP$5:$AP$335&lt;&gt;"Excluir")*(($AK$5:$AK$335&gt;$AK118)+(($AK$5:$AK$335=$AK118)*(ROW($O$5:$O$335)&lt;ROW()))))=0,1,0))</f>
        <v>0</v>
      </c>
      <c r="AO118" s="25" t="str">
        <f>IF(AN118=0,"",1+SUMPRODUCT(($B$5:$B$335=$B118)*($AN$5:$AN$335=1)*(($AK$5:$AK$335&gt;$AK118)+(($AK$5:$AK$335=$AK118)*(ROW($B$5:$B$335)&lt;ROW())))))</f>
        <v/>
      </c>
      <c r="AP118" s="22" t="s">
        <v>131</v>
      </c>
      <c r="AQ118" s="25">
        <f>IF(INDEX('01_Criterios'!$C$26:$C$36,MATCH($B118,'01_Criterios'!$B$26:$B$36,0))&lt;&gt;1,0,IF($AP118="Excluir",0,IF($AP118="Incluir",IF(AND(OR($F118="+",$F118="-"),ISNUMBER($G118),ISNUMBER($H118),COUNT($Q118:$AA118)&gt;0),1,0),IF('01_Criterios'!$C$18="Automática",IF(AND($AN118=1,$AO118&lt;&gt;"",$AO118&lt;=INDEX('01_Criterios'!$E$26:$E$36,MATCH($B118,'01_Criterios'!$B$26:$B$36,0))),1,0),0))))</f>
        <v>0</v>
      </c>
      <c r="AR118" s="25" t="str">
        <f>IF(AQ118=0,"",IF($AO118&lt;&gt;"",1+SUMPRODUCT(($B$5:$B$335=$B118)*($AQ$5:$AQ$335=1)*($AO$5:$AO$335&lt;$AO118)),1+SUMPRODUCT(($B$5:$B$335=$B118)*($AQ$5:$AQ$335=1)*ISNUMBER($AO$5:$AO$335))+SUMPRODUCT(($B$5:$B$335=$B118)*($AQ$5:$AQ$335=1)*($AO$5:$AO$335="")*(ROW($AO$5:$AO$335)&lt;ROW()))))</f>
        <v/>
      </c>
      <c r="AS118" s="24" t="s">
        <v>696</v>
      </c>
    </row>
    <row r="119" spans="1:45">
      <c r="A119" s="20" t="s">
        <v>697</v>
      </c>
      <c r="B119" s="21" t="s">
        <v>78</v>
      </c>
      <c r="C119" s="21" t="s">
        <v>680</v>
      </c>
      <c r="D119" s="21" t="s">
        <v>698</v>
      </c>
      <c r="E119" s="20" t="s">
        <v>674</v>
      </c>
      <c r="F119" s="20" t="s">
        <v>126</v>
      </c>
      <c r="G119" s="20">
        <v>0</v>
      </c>
      <c r="H119" s="20">
        <v>13</v>
      </c>
      <c r="I119" s="20">
        <v>9</v>
      </c>
      <c r="J119" s="22">
        <v>1</v>
      </c>
      <c r="K119" s="21" t="s">
        <v>593</v>
      </c>
      <c r="L119" s="20" t="s">
        <v>699</v>
      </c>
      <c r="M119" s="21" t="s">
        <v>161</v>
      </c>
      <c r="N119" s="20">
        <v>0</v>
      </c>
      <c r="O119" s="21" t="s">
        <v>697</v>
      </c>
      <c r="P119" s="20" t="s">
        <v>268</v>
      </c>
      <c r="Q119" s="6">
        <v>6</v>
      </c>
      <c r="R119" s="6">
        <v>10</v>
      </c>
      <c r="S119" s="6">
        <v>10</v>
      </c>
      <c r="T119" s="6">
        <v>10</v>
      </c>
      <c r="U119" s="6">
        <v>10</v>
      </c>
      <c r="V119" s="6">
        <v>10</v>
      </c>
      <c r="W119" s="6">
        <v>10</v>
      </c>
      <c r="X119" s="6">
        <v>10</v>
      </c>
      <c r="Y119" s="6">
        <v>10</v>
      </c>
      <c r="Z119" s="6">
        <v>10</v>
      </c>
      <c r="AA119" s="6">
        <v>10</v>
      </c>
      <c r="AB119" s="20">
        <f>COUNT(Q119:AA119)</f>
        <v>11</v>
      </c>
      <c r="AC119" s="23">
        <f>AB119/11</f>
        <v>1</v>
      </c>
      <c r="AD119" s="20">
        <f>IFERROR(INDEX($Q$4:$AA$4,MATCH(TRUE,INDEX(ISNUMBER(Q119:AA119),0),0)),"")</f>
        <v>2015</v>
      </c>
      <c r="AE119" s="20">
        <f>IFERROR(LOOKUP(2,1/ISNUMBER(Q119:AA119),$Q$4:$AA$4),"")</f>
        <v>2025</v>
      </c>
      <c r="AF119" s="23">
        <f>IF(AB119=0,"",AB119/(AE119-AD119+1))</f>
        <v>1</v>
      </c>
      <c r="AG119" s="20">
        <f>IF(AB119=0,"",'01_Criterios'!$C$8-AE119)</f>
        <v>0</v>
      </c>
      <c r="AH119" s="7">
        <f>IF(P119="Em uso",100,IF(P119="Alta",85,IF(P119="Média",55,30)))</f>
        <v>30</v>
      </c>
      <c r="AI119" s="7">
        <f>ROUND(100*AC119,1)</f>
        <v>100</v>
      </c>
      <c r="AJ119" s="7">
        <f>IF(AB119=0,0,ROUND(MAX(0,100*AF119-10*AG119),1))</f>
        <v>100</v>
      </c>
      <c r="AK119" s="7">
        <f>ROUND(('01_Criterios'!$C$19*AH119+'01_Criterios'!$C$20*AI119+'01_Criterios'!$C$21*AJ119)/('01_Criterios'!$C$19+'01_Criterios'!$C$20+'01_Criterios'!$C$21)+N119*'01_Criterios'!$C$22,1)</f>
        <v>72</v>
      </c>
      <c r="AL119" s="20">
        <f>IF(AND(AB119&gt;=3,AC119&gt;='01_Criterios'!$C$11,N(AE119)&gt;='01_Criterios'!$C$12,OR(F119="+",F119="-"),ISNUMBER(G119),ISNUMBER(H119)),1,0)</f>
        <v>1</v>
      </c>
      <c r="AM119" s="24" t="str">
        <f>IF(AL119=1,"",TRIM(IF(AB119=0,"sem dados no período; ",IF(AB119&lt;3,"série demasiado curta; ",""))&amp;IF(AND(AB119&gt;0,AC119&lt;'01_Criterios'!$C$11),"cobertura insuficiente; ","")&amp;IF(AND(AB119&gt;0,N(AE119)&lt;'01_Criterios'!$C$12),"desactualizado; ","")&amp;IF(AND(F119&lt;&gt;"+",F119&lt;&gt;"-"),"sentido ambíguo; ","")&amp;IF(OR(NOT(ISNUMBER(G119)),NOT(ISNUMBER(H119))),"sem limites min/max; ","")))</f>
        <v/>
      </c>
      <c r="AN119" s="20">
        <f>IF(OR(AL119=0,$AP119="Excluir"),0,IF(SUMPRODUCT(($O$5:$O$335=$O119)*($AL$5:$AL$335=1)*($AP$5:$AP$335&lt;&gt;"Excluir")*(($AK$5:$AK$335&gt;$AK119)+(($AK$5:$AK$335=$AK119)*(ROW($O$5:$O$335)&lt;ROW()))))=0,1,0))</f>
        <v>1</v>
      </c>
      <c r="AO119" s="20">
        <f>IF(AN119=0,"",1+SUMPRODUCT(($B$5:$B$335=$B119)*($AN$5:$AN$335=1)*(($AK$5:$AK$335&gt;$AK119)+(($AK$5:$AK$335=$AK119)*(ROW($B$5:$B$335)&lt;ROW())))))</f>
        <v>3</v>
      </c>
      <c r="AP119" s="22" t="s">
        <v>131</v>
      </c>
      <c r="AQ119" s="20">
        <f>IF(INDEX('01_Criterios'!$C$26:$C$36,MATCH($B119,'01_Criterios'!$B$26:$B$36,0))&lt;&gt;1,0,IF($AP119="Excluir",0,IF($AP119="Incluir",IF(AND(OR($F119="+",$F119="-"),ISNUMBER($G119),ISNUMBER($H119),COUNT($Q119:$AA119)&gt;0),1,0),IF('01_Criterios'!$C$18="Automática",IF(AND($AN119=1,$AO119&lt;&gt;"",$AO119&lt;=INDEX('01_Criterios'!$E$26:$E$36,MATCH($B119,'01_Criterios'!$B$26:$B$36,0))),1,0),0))))</f>
        <v>1</v>
      </c>
      <c r="AR119" s="20">
        <f>IF(AQ119=0,"",IF($AO119&lt;&gt;"",1+SUMPRODUCT(($B$5:$B$335=$B119)*($AQ$5:$AQ$335=1)*($AO$5:$AO$335&lt;$AO119)),1+SUMPRODUCT(($B$5:$B$335=$B119)*($AQ$5:$AQ$335=1)*ISNUMBER($AO$5:$AO$335))+SUMPRODUCT(($B$5:$B$335=$B119)*($AQ$5:$AQ$335=1)*($AO$5:$AO$335="")*(ROW($AO$5:$AO$335)&lt;ROW()))))</f>
        <v>3</v>
      </c>
      <c r="AS119" s="24" t="s">
        <v>700</v>
      </c>
    </row>
    <row r="120" spans="1:45">
      <c r="A120" s="25" t="s">
        <v>701</v>
      </c>
      <c r="B120" s="26" t="s">
        <v>79</v>
      </c>
      <c r="C120" s="26" t="s">
        <v>702</v>
      </c>
      <c r="D120" s="26" t="s">
        <v>703</v>
      </c>
      <c r="E120" s="25" t="s">
        <v>157</v>
      </c>
      <c r="F120" s="25" t="s">
        <v>158</v>
      </c>
      <c r="G120" s="25">
        <v>0</v>
      </c>
      <c r="H120" s="25">
        <v>80</v>
      </c>
      <c r="I120" s="25">
        <v>30</v>
      </c>
      <c r="J120" s="22">
        <v>1</v>
      </c>
      <c r="K120" s="26" t="s">
        <v>704</v>
      </c>
      <c r="L120" s="25" t="s">
        <v>705</v>
      </c>
      <c r="M120" s="26" t="s">
        <v>161</v>
      </c>
      <c r="N120" s="25">
        <v>1</v>
      </c>
      <c r="O120" s="26" t="s">
        <v>706</v>
      </c>
      <c r="P120" s="25" t="s">
        <v>130</v>
      </c>
      <c r="Q120" s="27"/>
      <c r="R120" s="27"/>
      <c r="S120" s="27"/>
      <c r="T120" s="27">
        <v>39.299999999999997</v>
      </c>
      <c r="U120" s="27"/>
      <c r="V120" s="27"/>
      <c r="W120" s="27"/>
      <c r="X120" s="27"/>
      <c r="Y120" s="27"/>
      <c r="Z120" s="27"/>
      <c r="AA120" s="27"/>
      <c r="AB120" s="25">
        <f>COUNT(Q120:AA120)</f>
        <v>1</v>
      </c>
      <c r="AC120" s="28">
        <f>AB120/11</f>
        <v>9.0909090909090912E-2</v>
      </c>
      <c r="AD120" s="25">
        <f>IFERROR(INDEX($Q$4:$AA$4,MATCH(TRUE,INDEX(ISNUMBER(Q120:AA120),0),0)),"")</f>
        <v>2018</v>
      </c>
      <c r="AE120" s="25">
        <f>IFERROR(LOOKUP(2,1/ISNUMBER(Q120:AA120),$Q$4:$AA$4),"")</f>
        <v>2018</v>
      </c>
      <c r="AF120" s="28">
        <f>IF(AB120=0,"",AB120/(AE120-AD120+1))</f>
        <v>1</v>
      </c>
      <c r="AG120" s="25">
        <f>IF(AB120=0,"",'01_Criterios'!$C$8-AE120)</f>
        <v>7</v>
      </c>
      <c r="AH120" s="29">
        <f>IF(P120="Em uso",100,IF(P120="Alta",85,IF(P120="Média",55,30)))</f>
        <v>100</v>
      </c>
      <c r="AI120" s="29">
        <f>ROUND(100*AC120,1)</f>
        <v>9.1</v>
      </c>
      <c r="AJ120" s="29">
        <f>IF(AB120=0,0,ROUND(MAX(0,100*AF120-10*AG120),1))</f>
        <v>30</v>
      </c>
      <c r="AK120" s="29">
        <f>ROUND(('01_Criterios'!$C$19*AH120+'01_Criterios'!$C$20*AI120+'01_Criterios'!$C$21*AJ120)/('01_Criterios'!$C$19+'01_Criterios'!$C$20+'01_Criterios'!$C$21)+N120*'01_Criterios'!$C$22,1)</f>
        <v>62.7</v>
      </c>
      <c r="AL120" s="25">
        <f>IF(AND(AB120&gt;=3,AC120&gt;='01_Criterios'!$C$11,N(AE120)&gt;='01_Criterios'!$C$12,OR(F120="+",F120="-"),ISNUMBER(G120),ISNUMBER(H120)),1,0)</f>
        <v>0</v>
      </c>
      <c r="AM120" s="30" t="str">
        <f>IF(AL120=1,"",TRIM(IF(AB120=0,"sem dados no período; ",IF(AB120&lt;3,"série demasiado curta; ",""))&amp;IF(AND(AB120&gt;0,AC120&lt;'01_Criterios'!$C$11),"cobertura insuficiente; ","")&amp;IF(AND(AB120&gt;0,N(AE120)&lt;'01_Criterios'!$C$12),"desactualizado; ","")&amp;IF(AND(F120&lt;&gt;"+",F120&lt;&gt;"-"),"sentido ambíguo; ","")&amp;IF(OR(NOT(ISNUMBER(G120)),NOT(ISNUMBER(H120))),"sem limites min/max; ","")))</f>
        <v>série demasiado curta; cobertura insuficiente; desactualizado;</v>
      </c>
      <c r="AN120" s="25">
        <f>IF(OR(AL120=0,$AP120="Excluir"),0,IF(SUMPRODUCT(($O$5:$O$335=$O120)*($AL$5:$AL$335=1)*($AP$5:$AP$335&lt;&gt;"Excluir")*(($AK$5:$AK$335&gt;$AK120)+(($AK$5:$AK$335=$AK120)*(ROW($O$5:$O$335)&lt;ROW()))))=0,1,0))</f>
        <v>0</v>
      </c>
      <c r="AO120" s="25" t="str">
        <f>IF(AN120=0,"",1+SUMPRODUCT(($B$5:$B$335=$B120)*($AN$5:$AN$335=1)*(($AK$5:$AK$335&gt;$AK120)+(($AK$5:$AK$335=$AK120)*(ROW($B$5:$B$335)&lt;ROW())))))</f>
        <v/>
      </c>
      <c r="AP120" s="22" t="s">
        <v>131</v>
      </c>
      <c r="AQ120" s="25">
        <f>IF(INDEX('01_Criterios'!$C$26:$C$36,MATCH($B120,'01_Criterios'!$B$26:$B$36,0))&lt;&gt;1,0,IF($AP120="Excluir",0,IF($AP120="Incluir",IF(AND(OR($F120="+",$F120="-"),ISNUMBER($G120),ISNUMBER($H120),COUNT($Q120:$AA120)&gt;0),1,0),IF('01_Criterios'!$C$18="Automática",IF(AND($AN120=1,$AO120&lt;&gt;"",$AO120&lt;=INDEX('01_Criterios'!$E$26:$E$36,MATCH($B120,'01_Criterios'!$B$26:$B$36,0))),1,0),0))))</f>
        <v>0</v>
      </c>
      <c r="AR120" s="25" t="str">
        <f>IF(AQ120=0,"",IF($AO120&lt;&gt;"",1+SUMPRODUCT(($B$5:$B$335=$B120)*($AQ$5:$AQ$335=1)*($AO$5:$AO$335&lt;$AO120)),1+SUMPRODUCT(($B$5:$B$335=$B120)*($AQ$5:$AQ$335=1)*ISNUMBER($AO$5:$AO$335))+SUMPRODUCT(($B$5:$B$335=$B120)*($AQ$5:$AQ$335=1)*($AO$5:$AO$335="")*(ROW($AO$5:$AO$335)&lt;ROW()))))</f>
        <v/>
      </c>
      <c r="AS120" s="24" t="s">
        <v>707</v>
      </c>
    </row>
    <row r="121" spans="1:45">
      <c r="A121" s="20" t="s">
        <v>708</v>
      </c>
      <c r="B121" s="21" t="s">
        <v>79</v>
      </c>
      <c r="C121" s="21" t="s">
        <v>702</v>
      </c>
      <c r="D121" s="21" t="s">
        <v>709</v>
      </c>
      <c r="E121" s="20" t="s">
        <v>157</v>
      </c>
      <c r="F121" s="20" t="s">
        <v>126</v>
      </c>
      <c r="G121" s="20">
        <v>0</v>
      </c>
      <c r="H121" s="20">
        <v>100</v>
      </c>
      <c r="I121" s="20">
        <v>40</v>
      </c>
      <c r="J121" s="22">
        <v>1</v>
      </c>
      <c r="K121" s="21" t="s">
        <v>710</v>
      </c>
      <c r="L121" s="20"/>
      <c r="M121" s="21" t="s">
        <v>129</v>
      </c>
      <c r="N121" s="20">
        <v>1</v>
      </c>
      <c r="O121" s="21" t="s">
        <v>711</v>
      </c>
      <c r="P121" s="20" t="s">
        <v>130</v>
      </c>
      <c r="Q121" s="6"/>
      <c r="R121" s="6"/>
      <c r="S121" s="6"/>
      <c r="T121" s="6"/>
      <c r="U121" s="6"/>
      <c r="V121" s="6"/>
      <c r="W121" s="6"/>
      <c r="X121" s="6"/>
      <c r="Y121" s="6"/>
      <c r="Z121" s="6"/>
      <c r="AA121" s="6"/>
      <c r="AB121" s="20">
        <f>COUNT(Q121:AA121)</f>
        <v>0</v>
      </c>
      <c r="AC121" s="23">
        <f>AB121/11</f>
        <v>0</v>
      </c>
      <c r="AD121" s="20" t="str">
        <f>IFERROR(INDEX($Q$4:$AA$4,MATCH(TRUE,INDEX(ISNUMBER(Q121:AA121),0),0)),"")</f>
        <v/>
      </c>
      <c r="AE121" s="20" t="str">
        <f>IFERROR(LOOKUP(2,1/ISNUMBER(Q121:AA121),$Q$4:$AA$4),"")</f>
        <v/>
      </c>
      <c r="AF121" s="23" t="str">
        <f>IF(AB121=0,"",AB121/(AE121-AD121+1))</f>
        <v/>
      </c>
      <c r="AG121" s="20" t="str">
        <f>IF(AB121=0,"",'01_Criterios'!$C$8-AE121)</f>
        <v/>
      </c>
      <c r="AH121" s="7">
        <f>IF(P121="Em uso",100,IF(P121="Alta",85,IF(P121="Média",55,30)))</f>
        <v>100</v>
      </c>
      <c r="AI121" s="7">
        <f>ROUND(100*AC121,1)</f>
        <v>0</v>
      </c>
      <c r="AJ121" s="7">
        <f>IF(AB121=0,0,ROUND(MAX(0,100*AF121-10*AG121),1))</f>
        <v>0</v>
      </c>
      <c r="AK121" s="7">
        <f>ROUND(('01_Criterios'!$C$19*AH121+'01_Criterios'!$C$20*AI121+'01_Criterios'!$C$21*AJ121)/('01_Criterios'!$C$19+'01_Criterios'!$C$20+'01_Criterios'!$C$21)+N121*'01_Criterios'!$C$22,1)</f>
        <v>52</v>
      </c>
      <c r="AL121" s="20">
        <f>IF(AND(AB121&gt;=3,AC121&gt;='01_Criterios'!$C$11,N(AE121)&gt;='01_Criterios'!$C$12,OR(F121="+",F121="-"),ISNUMBER(G121),ISNUMBER(H121)),1,0)</f>
        <v>0</v>
      </c>
      <c r="AM121" s="24" t="str">
        <f>IF(AL121=1,"",TRIM(IF(AB121=0,"sem dados no período; ",IF(AB121&lt;3,"série demasiado curta; ",""))&amp;IF(AND(AB121&gt;0,AC121&lt;'01_Criterios'!$C$11),"cobertura insuficiente; ","")&amp;IF(AND(AB121&gt;0,N(AE121)&lt;'01_Criterios'!$C$12),"desactualizado; ","")&amp;IF(AND(F121&lt;&gt;"+",F121&lt;&gt;"-"),"sentido ambíguo; ","")&amp;IF(OR(NOT(ISNUMBER(G121)),NOT(ISNUMBER(H121))),"sem limites min/max; ","")))</f>
        <v>sem dados no período;</v>
      </c>
      <c r="AN121" s="20">
        <f>IF(OR(AL121=0,$AP121="Excluir"),0,IF(SUMPRODUCT(($O$5:$O$335=$O121)*($AL$5:$AL$335=1)*($AP$5:$AP$335&lt;&gt;"Excluir")*(($AK$5:$AK$335&gt;$AK121)+(($AK$5:$AK$335=$AK121)*(ROW($O$5:$O$335)&lt;ROW()))))=0,1,0))</f>
        <v>0</v>
      </c>
      <c r="AO121" s="20" t="str">
        <f>IF(AN121=0,"",1+SUMPRODUCT(($B$5:$B$335=$B121)*($AN$5:$AN$335=1)*(($AK$5:$AK$335&gt;$AK121)+(($AK$5:$AK$335=$AK121)*(ROW($B$5:$B$335)&lt;ROW())))))</f>
        <v/>
      </c>
      <c r="AP121" s="22" t="s">
        <v>131</v>
      </c>
      <c r="AQ121" s="20">
        <f>IF(INDEX('01_Criterios'!$C$26:$C$36,MATCH($B121,'01_Criterios'!$B$26:$B$36,0))&lt;&gt;1,0,IF($AP121="Excluir",0,IF($AP121="Incluir",IF(AND(OR($F121="+",$F121="-"),ISNUMBER($G121),ISNUMBER($H121),COUNT($Q121:$AA121)&gt;0),1,0),IF('01_Criterios'!$C$18="Automática",IF(AND($AN121=1,$AO121&lt;&gt;"",$AO121&lt;=INDEX('01_Criterios'!$E$26:$E$36,MATCH($B121,'01_Criterios'!$B$26:$B$36,0))),1,0),0))))</f>
        <v>0</v>
      </c>
      <c r="AR121" s="20" t="str">
        <f>IF(AQ121=0,"",IF($AO121&lt;&gt;"",1+SUMPRODUCT(($B$5:$B$335=$B121)*($AQ$5:$AQ$335=1)*($AO$5:$AO$335&lt;$AO121)),1+SUMPRODUCT(($B$5:$B$335=$B121)*($AQ$5:$AQ$335=1)*ISNUMBER($AO$5:$AO$335))+SUMPRODUCT(($B$5:$B$335=$B121)*($AQ$5:$AQ$335=1)*($AO$5:$AO$335="")*(ROW($AO$5:$AO$335)&lt;ROW()))))</f>
        <v/>
      </c>
      <c r="AS121" s="24" t="s">
        <v>132</v>
      </c>
    </row>
    <row r="122" spans="1:45">
      <c r="A122" s="25" t="s">
        <v>712</v>
      </c>
      <c r="B122" s="26" t="s">
        <v>79</v>
      </c>
      <c r="C122" s="26" t="s">
        <v>702</v>
      </c>
      <c r="D122" s="26" t="s">
        <v>713</v>
      </c>
      <c r="E122" s="25" t="s">
        <v>279</v>
      </c>
      <c r="F122" s="25" t="s">
        <v>126</v>
      </c>
      <c r="G122" s="25">
        <v>500</v>
      </c>
      <c r="H122" s="25">
        <v>15000</v>
      </c>
      <c r="I122" s="25">
        <v>4500</v>
      </c>
      <c r="J122" s="22">
        <v>1</v>
      </c>
      <c r="K122" s="26" t="s">
        <v>714</v>
      </c>
      <c r="L122" s="25" t="s">
        <v>715</v>
      </c>
      <c r="M122" s="26" t="s">
        <v>161</v>
      </c>
      <c r="N122" s="25">
        <v>1</v>
      </c>
      <c r="O122" s="26" t="s">
        <v>484</v>
      </c>
      <c r="P122" s="25" t="s">
        <v>130</v>
      </c>
      <c r="Q122" s="27">
        <v>4450</v>
      </c>
      <c r="R122" s="27">
        <v>2960</v>
      </c>
      <c r="S122" s="27">
        <v>2440</v>
      </c>
      <c r="T122" s="27">
        <v>2300</v>
      </c>
      <c r="U122" s="27">
        <v>2460</v>
      </c>
      <c r="V122" s="27">
        <v>2000</v>
      </c>
      <c r="W122" s="27">
        <v>1960</v>
      </c>
      <c r="X122" s="27">
        <v>2290</v>
      </c>
      <c r="Y122" s="27">
        <v>2650</v>
      </c>
      <c r="Z122" s="27">
        <v>2850</v>
      </c>
      <c r="AA122" s="27">
        <v>2860</v>
      </c>
      <c r="AB122" s="25">
        <f>COUNT(Q122:AA122)</f>
        <v>11</v>
      </c>
      <c r="AC122" s="28">
        <f>AB122/11</f>
        <v>1</v>
      </c>
      <c r="AD122" s="25">
        <f>IFERROR(INDEX($Q$4:$AA$4,MATCH(TRUE,INDEX(ISNUMBER(Q122:AA122),0),0)),"")</f>
        <v>2015</v>
      </c>
      <c r="AE122" s="25">
        <f>IFERROR(LOOKUP(2,1/ISNUMBER(Q122:AA122),$Q$4:$AA$4),"")</f>
        <v>2025</v>
      </c>
      <c r="AF122" s="28">
        <f>IF(AB122=0,"",AB122/(AE122-AD122+1))</f>
        <v>1</v>
      </c>
      <c r="AG122" s="25">
        <f>IF(AB122=0,"",'01_Criterios'!$C$8-AE122)</f>
        <v>0</v>
      </c>
      <c r="AH122" s="29">
        <f>IF(P122="Em uso",100,IF(P122="Alta",85,IF(P122="Média",55,30)))</f>
        <v>100</v>
      </c>
      <c r="AI122" s="29">
        <f>ROUND(100*AC122,1)</f>
        <v>100</v>
      </c>
      <c r="AJ122" s="29">
        <f>IF(AB122=0,0,ROUND(MAX(0,100*AF122-10*AG122),1))</f>
        <v>100</v>
      </c>
      <c r="AK122" s="29">
        <f>ROUND(('01_Criterios'!$C$19*AH122+'01_Criterios'!$C$20*AI122+'01_Criterios'!$C$21*AJ122)/('01_Criterios'!$C$19+'01_Criterios'!$C$20+'01_Criterios'!$C$21)+N122*'01_Criterios'!$C$22,1)</f>
        <v>112</v>
      </c>
      <c r="AL122" s="25">
        <f>IF(AND(AB122&gt;=3,AC122&gt;='01_Criterios'!$C$11,N(AE122)&gt;='01_Criterios'!$C$12,OR(F122="+",F122="-"),ISNUMBER(G122),ISNUMBER(H122)),1,0)</f>
        <v>1</v>
      </c>
      <c r="AM122" s="30" t="str">
        <f>IF(AL122=1,"",TRIM(IF(AB122=0,"sem dados no período; ",IF(AB122&lt;3,"série demasiado curta; ",""))&amp;IF(AND(AB122&gt;0,AC122&lt;'01_Criterios'!$C$11),"cobertura insuficiente; ","")&amp;IF(AND(AB122&gt;0,N(AE122)&lt;'01_Criterios'!$C$12),"desactualizado; ","")&amp;IF(AND(F122&lt;&gt;"+",F122&lt;&gt;"-"),"sentido ambíguo; ","")&amp;IF(OR(NOT(ISNUMBER(G122)),NOT(ISNUMBER(H122))),"sem limites min/max; ","")))</f>
        <v/>
      </c>
      <c r="AN122" s="25">
        <f>IF(OR(AL122=0,$AP122="Excluir"),0,IF(SUMPRODUCT(($O$5:$O$335=$O122)*($AL$5:$AL$335=1)*($AP$5:$AP$335&lt;&gt;"Excluir")*(($AK$5:$AK$335&gt;$AK122)+(($AK$5:$AK$335=$AK122)*(ROW($O$5:$O$335)&lt;ROW()))))=0,1,0))</f>
        <v>1</v>
      </c>
      <c r="AO122" s="25">
        <f>IF(AN122=0,"",1+SUMPRODUCT(($B$5:$B$335=$B122)*($AN$5:$AN$335=1)*(($AK$5:$AK$335&gt;$AK122)+(($AK$5:$AK$335=$AK122)*(ROW($B$5:$B$335)&lt;ROW())))))</f>
        <v>1</v>
      </c>
      <c r="AP122" s="22" t="s">
        <v>131</v>
      </c>
      <c r="AQ122" s="25">
        <f>IF(INDEX('01_Criterios'!$C$26:$C$36,MATCH($B122,'01_Criterios'!$B$26:$B$36,0))&lt;&gt;1,0,IF($AP122="Excluir",0,IF($AP122="Incluir",IF(AND(OR($F122="+",$F122="-"),ISNUMBER($G122),ISNUMBER($H122),COUNT($Q122:$AA122)&gt;0),1,0),IF('01_Criterios'!$C$18="Automática",IF(AND($AN122=1,$AO122&lt;&gt;"",$AO122&lt;=INDEX('01_Criterios'!$E$26:$E$36,MATCH($B122,'01_Criterios'!$B$26:$B$36,0))),1,0),0))))</f>
        <v>1</v>
      </c>
      <c r="AR122" s="25">
        <f>IF(AQ122=0,"",IF($AO122&lt;&gt;"",1+SUMPRODUCT(($B$5:$B$335=$B122)*($AQ$5:$AQ$335=1)*($AO$5:$AO$335&lt;$AO122)),1+SUMPRODUCT(($B$5:$B$335=$B122)*($AQ$5:$AQ$335=1)*ISNUMBER($AO$5:$AO$335))+SUMPRODUCT(($B$5:$B$335=$B122)*($AQ$5:$AQ$335=1)*($AO$5:$AO$335="")*(ROW($AO$5:$AO$335)&lt;ROW()))))</f>
        <v>1</v>
      </c>
      <c r="AS122" s="24" t="s">
        <v>716</v>
      </c>
    </row>
    <row r="123" spans="1:45">
      <c r="A123" s="20" t="s">
        <v>717</v>
      </c>
      <c r="B123" s="21" t="s">
        <v>79</v>
      </c>
      <c r="C123" s="21" t="s">
        <v>702</v>
      </c>
      <c r="D123" s="21" t="s">
        <v>718</v>
      </c>
      <c r="E123" s="20" t="s">
        <v>135</v>
      </c>
      <c r="F123" s="20" t="s">
        <v>158</v>
      </c>
      <c r="G123" s="20">
        <v>0</v>
      </c>
      <c r="H123" s="20">
        <v>70</v>
      </c>
      <c r="I123" s="20">
        <v>40</v>
      </c>
      <c r="J123" s="22">
        <v>1</v>
      </c>
      <c r="K123" s="21" t="s">
        <v>704</v>
      </c>
      <c r="L123" s="20" t="s">
        <v>719</v>
      </c>
      <c r="M123" s="21" t="s">
        <v>161</v>
      </c>
      <c r="N123" s="20">
        <v>1</v>
      </c>
      <c r="O123" s="21" t="s">
        <v>717</v>
      </c>
      <c r="P123" s="20" t="s">
        <v>130</v>
      </c>
      <c r="Q123" s="6"/>
      <c r="R123" s="6"/>
      <c r="S123" s="6"/>
      <c r="T123" s="6">
        <v>51.3</v>
      </c>
      <c r="U123" s="6"/>
      <c r="V123" s="6"/>
      <c r="W123" s="6"/>
      <c r="X123" s="6"/>
      <c r="Y123" s="6"/>
      <c r="Z123" s="6"/>
      <c r="AA123" s="6"/>
      <c r="AB123" s="20">
        <f>COUNT(Q123:AA123)</f>
        <v>1</v>
      </c>
      <c r="AC123" s="23">
        <f>AB123/11</f>
        <v>9.0909090909090912E-2</v>
      </c>
      <c r="AD123" s="20">
        <f>IFERROR(INDEX($Q$4:$AA$4,MATCH(TRUE,INDEX(ISNUMBER(Q123:AA123),0),0)),"")</f>
        <v>2018</v>
      </c>
      <c r="AE123" s="20">
        <f>IFERROR(LOOKUP(2,1/ISNUMBER(Q123:AA123),$Q$4:$AA$4),"")</f>
        <v>2018</v>
      </c>
      <c r="AF123" s="23">
        <f>IF(AB123=0,"",AB123/(AE123-AD123+1))</f>
        <v>1</v>
      </c>
      <c r="AG123" s="20">
        <f>IF(AB123=0,"",'01_Criterios'!$C$8-AE123)</f>
        <v>7</v>
      </c>
      <c r="AH123" s="7">
        <f>IF(P123="Em uso",100,IF(P123="Alta",85,IF(P123="Média",55,30)))</f>
        <v>100</v>
      </c>
      <c r="AI123" s="7">
        <f>ROUND(100*AC123,1)</f>
        <v>9.1</v>
      </c>
      <c r="AJ123" s="7">
        <f>IF(AB123=0,0,ROUND(MAX(0,100*AF123-10*AG123),1))</f>
        <v>30</v>
      </c>
      <c r="AK123" s="7">
        <f>ROUND(('01_Criterios'!$C$19*AH123+'01_Criterios'!$C$20*AI123+'01_Criterios'!$C$21*AJ123)/('01_Criterios'!$C$19+'01_Criterios'!$C$20+'01_Criterios'!$C$21)+N123*'01_Criterios'!$C$22,1)</f>
        <v>62.7</v>
      </c>
      <c r="AL123" s="20">
        <f>IF(AND(AB123&gt;=3,AC123&gt;='01_Criterios'!$C$11,N(AE123)&gt;='01_Criterios'!$C$12,OR(F123="+",F123="-"),ISNUMBER(G123),ISNUMBER(H123)),1,0)</f>
        <v>0</v>
      </c>
      <c r="AM123" s="24" t="str">
        <f>IF(AL123=1,"",TRIM(IF(AB123=0,"sem dados no período; ",IF(AB123&lt;3,"série demasiado curta; ",""))&amp;IF(AND(AB123&gt;0,AC123&lt;'01_Criterios'!$C$11),"cobertura insuficiente; ","")&amp;IF(AND(AB123&gt;0,N(AE123)&lt;'01_Criterios'!$C$12),"desactualizado; ","")&amp;IF(AND(F123&lt;&gt;"+",F123&lt;&gt;"-"),"sentido ambíguo; ","")&amp;IF(OR(NOT(ISNUMBER(G123)),NOT(ISNUMBER(H123))),"sem limites min/max; ","")))</f>
        <v>série demasiado curta; cobertura insuficiente; desactualizado;</v>
      </c>
      <c r="AN123" s="20">
        <f>IF(OR(AL123=0,$AP123="Excluir"),0,IF(SUMPRODUCT(($O$5:$O$335=$O123)*($AL$5:$AL$335=1)*($AP$5:$AP$335&lt;&gt;"Excluir")*(($AK$5:$AK$335&gt;$AK123)+(($AK$5:$AK$335=$AK123)*(ROW($O$5:$O$335)&lt;ROW()))))=0,1,0))</f>
        <v>0</v>
      </c>
      <c r="AO123" s="20" t="str">
        <f>IF(AN123=0,"",1+SUMPRODUCT(($B$5:$B$335=$B123)*($AN$5:$AN$335=1)*(($AK$5:$AK$335&gt;$AK123)+(($AK$5:$AK$335=$AK123)*(ROW($B$5:$B$335)&lt;ROW())))))</f>
        <v/>
      </c>
      <c r="AP123" s="22" t="s">
        <v>131</v>
      </c>
      <c r="AQ123" s="20">
        <f>IF(INDEX('01_Criterios'!$C$26:$C$36,MATCH($B123,'01_Criterios'!$B$26:$B$36,0))&lt;&gt;1,0,IF($AP123="Excluir",0,IF($AP123="Incluir",IF(AND(OR($F123="+",$F123="-"),ISNUMBER($G123),ISNUMBER($H123),COUNT($Q123:$AA123)&gt;0),1,0),IF('01_Criterios'!$C$18="Automática",IF(AND($AN123=1,$AO123&lt;&gt;"",$AO123&lt;=INDEX('01_Criterios'!$E$26:$E$36,MATCH($B123,'01_Criterios'!$B$26:$B$36,0))),1,0),0))))</f>
        <v>0</v>
      </c>
      <c r="AR123" s="20" t="str">
        <f>IF(AQ123=0,"",IF($AO123&lt;&gt;"",1+SUMPRODUCT(($B$5:$B$335=$B123)*($AQ$5:$AQ$335=1)*($AO$5:$AO$335&lt;$AO123)),1+SUMPRODUCT(($B$5:$B$335=$B123)*($AQ$5:$AQ$335=1)*ISNUMBER($AO$5:$AO$335))+SUMPRODUCT(($B$5:$B$335=$B123)*($AQ$5:$AQ$335=1)*($AO$5:$AO$335="")*(ROW($AO$5:$AO$335)&lt;ROW()))))</f>
        <v/>
      </c>
      <c r="AS123" s="24" t="s">
        <v>720</v>
      </c>
    </row>
    <row r="124" spans="1:45">
      <c r="A124" s="25" t="s">
        <v>721</v>
      </c>
      <c r="B124" s="26" t="s">
        <v>79</v>
      </c>
      <c r="C124" s="26" t="s">
        <v>702</v>
      </c>
      <c r="D124" s="26" t="s">
        <v>722</v>
      </c>
      <c r="E124" s="25" t="s">
        <v>579</v>
      </c>
      <c r="F124" s="25" t="s">
        <v>126</v>
      </c>
      <c r="G124" s="25">
        <v>0</v>
      </c>
      <c r="H124" s="25">
        <v>1</v>
      </c>
      <c r="I124" s="25">
        <v>0.7</v>
      </c>
      <c r="J124" s="22">
        <v>1</v>
      </c>
      <c r="K124" s="26" t="s">
        <v>723</v>
      </c>
      <c r="L124" s="25"/>
      <c r="M124" s="26" t="s">
        <v>129</v>
      </c>
      <c r="N124" s="25">
        <v>0</v>
      </c>
      <c r="O124" s="26" t="s">
        <v>724</v>
      </c>
      <c r="P124" s="25" t="s">
        <v>130</v>
      </c>
      <c r="Q124" s="27">
        <v>0.63700000000000001</v>
      </c>
      <c r="R124" s="27">
        <v>0.64300000000000002</v>
      </c>
      <c r="S124" s="27">
        <v>0.64</v>
      </c>
      <c r="T124" s="27">
        <v>0.63300000000000001</v>
      </c>
      <c r="U124" s="27"/>
      <c r="V124" s="27">
        <v>0.66</v>
      </c>
      <c r="W124" s="27">
        <v>0.65700000000000003</v>
      </c>
      <c r="X124" s="27">
        <v>0.63800000000000001</v>
      </c>
      <c r="Y124" s="27">
        <v>0.65600000000000003</v>
      </c>
      <c r="Z124" s="27">
        <v>0.66800000000000004</v>
      </c>
      <c r="AA124" s="27">
        <v>0.66800000000000004</v>
      </c>
      <c r="AB124" s="25">
        <f>COUNT(Q124:AA124)</f>
        <v>10</v>
      </c>
      <c r="AC124" s="28">
        <f>AB124/11</f>
        <v>0.90909090909090906</v>
      </c>
      <c r="AD124" s="25">
        <f>IFERROR(INDEX($Q$4:$AA$4,MATCH(TRUE,INDEX(ISNUMBER(Q124:AA124),0),0)),"")</f>
        <v>2015</v>
      </c>
      <c r="AE124" s="25">
        <f>IFERROR(LOOKUP(2,1/ISNUMBER(Q124:AA124),$Q$4:$AA$4),"")</f>
        <v>2025</v>
      </c>
      <c r="AF124" s="28">
        <f>IF(AB124=0,"",AB124/(AE124-AD124+1))</f>
        <v>0.90909090909090906</v>
      </c>
      <c r="AG124" s="25">
        <f>IF(AB124=0,"",'01_Criterios'!$C$8-AE124)</f>
        <v>0</v>
      </c>
      <c r="AH124" s="29">
        <f>IF(P124="Em uso",100,IF(P124="Alta",85,IF(P124="Média",55,30)))</f>
        <v>100</v>
      </c>
      <c r="AI124" s="29">
        <f>ROUND(100*AC124,1)</f>
        <v>90.9</v>
      </c>
      <c r="AJ124" s="29">
        <f>IF(AB124=0,0,ROUND(MAX(0,100*AF124-10*AG124),1))</f>
        <v>90.9</v>
      </c>
      <c r="AK124" s="29">
        <f>ROUND(('01_Criterios'!$C$19*AH124+'01_Criterios'!$C$20*AI124+'01_Criterios'!$C$21*AJ124)/('01_Criterios'!$C$19+'01_Criterios'!$C$20+'01_Criterios'!$C$21)+N124*'01_Criterios'!$C$22,1)</f>
        <v>94.5</v>
      </c>
      <c r="AL124" s="25">
        <f>IF(AND(AB124&gt;=3,AC124&gt;='01_Criterios'!$C$11,N(AE124)&gt;='01_Criterios'!$C$12,OR(F124="+",F124="-"),ISNUMBER(G124),ISNUMBER(H124)),1,0)</f>
        <v>1</v>
      </c>
      <c r="AM124" s="30" t="str">
        <f>IF(AL124=1,"",TRIM(IF(AB124=0,"sem dados no período; ",IF(AB124&lt;3,"série demasiado curta; ",""))&amp;IF(AND(AB124&gt;0,AC124&lt;'01_Criterios'!$C$11),"cobertura insuficiente; ","")&amp;IF(AND(AB124&gt;0,N(AE124)&lt;'01_Criterios'!$C$12),"desactualizado; ","")&amp;IF(AND(F124&lt;&gt;"+",F124&lt;&gt;"-"),"sentido ambíguo; ","")&amp;IF(OR(NOT(ISNUMBER(G124)),NOT(ISNUMBER(H124))),"sem limites min/max; ","")))</f>
        <v/>
      </c>
      <c r="AN124" s="25">
        <f>IF(OR(AL124=0,$AP124="Excluir"),0,IF(SUMPRODUCT(($O$5:$O$335=$O124)*($AL$5:$AL$335=1)*($AP$5:$AP$335&lt;&gt;"Excluir")*(($AK$5:$AK$335&gt;$AK124)+(($AK$5:$AK$335=$AK124)*(ROW($O$5:$O$335)&lt;ROW()))))=0,1,0))</f>
        <v>1</v>
      </c>
      <c r="AO124" s="25">
        <f>IF(AN124=0,"",1+SUMPRODUCT(($B$5:$B$335=$B124)*($AN$5:$AN$335=1)*(($AK$5:$AK$335&gt;$AK124)+(($AK$5:$AK$335=$AK124)*(ROW($B$5:$B$335)&lt;ROW())))))</f>
        <v>2</v>
      </c>
      <c r="AP124" s="22" t="s">
        <v>131</v>
      </c>
      <c r="AQ124" s="25">
        <f>IF(INDEX('01_Criterios'!$C$26:$C$36,MATCH($B124,'01_Criterios'!$B$26:$B$36,0))&lt;&gt;1,0,IF($AP124="Excluir",0,IF($AP124="Incluir",IF(AND(OR($F124="+",$F124="-"),ISNUMBER($G124),ISNUMBER($H124),COUNT($Q124:$AA124)&gt;0),1,0),IF('01_Criterios'!$C$18="Automática",IF(AND($AN124=1,$AO124&lt;&gt;"",$AO124&lt;=INDEX('01_Criterios'!$E$26:$E$36,MATCH($B124,'01_Criterios'!$B$26:$B$36,0))),1,0),0))))</f>
        <v>1</v>
      </c>
      <c r="AR124" s="25">
        <f>IF(AQ124=0,"",IF($AO124&lt;&gt;"",1+SUMPRODUCT(($B$5:$B$335=$B124)*($AQ$5:$AQ$335=1)*($AO$5:$AO$335&lt;$AO124)),1+SUMPRODUCT(($B$5:$B$335=$B124)*($AQ$5:$AQ$335=1)*ISNUMBER($AO$5:$AO$335))+SUMPRODUCT(($B$5:$B$335=$B124)*($AQ$5:$AQ$335=1)*($AO$5:$AO$335="")*(ROW($AO$5:$AO$335)&lt;ROW()))))</f>
        <v>2</v>
      </c>
      <c r="AS124" s="24" t="s">
        <v>132</v>
      </c>
    </row>
    <row r="125" spans="1:45">
      <c r="A125" s="20" t="s">
        <v>725</v>
      </c>
      <c r="B125" s="21" t="s">
        <v>79</v>
      </c>
      <c r="C125" s="21" t="s">
        <v>726</v>
      </c>
      <c r="D125" s="21" t="s">
        <v>727</v>
      </c>
      <c r="E125" s="20" t="s">
        <v>157</v>
      </c>
      <c r="F125" s="20" t="s">
        <v>158</v>
      </c>
      <c r="G125" s="20">
        <v>0</v>
      </c>
      <c r="H125" s="20">
        <v>100</v>
      </c>
      <c r="I125" s="20">
        <v>10</v>
      </c>
      <c r="J125" s="22">
        <v>1</v>
      </c>
      <c r="K125" s="21" t="s">
        <v>586</v>
      </c>
      <c r="L125" s="20" t="s">
        <v>728</v>
      </c>
      <c r="M125" s="21" t="s">
        <v>586</v>
      </c>
      <c r="N125" s="20">
        <v>1</v>
      </c>
      <c r="O125" s="21" t="s">
        <v>725</v>
      </c>
      <c r="P125" s="20" t="s">
        <v>152</v>
      </c>
      <c r="Q125" s="6"/>
      <c r="R125" s="6"/>
      <c r="S125" s="6"/>
      <c r="T125" s="6"/>
      <c r="U125" s="6"/>
      <c r="V125" s="6"/>
      <c r="W125" s="6"/>
      <c r="X125" s="6"/>
      <c r="Y125" s="6"/>
      <c r="Z125" s="6">
        <v>33.1</v>
      </c>
      <c r="AA125" s="6"/>
      <c r="AB125" s="20">
        <f>COUNT(Q125:AA125)</f>
        <v>1</v>
      </c>
      <c r="AC125" s="23">
        <f>AB125/11</f>
        <v>9.0909090909090912E-2</v>
      </c>
      <c r="AD125" s="20">
        <f>IFERROR(INDEX($Q$4:$AA$4,MATCH(TRUE,INDEX(ISNUMBER(Q125:AA125),0),0)),"")</f>
        <v>2024</v>
      </c>
      <c r="AE125" s="20">
        <f>IFERROR(LOOKUP(2,1/ISNUMBER(Q125:AA125),$Q$4:$AA$4),"")</f>
        <v>2024</v>
      </c>
      <c r="AF125" s="23">
        <f>IF(AB125=0,"",AB125/(AE125-AD125+1))</f>
        <v>1</v>
      </c>
      <c r="AG125" s="20">
        <f>IF(AB125=0,"",'01_Criterios'!$C$8-AE125)</f>
        <v>1</v>
      </c>
      <c r="AH125" s="7">
        <f>IF(P125="Em uso",100,IF(P125="Alta",85,IF(P125="Média",55,30)))</f>
        <v>85</v>
      </c>
      <c r="AI125" s="7">
        <f>ROUND(100*AC125,1)</f>
        <v>9.1</v>
      </c>
      <c r="AJ125" s="7">
        <f>IF(AB125=0,0,ROUND(MAX(0,100*AF125-10*AG125),1))</f>
        <v>90</v>
      </c>
      <c r="AK125" s="7">
        <f>ROUND(('01_Criterios'!$C$19*AH125+'01_Criterios'!$C$20*AI125+'01_Criterios'!$C$21*AJ125)/('01_Criterios'!$C$19+'01_Criterios'!$C$20+'01_Criterios'!$C$21)+N125*'01_Criterios'!$C$22,1)</f>
        <v>71.7</v>
      </c>
      <c r="AL125" s="20">
        <f>IF(AND(AB125&gt;=3,AC125&gt;='01_Criterios'!$C$11,N(AE125)&gt;='01_Criterios'!$C$12,OR(F125="+",F125="-"),ISNUMBER(G125),ISNUMBER(H125)),1,0)</f>
        <v>0</v>
      </c>
      <c r="AM125" s="24" t="str">
        <f>IF(AL125=1,"",TRIM(IF(AB125=0,"sem dados no período; ",IF(AB125&lt;3,"série demasiado curta; ",""))&amp;IF(AND(AB125&gt;0,AC125&lt;'01_Criterios'!$C$11),"cobertura insuficiente; ","")&amp;IF(AND(AB125&gt;0,N(AE125)&lt;'01_Criterios'!$C$12),"desactualizado; ","")&amp;IF(AND(F125&lt;&gt;"+",F125&lt;&gt;"-"),"sentido ambíguo; ","")&amp;IF(OR(NOT(ISNUMBER(G125)),NOT(ISNUMBER(H125))),"sem limites min/max; ","")))</f>
        <v>série demasiado curta; cobertura insuficiente;</v>
      </c>
      <c r="AN125" s="20">
        <f>IF(OR(AL125=0,$AP125="Excluir"),0,IF(SUMPRODUCT(($O$5:$O$335=$O125)*($AL$5:$AL$335=1)*($AP$5:$AP$335&lt;&gt;"Excluir")*(($AK$5:$AK$335&gt;$AK125)+(($AK$5:$AK$335=$AK125)*(ROW($O$5:$O$335)&lt;ROW()))))=0,1,0))</f>
        <v>0</v>
      </c>
      <c r="AO125" s="20" t="str">
        <f>IF(AN125=0,"",1+SUMPRODUCT(($B$5:$B$335=$B125)*($AN$5:$AN$335=1)*(($AK$5:$AK$335&gt;$AK125)+(($AK$5:$AK$335=$AK125)*(ROW($B$5:$B$335)&lt;ROW())))))</f>
        <v/>
      </c>
      <c r="AP125" s="22" t="s">
        <v>131</v>
      </c>
      <c r="AQ125" s="20">
        <f>IF(INDEX('01_Criterios'!$C$26:$C$36,MATCH($B125,'01_Criterios'!$B$26:$B$36,0))&lt;&gt;1,0,IF($AP125="Excluir",0,IF($AP125="Incluir",IF(AND(OR($F125="+",$F125="-"),ISNUMBER($G125),ISNUMBER($H125),COUNT($Q125:$AA125)&gt;0),1,0),IF('01_Criterios'!$C$18="Automática",IF(AND($AN125=1,$AO125&lt;&gt;"",$AO125&lt;=INDEX('01_Criterios'!$E$26:$E$36,MATCH($B125,'01_Criterios'!$B$26:$B$36,0))),1,0),0))))</f>
        <v>0</v>
      </c>
      <c r="AR125" s="20" t="str">
        <f>IF(AQ125=0,"",IF($AO125&lt;&gt;"",1+SUMPRODUCT(($B$5:$B$335=$B125)*($AQ$5:$AQ$335=1)*($AO$5:$AO$335&lt;$AO125)),1+SUMPRODUCT(($B$5:$B$335=$B125)*($AQ$5:$AQ$335=1)*ISNUMBER($AO$5:$AO$335))+SUMPRODUCT(($B$5:$B$335=$B125)*($AQ$5:$AQ$335=1)*($AO$5:$AO$335="")*(ROW($AO$5:$AO$335)&lt;ROW()))))</f>
        <v/>
      </c>
      <c r="AS125" s="24" t="s">
        <v>729</v>
      </c>
    </row>
    <row r="126" spans="1:45">
      <c r="A126" s="25" t="s">
        <v>730</v>
      </c>
      <c r="B126" s="26" t="s">
        <v>79</v>
      </c>
      <c r="C126" s="26" t="s">
        <v>702</v>
      </c>
      <c r="D126" s="26" t="s">
        <v>731</v>
      </c>
      <c r="E126" s="25" t="s">
        <v>157</v>
      </c>
      <c r="F126" s="25" t="s">
        <v>158</v>
      </c>
      <c r="G126" s="25">
        <v>0</v>
      </c>
      <c r="H126" s="25">
        <v>80</v>
      </c>
      <c r="I126" s="25">
        <v>30</v>
      </c>
      <c r="J126" s="22">
        <v>1</v>
      </c>
      <c r="K126" s="26" t="s">
        <v>732</v>
      </c>
      <c r="L126" s="25" t="s">
        <v>733</v>
      </c>
      <c r="M126" s="26" t="s">
        <v>161</v>
      </c>
      <c r="N126" s="25">
        <v>0</v>
      </c>
      <c r="O126" s="26" t="s">
        <v>706</v>
      </c>
      <c r="P126" s="25" t="s">
        <v>152</v>
      </c>
      <c r="Q126" s="27"/>
      <c r="R126" s="27"/>
      <c r="S126" s="27"/>
      <c r="T126" s="27">
        <v>32.299999999999997</v>
      </c>
      <c r="U126" s="27"/>
      <c r="V126" s="27"/>
      <c r="W126" s="27"/>
      <c r="X126" s="27"/>
      <c r="Y126" s="27"/>
      <c r="Z126" s="27"/>
      <c r="AA126" s="27"/>
      <c r="AB126" s="25">
        <f>COUNT(Q126:AA126)</f>
        <v>1</v>
      </c>
      <c r="AC126" s="28">
        <f>AB126/11</f>
        <v>9.0909090909090912E-2</v>
      </c>
      <c r="AD126" s="25">
        <f>IFERROR(INDEX($Q$4:$AA$4,MATCH(TRUE,INDEX(ISNUMBER(Q126:AA126),0),0)),"")</f>
        <v>2018</v>
      </c>
      <c r="AE126" s="25">
        <f>IFERROR(LOOKUP(2,1/ISNUMBER(Q126:AA126),$Q$4:$AA$4),"")</f>
        <v>2018</v>
      </c>
      <c r="AF126" s="28">
        <f>IF(AB126=0,"",AB126/(AE126-AD126+1))</f>
        <v>1</v>
      </c>
      <c r="AG126" s="25">
        <f>IF(AB126=0,"",'01_Criterios'!$C$8-AE126)</f>
        <v>7</v>
      </c>
      <c r="AH126" s="29">
        <f>IF(P126="Em uso",100,IF(P126="Alta",85,IF(P126="Média",55,30)))</f>
        <v>85</v>
      </c>
      <c r="AI126" s="29">
        <f>ROUND(100*AC126,1)</f>
        <v>9.1</v>
      </c>
      <c r="AJ126" s="29">
        <f>IF(AB126=0,0,ROUND(MAX(0,100*AF126-10*AG126),1))</f>
        <v>30</v>
      </c>
      <c r="AK126" s="29">
        <f>ROUND(('01_Criterios'!$C$19*AH126+'01_Criterios'!$C$20*AI126+'01_Criterios'!$C$21*AJ126)/('01_Criterios'!$C$19+'01_Criterios'!$C$20+'01_Criterios'!$C$21)+N126*'01_Criterios'!$C$22,1)</f>
        <v>44.7</v>
      </c>
      <c r="AL126" s="25">
        <f>IF(AND(AB126&gt;=3,AC126&gt;='01_Criterios'!$C$11,N(AE126)&gt;='01_Criterios'!$C$12,OR(F126="+",F126="-"),ISNUMBER(G126),ISNUMBER(H126)),1,0)</f>
        <v>0</v>
      </c>
      <c r="AM126" s="30" t="str">
        <f>IF(AL126=1,"",TRIM(IF(AB126=0,"sem dados no período; ",IF(AB126&lt;3,"série demasiado curta; ",""))&amp;IF(AND(AB126&gt;0,AC126&lt;'01_Criterios'!$C$11),"cobertura insuficiente; ","")&amp;IF(AND(AB126&gt;0,N(AE126)&lt;'01_Criterios'!$C$12),"desactualizado; ","")&amp;IF(AND(F126&lt;&gt;"+",F126&lt;&gt;"-"),"sentido ambíguo; ","")&amp;IF(OR(NOT(ISNUMBER(G126)),NOT(ISNUMBER(H126))),"sem limites min/max; ","")))</f>
        <v>série demasiado curta; cobertura insuficiente; desactualizado;</v>
      </c>
      <c r="AN126" s="25">
        <f>IF(OR(AL126=0,$AP126="Excluir"),0,IF(SUMPRODUCT(($O$5:$O$335=$O126)*($AL$5:$AL$335=1)*($AP$5:$AP$335&lt;&gt;"Excluir")*(($AK$5:$AK$335&gt;$AK126)+(($AK$5:$AK$335=$AK126)*(ROW($O$5:$O$335)&lt;ROW()))))=0,1,0))</f>
        <v>0</v>
      </c>
      <c r="AO126" s="25" t="str">
        <f>IF(AN126=0,"",1+SUMPRODUCT(($B$5:$B$335=$B126)*($AN$5:$AN$335=1)*(($AK$5:$AK$335&gt;$AK126)+(($AK$5:$AK$335=$AK126)*(ROW($B$5:$B$335)&lt;ROW())))))</f>
        <v/>
      </c>
      <c r="AP126" s="22" t="s">
        <v>131</v>
      </c>
      <c r="AQ126" s="25">
        <f>IF(INDEX('01_Criterios'!$C$26:$C$36,MATCH($B126,'01_Criterios'!$B$26:$B$36,0))&lt;&gt;1,0,IF($AP126="Excluir",0,IF($AP126="Incluir",IF(AND(OR($F126="+",$F126="-"),ISNUMBER($G126),ISNUMBER($H126),COUNT($Q126:$AA126)&gt;0),1,0),IF('01_Criterios'!$C$18="Automática",IF(AND($AN126=1,$AO126&lt;&gt;"",$AO126&lt;=INDEX('01_Criterios'!$E$26:$E$36,MATCH($B126,'01_Criterios'!$B$26:$B$36,0))),1,0),0))))</f>
        <v>0</v>
      </c>
      <c r="AR126" s="25" t="str">
        <f>IF(AQ126=0,"",IF($AO126&lt;&gt;"",1+SUMPRODUCT(($B$5:$B$335=$B126)*($AQ$5:$AQ$335=1)*($AO$5:$AO$335&lt;$AO126)),1+SUMPRODUCT(($B$5:$B$335=$B126)*($AQ$5:$AQ$335=1)*ISNUMBER($AO$5:$AO$335))+SUMPRODUCT(($B$5:$B$335=$B126)*($AQ$5:$AQ$335=1)*($AO$5:$AO$335="")*(ROW($AO$5:$AO$335)&lt;ROW()))))</f>
        <v/>
      </c>
      <c r="AS126" s="24" t="s">
        <v>734</v>
      </c>
    </row>
    <row r="127" spans="1:45">
      <c r="A127" s="20" t="s">
        <v>735</v>
      </c>
      <c r="B127" s="21" t="s">
        <v>79</v>
      </c>
      <c r="C127" s="21" t="s">
        <v>702</v>
      </c>
      <c r="D127" s="21" t="s">
        <v>736</v>
      </c>
      <c r="E127" s="20" t="s">
        <v>157</v>
      </c>
      <c r="F127" s="20" t="s">
        <v>126</v>
      </c>
      <c r="G127" s="20">
        <v>0</v>
      </c>
      <c r="H127" s="20">
        <v>100</v>
      </c>
      <c r="I127" s="20">
        <v>40</v>
      </c>
      <c r="J127" s="22">
        <v>1</v>
      </c>
      <c r="K127" s="21" t="s">
        <v>737</v>
      </c>
      <c r="L127" s="20"/>
      <c r="M127" s="21" t="s">
        <v>129</v>
      </c>
      <c r="N127" s="20">
        <v>0</v>
      </c>
      <c r="O127" s="21" t="s">
        <v>711</v>
      </c>
      <c r="P127" s="20" t="s">
        <v>152</v>
      </c>
      <c r="Q127" s="6"/>
      <c r="R127" s="6"/>
      <c r="S127" s="6"/>
      <c r="T127" s="6"/>
      <c r="U127" s="6"/>
      <c r="V127" s="6"/>
      <c r="W127" s="6"/>
      <c r="X127" s="6"/>
      <c r="Y127" s="6"/>
      <c r="Z127" s="6"/>
      <c r="AA127" s="6"/>
      <c r="AB127" s="20">
        <f>COUNT(Q127:AA127)</f>
        <v>0</v>
      </c>
      <c r="AC127" s="23">
        <f>AB127/11</f>
        <v>0</v>
      </c>
      <c r="AD127" s="20" t="str">
        <f>IFERROR(INDEX($Q$4:$AA$4,MATCH(TRUE,INDEX(ISNUMBER(Q127:AA127),0),0)),"")</f>
        <v/>
      </c>
      <c r="AE127" s="20" t="str">
        <f>IFERROR(LOOKUP(2,1/ISNUMBER(Q127:AA127),$Q$4:$AA$4),"")</f>
        <v/>
      </c>
      <c r="AF127" s="23" t="str">
        <f>IF(AB127=0,"",AB127/(AE127-AD127+1))</f>
        <v/>
      </c>
      <c r="AG127" s="20" t="str">
        <f>IF(AB127=0,"",'01_Criterios'!$C$8-AE127)</f>
        <v/>
      </c>
      <c r="AH127" s="7">
        <f>IF(P127="Em uso",100,IF(P127="Alta",85,IF(P127="Média",55,30)))</f>
        <v>85</v>
      </c>
      <c r="AI127" s="7">
        <f>ROUND(100*AC127,1)</f>
        <v>0</v>
      </c>
      <c r="AJ127" s="7">
        <f>IF(AB127=0,0,ROUND(MAX(0,100*AF127-10*AG127),1))</f>
        <v>0</v>
      </c>
      <c r="AK127" s="7">
        <f>ROUND(('01_Criterios'!$C$19*AH127+'01_Criterios'!$C$20*AI127+'01_Criterios'!$C$21*AJ127)/('01_Criterios'!$C$19+'01_Criterios'!$C$20+'01_Criterios'!$C$21)+N127*'01_Criterios'!$C$22,1)</f>
        <v>34</v>
      </c>
      <c r="AL127" s="20">
        <f>IF(AND(AB127&gt;=3,AC127&gt;='01_Criterios'!$C$11,N(AE127)&gt;='01_Criterios'!$C$12,OR(F127="+",F127="-"),ISNUMBER(G127),ISNUMBER(H127)),1,0)</f>
        <v>0</v>
      </c>
      <c r="AM127" s="24" t="str">
        <f>IF(AL127=1,"",TRIM(IF(AB127=0,"sem dados no período; ",IF(AB127&lt;3,"série demasiado curta; ",""))&amp;IF(AND(AB127&gt;0,AC127&lt;'01_Criterios'!$C$11),"cobertura insuficiente; ","")&amp;IF(AND(AB127&gt;0,N(AE127)&lt;'01_Criterios'!$C$12),"desactualizado; ","")&amp;IF(AND(F127&lt;&gt;"+",F127&lt;&gt;"-"),"sentido ambíguo; ","")&amp;IF(OR(NOT(ISNUMBER(G127)),NOT(ISNUMBER(H127))),"sem limites min/max; ","")))</f>
        <v>sem dados no período;</v>
      </c>
      <c r="AN127" s="20">
        <f>IF(OR(AL127=0,$AP127="Excluir"),0,IF(SUMPRODUCT(($O$5:$O$335=$O127)*($AL$5:$AL$335=1)*($AP$5:$AP$335&lt;&gt;"Excluir")*(($AK$5:$AK$335&gt;$AK127)+(($AK$5:$AK$335=$AK127)*(ROW($O$5:$O$335)&lt;ROW()))))=0,1,0))</f>
        <v>0</v>
      </c>
      <c r="AO127" s="20" t="str">
        <f>IF(AN127=0,"",1+SUMPRODUCT(($B$5:$B$335=$B127)*($AN$5:$AN$335=1)*(($AK$5:$AK$335&gt;$AK127)+(($AK$5:$AK$335=$AK127)*(ROW($B$5:$B$335)&lt;ROW())))))</f>
        <v/>
      </c>
      <c r="AP127" s="22" t="s">
        <v>131</v>
      </c>
      <c r="AQ127" s="20">
        <f>IF(INDEX('01_Criterios'!$C$26:$C$36,MATCH($B127,'01_Criterios'!$B$26:$B$36,0))&lt;&gt;1,0,IF($AP127="Excluir",0,IF($AP127="Incluir",IF(AND(OR($F127="+",$F127="-"),ISNUMBER($G127),ISNUMBER($H127),COUNT($Q127:$AA127)&gt;0),1,0),IF('01_Criterios'!$C$18="Automática",IF(AND($AN127=1,$AO127&lt;&gt;"",$AO127&lt;=INDEX('01_Criterios'!$E$26:$E$36,MATCH($B127,'01_Criterios'!$B$26:$B$36,0))),1,0),0))))</f>
        <v>0</v>
      </c>
      <c r="AR127" s="20" t="str">
        <f>IF(AQ127=0,"",IF($AO127&lt;&gt;"",1+SUMPRODUCT(($B$5:$B$335=$B127)*($AQ$5:$AQ$335=1)*($AO$5:$AO$335&lt;$AO127)),1+SUMPRODUCT(($B$5:$B$335=$B127)*($AQ$5:$AQ$335=1)*ISNUMBER($AO$5:$AO$335))+SUMPRODUCT(($B$5:$B$335=$B127)*($AQ$5:$AQ$335=1)*($AO$5:$AO$335="")*(ROW($AO$5:$AO$335)&lt;ROW()))))</f>
        <v/>
      </c>
      <c r="AS127" s="24" t="s">
        <v>738</v>
      </c>
    </row>
    <row r="128" spans="1:45">
      <c r="A128" s="25" t="s">
        <v>739</v>
      </c>
      <c r="B128" s="26" t="s">
        <v>79</v>
      </c>
      <c r="C128" s="26" t="s">
        <v>740</v>
      </c>
      <c r="D128" s="26" t="s">
        <v>741</v>
      </c>
      <c r="E128" s="25" t="s">
        <v>742</v>
      </c>
      <c r="F128" s="25" t="s">
        <v>126</v>
      </c>
      <c r="G128" s="25">
        <v>0</v>
      </c>
      <c r="H128" s="25">
        <v>100</v>
      </c>
      <c r="I128" s="25">
        <v>60</v>
      </c>
      <c r="J128" s="22">
        <v>1</v>
      </c>
      <c r="K128" s="26" t="s">
        <v>743</v>
      </c>
      <c r="L128" s="25" t="s">
        <v>744</v>
      </c>
      <c r="M128" s="26" t="s">
        <v>161</v>
      </c>
      <c r="N128" s="25">
        <v>0</v>
      </c>
      <c r="O128" s="26" t="s">
        <v>711</v>
      </c>
      <c r="P128" s="25" t="s">
        <v>152</v>
      </c>
      <c r="Q128" s="27"/>
      <c r="R128" s="27"/>
      <c r="S128" s="27"/>
      <c r="T128" s="27">
        <v>10.334349168176001</v>
      </c>
      <c r="U128" s="27"/>
      <c r="V128" s="27"/>
      <c r="W128" s="27"/>
      <c r="X128" s="27"/>
      <c r="Y128" s="27"/>
      <c r="Z128" s="27"/>
      <c r="AA128" s="27"/>
      <c r="AB128" s="25">
        <f>COUNT(Q128:AA128)</f>
        <v>1</v>
      </c>
      <c r="AC128" s="28">
        <f>AB128/11</f>
        <v>9.0909090909090912E-2</v>
      </c>
      <c r="AD128" s="25">
        <f>IFERROR(INDEX($Q$4:$AA$4,MATCH(TRUE,INDEX(ISNUMBER(Q128:AA128),0),0)),"")</f>
        <v>2018</v>
      </c>
      <c r="AE128" s="25">
        <f>IFERROR(LOOKUP(2,1/ISNUMBER(Q128:AA128),$Q$4:$AA$4),"")</f>
        <v>2018</v>
      </c>
      <c r="AF128" s="28">
        <f>IF(AB128=0,"",AB128/(AE128-AD128+1))</f>
        <v>1</v>
      </c>
      <c r="AG128" s="25">
        <f>IF(AB128=0,"",'01_Criterios'!$C$8-AE128)</f>
        <v>7</v>
      </c>
      <c r="AH128" s="29">
        <f>IF(P128="Em uso",100,IF(P128="Alta",85,IF(P128="Média",55,30)))</f>
        <v>85</v>
      </c>
      <c r="AI128" s="29">
        <f>ROUND(100*AC128,1)</f>
        <v>9.1</v>
      </c>
      <c r="AJ128" s="29">
        <f>IF(AB128=0,0,ROUND(MAX(0,100*AF128-10*AG128),1))</f>
        <v>30</v>
      </c>
      <c r="AK128" s="29">
        <f>ROUND(('01_Criterios'!$C$19*AH128+'01_Criterios'!$C$20*AI128+'01_Criterios'!$C$21*AJ128)/('01_Criterios'!$C$19+'01_Criterios'!$C$20+'01_Criterios'!$C$21)+N128*'01_Criterios'!$C$22,1)</f>
        <v>44.7</v>
      </c>
      <c r="AL128" s="25">
        <f>IF(AND(AB128&gt;=3,AC128&gt;='01_Criterios'!$C$11,N(AE128)&gt;='01_Criterios'!$C$12,OR(F128="+",F128="-"),ISNUMBER(G128),ISNUMBER(H128)),1,0)</f>
        <v>0</v>
      </c>
      <c r="AM128" s="30" t="str">
        <f>IF(AL128=1,"",TRIM(IF(AB128=0,"sem dados no período; ",IF(AB128&lt;3,"série demasiado curta; ",""))&amp;IF(AND(AB128&gt;0,AC128&lt;'01_Criterios'!$C$11),"cobertura insuficiente; ","")&amp;IF(AND(AB128&gt;0,N(AE128)&lt;'01_Criterios'!$C$12),"desactualizado; ","")&amp;IF(AND(F128&lt;&gt;"+",F128&lt;&gt;"-"),"sentido ambíguo; ","")&amp;IF(OR(NOT(ISNUMBER(G128)),NOT(ISNUMBER(H128))),"sem limites min/max; ","")))</f>
        <v>série demasiado curta; cobertura insuficiente; desactualizado;</v>
      </c>
      <c r="AN128" s="25">
        <f>IF(OR(AL128=0,$AP128="Excluir"),0,IF(SUMPRODUCT(($O$5:$O$335=$O128)*($AL$5:$AL$335=1)*($AP$5:$AP$335&lt;&gt;"Excluir")*(($AK$5:$AK$335&gt;$AK128)+(($AK$5:$AK$335=$AK128)*(ROW($O$5:$O$335)&lt;ROW()))))=0,1,0))</f>
        <v>0</v>
      </c>
      <c r="AO128" s="25" t="str">
        <f>IF(AN128=0,"",1+SUMPRODUCT(($B$5:$B$335=$B128)*($AN$5:$AN$335=1)*(($AK$5:$AK$335&gt;$AK128)+(($AK$5:$AK$335=$AK128)*(ROW($B$5:$B$335)&lt;ROW())))))</f>
        <v/>
      </c>
      <c r="AP128" s="22" t="s">
        <v>131</v>
      </c>
      <c r="AQ128" s="25">
        <f>IF(INDEX('01_Criterios'!$C$26:$C$36,MATCH($B128,'01_Criterios'!$B$26:$B$36,0))&lt;&gt;1,0,IF($AP128="Excluir",0,IF($AP128="Incluir",IF(AND(OR($F128="+",$F128="-"),ISNUMBER($G128),ISNUMBER($H128),COUNT($Q128:$AA128)&gt;0),1,0),IF('01_Criterios'!$C$18="Automática",IF(AND($AN128=1,$AO128&lt;&gt;"",$AO128&lt;=INDEX('01_Criterios'!$E$26:$E$36,MATCH($B128,'01_Criterios'!$B$26:$B$36,0))),1,0),0))))</f>
        <v>0</v>
      </c>
      <c r="AR128" s="25" t="str">
        <f>IF(AQ128=0,"",IF($AO128&lt;&gt;"",1+SUMPRODUCT(($B$5:$B$335=$B128)*($AQ$5:$AQ$335=1)*($AO$5:$AO$335&lt;$AO128)),1+SUMPRODUCT(($B$5:$B$335=$B128)*($AQ$5:$AQ$335=1)*ISNUMBER($AO$5:$AO$335))+SUMPRODUCT(($B$5:$B$335=$B128)*($AQ$5:$AQ$335=1)*($AO$5:$AO$335="")*(ROW($AO$5:$AO$335)&lt;ROW()))))</f>
        <v/>
      </c>
      <c r="AS128" s="24" t="s">
        <v>745</v>
      </c>
    </row>
    <row r="129" spans="1:45">
      <c r="A129" s="20" t="s">
        <v>746</v>
      </c>
      <c r="B129" s="21" t="s">
        <v>79</v>
      </c>
      <c r="C129" s="21" t="s">
        <v>740</v>
      </c>
      <c r="D129" s="21" t="s">
        <v>747</v>
      </c>
      <c r="E129" s="20" t="s">
        <v>742</v>
      </c>
      <c r="F129" s="20" t="s">
        <v>126</v>
      </c>
      <c r="G129" s="20">
        <v>0</v>
      </c>
      <c r="H129" s="20">
        <v>100</v>
      </c>
      <c r="I129" s="20">
        <v>60</v>
      </c>
      <c r="J129" s="22">
        <v>1</v>
      </c>
      <c r="K129" s="21" t="s">
        <v>743</v>
      </c>
      <c r="L129" s="20" t="s">
        <v>748</v>
      </c>
      <c r="M129" s="21" t="s">
        <v>161</v>
      </c>
      <c r="N129" s="20">
        <v>0</v>
      </c>
      <c r="O129" s="21" t="s">
        <v>711</v>
      </c>
      <c r="P129" s="20" t="s">
        <v>152</v>
      </c>
      <c r="Q129" s="6"/>
      <c r="R129" s="6"/>
      <c r="S129" s="6"/>
      <c r="T129" s="6">
        <v>4.6801958869247002</v>
      </c>
      <c r="U129" s="6"/>
      <c r="V129" s="6"/>
      <c r="W129" s="6"/>
      <c r="X129" s="6"/>
      <c r="Y129" s="6"/>
      <c r="Z129" s="6"/>
      <c r="AA129" s="6"/>
      <c r="AB129" s="20">
        <f>COUNT(Q129:AA129)</f>
        <v>1</v>
      </c>
      <c r="AC129" s="23">
        <f>AB129/11</f>
        <v>9.0909090909090912E-2</v>
      </c>
      <c r="AD129" s="20">
        <f>IFERROR(INDEX($Q$4:$AA$4,MATCH(TRUE,INDEX(ISNUMBER(Q129:AA129),0),0)),"")</f>
        <v>2018</v>
      </c>
      <c r="AE129" s="20">
        <f>IFERROR(LOOKUP(2,1/ISNUMBER(Q129:AA129),$Q$4:$AA$4),"")</f>
        <v>2018</v>
      </c>
      <c r="AF129" s="23">
        <f>IF(AB129=0,"",AB129/(AE129-AD129+1))</f>
        <v>1</v>
      </c>
      <c r="AG129" s="20">
        <f>IF(AB129=0,"",'01_Criterios'!$C$8-AE129)</f>
        <v>7</v>
      </c>
      <c r="AH129" s="7">
        <f>IF(P129="Em uso",100,IF(P129="Alta",85,IF(P129="Média",55,30)))</f>
        <v>85</v>
      </c>
      <c r="AI129" s="7">
        <f>ROUND(100*AC129,1)</f>
        <v>9.1</v>
      </c>
      <c r="AJ129" s="7">
        <f>IF(AB129=0,0,ROUND(MAX(0,100*AF129-10*AG129),1))</f>
        <v>30</v>
      </c>
      <c r="AK129" s="7">
        <f>ROUND(('01_Criterios'!$C$19*AH129+'01_Criterios'!$C$20*AI129+'01_Criterios'!$C$21*AJ129)/('01_Criterios'!$C$19+'01_Criterios'!$C$20+'01_Criterios'!$C$21)+N129*'01_Criterios'!$C$22,1)</f>
        <v>44.7</v>
      </c>
      <c r="AL129" s="20">
        <f>IF(AND(AB129&gt;=3,AC129&gt;='01_Criterios'!$C$11,N(AE129)&gt;='01_Criterios'!$C$12,OR(F129="+",F129="-"),ISNUMBER(G129),ISNUMBER(H129)),1,0)</f>
        <v>0</v>
      </c>
      <c r="AM129" s="24" t="str">
        <f>IF(AL129=1,"",TRIM(IF(AB129=0,"sem dados no período; ",IF(AB129&lt;3,"série demasiado curta; ",""))&amp;IF(AND(AB129&gt;0,AC129&lt;'01_Criterios'!$C$11),"cobertura insuficiente; ","")&amp;IF(AND(AB129&gt;0,N(AE129)&lt;'01_Criterios'!$C$12),"desactualizado; ","")&amp;IF(AND(F129&lt;&gt;"+",F129&lt;&gt;"-"),"sentido ambíguo; ","")&amp;IF(OR(NOT(ISNUMBER(G129)),NOT(ISNUMBER(H129))),"sem limites min/max; ","")))</f>
        <v>série demasiado curta; cobertura insuficiente; desactualizado;</v>
      </c>
      <c r="AN129" s="20">
        <f>IF(OR(AL129=0,$AP129="Excluir"),0,IF(SUMPRODUCT(($O$5:$O$335=$O129)*($AL$5:$AL$335=1)*($AP$5:$AP$335&lt;&gt;"Excluir")*(($AK$5:$AK$335&gt;$AK129)+(($AK$5:$AK$335=$AK129)*(ROW($O$5:$O$335)&lt;ROW()))))=0,1,0))</f>
        <v>0</v>
      </c>
      <c r="AO129" s="20" t="str">
        <f>IF(AN129=0,"",1+SUMPRODUCT(($B$5:$B$335=$B129)*($AN$5:$AN$335=1)*(($AK$5:$AK$335&gt;$AK129)+(($AK$5:$AK$335=$AK129)*(ROW($B$5:$B$335)&lt;ROW())))))</f>
        <v/>
      </c>
      <c r="AP129" s="22" t="s">
        <v>131</v>
      </c>
      <c r="AQ129" s="20">
        <f>IF(INDEX('01_Criterios'!$C$26:$C$36,MATCH($B129,'01_Criterios'!$B$26:$B$36,0))&lt;&gt;1,0,IF($AP129="Excluir",0,IF($AP129="Incluir",IF(AND(OR($F129="+",$F129="-"),ISNUMBER($G129),ISNUMBER($H129),COUNT($Q129:$AA129)&gt;0),1,0),IF('01_Criterios'!$C$18="Automática",IF(AND($AN129=1,$AO129&lt;&gt;"",$AO129&lt;=INDEX('01_Criterios'!$E$26:$E$36,MATCH($B129,'01_Criterios'!$B$26:$B$36,0))),1,0),0))))</f>
        <v>0</v>
      </c>
      <c r="AR129" s="20" t="str">
        <f>IF(AQ129=0,"",IF($AO129&lt;&gt;"",1+SUMPRODUCT(($B$5:$B$335=$B129)*($AQ$5:$AQ$335=1)*($AO$5:$AO$335&lt;$AO129)),1+SUMPRODUCT(($B$5:$B$335=$B129)*($AQ$5:$AQ$335=1)*ISNUMBER($AO$5:$AO$335))+SUMPRODUCT(($B$5:$B$335=$B129)*($AQ$5:$AQ$335=1)*($AO$5:$AO$335="")*(ROW($AO$5:$AO$335)&lt;ROW()))))</f>
        <v/>
      </c>
      <c r="AS129" s="24" t="s">
        <v>749</v>
      </c>
    </row>
    <row r="130" spans="1:45">
      <c r="A130" s="25" t="s">
        <v>750</v>
      </c>
      <c r="B130" s="26" t="s">
        <v>79</v>
      </c>
      <c r="C130" s="26" t="s">
        <v>751</v>
      </c>
      <c r="D130" s="26" t="s">
        <v>752</v>
      </c>
      <c r="E130" s="25" t="s">
        <v>742</v>
      </c>
      <c r="F130" s="25" t="s">
        <v>158</v>
      </c>
      <c r="G130" s="25">
        <v>0</v>
      </c>
      <c r="H130" s="25">
        <v>100</v>
      </c>
      <c r="I130" s="25">
        <v>35</v>
      </c>
      <c r="J130" s="22">
        <v>1</v>
      </c>
      <c r="K130" s="26" t="s">
        <v>204</v>
      </c>
      <c r="L130" s="25" t="s">
        <v>753</v>
      </c>
      <c r="M130" s="26" t="s">
        <v>161</v>
      </c>
      <c r="N130" s="25">
        <v>0</v>
      </c>
      <c r="O130" s="26" t="s">
        <v>706</v>
      </c>
      <c r="P130" s="25" t="s">
        <v>152</v>
      </c>
      <c r="Q130" s="27"/>
      <c r="R130" s="27"/>
      <c r="S130" s="27"/>
      <c r="T130" s="27">
        <v>51.5</v>
      </c>
      <c r="U130" s="27"/>
      <c r="V130" s="27"/>
      <c r="W130" s="27"/>
      <c r="X130" s="27"/>
      <c r="Y130" s="27"/>
      <c r="Z130" s="27"/>
      <c r="AA130" s="27"/>
      <c r="AB130" s="25">
        <f>COUNT(Q130:AA130)</f>
        <v>1</v>
      </c>
      <c r="AC130" s="28">
        <f>AB130/11</f>
        <v>9.0909090909090912E-2</v>
      </c>
      <c r="AD130" s="25">
        <f>IFERROR(INDEX($Q$4:$AA$4,MATCH(TRUE,INDEX(ISNUMBER(Q130:AA130),0),0)),"")</f>
        <v>2018</v>
      </c>
      <c r="AE130" s="25">
        <f>IFERROR(LOOKUP(2,1/ISNUMBER(Q130:AA130),$Q$4:$AA$4),"")</f>
        <v>2018</v>
      </c>
      <c r="AF130" s="28">
        <f>IF(AB130=0,"",AB130/(AE130-AD130+1))</f>
        <v>1</v>
      </c>
      <c r="AG130" s="25">
        <f>IF(AB130=0,"",'01_Criterios'!$C$8-AE130)</f>
        <v>7</v>
      </c>
      <c r="AH130" s="29">
        <f>IF(P130="Em uso",100,IF(P130="Alta",85,IF(P130="Média",55,30)))</f>
        <v>85</v>
      </c>
      <c r="AI130" s="29">
        <f>ROUND(100*AC130,1)</f>
        <v>9.1</v>
      </c>
      <c r="AJ130" s="29">
        <f>IF(AB130=0,0,ROUND(MAX(0,100*AF130-10*AG130),1))</f>
        <v>30</v>
      </c>
      <c r="AK130" s="29">
        <f>ROUND(('01_Criterios'!$C$19*AH130+'01_Criterios'!$C$20*AI130+'01_Criterios'!$C$21*AJ130)/('01_Criterios'!$C$19+'01_Criterios'!$C$20+'01_Criterios'!$C$21)+N130*'01_Criterios'!$C$22,1)</f>
        <v>44.7</v>
      </c>
      <c r="AL130" s="25">
        <f>IF(AND(AB130&gt;=3,AC130&gt;='01_Criterios'!$C$11,N(AE130)&gt;='01_Criterios'!$C$12,OR(F130="+",F130="-"),ISNUMBER(G130),ISNUMBER(H130)),1,0)</f>
        <v>0</v>
      </c>
      <c r="AM130" s="30" t="str">
        <f>IF(AL130=1,"",TRIM(IF(AB130=0,"sem dados no período; ",IF(AB130&lt;3,"série demasiado curta; ",""))&amp;IF(AND(AB130&gt;0,AC130&lt;'01_Criterios'!$C$11),"cobertura insuficiente; ","")&amp;IF(AND(AB130&gt;0,N(AE130)&lt;'01_Criterios'!$C$12),"desactualizado; ","")&amp;IF(AND(F130&lt;&gt;"+",F130&lt;&gt;"-"),"sentido ambíguo; ","")&amp;IF(OR(NOT(ISNUMBER(G130)),NOT(ISNUMBER(H130))),"sem limites min/max; ","")))</f>
        <v>série demasiado curta; cobertura insuficiente; desactualizado;</v>
      </c>
      <c r="AN130" s="25">
        <f>IF(OR(AL130=0,$AP130="Excluir"),0,IF(SUMPRODUCT(($O$5:$O$335=$O130)*($AL$5:$AL$335=1)*($AP$5:$AP$335&lt;&gt;"Excluir")*(($AK$5:$AK$335&gt;$AK130)+(($AK$5:$AK$335=$AK130)*(ROW($O$5:$O$335)&lt;ROW()))))=0,1,0))</f>
        <v>0</v>
      </c>
      <c r="AO130" s="25" t="str">
        <f>IF(AN130=0,"",1+SUMPRODUCT(($B$5:$B$335=$B130)*($AN$5:$AN$335=1)*(($AK$5:$AK$335&gt;$AK130)+(($AK$5:$AK$335=$AK130)*(ROW($B$5:$B$335)&lt;ROW())))))</f>
        <v/>
      </c>
      <c r="AP130" s="22" t="s">
        <v>131</v>
      </c>
      <c r="AQ130" s="25">
        <f>IF(INDEX('01_Criterios'!$C$26:$C$36,MATCH($B130,'01_Criterios'!$B$26:$B$36,0))&lt;&gt;1,0,IF($AP130="Excluir",0,IF($AP130="Incluir",IF(AND(OR($F130="+",$F130="-"),ISNUMBER($G130),ISNUMBER($H130),COUNT($Q130:$AA130)&gt;0),1,0),IF('01_Criterios'!$C$18="Automática",IF(AND($AN130=1,$AO130&lt;&gt;"",$AO130&lt;=INDEX('01_Criterios'!$E$26:$E$36,MATCH($B130,'01_Criterios'!$B$26:$B$36,0))),1,0),0))))</f>
        <v>0</v>
      </c>
      <c r="AR130" s="25" t="str">
        <f>IF(AQ130=0,"",IF($AO130&lt;&gt;"",1+SUMPRODUCT(($B$5:$B$335=$B130)*($AQ$5:$AQ$335=1)*($AO$5:$AO$335&lt;$AO130)),1+SUMPRODUCT(($B$5:$B$335=$B130)*($AQ$5:$AQ$335=1)*ISNUMBER($AO$5:$AO$335))+SUMPRODUCT(($B$5:$B$335=$B130)*($AQ$5:$AQ$335=1)*($AO$5:$AO$335="")*(ROW($AO$5:$AO$335)&lt;ROW()))))</f>
        <v/>
      </c>
      <c r="AS130" s="24" t="s">
        <v>754</v>
      </c>
    </row>
    <row r="131" spans="1:45">
      <c r="A131" s="20" t="s">
        <v>755</v>
      </c>
      <c r="B131" s="21" t="s">
        <v>79</v>
      </c>
      <c r="C131" s="21" t="s">
        <v>756</v>
      </c>
      <c r="D131" s="21" t="s">
        <v>757</v>
      </c>
      <c r="E131" s="20" t="s">
        <v>579</v>
      </c>
      <c r="F131" s="20" t="s">
        <v>126</v>
      </c>
      <c r="G131" s="20">
        <v>0</v>
      </c>
      <c r="H131" s="20">
        <v>1</v>
      </c>
      <c r="I131" s="20">
        <v>0.95</v>
      </c>
      <c r="J131" s="22">
        <v>1</v>
      </c>
      <c r="K131" s="21" t="s">
        <v>603</v>
      </c>
      <c r="L131" s="20" t="s">
        <v>758</v>
      </c>
      <c r="M131" s="21" t="s">
        <v>574</v>
      </c>
      <c r="N131" s="20">
        <v>0</v>
      </c>
      <c r="O131" s="21" t="s">
        <v>755</v>
      </c>
      <c r="P131" s="20" t="s">
        <v>152</v>
      </c>
      <c r="Q131" s="6">
        <v>0.877</v>
      </c>
      <c r="R131" s="6">
        <v>0.89200000000000002</v>
      </c>
      <c r="S131" s="6">
        <v>0.89600000000000002</v>
      </c>
      <c r="T131" s="6">
        <v>0.90200000000000002</v>
      </c>
      <c r="U131" s="6">
        <v>0.88900000000000001</v>
      </c>
      <c r="V131" s="6">
        <v>0.90600000000000003</v>
      </c>
      <c r="W131" s="6">
        <v>0.89800000000000002</v>
      </c>
      <c r="X131" s="6">
        <v>0.90500000000000003</v>
      </c>
      <c r="Y131" s="6"/>
      <c r="Z131" s="6"/>
      <c r="AA131" s="6"/>
      <c r="AB131" s="20">
        <f>COUNT(Q131:AA131)</f>
        <v>8</v>
      </c>
      <c r="AC131" s="23">
        <f>AB131/11</f>
        <v>0.72727272727272729</v>
      </c>
      <c r="AD131" s="20">
        <f>IFERROR(INDEX($Q$4:$AA$4,MATCH(TRUE,INDEX(ISNUMBER(Q131:AA131),0),0)),"")</f>
        <v>2015</v>
      </c>
      <c r="AE131" s="20">
        <f>IFERROR(LOOKUP(2,1/ISNUMBER(Q131:AA131),$Q$4:$AA$4),"")</f>
        <v>2022</v>
      </c>
      <c r="AF131" s="23">
        <f>IF(AB131=0,"",AB131/(AE131-AD131+1))</f>
        <v>1</v>
      </c>
      <c r="AG131" s="20">
        <f>IF(AB131=0,"",'01_Criterios'!$C$8-AE131)</f>
        <v>3</v>
      </c>
      <c r="AH131" s="7">
        <f>IF(P131="Em uso",100,IF(P131="Alta",85,IF(P131="Média",55,30)))</f>
        <v>85</v>
      </c>
      <c r="AI131" s="7">
        <f>ROUND(100*AC131,1)</f>
        <v>72.7</v>
      </c>
      <c r="AJ131" s="7">
        <f>IF(AB131=0,0,ROUND(MAX(0,100*AF131-10*AG131),1))</f>
        <v>70</v>
      </c>
      <c r="AK131" s="7">
        <f>ROUND(('01_Criterios'!$C$19*AH131+'01_Criterios'!$C$20*AI131+'01_Criterios'!$C$21*AJ131)/('01_Criterios'!$C$19+'01_Criterios'!$C$20+'01_Criterios'!$C$21)+N131*'01_Criterios'!$C$22,1)</f>
        <v>76.900000000000006</v>
      </c>
      <c r="AL131" s="20">
        <f>IF(AND(AB131&gt;=3,AC131&gt;='01_Criterios'!$C$11,N(AE131)&gt;='01_Criterios'!$C$12,OR(F131="+",F131="-"),ISNUMBER(G131),ISNUMBER(H131)),1,0)</f>
        <v>0</v>
      </c>
      <c r="AM131" s="24" t="str">
        <f>IF(AL131=1,"",TRIM(IF(AB131=0,"sem dados no período; ",IF(AB131&lt;3,"série demasiado curta; ",""))&amp;IF(AND(AB131&gt;0,AC131&lt;'01_Criterios'!$C$11),"cobertura insuficiente; ","")&amp;IF(AND(AB131&gt;0,N(AE131)&lt;'01_Criterios'!$C$12),"desactualizado; ","")&amp;IF(AND(F131&lt;&gt;"+",F131&lt;&gt;"-"),"sentido ambíguo; ","")&amp;IF(OR(NOT(ISNUMBER(G131)),NOT(ISNUMBER(H131))),"sem limites min/max; ","")))</f>
        <v>cobertura insuficiente; desactualizado;</v>
      </c>
      <c r="AN131" s="20">
        <f>IF(OR(AL131=0,$AP131="Excluir"),0,IF(SUMPRODUCT(($O$5:$O$335=$O131)*($AL$5:$AL$335=1)*($AP$5:$AP$335&lt;&gt;"Excluir")*(($AK$5:$AK$335&gt;$AK131)+(($AK$5:$AK$335=$AK131)*(ROW($O$5:$O$335)&lt;ROW()))))=0,1,0))</f>
        <v>0</v>
      </c>
      <c r="AO131" s="20" t="str">
        <f>IF(AN131=0,"",1+SUMPRODUCT(($B$5:$B$335=$B131)*($AN$5:$AN$335=1)*(($AK$5:$AK$335&gt;$AK131)+(($AK$5:$AK$335=$AK131)*(ROW($B$5:$B$335)&lt;ROW())))))</f>
        <v/>
      </c>
      <c r="AP131" s="22" t="s">
        <v>131</v>
      </c>
      <c r="AQ131" s="20">
        <f>IF(INDEX('01_Criterios'!$C$26:$C$36,MATCH($B131,'01_Criterios'!$B$26:$B$36,0))&lt;&gt;1,0,IF($AP131="Excluir",0,IF($AP131="Incluir",IF(AND(OR($F131="+",$F131="-"),ISNUMBER($G131),ISNUMBER($H131),COUNT($Q131:$AA131)&gt;0),1,0),IF('01_Criterios'!$C$18="Automática",IF(AND($AN131=1,$AO131&lt;&gt;"",$AO131&lt;=INDEX('01_Criterios'!$E$26:$E$36,MATCH($B131,'01_Criterios'!$B$26:$B$36,0))),1,0),0))))</f>
        <v>0</v>
      </c>
      <c r="AR131" s="20" t="str">
        <f>IF(AQ131=0,"",IF($AO131&lt;&gt;"",1+SUMPRODUCT(($B$5:$B$335=$B131)*($AQ$5:$AQ$335=1)*($AO$5:$AO$335&lt;$AO131)),1+SUMPRODUCT(($B$5:$B$335=$B131)*($AQ$5:$AQ$335=1)*ISNUMBER($AO$5:$AO$335))+SUMPRODUCT(($B$5:$B$335=$B131)*($AQ$5:$AQ$335=1)*($AO$5:$AO$335="")*(ROW($AO$5:$AO$335)&lt;ROW()))))</f>
        <v/>
      </c>
      <c r="AS131" s="24" t="s">
        <v>759</v>
      </c>
    </row>
    <row r="132" spans="1:45">
      <c r="A132" s="25" t="s">
        <v>760</v>
      </c>
      <c r="B132" s="26" t="s">
        <v>79</v>
      </c>
      <c r="C132" s="26" t="s">
        <v>756</v>
      </c>
      <c r="D132" s="26" t="s">
        <v>761</v>
      </c>
      <c r="E132" s="25" t="s">
        <v>579</v>
      </c>
      <c r="F132" s="25" t="s">
        <v>158</v>
      </c>
      <c r="G132" s="25">
        <v>0</v>
      </c>
      <c r="H132" s="25">
        <v>1</v>
      </c>
      <c r="I132" s="25">
        <v>0.35</v>
      </c>
      <c r="J132" s="22">
        <v>1</v>
      </c>
      <c r="K132" s="26" t="s">
        <v>603</v>
      </c>
      <c r="L132" s="25" t="s">
        <v>762</v>
      </c>
      <c r="M132" s="26" t="s">
        <v>574</v>
      </c>
      <c r="N132" s="25">
        <v>0</v>
      </c>
      <c r="O132" s="26" t="s">
        <v>760</v>
      </c>
      <c r="P132" s="25" t="s">
        <v>152</v>
      </c>
      <c r="Q132" s="27">
        <v>0.54800000000000004</v>
      </c>
      <c r="R132" s="27">
        <v>0.54300000000000004</v>
      </c>
      <c r="S132" s="27">
        <v>0.54700000000000004</v>
      </c>
      <c r="T132" s="27">
        <v>0.53700000000000003</v>
      </c>
      <c r="U132" s="27">
        <v>0.53300000000000003</v>
      </c>
      <c r="V132" s="27">
        <v>0.52900000000000003</v>
      </c>
      <c r="W132" s="27">
        <v>0.52900000000000003</v>
      </c>
      <c r="X132" s="27">
        <v>0.52</v>
      </c>
      <c r="Y132" s="27"/>
      <c r="Z132" s="27"/>
      <c r="AA132" s="27"/>
      <c r="AB132" s="25">
        <f>COUNT(Q132:AA132)</f>
        <v>8</v>
      </c>
      <c r="AC132" s="28">
        <f>AB132/11</f>
        <v>0.72727272727272729</v>
      </c>
      <c r="AD132" s="25">
        <f>IFERROR(INDEX($Q$4:$AA$4,MATCH(TRUE,INDEX(ISNUMBER(Q132:AA132),0),0)),"")</f>
        <v>2015</v>
      </c>
      <c r="AE132" s="25">
        <f>IFERROR(LOOKUP(2,1/ISNUMBER(Q132:AA132),$Q$4:$AA$4),"")</f>
        <v>2022</v>
      </c>
      <c r="AF132" s="28">
        <f>IF(AB132=0,"",AB132/(AE132-AD132+1))</f>
        <v>1</v>
      </c>
      <c r="AG132" s="25">
        <f>IF(AB132=0,"",'01_Criterios'!$C$8-AE132)</f>
        <v>3</v>
      </c>
      <c r="AH132" s="29">
        <f>IF(P132="Em uso",100,IF(P132="Alta",85,IF(P132="Média",55,30)))</f>
        <v>85</v>
      </c>
      <c r="AI132" s="29">
        <f>ROUND(100*AC132,1)</f>
        <v>72.7</v>
      </c>
      <c r="AJ132" s="29">
        <f>IF(AB132=0,0,ROUND(MAX(0,100*AF132-10*AG132),1))</f>
        <v>70</v>
      </c>
      <c r="AK132" s="29">
        <f>ROUND(('01_Criterios'!$C$19*AH132+'01_Criterios'!$C$20*AI132+'01_Criterios'!$C$21*AJ132)/('01_Criterios'!$C$19+'01_Criterios'!$C$20+'01_Criterios'!$C$21)+N132*'01_Criterios'!$C$22,1)</f>
        <v>76.900000000000006</v>
      </c>
      <c r="AL132" s="25">
        <f>IF(AND(AB132&gt;=3,AC132&gt;='01_Criterios'!$C$11,N(AE132)&gt;='01_Criterios'!$C$12,OR(F132="+",F132="-"),ISNUMBER(G132),ISNUMBER(H132)),1,0)</f>
        <v>0</v>
      </c>
      <c r="AM132" s="30" t="str">
        <f>IF(AL132=1,"",TRIM(IF(AB132=0,"sem dados no período; ",IF(AB132&lt;3,"série demasiado curta; ",""))&amp;IF(AND(AB132&gt;0,AC132&lt;'01_Criterios'!$C$11),"cobertura insuficiente; ","")&amp;IF(AND(AB132&gt;0,N(AE132)&lt;'01_Criterios'!$C$12),"desactualizado; ","")&amp;IF(AND(F132&lt;&gt;"+",F132&lt;&gt;"-"),"sentido ambíguo; ","")&amp;IF(OR(NOT(ISNUMBER(G132)),NOT(ISNUMBER(H132))),"sem limites min/max; ","")))</f>
        <v>cobertura insuficiente; desactualizado;</v>
      </c>
      <c r="AN132" s="25">
        <f>IF(OR(AL132=0,$AP132="Excluir"),0,IF(SUMPRODUCT(($O$5:$O$335=$O132)*($AL$5:$AL$335=1)*($AP$5:$AP$335&lt;&gt;"Excluir")*(($AK$5:$AK$335&gt;$AK132)+(($AK$5:$AK$335=$AK132)*(ROW($O$5:$O$335)&lt;ROW()))))=0,1,0))</f>
        <v>0</v>
      </c>
      <c r="AO132" s="25" t="str">
        <f>IF(AN132=0,"",1+SUMPRODUCT(($B$5:$B$335=$B132)*($AN$5:$AN$335=1)*(($AK$5:$AK$335&gt;$AK132)+(($AK$5:$AK$335=$AK132)*(ROW($B$5:$B$335)&lt;ROW())))))</f>
        <v/>
      </c>
      <c r="AP132" s="22" t="s">
        <v>131</v>
      </c>
      <c r="AQ132" s="25">
        <f>IF(INDEX('01_Criterios'!$C$26:$C$36,MATCH($B132,'01_Criterios'!$B$26:$B$36,0))&lt;&gt;1,0,IF($AP132="Excluir",0,IF($AP132="Incluir",IF(AND(OR($F132="+",$F132="-"),ISNUMBER($G132),ISNUMBER($H132),COUNT($Q132:$AA132)&gt;0),1,0),IF('01_Criterios'!$C$18="Automática",IF(AND($AN132=1,$AO132&lt;&gt;"",$AO132&lt;=INDEX('01_Criterios'!$E$26:$E$36,MATCH($B132,'01_Criterios'!$B$26:$B$36,0))),1,0),0))))</f>
        <v>0</v>
      </c>
      <c r="AR132" s="25" t="str">
        <f>IF(AQ132=0,"",IF($AO132&lt;&gt;"",1+SUMPRODUCT(($B$5:$B$335=$B132)*($AQ$5:$AQ$335=1)*($AO$5:$AO$335&lt;$AO132)),1+SUMPRODUCT(($B$5:$B$335=$B132)*($AQ$5:$AQ$335=1)*ISNUMBER($AO$5:$AO$335))+SUMPRODUCT(($B$5:$B$335=$B132)*($AQ$5:$AQ$335=1)*($AO$5:$AO$335="")*(ROW($AO$5:$AO$335)&lt;ROW()))))</f>
        <v/>
      </c>
      <c r="AS132" s="24" t="s">
        <v>763</v>
      </c>
    </row>
    <row r="133" spans="1:45">
      <c r="A133" s="20" t="s">
        <v>764</v>
      </c>
      <c r="B133" s="21" t="s">
        <v>79</v>
      </c>
      <c r="C133" s="21" t="s">
        <v>765</v>
      </c>
      <c r="D133" s="21" t="s">
        <v>766</v>
      </c>
      <c r="E133" s="20" t="s">
        <v>767</v>
      </c>
      <c r="F133" s="20" t="s">
        <v>126</v>
      </c>
      <c r="G133" s="20">
        <v>0</v>
      </c>
      <c r="H133" s="20">
        <v>100</v>
      </c>
      <c r="I133" s="20">
        <v>60</v>
      </c>
      <c r="J133" s="22">
        <v>1</v>
      </c>
      <c r="K133" s="21" t="s">
        <v>768</v>
      </c>
      <c r="L133" s="20" t="s">
        <v>769</v>
      </c>
      <c r="M133" s="21" t="s">
        <v>161</v>
      </c>
      <c r="N133" s="20">
        <v>0</v>
      </c>
      <c r="O133" s="21" t="s">
        <v>770</v>
      </c>
      <c r="P133" s="20" t="s">
        <v>152</v>
      </c>
      <c r="Q133" s="6"/>
      <c r="R133" s="6"/>
      <c r="S133" s="6"/>
      <c r="T133" s="6"/>
      <c r="U133" s="6"/>
      <c r="V133" s="6"/>
      <c r="W133" s="6"/>
      <c r="X133" s="6"/>
      <c r="Y133" s="6"/>
      <c r="Z133" s="6"/>
      <c r="AA133" s="6"/>
      <c r="AB133" s="20">
        <f>COUNT(Q133:AA133)</f>
        <v>0</v>
      </c>
      <c r="AC133" s="23">
        <f>AB133/11</f>
        <v>0</v>
      </c>
      <c r="AD133" s="20" t="str">
        <f>IFERROR(INDEX($Q$4:$AA$4,MATCH(TRUE,INDEX(ISNUMBER(Q133:AA133),0),0)),"")</f>
        <v/>
      </c>
      <c r="AE133" s="20" t="str">
        <f>IFERROR(LOOKUP(2,1/ISNUMBER(Q133:AA133),$Q$4:$AA$4),"")</f>
        <v/>
      </c>
      <c r="AF133" s="23" t="str">
        <f>IF(AB133=0,"",AB133/(AE133-AD133+1))</f>
        <v/>
      </c>
      <c r="AG133" s="20" t="str">
        <f>IF(AB133=0,"",'01_Criterios'!$C$8-AE133)</f>
        <v/>
      </c>
      <c r="AH133" s="7">
        <f>IF(P133="Em uso",100,IF(P133="Alta",85,IF(P133="Média",55,30)))</f>
        <v>85</v>
      </c>
      <c r="AI133" s="7">
        <f>ROUND(100*AC133,1)</f>
        <v>0</v>
      </c>
      <c r="AJ133" s="7">
        <f>IF(AB133=0,0,ROUND(MAX(0,100*AF133-10*AG133),1))</f>
        <v>0</v>
      </c>
      <c r="AK133" s="7">
        <f>ROUND(('01_Criterios'!$C$19*AH133+'01_Criterios'!$C$20*AI133+'01_Criterios'!$C$21*AJ133)/('01_Criterios'!$C$19+'01_Criterios'!$C$20+'01_Criterios'!$C$21)+N133*'01_Criterios'!$C$22,1)</f>
        <v>34</v>
      </c>
      <c r="AL133" s="20">
        <f>IF(AND(AB133&gt;=3,AC133&gt;='01_Criterios'!$C$11,N(AE133)&gt;='01_Criterios'!$C$12,OR(F133="+",F133="-"),ISNUMBER(G133),ISNUMBER(H133)),1,0)</f>
        <v>0</v>
      </c>
      <c r="AM133" s="24" t="str">
        <f>IF(AL133=1,"",TRIM(IF(AB133=0,"sem dados no período; ",IF(AB133&lt;3,"série demasiado curta; ",""))&amp;IF(AND(AB133&gt;0,AC133&lt;'01_Criterios'!$C$11),"cobertura insuficiente; ","")&amp;IF(AND(AB133&gt;0,N(AE133)&lt;'01_Criterios'!$C$12),"desactualizado; ","")&amp;IF(AND(F133&lt;&gt;"+",F133&lt;&gt;"-"),"sentido ambíguo; ","")&amp;IF(OR(NOT(ISNUMBER(G133)),NOT(ISNUMBER(H133))),"sem limites min/max; ","")))</f>
        <v>sem dados no período;</v>
      </c>
      <c r="AN133" s="20">
        <f>IF(OR(AL133=0,$AP133="Excluir"),0,IF(SUMPRODUCT(($O$5:$O$335=$O133)*($AL$5:$AL$335=1)*($AP$5:$AP$335&lt;&gt;"Excluir")*(($AK$5:$AK$335&gt;$AK133)+(($AK$5:$AK$335=$AK133)*(ROW($O$5:$O$335)&lt;ROW()))))=0,1,0))</f>
        <v>0</v>
      </c>
      <c r="AO133" s="20" t="str">
        <f>IF(AN133=0,"",1+SUMPRODUCT(($B$5:$B$335=$B133)*($AN$5:$AN$335=1)*(($AK$5:$AK$335&gt;$AK133)+(($AK$5:$AK$335=$AK133)*(ROW($B$5:$B$335)&lt;ROW())))))</f>
        <v/>
      </c>
      <c r="AP133" s="22" t="s">
        <v>131</v>
      </c>
      <c r="AQ133" s="20">
        <f>IF(INDEX('01_Criterios'!$C$26:$C$36,MATCH($B133,'01_Criterios'!$B$26:$B$36,0))&lt;&gt;1,0,IF($AP133="Excluir",0,IF($AP133="Incluir",IF(AND(OR($F133="+",$F133="-"),ISNUMBER($G133),ISNUMBER($H133),COUNT($Q133:$AA133)&gt;0),1,0),IF('01_Criterios'!$C$18="Automática",IF(AND($AN133=1,$AO133&lt;&gt;"",$AO133&lt;=INDEX('01_Criterios'!$E$26:$E$36,MATCH($B133,'01_Criterios'!$B$26:$B$36,0))),1,0),0))))</f>
        <v>0</v>
      </c>
      <c r="AR133" s="20" t="str">
        <f>IF(AQ133=0,"",IF($AO133&lt;&gt;"",1+SUMPRODUCT(($B$5:$B$335=$B133)*($AQ$5:$AQ$335=1)*($AO$5:$AO$335&lt;$AO133)),1+SUMPRODUCT(($B$5:$B$335=$B133)*($AQ$5:$AQ$335=1)*ISNUMBER($AO$5:$AO$335))+SUMPRODUCT(($B$5:$B$335=$B133)*($AQ$5:$AQ$335=1)*($AO$5:$AO$335="")*(ROW($AO$5:$AO$335)&lt;ROW()))))</f>
        <v/>
      </c>
      <c r="AS133" s="24" t="s">
        <v>771</v>
      </c>
    </row>
    <row r="134" spans="1:45">
      <c r="A134" s="25" t="s">
        <v>772</v>
      </c>
      <c r="B134" s="26" t="s">
        <v>79</v>
      </c>
      <c r="C134" s="26" t="s">
        <v>765</v>
      </c>
      <c r="D134" s="26" t="s">
        <v>773</v>
      </c>
      <c r="E134" s="25" t="s">
        <v>774</v>
      </c>
      <c r="F134" s="25" t="s">
        <v>126</v>
      </c>
      <c r="G134" s="25">
        <v>0</v>
      </c>
      <c r="H134" s="25">
        <v>100</v>
      </c>
      <c r="I134" s="25">
        <v>55</v>
      </c>
      <c r="J134" s="22">
        <v>1</v>
      </c>
      <c r="K134" s="26" t="s">
        <v>768</v>
      </c>
      <c r="L134" s="25" t="s">
        <v>775</v>
      </c>
      <c r="M134" s="26" t="s">
        <v>161</v>
      </c>
      <c r="N134" s="25">
        <v>0</v>
      </c>
      <c r="O134" s="26" t="s">
        <v>770</v>
      </c>
      <c r="P134" s="25" t="s">
        <v>152</v>
      </c>
      <c r="Q134" s="27"/>
      <c r="R134" s="27"/>
      <c r="S134" s="27"/>
      <c r="T134" s="27"/>
      <c r="U134" s="27"/>
      <c r="V134" s="27"/>
      <c r="W134" s="27"/>
      <c r="X134" s="27"/>
      <c r="Y134" s="27"/>
      <c r="Z134" s="27"/>
      <c r="AA134" s="27"/>
      <c r="AB134" s="25">
        <f>COUNT(Q134:AA134)</f>
        <v>0</v>
      </c>
      <c r="AC134" s="28">
        <f>AB134/11</f>
        <v>0</v>
      </c>
      <c r="AD134" s="25" t="str">
        <f>IFERROR(INDEX($Q$4:$AA$4,MATCH(TRUE,INDEX(ISNUMBER(Q134:AA134),0),0)),"")</f>
        <v/>
      </c>
      <c r="AE134" s="25" t="str">
        <f>IFERROR(LOOKUP(2,1/ISNUMBER(Q134:AA134),$Q$4:$AA$4),"")</f>
        <v/>
      </c>
      <c r="AF134" s="28" t="str">
        <f>IF(AB134=0,"",AB134/(AE134-AD134+1))</f>
        <v/>
      </c>
      <c r="AG134" s="25" t="str">
        <f>IF(AB134=0,"",'01_Criterios'!$C$8-AE134)</f>
        <v/>
      </c>
      <c r="AH134" s="29">
        <f>IF(P134="Em uso",100,IF(P134="Alta",85,IF(P134="Média",55,30)))</f>
        <v>85</v>
      </c>
      <c r="AI134" s="29">
        <f>ROUND(100*AC134,1)</f>
        <v>0</v>
      </c>
      <c r="AJ134" s="29">
        <f>IF(AB134=0,0,ROUND(MAX(0,100*AF134-10*AG134),1))</f>
        <v>0</v>
      </c>
      <c r="AK134" s="29">
        <f>ROUND(('01_Criterios'!$C$19*AH134+'01_Criterios'!$C$20*AI134+'01_Criterios'!$C$21*AJ134)/('01_Criterios'!$C$19+'01_Criterios'!$C$20+'01_Criterios'!$C$21)+N134*'01_Criterios'!$C$22,1)</f>
        <v>34</v>
      </c>
      <c r="AL134" s="25">
        <f>IF(AND(AB134&gt;=3,AC134&gt;='01_Criterios'!$C$11,N(AE134)&gt;='01_Criterios'!$C$12,OR(F134="+",F134="-"),ISNUMBER(G134),ISNUMBER(H134)),1,0)</f>
        <v>0</v>
      </c>
      <c r="AM134" s="30" t="str">
        <f>IF(AL134=1,"",TRIM(IF(AB134=0,"sem dados no período; ",IF(AB134&lt;3,"série demasiado curta; ",""))&amp;IF(AND(AB134&gt;0,AC134&lt;'01_Criterios'!$C$11),"cobertura insuficiente; ","")&amp;IF(AND(AB134&gt;0,N(AE134)&lt;'01_Criterios'!$C$12),"desactualizado; ","")&amp;IF(AND(F134&lt;&gt;"+",F134&lt;&gt;"-"),"sentido ambíguo; ","")&amp;IF(OR(NOT(ISNUMBER(G134)),NOT(ISNUMBER(H134))),"sem limites min/max; ","")))</f>
        <v>sem dados no período;</v>
      </c>
      <c r="AN134" s="25">
        <f>IF(OR(AL134=0,$AP134="Excluir"),0,IF(SUMPRODUCT(($O$5:$O$335=$O134)*($AL$5:$AL$335=1)*($AP$5:$AP$335&lt;&gt;"Excluir")*(($AK$5:$AK$335&gt;$AK134)+(($AK$5:$AK$335=$AK134)*(ROW($O$5:$O$335)&lt;ROW()))))=0,1,0))</f>
        <v>0</v>
      </c>
      <c r="AO134" s="25" t="str">
        <f>IF(AN134=0,"",1+SUMPRODUCT(($B$5:$B$335=$B134)*($AN$5:$AN$335=1)*(($AK$5:$AK$335&gt;$AK134)+(($AK$5:$AK$335=$AK134)*(ROW($B$5:$B$335)&lt;ROW())))))</f>
        <v/>
      </c>
      <c r="AP134" s="22" t="s">
        <v>131</v>
      </c>
      <c r="AQ134" s="25">
        <f>IF(INDEX('01_Criterios'!$C$26:$C$36,MATCH($B134,'01_Criterios'!$B$26:$B$36,0))&lt;&gt;1,0,IF($AP134="Excluir",0,IF($AP134="Incluir",IF(AND(OR($F134="+",$F134="-"),ISNUMBER($G134),ISNUMBER($H134),COUNT($Q134:$AA134)&gt;0),1,0),IF('01_Criterios'!$C$18="Automática",IF(AND($AN134=1,$AO134&lt;&gt;"",$AO134&lt;=INDEX('01_Criterios'!$E$26:$E$36,MATCH($B134,'01_Criterios'!$B$26:$B$36,0))),1,0),0))))</f>
        <v>0</v>
      </c>
      <c r="AR134" s="25" t="str">
        <f>IF(AQ134=0,"",IF($AO134&lt;&gt;"",1+SUMPRODUCT(($B$5:$B$335=$B134)*($AQ$5:$AQ$335=1)*($AO$5:$AO$335&lt;$AO134)),1+SUMPRODUCT(($B$5:$B$335=$B134)*($AQ$5:$AQ$335=1)*ISNUMBER($AO$5:$AO$335))+SUMPRODUCT(($B$5:$B$335=$B134)*($AQ$5:$AQ$335=1)*($AO$5:$AO$335="")*(ROW($AO$5:$AO$335)&lt;ROW()))))</f>
        <v/>
      </c>
      <c r="AS134" s="24" t="s">
        <v>776</v>
      </c>
    </row>
    <row r="135" spans="1:45">
      <c r="A135" s="20" t="s">
        <v>777</v>
      </c>
      <c r="B135" s="21" t="s">
        <v>79</v>
      </c>
      <c r="C135" s="21" t="s">
        <v>765</v>
      </c>
      <c r="D135" s="21" t="s">
        <v>778</v>
      </c>
      <c r="E135" s="20" t="s">
        <v>767</v>
      </c>
      <c r="F135" s="20" t="s">
        <v>126</v>
      </c>
      <c r="G135" s="20">
        <v>0</v>
      </c>
      <c r="H135" s="20">
        <v>100</v>
      </c>
      <c r="I135" s="20">
        <v>45</v>
      </c>
      <c r="J135" s="22">
        <v>1</v>
      </c>
      <c r="K135" s="21" t="s">
        <v>768</v>
      </c>
      <c r="L135" s="20" t="s">
        <v>779</v>
      </c>
      <c r="M135" s="21" t="s">
        <v>161</v>
      </c>
      <c r="N135" s="20">
        <v>0</v>
      </c>
      <c r="O135" s="21" t="s">
        <v>770</v>
      </c>
      <c r="P135" s="20" t="s">
        <v>152</v>
      </c>
      <c r="Q135" s="6"/>
      <c r="R135" s="6"/>
      <c r="S135" s="6"/>
      <c r="T135" s="6"/>
      <c r="U135" s="6"/>
      <c r="V135" s="6"/>
      <c r="W135" s="6"/>
      <c r="X135" s="6"/>
      <c r="Y135" s="6"/>
      <c r="Z135" s="6"/>
      <c r="AA135" s="6"/>
      <c r="AB135" s="20">
        <f>COUNT(Q135:AA135)</f>
        <v>0</v>
      </c>
      <c r="AC135" s="23">
        <f>AB135/11</f>
        <v>0</v>
      </c>
      <c r="AD135" s="20" t="str">
        <f>IFERROR(INDEX($Q$4:$AA$4,MATCH(TRUE,INDEX(ISNUMBER(Q135:AA135),0),0)),"")</f>
        <v/>
      </c>
      <c r="AE135" s="20" t="str">
        <f>IFERROR(LOOKUP(2,1/ISNUMBER(Q135:AA135),$Q$4:$AA$4),"")</f>
        <v/>
      </c>
      <c r="AF135" s="23" t="str">
        <f>IF(AB135=0,"",AB135/(AE135-AD135+1))</f>
        <v/>
      </c>
      <c r="AG135" s="20" t="str">
        <f>IF(AB135=0,"",'01_Criterios'!$C$8-AE135)</f>
        <v/>
      </c>
      <c r="AH135" s="7">
        <f>IF(P135="Em uso",100,IF(P135="Alta",85,IF(P135="Média",55,30)))</f>
        <v>85</v>
      </c>
      <c r="AI135" s="7">
        <f>ROUND(100*AC135,1)</f>
        <v>0</v>
      </c>
      <c r="AJ135" s="7">
        <f>IF(AB135=0,0,ROUND(MAX(0,100*AF135-10*AG135),1))</f>
        <v>0</v>
      </c>
      <c r="AK135" s="7">
        <f>ROUND(('01_Criterios'!$C$19*AH135+'01_Criterios'!$C$20*AI135+'01_Criterios'!$C$21*AJ135)/('01_Criterios'!$C$19+'01_Criterios'!$C$20+'01_Criterios'!$C$21)+N135*'01_Criterios'!$C$22,1)</f>
        <v>34</v>
      </c>
      <c r="AL135" s="20">
        <f>IF(AND(AB135&gt;=3,AC135&gt;='01_Criterios'!$C$11,N(AE135)&gt;='01_Criterios'!$C$12,OR(F135="+",F135="-"),ISNUMBER(G135),ISNUMBER(H135)),1,0)</f>
        <v>0</v>
      </c>
      <c r="AM135" s="24" t="str">
        <f>IF(AL135=1,"",TRIM(IF(AB135=0,"sem dados no período; ",IF(AB135&lt;3,"série demasiado curta; ",""))&amp;IF(AND(AB135&gt;0,AC135&lt;'01_Criterios'!$C$11),"cobertura insuficiente; ","")&amp;IF(AND(AB135&gt;0,N(AE135)&lt;'01_Criterios'!$C$12),"desactualizado; ","")&amp;IF(AND(F135&lt;&gt;"+",F135&lt;&gt;"-"),"sentido ambíguo; ","")&amp;IF(OR(NOT(ISNUMBER(G135)),NOT(ISNUMBER(H135))),"sem limites min/max; ","")))</f>
        <v>sem dados no período;</v>
      </c>
      <c r="AN135" s="20">
        <f>IF(OR(AL135=0,$AP135="Excluir"),0,IF(SUMPRODUCT(($O$5:$O$335=$O135)*($AL$5:$AL$335=1)*($AP$5:$AP$335&lt;&gt;"Excluir")*(($AK$5:$AK$335&gt;$AK135)+(($AK$5:$AK$335=$AK135)*(ROW($O$5:$O$335)&lt;ROW()))))=0,1,0))</f>
        <v>0</v>
      </c>
      <c r="AO135" s="20" t="str">
        <f>IF(AN135=0,"",1+SUMPRODUCT(($B$5:$B$335=$B135)*($AN$5:$AN$335=1)*(($AK$5:$AK$335&gt;$AK135)+(($AK$5:$AK$335=$AK135)*(ROW($B$5:$B$335)&lt;ROW())))))</f>
        <v/>
      </c>
      <c r="AP135" s="22" t="s">
        <v>131</v>
      </c>
      <c r="AQ135" s="20">
        <f>IF(INDEX('01_Criterios'!$C$26:$C$36,MATCH($B135,'01_Criterios'!$B$26:$B$36,0))&lt;&gt;1,0,IF($AP135="Excluir",0,IF($AP135="Incluir",IF(AND(OR($F135="+",$F135="-"),ISNUMBER($G135),ISNUMBER($H135),COUNT($Q135:$AA135)&gt;0),1,0),IF('01_Criterios'!$C$18="Automática",IF(AND($AN135=1,$AO135&lt;&gt;"",$AO135&lt;=INDEX('01_Criterios'!$E$26:$E$36,MATCH($B135,'01_Criterios'!$B$26:$B$36,0))),1,0),0))))</f>
        <v>0</v>
      </c>
      <c r="AR135" s="20" t="str">
        <f>IF(AQ135=0,"",IF($AO135&lt;&gt;"",1+SUMPRODUCT(($B$5:$B$335=$B135)*($AQ$5:$AQ$335=1)*($AO$5:$AO$335&lt;$AO135)),1+SUMPRODUCT(($B$5:$B$335=$B135)*($AQ$5:$AQ$335=1)*ISNUMBER($AO$5:$AO$335))+SUMPRODUCT(($B$5:$B$335=$B135)*($AQ$5:$AQ$335=1)*($AO$5:$AO$335="")*(ROW($AO$5:$AO$335)&lt;ROW()))))</f>
        <v/>
      </c>
      <c r="AS135" s="24" t="s">
        <v>780</v>
      </c>
    </row>
    <row r="136" spans="1:45">
      <c r="A136" s="25" t="s">
        <v>781</v>
      </c>
      <c r="B136" s="26" t="s">
        <v>79</v>
      </c>
      <c r="C136" s="26" t="s">
        <v>756</v>
      </c>
      <c r="D136" s="26" t="s">
        <v>782</v>
      </c>
      <c r="E136" s="25" t="s">
        <v>579</v>
      </c>
      <c r="F136" s="25" t="s">
        <v>126</v>
      </c>
      <c r="G136" s="25">
        <v>0</v>
      </c>
      <c r="H136" s="25">
        <v>1</v>
      </c>
      <c r="I136" s="25">
        <v>0.8</v>
      </c>
      <c r="J136" s="22">
        <v>1</v>
      </c>
      <c r="K136" s="26" t="s">
        <v>783</v>
      </c>
      <c r="L136" s="25" t="s">
        <v>784</v>
      </c>
      <c r="M136" s="26" t="s">
        <v>254</v>
      </c>
      <c r="N136" s="25">
        <v>0</v>
      </c>
      <c r="O136" s="26" t="s">
        <v>724</v>
      </c>
      <c r="P136" s="25" t="s">
        <v>152</v>
      </c>
      <c r="Q136" s="27">
        <v>0.63700000000000001</v>
      </c>
      <c r="R136" s="27">
        <v>0.64319999999999999</v>
      </c>
      <c r="S136" s="27">
        <v>0.64</v>
      </c>
      <c r="T136" s="27">
        <v>0.63300000000000001</v>
      </c>
      <c r="U136" s="27"/>
      <c r="V136" s="27">
        <v>0.66</v>
      </c>
      <c r="W136" s="27">
        <v>0.65700000000000003</v>
      </c>
      <c r="X136" s="27">
        <v>0.63800000000000001</v>
      </c>
      <c r="Y136" s="27">
        <v>0.65600000000000003</v>
      </c>
      <c r="Z136" s="27">
        <v>0.66800000000000004</v>
      </c>
      <c r="AA136" s="27"/>
      <c r="AB136" s="25">
        <f>COUNT(Q136:AA136)</f>
        <v>9</v>
      </c>
      <c r="AC136" s="28">
        <f>AB136/11</f>
        <v>0.81818181818181823</v>
      </c>
      <c r="AD136" s="25">
        <f>IFERROR(INDEX($Q$4:$AA$4,MATCH(TRUE,INDEX(ISNUMBER(Q136:AA136),0),0)),"")</f>
        <v>2015</v>
      </c>
      <c r="AE136" s="25">
        <f>IFERROR(LOOKUP(2,1/ISNUMBER(Q136:AA136),$Q$4:$AA$4),"")</f>
        <v>2024</v>
      </c>
      <c r="AF136" s="28">
        <f>IF(AB136=0,"",AB136/(AE136-AD136+1))</f>
        <v>0.9</v>
      </c>
      <c r="AG136" s="25">
        <f>IF(AB136=0,"",'01_Criterios'!$C$8-AE136)</f>
        <v>1</v>
      </c>
      <c r="AH136" s="29">
        <f>IF(P136="Em uso",100,IF(P136="Alta",85,IF(P136="Média",55,30)))</f>
        <v>85</v>
      </c>
      <c r="AI136" s="29">
        <f>ROUND(100*AC136,1)</f>
        <v>81.8</v>
      </c>
      <c r="AJ136" s="29">
        <f>IF(AB136=0,0,ROUND(MAX(0,100*AF136-10*AG136),1))</f>
        <v>80</v>
      </c>
      <c r="AK136" s="29">
        <f>ROUND(('01_Criterios'!$C$19*AH136+'01_Criterios'!$C$20*AI136+'01_Criterios'!$C$21*AJ136)/('01_Criterios'!$C$19+'01_Criterios'!$C$20+'01_Criterios'!$C$21)+N136*'01_Criterios'!$C$22,1)</f>
        <v>82.6</v>
      </c>
      <c r="AL136" s="25">
        <f>IF(AND(AB136&gt;=3,AC136&gt;='01_Criterios'!$C$11,N(AE136)&gt;='01_Criterios'!$C$12,OR(F136="+",F136="-"),ISNUMBER(G136),ISNUMBER(H136)),1,0)</f>
        <v>1</v>
      </c>
      <c r="AM136" s="30" t="str">
        <f>IF(AL136=1,"",TRIM(IF(AB136=0,"sem dados no período; ",IF(AB136&lt;3,"série demasiado curta; ",""))&amp;IF(AND(AB136&gt;0,AC136&lt;'01_Criterios'!$C$11),"cobertura insuficiente; ","")&amp;IF(AND(AB136&gt;0,N(AE136)&lt;'01_Criterios'!$C$12),"desactualizado; ","")&amp;IF(AND(F136&lt;&gt;"+",F136&lt;&gt;"-"),"sentido ambíguo; ","")&amp;IF(OR(NOT(ISNUMBER(G136)),NOT(ISNUMBER(H136))),"sem limites min/max; ","")))</f>
        <v/>
      </c>
      <c r="AN136" s="25">
        <f>IF(OR(AL136=0,$AP136="Excluir"),0,IF(SUMPRODUCT(($O$5:$O$335=$O136)*($AL$5:$AL$335=1)*($AP$5:$AP$335&lt;&gt;"Excluir")*(($AK$5:$AK$335&gt;$AK136)+(($AK$5:$AK$335=$AK136)*(ROW($O$5:$O$335)&lt;ROW()))))=0,1,0))</f>
        <v>0</v>
      </c>
      <c r="AO136" s="25" t="str">
        <f>IF(AN136=0,"",1+SUMPRODUCT(($B$5:$B$335=$B136)*($AN$5:$AN$335=1)*(($AK$5:$AK$335&gt;$AK136)+(($AK$5:$AK$335=$AK136)*(ROW($B$5:$B$335)&lt;ROW())))))</f>
        <v/>
      </c>
      <c r="AP136" s="22" t="s">
        <v>131</v>
      </c>
      <c r="AQ136" s="25">
        <f>IF(INDEX('01_Criterios'!$C$26:$C$36,MATCH($B136,'01_Criterios'!$B$26:$B$36,0))&lt;&gt;1,0,IF($AP136="Excluir",0,IF($AP136="Incluir",IF(AND(OR($F136="+",$F136="-"),ISNUMBER($G136),ISNUMBER($H136),COUNT($Q136:$AA136)&gt;0),1,0),IF('01_Criterios'!$C$18="Automática",IF(AND($AN136=1,$AO136&lt;&gt;"",$AO136&lt;=INDEX('01_Criterios'!$E$26:$E$36,MATCH($B136,'01_Criterios'!$B$26:$B$36,0))),1,0),0))))</f>
        <v>0</v>
      </c>
      <c r="AR136" s="25" t="str">
        <f>IF(AQ136=0,"",IF($AO136&lt;&gt;"",1+SUMPRODUCT(($B$5:$B$335=$B136)*($AQ$5:$AQ$335=1)*($AO$5:$AO$335&lt;$AO136)),1+SUMPRODUCT(($B$5:$B$335=$B136)*($AQ$5:$AQ$335=1)*ISNUMBER($AO$5:$AO$335))+SUMPRODUCT(($B$5:$B$335=$B136)*($AQ$5:$AQ$335=1)*($AO$5:$AO$335="")*(ROW($AO$5:$AO$335)&lt;ROW()))))</f>
        <v/>
      </c>
      <c r="AS136" s="24" t="s">
        <v>785</v>
      </c>
    </row>
    <row r="137" spans="1:45">
      <c r="A137" s="20" t="s">
        <v>786</v>
      </c>
      <c r="B137" s="21" t="s">
        <v>79</v>
      </c>
      <c r="C137" s="21" t="s">
        <v>702</v>
      </c>
      <c r="D137" s="21" t="s">
        <v>787</v>
      </c>
      <c r="E137" s="20" t="s">
        <v>157</v>
      </c>
      <c r="F137" s="20" t="s">
        <v>158</v>
      </c>
      <c r="G137" s="20">
        <v>0</v>
      </c>
      <c r="H137" s="20">
        <v>70</v>
      </c>
      <c r="I137" s="20">
        <v>30</v>
      </c>
      <c r="J137" s="22">
        <v>1</v>
      </c>
      <c r="K137" s="21" t="s">
        <v>788</v>
      </c>
      <c r="L137" s="20" t="s">
        <v>789</v>
      </c>
      <c r="M137" s="21" t="s">
        <v>161</v>
      </c>
      <c r="N137" s="20">
        <v>0</v>
      </c>
      <c r="O137" s="21" t="s">
        <v>790</v>
      </c>
      <c r="P137" s="20" t="s">
        <v>152</v>
      </c>
      <c r="Q137" s="6"/>
      <c r="R137" s="6"/>
      <c r="S137" s="6"/>
      <c r="T137" s="6"/>
      <c r="U137" s="6">
        <v>22.922000000000001</v>
      </c>
      <c r="V137" s="6">
        <v>27.286000000000001</v>
      </c>
      <c r="W137" s="6">
        <v>28.126000000000001</v>
      </c>
      <c r="X137" s="6">
        <v>24.765999999999998</v>
      </c>
      <c r="Y137" s="6">
        <v>21.382999999999999</v>
      </c>
      <c r="Z137" s="6">
        <v>24.564</v>
      </c>
      <c r="AA137" s="6">
        <v>24.902999999999999</v>
      </c>
      <c r="AB137" s="20">
        <f>COUNT(Q137:AA137)</f>
        <v>7</v>
      </c>
      <c r="AC137" s="23">
        <f>AB137/11</f>
        <v>0.63636363636363635</v>
      </c>
      <c r="AD137" s="20">
        <f>IFERROR(INDEX($Q$4:$AA$4,MATCH(TRUE,INDEX(ISNUMBER(Q137:AA137),0),0)),"")</f>
        <v>2019</v>
      </c>
      <c r="AE137" s="20">
        <f>IFERROR(LOOKUP(2,1/ISNUMBER(Q137:AA137),$Q$4:$AA$4),"")</f>
        <v>2025</v>
      </c>
      <c r="AF137" s="23">
        <f>IF(AB137=0,"",AB137/(AE137-AD137+1))</f>
        <v>1</v>
      </c>
      <c r="AG137" s="20">
        <f>IF(AB137=0,"",'01_Criterios'!$C$8-AE137)</f>
        <v>0</v>
      </c>
      <c r="AH137" s="7">
        <f>IF(P137="Em uso",100,IF(P137="Alta",85,IF(P137="Média",55,30)))</f>
        <v>85</v>
      </c>
      <c r="AI137" s="7">
        <f>ROUND(100*AC137,1)</f>
        <v>63.6</v>
      </c>
      <c r="AJ137" s="7">
        <f>IF(AB137=0,0,ROUND(MAX(0,100*AF137-10*AG137),1))</f>
        <v>100</v>
      </c>
      <c r="AK137" s="7">
        <f>ROUND(('01_Criterios'!$C$19*AH137+'01_Criterios'!$C$20*AI137+'01_Criterios'!$C$21*AJ137)/('01_Criterios'!$C$19+'01_Criterios'!$C$20+'01_Criterios'!$C$21)+N137*'01_Criterios'!$C$22,1)</f>
        <v>81.3</v>
      </c>
      <c r="AL137" s="20">
        <f>IF(AND(AB137&gt;=3,AC137&gt;='01_Criterios'!$C$11,N(AE137)&gt;='01_Criterios'!$C$12,OR(F137="+",F137="-"),ISNUMBER(G137),ISNUMBER(H137)),1,0)</f>
        <v>0</v>
      </c>
      <c r="AM137" s="24" t="str">
        <f>IF(AL137=1,"",TRIM(IF(AB137=0,"sem dados no período; ",IF(AB137&lt;3,"série demasiado curta; ",""))&amp;IF(AND(AB137&gt;0,AC137&lt;'01_Criterios'!$C$11),"cobertura insuficiente; ","")&amp;IF(AND(AB137&gt;0,N(AE137)&lt;'01_Criterios'!$C$12),"desactualizado; ","")&amp;IF(AND(F137&lt;&gt;"+",F137&lt;&gt;"-"),"sentido ambíguo; ","")&amp;IF(OR(NOT(ISNUMBER(G137)),NOT(ISNUMBER(H137))),"sem limites min/max; ","")))</f>
        <v>cobertura insuficiente;</v>
      </c>
      <c r="AN137" s="20">
        <f>IF(OR(AL137=0,$AP137="Excluir"),0,IF(SUMPRODUCT(($O$5:$O$335=$O137)*($AL$5:$AL$335=1)*($AP$5:$AP$335&lt;&gt;"Excluir")*(($AK$5:$AK$335&gt;$AK137)+(($AK$5:$AK$335=$AK137)*(ROW($O$5:$O$335)&lt;ROW()))))=0,1,0))</f>
        <v>0</v>
      </c>
      <c r="AO137" s="20" t="str">
        <f>IF(AN137=0,"",1+SUMPRODUCT(($B$5:$B$335=$B137)*($AN$5:$AN$335=1)*(($AK$5:$AK$335&gt;$AK137)+(($AK$5:$AK$335=$AK137)*(ROW($B$5:$B$335)&lt;ROW())))))</f>
        <v/>
      </c>
      <c r="AP137" s="22" t="s">
        <v>131</v>
      </c>
      <c r="AQ137" s="20">
        <f>IF(INDEX('01_Criterios'!$C$26:$C$36,MATCH($B137,'01_Criterios'!$B$26:$B$36,0))&lt;&gt;1,0,IF($AP137="Excluir",0,IF($AP137="Incluir",IF(AND(OR($F137="+",$F137="-"),ISNUMBER($G137),ISNUMBER($H137),COUNT($Q137:$AA137)&gt;0),1,0),IF('01_Criterios'!$C$18="Automática",IF(AND($AN137=1,$AO137&lt;&gt;"",$AO137&lt;=INDEX('01_Criterios'!$E$26:$E$36,MATCH($B137,'01_Criterios'!$B$26:$B$36,0))),1,0),0))))</f>
        <v>0</v>
      </c>
      <c r="AR137" s="20" t="str">
        <f>IF(AQ137=0,"",IF($AO137&lt;&gt;"",1+SUMPRODUCT(($B$5:$B$335=$B137)*($AQ$5:$AQ$335=1)*($AO$5:$AO$335&lt;$AO137)),1+SUMPRODUCT(($B$5:$B$335=$B137)*($AQ$5:$AQ$335=1)*ISNUMBER($AO$5:$AO$335))+SUMPRODUCT(($B$5:$B$335=$B137)*($AQ$5:$AQ$335=1)*($AO$5:$AO$335="")*(ROW($AO$5:$AO$335)&lt;ROW()))))</f>
        <v/>
      </c>
      <c r="AS137" s="24" t="s">
        <v>791</v>
      </c>
    </row>
    <row r="138" spans="1:45">
      <c r="A138" s="25" t="s">
        <v>792</v>
      </c>
      <c r="B138" s="26" t="s">
        <v>79</v>
      </c>
      <c r="C138" s="26" t="s">
        <v>702</v>
      </c>
      <c r="D138" s="26" t="s">
        <v>793</v>
      </c>
      <c r="E138" s="25" t="s">
        <v>157</v>
      </c>
      <c r="F138" s="25" t="s">
        <v>126</v>
      </c>
      <c r="G138" s="25">
        <v>0</v>
      </c>
      <c r="H138" s="25">
        <v>20</v>
      </c>
      <c r="I138" s="25">
        <v>7</v>
      </c>
      <c r="J138" s="22">
        <v>1</v>
      </c>
      <c r="K138" s="26" t="s">
        <v>732</v>
      </c>
      <c r="L138" s="25" t="s">
        <v>794</v>
      </c>
      <c r="M138" s="26" t="s">
        <v>161</v>
      </c>
      <c r="N138" s="25">
        <v>0</v>
      </c>
      <c r="O138" s="26" t="s">
        <v>792</v>
      </c>
      <c r="P138" s="25" t="s">
        <v>180</v>
      </c>
      <c r="Q138" s="27"/>
      <c r="R138" s="27"/>
      <c r="S138" s="27"/>
      <c r="T138" s="27">
        <v>3.8</v>
      </c>
      <c r="U138" s="27"/>
      <c r="V138" s="27"/>
      <c r="W138" s="27"/>
      <c r="X138" s="27"/>
      <c r="Y138" s="27"/>
      <c r="Z138" s="27"/>
      <c r="AA138" s="27"/>
      <c r="AB138" s="25">
        <f>COUNT(Q138:AA138)</f>
        <v>1</v>
      </c>
      <c r="AC138" s="28">
        <f>AB138/11</f>
        <v>9.0909090909090912E-2</v>
      </c>
      <c r="AD138" s="25">
        <f>IFERROR(INDEX($Q$4:$AA$4,MATCH(TRUE,INDEX(ISNUMBER(Q138:AA138),0),0)),"")</f>
        <v>2018</v>
      </c>
      <c r="AE138" s="25">
        <f>IFERROR(LOOKUP(2,1/ISNUMBER(Q138:AA138),$Q$4:$AA$4),"")</f>
        <v>2018</v>
      </c>
      <c r="AF138" s="28">
        <f>IF(AB138=0,"",AB138/(AE138-AD138+1))</f>
        <v>1</v>
      </c>
      <c r="AG138" s="25">
        <f>IF(AB138=0,"",'01_Criterios'!$C$8-AE138)</f>
        <v>7</v>
      </c>
      <c r="AH138" s="29">
        <f>IF(P138="Em uso",100,IF(P138="Alta",85,IF(P138="Média",55,30)))</f>
        <v>55</v>
      </c>
      <c r="AI138" s="29">
        <f>ROUND(100*AC138,1)</f>
        <v>9.1</v>
      </c>
      <c r="AJ138" s="29">
        <f>IF(AB138=0,0,ROUND(MAX(0,100*AF138-10*AG138),1))</f>
        <v>30</v>
      </c>
      <c r="AK138" s="29">
        <f>ROUND(('01_Criterios'!$C$19*AH138+'01_Criterios'!$C$20*AI138+'01_Criterios'!$C$21*AJ138)/('01_Criterios'!$C$19+'01_Criterios'!$C$20+'01_Criterios'!$C$21)+N138*'01_Criterios'!$C$22,1)</f>
        <v>32.700000000000003</v>
      </c>
      <c r="AL138" s="25">
        <f>IF(AND(AB138&gt;=3,AC138&gt;='01_Criterios'!$C$11,N(AE138)&gt;='01_Criterios'!$C$12,OR(F138="+",F138="-"),ISNUMBER(G138),ISNUMBER(H138)),1,0)</f>
        <v>0</v>
      </c>
      <c r="AM138" s="30" t="str">
        <f>IF(AL138=1,"",TRIM(IF(AB138=0,"sem dados no período; ",IF(AB138&lt;3,"série demasiado curta; ",""))&amp;IF(AND(AB138&gt;0,AC138&lt;'01_Criterios'!$C$11),"cobertura insuficiente; ","")&amp;IF(AND(AB138&gt;0,N(AE138)&lt;'01_Criterios'!$C$12),"desactualizado; ","")&amp;IF(AND(F138&lt;&gt;"+",F138&lt;&gt;"-"),"sentido ambíguo; ","")&amp;IF(OR(NOT(ISNUMBER(G138)),NOT(ISNUMBER(H138))),"sem limites min/max; ","")))</f>
        <v>série demasiado curta; cobertura insuficiente; desactualizado;</v>
      </c>
      <c r="AN138" s="25">
        <f>IF(OR(AL138=0,$AP138="Excluir"),0,IF(SUMPRODUCT(($O$5:$O$335=$O138)*($AL$5:$AL$335=1)*($AP$5:$AP$335&lt;&gt;"Excluir")*(($AK$5:$AK$335&gt;$AK138)+(($AK$5:$AK$335=$AK138)*(ROW($O$5:$O$335)&lt;ROW()))))=0,1,0))</f>
        <v>0</v>
      </c>
      <c r="AO138" s="25" t="str">
        <f>IF(AN138=0,"",1+SUMPRODUCT(($B$5:$B$335=$B138)*($AN$5:$AN$335=1)*(($AK$5:$AK$335&gt;$AK138)+(($AK$5:$AK$335=$AK138)*(ROW($B$5:$B$335)&lt;ROW())))))</f>
        <v/>
      </c>
      <c r="AP138" s="22" t="s">
        <v>131</v>
      </c>
      <c r="AQ138" s="25">
        <f>IF(INDEX('01_Criterios'!$C$26:$C$36,MATCH($B138,'01_Criterios'!$B$26:$B$36,0))&lt;&gt;1,0,IF($AP138="Excluir",0,IF($AP138="Incluir",IF(AND(OR($F138="+",$F138="-"),ISNUMBER($G138),ISNUMBER($H138),COUNT($Q138:$AA138)&gt;0),1,0),IF('01_Criterios'!$C$18="Automática",IF(AND($AN138=1,$AO138&lt;&gt;"",$AO138&lt;=INDEX('01_Criterios'!$E$26:$E$36,MATCH($B138,'01_Criterios'!$B$26:$B$36,0))),1,0),0))))</f>
        <v>0</v>
      </c>
      <c r="AR138" s="25" t="str">
        <f>IF(AQ138=0,"",IF($AO138&lt;&gt;"",1+SUMPRODUCT(($B$5:$B$335=$B138)*($AQ$5:$AQ$335=1)*($AO$5:$AO$335&lt;$AO138)),1+SUMPRODUCT(($B$5:$B$335=$B138)*($AQ$5:$AQ$335=1)*ISNUMBER($AO$5:$AO$335))+SUMPRODUCT(($B$5:$B$335=$B138)*($AQ$5:$AQ$335=1)*($AO$5:$AO$335="")*(ROW($AO$5:$AO$335)&lt;ROW()))))</f>
        <v/>
      </c>
      <c r="AS138" s="24" t="s">
        <v>795</v>
      </c>
    </row>
    <row r="139" spans="1:45">
      <c r="A139" s="20" t="s">
        <v>796</v>
      </c>
      <c r="B139" s="21" t="s">
        <v>79</v>
      </c>
      <c r="C139" s="21" t="s">
        <v>702</v>
      </c>
      <c r="D139" s="21" t="s">
        <v>797</v>
      </c>
      <c r="E139" s="20" t="s">
        <v>157</v>
      </c>
      <c r="F139" s="20" t="s">
        <v>158</v>
      </c>
      <c r="G139" s="20">
        <v>0</v>
      </c>
      <c r="H139" s="20">
        <v>80</v>
      </c>
      <c r="I139" s="20">
        <v>25</v>
      </c>
      <c r="J139" s="22">
        <v>1</v>
      </c>
      <c r="K139" s="21" t="s">
        <v>798</v>
      </c>
      <c r="L139" s="20" t="s">
        <v>799</v>
      </c>
      <c r="M139" s="21" t="s">
        <v>161</v>
      </c>
      <c r="N139" s="20">
        <v>0</v>
      </c>
      <c r="O139" s="21" t="s">
        <v>706</v>
      </c>
      <c r="P139" s="20" t="s">
        <v>180</v>
      </c>
      <c r="Q139" s="6">
        <v>51.1</v>
      </c>
      <c r="R139" s="6"/>
      <c r="S139" s="6"/>
      <c r="T139" s="6"/>
      <c r="U139" s="6"/>
      <c r="V139" s="6"/>
      <c r="W139" s="6"/>
      <c r="X139" s="6"/>
      <c r="Y139" s="6"/>
      <c r="Z139" s="6"/>
      <c r="AA139" s="6"/>
      <c r="AB139" s="20">
        <f>COUNT(Q139:AA139)</f>
        <v>1</v>
      </c>
      <c r="AC139" s="23">
        <f>AB139/11</f>
        <v>9.0909090909090912E-2</v>
      </c>
      <c r="AD139" s="20">
        <f>IFERROR(INDEX($Q$4:$AA$4,MATCH(TRUE,INDEX(ISNUMBER(Q139:AA139),0),0)),"")</f>
        <v>2015</v>
      </c>
      <c r="AE139" s="20">
        <f>IFERROR(LOOKUP(2,1/ISNUMBER(Q139:AA139),$Q$4:$AA$4),"")</f>
        <v>2015</v>
      </c>
      <c r="AF139" s="23">
        <f>IF(AB139=0,"",AB139/(AE139-AD139+1))</f>
        <v>1</v>
      </c>
      <c r="AG139" s="20">
        <f>IF(AB139=0,"",'01_Criterios'!$C$8-AE139)</f>
        <v>10</v>
      </c>
      <c r="AH139" s="7">
        <f>IF(P139="Em uso",100,IF(P139="Alta",85,IF(P139="Média",55,30)))</f>
        <v>55</v>
      </c>
      <c r="AI139" s="7">
        <f>ROUND(100*AC139,1)</f>
        <v>9.1</v>
      </c>
      <c r="AJ139" s="7">
        <f>IF(AB139=0,0,ROUND(MAX(0,100*AF139-10*AG139),1))</f>
        <v>0</v>
      </c>
      <c r="AK139" s="7">
        <f>ROUND(('01_Criterios'!$C$19*AH139+'01_Criterios'!$C$20*AI139+'01_Criterios'!$C$21*AJ139)/('01_Criterios'!$C$19+'01_Criterios'!$C$20+'01_Criterios'!$C$21)+N139*'01_Criterios'!$C$22,1)</f>
        <v>25.2</v>
      </c>
      <c r="AL139" s="20">
        <f>IF(AND(AB139&gt;=3,AC139&gt;='01_Criterios'!$C$11,N(AE139)&gt;='01_Criterios'!$C$12,OR(F139="+",F139="-"),ISNUMBER(G139),ISNUMBER(H139)),1,0)</f>
        <v>0</v>
      </c>
      <c r="AM139" s="24" t="str">
        <f>IF(AL139=1,"",TRIM(IF(AB139=0,"sem dados no período; ",IF(AB139&lt;3,"série demasiado curta; ",""))&amp;IF(AND(AB139&gt;0,AC139&lt;'01_Criterios'!$C$11),"cobertura insuficiente; ","")&amp;IF(AND(AB139&gt;0,N(AE139)&lt;'01_Criterios'!$C$12),"desactualizado; ","")&amp;IF(AND(F139&lt;&gt;"+",F139&lt;&gt;"-"),"sentido ambíguo; ","")&amp;IF(OR(NOT(ISNUMBER(G139)),NOT(ISNUMBER(H139))),"sem limites min/max; ","")))</f>
        <v>série demasiado curta; cobertura insuficiente; desactualizado;</v>
      </c>
      <c r="AN139" s="20">
        <f>IF(OR(AL139=0,$AP139="Excluir"),0,IF(SUMPRODUCT(($O$5:$O$335=$O139)*($AL$5:$AL$335=1)*($AP$5:$AP$335&lt;&gt;"Excluir")*(($AK$5:$AK$335&gt;$AK139)+(($AK$5:$AK$335=$AK139)*(ROW($O$5:$O$335)&lt;ROW()))))=0,1,0))</f>
        <v>0</v>
      </c>
      <c r="AO139" s="20" t="str">
        <f>IF(AN139=0,"",1+SUMPRODUCT(($B$5:$B$335=$B139)*($AN$5:$AN$335=1)*(($AK$5:$AK$335&gt;$AK139)+(($AK$5:$AK$335=$AK139)*(ROW($B$5:$B$335)&lt;ROW())))))</f>
        <v/>
      </c>
      <c r="AP139" s="22" t="s">
        <v>131</v>
      </c>
      <c r="AQ139" s="20">
        <f>IF(INDEX('01_Criterios'!$C$26:$C$36,MATCH($B139,'01_Criterios'!$B$26:$B$36,0))&lt;&gt;1,0,IF($AP139="Excluir",0,IF($AP139="Incluir",IF(AND(OR($F139="+",$F139="-"),ISNUMBER($G139),ISNUMBER($H139),COUNT($Q139:$AA139)&gt;0),1,0),IF('01_Criterios'!$C$18="Automática",IF(AND($AN139=1,$AO139&lt;&gt;"",$AO139&lt;=INDEX('01_Criterios'!$E$26:$E$36,MATCH($B139,'01_Criterios'!$B$26:$B$36,0))),1,0),0))))</f>
        <v>0</v>
      </c>
      <c r="AR139" s="20" t="str">
        <f>IF(AQ139=0,"",IF($AO139&lt;&gt;"",1+SUMPRODUCT(($B$5:$B$335=$B139)*($AQ$5:$AQ$335=1)*($AO$5:$AO$335&lt;$AO139)),1+SUMPRODUCT(($B$5:$B$335=$B139)*($AQ$5:$AQ$335=1)*ISNUMBER($AO$5:$AO$335))+SUMPRODUCT(($B$5:$B$335=$B139)*($AQ$5:$AQ$335=1)*($AO$5:$AO$335="")*(ROW($AO$5:$AO$335)&lt;ROW()))))</f>
        <v/>
      </c>
      <c r="AS139" s="24" t="s">
        <v>800</v>
      </c>
    </row>
    <row r="140" spans="1:45">
      <c r="A140" s="25" t="s">
        <v>801</v>
      </c>
      <c r="B140" s="26" t="s">
        <v>79</v>
      </c>
      <c r="C140" s="26" t="s">
        <v>702</v>
      </c>
      <c r="D140" s="26" t="s">
        <v>802</v>
      </c>
      <c r="E140" s="25" t="s">
        <v>157</v>
      </c>
      <c r="F140" s="25" t="s">
        <v>126</v>
      </c>
      <c r="G140" s="25">
        <v>0</v>
      </c>
      <c r="H140" s="25">
        <v>100</v>
      </c>
      <c r="I140" s="25">
        <v>80</v>
      </c>
      <c r="J140" s="22">
        <v>1</v>
      </c>
      <c r="K140" s="26" t="s">
        <v>803</v>
      </c>
      <c r="L140" s="25" t="s">
        <v>804</v>
      </c>
      <c r="M140" s="26" t="s">
        <v>161</v>
      </c>
      <c r="N140" s="25">
        <v>0</v>
      </c>
      <c r="O140" s="26" t="s">
        <v>805</v>
      </c>
      <c r="P140" s="25" t="s">
        <v>180</v>
      </c>
      <c r="Q140" s="27"/>
      <c r="R140" s="27">
        <v>25</v>
      </c>
      <c r="S140" s="27"/>
      <c r="T140" s="27"/>
      <c r="U140" s="27"/>
      <c r="V140" s="27"/>
      <c r="W140" s="27"/>
      <c r="X140" s="27"/>
      <c r="Y140" s="27"/>
      <c r="Z140" s="27"/>
      <c r="AA140" s="27"/>
      <c r="AB140" s="25">
        <f>COUNT(Q140:AA140)</f>
        <v>1</v>
      </c>
      <c r="AC140" s="28">
        <f>AB140/11</f>
        <v>9.0909090909090912E-2</v>
      </c>
      <c r="AD140" s="25">
        <f>IFERROR(INDEX($Q$4:$AA$4,MATCH(TRUE,INDEX(ISNUMBER(Q140:AA140),0),0)),"")</f>
        <v>2016</v>
      </c>
      <c r="AE140" s="25">
        <f>IFERROR(LOOKUP(2,1/ISNUMBER(Q140:AA140),$Q$4:$AA$4),"")</f>
        <v>2016</v>
      </c>
      <c r="AF140" s="28">
        <f>IF(AB140=0,"",AB140/(AE140-AD140+1))</f>
        <v>1</v>
      </c>
      <c r="AG140" s="25">
        <f>IF(AB140=0,"",'01_Criterios'!$C$8-AE140)</f>
        <v>9</v>
      </c>
      <c r="AH140" s="29">
        <f>IF(P140="Em uso",100,IF(P140="Alta",85,IF(P140="Média",55,30)))</f>
        <v>55</v>
      </c>
      <c r="AI140" s="29">
        <f>ROUND(100*AC140,1)</f>
        <v>9.1</v>
      </c>
      <c r="AJ140" s="29">
        <f>IF(AB140=0,0,ROUND(MAX(0,100*AF140-10*AG140),1))</f>
        <v>10</v>
      </c>
      <c r="AK140" s="29">
        <f>ROUND(('01_Criterios'!$C$19*AH140+'01_Criterios'!$C$20*AI140+'01_Criterios'!$C$21*AJ140)/('01_Criterios'!$C$19+'01_Criterios'!$C$20+'01_Criterios'!$C$21)+N140*'01_Criterios'!$C$22,1)</f>
        <v>27.7</v>
      </c>
      <c r="AL140" s="25">
        <f>IF(AND(AB140&gt;=3,AC140&gt;='01_Criterios'!$C$11,N(AE140)&gt;='01_Criterios'!$C$12,OR(F140="+",F140="-"),ISNUMBER(G140),ISNUMBER(H140)),1,0)</f>
        <v>0</v>
      </c>
      <c r="AM140" s="30" t="str">
        <f>IF(AL140=1,"",TRIM(IF(AB140=0,"sem dados no período; ",IF(AB140&lt;3,"série demasiado curta; ",""))&amp;IF(AND(AB140&gt;0,AC140&lt;'01_Criterios'!$C$11),"cobertura insuficiente; ","")&amp;IF(AND(AB140&gt;0,N(AE140)&lt;'01_Criterios'!$C$12),"desactualizado; ","")&amp;IF(AND(F140&lt;&gt;"+",F140&lt;&gt;"-"),"sentido ambíguo; ","")&amp;IF(OR(NOT(ISNUMBER(G140)),NOT(ISNUMBER(H140))),"sem limites min/max; ","")))</f>
        <v>série demasiado curta; cobertura insuficiente; desactualizado;</v>
      </c>
      <c r="AN140" s="25">
        <f>IF(OR(AL140=0,$AP140="Excluir"),0,IF(SUMPRODUCT(($O$5:$O$335=$O140)*($AL$5:$AL$335=1)*($AP$5:$AP$335&lt;&gt;"Excluir")*(($AK$5:$AK$335&gt;$AK140)+(($AK$5:$AK$335=$AK140)*(ROW($O$5:$O$335)&lt;ROW()))))=0,1,0))</f>
        <v>0</v>
      </c>
      <c r="AO140" s="25" t="str">
        <f>IF(AN140=0,"",1+SUMPRODUCT(($B$5:$B$335=$B140)*($AN$5:$AN$335=1)*(($AK$5:$AK$335&gt;$AK140)+(($AK$5:$AK$335=$AK140)*(ROW($B$5:$B$335)&lt;ROW())))))</f>
        <v/>
      </c>
      <c r="AP140" s="22" t="s">
        <v>131</v>
      </c>
      <c r="AQ140" s="25">
        <f>IF(INDEX('01_Criterios'!$C$26:$C$36,MATCH($B140,'01_Criterios'!$B$26:$B$36,0))&lt;&gt;1,0,IF($AP140="Excluir",0,IF($AP140="Incluir",IF(AND(OR($F140="+",$F140="-"),ISNUMBER($G140),ISNUMBER($H140),COUNT($Q140:$AA140)&gt;0),1,0),IF('01_Criterios'!$C$18="Automática",IF(AND($AN140=1,$AO140&lt;&gt;"",$AO140&lt;=INDEX('01_Criterios'!$E$26:$E$36,MATCH($B140,'01_Criterios'!$B$26:$B$36,0))),1,0),0))))</f>
        <v>0</v>
      </c>
      <c r="AR140" s="25" t="str">
        <f>IF(AQ140=0,"",IF($AO140&lt;&gt;"",1+SUMPRODUCT(($B$5:$B$335=$B140)*($AQ$5:$AQ$335=1)*($AO$5:$AO$335&lt;$AO140)),1+SUMPRODUCT(($B$5:$B$335=$B140)*($AQ$5:$AQ$335=1)*ISNUMBER($AO$5:$AO$335))+SUMPRODUCT(($B$5:$B$335=$B140)*($AQ$5:$AQ$335=1)*($AO$5:$AO$335="")*(ROW($AO$5:$AO$335)&lt;ROW()))))</f>
        <v/>
      </c>
      <c r="AS140" s="24" t="s">
        <v>806</v>
      </c>
    </row>
    <row r="141" spans="1:45">
      <c r="A141" s="20" t="s">
        <v>807</v>
      </c>
      <c r="B141" s="21" t="s">
        <v>79</v>
      </c>
      <c r="C141" s="21" t="s">
        <v>740</v>
      </c>
      <c r="D141" s="21" t="s">
        <v>808</v>
      </c>
      <c r="E141" s="20" t="s">
        <v>742</v>
      </c>
      <c r="F141" s="20" t="s">
        <v>126</v>
      </c>
      <c r="G141" s="20">
        <v>0</v>
      </c>
      <c r="H141" s="20">
        <v>100</v>
      </c>
      <c r="I141" s="20">
        <v>40</v>
      </c>
      <c r="J141" s="22">
        <v>1</v>
      </c>
      <c r="K141" s="21" t="s">
        <v>743</v>
      </c>
      <c r="L141" s="20" t="s">
        <v>809</v>
      </c>
      <c r="M141" s="21" t="s">
        <v>161</v>
      </c>
      <c r="N141" s="20">
        <v>0</v>
      </c>
      <c r="O141" s="21" t="s">
        <v>711</v>
      </c>
      <c r="P141" s="20" t="s">
        <v>180</v>
      </c>
      <c r="Q141" s="6"/>
      <c r="R141" s="6"/>
      <c r="S141" s="6"/>
      <c r="T141" s="6">
        <v>0.92014146355494397</v>
      </c>
      <c r="U141" s="6"/>
      <c r="V141" s="6"/>
      <c r="W141" s="6"/>
      <c r="X141" s="6"/>
      <c r="Y141" s="6"/>
      <c r="Z141" s="6"/>
      <c r="AA141" s="6"/>
      <c r="AB141" s="20">
        <f>COUNT(Q141:AA141)</f>
        <v>1</v>
      </c>
      <c r="AC141" s="23">
        <f>AB141/11</f>
        <v>9.0909090909090912E-2</v>
      </c>
      <c r="AD141" s="20">
        <f>IFERROR(INDEX($Q$4:$AA$4,MATCH(TRUE,INDEX(ISNUMBER(Q141:AA141),0),0)),"")</f>
        <v>2018</v>
      </c>
      <c r="AE141" s="20">
        <f>IFERROR(LOOKUP(2,1/ISNUMBER(Q141:AA141),$Q$4:$AA$4),"")</f>
        <v>2018</v>
      </c>
      <c r="AF141" s="23">
        <f>IF(AB141=0,"",AB141/(AE141-AD141+1))</f>
        <v>1</v>
      </c>
      <c r="AG141" s="20">
        <f>IF(AB141=0,"",'01_Criterios'!$C$8-AE141)</f>
        <v>7</v>
      </c>
      <c r="AH141" s="7">
        <f>IF(P141="Em uso",100,IF(P141="Alta",85,IF(P141="Média",55,30)))</f>
        <v>55</v>
      </c>
      <c r="AI141" s="7">
        <f>ROUND(100*AC141,1)</f>
        <v>9.1</v>
      </c>
      <c r="AJ141" s="7">
        <f>IF(AB141=0,0,ROUND(MAX(0,100*AF141-10*AG141),1))</f>
        <v>30</v>
      </c>
      <c r="AK141" s="7">
        <f>ROUND(('01_Criterios'!$C$19*AH141+'01_Criterios'!$C$20*AI141+'01_Criterios'!$C$21*AJ141)/('01_Criterios'!$C$19+'01_Criterios'!$C$20+'01_Criterios'!$C$21)+N141*'01_Criterios'!$C$22,1)</f>
        <v>32.700000000000003</v>
      </c>
      <c r="AL141" s="20">
        <f>IF(AND(AB141&gt;=3,AC141&gt;='01_Criterios'!$C$11,N(AE141)&gt;='01_Criterios'!$C$12,OR(F141="+",F141="-"),ISNUMBER(G141),ISNUMBER(H141)),1,0)</f>
        <v>0</v>
      </c>
      <c r="AM141" s="24" t="str">
        <f>IF(AL141=1,"",TRIM(IF(AB141=0,"sem dados no período; ",IF(AB141&lt;3,"série demasiado curta; ",""))&amp;IF(AND(AB141&gt;0,AC141&lt;'01_Criterios'!$C$11),"cobertura insuficiente; ","")&amp;IF(AND(AB141&gt;0,N(AE141)&lt;'01_Criterios'!$C$12),"desactualizado; ","")&amp;IF(AND(F141&lt;&gt;"+",F141&lt;&gt;"-"),"sentido ambíguo; ","")&amp;IF(OR(NOT(ISNUMBER(G141)),NOT(ISNUMBER(H141))),"sem limites min/max; ","")))</f>
        <v>série demasiado curta; cobertura insuficiente; desactualizado;</v>
      </c>
      <c r="AN141" s="20">
        <f>IF(OR(AL141=0,$AP141="Excluir"),0,IF(SUMPRODUCT(($O$5:$O$335=$O141)*($AL$5:$AL$335=1)*($AP$5:$AP$335&lt;&gt;"Excluir")*(($AK$5:$AK$335&gt;$AK141)+(($AK$5:$AK$335=$AK141)*(ROW($O$5:$O$335)&lt;ROW()))))=0,1,0))</f>
        <v>0</v>
      </c>
      <c r="AO141" s="20" t="str">
        <f>IF(AN141=0,"",1+SUMPRODUCT(($B$5:$B$335=$B141)*($AN$5:$AN$335=1)*(($AK$5:$AK$335&gt;$AK141)+(($AK$5:$AK$335=$AK141)*(ROW($B$5:$B$335)&lt;ROW())))))</f>
        <v/>
      </c>
      <c r="AP141" s="22" t="s">
        <v>131</v>
      </c>
      <c r="AQ141" s="20">
        <f>IF(INDEX('01_Criterios'!$C$26:$C$36,MATCH($B141,'01_Criterios'!$B$26:$B$36,0))&lt;&gt;1,0,IF($AP141="Excluir",0,IF($AP141="Incluir",IF(AND(OR($F141="+",$F141="-"),ISNUMBER($G141),ISNUMBER($H141),COUNT($Q141:$AA141)&gt;0),1,0),IF('01_Criterios'!$C$18="Automática",IF(AND($AN141=1,$AO141&lt;&gt;"",$AO141&lt;=INDEX('01_Criterios'!$E$26:$E$36,MATCH($B141,'01_Criterios'!$B$26:$B$36,0))),1,0),0))))</f>
        <v>0</v>
      </c>
      <c r="AR141" s="20" t="str">
        <f>IF(AQ141=0,"",IF($AO141&lt;&gt;"",1+SUMPRODUCT(($B$5:$B$335=$B141)*($AQ$5:$AQ$335=1)*($AO$5:$AO$335&lt;$AO141)),1+SUMPRODUCT(($B$5:$B$335=$B141)*($AQ$5:$AQ$335=1)*ISNUMBER($AO$5:$AO$335))+SUMPRODUCT(($B$5:$B$335=$B141)*($AQ$5:$AQ$335=1)*($AO$5:$AO$335="")*(ROW($AO$5:$AO$335)&lt;ROW()))))</f>
        <v/>
      </c>
      <c r="AS141" s="24" t="s">
        <v>810</v>
      </c>
    </row>
    <row r="142" spans="1:45">
      <c r="A142" s="25" t="s">
        <v>811</v>
      </c>
      <c r="B142" s="26" t="s">
        <v>79</v>
      </c>
      <c r="C142" s="26" t="s">
        <v>640</v>
      </c>
      <c r="D142" s="26" t="s">
        <v>812</v>
      </c>
      <c r="E142" s="25" t="s">
        <v>157</v>
      </c>
      <c r="F142" s="25" t="s">
        <v>158</v>
      </c>
      <c r="G142" s="25">
        <v>0</v>
      </c>
      <c r="H142" s="25">
        <v>100</v>
      </c>
      <c r="I142" s="25">
        <v>25</v>
      </c>
      <c r="J142" s="22">
        <v>1</v>
      </c>
      <c r="K142" s="26" t="s">
        <v>603</v>
      </c>
      <c r="L142" s="25" t="s">
        <v>813</v>
      </c>
      <c r="M142" s="26" t="s">
        <v>574</v>
      </c>
      <c r="N142" s="25">
        <v>0</v>
      </c>
      <c r="O142" s="26" t="s">
        <v>811</v>
      </c>
      <c r="P142" s="25" t="s">
        <v>180</v>
      </c>
      <c r="Q142" s="27">
        <v>37.859834999999997</v>
      </c>
      <c r="R142" s="27">
        <v>37.550577670000003</v>
      </c>
      <c r="S142" s="27">
        <v>37.266069999999999</v>
      </c>
      <c r="T142" s="27">
        <v>37.009803669999997</v>
      </c>
      <c r="U142" s="27">
        <v>40.657500669999997</v>
      </c>
      <c r="V142" s="27">
        <v>40.383111329999998</v>
      </c>
      <c r="W142" s="27">
        <v>40.141697669999999</v>
      </c>
      <c r="X142" s="27">
        <v>40.188032</v>
      </c>
      <c r="Y142" s="27"/>
      <c r="Z142" s="27"/>
      <c r="AA142" s="27"/>
      <c r="AB142" s="25">
        <f>COUNT(Q142:AA142)</f>
        <v>8</v>
      </c>
      <c r="AC142" s="28">
        <f>AB142/11</f>
        <v>0.72727272727272729</v>
      </c>
      <c r="AD142" s="25">
        <f>IFERROR(INDEX($Q$4:$AA$4,MATCH(TRUE,INDEX(ISNUMBER(Q142:AA142),0),0)),"")</f>
        <v>2015</v>
      </c>
      <c r="AE142" s="25">
        <f>IFERROR(LOOKUP(2,1/ISNUMBER(Q142:AA142),$Q$4:$AA$4),"")</f>
        <v>2022</v>
      </c>
      <c r="AF142" s="28">
        <f>IF(AB142=0,"",AB142/(AE142-AD142+1))</f>
        <v>1</v>
      </c>
      <c r="AG142" s="25">
        <f>IF(AB142=0,"",'01_Criterios'!$C$8-AE142)</f>
        <v>3</v>
      </c>
      <c r="AH142" s="29">
        <f>IF(P142="Em uso",100,IF(P142="Alta",85,IF(P142="Média",55,30)))</f>
        <v>55</v>
      </c>
      <c r="AI142" s="29">
        <f>ROUND(100*AC142,1)</f>
        <v>72.7</v>
      </c>
      <c r="AJ142" s="29">
        <f>IF(AB142=0,0,ROUND(MAX(0,100*AF142-10*AG142),1))</f>
        <v>70</v>
      </c>
      <c r="AK142" s="29">
        <f>ROUND(('01_Criterios'!$C$19*AH142+'01_Criterios'!$C$20*AI142+'01_Criterios'!$C$21*AJ142)/('01_Criterios'!$C$19+'01_Criterios'!$C$20+'01_Criterios'!$C$21)+N142*'01_Criterios'!$C$22,1)</f>
        <v>64.900000000000006</v>
      </c>
      <c r="AL142" s="25">
        <f>IF(AND(AB142&gt;=3,AC142&gt;='01_Criterios'!$C$11,N(AE142)&gt;='01_Criterios'!$C$12,OR(F142="+",F142="-"),ISNUMBER(G142),ISNUMBER(H142)),1,0)</f>
        <v>0</v>
      </c>
      <c r="AM142" s="30" t="str">
        <f>IF(AL142=1,"",TRIM(IF(AB142=0,"sem dados no período; ",IF(AB142&lt;3,"série demasiado curta; ",""))&amp;IF(AND(AB142&gt;0,AC142&lt;'01_Criterios'!$C$11),"cobertura insuficiente; ","")&amp;IF(AND(AB142&gt;0,N(AE142)&lt;'01_Criterios'!$C$12),"desactualizado; ","")&amp;IF(AND(F142&lt;&gt;"+",F142&lt;&gt;"-"),"sentido ambíguo; ","")&amp;IF(OR(NOT(ISNUMBER(G142)),NOT(ISNUMBER(H142))),"sem limites min/max; ","")))</f>
        <v>cobertura insuficiente; desactualizado;</v>
      </c>
      <c r="AN142" s="25">
        <f>IF(OR(AL142=0,$AP142="Excluir"),0,IF(SUMPRODUCT(($O$5:$O$335=$O142)*($AL$5:$AL$335=1)*($AP$5:$AP$335&lt;&gt;"Excluir")*(($AK$5:$AK$335&gt;$AK142)+(($AK$5:$AK$335=$AK142)*(ROW($O$5:$O$335)&lt;ROW()))))=0,1,0))</f>
        <v>0</v>
      </c>
      <c r="AO142" s="25" t="str">
        <f>IF(AN142=0,"",1+SUMPRODUCT(($B$5:$B$335=$B142)*($AN$5:$AN$335=1)*(($AK$5:$AK$335&gt;$AK142)+(($AK$5:$AK$335=$AK142)*(ROW($B$5:$B$335)&lt;ROW())))))</f>
        <v/>
      </c>
      <c r="AP142" s="22" t="s">
        <v>131</v>
      </c>
      <c r="AQ142" s="25">
        <f>IF(INDEX('01_Criterios'!$C$26:$C$36,MATCH($B142,'01_Criterios'!$B$26:$B$36,0))&lt;&gt;1,0,IF($AP142="Excluir",0,IF($AP142="Incluir",IF(AND(OR($F142="+",$F142="-"),ISNUMBER($G142),ISNUMBER($H142),COUNT($Q142:$AA142)&gt;0),1,0),IF('01_Criterios'!$C$18="Automática",IF(AND($AN142=1,$AO142&lt;&gt;"",$AO142&lt;=INDEX('01_Criterios'!$E$26:$E$36,MATCH($B142,'01_Criterios'!$B$26:$B$36,0))),1,0),0))))</f>
        <v>0</v>
      </c>
      <c r="AR142" s="25" t="str">
        <f>IF(AQ142=0,"",IF($AO142&lt;&gt;"",1+SUMPRODUCT(($B$5:$B$335=$B142)*($AQ$5:$AQ$335=1)*($AO$5:$AO$335&lt;$AO142)),1+SUMPRODUCT(($B$5:$B$335=$B142)*($AQ$5:$AQ$335=1)*ISNUMBER($AO$5:$AO$335))+SUMPRODUCT(($B$5:$B$335=$B142)*($AQ$5:$AQ$335=1)*($AO$5:$AO$335="")*(ROW($AO$5:$AO$335)&lt;ROW()))))</f>
        <v/>
      </c>
      <c r="AS142" s="24" t="s">
        <v>814</v>
      </c>
    </row>
    <row r="143" spans="1:45">
      <c r="A143" s="20" t="s">
        <v>815</v>
      </c>
      <c r="B143" s="21" t="s">
        <v>79</v>
      </c>
      <c r="C143" s="21" t="s">
        <v>816</v>
      </c>
      <c r="D143" s="21" t="s">
        <v>817</v>
      </c>
      <c r="E143" s="20" t="s">
        <v>157</v>
      </c>
      <c r="F143" s="20" t="s">
        <v>126</v>
      </c>
      <c r="G143" s="20">
        <v>0</v>
      </c>
      <c r="H143" s="20">
        <v>100</v>
      </c>
      <c r="I143" s="20">
        <v>90</v>
      </c>
      <c r="J143" s="22">
        <v>1</v>
      </c>
      <c r="K143" s="21" t="s">
        <v>803</v>
      </c>
      <c r="L143" s="20" t="s">
        <v>818</v>
      </c>
      <c r="M143" s="21" t="s">
        <v>161</v>
      </c>
      <c r="N143" s="20">
        <v>0</v>
      </c>
      <c r="O143" s="21" t="s">
        <v>805</v>
      </c>
      <c r="P143" s="20" t="s">
        <v>180</v>
      </c>
      <c r="Q143" s="6"/>
      <c r="R143" s="6">
        <v>13.6</v>
      </c>
      <c r="S143" s="6"/>
      <c r="T143" s="6"/>
      <c r="U143" s="6"/>
      <c r="V143" s="6"/>
      <c r="W143" s="6"/>
      <c r="X143" s="6"/>
      <c r="Y143" s="6"/>
      <c r="Z143" s="6"/>
      <c r="AA143" s="6"/>
      <c r="AB143" s="20">
        <f>COUNT(Q143:AA143)</f>
        <v>1</v>
      </c>
      <c r="AC143" s="23">
        <f>AB143/11</f>
        <v>9.0909090909090912E-2</v>
      </c>
      <c r="AD143" s="20">
        <f>IFERROR(INDEX($Q$4:$AA$4,MATCH(TRUE,INDEX(ISNUMBER(Q143:AA143),0),0)),"")</f>
        <v>2016</v>
      </c>
      <c r="AE143" s="20">
        <f>IFERROR(LOOKUP(2,1/ISNUMBER(Q143:AA143),$Q$4:$AA$4),"")</f>
        <v>2016</v>
      </c>
      <c r="AF143" s="23">
        <f>IF(AB143=0,"",AB143/(AE143-AD143+1))</f>
        <v>1</v>
      </c>
      <c r="AG143" s="20">
        <f>IF(AB143=0,"",'01_Criterios'!$C$8-AE143)</f>
        <v>9</v>
      </c>
      <c r="AH143" s="7">
        <f>IF(P143="Em uso",100,IF(P143="Alta",85,IF(P143="Média",55,30)))</f>
        <v>55</v>
      </c>
      <c r="AI143" s="7">
        <f>ROUND(100*AC143,1)</f>
        <v>9.1</v>
      </c>
      <c r="AJ143" s="7">
        <f>IF(AB143=0,0,ROUND(MAX(0,100*AF143-10*AG143),1))</f>
        <v>10</v>
      </c>
      <c r="AK143" s="7">
        <f>ROUND(('01_Criterios'!$C$19*AH143+'01_Criterios'!$C$20*AI143+'01_Criterios'!$C$21*AJ143)/('01_Criterios'!$C$19+'01_Criterios'!$C$20+'01_Criterios'!$C$21)+N143*'01_Criterios'!$C$22,1)</f>
        <v>27.7</v>
      </c>
      <c r="AL143" s="20">
        <f>IF(AND(AB143&gt;=3,AC143&gt;='01_Criterios'!$C$11,N(AE143)&gt;='01_Criterios'!$C$12,OR(F143="+",F143="-"),ISNUMBER(G143),ISNUMBER(H143)),1,0)</f>
        <v>0</v>
      </c>
      <c r="AM143" s="24" t="str">
        <f>IF(AL143=1,"",TRIM(IF(AB143=0,"sem dados no período; ",IF(AB143&lt;3,"série demasiado curta; ",""))&amp;IF(AND(AB143&gt;0,AC143&lt;'01_Criterios'!$C$11),"cobertura insuficiente; ","")&amp;IF(AND(AB143&gt;0,N(AE143)&lt;'01_Criterios'!$C$12),"desactualizado; ","")&amp;IF(AND(F143&lt;&gt;"+",F143&lt;&gt;"-"),"sentido ambíguo; ","")&amp;IF(OR(NOT(ISNUMBER(G143)),NOT(ISNUMBER(H143))),"sem limites min/max; ","")))</f>
        <v>série demasiado curta; cobertura insuficiente; desactualizado;</v>
      </c>
      <c r="AN143" s="20">
        <f>IF(OR(AL143=0,$AP143="Excluir"),0,IF(SUMPRODUCT(($O$5:$O$335=$O143)*($AL$5:$AL$335=1)*($AP$5:$AP$335&lt;&gt;"Excluir")*(($AK$5:$AK$335&gt;$AK143)+(($AK$5:$AK$335=$AK143)*(ROW($O$5:$O$335)&lt;ROW()))))=0,1,0))</f>
        <v>0</v>
      </c>
      <c r="AO143" s="20" t="str">
        <f>IF(AN143=0,"",1+SUMPRODUCT(($B$5:$B$335=$B143)*($AN$5:$AN$335=1)*(($AK$5:$AK$335&gt;$AK143)+(($AK$5:$AK$335=$AK143)*(ROW($B$5:$B$335)&lt;ROW())))))</f>
        <v/>
      </c>
      <c r="AP143" s="22" t="s">
        <v>131</v>
      </c>
      <c r="AQ143" s="20">
        <f>IF(INDEX('01_Criterios'!$C$26:$C$36,MATCH($B143,'01_Criterios'!$B$26:$B$36,0))&lt;&gt;1,0,IF($AP143="Excluir",0,IF($AP143="Incluir",IF(AND(OR($F143="+",$F143="-"),ISNUMBER($G143),ISNUMBER($H143),COUNT($Q143:$AA143)&gt;0),1,0),IF('01_Criterios'!$C$18="Automática",IF(AND($AN143=1,$AO143&lt;&gt;"",$AO143&lt;=INDEX('01_Criterios'!$E$26:$E$36,MATCH($B143,'01_Criterios'!$B$26:$B$36,0))),1,0),0))))</f>
        <v>0</v>
      </c>
      <c r="AR143" s="20" t="str">
        <f>IF(AQ143=0,"",IF($AO143&lt;&gt;"",1+SUMPRODUCT(($B$5:$B$335=$B143)*($AQ$5:$AQ$335=1)*($AO$5:$AO$335&lt;$AO143)),1+SUMPRODUCT(($B$5:$B$335=$B143)*($AQ$5:$AQ$335=1)*ISNUMBER($AO$5:$AO$335))+SUMPRODUCT(($B$5:$B$335=$B143)*($AQ$5:$AQ$335=1)*($AO$5:$AO$335="")*(ROW($AO$5:$AO$335)&lt;ROW()))))</f>
        <v/>
      </c>
      <c r="AS143" s="24" t="s">
        <v>819</v>
      </c>
    </row>
    <row r="144" spans="1:45">
      <c r="A144" s="25" t="s">
        <v>820</v>
      </c>
      <c r="B144" s="26" t="s">
        <v>79</v>
      </c>
      <c r="C144" s="26" t="s">
        <v>821</v>
      </c>
      <c r="D144" s="26" t="s">
        <v>822</v>
      </c>
      <c r="E144" s="25" t="s">
        <v>157</v>
      </c>
      <c r="F144" s="25" t="s">
        <v>158</v>
      </c>
      <c r="G144" s="25">
        <v>0</v>
      </c>
      <c r="H144" s="25">
        <v>60</v>
      </c>
      <c r="I144" s="25">
        <v>30</v>
      </c>
      <c r="J144" s="22">
        <v>1</v>
      </c>
      <c r="K144" s="26" t="s">
        <v>732</v>
      </c>
      <c r="L144" s="25" t="s">
        <v>823</v>
      </c>
      <c r="M144" s="26" t="s">
        <v>161</v>
      </c>
      <c r="N144" s="25">
        <v>0</v>
      </c>
      <c r="O144" s="26" t="s">
        <v>820</v>
      </c>
      <c r="P144" s="25" t="s">
        <v>180</v>
      </c>
      <c r="Q144" s="27"/>
      <c r="R144" s="27"/>
      <c r="S144" s="27"/>
      <c r="T144" s="27">
        <v>39.6</v>
      </c>
      <c r="U144" s="27"/>
      <c r="V144" s="27"/>
      <c r="W144" s="27"/>
      <c r="X144" s="27"/>
      <c r="Y144" s="27"/>
      <c r="Z144" s="27"/>
      <c r="AA144" s="27"/>
      <c r="AB144" s="25">
        <f>COUNT(Q144:AA144)</f>
        <v>1</v>
      </c>
      <c r="AC144" s="28">
        <f>AB144/11</f>
        <v>9.0909090909090912E-2</v>
      </c>
      <c r="AD144" s="25">
        <f>IFERROR(INDEX($Q$4:$AA$4,MATCH(TRUE,INDEX(ISNUMBER(Q144:AA144),0),0)),"")</f>
        <v>2018</v>
      </c>
      <c r="AE144" s="25">
        <f>IFERROR(LOOKUP(2,1/ISNUMBER(Q144:AA144),$Q$4:$AA$4),"")</f>
        <v>2018</v>
      </c>
      <c r="AF144" s="28">
        <f>IF(AB144=0,"",AB144/(AE144-AD144+1))</f>
        <v>1</v>
      </c>
      <c r="AG144" s="25">
        <f>IF(AB144=0,"",'01_Criterios'!$C$8-AE144)</f>
        <v>7</v>
      </c>
      <c r="AH144" s="29">
        <f>IF(P144="Em uso",100,IF(P144="Alta",85,IF(P144="Média",55,30)))</f>
        <v>55</v>
      </c>
      <c r="AI144" s="29">
        <f>ROUND(100*AC144,1)</f>
        <v>9.1</v>
      </c>
      <c r="AJ144" s="29">
        <f>IF(AB144=0,0,ROUND(MAX(0,100*AF144-10*AG144),1))</f>
        <v>30</v>
      </c>
      <c r="AK144" s="29">
        <f>ROUND(('01_Criterios'!$C$19*AH144+'01_Criterios'!$C$20*AI144+'01_Criterios'!$C$21*AJ144)/('01_Criterios'!$C$19+'01_Criterios'!$C$20+'01_Criterios'!$C$21)+N144*'01_Criterios'!$C$22,1)</f>
        <v>32.700000000000003</v>
      </c>
      <c r="AL144" s="25">
        <f>IF(AND(AB144&gt;=3,AC144&gt;='01_Criterios'!$C$11,N(AE144)&gt;='01_Criterios'!$C$12,OR(F144="+",F144="-"),ISNUMBER(G144),ISNUMBER(H144)),1,0)</f>
        <v>0</v>
      </c>
      <c r="AM144" s="30" t="str">
        <f>IF(AL144=1,"",TRIM(IF(AB144=0,"sem dados no período; ",IF(AB144&lt;3,"série demasiado curta; ",""))&amp;IF(AND(AB144&gt;0,AC144&lt;'01_Criterios'!$C$11),"cobertura insuficiente; ","")&amp;IF(AND(AB144&gt;0,N(AE144)&lt;'01_Criterios'!$C$12),"desactualizado; ","")&amp;IF(AND(F144&lt;&gt;"+",F144&lt;&gt;"-"),"sentido ambíguo; ","")&amp;IF(OR(NOT(ISNUMBER(G144)),NOT(ISNUMBER(H144))),"sem limites min/max; ","")))</f>
        <v>série demasiado curta; cobertura insuficiente; desactualizado;</v>
      </c>
      <c r="AN144" s="25">
        <f>IF(OR(AL144=0,$AP144="Excluir"),0,IF(SUMPRODUCT(($O$5:$O$335=$O144)*($AL$5:$AL$335=1)*($AP$5:$AP$335&lt;&gt;"Excluir")*(($AK$5:$AK$335&gt;$AK144)+(($AK$5:$AK$335=$AK144)*(ROW($O$5:$O$335)&lt;ROW()))))=0,1,0))</f>
        <v>0</v>
      </c>
      <c r="AO144" s="25" t="str">
        <f>IF(AN144=0,"",1+SUMPRODUCT(($B$5:$B$335=$B144)*($AN$5:$AN$335=1)*(($AK$5:$AK$335&gt;$AK144)+(($AK$5:$AK$335=$AK144)*(ROW($B$5:$B$335)&lt;ROW())))))</f>
        <v/>
      </c>
      <c r="AP144" s="22" t="s">
        <v>131</v>
      </c>
      <c r="AQ144" s="25">
        <f>IF(INDEX('01_Criterios'!$C$26:$C$36,MATCH($B144,'01_Criterios'!$B$26:$B$36,0))&lt;&gt;1,0,IF($AP144="Excluir",0,IF($AP144="Incluir",IF(AND(OR($F144="+",$F144="-"),ISNUMBER($G144),ISNUMBER($H144),COUNT($Q144:$AA144)&gt;0),1,0),IF('01_Criterios'!$C$18="Automática",IF(AND($AN144=1,$AO144&lt;&gt;"",$AO144&lt;=INDEX('01_Criterios'!$E$26:$E$36,MATCH($B144,'01_Criterios'!$B$26:$B$36,0))),1,0),0))))</f>
        <v>0</v>
      </c>
      <c r="AR144" s="25" t="str">
        <f>IF(AQ144=0,"",IF($AO144&lt;&gt;"",1+SUMPRODUCT(($B$5:$B$335=$B144)*($AQ$5:$AQ$335=1)*($AO$5:$AO$335&lt;$AO144)),1+SUMPRODUCT(($B$5:$B$335=$B144)*($AQ$5:$AQ$335=1)*ISNUMBER($AO$5:$AO$335))+SUMPRODUCT(($B$5:$B$335=$B144)*($AQ$5:$AQ$335=1)*($AO$5:$AO$335="")*(ROW($AO$5:$AO$335)&lt;ROW()))))</f>
        <v/>
      </c>
      <c r="AS144" s="24" t="s">
        <v>824</v>
      </c>
    </row>
    <row r="145" spans="1:45">
      <c r="A145" s="20" t="s">
        <v>825</v>
      </c>
      <c r="B145" s="21" t="s">
        <v>79</v>
      </c>
      <c r="C145" s="21" t="s">
        <v>826</v>
      </c>
      <c r="D145" s="21" t="s">
        <v>827</v>
      </c>
      <c r="E145" s="20" t="s">
        <v>742</v>
      </c>
      <c r="F145" s="20" t="s">
        <v>158</v>
      </c>
      <c r="G145" s="20">
        <v>0</v>
      </c>
      <c r="H145" s="20">
        <v>100</v>
      </c>
      <c r="I145" s="20">
        <v>30</v>
      </c>
      <c r="J145" s="22">
        <v>1</v>
      </c>
      <c r="K145" s="21" t="s">
        <v>732</v>
      </c>
      <c r="L145" s="20" t="s">
        <v>828</v>
      </c>
      <c r="M145" s="21" t="s">
        <v>161</v>
      </c>
      <c r="N145" s="20">
        <v>0</v>
      </c>
      <c r="O145" s="21" t="s">
        <v>706</v>
      </c>
      <c r="P145" s="20" t="s">
        <v>180</v>
      </c>
      <c r="Q145" s="6"/>
      <c r="R145" s="6"/>
      <c r="S145" s="6"/>
      <c r="T145" s="6">
        <v>53.7</v>
      </c>
      <c r="U145" s="6"/>
      <c r="V145" s="6"/>
      <c r="W145" s="6"/>
      <c r="X145" s="6"/>
      <c r="Y145" s="6"/>
      <c r="Z145" s="6"/>
      <c r="AA145" s="6"/>
      <c r="AB145" s="20">
        <f>COUNT(Q145:AA145)</f>
        <v>1</v>
      </c>
      <c r="AC145" s="23">
        <f>AB145/11</f>
        <v>9.0909090909090912E-2</v>
      </c>
      <c r="AD145" s="20">
        <f>IFERROR(INDEX($Q$4:$AA$4,MATCH(TRUE,INDEX(ISNUMBER(Q145:AA145),0),0)),"")</f>
        <v>2018</v>
      </c>
      <c r="AE145" s="20">
        <f>IFERROR(LOOKUP(2,1/ISNUMBER(Q145:AA145),$Q$4:$AA$4),"")</f>
        <v>2018</v>
      </c>
      <c r="AF145" s="23">
        <f>IF(AB145=0,"",AB145/(AE145-AD145+1))</f>
        <v>1</v>
      </c>
      <c r="AG145" s="20">
        <f>IF(AB145=0,"",'01_Criterios'!$C$8-AE145)</f>
        <v>7</v>
      </c>
      <c r="AH145" s="7">
        <f>IF(P145="Em uso",100,IF(P145="Alta",85,IF(P145="Média",55,30)))</f>
        <v>55</v>
      </c>
      <c r="AI145" s="7">
        <f>ROUND(100*AC145,1)</f>
        <v>9.1</v>
      </c>
      <c r="AJ145" s="7">
        <f>IF(AB145=0,0,ROUND(MAX(0,100*AF145-10*AG145),1))</f>
        <v>30</v>
      </c>
      <c r="AK145" s="7">
        <f>ROUND(('01_Criterios'!$C$19*AH145+'01_Criterios'!$C$20*AI145+'01_Criterios'!$C$21*AJ145)/('01_Criterios'!$C$19+'01_Criterios'!$C$20+'01_Criterios'!$C$21)+N145*'01_Criterios'!$C$22,1)</f>
        <v>32.700000000000003</v>
      </c>
      <c r="AL145" s="20">
        <f>IF(AND(AB145&gt;=3,AC145&gt;='01_Criterios'!$C$11,N(AE145)&gt;='01_Criterios'!$C$12,OR(F145="+",F145="-"),ISNUMBER(G145),ISNUMBER(H145)),1,0)</f>
        <v>0</v>
      </c>
      <c r="AM145" s="24" t="str">
        <f>IF(AL145=1,"",TRIM(IF(AB145=0,"sem dados no período; ",IF(AB145&lt;3,"série demasiado curta; ",""))&amp;IF(AND(AB145&gt;0,AC145&lt;'01_Criterios'!$C$11),"cobertura insuficiente; ","")&amp;IF(AND(AB145&gt;0,N(AE145)&lt;'01_Criterios'!$C$12),"desactualizado; ","")&amp;IF(AND(F145&lt;&gt;"+",F145&lt;&gt;"-"),"sentido ambíguo; ","")&amp;IF(OR(NOT(ISNUMBER(G145)),NOT(ISNUMBER(H145))),"sem limites min/max; ","")))</f>
        <v>série demasiado curta; cobertura insuficiente; desactualizado;</v>
      </c>
      <c r="AN145" s="20">
        <f>IF(OR(AL145=0,$AP145="Excluir"),0,IF(SUMPRODUCT(($O$5:$O$335=$O145)*($AL$5:$AL$335=1)*($AP$5:$AP$335&lt;&gt;"Excluir")*(($AK$5:$AK$335&gt;$AK145)+(($AK$5:$AK$335=$AK145)*(ROW($O$5:$O$335)&lt;ROW()))))=0,1,0))</f>
        <v>0</v>
      </c>
      <c r="AO145" s="20" t="str">
        <f>IF(AN145=0,"",1+SUMPRODUCT(($B$5:$B$335=$B145)*($AN$5:$AN$335=1)*(($AK$5:$AK$335&gt;$AK145)+(($AK$5:$AK$335=$AK145)*(ROW($B$5:$B$335)&lt;ROW())))))</f>
        <v/>
      </c>
      <c r="AP145" s="22" t="s">
        <v>131</v>
      </c>
      <c r="AQ145" s="20">
        <f>IF(INDEX('01_Criterios'!$C$26:$C$36,MATCH($B145,'01_Criterios'!$B$26:$B$36,0))&lt;&gt;1,0,IF($AP145="Excluir",0,IF($AP145="Incluir",IF(AND(OR($F145="+",$F145="-"),ISNUMBER($G145),ISNUMBER($H145),COUNT($Q145:$AA145)&gt;0),1,0),IF('01_Criterios'!$C$18="Automática",IF(AND($AN145=1,$AO145&lt;&gt;"",$AO145&lt;=INDEX('01_Criterios'!$E$26:$E$36,MATCH($B145,'01_Criterios'!$B$26:$B$36,0))),1,0),0))))</f>
        <v>0</v>
      </c>
      <c r="AR145" s="20" t="str">
        <f>IF(AQ145=0,"",IF($AO145&lt;&gt;"",1+SUMPRODUCT(($B$5:$B$335=$B145)*($AQ$5:$AQ$335=1)*($AO$5:$AO$335&lt;$AO145)),1+SUMPRODUCT(($B$5:$B$335=$B145)*($AQ$5:$AQ$335=1)*ISNUMBER($AO$5:$AO$335))+SUMPRODUCT(($B$5:$B$335=$B145)*($AQ$5:$AQ$335=1)*($AO$5:$AO$335="")*(ROW($AO$5:$AO$335)&lt;ROW()))))</f>
        <v/>
      </c>
      <c r="AS145" s="24" t="s">
        <v>829</v>
      </c>
    </row>
    <row r="146" spans="1:45">
      <c r="A146" s="25" t="s">
        <v>830</v>
      </c>
      <c r="B146" s="26" t="s">
        <v>79</v>
      </c>
      <c r="C146" s="26" t="s">
        <v>826</v>
      </c>
      <c r="D146" s="26" t="s">
        <v>831</v>
      </c>
      <c r="E146" s="25" t="s">
        <v>742</v>
      </c>
      <c r="F146" s="25" t="s">
        <v>158</v>
      </c>
      <c r="G146" s="25">
        <v>0</v>
      </c>
      <c r="H146" s="25">
        <v>100</v>
      </c>
      <c r="I146" s="25">
        <v>60</v>
      </c>
      <c r="J146" s="22">
        <v>1</v>
      </c>
      <c r="K146" s="26" t="s">
        <v>732</v>
      </c>
      <c r="L146" s="25" t="s">
        <v>832</v>
      </c>
      <c r="M146" s="26" t="s">
        <v>161</v>
      </c>
      <c r="N146" s="25">
        <v>0</v>
      </c>
      <c r="O146" s="26" t="s">
        <v>706</v>
      </c>
      <c r="P146" s="25" t="s">
        <v>180</v>
      </c>
      <c r="Q146" s="27"/>
      <c r="R146" s="27"/>
      <c r="S146" s="27"/>
      <c r="T146" s="27">
        <v>80</v>
      </c>
      <c r="U146" s="27"/>
      <c r="V146" s="27"/>
      <c r="W146" s="27"/>
      <c r="X146" s="27"/>
      <c r="Y146" s="27"/>
      <c r="Z146" s="27"/>
      <c r="AA146" s="27"/>
      <c r="AB146" s="25">
        <f>COUNT(Q146:AA146)</f>
        <v>1</v>
      </c>
      <c r="AC146" s="28">
        <f>AB146/11</f>
        <v>9.0909090909090912E-2</v>
      </c>
      <c r="AD146" s="25">
        <f>IFERROR(INDEX($Q$4:$AA$4,MATCH(TRUE,INDEX(ISNUMBER(Q146:AA146),0),0)),"")</f>
        <v>2018</v>
      </c>
      <c r="AE146" s="25">
        <f>IFERROR(LOOKUP(2,1/ISNUMBER(Q146:AA146),$Q$4:$AA$4),"")</f>
        <v>2018</v>
      </c>
      <c r="AF146" s="28">
        <f>IF(AB146=0,"",AB146/(AE146-AD146+1))</f>
        <v>1</v>
      </c>
      <c r="AG146" s="25">
        <f>IF(AB146=0,"",'01_Criterios'!$C$8-AE146)</f>
        <v>7</v>
      </c>
      <c r="AH146" s="29">
        <f>IF(P146="Em uso",100,IF(P146="Alta",85,IF(P146="Média",55,30)))</f>
        <v>55</v>
      </c>
      <c r="AI146" s="29">
        <f>ROUND(100*AC146,1)</f>
        <v>9.1</v>
      </c>
      <c r="AJ146" s="29">
        <f>IF(AB146=0,0,ROUND(MAX(0,100*AF146-10*AG146),1))</f>
        <v>30</v>
      </c>
      <c r="AK146" s="29">
        <f>ROUND(('01_Criterios'!$C$19*AH146+'01_Criterios'!$C$20*AI146+'01_Criterios'!$C$21*AJ146)/('01_Criterios'!$C$19+'01_Criterios'!$C$20+'01_Criterios'!$C$21)+N146*'01_Criterios'!$C$22,1)</f>
        <v>32.700000000000003</v>
      </c>
      <c r="AL146" s="25">
        <f>IF(AND(AB146&gt;=3,AC146&gt;='01_Criterios'!$C$11,N(AE146)&gt;='01_Criterios'!$C$12,OR(F146="+",F146="-"),ISNUMBER(G146),ISNUMBER(H146)),1,0)</f>
        <v>0</v>
      </c>
      <c r="AM146" s="30" t="str">
        <f>IF(AL146=1,"",TRIM(IF(AB146=0,"sem dados no período; ",IF(AB146&lt;3,"série demasiado curta; ",""))&amp;IF(AND(AB146&gt;0,AC146&lt;'01_Criterios'!$C$11),"cobertura insuficiente; ","")&amp;IF(AND(AB146&gt;0,N(AE146)&lt;'01_Criterios'!$C$12),"desactualizado; ","")&amp;IF(AND(F146&lt;&gt;"+",F146&lt;&gt;"-"),"sentido ambíguo; ","")&amp;IF(OR(NOT(ISNUMBER(G146)),NOT(ISNUMBER(H146))),"sem limites min/max; ","")))</f>
        <v>série demasiado curta; cobertura insuficiente; desactualizado;</v>
      </c>
      <c r="AN146" s="25">
        <f>IF(OR(AL146=0,$AP146="Excluir"),0,IF(SUMPRODUCT(($O$5:$O$335=$O146)*($AL$5:$AL$335=1)*($AP$5:$AP$335&lt;&gt;"Excluir")*(($AK$5:$AK$335&gt;$AK146)+(($AK$5:$AK$335=$AK146)*(ROW($O$5:$O$335)&lt;ROW()))))=0,1,0))</f>
        <v>0</v>
      </c>
      <c r="AO146" s="25" t="str">
        <f>IF(AN146=0,"",1+SUMPRODUCT(($B$5:$B$335=$B146)*($AN$5:$AN$335=1)*(($AK$5:$AK$335&gt;$AK146)+(($AK$5:$AK$335=$AK146)*(ROW($B$5:$B$335)&lt;ROW())))))</f>
        <v/>
      </c>
      <c r="AP146" s="22" t="s">
        <v>131</v>
      </c>
      <c r="AQ146" s="25">
        <f>IF(INDEX('01_Criterios'!$C$26:$C$36,MATCH($B146,'01_Criterios'!$B$26:$B$36,0))&lt;&gt;1,0,IF($AP146="Excluir",0,IF($AP146="Incluir",IF(AND(OR($F146="+",$F146="-"),ISNUMBER($G146),ISNUMBER($H146),COUNT($Q146:$AA146)&gt;0),1,0),IF('01_Criterios'!$C$18="Automática",IF(AND($AN146=1,$AO146&lt;&gt;"",$AO146&lt;=INDEX('01_Criterios'!$E$26:$E$36,MATCH($B146,'01_Criterios'!$B$26:$B$36,0))),1,0),0))))</f>
        <v>0</v>
      </c>
      <c r="AR146" s="25" t="str">
        <f>IF(AQ146=0,"",IF($AO146&lt;&gt;"",1+SUMPRODUCT(($B$5:$B$335=$B146)*($AQ$5:$AQ$335=1)*($AO$5:$AO$335&lt;$AO146)),1+SUMPRODUCT(($B$5:$B$335=$B146)*($AQ$5:$AQ$335=1)*ISNUMBER($AO$5:$AO$335))+SUMPRODUCT(($B$5:$B$335=$B146)*($AQ$5:$AQ$335=1)*($AO$5:$AO$335="")*(ROW($AO$5:$AO$335)&lt;ROW()))))</f>
        <v/>
      </c>
      <c r="AS146" s="24" t="s">
        <v>833</v>
      </c>
    </row>
    <row r="147" spans="1:45">
      <c r="A147" s="20" t="s">
        <v>834</v>
      </c>
      <c r="B147" s="21" t="s">
        <v>79</v>
      </c>
      <c r="C147" s="21" t="s">
        <v>826</v>
      </c>
      <c r="D147" s="21" t="s">
        <v>835</v>
      </c>
      <c r="E147" s="20" t="s">
        <v>157</v>
      </c>
      <c r="F147" s="20" t="s">
        <v>158</v>
      </c>
      <c r="G147" s="20">
        <v>0</v>
      </c>
      <c r="H147" s="20">
        <v>60</v>
      </c>
      <c r="I147" s="20">
        <v>5</v>
      </c>
      <c r="J147" s="22">
        <v>1</v>
      </c>
      <c r="K147" s="21" t="s">
        <v>732</v>
      </c>
      <c r="L147" s="20" t="s">
        <v>836</v>
      </c>
      <c r="M147" s="21" t="s">
        <v>161</v>
      </c>
      <c r="N147" s="20">
        <v>0</v>
      </c>
      <c r="O147" s="21" t="s">
        <v>706</v>
      </c>
      <c r="P147" s="20" t="s">
        <v>180</v>
      </c>
      <c r="Q147" s="6"/>
      <c r="R147" s="6"/>
      <c r="S147" s="6"/>
      <c r="T147" s="6">
        <v>16.3</v>
      </c>
      <c r="U147" s="6"/>
      <c r="V147" s="6"/>
      <c r="W147" s="6"/>
      <c r="X147" s="6"/>
      <c r="Y147" s="6"/>
      <c r="Z147" s="6"/>
      <c r="AA147" s="6"/>
      <c r="AB147" s="20">
        <f>COUNT(Q147:AA147)</f>
        <v>1</v>
      </c>
      <c r="AC147" s="23">
        <f>AB147/11</f>
        <v>9.0909090909090912E-2</v>
      </c>
      <c r="AD147" s="20">
        <f>IFERROR(INDEX($Q$4:$AA$4,MATCH(TRUE,INDEX(ISNUMBER(Q147:AA147),0),0)),"")</f>
        <v>2018</v>
      </c>
      <c r="AE147" s="20">
        <f>IFERROR(LOOKUP(2,1/ISNUMBER(Q147:AA147),$Q$4:$AA$4),"")</f>
        <v>2018</v>
      </c>
      <c r="AF147" s="23">
        <f>IF(AB147=0,"",AB147/(AE147-AD147+1))</f>
        <v>1</v>
      </c>
      <c r="AG147" s="20">
        <f>IF(AB147=0,"",'01_Criterios'!$C$8-AE147)</f>
        <v>7</v>
      </c>
      <c r="AH147" s="7">
        <f>IF(P147="Em uso",100,IF(P147="Alta",85,IF(P147="Média",55,30)))</f>
        <v>55</v>
      </c>
      <c r="AI147" s="7">
        <f>ROUND(100*AC147,1)</f>
        <v>9.1</v>
      </c>
      <c r="AJ147" s="7">
        <f>IF(AB147=0,0,ROUND(MAX(0,100*AF147-10*AG147),1))</f>
        <v>30</v>
      </c>
      <c r="AK147" s="7">
        <f>ROUND(('01_Criterios'!$C$19*AH147+'01_Criterios'!$C$20*AI147+'01_Criterios'!$C$21*AJ147)/('01_Criterios'!$C$19+'01_Criterios'!$C$20+'01_Criterios'!$C$21)+N147*'01_Criterios'!$C$22,1)</f>
        <v>32.700000000000003</v>
      </c>
      <c r="AL147" s="20">
        <f>IF(AND(AB147&gt;=3,AC147&gt;='01_Criterios'!$C$11,N(AE147)&gt;='01_Criterios'!$C$12,OR(F147="+",F147="-"),ISNUMBER(G147),ISNUMBER(H147)),1,0)</f>
        <v>0</v>
      </c>
      <c r="AM147" s="24" t="str">
        <f>IF(AL147=1,"",TRIM(IF(AB147=0,"sem dados no período; ",IF(AB147&lt;3,"série demasiado curta; ",""))&amp;IF(AND(AB147&gt;0,AC147&lt;'01_Criterios'!$C$11),"cobertura insuficiente; ","")&amp;IF(AND(AB147&gt;0,N(AE147)&lt;'01_Criterios'!$C$12),"desactualizado; ","")&amp;IF(AND(F147&lt;&gt;"+",F147&lt;&gt;"-"),"sentido ambíguo; ","")&amp;IF(OR(NOT(ISNUMBER(G147)),NOT(ISNUMBER(H147))),"sem limites min/max; ","")))</f>
        <v>série demasiado curta; cobertura insuficiente; desactualizado;</v>
      </c>
      <c r="AN147" s="20">
        <f>IF(OR(AL147=0,$AP147="Excluir"),0,IF(SUMPRODUCT(($O$5:$O$335=$O147)*($AL$5:$AL$335=1)*($AP$5:$AP$335&lt;&gt;"Excluir")*(($AK$5:$AK$335&gt;$AK147)+(($AK$5:$AK$335=$AK147)*(ROW($O$5:$O$335)&lt;ROW()))))=0,1,0))</f>
        <v>0</v>
      </c>
      <c r="AO147" s="20" t="str">
        <f>IF(AN147=0,"",1+SUMPRODUCT(($B$5:$B$335=$B147)*($AN$5:$AN$335=1)*(($AK$5:$AK$335&gt;$AK147)+(($AK$5:$AK$335=$AK147)*(ROW($B$5:$B$335)&lt;ROW())))))</f>
        <v/>
      </c>
      <c r="AP147" s="22" t="s">
        <v>131</v>
      </c>
      <c r="AQ147" s="20">
        <f>IF(INDEX('01_Criterios'!$C$26:$C$36,MATCH($B147,'01_Criterios'!$B$26:$B$36,0))&lt;&gt;1,0,IF($AP147="Excluir",0,IF($AP147="Incluir",IF(AND(OR($F147="+",$F147="-"),ISNUMBER($G147),ISNUMBER($H147),COUNT($Q147:$AA147)&gt;0),1,0),IF('01_Criterios'!$C$18="Automática",IF(AND($AN147=1,$AO147&lt;&gt;"",$AO147&lt;=INDEX('01_Criterios'!$E$26:$E$36,MATCH($B147,'01_Criterios'!$B$26:$B$36,0))),1,0),0))))</f>
        <v>0</v>
      </c>
      <c r="AR147" s="20" t="str">
        <f>IF(AQ147=0,"",IF($AO147&lt;&gt;"",1+SUMPRODUCT(($B$5:$B$335=$B147)*($AQ$5:$AQ$335=1)*($AO$5:$AO$335&lt;$AO147)),1+SUMPRODUCT(($B$5:$B$335=$B147)*($AQ$5:$AQ$335=1)*ISNUMBER($AO$5:$AO$335))+SUMPRODUCT(($B$5:$B$335=$B147)*($AQ$5:$AQ$335=1)*($AO$5:$AO$335="")*(ROW($AO$5:$AO$335)&lt;ROW()))))</f>
        <v/>
      </c>
      <c r="AS147" s="24" t="s">
        <v>837</v>
      </c>
    </row>
    <row r="148" spans="1:45">
      <c r="A148" s="25" t="s">
        <v>838</v>
      </c>
      <c r="B148" s="26" t="s">
        <v>79</v>
      </c>
      <c r="C148" s="26" t="s">
        <v>702</v>
      </c>
      <c r="D148" s="26" t="s">
        <v>839</v>
      </c>
      <c r="E148" s="25" t="s">
        <v>157</v>
      </c>
      <c r="F148" s="25" t="s">
        <v>126</v>
      </c>
      <c r="G148" s="25">
        <v>0</v>
      </c>
      <c r="H148" s="25">
        <v>100</v>
      </c>
      <c r="I148" s="25">
        <v>65</v>
      </c>
      <c r="J148" s="22">
        <v>1</v>
      </c>
      <c r="K148" s="26" t="s">
        <v>788</v>
      </c>
      <c r="L148" s="25" t="s">
        <v>840</v>
      </c>
      <c r="M148" s="26" t="s">
        <v>161</v>
      </c>
      <c r="N148" s="25">
        <v>0</v>
      </c>
      <c r="O148" s="26" t="s">
        <v>841</v>
      </c>
      <c r="P148" s="25" t="s">
        <v>180</v>
      </c>
      <c r="Q148" s="27">
        <v>73.933000000000007</v>
      </c>
      <c r="R148" s="27">
        <v>73.697000000000003</v>
      </c>
      <c r="S148" s="27">
        <v>73.460999999999999</v>
      </c>
      <c r="T148" s="27">
        <v>73.224000000000004</v>
      </c>
      <c r="U148" s="27">
        <v>72.984999999999999</v>
      </c>
      <c r="V148" s="27">
        <v>71.341999999999999</v>
      </c>
      <c r="W148" s="27">
        <v>74.694999999999993</v>
      </c>
      <c r="X148" s="27">
        <v>74.018000000000001</v>
      </c>
      <c r="Y148" s="27">
        <v>72.317999999999998</v>
      </c>
      <c r="Z148" s="27">
        <v>72.358999999999995</v>
      </c>
      <c r="AA148" s="27">
        <v>72.224000000000004</v>
      </c>
      <c r="AB148" s="25">
        <f>COUNT(Q148:AA148)</f>
        <v>11</v>
      </c>
      <c r="AC148" s="28">
        <f>AB148/11</f>
        <v>1</v>
      </c>
      <c r="AD148" s="25">
        <f>IFERROR(INDEX($Q$4:$AA$4,MATCH(TRUE,INDEX(ISNUMBER(Q148:AA148),0),0)),"")</f>
        <v>2015</v>
      </c>
      <c r="AE148" s="25">
        <f>IFERROR(LOOKUP(2,1/ISNUMBER(Q148:AA148),$Q$4:$AA$4),"")</f>
        <v>2025</v>
      </c>
      <c r="AF148" s="28">
        <f>IF(AB148=0,"",AB148/(AE148-AD148+1))</f>
        <v>1</v>
      </c>
      <c r="AG148" s="25">
        <f>IF(AB148=0,"",'01_Criterios'!$C$8-AE148)</f>
        <v>0</v>
      </c>
      <c r="AH148" s="29">
        <f>IF(P148="Em uso",100,IF(P148="Alta",85,IF(P148="Média",55,30)))</f>
        <v>55</v>
      </c>
      <c r="AI148" s="29">
        <f>ROUND(100*AC148,1)</f>
        <v>100</v>
      </c>
      <c r="AJ148" s="29">
        <f>IF(AB148=0,0,ROUND(MAX(0,100*AF148-10*AG148),1))</f>
        <v>100</v>
      </c>
      <c r="AK148" s="29">
        <f>ROUND(('01_Criterios'!$C$19*AH148+'01_Criterios'!$C$20*AI148+'01_Criterios'!$C$21*AJ148)/('01_Criterios'!$C$19+'01_Criterios'!$C$20+'01_Criterios'!$C$21)+N148*'01_Criterios'!$C$22,1)</f>
        <v>82</v>
      </c>
      <c r="AL148" s="25">
        <f>IF(AND(AB148&gt;=3,AC148&gt;='01_Criterios'!$C$11,N(AE148)&gt;='01_Criterios'!$C$12,OR(F148="+",F148="-"),ISNUMBER(G148),ISNUMBER(H148)),1,0)</f>
        <v>1</v>
      </c>
      <c r="AM148" s="30" t="str">
        <f>IF(AL148=1,"",TRIM(IF(AB148=0,"sem dados no período; ",IF(AB148&lt;3,"série demasiado curta; ",""))&amp;IF(AND(AB148&gt;0,AC148&lt;'01_Criterios'!$C$11),"cobertura insuficiente; ","")&amp;IF(AND(AB148&gt;0,N(AE148)&lt;'01_Criterios'!$C$12),"desactualizado; ","")&amp;IF(AND(F148&lt;&gt;"+",F148&lt;&gt;"-"),"sentido ambíguo; ","")&amp;IF(OR(NOT(ISNUMBER(G148)),NOT(ISNUMBER(H148))),"sem limites min/max; ","")))</f>
        <v/>
      </c>
      <c r="AN148" s="25">
        <f>IF(OR(AL148=0,$AP148="Excluir"),0,IF(SUMPRODUCT(($O$5:$O$335=$O148)*($AL$5:$AL$335=1)*($AP$5:$AP$335&lt;&gt;"Excluir")*(($AK$5:$AK$335&gt;$AK148)+(($AK$5:$AK$335=$AK148)*(ROW($O$5:$O$335)&lt;ROW()))))=0,1,0))</f>
        <v>0</v>
      </c>
      <c r="AO148" s="25" t="str">
        <f>IF(AN148=0,"",1+SUMPRODUCT(($B$5:$B$335=$B148)*($AN$5:$AN$335=1)*(($AK$5:$AK$335&gt;$AK148)+(($AK$5:$AK$335=$AK148)*(ROW($B$5:$B$335)&lt;ROW())))))</f>
        <v/>
      </c>
      <c r="AP148" s="22" t="s">
        <v>131</v>
      </c>
      <c r="AQ148" s="25">
        <f>IF(INDEX('01_Criterios'!$C$26:$C$36,MATCH($B148,'01_Criterios'!$B$26:$B$36,0))&lt;&gt;1,0,IF($AP148="Excluir",0,IF($AP148="Incluir",IF(AND(OR($F148="+",$F148="-"),ISNUMBER($G148),ISNUMBER($H148),COUNT($Q148:$AA148)&gt;0),1,0),IF('01_Criterios'!$C$18="Automática",IF(AND($AN148=1,$AO148&lt;&gt;"",$AO148&lt;=INDEX('01_Criterios'!$E$26:$E$36,MATCH($B148,'01_Criterios'!$B$26:$B$36,0))),1,0),0))))</f>
        <v>0</v>
      </c>
      <c r="AR148" s="25" t="str">
        <f>IF(AQ148=0,"",IF($AO148&lt;&gt;"",1+SUMPRODUCT(($B$5:$B$335=$B148)*($AQ$5:$AQ$335=1)*($AO$5:$AO$335&lt;$AO148)),1+SUMPRODUCT(($B$5:$B$335=$B148)*($AQ$5:$AQ$335=1)*ISNUMBER($AO$5:$AO$335))+SUMPRODUCT(($B$5:$B$335=$B148)*($AQ$5:$AQ$335=1)*($AO$5:$AO$335="")*(ROW($AO$5:$AO$335)&lt;ROW()))))</f>
        <v/>
      </c>
      <c r="AS148" s="24" t="s">
        <v>842</v>
      </c>
    </row>
    <row r="149" spans="1:45">
      <c r="A149" s="20" t="s">
        <v>843</v>
      </c>
      <c r="B149" s="21" t="s">
        <v>79</v>
      </c>
      <c r="C149" s="21" t="s">
        <v>702</v>
      </c>
      <c r="D149" s="21" t="s">
        <v>844</v>
      </c>
      <c r="E149" s="20" t="s">
        <v>157</v>
      </c>
      <c r="F149" s="20" t="s">
        <v>126</v>
      </c>
      <c r="G149" s="20">
        <v>0</v>
      </c>
      <c r="H149" s="20">
        <v>60</v>
      </c>
      <c r="I149" s="20">
        <v>35</v>
      </c>
      <c r="J149" s="22">
        <v>1</v>
      </c>
      <c r="K149" s="21" t="s">
        <v>845</v>
      </c>
      <c r="L149" s="20" t="s">
        <v>846</v>
      </c>
      <c r="M149" s="21" t="s">
        <v>161</v>
      </c>
      <c r="N149" s="20">
        <v>0</v>
      </c>
      <c r="O149" s="21" t="s">
        <v>843</v>
      </c>
      <c r="P149" s="20" t="s">
        <v>180</v>
      </c>
      <c r="Q149" s="6">
        <v>36.818181818181799</v>
      </c>
      <c r="R149" s="6">
        <v>36.818181818181799</v>
      </c>
      <c r="S149" s="6">
        <v>30.454545454545499</v>
      </c>
      <c r="T149" s="6">
        <v>30.454545454545499</v>
      </c>
      <c r="U149" s="6">
        <v>30</v>
      </c>
      <c r="V149" s="6">
        <v>30</v>
      </c>
      <c r="W149" s="6">
        <v>29.545454545454501</v>
      </c>
      <c r="X149" s="6">
        <v>33.636363636363598</v>
      </c>
      <c r="Y149" s="6">
        <v>33.636363636363598</v>
      </c>
      <c r="Z149" s="6">
        <v>39.545454545454497</v>
      </c>
      <c r="AA149" s="6">
        <v>39.090909090909101</v>
      </c>
      <c r="AB149" s="20">
        <f>COUNT(Q149:AA149)</f>
        <v>11</v>
      </c>
      <c r="AC149" s="23">
        <f>AB149/11</f>
        <v>1</v>
      </c>
      <c r="AD149" s="20">
        <f>IFERROR(INDEX($Q$4:$AA$4,MATCH(TRUE,INDEX(ISNUMBER(Q149:AA149),0),0)),"")</f>
        <v>2015</v>
      </c>
      <c r="AE149" s="20">
        <f>IFERROR(LOOKUP(2,1/ISNUMBER(Q149:AA149),$Q$4:$AA$4),"")</f>
        <v>2025</v>
      </c>
      <c r="AF149" s="23">
        <f>IF(AB149=0,"",AB149/(AE149-AD149+1))</f>
        <v>1</v>
      </c>
      <c r="AG149" s="20">
        <f>IF(AB149=0,"",'01_Criterios'!$C$8-AE149)</f>
        <v>0</v>
      </c>
      <c r="AH149" s="7">
        <f>IF(P149="Em uso",100,IF(P149="Alta",85,IF(P149="Média",55,30)))</f>
        <v>55</v>
      </c>
      <c r="AI149" s="7">
        <f>ROUND(100*AC149,1)</f>
        <v>100</v>
      </c>
      <c r="AJ149" s="7">
        <f>IF(AB149=0,0,ROUND(MAX(0,100*AF149-10*AG149),1))</f>
        <v>100</v>
      </c>
      <c r="AK149" s="7">
        <f>ROUND(('01_Criterios'!$C$19*AH149+'01_Criterios'!$C$20*AI149+'01_Criterios'!$C$21*AJ149)/('01_Criterios'!$C$19+'01_Criterios'!$C$20+'01_Criterios'!$C$21)+N149*'01_Criterios'!$C$22,1)</f>
        <v>82</v>
      </c>
      <c r="AL149" s="20">
        <f>IF(AND(AB149&gt;=3,AC149&gt;='01_Criterios'!$C$11,N(AE149)&gt;='01_Criterios'!$C$12,OR(F149="+",F149="-"),ISNUMBER(G149),ISNUMBER(H149)),1,0)</f>
        <v>1</v>
      </c>
      <c r="AM149" s="24" t="str">
        <f>IF(AL149=1,"",TRIM(IF(AB149=0,"sem dados no período; ",IF(AB149&lt;3,"série demasiado curta; ",""))&amp;IF(AND(AB149&gt;0,AC149&lt;'01_Criterios'!$C$11),"cobertura insuficiente; ","")&amp;IF(AND(AB149&gt;0,N(AE149)&lt;'01_Criterios'!$C$12),"desactualizado; ","")&amp;IF(AND(F149&lt;&gt;"+",F149&lt;&gt;"-"),"sentido ambíguo; ","")&amp;IF(OR(NOT(ISNUMBER(G149)),NOT(ISNUMBER(H149))),"sem limites min/max; ","")))</f>
        <v/>
      </c>
      <c r="AN149" s="20">
        <f>IF(OR(AL149=0,$AP149="Excluir"),0,IF(SUMPRODUCT(($O$5:$O$335=$O149)*($AL$5:$AL$335=1)*($AP$5:$AP$335&lt;&gt;"Excluir")*(($AK$5:$AK$335&gt;$AK149)+(($AK$5:$AK$335=$AK149)*(ROW($O$5:$O$335)&lt;ROW()))))=0,1,0))</f>
        <v>1</v>
      </c>
      <c r="AO149" s="20">
        <f>IF(AN149=0,"",1+SUMPRODUCT(($B$5:$B$335=$B149)*($AN$5:$AN$335=1)*(($AK$5:$AK$335&gt;$AK149)+(($AK$5:$AK$335=$AK149)*(ROW($B$5:$B$335)&lt;ROW())))))</f>
        <v>3</v>
      </c>
      <c r="AP149" s="22" t="s">
        <v>131</v>
      </c>
      <c r="AQ149" s="20">
        <f>IF(INDEX('01_Criterios'!$C$26:$C$36,MATCH($B149,'01_Criterios'!$B$26:$B$36,0))&lt;&gt;1,0,IF($AP149="Excluir",0,IF($AP149="Incluir",IF(AND(OR($F149="+",$F149="-"),ISNUMBER($G149),ISNUMBER($H149),COUNT($Q149:$AA149)&gt;0),1,0),IF('01_Criterios'!$C$18="Automática",IF(AND($AN149=1,$AO149&lt;&gt;"",$AO149&lt;=INDEX('01_Criterios'!$E$26:$E$36,MATCH($B149,'01_Criterios'!$B$26:$B$36,0))),1,0),0))))</f>
        <v>1</v>
      </c>
      <c r="AR149" s="20">
        <f>IF(AQ149=0,"",IF($AO149&lt;&gt;"",1+SUMPRODUCT(($B$5:$B$335=$B149)*($AQ$5:$AQ$335=1)*($AO$5:$AO$335&lt;$AO149)),1+SUMPRODUCT(($B$5:$B$335=$B149)*($AQ$5:$AQ$335=1)*ISNUMBER($AO$5:$AO$335))+SUMPRODUCT(($B$5:$B$335=$B149)*($AQ$5:$AQ$335=1)*($AO$5:$AO$335="")*(ROW($AO$5:$AO$335)&lt;ROW()))))</f>
        <v>3</v>
      </c>
      <c r="AS149" s="24" t="s">
        <v>847</v>
      </c>
    </row>
    <row r="150" spans="1:45">
      <c r="A150" s="25" t="s">
        <v>848</v>
      </c>
      <c r="B150" s="26" t="s">
        <v>80</v>
      </c>
      <c r="C150" s="26" t="s">
        <v>849</v>
      </c>
      <c r="D150" s="26" t="s">
        <v>850</v>
      </c>
      <c r="E150" s="25" t="s">
        <v>157</v>
      </c>
      <c r="F150" s="25" t="s">
        <v>126</v>
      </c>
      <c r="G150" s="25">
        <v>0</v>
      </c>
      <c r="H150" s="25">
        <v>100</v>
      </c>
      <c r="I150" s="25">
        <v>70</v>
      </c>
      <c r="J150" s="22">
        <v>1</v>
      </c>
      <c r="K150" s="26" t="s">
        <v>851</v>
      </c>
      <c r="L150" s="25" t="s">
        <v>852</v>
      </c>
      <c r="M150" s="26" t="s">
        <v>161</v>
      </c>
      <c r="N150" s="25">
        <v>1</v>
      </c>
      <c r="O150" s="26" t="s">
        <v>853</v>
      </c>
      <c r="P150" s="25" t="s">
        <v>130</v>
      </c>
      <c r="Q150" s="27">
        <v>58.619631200767699</v>
      </c>
      <c r="R150" s="27">
        <v>60.192062018551901</v>
      </c>
      <c r="S150" s="27">
        <v>61.773512210454101</v>
      </c>
      <c r="T150" s="27">
        <v>63.362790738802097</v>
      </c>
      <c r="U150" s="27">
        <v>64.159911037306699</v>
      </c>
      <c r="V150" s="27">
        <v>64.944030543653795</v>
      </c>
      <c r="W150" s="27">
        <v>65.716257719435006</v>
      </c>
      <c r="X150" s="27">
        <v>66.476327319779998</v>
      </c>
      <c r="Y150" s="27">
        <v>67.224425258849706</v>
      </c>
      <c r="Z150" s="27">
        <v>67.960742224211202</v>
      </c>
      <c r="AA150" s="27"/>
      <c r="AB150" s="25">
        <f>COUNT(Q150:AA150)</f>
        <v>10</v>
      </c>
      <c r="AC150" s="28">
        <f>AB150/11</f>
        <v>0.90909090909090906</v>
      </c>
      <c r="AD150" s="25">
        <f>IFERROR(INDEX($Q$4:$AA$4,MATCH(TRUE,INDEX(ISNUMBER(Q150:AA150),0),0)),"")</f>
        <v>2015</v>
      </c>
      <c r="AE150" s="25">
        <f>IFERROR(LOOKUP(2,1/ISNUMBER(Q150:AA150),$Q$4:$AA$4),"")</f>
        <v>2024</v>
      </c>
      <c r="AF150" s="28">
        <f>IF(AB150=0,"",AB150/(AE150-AD150+1))</f>
        <v>1</v>
      </c>
      <c r="AG150" s="25">
        <f>IF(AB150=0,"",'01_Criterios'!$C$8-AE150)</f>
        <v>1</v>
      </c>
      <c r="AH150" s="29">
        <f>IF(P150="Em uso",100,IF(P150="Alta",85,IF(P150="Média",55,30)))</f>
        <v>100</v>
      </c>
      <c r="AI150" s="29">
        <f>ROUND(100*AC150,1)</f>
        <v>90.9</v>
      </c>
      <c r="AJ150" s="29">
        <f>IF(AB150=0,0,ROUND(MAX(0,100*AF150-10*AG150),1))</f>
        <v>90</v>
      </c>
      <c r="AK150" s="29">
        <f>ROUND(('01_Criterios'!$C$19*AH150+'01_Criterios'!$C$20*AI150+'01_Criterios'!$C$21*AJ150)/('01_Criterios'!$C$19+'01_Criterios'!$C$20+'01_Criterios'!$C$21)+N150*'01_Criterios'!$C$22,1)</f>
        <v>106.3</v>
      </c>
      <c r="AL150" s="25">
        <f>IF(AND(AB150&gt;=3,AC150&gt;='01_Criterios'!$C$11,N(AE150)&gt;='01_Criterios'!$C$12,OR(F150="+",F150="-"),ISNUMBER(G150),ISNUMBER(H150)),1,0)</f>
        <v>1</v>
      </c>
      <c r="AM150" s="30" t="str">
        <f>IF(AL150=1,"",TRIM(IF(AB150=0,"sem dados no período; ",IF(AB150&lt;3,"série demasiado curta; ",""))&amp;IF(AND(AB150&gt;0,AC150&lt;'01_Criterios'!$C$11),"cobertura insuficiente; ","")&amp;IF(AND(AB150&gt;0,N(AE150)&lt;'01_Criterios'!$C$12),"desactualizado; ","")&amp;IF(AND(F150&lt;&gt;"+",F150&lt;&gt;"-"),"sentido ambíguo; ","")&amp;IF(OR(NOT(ISNUMBER(G150)),NOT(ISNUMBER(H150))),"sem limites min/max; ","")))</f>
        <v/>
      </c>
      <c r="AN150" s="25">
        <f>IF(OR(AL150=0,$AP150="Excluir"),0,IF(SUMPRODUCT(($O$5:$O$335=$O150)*($AL$5:$AL$335=1)*($AP$5:$AP$335&lt;&gt;"Excluir")*(($AK$5:$AK$335&gt;$AK150)+(($AK$5:$AK$335=$AK150)*(ROW($O$5:$O$335)&lt;ROW()))))=0,1,0))</f>
        <v>1</v>
      </c>
      <c r="AO150" s="25">
        <f>IF(AN150=0,"",1+SUMPRODUCT(($B$5:$B$335=$B150)*($AN$5:$AN$335=1)*(($AK$5:$AK$335&gt;$AK150)+(($AK$5:$AK$335=$AK150)*(ROW($B$5:$B$335)&lt;ROW())))))</f>
        <v>1</v>
      </c>
      <c r="AP150" s="22" t="s">
        <v>131</v>
      </c>
      <c r="AQ150" s="25">
        <f>IF(INDEX('01_Criterios'!$C$26:$C$36,MATCH($B150,'01_Criterios'!$B$26:$B$36,0))&lt;&gt;1,0,IF($AP150="Excluir",0,IF($AP150="Incluir",IF(AND(OR($F150="+",$F150="-"),ISNUMBER($G150),ISNUMBER($H150),COUNT($Q150:$AA150)&gt;0),1,0),IF('01_Criterios'!$C$18="Automática",IF(AND($AN150=1,$AO150&lt;&gt;"",$AO150&lt;=INDEX('01_Criterios'!$E$26:$E$36,MATCH($B150,'01_Criterios'!$B$26:$B$36,0))),1,0),0))))</f>
        <v>1</v>
      </c>
      <c r="AR150" s="25">
        <f>IF(AQ150=0,"",IF($AO150&lt;&gt;"",1+SUMPRODUCT(($B$5:$B$335=$B150)*($AQ$5:$AQ$335=1)*($AO$5:$AO$335&lt;$AO150)),1+SUMPRODUCT(($B$5:$B$335=$B150)*($AQ$5:$AQ$335=1)*ISNUMBER($AO$5:$AO$335))+SUMPRODUCT(($B$5:$B$335=$B150)*($AQ$5:$AQ$335=1)*($AO$5:$AO$335="")*(ROW($AO$5:$AO$335)&lt;ROW()))))</f>
        <v>1</v>
      </c>
      <c r="AS150" s="24" t="s">
        <v>854</v>
      </c>
    </row>
    <row r="151" spans="1:45">
      <c r="A151" s="20" t="s">
        <v>855</v>
      </c>
      <c r="B151" s="21" t="s">
        <v>80</v>
      </c>
      <c r="C151" s="21" t="s">
        <v>849</v>
      </c>
      <c r="D151" s="21" t="s">
        <v>856</v>
      </c>
      <c r="E151" s="20" t="s">
        <v>157</v>
      </c>
      <c r="F151" s="20" t="s">
        <v>126</v>
      </c>
      <c r="G151" s="20">
        <v>0</v>
      </c>
      <c r="H151" s="20">
        <v>100</v>
      </c>
      <c r="I151" s="20">
        <v>60</v>
      </c>
      <c r="J151" s="22">
        <v>1</v>
      </c>
      <c r="K151" s="21" t="s">
        <v>851</v>
      </c>
      <c r="L151" s="20" t="s">
        <v>857</v>
      </c>
      <c r="M151" s="21" t="s">
        <v>161</v>
      </c>
      <c r="N151" s="20">
        <v>1</v>
      </c>
      <c r="O151" s="21" t="s">
        <v>858</v>
      </c>
      <c r="P151" s="20" t="s">
        <v>130</v>
      </c>
      <c r="Q151" s="6">
        <v>46.683765096355302</v>
      </c>
      <c r="R151" s="6">
        <v>47.555908833617998</v>
      </c>
      <c r="S151" s="6">
        <v>48.423765684891698</v>
      </c>
      <c r="T151" s="6">
        <v>49.286522993419098</v>
      </c>
      <c r="U151" s="6">
        <v>49.547023729020196</v>
      </c>
      <c r="V151" s="6">
        <v>49.8016376564917</v>
      </c>
      <c r="W151" s="6">
        <v>50.051135370238399</v>
      </c>
      <c r="X151" s="6">
        <v>50.295135915879897</v>
      </c>
      <c r="Y151" s="6"/>
      <c r="Z151" s="6"/>
      <c r="AA151" s="6"/>
      <c r="AB151" s="20">
        <f>COUNT(Q151:AA151)</f>
        <v>8</v>
      </c>
      <c r="AC151" s="23">
        <f>AB151/11</f>
        <v>0.72727272727272729</v>
      </c>
      <c r="AD151" s="20">
        <f>IFERROR(INDEX($Q$4:$AA$4,MATCH(TRUE,INDEX(ISNUMBER(Q151:AA151),0),0)),"")</f>
        <v>2015</v>
      </c>
      <c r="AE151" s="20">
        <f>IFERROR(LOOKUP(2,1/ISNUMBER(Q151:AA151),$Q$4:$AA$4),"")</f>
        <v>2022</v>
      </c>
      <c r="AF151" s="23">
        <f>IF(AB151=0,"",AB151/(AE151-AD151+1))</f>
        <v>1</v>
      </c>
      <c r="AG151" s="20">
        <f>IF(AB151=0,"",'01_Criterios'!$C$8-AE151)</f>
        <v>3</v>
      </c>
      <c r="AH151" s="7">
        <f>IF(P151="Em uso",100,IF(P151="Alta",85,IF(P151="Média",55,30)))</f>
        <v>100</v>
      </c>
      <c r="AI151" s="7">
        <f>ROUND(100*AC151,1)</f>
        <v>72.7</v>
      </c>
      <c r="AJ151" s="7">
        <f>IF(AB151=0,0,ROUND(MAX(0,100*AF151-10*AG151),1))</f>
        <v>70</v>
      </c>
      <c r="AK151" s="7">
        <f>ROUND(('01_Criterios'!$C$19*AH151+'01_Criterios'!$C$20*AI151+'01_Criterios'!$C$21*AJ151)/('01_Criterios'!$C$19+'01_Criterios'!$C$20+'01_Criterios'!$C$21)+N151*'01_Criterios'!$C$22,1)</f>
        <v>94.9</v>
      </c>
      <c r="AL151" s="20">
        <f>IF(AND(AB151&gt;=3,AC151&gt;='01_Criterios'!$C$11,N(AE151)&gt;='01_Criterios'!$C$12,OR(F151="+",F151="-"),ISNUMBER(G151),ISNUMBER(H151)),1,0)</f>
        <v>0</v>
      </c>
      <c r="AM151" s="24" t="str">
        <f>IF(AL151=1,"",TRIM(IF(AB151=0,"sem dados no período; ",IF(AB151&lt;3,"série demasiado curta; ",""))&amp;IF(AND(AB151&gt;0,AC151&lt;'01_Criterios'!$C$11),"cobertura insuficiente; ","")&amp;IF(AND(AB151&gt;0,N(AE151)&lt;'01_Criterios'!$C$12),"desactualizado; ","")&amp;IF(AND(F151&lt;&gt;"+",F151&lt;&gt;"-"),"sentido ambíguo; ","")&amp;IF(OR(NOT(ISNUMBER(G151)),NOT(ISNUMBER(H151))),"sem limites min/max; ","")))</f>
        <v>cobertura insuficiente; desactualizado;</v>
      </c>
      <c r="AN151" s="20">
        <f>IF(OR(AL151=0,$AP151="Excluir"),0,IF(SUMPRODUCT(($O$5:$O$335=$O151)*($AL$5:$AL$335=1)*($AP$5:$AP$335&lt;&gt;"Excluir")*(($AK$5:$AK$335&gt;$AK151)+(($AK$5:$AK$335=$AK151)*(ROW($O$5:$O$335)&lt;ROW()))))=0,1,0))</f>
        <v>0</v>
      </c>
      <c r="AO151" s="20" t="str">
        <f>IF(AN151=0,"",1+SUMPRODUCT(($B$5:$B$335=$B151)*($AN$5:$AN$335=1)*(($AK$5:$AK$335&gt;$AK151)+(($AK$5:$AK$335=$AK151)*(ROW($B$5:$B$335)&lt;ROW())))))</f>
        <v/>
      </c>
      <c r="AP151" s="22" t="s">
        <v>131</v>
      </c>
      <c r="AQ151" s="20">
        <f>IF(INDEX('01_Criterios'!$C$26:$C$36,MATCH($B151,'01_Criterios'!$B$26:$B$36,0))&lt;&gt;1,0,IF($AP151="Excluir",0,IF($AP151="Incluir",IF(AND(OR($F151="+",$F151="-"),ISNUMBER($G151),ISNUMBER($H151),COUNT($Q151:$AA151)&gt;0),1,0),IF('01_Criterios'!$C$18="Automática",IF(AND($AN151=1,$AO151&lt;&gt;"",$AO151&lt;=INDEX('01_Criterios'!$E$26:$E$36,MATCH($B151,'01_Criterios'!$B$26:$B$36,0))),1,0),0))))</f>
        <v>0</v>
      </c>
      <c r="AR151" s="20" t="str">
        <f>IF(AQ151=0,"",IF($AO151&lt;&gt;"",1+SUMPRODUCT(($B$5:$B$335=$B151)*($AQ$5:$AQ$335=1)*($AO$5:$AO$335&lt;$AO151)),1+SUMPRODUCT(($B$5:$B$335=$B151)*($AQ$5:$AQ$335=1)*ISNUMBER($AO$5:$AO$335))+SUMPRODUCT(($B$5:$B$335=$B151)*($AQ$5:$AQ$335=1)*($AO$5:$AO$335="")*(ROW($AO$5:$AO$335)&lt;ROW()))))</f>
        <v/>
      </c>
      <c r="AS151" s="24" t="s">
        <v>859</v>
      </c>
    </row>
    <row r="152" spans="1:45">
      <c r="A152" s="25" t="s">
        <v>860</v>
      </c>
      <c r="B152" s="26" t="s">
        <v>80</v>
      </c>
      <c r="C152" s="26" t="s">
        <v>849</v>
      </c>
      <c r="D152" s="26" t="s">
        <v>861</v>
      </c>
      <c r="E152" s="25" t="s">
        <v>157</v>
      </c>
      <c r="F152" s="25" t="s">
        <v>126</v>
      </c>
      <c r="G152" s="25">
        <v>0</v>
      </c>
      <c r="H152" s="25">
        <v>100</v>
      </c>
      <c r="I152" s="25">
        <v>60</v>
      </c>
      <c r="J152" s="22">
        <v>1</v>
      </c>
      <c r="K152" s="26" t="s">
        <v>862</v>
      </c>
      <c r="L152" s="25" t="s">
        <v>863</v>
      </c>
      <c r="M152" s="26" t="s">
        <v>161</v>
      </c>
      <c r="N152" s="25">
        <v>0</v>
      </c>
      <c r="O152" s="26" t="s">
        <v>864</v>
      </c>
      <c r="P152" s="25" t="s">
        <v>130</v>
      </c>
      <c r="Q152" s="27">
        <v>42</v>
      </c>
      <c r="R152" s="27">
        <v>41.8</v>
      </c>
      <c r="S152" s="27">
        <v>42.9</v>
      </c>
      <c r="T152" s="27">
        <v>45.3</v>
      </c>
      <c r="U152" s="27">
        <v>45.6</v>
      </c>
      <c r="V152" s="27">
        <v>47</v>
      </c>
      <c r="W152" s="27">
        <v>48.2</v>
      </c>
      <c r="X152" s="27">
        <v>48.5</v>
      </c>
      <c r="Y152" s="27">
        <v>51.1</v>
      </c>
      <c r="Z152" s="27"/>
      <c r="AA152" s="27"/>
      <c r="AB152" s="25">
        <f>COUNT(Q152:AA152)</f>
        <v>9</v>
      </c>
      <c r="AC152" s="28">
        <f>AB152/11</f>
        <v>0.81818181818181823</v>
      </c>
      <c r="AD152" s="25">
        <f>IFERROR(INDEX($Q$4:$AA$4,MATCH(TRUE,INDEX(ISNUMBER(Q152:AA152),0),0)),"")</f>
        <v>2015</v>
      </c>
      <c r="AE152" s="25">
        <f>IFERROR(LOOKUP(2,1/ISNUMBER(Q152:AA152),$Q$4:$AA$4),"")</f>
        <v>2023</v>
      </c>
      <c r="AF152" s="28">
        <f>IF(AB152=0,"",AB152/(AE152-AD152+1))</f>
        <v>1</v>
      </c>
      <c r="AG152" s="25">
        <f>IF(AB152=0,"",'01_Criterios'!$C$8-AE152)</f>
        <v>2</v>
      </c>
      <c r="AH152" s="29">
        <f>IF(P152="Em uso",100,IF(P152="Alta",85,IF(P152="Média",55,30)))</f>
        <v>100</v>
      </c>
      <c r="AI152" s="29">
        <f>ROUND(100*AC152,1)</f>
        <v>81.8</v>
      </c>
      <c r="AJ152" s="29">
        <f>IF(AB152=0,0,ROUND(MAX(0,100*AF152-10*AG152),1))</f>
        <v>80</v>
      </c>
      <c r="AK152" s="29">
        <f>ROUND(('01_Criterios'!$C$19*AH152+'01_Criterios'!$C$20*AI152+'01_Criterios'!$C$21*AJ152)/('01_Criterios'!$C$19+'01_Criterios'!$C$20+'01_Criterios'!$C$21)+N152*'01_Criterios'!$C$22,1)</f>
        <v>88.6</v>
      </c>
      <c r="AL152" s="25">
        <f>IF(AND(AB152&gt;=3,AC152&gt;='01_Criterios'!$C$11,N(AE152)&gt;='01_Criterios'!$C$12,OR(F152="+",F152="-"),ISNUMBER(G152),ISNUMBER(H152)),1,0)</f>
        <v>1</v>
      </c>
      <c r="AM152" s="30" t="str">
        <f>IF(AL152=1,"",TRIM(IF(AB152=0,"sem dados no período; ",IF(AB152&lt;3,"série demasiado curta; ",""))&amp;IF(AND(AB152&gt;0,AC152&lt;'01_Criterios'!$C$11),"cobertura insuficiente; ","")&amp;IF(AND(AB152&gt;0,N(AE152)&lt;'01_Criterios'!$C$12),"desactualizado; ","")&amp;IF(AND(F152&lt;&gt;"+",F152&lt;&gt;"-"),"sentido ambíguo; ","")&amp;IF(OR(NOT(ISNUMBER(G152)),NOT(ISNUMBER(H152))),"sem limites min/max; ","")))</f>
        <v/>
      </c>
      <c r="AN152" s="25">
        <f>IF(OR(AL152=0,$AP152="Excluir"),0,IF(SUMPRODUCT(($O$5:$O$335=$O152)*($AL$5:$AL$335=1)*($AP$5:$AP$335&lt;&gt;"Excluir")*(($AK$5:$AK$335&gt;$AK152)+(($AK$5:$AK$335=$AK152)*(ROW($O$5:$O$335)&lt;ROW()))))=0,1,0))</f>
        <v>1</v>
      </c>
      <c r="AO152" s="25">
        <f>IF(AN152=0,"",1+SUMPRODUCT(($B$5:$B$335=$B152)*($AN$5:$AN$335=1)*(($AK$5:$AK$335&gt;$AK152)+(($AK$5:$AK$335=$AK152)*(ROW($B$5:$B$335)&lt;ROW())))))</f>
        <v>3</v>
      </c>
      <c r="AP152" s="22" t="s">
        <v>131</v>
      </c>
      <c r="AQ152" s="25">
        <f>IF(INDEX('01_Criterios'!$C$26:$C$36,MATCH($B152,'01_Criterios'!$B$26:$B$36,0))&lt;&gt;1,0,IF($AP152="Excluir",0,IF($AP152="Incluir",IF(AND(OR($F152="+",$F152="-"),ISNUMBER($G152),ISNUMBER($H152),COUNT($Q152:$AA152)&gt;0),1,0),IF('01_Criterios'!$C$18="Automática",IF(AND($AN152=1,$AO152&lt;&gt;"",$AO152&lt;=INDEX('01_Criterios'!$E$26:$E$36,MATCH($B152,'01_Criterios'!$B$26:$B$36,0))),1,0),0))))</f>
        <v>1</v>
      </c>
      <c r="AR152" s="25">
        <f>IF(AQ152=0,"",IF($AO152&lt;&gt;"",1+SUMPRODUCT(($B$5:$B$335=$B152)*($AQ$5:$AQ$335=1)*($AO$5:$AO$335&lt;$AO152)),1+SUMPRODUCT(($B$5:$B$335=$B152)*($AQ$5:$AQ$335=1)*ISNUMBER($AO$5:$AO$335))+SUMPRODUCT(($B$5:$B$335=$B152)*($AQ$5:$AQ$335=1)*($AO$5:$AO$335="")*(ROW($AO$5:$AO$335)&lt;ROW()))))</f>
        <v>3</v>
      </c>
      <c r="AS152" s="24" t="s">
        <v>865</v>
      </c>
    </row>
    <row r="153" spans="1:45">
      <c r="A153" s="20" t="s">
        <v>866</v>
      </c>
      <c r="B153" s="21" t="s">
        <v>80</v>
      </c>
      <c r="C153" s="21" t="s">
        <v>849</v>
      </c>
      <c r="D153" s="21" t="s">
        <v>867</v>
      </c>
      <c r="E153" s="20" t="s">
        <v>157</v>
      </c>
      <c r="F153" s="20" t="s">
        <v>126</v>
      </c>
      <c r="G153" s="20">
        <v>0</v>
      </c>
      <c r="H153" s="20">
        <v>100</v>
      </c>
      <c r="I153" s="20">
        <v>70</v>
      </c>
      <c r="J153" s="22">
        <v>1</v>
      </c>
      <c r="K153" s="21" t="s">
        <v>868</v>
      </c>
      <c r="L153" s="20"/>
      <c r="M153" s="21" t="s">
        <v>129</v>
      </c>
      <c r="N153" s="20">
        <v>0</v>
      </c>
      <c r="O153" s="21" t="s">
        <v>866</v>
      </c>
      <c r="P153" s="20" t="s">
        <v>130</v>
      </c>
      <c r="Q153" s="6"/>
      <c r="R153" s="6"/>
      <c r="S153" s="6"/>
      <c r="T153" s="6"/>
      <c r="U153" s="6"/>
      <c r="V153" s="6"/>
      <c r="W153" s="6"/>
      <c r="X153" s="6"/>
      <c r="Y153" s="6"/>
      <c r="Z153" s="6"/>
      <c r="AA153" s="6"/>
      <c r="AB153" s="20">
        <f>COUNT(Q153:AA153)</f>
        <v>0</v>
      </c>
      <c r="AC153" s="23">
        <f>AB153/11</f>
        <v>0</v>
      </c>
      <c r="AD153" s="20" t="str">
        <f>IFERROR(INDEX($Q$4:$AA$4,MATCH(TRUE,INDEX(ISNUMBER(Q153:AA153),0),0)),"")</f>
        <v/>
      </c>
      <c r="AE153" s="20" t="str">
        <f>IFERROR(LOOKUP(2,1/ISNUMBER(Q153:AA153),$Q$4:$AA$4),"")</f>
        <v/>
      </c>
      <c r="AF153" s="23" t="str">
        <f>IF(AB153=0,"",AB153/(AE153-AD153+1))</f>
        <v/>
      </c>
      <c r="AG153" s="20" t="str">
        <f>IF(AB153=0,"",'01_Criterios'!$C$8-AE153)</f>
        <v/>
      </c>
      <c r="AH153" s="7">
        <f>IF(P153="Em uso",100,IF(P153="Alta",85,IF(P153="Média",55,30)))</f>
        <v>100</v>
      </c>
      <c r="AI153" s="7">
        <f>ROUND(100*AC153,1)</f>
        <v>0</v>
      </c>
      <c r="AJ153" s="7">
        <f>IF(AB153=0,0,ROUND(MAX(0,100*AF153-10*AG153),1))</f>
        <v>0</v>
      </c>
      <c r="AK153" s="7">
        <f>ROUND(('01_Criterios'!$C$19*AH153+'01_Criterios'!$C$20*AI153+'01_Criterios'!$C$21*AJ153)/('01_Criterios'!$C$19+'01_Criterios'!$C$20+'01_Criterios'!$C$21)+N153*'01_Criterios'!$C$22,1)</f>
        <v>40</v>
      </c>
      <c r="AL153" s="20">
        <f>IF(AND(AB153&gt;=3,AC153&gt;='01_Criterios'!$C$11,N(AE153)&gt;='01_Criterios'!$C$12,OR(F153="+",F153="-"),ISNUMBER(G153),ISNUMBER(H153)),1,0)</f>
        <v>0</v>
      </c>
      <c r="AM153" s="24" t="str">
        <f>IF(AL153=1,"",TRIM(IF(AB153=0,"sem dados no período; ",IF(AB153&lt;3,"série demasiado curta; ",""))&amp;IF(AND(AB153&gt;0,AC153&lt;'01_Criterios'!$C$11),"cobertura insuficiente; ","")&amp;IF(AND(AB153&gt;0,N(AE153)&lt;'01_Criterios'!$C$12),"desactualizado; ","")&amp;IF(AND(F153&lt;&gt;"+",F153&lt;&gt;"-"),"sentido ambíguo; ","")&amp;IF(OR(NOT(ISNUMBER(G153)),NOT(ISNUMBER(H153))),"sem limites min/max; ","")))</f>
        <v>sem dados no período;</v>
      </c>
      <c r="AN153" s="20">
        <f>IF(OR(AL153=0,$AP153="Excluir"),0,IF(SUMPRODUCT(($O$5:$O$335=$O153)*($AL$5:$AL$335=1)*($AP$5:$AP$335&lt;&gt;"Excluir")*(($AK$5:$AK$335&gt;$AK153)+(($AK$5:$AK$335=$AK153)*(ROW($O$5:$O$335)&lt;ROW()))))=0,1,0))</f>
        <v>0</v>
      </c>
      <c r="AO153" s="20" t="str">
        <f>IF(AN153=0,"",1+SUMPRODUCT(($B$5:$B$335=$B153)*($AN$5:$AN$335=1)*(($AK$5:$AK$335&gt;$AK153)+(($AK$5:$AK$335=$AK153)*(ROW($B$5:$B$335)&lt;ROW())))))</f>
        <v/>
      </c>
      <c r="AP153" s="22" t="s">
        <v>131</v>
      </c>
      <c r="AQ153" s="20">
        <f>IF(INDEX('01_Criterios'!$C$26:$C$36,MATCH($B153,'01_Criterios'!$B$26:$B$36,0))&lt;&gt;1,0,IF($AP153="Excluir",0,IF($AP153="Incluir",IF(AND(OR($F153="+",$F153="-"),ISNUMBER($G153),ISNUMBER($H153),COUNT($Q153:$AA153)&gt;0),1,0),IF('01_Criterios'!$C$18="Automática",IF(AND($AN153=1,$AO153&lt;&gt;"",$AO153&lt;=INDEX('01_Criterios'!$E$26:$E$36,MATCH($B153,'01_Criterios'!$B$26:$B$36,0))),1,0),0))))</f>
        <v>0</v>
      </c>
      <c r="AR153" s="20" t="str">
        <f>IF(AQ153=0,"",IF($AO153&lt;&gt;"",1+SUMPRODUCT(($B$5:$B$335=$B153)*($AQ$5:$AQ$335=1)*($AO$5:$AO$335&lt;$AO153)),1+SUMPRODUCT(($B$5:$B$335=$B153)*($AQ$5:$AQ$335=1)*ISNUMBER($AO$5:$AO$335))+SUMPRODUCT(($B$5:$B$335=$B153)*($AQ$5:$AQ$335=1)*($AO$5:$AO$335="")*(ROW($AO$5:$AO$335)&lt;ROW()))))</f>
        <v/>
      </c>
      <c r="AS153" s="24" t="s">
        <v>132</v>
      </c>
    </row>
    <row r="154" spans="1:45">
      <c r="A154" s="25" t="s">
        <v>869</v>
      </c>
      <c r="B154" s="26" t="s">
        <v>80</v>
      </c>
      <c r="C154" s="26" t="s">
        <v>849</v>
      </c>
      <c r="D154" s="26" t="s">
        <v>870</v>
      </c>
      <c r="E154" s="25" t="s">
        <v>871</v>
      </c>
      <c r="F154" s="25" t="s">
        <v>126</v>
      </c>
      <c r="G154" s="25">
        <v>0</v>
      </c>
      <c r="H154" s="25">
        <v>100</v>
      </c>
      <c r="I154" s="25">
        <v>30</v>
      </c>
      <c r="J154" s="22">
        <v>1</v>
      </c>
      <c r="K154" s="26" t="s">
        <v>872</v>
      </c>
      <c r="L154" s="25" t="s">
        <v>873</v>
      </c>
      <c r="M154" s="26" t="s">
        <v>129</v>
      </c>
      <c r="N154" s="25">
        <v>0</v>
      </c>
      <c r="O154" s="26" t="s">
        <v>874</v>
      </c>
      <c r="P154" s="25" t="s">
        <v>130</v>
      </c>
      <c r="Q154" s="27">
        <v>29</v>
      </c>
      <c r="R154" s="27">
        <v>29</v>
      </c>
      <c r="S154" s="27">
        <v>29</v>
      </c>
      <c r="T154" s="27">
        <v>29</v>
      </c>
      <c r="U154" s="27">
        <v>29</v>
      </c>
      <c r="V154" s="27">
        <v>30</v>
      </c>
      <c r="W154" s="27">
        <v>31</v>
      </c>
      <c r="X154" s="27">
        <v>31</v>
      </c>
      <c r="Y154" s="27">
        <v>32</v>
      </c>
      <c r="Z154" s="27">
        <v>33</v>
      </c>
      <c r="AA154" s="27"/>
      <c r="AB154" s="25">
        <f>COUNT(Q154:AA154)</f>
        <v>10</v>
      </c>
      <c r="AC154" s="28">
        <f>AB154/11</f>
        <v>0.90909090909090906</v>
      </c>
      <c r="AD154" s="25">
        <f>IFERROR(INDEX($Q$4:$AA$4,MATCH(TRUE,INDEX(ISNUMBER(Q154:AA154),0),0)),"")</f>
        <v>2015</v>
      </c>
      <c r="AE154" s="25">
        <f>IFERROR(LOOKUP(2,1/ISNUMBER(Q154:AA154),$Q$4:$AA$4),"")</f>
        <v>2024</v>
      </c>
      <c r="AF154" s="28">
        <f>IF(AB154=0,"",AB154/(AE154-AD154+1))</f>
        <v>1</v>
      </c>
      <c r="AG154" s="25">
        <f>IF(AB154=0,"",'01_Criterios'!$C$8-AE154)</f>
        <v>1</v>
      </c>
      <c r="AH154" s="29">
        <f>IF(P154="Em uso",100,IF(P154="Alta",85,IF(P154="Média",55,30)))</f>
        <v>100</v>
      </c>
      <c r="AI154" s="29">
        <f>ROUND(100*AC154,1)</f>
        <v>90.9</v>
      </c>
      <c r="AJ154" s="29">
        <f>IF(AB154=0,0,ROUND(MAX(0,100*AF154-10*AG154),1))</f>
        <v>90</v>
      </c>
      <c r="AK154" s="29">
        <f>ROUND(('01_Criterios'!$C$19*AH154+'01_Criterios'!$C$20*AI154+'01_Criterios'!$C$21*AJ154)/('01_Criterios'!$C$19+'01_Criterios'!$C$20+'01_Criterios'!$C$21)+N154*'01_Criterios'!$C$22,1)</f>
        <v>94.3</v>
      </c>
      <c r="AL154" s="25">
        <f>IF(AND(AB154&gt;=3,AC154&gt;='01_Criterios'!$C$11,N(AE154)&gt;='01_Criterios'!$C$12,OR(F154="+",F154="-"),ISNUMBER(G154),ISNUMBER(H154)),1,0)</f>
        <v>1</v>
      </c>
      <c r="AM154" s="30" t="str">
        <f>IF(AL154=1,"",TRIM(IF(AB154=0,"sem dados no período; ",IF(AB154&lt;3,"série demasiado curta; ",""))&amp;IF(AND(AB154&gt;0,AC154&lt;'01_Criterios'!$C$11),"cobertura insuficiente; ","")&amp;IF(AND(AB154&gt;0,N(AE154)&lt;'01_Criterios'!$C$12),"desactualizado; ","")&amp;IF(AND(F154&lt;&gt;"+",F154&lt;&gt;"-"),"sentido ambíguo; ","")&amp;IF(OR(NOT(ISNUMBER(G154)),NOT(ISNUMBER(H154))),"sem limites min/max; ","")))</f>
        <v/>
      </c>
      <c r="AN154" s="25">
        <f>IF(OR(AL154=0,$AP154="Excluir"),0,IF(SUMPRODUCT(($O$5:$O$335=$O154)*($AL$5:$AL$335=1)*($AP$5:$AP$335&lt;&gt;"Excluir")*(($AK$5:$AK$335&gt;$AK154)+(($AK$5:$AK$335=$AK154)*(ROW($O$5:$O$335)&lt;ROW()))))=0,1,0))</f>
        <v>1</v>
      </c>
      <c r="AO154" s="25">
        <f>IF(AN154=0,"",1+SUMPRODUCT(($B$5:$B$335=$B154)*($AN$5:$AN$335=1)*(($AK$5:$AK$335&gt;$AK154)+(($AK$5:$AK$335=$AK154)*(ROW($B$5:$B$335)&lt;ROW())))))</f>
        <v>2</v>
      </c>
      <c r="AP154" s="22" t="s">
        <v>131</v>
      </c>
      <c r="AQ154" s="25">
        <f>IF(INDEX('01_Criterios'!$C$26:$C$36,MATCH($B154,'01_Criterios'!$B$26:$B$36,0))&lt;&gt;1,0,IF($AP154="Excluir",0,IF($AP154="Incluir",IF(AND(OR($F154="+",$F154="-"),ISNUMBER($G154),ISNUMBER($H154),COUNT($Q154:$AA154)&gt;0),1,0),IF('01_Criterios'!$C$18="Automática",IF(AND($AN154=1,$AO154&lt;&gt;"",$AO154&lt;=INDEX('01_Criterios'!$E$26:$E$36,MATCH($B154,'01_Criterios'!$B$26:$B$36,0))),1,0),0))))</f>
        <v>1</v>
      </c>
      <c r="AR154" s="25">
        <f>IF(AQ154=0,"",IF($AO154&lt;&gt;"",1+SUMPRODUCT(($B$5:$B$335=$B154)*($AQ$5:$AQ$335=1)*($AO$5:$AO$335&lt;$AO154)),1+SUMPRODUCT(($B$5:$B$335=$B154)*($AQ$5:$AQ$335=1)*ISNUMBER($AO$5:$AO$335))+SUMPRODUCT(($B$5:$B$335=$B154)*($AQ$5:$AQ$335=1)*($AO$5:$AO$335="")*(ROW($AO$5:$AO$335)&lt;ROW()))))</f>
        <v>2</v>
      </c>
      <c r="AS154" s="24" t="s">
        <v>132</v>
      </c>
    </row>
    <row r="155" spans="1:45">
      <c r="A155" s="20" t="s">
        <v>875</v>
      </c>
      <c r="B155" s="21" t="s">
        <v>80</v>
      </c>
      <c r="C155" s="21" t="s">
        <v>876</v>
      </c>
      <c r="D155" s="21" t="s">
        <v>877</v>
      </c>
      <c r="E155" s="20" t="s">
        <v>157</v>
      </c>
      <c r="F155" s="20" t="s">
        <v>126</v>
      </c>
      <c r="G155" s="20">
        <v>0</v>
      </c>
      <c r="H155" s="20">
        <v>100</v>
      </c>
      <c r="I155" s="20">
        <v>70</v>
      </c>
      <c r="J155" s="22">
        <v>1</v>
      </c>
      <c r="K155" s="21" t="s">
        <v>878</v>
      </c>
      <c r="L155" s="20"/>
      <c r="M155" s="21" t="s">
        <v>879</v>
      </c>
      <c r="N155" s="20">
        <v>1</v>
      </c>
      <c r="O155" s="21" t="s">
        <v>875</v>
      </c>
      <c r="P155" s="20" t="s">
        <v>152</v>
      </c>
      <c r="Q155" s="6"/>
      <c r="R155" s="6"/>
      <c r="S155" s="6"/>
      <c r="T155" s="6"/>
      <c r="U155" s="6"/>
      <c r="V155" s="6"/>
      <c r="W155" s="6"/>
      <c r="X155" s="6"/>
      <c r="Y155" s="6"/>
      <c r="Z155" s="6"/>
      <c r="AA155" s="6"/>
      <c r="AB155" s="20">
        <f>COUNT(Q155:AA155)</f>
        <v>0</v>
      </c>
      <c r="AC155" s="23">
        <f>AB155/11</f>
        <v>0</v>
      </c>
      <c r="AD155" s="20" t="str">
        <f>IFERROR(INDEX($Q$4:$AA$4,MATCH(TRUE,INDEX(ISNUMBER(Q155:AA155),0),0)),"")</f>
        <v/>
      </c>
      <c r="AE155" s="20" t="str">
        <f>IFERROR(LOOKUP(2,1/ISNUMBER(Q155:AA155),$Q$4:$AA$4),"")</f>
        <v/>
      </c>
      <c r="AF155" s="23" t="str">
        <f>IF(AB155=0,"",AB155/(AE155-AD155+1))</f>
        <v/>
      </c>
      <c r="AG155" s="20" t="str">
        <f>IF(AB155=0,"",'01_Criterios'!$C$8-AE155)</f>
        <v/>
      </c>
      <c r="AH155" s="7">
        <f>IF(P155="Em uso",100,IF(P155="Alta",85,IF(P155="Média",55,30)))</f>
        <v>85</v>
      </c>
      <c r="AI155" s="7">
        <f>ROUND(100*AC155,1)</f>
        <v>0</v>
      </c>
      <c r="AJ155" s="7">
        <f>IF(AB155=0,0,ROUND(MAX(0,100*AF155-10*AG155),1))</f>
        <v>0</v>
      </c>
      <c r="AK155" s="7">
        <f>ROUND(('01_Criterios'!$C$19*AH155+'01_Criterios'!$C$20*AI155+'01_Criterios'!$C$21*AJ155)/('01_Criterios'!$C$19+'01_Criterios'!$C$20+'01_Criterios'!$C$21)+N155*'01_Criterios'!$C$22,1)</f>
        <v>46</v>
      </c>
      <c r="AL155" s="20">
        <f>IF(AND(AB155&gt;=3,AC155&gt;='01_Criterios'!$C$11,N(AE155)&gt;='01_Criterios'!$C$12,OR(F155="+",F155="-"),ISNUMBER(G155),ISNUMBER(H155)),1,0)</f>
        <v>0</v>
      </c>
      <c r="AM155" s="24" t="str">
        <f>IF(AL155=1,"",TRIM(IF(AB155=0,"sem dados no período; ",IF(AB155&lt;3,"série demasiado curta; ",""))&amp;IF(AND(AB155&gt;0,AC155&lt;'01_Criterios'!$C$11),"cobertura insuficiente; ","")&amp;IF(AND(AB155&gt;0,N(AE155)&lt;'01_Criterios'!$C$12),"desactualizado; ","")&amp;IF(AND(F155&lt;&gt;"+",F155&lt;&gt;"-"),"sentido ambíguo; ","")&amp;IF(OR(NOT(ISNUMBER(G155)),NOT(ISNUMBER(H155))),"sem limites min/max; ","")))</f>
        <v>sem dados no período;</v>
      </c>
      <c r="AN155" s="20">
        <f>IF(OR(AL155=0,$AP155="Excluir"),0,IF(SUMPRODUCT(($O$5:$O$335=$O155)*($AL$5:$AL$335=1)*($AP$5:$AP$335&lt;&gt;"Excluir")*(($AK$5:$AK$335&gt;$AK155)+(($AK$5:$AK$335=$AK155)*(ROW($O$5:$O$335)&lt;ROW()))))=0,1,0))</f>
        <v>0</v>
      </c>
      <c r="AO155" s="20" t="str">
        <f>IF(AN155=0,"",1+SUMPRODUCT(($B$5:$B$335=$B155)*($AN$5:$AN$335=1)*(($AK$5:$AK$335&gt;$AK155)+(($AK$5:$AK$335=$AK155)*(ROW($B$5:$B$335)&lt;ROW())))))</f>
        <v/>
      </c>
      <c r="AP155" s="22" t="s">
        <v>131</v>
      </c>
      <c r="AQ155" s="20">
        <f>IF(INDEX('01_Criterios'!$C$26:$C$36,MATCH($B155,'01_Criterios'!$B$26:$B$36,0))&lt;&gt;1,0,IF($AP155="Excluir",0,IF($AP155="Incluir",IF(AND(OR($F155="+",$F155="-"),ISNUMBER($G155),ISNUMBER($H155),COUNT($Q155:$AA155)&gt;0),1,0),IF('01_Criterios'!$C$18="Automática",IF(AND($AN155=1,$AO155&lt;&gt;"",$AO155&lt;=INDEX('01_Criterios'!$E$26:$E$36,MATCH($B155,'01_Criterios'!$B$26:$B$36,0))),1,0),0))))</f>
        <v>0</v>
      </c>
      <c r="AR155" s="20" t="str">
        <f>IF(AQ155=0,"",IF($AO155&lt;&gt;"",1+SUMPRODUCT(($B$5:$B$335=$B155)*($AQ$5:$AQ$335=1)*($AO$5:$AO$335&lt;$AO155)),1+SUMPRODUCT(($B$5:$B$335=$B155)*($AQ$5:$AQ$335=1)*ISNUMBER($AO$5:$AO$335))+SUMPRODUCT(($B$5:$B$335=$B155)*($AQ$5:$AQ$335=1)*($AO$5:$AO$335="")*(ROW($AO$5:$AO$335)&lt;ROW()))))</f>
        <v/>
      </c>
      <c r="AS155" s="24" t="s">
        <v>880</v>
      </c>
    </row>
    <row r="156" spans="1:45">
      <c r="A156" s="25" t="s">
        <v>881</v>
      </c>
      <c r="B156" s="26" t="s">
        <v>80</v>
      </c>
      <c r="C156" s="26" t="s">
        <v>882</v>
      </c>
      <c r="D156" s="26" t="s">
        <v>883</v>
      </c>
      <c r="E156" s="25" t="s">
        <v>742</v>
      </c>
      <c r="F156" s="25" t="s">
        <v>126</v>
      </c>
      <c r="G156" s="25">
        <v>0</v>
      </c>
      <c r="H156" s="25">
        <v>100</v>
      </c>
      <c r="I156" s="25">
        <v>75</v>
      </c>
      <c r="J156" s="22">
        <v>1</v>
      </c>
      <c r="K156" s="26" t="s">
        <v>586</v>
      </c>
      <c r="L156" s="25" t="s">
        <v>884</v>
      </c>
      <c r="M156" s="26" t="s">
        <v>588</v>
      </c>
      <c r="N156" s="25">
        <v>1</v>
      </c>
      <c r="O156" s="26" t="s">
        <v>858</v>
      </c>
      <c r="P156" s="25" t="s">
        <v>152</v>
      </c>
      <c r="Q156" s="27"/>
      <c r="R156" s="27"/>
      <c r="S156" s="27"/>
      <c r="T156" s="27"/>
      <c r="U156" s="27"/>
      <c r="V156" s="27"/>
      <c r="W156" s="27"/>
      <c r="X156" s="27"/>
      <c r="Y156" s="27"/>
      <c r="Z156" s="27">
        <v>68.099999999999994</v>
      </c>
      <c r="AA156" s="27"/>
      <c r="AB156" s="25">
        <f>COUNT(Q156:AA156)</f>
        <v>1</v>
      </c>
      <c r="AC156" s="28">
        <f>AB156/11</f>
        <v>9.0909090909090912E-2</v>
      </c>
      <c r="AD156" s="25">
        <f>IFERROR(INDEX($Q$4:$AA$4,MATCH(TRUE,INDEX(ISNUMBER(Q156:AA156),0),0)),"")</f>
        <v>2024</v>
      </c>
      <c r="AE156" s="25">
        <f>IFERROR(LOOKUP(2,1/ISNUMBER(Q156:AA156),$Q$4:$AA$4),"")</f>
        <v>2024</v>
      </c>
      <c r="AF156" s="28">
        <f>IF(AB156=0,"",AB156/(AE156-AD156+1))</f>
        <v>1</v>
      </c>
      <c r="AG156" s="25">
        <f>IF(AB156=0,"",'01_Criterios'!$C$8-AE156)</f>
        <v>1</v>
      </c>
      <c r="AH156" s="29">
        <f>IF(P156="Em uso",100,IF(P156="Alta",85,IF(P156="Média",55,30)))</f>
        <v>85</v>
      </c>
      <c r="AI156" s="29">
        <f>ROUND(100*AC156,1)</f>
        <v>9.1</v>
      </c>
      <c r="AJ156" s="29">
        <f>IF(AB156=0,0,ROUND(MAX(0,100*AF156-10*AG156),1))</f>
        <v>90</v>
      </c>
      <c r="AK156" s="29">
        <f>ROUND(('01_Criterios'!$C$19*AH156+'01_Criterios'!$C$20*AI156+'01_Criterios'!$C$21*AJ156)/('01_Criterios'!$C$19+'01_Criterios'!$C$20+'01_Criterios'!$C$21)+N156*'01_Criterios'!$C$22,1)</f>
        <v>71.7</v>
      </c>
      <c r="AL156" s="25">
        <f>IF(AND(AB156&gt;=3,AC156&gt;='01_Criterios'!$C$11,N(AE156)&gt;='01_Criterios'!$C$12,OR(F156="+",F156="-"),ISNUMBER(G156),ISNUMBER(H156)),1,0)</f>
        <v>0</v>
      </c>
      <c r="AM156" s="30" t="str">
        <f>IF(AL156=1,"",TRIM(IF(AB156=0,"sem dados no período; ",IF(AB156&lt;3,"série demasiado curta; ",""))&amp;IF(AND(AB156&gt;0,AC156&lt;'01_Criterios'!$C$11),"cobertura insuficiente; ","")&amp;IF(AND(AB156&gt;0,N(AE156)&lt;'01_Criterios'!$C$12),"desactualizado; ","")&amp;IF(AND(F156&lt;&gt;"+",F156&lt;&gt;"-"),"sentido ambíguo; ","")&amp;IF(OR(NOT(ISNUMBER(G156)),NOT(ISNUMBER(H156))),"sem limites min/max; ","")))</f>
        <v>série demasiado curta; cobertura insuficiente;</v>
      </c>
      <c r="AN156" s="25">
        <f>IF(OR(AL156=0,$AP156="Excluir"),0,IF(SUMPRODUCT(($O$5:$O$335=$O156)*($AL$5:$AL$335=1)*($AP$5:$AP$335&lt;&gt;"Excluir")*(($AK$5:$AK$335&gt;$AK156)+(($AK$5:$AK$335=$AK156)*(ROW($O$5:$O$335)&lt;ROW()))))=0,1,0))</f>
        <v>0</v>
      </c>
      <c r="AO156" s="25" t="str">
        <f>IF(AN156=0,"",1+SUMPRODUCT(($B$5:$B$335=$B156)*($AN$5:$AN$335=1)*(($AK$5:$AK$335&gt;$AK156)+(($AK$5:$AK$335=$AK156)*(ROW($B$5:$B$335)&lt;ROW())))))</f>
        <v/>
      </c>
      <c r="AP156" s="22" t="s">
        <v>131</v>
      </c>
      <c r="AQ156" s="25">
        <f>IF(INDEX('01_Criterios'!$C$26:$C$36,MATCH($B156,'01_Criterios'!$B$26:$B$36,0))&lt;&gt;1,0,IF($AP156="Excluir",0,IF($AP156="Incluir",IF(AND(OR($F156="+",$F156="-"),ISNUMBER($G156),ISNUMBER($H156),COUNT($Q156:$AA156)&gt;0),1,0),IF('01_Criterios'!$C$18="Automática",IF(AND($AN156=1,$AO156&lt;&gt;"",$AO156&lt;=INDEX('01_Criterios'!$E$26:$E$36,MATCH($B156,'01_Criterios'!$B$26:$B$36,0))),1,0),0))))</f>
        <v>0</v>
      </c>
      <c r="AR156" s="25" t="str">
        <f>IF(AQ156=0,"",IF($AO156&lt;&gt;"",1+SUMPRODUCT(($B$5:$B$335=$B156)*($AQ$5:$AQ$335=1)*($AO$5:$AO$335&lt;$AO156)),1+SUMPRODUCT(($B$5:$B$335=$B156)*($AQ$5:$AQ$335=1)*ISNUMBER($AO$5:$AO$335))+SUMPRODUCT(($B$5:$B$335=$B156)*($AQ$5:$AQ$335=1)*($AO$5:$AO$335="")*(ROW($AO$5:$AO$335)&lt;ROW()))))</f>
        <v/>
      </c>
      <c r="AS156" s="24" t="s">
        <v>885</v>
      </c>
    </row>
    <row r="157" spans="1:45">
      <c r="A157" s="20" t="s">
        <v>886</v>
      </c>
      <c r="B157" s="21" t="s">
        <v>80</v>
      </c>
      <c r="C157" s="21" t="s">
        <v>887</v>
      </c>
      <c r="D157" s="21" t="s">
        <v>888</v>
      </c>
      <c r="E157" s="20" t="s">
        <v>742</v>
      </c>
      <c r="F157" s="20" t="s">
        <v>126</v>
      </c>
      <c r="G157" s="20">
        <v>0</v>
      </c>
      <c r="H157" s="20">
        <v>100</v>
      </c>
      <c r="I157" s="20">
        <v>85</v>
      </c>
      <c r="J157" s="22">
        <v>1</v>
      </c>
      <c r="K157" s="21" t="s">
        <v>586</v>
      </c>
      <c r="L157" s="20" t="s">
        <v>889</v>
      </c>
      <c r="M157" s="21" t="s">
        <v>588</v>
      </c>
      <c r="N157" s="20">
        <v>1</v>
      </c>
      <c r="O157" s="21" t="s">
        <v>853</v>
      </c>
      <c r="P157" s="20" t="s">
        <v>152</v>
      </c>
      <c r="Q157" s="6"/>
      <c r="R157" s="6"/>
      <c r="S157" s="6"/>
      <c r="T157" s="6"/>
      <c r="U157" s="6"/>
      <c r="V157" s="6"/>
      <c r="W157" s="6"/>
      <c r="X157" s="6"/>
      <c r="Y157" s="6"/>
      <c r="Z157" s="6">
        <v>70.900000000000006</v>
      </c>
      <c r="AA157" s="6"/>
      <c r="AB157" s="20">
        <f>COUNT(Q157:AA157)</f>
        <v>1</v>
      </c>
      <c r="AC157" s="23">
        <f>AB157/11</f>
        <v>9.0909090909090912E-2</v>
      </c>
      <c r="AD157" s="20">
        <f>IFERROR(INDEX($Q$4:$AA$4,MATCH(TRUE,INDEX(ISNUMBER(Q157:AA157),0),0)),"")</f>
        <v>2024</v>
      </c>
      <c r="AE157" s="20">
        <f>IFERROR(LOOKUP(2,1/ISNUMBER(Q157:AA157),$Q$4:$AA$4),"")</f>
        <v>2024</v>
      </c>
      <c r="AF157" s="23">
        <f>IF(AB157=0,"",AB157/(AE157-AD157+1))</f>
        <v>1</v>
      </c>
      <c r="AG157" s="20">
        <f>IF(AB157=0,"",'01_Criterios'!$C$8-AE157)</f>
        <v>1</v>
      </c>
      <c r="AH157" s="7">
        <f>IF(P157="Em uso",100,IF(P157="Alta",85,IF(P157="Média",55,30)))</f>
        <v>85</v>
      </c>
      <c r="AI157" s="7">
        <f>ROUND(100*AC157,1)</f>
        <v>9.1</v>
      </c>
      <c r="AJ157" s="7">
        <f>IF(AB157=0,0,ROUND(MAX(0,100*AF157-10*AG157),1))</f>
        <v>90</v>
      </c>
      <c r="AK157" s="7">
        <f>ROUND(('01_Criterios'!$C$19*AH157+'01_Criterios'!$C$20*AI157+'01_Criterios'!$C$21*AJ157)/('01_Criterios'!$C$19+'01_Criterios'!$C$20+'01_Criterios'!$C$21)+N157*'01_Criterios'!$C$22,1)</f>
        <v>71.7</v>
      </c>
      <c r="AL157" s="20">
        <f>IF(AND(AB157&gt;=3,AC157&gt;='01_Criterios'!$C$11,N(AE157)&gt;='01_Criterios'!$C$12,OR(F157="+",F157="-"),ISNUMBER(G157),ISNUMBER(H157)),1,0)</f>
        <v>0</v>
      </c>
      <c r="AM157" s="24" t="str">
        <f>IF(AL157=1,"",TRIM(IF(AB157=0,"sem dados no período; ",IF(AB157&lt;3,"série demasiado curta; ",""))&amp;IF(AND(AB157&gt;0,AC157&lt;'01_Criterios'!$C$11),"cobertura insuficiente; ","")&amp;IF(AND(AB157&gt;0,N(AE157)&lt;'01_Criterios'!$C$12),"desactualizado; ","")&amp;IF(AND(F157&lt;&gt;"+",F157&lt;&gt;"-"),"sentido ambíguo; ","")&amp;IF(OR(NOT(ISNUMBER(G157)),NOT(ISNUMBER(H157))),"sem limites min/max; ","")))</f>
        <v>série demasiado curta; cobertura insuficiente;</v>
      </c>
      <c r="AN157" s="20">
        <f>IF(OR(AL157=0,$AP157="Excluir"),0,IF(SUMPRODUCT(($O$5:$O$335=$O157)*($AL$5:$AL$335=1)*($AP$5:$AP$335&lt;&gt;"Excluir")*(($AK$5:$AK$335&gt;$AK157)+(($AK$5:$AK$335=$AK157)*(ROW($O$5:$O$335)&lt;ROW()))))=0,1,0))</f>
        <v>0</v>
      </c>
      <c r="AO157" s="20" t="str">
        <f>IF(AN157=0,"",1+SUMPRODUCT(($B$5:$B$335=$B157)*($AN$5:$AN$335=1)*(($AK$5:$AK$335&gt;$AK157)+(($AK$5:$AK$335=$AK157)*(ROW($B$5:$B$335)&lt;ROW())))))</f>
        <v/>
      </c>
      <c r="AP157" s="22" t="s">
        <v>131</v>
      </c>
      <c r="AQ157" s="20">
        <f>IF(INDEX('01_Criterios'!$C$26:$C$36,MATCH($B157,'01_Criterios'!$B$26:$B$36,0))&lt;&gt;1,0,IF($AP157="Excluir",0,IF($AP157="Incluir",IF(AND(OR($F157="+",$F157="-"),ISNUMBER($G157),ISNUMBER($H157),COUNT($Q157:$AA157)&gt;0),1,0),IF('01_Criterios'!$C$18="Automática",IF(AND($AN157=1,$AO157&lt;&gt;"",$AO157&lt;=INDEX('01_Criterios'!$E$26:$E$36,MATCH($B157,'01_Criterios'!$B$26:$B$36,0))),1,0),0))))</f>
        <v>0</v>
      </c>
      <c r="AR157" s="20" t="str">
        <f>IF(AQ157=0,"",IF($AO157&lt;&gt;"",1+SUMPRODUCT(($B$5:$B$335=$B157)*($AQ$5:$AQ$335=1)*($AO$5:$AO$335&lt;$AO157)),1+SUMPRODUCT(($B$5:$B$335=$B157)*($AQ$5:$AQ$335=1)*ISNUMBER($AO$5:$AO$335))+SUMPRODUCT(($B$5:$B$335=$B157)*($AQ$5:$AQ$335=1)*($AO$5:$AO$335="")*(ROW($AO$5:$AO$335)&lt;ROW()))))</f>
        <v/>
      </c>
      <c r="AS157" s="24" t="s">
        <v>890</v>
      </c>
    </row>
    <row r="158" spans="1:45">
      <c r="A158" s="25" t="s">
        <v>891</v>
      </c>
      <c r="B158" s="26" t="s">
        <v>80</v>
      </c>
      <c r="C158" s="26" t="s">
        <v>849</v>
      </c>
      <c r="D158" s="26" t="s">
        <v>892</v>
      </c>
      <c r="E158" s="25" t="s">
        <v>157</v>
      </c>
      <c r="F158" s="25" t="s">
        <v>126</v>
      </c>
      <c r="G158" s="25">
        <v>0</v>
      </c>
      <c r="H158" s="25">
        <v>100</v>
      </c>
      <c r="I158" s="25">
        <v>40</v>
      </c>
      <c r="J158" s="22">
        <v>1</v>
      </c>
      <c r="K158" s="26" t="s">
        <v>868</v>
      </c>
      <c r="L158" s="25" t="s">
        <v>893</v>
      </c>
      <c r="M158" s="26" t="s">
        <v>161</v>
      </c>
      <c r="N158" s="25">
        <v>0</v>
      </c>
      <c r="O158" s="26" t="s">
        <v>894</v>
      </c>
      <c r="P158" s="25" t="s">
        <v>152</v>
      </c>
      <c r="Q158" s="27">
        <v>22</v>
      </c>
      <c r="R158" s="27">
        <v>23.200000760000002</v>
      </c>
      <c r="S158" s="27">
        <v>26</v>
      </c>
      <c r="T158" s="27">
        <v>29</v>
      </c>
      <c r="U158" s="27">
        <v>32.129398350000002</v>
      </c>
      <c r="V158" s="27">
        <v>33.320899959999998</v>
      </c>
      <c r="W158" s="27">
        <v>34.556499479999999</v>
      </c>
      <c r="X158" s="27">
        <v>35.838001249999998</v>
      </c>
      <c r="Y158" s="27">
        <v>37.885898589999996</v>
      </c>
      <c r="Z158" s="27">
        <v>40.704799649999998</v>
      </c>
      <c r="AA158" s="27"/>
      <c r="AB158" s="25">
        <f>COUNT(Q158:AA158)</f>
        <v>10</v>
      </c>
      <c r="AC158" s="28">
        <f>AB158/11</f>
        <v>0.90909090909090906</v>
      </c>
      <c r="AD158" s="25">
        <f>IFERROR(INDEX($Q$4:$AA$4,MATCH(TRUE,INDEX(ISNUMBER(Q158:AA158),0),0)),"")</f>
        <v>2015</v>
      </c>
      <c r="AE158" s="25">
        <f>IFERROR(LOOKUP(2,1/ISNUMBER(Q158:AA158),$Q$4:$AA$4),"")</f>
        <v>2024</v>
      </c>
      <c r="AF158" s="28">
        <f>IF(AB158=0,"",AB158/(AE158-AD158+1))</f>
        <v>1</v>
      </c>
      <c r="AG158" s="25">
        <f>IF(AB158=0,"",'01_Criterios'!$C$8-AE158)</f>
        <v>1</v>
      </c>
      <c r="AH158" s="29">
        <f>IF(P158="Em uso",100,IF(P158="Alta",85,IF(P158="Média",55,30)))</f>
        <v>85</v>
      </c>
      <c r="AI158" s="29">
        <f>ROUND(100*AC158,1)</f>
        <v>90.9</v>
      </c>
      <c r="AJ158" s="29">
        <f>IF(AB158=0,0,ROUND(MAX(0,100*AF158-10*AG158),1))</f>
        <v>90</v>
      </c>
      <c r="AK158" s="29">
        <f>ROUND(('01_Criterios'!$C$19*AH158+'01_Criterios'!$C$20*AI158+'01_Criterios'!$C$21*AJ158)/('01_Criterios'!$C$19+'01_Criterios'!$C$20+'01_Criterios'!$C$21)+N158*'01_Criterios'!$C$22,1)</f>
        <v>88.3</v>
      </c>
      <c r="AL158" s="25">
        <f>IF(AND(AB158&gt;=3,AC158&gt;='01_Criterios'!$C$11,N(AE158)&gt;='01_Criterios'!$C$12,OR(F158="+",F158="-"),ISNUMBER(G158),ISNUMBER(H158)),1,0)</f>
        <v>1</v>
      </c>
      <c r="AM158" s="30" t="str">
        <f>IF(AL158=1,"",TRIM(IF(AB158=0,"sem dados no período; ",IF(AB158&lt;3,"série demasiado curta; ",""))&amp;IF(AND(AB158&gt;0,AC158&lt;'01_Criterios'!$C$11),"cobertura insuficiente; ","")&amp;IF(AND(AB158&gt;0,N(AE158)&lt;'01_Criterios'!$C$12),"desactualizado; ","")&amp;IF(AND(F158&lt;&gt;"+",F158&lt;&gt;"-"),"sentido ambíguo; ","")&amp;IF(OR(NOT(ISNUMBER(G158)),NOT(ISNUMBER(H158))),"sem limites min/max; ","")))</f>
        <v/>
      </c>
      <c r="AN158" s="25">
        <f>IF(OR(AL158=0,$AP158="Excluir"),0,IF(SUMPRODUCT(($O$5:$O$335=$O158)*($AL$5:$AL$335=1)*($AP$5:$AP$335&lt;&gt;"Excluir")*(($AK$5:$AK$335&gt;$AK158)+(($AK$5:$AK$335=$AK158)*(ROW($O$5:$O$335)&lt;ROW()))))=0,1,0))</f>
        <v>0</v>
      </c>
      <c r="AO158" s="25" t="str">
        <f>IF(AN158=0,"",1+SUMPRODUCT(($B$5:$B$335=$B158)*($AN$5:$AN$335=1)*(($AK$5:$AK$335&gt;$AK158)+(($AK$5:$AK$335=$AK158)*(ROW($B$5:$B$335)&lt;ROW())))))</f>
        <v/>
      </c>
      <c r="AP158" s="22" t="s">
        <v>131</v>
      </c>
      <c r="AQ158" s="25">
        <f>IF(INDEX('01_Criterios'!$C$26:$C$36,MATCH($B158,'01_Criterios'!$B$26:$B$36,0))&lt;&gt;1,0,IF($AP158="Excluir",0,IF($AP158="Incluir",IF(AND(OR($F158="+",$F158="-"),ISNUMBER($G158),ISNUMBER($H158),COUNT($Q158:$AA158)&gt;0),1,0),IF('01_Criterios'!$C$18="Automática",IF(AND($AN158=1,$AO158&lt;&gt;"",$AO158&lt;=INDEX('01_Criterios'!$E$26:$E$36,MATCH($B158,'01_Criterios'!$B$26:$B$36,0))),1,0),0))))</f>
        <v>0</v>
      </c>
      <c r="AR158" s="25" t="str">
        <f>IF(AQ158=0,"",IF($AO158&lt;&gt;"",1+SUMPRODUCT(($B$5:$B$335=$B158)*($AQ$5:$AQ$335=1)*($AO$5:$AO$335&lt;$AO158)),1+SUMPRODUCT(($B$5:$B$335=$B158)*($AQ$5:$AQ$335=1)*ISNUMBER($AO$5:$AO$335))+SUMPRODUCT(($B$5:$B$335=$B158)*($AQ$5:$AQ$335=1)*($AO$5:$AO$335="")*(ROW($AO$5:$AO$335)&lt;ROW()))))</f>
        <v/>
      </c>
      <c r="AS158" s="24" t="s">
        <v>895</v>
      </c>
    </row>
    <row r="159" spans="1:45">
      <c r="A159" s="20" t="s">
        <v>896</v>
      </c>
      <c r="B159" s="21" t="s">
        <v>80</v>
      </c>
      <c r="C159" s="21" t="s">
        <v>849</v>
      </c>
      <c r="D159" s="21" t="s">
        <v>897</v>
      </c>
      <c r="E159" s="20" t="s">
        <v>898</v>
      </c>
      <c r="F159" s="20" t="s">
        <v>126</v>
      </c>
      <c r="G159" s="20">
        <v>0</v>
      </c>
      <c r="H159" s="20">
        <v>160</v>
      </c>
      <c r="I159" s="20">
        <v>100</v>
      </c>
      <c r="J159" s="22">
        <v>1</v>
      </c>
      <c r="K159" s="21" t="s">
        <v>899</v>
      </c>
      <c r="L159" s="20" t="s">
        <v>900</v>
      </c>
      <c r="M159" s="21" t="s">
        <v>161</v>
      </c>
      <c r="N159" s="20">
        <v>0</v>
      </c>
      <c r="O159" s="21" t="s">
        <v>901</v>
      </c>
      <c r="P159" s="20" t="s">
        <v>152</v>
      </c>
      <c r="Q159" s="6">
        <v>49.309722301438498</v>
      </c>
      <c r="R159" s="6">
        <v>44.550227237915699</v>
      </c>
      <c r="S159" s="6">
        <v>44.068208863291801</v>
      </c>
      <c r="T159" s="6">
        <v>42.4588784507729</v>
      </c>
      <c r="U159" s="6">
        <v>45.8065312825399</v>
      </c>
      <c r="V159" s="6">
        <v>43.780431705569796</v>
      </c>
      <c r="W159" s="6">
        <v>44.386868934125701</v>
      </c>
      <c r="X159" s="6">
        <v>66.600807312377896</v>
      </c>
      <c r="Y159" s="6">
        <v>70.051958772357096</v>
      </c>
      <c r="Z159" s="6">
        <v>69.703946716358402</v>
      </c>
      <c r="AA159" s="6"/>
      <c r="AB159" s="20">
        <f>COUNT(Q159:AA159)</f>
        <v>10</v>
      </c>
      <c r="AC159" s="23">
        <f>AB159/11</f>
        <v>0.90909090909090906</v>
      </c>
      <c r="AD159" s="20">
        <f>IFERROR(INDEX($Q$4:$AA$4,MATCH(TRUE,INDEX(ISNUMBER(Q159:AA159),0),0)),"")</f>
        <v>2015</v>
      </c>
      <c r="AE159" s="20">
        <f>IFERROR(LOOKUP(2,1/ISNUMBER(Q159:AA159),$Q$4:$AA$4),"")</f>
        <v>2024</v>
      </c>
      <c r="AF159" s="23">
        <f>IF(AB159=0,"",AB159/(AE159-AD159+1))</f>
        <v>1</v>
      </c>
      <c r="AG159" s="20">
        <f>IF(AB159=0,"",'01_Criterios'!$C$8-AE159)</f>
        <v>1</v>
      </c>
      <c r="AH159" s="7">
        <f>IF(P159="Em uso",100,IF(P159="Alta",85,IF(P159="Média",55,30)))</f>
        <v>85</v>
      </c>
      <c r="AI159" s="7">
        <f>ROUND(100*AC159,1)</f>
        <v>90.9</v>
      </c>
      <c r="AJ159" s="7">
        <f>IF(AB159=0,0,ROUND(MAX(0,100*AF159-10*AG159),1))</f>
        <v>90</v>
      </c>
      <c r="AK159" s="7">
        <f>ROUND(('01_Criterios'!$C$19*AH159+'01_Criterios'!$C$20*AI159+'01_Criterios'!$C$21*AJ159)/('01_Criterios'!$C$19+'01_Criterios'!$C$20+'01_Criterios'!$C$21)+N159*'01_Criterios'!$C$22,1)</f>
        <v>88.3</v>
      </c>
      <c r="AL159" s="20">
        <f>IF(AND(AB159&gt;=3,AC159&gt;='01_Criterios'!$C$11,N(AE159)&gt;='01_Criterios'!$C$12,OR(F159="+",F159="-"),ISNUMBER(G159),ISNUMBER(H159)),1,0)</f>
        <v>1</v>
      </c>
      <c r="AM159" s="24" t="str">
        <f>IF(AL159=1,"",TRIM(IF(AB159=0,"sem dados no período; ",IF(AB159&lt;3,"série demasiado curta; ",""))&amp;IF(AND(AB159&gt;0,AC159&lt;'01_Criterios'!$C$11),"cobertura insuficiente; ","")&amp;IF(AND(AB159&gt;0,N(AE159)&lt;'01_Criterios'!$C$12),"desactualizado; ","")&amp;IF(AND(F159&lt;&gt;"+",F159&lt;&gt;"-"),"sentido ambíguo; ","")&amp;IF(OR(NOT(ISNUMBER(G159)),NOT(ISNUMBER(H159))),"sem limites min/max; ","")))</f>
        <v/>
      </c>
      <c r="AN159" s="20">
        <f>IF(OR(AL159=0,$AP159="Excluir"),0,IF(SUMPRODUCT(($O$5:$O$335=$O159)*($AL$5:$AL$335=1)*($AP$5:$AP$335&lt;&gt;"Excluir")*(($AK$5:$AK$335&gt;$AK159)+(($AK$5:$AK$335=$AK159)*(ROW($O$5:$O$335)&lt;ROW()))))=0,1,0))</f>
        <v>0</v>
      </c>
      <c r="AO159" s="20" t="str">
        <f>IF(AN159=0,"",1+SUMPRODUCT(($B$5:$B$335=$B159)*($AN$5:$AN$335=1)*(($AK$5:$AK$335&gt;$AK159)+(($AK$5:$AK$335=$AK159)*(ROW($B$5:$B$335)&lt;ROW())))))</f>
        <v/>
      </c>
      <c r="AP159" s="22" t="s">
        <v>131</v>
      </c>
      <c r="AQ159" s="20">
        <f>IF(INDEX('01_Criterios'!$C$26:$C$36,MATCH($B159,'01_Criterios'!$B$26:$B$36,0))&lt;&gt;1,0,IF($AP159="Excluir",0,IF($AP159="Incluir",IF(AND(OR($F159="+",$F159="-"),ISNUMBER($G159),ISNUMBER($H159),COUNT($Q159:$AA159)&gt;0),1,0),IF('01_Criterios'!$C$18="Automática",IF(AND($AN159=1,$AO159&lt;&gt;"",$AO159&lt;=INDEX('01_Criterios'!$E$26:$E$36,MATCH($B159,'01_Criterios'!$B$26:$B$36,0))),1,0),0))))</f>
        <v>0</v>
      </c>
      <c r="AR159" s="20" t="str">
        <f>IF(AQ159=0,"",IF($AO159&lt;&gt;"",1+SUMPRODUCT(($B$5:$B$335=$B159)*($AQ$5:$AQ$335=1)*($AO$5:$AO$335&lt;$AO159)),1+SUMPRODUCT(($B$5:$B$335=$B159)*($AQ$5:$AQ$335=1)*ISNUMBER($AO$5:$AO$335))+SUMPRODUCT(($B$5:$B$335=$B159)*($AQ$5:$AQ$335=1)*($AO$5:$AO$335="")*(ROW($AO$5:$AO$335)&lt;ROW()))))</f>
        <v/>
      </c>
      <c r="AS159" s="24" t="s">
        <v>902</v>
      </c>
    </row>
    <row r="160" spans="1:45">
      <c r="A160" s="25" t="s">
        <v>903</v>
      </c>
      <c r="B160" s="26" t="s">
        <v>80</v>
      </c>
      <c r="C160" s="26" t="s">
        <v>849</v>
      </c>
      <c r="D160" s="26" t="s">
        <v>904</v>
      </c>
      <c r="E160" s="25" t="s">
        <v>157</v>
      </c>
      <c r="F160" s="25" t="s">
        <v>126</v>
      </c>
      <c r="G160" s="25">
        <v>0</v>
      </c>
      <c r="H160" s="25">
        <v>100</v>
      </c>
      <c r="I160" s="25">
        <v>35</v>
      </c>
      <c r="J160" s="22">
        <v>1</v>
      </c>
      <c r="K160" s="26" t="s">
        <v>905</v>
      </c>
      <c r="L160" s="25" t="s">
        <v>906</v>
      </c>
      <c r="M160" s="26" t="s">
        <v>161</v>
      </c>
      <c r="N160" s="25">
        <v>0</v>
      </c>
      <c r="O160" s="26" t="s">
        <v>907</v>
      </c>
      <c r="P160" s="25" t="s">
        <v>152</v>
      </c>
      <c r="Q160" s="27">
        <v>47</v>
      </c>
      <c r="R160" s="27">
        <v>48</v>
      </c>
      <c r="S160" s="27">
        <v>48.2</v>
      </c>
      <c r="T160" s="27">
        <v>48.8</v>
      </c>
      <c r="U160" s="27">
        <v>49.2</v>
      </c>
      <c r="V160" s="27">
        <v>49.4</v>
      </c>
      <c r="W160" s="27">
        <v>49.8</v>
      </c>
      <c r="X160" s="27">
        <v>50</v>
      </c>
      <c r="Y160" s="27">
        <v>50.2</v>
      </c>
      <c r="Z160" s="27"/>
      <c r="AA160" s="27"/>
      <c r="AB160" s="25">
        <f>COUNT(Q160:AA160)</f>
        <v>9</v>
      </c>
      <c r="AC160" s="28">
        <f>AB160/11</f>
        <v>0.81818181818181823</v>
      </c>
      <c r="AD160" s="25">
        <f>IFERROR(INDEX($Q$4:$AA$4,MATCH(TRUE,INDEX(ISNUMBER(Q160:AA160),0),0)),"")</f>
        <v>2015</v>
      </c>
      <c r="AE160" s="25">
        <f>IFERROR(LOOKUP(2,1/ISNUMBER(Q160:AA160),$Q$4:$AA$4),"")</f>
        <v>2023</v>
      </c>
      <c r="AF160" s="28">
        <f>IF(AB160=0,"",AB160/(AE160-AD160+1))</f>
        <v>1</v>
      </c>
      <c r="AG160" s="25">
        <f>IF(AB160=0,"",'01_Criterios'!$C$8-AE160)</f>
        <v>2</v>
      </c>
      <c r="AH160" s="29">
        <f>IF(P160="Em uso",100,IF(P160="Alta",85,IF(P160="Média",55,30)))</f>
        <v>85</v>
      </c>
      <c r="AI160" s="29">
        <f>ROUND(100*AC160,1)</f>
        <v>81.8</v>
      </c>
      <c r="AJ160" s="29">
        <f>IF(AB160=0,0,ROUND(MAX(0,100*AF160-10*AG160),1))</f>
        <v>80</v>
      </c>
      <c r="AK160" s="29">
        <f>ROUND(('01_Criterios'!$C$19*AH160+'01_Criterios'!$C$20*AI160+'01_Criterios'!$C$21*AJ160)/('01_Criterios'!$C$19+'01_Criterios'!$C$20+'01_Criterios'!$C$21)+N160*'01_Criterios'!$C$22,1)</f>
        <v>82.6</v>
      </c>
      <c r="AL160" s="25">
        <f>IF(AND(AB160&gt;=3,AC160&gt;='01_Criterios'!$C$11,N(AE160)&gt;='01_Criterios'!$C$12,OR(F160="+",F160="-"),ISNUMBER(G160),ISNUMBER(H160)),1,0)</f>
        <v>1</v>
      </c>
      <c r="AM160" s="30" t="str">
        <f>IF(AL160=1,"",TRIM(IF(AB160=0,"sem dados no período; ",IF(AB160&lt;3,"série demasiado curta; ",""))&amp;IF(AND(AB160&gt;0,AC160&lt;'01_Criterios'!$C$11),"cobertura insuficiente; ","")&amp;IF(AND(AB160&gt;0,N(AE160)&lt;'01_Criterios'!$C$12),"desactualizado; ","")&amp;IF(AND(F160&lt;&gt;"+",F160&lt;&gt;"-"),"sentido ambíguo; ","")&amp;IF(OR(NOT(ISNUMBER(G160)),NOT(ISNUMBER(H160))),"sem limites min/max; ","")))</f>
        <v/>
      </c>
      <c r="AN160" s="25">
        <f>IF(OR(AL160=0,$AP160="Excluir"),0,IF(SUMPRODUCT(($O$5:$O$335=$O160)*($AL$5:$AL$335=1)*($AP$5:$AP$335&lt;&gt;"Excluir")*(($AK$5:$AK$335&gt;$AK160)+(($AK$5:$AK$335=$AK160)*(ROW($O$5:$O$335)&lt;ROW()))))=0,1,0))</f>
        <v>1</v>
      </c>
      <c r="AO160" s="25">
        <f>IF(AN160=0,"",1+SUMPRODUCT(($B$5:$B$335=$B160)*($AN$5:$AN$335=1)*(($AK$5:$AK$335&gt;$AK160)+(($AK$5:$AK$335=$AK160)*(ROW($B$5:$B$335)&lt;ROW())))))</f>
        <v>4</v>
      </c>
      <c r="AP160" s="22" t="s">
        <v>131</v>
      </c>
      <c r="AQ160" s="25">
        <f>IF(INDEX('01_Criterios'!$C$26:$C$36,MATCH($B160,'01_Criterios'!$B$26:$B$36,0))&lt;&gt;1,0,IF($AP160="Excluir",0,IF($AP160="Incluir",IF(AND(OR($F160="+",$F160="-"),ISNUMBER($G160),ISNUMBER($H160),COUNT($Q160:$AA160)&gt;0),1,0),IF('01_Criterios'!$C$18="Automática",IF(AND($AN160=1,$AO160&lt;&gt;"",$AO160&lt;=INDEX('01_Criterios'!$E$26:$E$36,MATCH($B160,'01_Criterios'!$B$26:$B$36,0))),1,0),0))))</f>
        <v>1</v>
      </c>
      <c r="AR160" s="25">
        <f>IF(AQ160=0,"",IF($AO160&lt;&gt;"",1+SUMPRODUCT(($B$5:$B$335=$B160)*($AQ$5:$AQ$335=1)*($AO$5:$AO$335&lt;$AO160)),1+SUMPRODUCT(($B$5:$B$335=$B160)*($AQ$5:$AQ$335=1)*ISNUMBER($AO$5:$AO$335))+SUMPRODUCT(($B$5:$B$335=$B160)*($AQ$5:$AQ$335=1)*($AO$5:$AO$335="")*(ROW($AO$5:$AO$335)&lt;ROW()))))</f>
        <v>4</v>
      </c>
      <c r="AS160" s="24" t="s">
        <v>908</v>
      </c>
    </row>
    <row r="161" spans="1:45">
      <c r="A161" s="20" t="s">
        <v>909</v>
      </c>
      <c r="B161" s="21" t="s">
        <v>80</v>
      </c>
      <c r="C161" s="21" t="s">
        <v>882</v>
      </c>
      <c r="D161" s="21" t="s">
        <v>910</v>
      </c>
      <c r="E161" s="20" t="s">
        <v>742</v>
      </c>
      <c r="F161" s="20" t="s">
        <v>158</v>
      </c>
      <c r="G161" s="20">
        <v>0</v>
      </c>
      <c r="H161" s="20">
        <v>100</v>
      </c>
      <c r="I161" s="20">
        <v>5</v>
      </c>
      <c r="J161" s="22">
        <v>1</v>
      </c>
      <c r="K161" s="21" t="s">
        <v>586</v>
      </c>
      <c r="L161" s="20" t="s">
        <v>911</v>
      </c>
      <c r="M161" s="21" t="s">
        <v>588</v>
      </c>
      <c r="N161" s="20">
        <v>1</v>
      </c>
      <c r="O161" s="21" t="s">
        <v>912</v>
      </c>
      <c r="P161" s="20" t="s">
        <v>180</v>
      </c>
      <c r="Q161" s="6"/>
      <c r="R161" s="6"/>
      <c r="S161" s="6"/>
      <c r="T161" s="6"/>
      <c r="U161" s="6"/>
      <c r="V161" s="6"/>
      <c r="W161" s="6"/>
      <c r="X161" s="6"/>
      <c r="Y161" s="6"/>
      <c r="Z161" s="6">
        <v>27.7</v>
      </c>
      <c r="AA161" s="6"/>
      <c r="AB161" s="20">
        <f>COUNT(Q161:AA161)</f>
        <v>1</v>
      </c>
      <c r="AC161" s="23">
        <f>AB161/11</f>
        <v>9.0909090909090912E-2</v>
      </c>
      <c r="AD161" s="20">
        <f>IFERROR(INDEX($Q$4:$AA$4,MATCH(TRUE,INDEX(ISNUMBER(Q161:AA161),0),0)),"")</f>
        <v>2024</v>
      </c>
      <c r="AE161" s="20">
        <f>IFERROR(LOOKUP(2,1/ISNUMBER(Q161:AA161),$Q$4:$AA$4),"")</f>
        <v>2024</v>
      </c>
      <c r="AF161" s="23">
        <f>IF(AB161=0,"",AB161/(AE161-AD161+1))</f>
        <v>1</v>
      </c>
      <c r="AG161" s="20">
        <f>IF(AB161=0,"",'01_Criterios'!$C$8-AE161)</f>
        <v>1</v>
      </c>
      <c r="AH161" s="7">
        <f>IF(P161="Em uso",100,IF(P161="Alta",85,IF(P161="Média",55,30)))</f>
        <v>55</v>
      </c>
      <c r="AI161" s="7">
        <f>ROUND(100*AC161,1)</f>
        <v>9.1</v>
      </c>
      <c r="AJ161" s="7">
        <f>IF(AB161=0,0,ROUND(MAX(0,100*AF161-10*AG161),1))</f>
        <v>90</v>
      </c>
      <c r="AK161" s="7">
        <f>ROUND(('01_Criterios'!$C$19*AH161+'01_Criterios'!$C$20*AI161+'01_Criterios'!$C$21*AJ161)/('01_Criterios'!$C$19+'01_Criterios'!$C$20+'01_Criterios'!$C$21)+N161*'01_Criterios'!$C$22,1)</f>
        <v>59.7</v>
      </c>
      <c r="AL161" s="20">
        <f>IF(AND(AB161&gt;=3,AC161&gt;='01_Criterios'!$C$11,N(AE161)&gt;='01_Criterios'!$C$12,OR(F161="+",F161="-"),ISNUMBER(G161),ISNUMBER(H161)),1,0)</f>
        <v>0</v>
      </c>
      <c r="AM161" s="24" t="str">
        <f>IF(AL161=1,"",TRIM(IF(AB161=0,"sem dados no período; ",IF(AB161&lt;3,"série demasiado curta; ",""))&amp;IF(AND(AB161&gt;0,AC161&lt;'01_Criterios'!$C$11),"cobertura insuficiente; ","")&amp;IF(AND(AB161&gt;0,N(AE161)&lt;'01_Criterios'!$C$12),"desactualizado; ","")&amp;IF(AND(F161&lt;&gt;"+",F161&lt;&gt;"-"),"sentido ambíguo; ","")&amp;IF(OR(NOT(ISNUMBER(G161)),NOT(ISNUMBER(H161))),"sem limites min/max; ","")))</f>
        <v>série demasiado curta; cobertura insuficiente;</v>
      </c>
      <c r="AN161" s="20">
        <f>IF(OR(AL161=0,$AP161="Excluir"),0,IF(SUMPRODUCT(($O$5:$O$335=$O161)*($AL$5:$AL$335=1)*($AP$5:$AP$335&lt;&gt;"Excluir")*(($AK$5:$AK$335&gt;$AK161)+(($AK$5:$AK$335=$AK161)*(ROW($O$5:$O$335)&lt;ROW()))))=0,1,0))</f>
        <v>0</v>
      </c>
      <c r="AO161" s="20" t="str">
        <f>IF(AN161=0,"",1+SUMPRODUCT(($B$5:$B$335=$B161)*($AN$5:$AN$335=1)*(($AK$5:$AK$335&gt;$AK161)+(($AK$5:$AK$335=$AK161)*(ROW($B$5:$B$335)&lt;ROW())))))</f>
        <v/>
      </c>
      <c r="AP161" s="22" t="s">
        <v>131</v>
      </c>
      <c r="AQ161" s="20">
        <f>IF(INDEX('01_Criterios'!$C$26:$C$36,MATCH($B161,'01_Criterios'!$B$26:$B$36,0))&lt;&gt;1,0,IF($AP161="Excluir",0,IF($AP161="Incluir",IF(AND(OR($F161="+",$F161="-"),ISNUMBER($G161),ISNUMBER($H161),COUNT($Q161:$AA161)&gt;0),1,0),IF('01_Criterios'!$C$18="Automática",IF(AND($AN161=1,$AO161&lt;&gt;"",$AO161&lt;=INDEX('01_Criterios'!$E$26:$E$36,MATCH($B161,'01_Criterios'!$B$26:$B$36,0))),1,0),0))))</f>
        <v>0</v>
      </c>
      <c r="AR161" s="20" t="str">
        <f>IF(AQ161=0,"",IF($AO161&lt;&gt;"",1+SUMPRODUCT(($B$5:$B$335=$B161)*($AQ$5:$AQ$335=1)*($AO$5:$AO$335&lt;$AO161)),1+SUMPRODUCT(($B$5:$B$335=$B161)*($AQ$5:$AQ$335=1)*ISNUMBER($AO$5:$AO$335))+SUMPRODUCT(($B$5:$B$335=$B161)*($AQ$5:$AQ$335=1)*($AO$5:$AO$335="")*(ROW($AO$5:$AO$335)&lt;ROW()))))</f>
        <v/>
      </c>
      <c r="AS161" s="24" t="s">
        <v>913</v>
      </c>
    </row>
    <row r="162" spans="1:45">
      <c r="A162" s="25" t="s">
        <v>914</v>
      </c>
      <c r="B162" s="26" t="s">
        <v>80</v>
      </c>
      <c r="C162" s="26" t="s">
        <v>849</v>
      </c>
      <c r="D162" s="26" t="s">
        <v>915</v>
      </c>
      <c r="E162" s="25" t="s">
        <v>157</v>
      </c>
      <c r="F162" s="25" t="s">
        <v>126</v>
      </c>
      <c r="G162" s="25">
        <v>0</v>
      </c>
      <c r="H162" s="25">
        <v>100</v>
      </c>
      <c r="I162" s="25">
        <v>50</v>
      </c>
      <c r="J162" s="22">
        <v>1</v>
      </c>
      <c r="K162" s="26" t="s">
        <v>916</v>
      </c>
      <c r="L162" s="25" t="s">
        <v>917</v>
      </c>
      <c r="M162" s="26" t="s">
        <v>161</v>
      </c>
      <c r="N162" s="25">
        <v>0</v>
      </c>
      <c r="O162" s="26" t="s">
        <v>864</v>
      </c>
      <c r="P162" s="25" t="s">
        <v>180</v>
      </c>
      <c r="Q162" s="27">
        <v>3.8</v>
      </c>
      <c r="R162" s="27"/>
      <c r="S162" s="27"/>
      <c r="T162" s="27">
        <v>7.3</v>
      </c>
      <c r="U162" s="27"/>
      <c r="V162" s="27"/>
      <c r="W162" s="27"/>
      <c r="X162" s="27"/>
      <c r="Y162" s="27"/>
      <c r="Z162" s="27"/>
      <c r="AA162" s="27"/>
      <c r="AB162" s="25">
        <f>COUNT(Q162:AA162)</f>
        <v>2</v>
      </c>
      <c r="AC162" s="28">
        <f>AB162/11</f>
        <v>0.18181818181818182</v>
      </c>
      <c r="AD162" s="25">
        <f>IFERROR(INDEX($Q$4:$AA$4,MATCH(TRUE,INDEX(ISNUMBER(Q162:AA162),0),0)),"")</f>
        <v>2015</v>
      </c>
      <c r="AE162" s="25">
        <f>IFERROR(LOOKUP(2,1/ISNUMBER(Q162:AA162),$Q$4:$AA$4),"")</f>
        <v>2018</v>
      </c>
      <c r="AF162" s="28">
        <f>IF(AB162=0,"",AB162/(AE162-AD162+1))</f>
        <v>0.5</v>
      </c>
      <c r="AG162" s="25">
        <f>IF(AB162=0,"",'01_Criterios'!$C$8-AE162)</f>
        <v>7</v>
      </c>
      <c r="AH162" s="29">
        <f>IF(P162="Em uso",100,IF(P162="Alta",85,IF(P162="Média",55,30)))</f>
        <v>55</v>
      </c>
      <c r="AI162" s="29">
        <f>ROUND(100*AC162,1)</f>
        <v>18.2</v>
      </c>
      <c r="AJ162" s="29">
        <f>IF(AB162=0,0,ROUND(MAX(0,100*AF162-10*AG162),1))</f>
        <v>0</v>
      </c>
      <c r="AK162" s="29">
        <f>ROUND(('01_Criterios'!$C$19*AH162+'01_Criterios'!$C$20*AI162+'01_Criterios'!$C$21*AJ162)/('01_Criterios'!$C$19+'01_Criterios'!$C$20+'01_Criterios'!$C$21)+N162*'01_Criterios'!$C$22,1)</f>
        <v>28.4</v>
      </c>
      <c r="AL162" s="25">
        <f>IF(AND(AB162&gt;=3,AC162&gt;='01_Criterios'!$C$11,N(AE162)&gt;='01_Criterios'!$C$12,OR(F162="+",F162="-"),ISNUMBER(G162),ISNUMBER(H162)),1,0)</f>
        <v>0</v>
      </c>
      <c r="AM162" s="30" t="str">
        <f>IF(AL162=1,"",TRIM(IF(AB162=0,"sem dados no período; ",IF(AB162&lt;3,"série demasiado curta; ",""))&amp;IF(AND(AB162&gt;0,AC162&lt;'01_Criterios'!$C$11),"cobertura insuficiente; ","")&amp;IF(AND(AB162&gt;0,N(AE162)&lt;'01_Criterios'!$C$12),"desactualizado; ","")&amp;IF(AND(F162&lt;&gt;"+",F162&lt;&gt;"-"),"sentido ambíguo; ","")&amp;IF(OR(NOT(ISNUMBER(G162)),NOT(ISNUMBER(H162))),"sem limites min/max; ","")))</f>
        <v>série demasiado curta; cobertura insuficiente; desactualizado;</v>
      </c>
      <c r="AN162" s="25">
        <f>IF(OR(AL162=0,$AP162="Excluir"),0,IF(SUMPRODUCT(($O$5:$O$335=$O162)*($AL$5:$AL$335=1)*($AP$5:$AP$335&lt;&gt;"Excluir")*(($AK$5:$AK$335&gt;$AK162)+(($AK$5:$AK$335=$AK162)*(ROW($O$5:$O$335)&lt;ROW()))))=0,1,0))</f>
        <v>0</v>
      </c>
      <c r="AO162" s="25" t="str">
        <f>IF(AN162=0,"",1+SUMPRODUCT(($B$5:$B$335=$B162)*($AN$5:$AN$335=1)*(($AK$5:$AK$335&gt;$AK162)+(($AK$5:$AK$335=$AK162)*(ROW($B$5:$B$335)&lt;ROW())))))</f>
        <v/>
      </c>
      <c r="AP162" s="22" t="s">
        <v>131</v>
      </c>
      <c r="AQ162" s="25">
        <f>IF(INDEX('01_Criterios'!$C$26:$C$36,MATCH($B162,'01_Criterios'!$B$26:$B$36,0))&lt;&gt;1,0,IF($AP162="Excluir",0,IF($AP162="Incluir",IF(AND(OR($F162="+",$F162="-"),ISNUMBER($G162),ISNUMBER($H162),COUNT($Q162:$AA162)&gt;0),1,0),IF('01_Criterios'!$C$18="Automática",IF(AND($AN162=1,$AO162&lt;&gt;"",$AO162&lt;=INDEX('01_Criterios'!$E$26:$E$36,MATCH($B162,'01_Criterios'!$B$26:$B$36,0))),1,0),0))))</f>
        <v>0</v>
      </c>
      <c r="AR162" s="25" t="str">
        <f>IF(AQ162=0,"",IF($AO162&lt;&gt;"",1+SUMPRODUCT(($B$5:$B$335=$B162)*($AQ$5:$AQ$335=1)*($AO$5:$AO$335&lt;$AO162)),1+SUMPRODUCT(($B$5:$B$335=$B162)*($AQ$5:$AQ$335=1)*ISNUMBER($AO$5:$AO$335))+SUMPRODUCT(($B$5:$B$335=$B162)*($AQ$5:$AQ$335=1)*($AO$5:$AO$335="")*(ROW($AO$5:$AO$335)&lt;ROW()))))</f>
        <v/>
      </c>
      <c r="AS162" s="24" t="s">
        <v>918</v>
      </c>
    </row>
    <row r="163" spans="1:45">
      <c r="A163" s="20" t="s">
        <v>919</v>
      </c>
      <c r="B163" s="21" t="s">
        <v>80</v>
      </c>
      <c r="C163" s="21" t="s">
        <v>849</v>
      </c>
      <c r="D163" s="21" t="s">
        <v>920</v>
      </c>
      <c r="E163" s="20" t="s">
        <v>157</v>
      </c>
      <c r="F163" s="20" t="s">
        <v>158</v>
      </c>
      <c r="G163" s="20">
        <v>0</v>
      </c>
      <c r="H163" s="20">
        <v>60</v>
      </c>
      <c r="I163" s="20">
        <v>15</v>
      </c>
      <c r="J163" s="22">
        <v>1</v>
      </c>
      <c r="K163" s="21" t="s">
        <v>916</v>
      </c>
      <c r="L163" s="20" t="s">
        <v>921</v>
      </c>
      <c r="M163" s="21" t="s">
        <v>161</v>
      </c>
      <c r="N163" s="20">
        <v>0</v>
      </c>
      <c r="O163" s="21" t="s">
        <v>919</v>
      </c>
      <c r="P163" s="20" t="s">
        <v>180</v>
      </c>
      <c r="Q163" s="6">
        <v>11.270069987649199</v>
      </c>
      <c r="R163" s="6">
        <v>11.2669600293363</v>
      </c>
      <c r="S163" s="6">
        <v>11.258031474066501</v>
      </c>
      <c r="T163" s="6">
        <v>11.264912817375301</v>
      </c>
      <c r="U163" s="6">
        <v>11.2629123625458</v>
      </c>
      <c r="V163" s="6">
        <v>11.2661592364383</v>
      </c>
      <c r="W163" s="6">
        <v>11.2622876114836</v>
      </c>
      <c r="X163" s="6">
        <v>11.2616822429907</v>
      </c>
      <c r="Y163" s="6">
        <v>11.266798293102401</v>
      </c>
      <c r="Z163" s="6"/>
      <c r="AA163" s="6"/>
      <c r="AB163" s="20">
        <f>COUNT(Q163:AA163)</f>
        <v>9</v>
      </c>
      <c r="AC163" s="23">
        <f>AB163/11</f>
        <v>0.81818181818181823</v>
      </c>
      <c r="AD163" s="20">
        <f>IFERROR(INDEX($Q$4:$AA$4,MATCH(TRUE,INDEX(ISNUMBER(Q163:AA163),0),0)),"")</f>
        <v>2015</v>
      </c>
      <c r="AE163" s="20">
        <f>IFERROR(LOOKUP(2,1/ISNUMBER(Q163:AA163),$Q$4:$AA$4),"")</f>
        <v>2023</v>
      </c>
      <c r="AF163" s="23">
        <f>IF(AB163=0,"",AB163/(AE163-AD163+1))</f>
        <v>1</v>
      </c>
      <c r="AG163" s="20">
        <f>IF(AB163=0,"",'01_Criterios'!$C$8-AE163)</f>
        <v>2</v>
      </c>
      <c r="AH163" s="7">
        <f>IF(P163="Em uso",100,IF(P163="Alta",85,IF(P163="Média",55,30)))</f>
        <v>55</v>
      </c>
      <c r="AI163" s="7">
        <f>ROUND(100*AC163,1)</f>
        <v>81.8</v>
      </c>
      <c r="AJ163" s="7">
        <f>IF(AB163=0,0,ROUND(MAX(0,100*AF163-10*AG163),1))</f>
        <v>80</v>
      </c>
      <c r="AK163" s="7">
        <f>ROUND(('01_Criterios'!$C$19*AH163+'01_Criterios'!$C$20*AI163+'01_Criterios'!$C$21*AJ163)/('01_Criterios'!$C$19+'01_Criterios'!$C$20+'01_Criterios'!$C$21)+N163*'01_Criterios'!$C$22,1)</f>
        <v>70.599999999999994</v>
      </c>
      <c r="AL163" s="20">
        <f>IF(AND(AB163&gt;=3,AC163&gt;='01_Criterios'!$C$11,N(AE163)&gt;='01_Criterios'!$C$12,OR(F163="+",F163="-"),ISNUMBER(G163),ISNUMBER(H163)),1,0)</f>
        <v>1</v>
      </c>
      <c r="AM163" s="24" t="str">
        <f>IF(AL163=1,"",TRIM(IF(AB163=0,"sem dados no período; ",IF(AB163&lt;3,"série demasiado curta; ",""))&amp;IF(AND(AB163&gt;0,AC163&lt;'01_Criterios'!$C$11),"cobertura insuficiente; ","")&amp;IF(AND(AB163&gt;0,N(AE163)&lt;'01_Criterios'!$C$12),"desactualizado; ","")&amp;IF(AND(F163&lt;&gt;"+",F163&lt;&gt;"-"),"sentido ambíguo; ","")&amp;IF(OR(NOT(ISNUMBER(G163)),NOT(ISNUMBER(H163))),"sem limites min/max; ","")))</f>
        <v/>
      </c>
      <c r="AN163" s="20">
        <f>IF(OR(AL163=0,$AP163="Excluir"),0,IF(SUMPRODUCT(($O$5:$O$335=$O163)*($AL$5:$AL$335=1)*($AP$5:$AP$335&lt;&gt;"Excluir")*(($AK$5:$AK$335&gt;$AK163)+(($AK$5:$AK$335=$AK163)*(ROW($O$5:$O$335)&lt;ROW()))))=0,1,0))</f>
        <v>1</v>
      </c>
      <c r="AO163" s="20">
        <f>IF(AN163=0,"",1+SUMPRODUCT(($B$5:$B$335=$B163)*($AN$5:$AN$335=1)*(($AK$5:$AK$335&gt;$AK163)+(($AK$5:$AK$335=$AK163)*(ROW($B$5:$B$335)&lt;ROW())))))</f>
        <v>6</v>
      </c>
      <c r="AP163" s="22" t="s">
        <v>131</v>
      </c>
      <c r="AQ163" s="20">
        <f>IF(INDEX('01_Criterios'!$C$26:$C$36,MATCH($B163,'01_Criterios'!$B$26:$B$36,0))&lt;&gt;1,0,IF($AP163="Excluir",0,IF($AP163="Incluir",IF(AND(OR($F163="+",$F163="-"),ISNUMBER($G163),ISNUMBER($H163),COUNT($Q163:$AA163)&gt;0),1,0),IF('01_Criterios'!$C$18="Automática",IF(AND($AN163=1,$AO163&lt;&gt;"",$AO163&lt;=INDEX('01_Criterios'!$E$26:$E$36,MATCH($B163,'01_Criterios'!$B$26:$B$36,0))),1,0),0))))</f>
        <v>0</v>
      </c>
      <c r="AR163" s="20" t="str">
        <f>IF(AQ163=0,"",IF($AO163&lt;&gt;"",1+SUMPRODUCT(($B$5:$B$335=$B163)*($AQ$5:$AQ$335=1)*($AO$5:$AO$335&lt;$AO163)),1+SUMPRODUCT(($B$5:$B$335=$B163)*($AQ$5:$AQ$335=1)*ISNUMBER($AO$5:$AO$335))+SUMPRODUCT(($B$5:$B$335=$B163)*($AQ$5:$AQ$335=1)*($AO$5:$AO$335="")*(ROW($AO$5:$AO$335)&lt;ROW()))))</f>
        <v/>
      </c>
      <c r="AS163" s="24" t="s">
        <v>922</v>
      </c>
    </row>
    <row r="164" spans="1:45">
      <c r="A164" s="25" t="s">
        <v>923</v>
      </c>
      <c r="B164" s="26" t="s">
        <v>80</v>
      </c>
      <c r="C164" s="26" t="s">
        <v>849</v>
      </c>
      <c r="D164" s="26" t="s">
        <v>924</v>
      </c>
      <c r="E164" s="25" t="s">
        <v>898</v>
      </c>
      <c r="F164" s="25" t="s">
        <v>126</v>
      </c>
      <c r="G164" s="25">
        <v>0</v>
      </c>
      <c r="H164" s="25">
        <v>50</v>
      </c>
      <c r="I164" s="25">
        <v>8</v>
      </c>
      <c r="J164" s="22">
        <v>1</v>
      </c>
      <c r="K164" s="26" t="s">
        <v>899</v>
      </c>
      <c r="L164" s="25" t="s">
        <v>925</v>
      </c>
      <c r="M164" s="26" t="s">
        <v>161</v>
      </c>
      <c r="N164" s="25">
        <v>0</v>
      </c>
      <c r="O164" s="26" t="s">
        <v>926</v>
      </c>
      <c r="P164" s="25" t="s">
        <v>180</v>
      </c>
      <c r="Q164" s="27">
        <v>0.54539421015805301</v>
      </c>
      <c r="R164" s="27">
        <v>0.29031901030289098</v>
      </c>
      <c r="S164" s="27">
        <v>0.32055404693903</v>
      </c>
      <c r="T164" s="27">
        <v>0.35006696295557899</v>
      </c>
      <c r="U164" s="27">
        <v>0.36777042684448602</v>
      </c>
      <c r="V164" s="27">
        <v>0.36326423871096503</v>
      </c>
      <c r="W164" s="27">
        <v>0.39092529517689001</v>
      </c>
      <c r="X164" s="27">
        <v>0.38669815590721102</v>
      </c>
      <c r="Y164" s="27">
        <v>0.37366898299005202</v>
      </c>
      <c r="Z164" s="27">
        <v>0.36284524071243601</v>
      </c>
      <c r="AA164" s="27"/>
      <c r="AB164" s="25">
        <f>COUNT(Q164:AA164)</f>
        <v>10</v>
      </c>
      <c r="AC164" s="28">
        <f>AB164/11</f>
        <v>0.90909090909090906</v>
      </c>
      <c r="AD164" s="25">
        <f>IFERROR(INDEX($Q$4:$AA$4,MATCH(TRUE,INDEX(ISNUMBER(Q164:AA164),0),0)),"")</f>
        <v>2015</v>
      </c>
      <c r="AE164" s="25">
        <f>IFERROR(LOOKUP(2,1/ISNUMBER(Q164:AA164),$Q$4:$AA$4),"")</f>
        <v>2024</v>
      </c>
      <c r="AF164" s="28">
        <f>IF(AB164=0,"",AB164/(AE164-AD164+1))</f>
        <v>1</v>
      </c>
      <c r="AG164" s="25">
        <f>IF(AB164=0,"",'01_Criterios'!$C$8-AE164)</f>
        <v>1</v>
      </c>
      <c r="AH164" s="29">
        <f>IF(P164="Em uso",100,IF(P164="Alta",85,IF(P164="Média",55,30)))</f>
        <v>55</v>
      </c>
      <c r="AI164" s="29">
        <f>ROUND(100*AC164,1)</f>
        <v>90.9</v>
      </c>
      <c r="AJ164" s="29">
        <f>IF(AB164=0,0,ROUND(MAX(0,100*AF164-10*AG164),1))</f>
        <v>90</v>
      </c>
      <c r="AK164" s="29">
        <f>ROUND(('01_Criterios'!$C$19*AH164+'01_Criterios'!$C$20*AI164+'01_Criterios'!$C$21*AJ164)/('01_Criterios'!$C$19+'01_Criterios'!$C$20+'01_Criterios'!$C$21)+N164*'01_Criterios'!$C$22,1)</f>
        <v>76.3</v>
      </c>
      <c r="AL164" s="25">
        <f>IF(AND(AB164&gt;=3,AC164&gt;='01_Criterios'!$C$11,N(AE164)&gt;='01_Criterios'!$C$12,OR(F164="+",F164="-"),ISNUMBER(G164),ISNUMBER(H164)),1,0)</f>
        <v>1</v>
      </c>
      <c r="AM164" s="30" t="str">
        <f>IF(AL164=1,"",TRIM(IF(AB164=0,"sem dados no período; ",IF(AB164&lt;3,"série demasiado curta; ",""))&amp;IF(AND(AB164&gt;0,AC164&lt;'01_Criterios'!$C$11),"cobertura insuficiente; ","")&amp;IF(AND(AB164&gt;0,N(AE164)&lt;'01_Criterios'!$C$12),"desactualizado; ","")&amp;IF(AND(F164&lt;&gt;"+",F164&lt;&gt;"-"),"sentido ambíguo; ","")&amp;IF(OR(NOT(ISNUMBER(G164)),NOT(ISNUMBER(H164))),"sem limites min/max; ","")))</f>
        <v/>
      </c>
      <c r="AN164" s="25">
        <f>IF(OR(AL164=0,$AP164="Excluir"),0,IF(SUMPRODUCT(($O$5:$O$335=$O164)*($AL$5:$AL$335=1)*($AP$5:$AP$335&lt;&gt;"Excluir")*(($AK$5:$AK$335&gt;$AK164)+(($AK$5:$AK$335=$AK164)*(ROW($O$5:$O$335)&lt;ROW()))))=0,1,0))</f>
        <v>0</v>
      </c>
      <c r="AO164" s="25" t="str">
        <f>IF(AN164=0,"",1+SUMPRODUCT(($B$5:$B$335=$B164)*($AN$5:$AN$335=1)*(($AK$5:$AK$335&gt;$AK164)+(($AK$5:$AK$335=$AK164)*(ROW($B$5:$B$335)&lt;ROW())))))</f>
        <v/>
      </c>
      <c r="AP164" s="22" t="s">
        <v>131</v>
      </c>
      <c r="AQ164" s="25">
        <f>IF(INDEX('01_Criterios'!$C$26:$C$36,MATCH($B164,'01_Criterios'!$B$26:$B$36,0))&lt;&gt;1,0,IF($AP164="Excluir",0,IF($AP164="Incluir",IF(AND(OR($F164="+",$F164="-"),ISNUMBER($G164),ISNUMBER($H164),COUNT($Q164:$AA164)&gt;0),1,0),IF('01_Criterios'!$C$18="Automática",IF(AND($AN164=1,$AO164&lt;&gt;"",$AO164&lt;=INDEX('01_Criterios'!$E$26:$E$36,MATCH($B164,'01_Criterios'!$B$26:$B$36,0))),1,0),0))))</f>
        <v>0</v>
      </c>
      <c r="AR164" s="25" t="str">
        <f>IF(AQ164=0,"",IF($AO164&lt;&gt;"",1+SUMPRODUCT(($B$5:$B$335=$B164)*($AQ$5:$AQ$335=1)*($AO$5:$AO$335&lt;$AO164)),1+SUMPRODUCT(($B$5:$B$335=$B164)*($AQ$5:$AQ$335=1)*ISNUMBER($AO$5:$AO$335))+SUMPRODUCT(($B$5:$B$335=$B164)*($AQ$5:$AQ$335=1)*($AO$5:$AO$335="")*(ROW($AO$5:$AO$335)&lt;ROW()))))</f>
        <v/>
      </c>
      <c r="AS164" s="24" t="s">
        <v>927</v>
      </c>
    </row>
    <row r="165" spans="1:45">
      <c r="A165" s="20" t="s">
        <v>928</v>
      </c>
      <c r="B165" s="21" t="s">
        <v>80</v>
      </c>
      <c r="C165" s="21" t="s">
        <v>849</v>
      </c>
      <c r="D165" s="21" t="s">
        <v>929</v>
      </c>
      <c r="E165" s="20" t="s">
        <v>930</v>
      </c>
      <c r="F165" s="20" t="s">
        <v>158</v>
      </c>
      <c r="G165" s="20">
        <v>0</v>
      </c>
      <c r="H165" s="20">
        <v>30</v>
      </c>
      <c r="I165" s="20">
        <v>5</v>
      </c>
      <c r="J165" s="22">
        <v>1</v>
      </c>
      <c r="K165" s="21" t="s">
        <v>931</v>
      </c>
      <c r="L165" s="20"/>
      <c r="M165" s="21" t="s">
        <v>129</v>
      </c>
      <c r="N165" s="20">
        <v>0</v>
      </c>
      <c r="O165" s="21" t="s">
        <v>928</v>
      </c>
      <c r="P165" s="20" t="s">
        <v>180</v>
      </c>
      <c r="Q165" s="6"/>
      <c r="R165" s="6"/>
      <c r="S165" s="6"/>
      <c r="T165" s="6"/>
      <c r="U165" s="6"/>
      <c r="V165" s="6"/>
      <c r="W165" s="6"/>
      <c r="X165" s="6"/>
      <c r="Y165" s="6"/>
      <c r="Z165" s="6"/>
      <c r="AA165" s="6"/>
      <c r="AB165" s="20">
        <f>COUNT(Q165:AA165)</f>
        <v>0</v>
      </c>
      <c r="AC165" s="23">
        <f>AB165/11</f>
        <v>0</v>
      </c>
      <c r="AD165" s="20" t="str">
        <f>IFERROR(INDEX($Q$4:$AA$4,MATCH(TRUE,INDEX(ISNUMBER(Q165:AA165),0),0)),"")</f>
        <v/>
      </c>
      <c r="AE165" s="20" t="str">
        <f>IFERROR(LOOKUP(2,1/ISNUMBER(Q165:AA165),$Q$4:$AA$4),"")</f>
        <v/>
      </c>
      <c r="AF165" s="23" t="str">
        <f>IF(AB165=0,"",AB165/(AE165-AD165+1))</f>
        <v/>
      </c>
      <c r="AG165" s="20" t="str">
        <f>IF(AB165=0,"",'01_Criterios'!$C$8-AE165)</f>
        <v/>
      </c>
      <c r="AH165" s="7">
        <f>IF(P165="Em uso",100,IF(P165="Alta",85,IF(P165="Média",55,30)))</f>
        <v>55</v>
      </c>
      <c r="AI165" s="7">
        <f>ROUND(100*AC165,1)</f>
        <v>0</v>
      </c>
      <c r="AJ165" s="7">
        <f>IF(AB165=0,0,ROUND(MAX(0,100*AF165-10*AG165),1))</f>
        <v>0</v>
      </c>
      <c r="AK165" s="7">
        <f>ROUND(('01_Criterios'!$C$19*AH165+'01_Criterios'!$C$20*AI165+'01_Criterios'!$C$21*AJ165)/('01_Criterios'!$C$19+'01_Criterios'!$C$20+'01_Criterios'!$C$21)+N165*'01_Criterios'!$C$22,1)</f>
        <v>22</v>
      </c>
      <c r="AL165" s="20">
        <f>IF(AND(AB165&gt;=3,AC165&gt;='01_Criterios'!$C$11,N(AE165)&gt;='01_Criterios'!$C$12,OR(F165="+",F165="-"),ISNUMBER(G165),ISNUMBER(H165)),1,0)</f>
        <v>0</v>
      </c>
      <c r="AM165" s="24" t="str">
        <f>IF(AL165=1,"",TRIM(IF(AB165=0,"sem dados no período; ",IF(AB165&lt;3,"série demasiado curta; ",""))&amp;IF(AND(AB165&gt;0,AC165&lt;'01_Criterios'!$C$11),"cobertura insuficiente; ","")&amp;IF(AND(AB165&gt;0,N(AE165)&lt;'01_Criterios'!$C$12),"desactualizado; ","")&amp;IF(AND(F165&lt;&gt;"+",F165&lt;&gt;"-"),"sentido ambíguo; ","")&amp;IF(OR(NOT(ISNUMBER(G165)),NOT(ISNUMBER(H165))),"sem limites min/max; ","")))</f>
        <v>sem dados no período;</v>
      </c>
      <c r="AN165" s="20">
        <f>IF(OR(AL165=0,$AP165="Excluir"),0,IF(SUMPRODUCT(($O$5:$O$335=$O165)*($AL$5:$AL$335=1)*($AP$5:$AP$335&lt;&gt;"Excluir")*(($AK$5:$AK$335&gt;$AK165)+(($AK$5:$AK$335=$AK165)*(ROW($O$5:$O$335)&lt;ROW()))))=0,1,0))</f>
        <v>0</v>
      </c>
      <c r="AO165" s="20" t="str">
        <f>IF(AN165=0,"",1+SUMPRODUCT(($B$5:$B$335=$B165)*($AN$5:$AN$335=1)*(($AK$5:$AK$335&gt;$AK165)+(($AK$5:$AK$335=$AK165)*(ROW($B$5:$B$335)&lt;ROW())))))</f>
        <v/>
      </c>
      <c r="AP165" s="22" t="s">
        <v>131</v>
      </c>
      <c r="AQ165" s="20">
        <f>IF(INDEX('01_Criterios'!$C$26:$C$36,MATCH($B165,'01_Criterios'!$B$26:$B$36,0))&lt;&gt;1,0,IF($AP165="Excluir",0,IF($AP165="Incluir",IF(AND(OR($F165="+",$F165="-"),ISNUMBER($G165),ISNUMBER($H165),COUNT($Q165:$AA165)&gt;0),1,0),IF('01_Criterios'!$C$18="Automática",IF(AND($AN165=1,$AO165&lt;&gt;"",$AO165&lt;=INDEX('01_Criterios'!$E$26:$E$36,MATCH($B165,'01_Criterios'!$B$26:$B$36,0))),1,0),0))))</f>
        <v>0</v>
      </c>
      <c r="AR165" s="20" t="str">
        <f>IF(AQ165=0,"",IF($AO165&lt;&gt;"",1+SUMPRODUCT(($B$5:$B$335=$B165)*($AQ$5:$AQ$335=1)*($AO$5:$AO$335&lt;$AO165)),1+SUMPRODUCT(($B$5:$B$335=$B165)*($AQ$5:$AQ$335=1)*ISNUMBER($AO$5:$AO$335))+SUMPRODUCT(($B$5:$B$335=$B165)*($AQ$5:$AQ$335=1)*($AO$5:$AO$335="")*(ROW($AO$5:$AO$335)&lt;ROW()))))</f>
        <v/>
      </c>
      <c r="AS165" s="24" t="s">
        <v>932</v>
      </c>
    </row>
    <row r="166" spans="1:45">
      <c r="A166" s="25" t="s">
        <v>933</v>
      </c>
      <c r="B166" s="26" t="s">
        <v>80</v>
      </c>
      <c r="C166" s="26" t="s">
        <v>849</v>
      </c>
      <c r="D166" s="26" t="s">
        <v>934</v>
      </c>
      <c r="E166" s="25" t="s">
        <v>157</v>
      </c>
      <c r="F166" s="25" t="s">
        <v>126</v>
      </c>
      <c r="G166" s="25">
        <v>0</v>
      </c>
      <c r="H166" s="25">
        <v>100</v>
      </c>
      <c r="I166" s="25">
        <v>30</v>
      </c>
      <c r="J166" s="22">
        <v>1</v>
      </c>
      <c r="K166" s="26" t="s">
        <v>204</v>
      </c>
      <c r="L166" s="25" t="s">
        <v>935</v>
      </c>
      <c r="M166" s="26" t="s">
        <v>129</v>
      </c>
      <c r="N166" s="25">
        <v>0</v>
      </c>
      <c r="O166" s="26" t="s">
        <v>874</v>
      </c>
      <c r="P166" s="25" t="s">
        <v>180</v>
      </c>
      <c r="Q166" s="27"/>
      <c r="R166" s="27"/>
      <c r="S166" s="27"/>
      <c r="T166" s="27"/>
      <c r="U166" s="27"/>
      <c r="V166" s="27"/>
      <c r="W166" s="27"/>
      <c r="X166" s="27"/>
      <c r="Y166" s="27"/>
      <c r="Z166" s="27"/>
      <c r="AA166" s="27"/>
      <c r="AB166" s="25">
        <f>COUNT(Q166:AA166)</f>
        <v>0</v>
      </c>
      <c r="AC166" s="28">
        <f>AB166/11</f>
        <v>0</v>
      </c>
      <c r="AD166" s="25" t="str">
        <f>IFERROR(INDEX($Q$4:$AA$4,MATCH(TRUE,INDEX(ISNUMBER(Q166:AA166),0),0)),"")</f>
        <v/>
      </c>
      <c r="AE166" s="25" t="str">
        <f>IFERROR(LOOKUP(2,1/ISNUMBER(Q166:AA166),$Q$4:$AA$4),"")</f>
        <v/>
      </c>
      <c r="AF166" s="28" t="str">
        <f>IF(AB166=0,"",AB166/(AE166-AD166+1))</f>
        <v/>
      </c>
      <c r="AG166" s="25" t="str">
        <f>IF(AB166=0,"",'01_Criterios'!$C$8-AE166)</f>
        <v/>
      </c>
      <c r="AH166" s="29">
        <f>IF(P166="Em uso",100,IF(P166="Alta",85,IF(P166="Média",55,30)))</f>
        <v>55</v>
      </c>
      <c r="AI166" s="29">
        <f>ROUND(100*AC166,1)</f>
        <v>0</v>
      </c>
      <c r="AJ166" s="29">
        <f>IF(AB166=0,0,ROUND(MAX(0,100*AF166-10*AG166),1))</f>
        <v>0</v>
      </c>
      <c r="AK166" s="29">
        <f>ROUND(('01_Criterios'!$C$19*AH166+'01_Criterios'!$C$20*AI166+'01_Criterios'!$C$21*AJ166)/('01_Criterios'!$C$19+'01_Criterios'!$C$20+'01_Criterios'!$C$21)+N166*'01_Criterios'!$C$22,1)</f>
        <v>22</v>
      </c>
      <c r="AL166" s="25">
        <f>IF(AND(AB166&gt;=3,AC166&gt;='01_Criterios'!$C$11,N(AE166)&gt;='01_Criterios'!$C$12,OR(F166="+",F166="-"),ISNUMBER(G166),ISNUMBER(H166)),1,0)</f>
        <v>0</v>
      </c>
      <c r="AM166" s="30" t="str">
        <f>IF(AL166=1,"",TRIM(IF(AB166=0,"sem dados no período; ",IF(AB166&lt;3,"série demasiado curta; ",""))&amp;IF(AND(AB166&gt;0,AC166&lt;'01_Criterios'!$C$11),"cobertura insuficiente; ","")&amp;IF(AND(AB166&gt;0,N(AE166)&lt;'01_Criterios'!$C$12),"desactualizado; ","")&amp;IF(AND(F166&lt;&gt;"+",F166&lt;&gt;"-"),"sentido ambíguo; ","")&amp;IF(OR(NOT(ISNUMBER(G166)),NOT(ISNUMBER(H166))),"sem limites min/max; ","")))</f>
        <v>sem dados no período;</v>
      </c>
      <c r="AN166" s="25">
        <f>IF(OR(AL166=0,$AP166="Excluir"),0,IF(SUMPRODUCT(($O$5:$O$335=$O166)*($AL$5:$AL$335=1)*($AP$5:$AP$335&lt;&gt;"Excluir")*(($AK$5:$AK$335&gt;$AK166)+(($AK$5:$AK$335=$AK166)*(ROW($O$5:$O$335)&lt;ROW()))))=0,1,0))</f>
        <v>0</v>
      </c>
      <c r="AO166" s="25" t="str">
        <f>IF(AN166=0,"",1+SUMPRODUCT(($B$5:$B$335=$B166)*($AN$5:$AN$335=1)*(($AK$5:$AK$335&gt;$AK166)+(($AK$5:$AK$335=$AK166)*(ROW($B$5:$B$335)&lt;ROW())))))</f>
        <v/>
      </c>
      <c r="AP166" s="22" t="s">
        <v>131</v>
      </c>
      <c r="AQ166" s="25">
        <f>IF(INDEX('01_Criterios'!$C$26:$C$36,MATCH($B166,'01_Criterios'!$B$26:$B$36,0))&lt;&gt;1,0,IF($AP166="Excluir",0,IF($AP166="Incluir",IF(AND(OR($F166="+",$F166="-"),ISNUMBER($G166),ISNUMBER($H166),COUNT($Q166:$AA166)&gt;0),1,0),IF('01_Criterios'!$C$18="Automática",IF(AND($AN166=1,$AO166&lt;&gt;"",$AO166&lt;=INDEX('01_Criterios'!$E$26:$E$36,MATCH($B166,'01_Criterios'!$B$26:$B$36,0))),1,0),0))))</f>
        <v>0</v>
      </c>
      <c r="AR166" s="25" t="str">
        <f>IF(AQ166=0,"",IF($AO166&lt;&gt;"",1+SUMPRODUCT(($B$5:$B$335=$B166)*($AQ$5:$AQ$335=1)*($AO$5:$AO$335&lt;$AO166)),1+SUMPRODUCT(($B$5:$B$335=$B166)*($AQ$5:$AQ$335=1)*ISNUMBER($AO$5:$AO$335))+SUMPRODUCT(($B$5:$B$335=$B166)*($AQ$5:$AQ$335=1)*($AO$5:$AO$335="")*(ROW($AO$5:$AO$335)&lt;ROW()))))</f>
        <v/>
      </c>
      <c r="AS166" s="24" t="s">
        <v>936</v>
      </c>
    </row>
    <row r="167" spans="1:45">
      <c r="A167" s="20" t="s">
        <v>937</v>
      </c>
      <c r="B167" s="21" t="s">
        <v>80</v>
      </c>
      <c r="C167" s="21" t="s">
        <v>938</v>
      </c>
      <c r="D167" s="21" t="s">
        <v>939</v>
      </c>
      <c r="E167" s="20" t="s">
        <v>940</v>
      </c>
      <c r="F167" s="20" t="s">
        <v>126</v>
      </c>
      <c r="G167" s="20">
        <v>0</v>
      </c>
      <c r="H167" s="20">
        <v>100</v>
      </c>
      <c r="I167" s="20">
        <v>90</v>
      </c>
      <c r="J167" s="22">
        <v>1</v>
      </c>
      <c r="K167" s="21" t="s">
        <v>916</v>
      </c>
      <c r="L167" s="20" t="s">
        <v>941</v>
      </c>
      <c r="M167" s="21" t="s">
        <v>161</v>
      </c>
      <c r="N167" s="20">
        <v>0</v>
      </c>
      <c r="O167" s="21" t="s">
        <v>864</v>
      </c>
      <c r="P167" s="20" t="s">
        <v>180</v>
      </c>
      <c r="Q167" s="6">
        <v>64</v>
      </c>
      <c r="R167" s="6">
        <v>67.900000000000006</v>
      </c>
      <c r="S167" s="6">
        <v>69.400000000000006</v>
      </c>
      <c r="T167" s="6">
        <v>65.3</v>
      </c>
      <c r="U167" s="6">
        <v>72.2</v>
      </c>
      <c r="V167" s="6">
        <v>73.599999999999994</v>
      </c>
      <c r="W167" s="6">
        <v>75</v>
      </c>
      <c r="X167" s="6">
        <v>76.2</v>
      </c>
      <c r="Y167" s="6">
        <v>77.900000000000006</v>
      </c>
      <c r="Z167" s="6"/>
      <c r="AA167" s="6"/>
      <c r="AB167" s="20">
        <f>COUNT(Q167:AA167)</f>
        <v>9</v>
      </c>
      <c r="AC167" s="23">
        <f>AB167/11</f>
        <v>0.81818181818181823</v>
      </c>
      <c r="AD167" s="20">
        <f>IFERROR(INDEX($Q$4:$AA$4,MATCH(TRUE,INDEX(ISNUMBER(Q167:AA167),0),0)),"")</f>
        <v>2015</v>
      </c>
      <c r="AE167" s="20">
        <f>IFERROR(LOOKUP(2,1/ISNUMBER(Q167:AA167),$Q$4:$AA$4),"")</f>
        <v>2023</v>
      </c>
      <c r="AF167" s="23">
        <f>IF(AB167=0,"",AB167/(AE167-AD167+1))</f>
        <v>1</v>
      </c>
      <c r="AG167" s="20">
        <f>IF(AB167=0,"",'01_Criterios'!$C$8-AE167)</f>
        <v>2</v>
      </c>
      <c r="AH167" s="7">
        <f>IF(P167="Em uso",100,IF(P167="Alta",85,IF(P167="Média",55,30)))</f>
        <v>55</v>
      </c>
      <c r="AI167" s="7">
        <f>ROUND(100*AC167,1)</f>
        <v>81.8</v>
      </c>
      <c r="AJ167" s="7">
        <f>IF(AB167=0,0,ROUND(MAX(0,100*AF167-10*AG167),1))</f>
        <v>80</v>
      </c>
      <c r="AK167" s="7">
        <f>ROUND(('01_Criterios'!$C$19*AH167+'01_Criterios'!$C$20*AI167+'01_Criterios'!$C$21*AJ167)/('01_Criterios'!$C$19+'01_Criterios'!$C$20+'01_Criterios'!$C$21)+N167*'01_Criterios'!$C$22,1)</f>
        <v>70.599999999999994</v>
      </c>
      <c r="AL167" s="20">
        <f>IF(AND(AB167&gt;=3,AC167&gt;='01_Criterios'!$C$11,N(AE167)&gt;='01_Criterios'!$C$12,OR(F167="+",F167="-"),ISNUMBER(G167),ISNUMBER(H167)),1,0)</f>
        <v>1</v>
      </c>
      <c r="AM167" s="24" t="str">
        <f>IF(AL167=1,"",TRIM(IF(AB167=0,"sem dados no período; ",IF(AB167&lt;3,"série demasiado curta; ",""))&amp;IF(AND(AB167&gt;0,AC167&lt;'01_Criterios'!$C$11),"cobertura insuficiente; ","")&amp;IF(AND(AB167&gt;0,N(AE167)&lt;'01_Criterios'!$C$12),"desactualizado; ","")&amp;IF(AND(F167&lt;&gt;"+",F167&lt;&gt;"-"),"sentido ambíguo; ","")&amp;IF(OR(NOT(ISNUMBER(G167)),NOT(ISNUMBER(H167))),"sem limites min/max; ","")))</f>
        <v/>
      </c>
      <c r="AN167" s="20">
        <f>IF(OR(AL167=0,$AP167="Excluir"),0,IF(SUMPRODUCT(($O$5:$O$335=$O167)*($AL$5:$AL$335=1)*($AP$5:$AP$335&lt;&gt;"Excluir")*(($AK$5:$AK$335&gt;$AK167)+(($AK$5:$AK$335=$AK167)*(ROW($O$5:$O$335)&lt;ROW()))))=0,1,0))</f>
        <v>0</v>
      </c>
      <c r="AO167" s="20" t="str">
        <f>IF(AN167=0,"",1+SUMPRODUCT(($B$5:$B$335=$B167)*($AN$5:$AN$335=1)*(($AK$5:$AK$335&gt;$AK167)+(($AK$5:$AK$335=$AK167)*(ROW($B$5:$B$335)&lt;ROW())))))</f>
        <v/>
      </c>
      <c r="AP167" s="22" t="s">
        <v>131</v>
      </c>
      <c r="AQ167" s="20">
        <f>IF(INDEX('01_Criterios'!$C$26:$C$36,MATCH($B167,'01_Criterios'!$B$26:$B$36,0))&lt;&gt;1,0,IF($AP167="Excluir",0,IF($AP167="Incluir",IF(AND(OR($F167="+",$F167="-"),ISNUMBER($G167),ISNUMBER($H167),COUNT($Q167:$AA167)&gt;0),1,0),IF('01_Criterios'!$C$18="Automática",IF(AND($AN167=1,$AO167&lt;&gt;"",$AO167&lt;=INDEX('01_Criterios'!$E$26:$E$36,MATCH($B167,'01_Criterios'!$B$26:$B$36,0))),1,0),0))))</f>
        <v>0</v>
      </c>
      <c r="AR167" s="20" t="str">
        <f>IF(AQ167=0,"",IF($AO167&lt;&gt;"",1+SUMPRODUCT(($B$5:$B$335=$B167)*($AQ$5:$AQ$335=1)*($AO$5:$AO$335&lt;$AO167)),1+SUMPRODUCT(($B$5:$B$335=$B167)*($AQ$5:$AQ$335=1)*ISNUMBER($AO$5:$AO$335))+SUMPRODUCT(($B$5:$B$335=$B167)*($AQ$5:$AQ$335=1)*($AO$5:$AO$335="")*(ROW($AO$5:$AO$335)&lt;ROW()))))</f>
        <v/>
      </c>
      <c r="AS167" s="24" t="s">
        <v>942</v>
      </c>
    </row>
    <row r="168" spans="1:45">
      <c r="A168" s="25" t="s">
        <v>943</v>
      </c>
      <c r="B168" s="26" t="s">
        <v>80</v>
      </c>
      <c r="C168" s="26" t="s">
        <v>938</v>
      </c>
      <c r="D168" s="26" t="s">
        <v>944</v>
      </c>
      <c r="E168" s="25" t="s">
        <v>945</v>
      </c>
      <c r="F168" s="25" t="s">
        <v>126</v>
      </c>
      <c r="G168" s="25">
        <v>0</v>
      </c>
      <c r="H168" s="25">
        <v>100</v>
      </c>
      <c r="I168" s="25">
        <v>70</v>
      </c>
      <c r="J168" s="22">
        <v>1</v>
      </c>
      <c r="K168" s="26" t="s">
        <v>916</v>
      </c>
      <c r="L168" s="25" t="s">
        <v>946</v>
      </c>
      <c r="M168" s="26" t="s">
        <v>161</v>
      </c>
      <c r="N168" s="25">
        <v>0</v>
      </c>
      <c r="O168" s="26" t="s">
        <v>947</v>
      </c>
      <c r="P168" s="25" t="s">
        <v>180</v>
      </c>
      <c r="Q168" s="27">
        <v>52.309695347879803</v>
      </c>
      <c r="R168" s="27">
        <v>59.054088742207597</v>
      </c>
      <c r="S168" s="27">
        <v>84.223856969922707</v>
      </c>
      <c r="T168" s="27">
        <v>88.127638421535593</v>
      </c>
      <c r="U168" s="27">
        <v>85.066711096301205</v>
      </c>
      <c r="V168" s="27">
        <v>84.593753775522501</v>
      </c>
      <c r="W168" s="27">
        <v>91.164312219256601</v>
      </c>
      <c r="X168" s="27"/>
      <c r="Y168" s="27"/>
      <c r="Z168" s="27"/>
      <c r="AA168" s="27"/>
      <c r="AB168" s="25">
        <f>COUNT(Q168:AA168)</f>
        <v>7</v>
      </c>
      <c r="AC168" s="28">
        <f>AB168/11</f>
        <v>0.63636363636363635</v>
      </c>
      <c r="AD168" s="25">
        <f>IFERROR(INDEX($Q$4:$AA$4,MATCH(TRUE,INDEX(ISNUMBER(Q168:AA168),0),0)),"")</f>
        <v>2015</v>
      </c>
      <c r="AE168" s="25">
        <f>IFERROR(LOOKUP(2,1/ISNUMBER(Q168:AA168),$Q$4:$AA$4),"")</f>
        <v>2021</v>
      </c>
      <c r="AF168" s="28">
        <f>IF(AB168=0,"",AB168/(AE168-AD168+1))</f>
        <v>1</v>
      </c>
      <c r="AG168" s="25">
        <f>IF(AB168=0,"",'01_Criterios'!$C$8-AE168)</f>
        <v>4</v>
      </c>
      <c r="AH168" s="29">
        <f>IF(P168="Em uso",100,IF(P168="Alta",85,IF(P168="Média",55,30)))</f>
        <v>55</v>
      </c>
      <c r="AI168" s="29">
        <f>ROUND(100*AC168,1)</f>
        <v>63.6</v>
      </c>
      <c r="AJ168" s="29">
        <f>IF(AB168=0,0,ROUND(MAX(0,100*AF168-10*AG168),1))</f>
        <v>60</v>
      </c>
      <c r="AK168" s="29">
        <f>ROUND(('01_Criterios'!$C$19*AH168+'01_Criterios'!$C$20*AI168+'01_Criterios'!$C$21*AJ168)/('01_Criterios'!$C$19+'01_Criterios'!$C$20+'01_Criterios'!$C$21)+N168*'01_Criterios'!$C$22,1)</f>
        <v>59.3</v>
      </c>
      <c r="AL168" s="25">
        <f>IF(AND(AB168&gt;=3,AC168&gt;='01_Criterios'!$C$11,N(AE168)&gt;='01_Criterios'!$C$12,OR(F168="+",F168="-"),ISNUMBER(G168),ISNUMBER(H168)),1,0)</f>
        <v>0</v>
      </c>
      <c r="AM168" s="30" t="str">
        <f>IF(AL168=1,"",TRIM(IF(AB168=0,"sem dados no período; ",IF(AB168&lt;3,"série demasiado curta; ",""))&amp;IF(AND(AB168&gt;0,AC168&lt;'01_Criterios'!$C$11),"cobertura insuficiente; ","")&amp;IF(AND(AB168&gt;0,N(AE168)&lt;'01_Criterios'!$C$12),"desactualizado; ","")&amp;IF(AND(F168&lt;&gt;"+",F168&lt;&gt;"-"),"sentido ambíguo; ","")&amp;IF(OR(NOT(ISNUMBER(G168)),NOT(ISNUMBER(H168))),"sem limites min/max; ","")))</f>
        <v>cobertura insuficiente; desactualizado;</v>
      </c>
      <c r="AN168" s="25">
        <f>IF(OR(AL168=0,$AP168="Excluir"),0,IF(SUMPRODUCT(($O$5:$O$335=$O168)*($AL$5:$AL$335=1)*($AP$5:$AP$335&lt;&gt;"Excluir")*(($AK$5:$AK$335&gt;$AK168)+(($AK$5:$AK$335=$AK168)*(ROW($O$5:$O$335)&lt;ROW()))))=0,1,0))</f>
        <v>0</v>
      </c>
      <c r="AO168" s="25" t="str">
        <f>IF(AN168=0,"",1+SUMPRODUCT(($B$5:$B$335=$B168)*($AN$5:$AN$335=1)*(($AK$5:$AK$335&gt;$AK168)+(($AK$5:$AK$335=$AK168)*(ROW($B$5:$B$335)&lt;ROW())))))</f>
        <v/>
      </c>
      <c r="AP168" s="22" t="s">
        <v>131</v>
      </c>
      <c r="AQ168" s="25">
        <f>IF(INDEX('01_Criterios'!$C$26:$C$36,MATCH($B168,'01_Criterios'!$B$26:$B$36,0))&lt;&gt;1,0,IF($AP168="Excluir",0,IF($AP168="Incluir",IF(AND(OR($F168="+",$F168="-"),ISNUMBER($G168),ISNUMBER($H168),COUNT($Q168:$AA168)&gt;0),1,0),IF('01_Criterios'!$C$18="Automática",IF(AND($AN168=1,$AO168&lt;&gt;"",$AO168&lt;=INDEX('01_Criterios'!$E$26:$E$36,MATCH($B168,'01_Criterios'!$B$26:$B$36,0))),1,0),0))))</f>
        <v>0</v>
      </c>
      <c r="AR168" s="25" t="str">
        <f>IF(AQ168=0,"",IF($AO168&lt;&gt;"",1+SUMPRODUCT(($B$5:$B$335=$B168)*($AQ$5:$AQ$335=1)*($AO$5:$AO$335&lt;$AO168)),1+SUMPRODUCT(($B$5:$B$335=$B168)*($AQ$5:$AQ$335=1)*ISNUMBER($AO$5:$AO$335))+SUMPRODUCT(($B$5:$B$335=$B168)*($AQ$5:$AQ$335=1)*($AO$5:$AO$335="")*(ROW($AO$5:$AO$335)&lt;ROW()))))</f>
        <v/>
      </c>
      <c r="AS168" s="24" t="s">
        <v>948</v>
      </c>
    </row>
    <row r="169" spans="1:45">
      <c r="A169" s="20" t="s">
        <v>949</v>
      </c>
      <c r="B169" s="21" t="s">
        <v>80</v>
      </c>
      <c r="C169" s="21" t="s">
        <v>887</v>
      </c>
      <c r="D169" s="21" t="s">
        <v>950</v>
      </c>
      <c r="E169" s="20" t="s">
        <v>951</v>
      </c>
      <c r="F169" s="20" t="s">
        <v>126</v>
      </c>
      <c r="G169" s="20">
        <v>0</v>
      </c>
      <c r="H169" s="20">
        <v>100</v>
      </c>
      <c r="I169" s="20">
        <v>65</v>
      </c>
      <c r="J169" s="22">
        <v>1</v>
      </c>
      <c r="K169" s="21" t="s">
        <v>952</v>
      </c>
      <c r="L169" s="20" t="s">
        <v>953</v>
      </c>
      <c r="M169" s="21" t="s">
        <v>161</v>
      </c>
      <c r="N169" s="20">
        <v>0</v>
      </c>
      <c r="O169" s="21" t="s">
        <v>853</v>
      </c>
      <c r="P169" s="20" t="s">
        <v>180</v>
      </c>
      <c r="Q169" s="6">
        <v>29.073198932670302</v>
      </c>
      <c r="R169" s="6">
        <v>30.1083291947572</v>
      </c>
      <c r="S169" s="6">
        <v>31.157437441155</v>
      </c>
      <c r="T169" s="6">
        <v>32.2205236718629</v>
      </c>
      <c r="U169" s="6">
        <v>33.002697396531197</v>
      </c>
      <c r="V169" s="6">
        <v>33.784871121199998</v>
      </c>
      <c r="W169" s="6">
        <v>34.567044845868303</v>
      </c>
      <c r="X169" s="6">
        <v>35.349218570536699</v>
      </c>
      <c r="Y169" s="6">
        <v>36.131392295205401</v>
      </c>
      <c r="Z169" s="6">
        <v>36.913566019873798</v>
      </c>
      <c r="AA169" s="6"/>
      <c r="AB169" s="20">
        <f>COUNT(Q169:AA169)</f>
        <v>10</v>
      </c>
      <c r="AC169" s="23">
        <f>AB169/11</f>
        <v>0.90909090909090906</v>
      </c>
      <c r="AD169" s="20">
        <f>IFERROR(INDEX($Q$4:$AA$4,MATCH(TRUE,INDEX(ISNUMBER(Q169:AA169),0),0)),"")</f>
        <v>2015</v>
      </c>
      <c r="AE169" s="20">
        <f>IFERROR(LOOKUP(2,1/ISNUMBER(Q169:AA169),$Q$4:$AA$4),"")</f>
        <v>2024</v>
      </c>
      <c r="AF169" s="23">
        <f>IF(AB169=0,"",AB169/(AE169-AD169+1))</f>
        <v>1</v>
      </c>
      <c r="AG169" s="20">
        <f>IF(AB169=0,"",'01_Criterios'!$C$8-AE169)</f>
        <v>1</v>
      </c>
      <c r="AH169" s="7">
        <f>IF(P169="Em uso",100,IF(P169="Alta",85,IF(P169="Média",55,30)))</f>
        <v>55</v>
      </c>
      <c r="AI169" s="7">
        <f>ROUND(100*AC169,1)</f>
        <v>90.9</v>
      </c>
      <c r="AJ169" s="7">
        <f>IF(AB169=0,0,ROUND(MAX(0,100*AF169-10*AG169),1))</f>
        <v>90</v>
      </c>
      <c r="AK169" s="7">
        <f>ROUND(('01_Criterios'!$C$19*AH169+'01_Criterios'!$C$20*AI169+'01_Criterios'!$C$21*AJ169)/('01_Criterios'!$C$19+'01_Criterios'!$C$20+'01_Criterios'!$C$21)+N169*'01_Criterios'!$C$22,1)</f>
        <v>76.3</v>
      </c>
      <c r="AL169" s="20">
        <f>IF(AND(AB169&gt;=3,AC169&gt;='01_Criterios'!$C$11,N(AE169)&gt;='01_Criterios'!$C$12,OR(F169="+",F169="-"),ISNUMBER(G169),ISNUMBER(H169)),1,0)</f>
        <v>1</v>
      </c>
      <c r="AM169" s="24" t="str">
        <f>IF(AL169=1,"",TRIM(IF(AB169=0,"sem dados no período; ",IF(AB169&lt;3,"série demasiado curta; ",""))&amp;IF(AND(AB169&gt;0,AC169&lt;'01_Criterios'!$C$11),"cobertura insuficiente; ","")&amp;IF(AND(AB169&gt;0,N(AE169)&lt;'01_Criterios'!$C$12),"desactualizado; ","")&amp;IF(AND(F169&lt;&gt;"+",F169&lt;&gt;"-"),"sentido ambíguo; ","")&amp;IF(OR(NOT(ISNUMBER(G169)),NOT(ISNUMBER(H169))),"sem limites min/max; ","")))</f>
        <v/>
      </c>
      <c r="AN169" s="20">
        <f>IF(OR(AL169=0,$AP169="Excluir"),0,IF(SUMPRODUCT(($O$5:$O$335=$O169)*($AL$5:$AL$335=1)*($AP$5:$AP$335&lt;&gt;"Excluir")*(($AK$5:$AK$335&gt;$AK169)+(($AK$5:$AK$335=$AK169)*(ROW($O$5:$O$335)&lt;ROW()))))=0,1,0))</f>
        <v>0</v>
      </c>
      <c r="AO169" s="20" t="str">
        <f>IF(AN169=0,"",1+SUMPRODUCT(($B$5:$B$335=$B169)*($AN$5:$AN$335=1)*(($AK$5:$AK$335&gt;$AK169)+(($AK$5:$AK$335=$AK169)*(ROW($B$5:$B$335)&lt;ROW())))))</f>
        <v/>
      </c>
      <c r="AP169" s="22" t="s">
        <v>131</v>
      </c>
      <c r="AQ169" s="20">
        <f>IF(INDEX('01_Criterios'!$C$26:$C$36,MATCH($B169,'01_Criterios'!$B$26:$B$36,0))&lt;&gt;1,0,IF($AP169="Excluir",0,IF($AP169="Incluir",IF(AND(OR($F169="+",$F169="-"),ISNUMBER($G169),ISNUMBER($H169),COUNT($Q169:$AA169)&gt;0),1,0),IF('01_Criterios'!$C$18="Automática",IF(AND($AN169=1,$AO169&lt;&gt;"",$AO169&lt;=INDEX('01_Criterios'!$E$26:$E$36,MATCH($B169,'01_Criterios'!$B$26:$B$36,0))),1,0),0))))</f>
        <v>0</v>
      </c>
      <c r="AR169" s="20" t="str">
        <f>IF(AQ169=0,"",IF($AO169&lt;&gt;"",1+SUMPRODUCT(($B$5:$B$335=$B169)*($AQ$5:$AQ$335=1)*($AO$5:$AO$335&lt;$AO169)),1+SUMPRODUCT(($B$5:$B$335=$B169)*($AQ$5:$AQ$335=1)*ISNUMBER($AO$5:$AO$335))+SUMPRODUCT(($B$5:$B$335=$B169)*($AQ$5:$AQ$335=1)*($AO$5:$AO$335="")*(ROW($AO$5:$AO$335)&lt;ROW()))))</f>
        <v/>
      </c>
      <c r="AS169" s="24" t="s">
        <v>954</v>
      </c>
    </row>
    <row r="170" spans="1:45">
      <c r="A170" s="25" t="s">
        <v>955</v>
      </c>
      <c r="B170" s="26" t="s">
        <v>80</v>
      </c>
      <c r="C170" s="26" t="s">
        <v>887</v>
      </c>
      <c r="D170" s="26" t="s">
        <v>956</v>
      </c>
      <c r="E170" s="25" t="s">
        <v>940</v>
      </c>
      <c r="F170" s="25" t="s">
        <v>126</v>
      </c>
      <c r="G170" s="25">
        <v>0</v>
      </c>
      <c r="H170" s="25">
        <v>100</v>
      </c>
      <c r="I170" s="25">
        <v>90</v>
      </c>
      <c r="J170" s="22">
        <v>1</v>
      </c>
      <c r="K170" s="26" t="s">
        <v>952</v>
      </c>
      <c r="L170" s="25" t="s">
        <v>957</v>
      </c>
      <c r="M170" s="26" t="s">
        <v>161</v>
      </c>
      <c r="N170" s="25">
        <v>0</v>
      </c>
      <c r="O170" s="26" t="s">
        <v>853</v>
      </c>
      <c r="P170" s="25" t="s">
        <v>180</v>
      </c>
      <c r="Q170" s="27">
        <v>75.642615627957795</v>
      </c>
      <c r="R170" s="27">
        <v>77.004984264050407</v>
      </c>
      <c r="S170" s="27">
        <v>78.376049122713994</v>
      </c>
      <c r="T170" s="27">
        <v>79.755810203948599</v>
      </c>
      <c r="U170" s="27">
        <v>80.084337049171907</v>
      </c>
      <c r="V170" s="27">
        <v>80.412863894395301</v>
      </c>
      <c r="W170" s="27">
        <v>80.741390739618694</v>
      </c>
      <c r="X170" s="27">
        <v>81.069917584842003</v>
      </c>
      <c r="Y170" s="27">
        <v>81.398444430065297</v>
      </c>
      <c r="Z170" s="27">
        <v>81.726971275288705</v>
      </c>
      <c r="AA170" s="27"/>
      <c r="AB170" s="25">
        <f>COUNT(Q170:AA170)</f>
        <v>10</v>
      </c>
      <c r="AC170" s="28">
        <f>AB170/11</f>
        <v>0.90909090909090906</v>
      </c>
      <c r="AD170" s="25">
        <f>IFERROR(INDEX($Q$4:$AA$4,MATCH(TRUE,INDEX(ISNUMBER(Q170:AA170),0),0)),"")</f>
        <v>2015</v>
      </c>
      <c r="AE170" s="25">
        <f>IFERROR(LOOKUP(2,1/ISNUMBER(Q170:AA170),$Q$4:$AA$4),"")</f>
        <v>2024</v>
      </c>
      <c r="AF170" s="28">
        <f>IF(AB170=0,"",AB170/(AE170-AD170+1))</f>
        <v>1</v>
      </c>
      <c r="AG170" s="25">
        <f>IF(AB170=0,"",'01_Criterios'!$C$8-AE170)</f>
        <v>1</v>
      </c>
      <c r="AH170" s="29">
        <f>IF(P170="Em uso",100,IF(P170="Alta",85,IF(P170="Média",55,30)))</f>
        <v>55</v>
      </c>
      <c r="AI170" s="29">
        <f>ROUND(100*AC170,1)</f>
        <v>90.9</v>
      </c>
      <c r="AJ170" s="29">
        <f>IF(AB170=0,0,ROUND(MAX(0,100*AF170-10*AG170),1))</f>
        <v>90</v>
      </c>
      <c r="AK170" s="29">
        <f>ROUND(('01_Criterios'!$C$19*AH170+'01_Criterios'!$C$20*AI170+'01_Criterios'!$C$21*AJ170)/('01_Criterios'!$C$19+'01_Criterios'!$C$20+'01_Criterios'!$C$21)+N170*'01_Criterios'!$C$22,1)</f>
        <v>76.3</v>
      </c>
      <c r="AL170" s="25">
        <f>IF(AND(AB170&gt;=3,AC170&gt;='01_Criterios'!$C$11,N(AE170)&gt;='01_Criterios'!$C$12,OR(F170="+",F170="-"),ISNUMBER(G170),ISNUMBER(H170)),1,0)</f>
        <v>1</v>
      </c>
      <c r="AM170" s="30" t="str">
        <f>IF(AL170=1,"",TRIM(IF(AB170=0,"sem dados no período; ",IF(AB170&lt;3,"série demasiado curta; ",""))&amp;IF(AND(AB170&gt;0,AC170&lt;'01_Criterios'!$C$11),"cobertura insuficiente; ","")&amp;IF(AND(AB170&gt;0,N(AE170)&lt;'01_Criterios'!$C$12),"desactualizado; ","")&amp;IF(AND(F170&lt;&gt;"+",F170&lt;&gt;"-"),"sentido ambíguo; ","")&amp;IF(OR(NOT(ISNUMBER(G170)),NOT(ISNUMBER(H170))),"sem limites min/max; ","")))</f>
        <v/>
      </c>
      <c r="AN170" s="25">
        <f>IF(OR(AL170=0,$AP170="Excluir"),0,IF(SUMPRODUCT(($O$5:$O$335=$O170)*($AL$5:$AL$335=1)*($AP$5:$AP$335&lt;&gt;"Excluir")*(($AK$5:$AK$335&gt;$AK170)+(($AK$5:$AK$335=$AK170)*(ROW($O$5:$O$335)&lt;ROW()))))=0,1,0))</f>
        <v>0</v>
      </c>
      <c r="AO170" s="25" t="str">
        <f>IF(AN170=0,"",1+SUMPRODUCT(($B$5:$B$335=$B170)*($AN$5:$AN$335=1)*(($AK$5:$AK$335&gt;$AK170)+(($AK$5:$AK$335=$AK170)*(ROW($B$5:$B$335)&lt;ROW())))))</f>
        <v/>
      </c>
      <c r="AP170" s="22" t="s">
        <v>131</v>
      </c>
      <c r="AQ170" s="25">
        <f>IF(INDEX('01_Criterios'!$C$26:$C$36,MATCH($B170,'01_Criterios'!$B$26:$B$36,0))&lt;&gt;1,0,IF($AP170="Excluir",0,IF($AP170="Incluir",IF(AND(OR($F170="+",$F170="-"),ISNUMBER($G170),ISNUMBER($H170),COUNT($Q170:$AA170)&gt;0),1,0),IF('01_Criterios'!$C$18="Automática",IF(AND($AN170=1,$AO170&lt;&gt;"",$AO170&lt;=INDEX('01_Criterios'!$E$26:$E$36,MATCH($B170,'01_Criterios'!$B$26:$B$36,0))),1,0),0))))</f>
        <v>0</v>
      </c>
      <c r="AR170" s="25" t="str">
        <f>IF(AQ170=0,"",IF($AO170&lt;&gt;"",1+SUMPRODUCT(($B$5:$B$335=$B170)*($AQ$5:$AQ$335=1)*($AO$5:$AO$335&lt;$AO170)),1+SUMPRODUCT(($B$5:$B$335=$B170)*($AQ$5:$AQ$335=1)*ISNUMBER($AO$5:$AO$335))+SUMPRODUCT(($B$5:$B$335=$B170)*($AQ$5:$AQ$335=1)*($AO$5:$AO$335="")*(ROW($AO$5:$AO$335)&lt;ROW()))))</f>
        <v/>
      </c>
      <c r="AS170" s="24" t="s">
        <v>958</v>
      </c>
    </row>
    <row r="171" spans="1:45">
      <c r="A171" s="20" t="s">
        <v>959</v>
      </c>
      <c r="B171" s="21" t="s">
        <v>80</v>
      </c>
      <c r="C171" s="21" t="s">
        <v>882</v>
      </c>
      <c r="D171" s="21" t="s">
        <v>960</v>
      </c>
      <c r="E171" s="20" t="s">
        <v>951</v>
      </c>
      <c r="F171" s="20" t="s">
        <v>126</v>
      </c>
      <c r="G171" s="20">
        <v>0</v>
      </c>
      <c r="H171" s="20">
        <v>100</v>
      </c>
      <c r="I171" s="20">
        <v>45</v>
      </c>
      <c r="J171" s="22">
        <v>1</v>
      </c>
      <c r="K171" s="21" t="s">
        <v>952</v>
      </c>
      <c r="L171" s="20" t="s">
        <v>961</v>
      </c>
      <c r="M171" s="21" t="s">
        <v>161</v>
      </c>
      <c r="N171" s="20">
        <v>0</v>
      </c>
      <c r="O171" s="21" t="s">
        <v>858</v>
      </c>
      <c r="P171" s="20" t="s">
        <v>180</v>
      </c>
      <c r="Q171" s="6">
        <v>21.864564116266401</v>
      </c>
      <c r="R171" s="6">
        <v>22.4247395570493</v>
      </c>
      <c r="S171" s="6">
        <v>22.984914997832099</v>
      </c>
      <c r="T171" s="6">
        <v>23.545090438615201</v>
      </c>
      <c r="U171" s="6">
        <v>23.545090438615201</v>
      </c>
      <c r="V171" s="6">
        <v>23.545090438615201</v>
      </c>
      <c r="W171" s="6">
        <v>23.545090438615201</v>
      </c>
      <c r="X171" s="6">
        <v>23.545090438615201</v>
      </c>
      <c r="Y171" s="6"/>
      <c r="Z171" s="6"/>
      <c r="AA171" s="6"/>
      <c r="AB171" s="20">
        <f>COUNT(Q171:AA171)</f>
        <v>8</v>
      </c>
      <c r="AC171" s="23">
        <f>AB171/11</f>
        <v>0.72727272727272729</v>
      </c>
      <c r="AD171" s="20">
        <f>IFERROR(INDEX($Q$4:$AA$4,MATCH(TRUE,INDEX(ISNUMBER(Q171:AA171),0),0)),"")</f>
        <v>2015</v>
      </c>
      <c r="AE171" s="20">
        <f>IFERROR(LOOKUP(2,1/ISNUMBER(Q171:AA171),$Q$4:$AA$4),"")</f>
        <v>2022</v>
      </c>
      <c r="AF171" s="23">
        <f>IF(AB171=0,"",AB171/(AE171-AD171+1))</f>
        <v>1</v>
      </c>
      <c r="AG171" s="20">
        <f>IF(AB171=0,"",'01_Criterios'!$C$8-AE171)</f>
        <v>3</v>
      </c>
      <c r="AH171" s="7">
        <f>IF(P171="Em uso",100,IF(P171="Alta",85,IF(P171="Média",55,30)))</f>
        <v>55</v>
      </c>
      <c r="AI171" s="7">
        <f>ROUND(100*AC171,1)</f>
        <v>72.7</v>
      </c>
      <c r="AJ171" s="7">
        <f>IF(AB171=0,0,ROUND(MAX(0,100*AF171-10*AG171),1))</f>
        <v>70</v>
      </c>
      <c r="AK171" s="7">
        <f>ROUND(('01_Criterios'!$C$19*AH171+'01_Criterios'!$C$20*AI171+'01_Criterios'!$C$21*AJ171)/('01_Criterios'!$C$19+'01_Criterios'!$C$20+'01_Criterios'!$C$21)+N171*'01_Criterios'!$C$22,1)</f>
        <v>64.900000000000006</v>
      </c>
      <c r="AL171" s="20">
        <f>IF(AND(AB171&gt;=3,AC171&gt;='01_Criterios'!$C$11,N(AE171)&gt;='01_Criterios'!$C$12,OR(F171="+",F171="-"),ISNUMBER(G171),ISNUMBER(H171)),1,0)</f>
        <v>0</v>
      </c>
      <c r="AM171" s="24" t="str">
        <f>IF(AL171=1,"",TRIM(IF(AB171=0,"sem dados no período; ",IF(AB171&lt;3,"série demasiado curta; ",""))&amp;IF(AND(AB171&gt;0,AC171&lt;'01_Criterios'!$C$11),"cobertura insuficiente; ","")&amp;IF(AND(AB171&gt;0,N(AE171)&lt;'01_Criterios'!$C$12),"desactualizado; ","")&amp;IF(AND(F171&lt;&gt;"+",F171&lt;&gt;"-"),"sentido ambíguo; ","")&amp;IF(OR(NOT(ISNUMBER(G171)),NOT(ISNUMBER(H171))),"sem limites min/max; ","")))</f>
        <v>cobertura insuficiente; desactualizado;</v>
      </c>
      <c r="AN171" s="20">
        <f>IF(OR(AL171=0,$AP171="Excluir"),0,IF(SUMPRODUCT(($O$5:$O$335=$O171)*($AL$5:$AL$335=1)*($AP$5:$AP$335&lt;&gt;"Excluir")*(($AK$5:$AK$335&gt;$AK171)+(($AK$5:$AK$335=$AK171)*(ROW($O$5:$O$335)&lt;ROW()))))=0,1,0))</f>
        <v>0</v>
      </c>
      <c r="AO171" s="20" t="str">
        <f>IF(AN171=0,"",1+SUMPRODUCT(($B$5:$B$335=$B171)*($AN$5:$AN$335=1)*(($AK$5:$AK$335&gt;$AK171)+(($AK$5:$AK$335=$AK171)*(ROW($B$5:$B$335)&lt;ROW())))))</f>
        <v/>
      </c>
      <c r="AP171" s="22" t="s">
        <v>131</v>
      </c>
      <c r="AQ171" s="20">
        <f>IF(INDEX('01_Criterios'!$C$26:$C$36,MATCH($B171,'01_Criterios'!$B$26:$B$36,0))&lt;&gt;1,0,IF($AP171="Excluir",0,IF($AP171="Incluir",IF(AND(OR($F171="+",$F171="-"),ISNUMBER($G171),ISNUMBER($H171),COUNT($Q171:$AA171)&gt;0),1,0),IF('01_Criterios'!$C$18="Automática",IF(AND($AN171=1,$AO171&lt;&gt;"",$AO171&lt;=INDEX('01_Criterios'!$E$26:$E$36,MATCH($B171,'01_Criterios'!$B$26:$B$36,0))),1,0),0))))</f>
        <v>0</v>
      </c>
      <c r="AR171" s="20" t="str">
        <f>IF(AQ171=0,"",IF($AO171&lt;&gt;"",1+SUMPRODUCT(($B$5:$B$335=$B171)*($AQ$5:$AQ$335=1)*($AO$5:$AO$335&lt;$AO171)),1+SUMPRODUCT(($B$5:$B$335=$B171)*($AQ$5:$AQ$335=1)*ISNUMBER($AO$5:$AO$335))+SUMPRODUCT(($B$5:$B$335=$B171)*($AQ$5:$AQ$335=1)*($AO$5:$AO$335="")*(ROW($AO$5:$AO$335)&lt;ROW()))))</f>
        <v/>
      </c>
      <c r="AS171" s="24" t="s">
        <v>962</v>
      </c>
    </row>
    <row r="172" spans="1:45">
      <c r="A172" s="25" t="s">
        <v>963</v>
      </c>
      <c r="B172" s="26" t="s">
        <v>80</v>
      </c>
      <c r="C172" s="26" t="s">
        <v>882</v>
      </c>
      <c r="D172" s="26" t="s">
        <v>964</v>
      </c>
      <c r="E172" s="25" t="s">
        <v>940</v>
      </c>
      <c r="F172" s="25" t="s">
        <v>126</v>
      </c>
      <c r="G172" s="25">
        <v>0</v>
      </c>
      <c r="H172" s="25">
        <v>100</v>
      </c>
      <c r="I172" s="25">
        <v>75</v>
      </c>
      <c r="J172" s="22">
        <v>1</v>
      </c>
      <c r="K172" s="26" t="s">
        <v>952</v>
      </c>
      <c r="L172" s="25" t="s">
        <v>965</v>
      </c>
      <c r="M172" s="26" t="s">
        <v>161</v>
      </c>
      <c r="N172" s="25">
        <v>0</v>
      </c>
      <c r="O172" s="26" t="s">
        <v>858</v>
      </c>
      <c r="P172" s="25" t="s">
        <v>180</v>
      </c>
      <c r="Q172" s="27">
        <v>60.983186138055899</v>
      </c>
      <c r="R172" s="27">
        <v>61.600987433078203</v>
      </c>
      <c r="S172" s="27">
        <v>62.218788728100598</v>
      </c>
      <c r="T172" s="27">
        <v>62.836590023122803</v>
      </c>
      <c r="U172" s="27">
        <v>62.836590023122803</v>
      </c>
      <c r="V172" s="27">
        <v>62.836590023122803</v>
      </c>
      <c r="W172" s="27">
        <v>62.836590023122803</v>
      </c>
      <c r="X172" s="27">
        <v>62.836590023122803</v>
      </c>
      <c r="Y172" s="27"/>
      <c r="Z172" s="27"/>
      <c r="AA172" s="27"/>
      <c r="AB172" s="25">
        <f>COUNT(Q172:AA172)</f>
        <v>8</v>
      </c>
      <c r="AC172" s="28">
        <f>AB172/11</f>
        <v>0.72727272727272729</v>
      </c>
      <c r="AD172" s="25">
        <f>IFERROR(INDEX($Q$4:$AA$4,MATCH(TRUE,INDEX(ISNUMBER(Q172:AA172),0),0)),"")</f>
        <v>2015</v>
      </c>
      <c r="AE172" s="25">
        <f>IFERROR(LOOKUP(2,1/ISNUMBER(Q172:AA172),$Q$4:$AA$4),"")</f>
        <v>2022</v>
      </c>
      <c r="AF172" s="28">
        <f>IF(AB172=0,"",AB172/(AE172-AD172+1))</f>
        <v>1</v>
      </c>
      <c r="AG172" s="25">
        <f>IF(AB172=0,"",'01_Criterios'!$C$8-AE172)</f>
        <v>3</v>
      </c>
      <c r="AH172" s="29">
        <f>IF(P172="Em uso",100,IF(P172="Alta",85,IF(P172="Média",55,30)))</f>
        <v>55</v>
      </c>
      <c r="AI172" s="29">
        <f>ROUND(100*AC172,1)</f>
        <v>72.7</v>
      </c>
      <c r="AJ172" s="29">
        <f>IF(AB172=0,0,ROUND(MAX(0,100*AF172-10*AG172),1))</f>
        <v>70</v>
      </c>
      <c r="AK172" s="29">
        <f>ROUND(('01_Criterios'!$C$19*AH172+'01_Criterios'!$C$20*AI172+'01_Criterios'!$C$21*AJ172)/('01_Criterios'!$C$19+'01_Criterios'!$C$20+'01_Criterios'!$C$21)+N172*'01_Criterios'!$C$22,1)</f>
        <v>64.900000000000006</v>
      </c>
      <c r="AL172" s="25">
        <f>IF(AND(AB172&gt;=3,AC172&gt;='01_Criterios'!$C$11,N(AE172)&gt;='01_Criterios'!$C$12,OR(F172="+",F172="-"),ISNUMBER(G172),ISNUMBER(H172)),1,0)</f>
        <v>0</v>
      </c>
      <c r="AM172" s="30" t="str">
        <f>IF(AL172=1,"",TRIM(IF(AB172=0,"sem dados no período; ",IF(AB172&lt;3,"série demasiado curta; ",""))&amp;IF(AND(AB172&gt;0,AC172&lt;'01_Criterios'!$C$11),"cobertura insuficiente; ","")&amp;IF(AND(AB172&gt;0,N(AE172)&lt;'01_Criterios'!$C$12),"desactualizado; ","")&amp;IF(AND(F172&lt;&gt;"+",F172&lt;&gt;"-"),"sentido ambíguo; ","")&amp;IF(OR(NOT(ISNUMBER(G172)),NOT(ISNUMBER(H172))),"sem limites min/max; ","")))</f>
        <v>cobertura insuficiente; desactualizado;</v>
      </c>
      <c r="AN172" s="25">
        <f>IF(OR(AL172=0,$AP172="Excluir"),0,IF(SUMPRODUCT(($O$5:$O$335=$O172)*($AL$5:$AL$335=1)*($AP$5:$AP$335&lt;&gt;"Excluir")*(($AK$5:$AK$335&gt;$AK172)+(($AK$5:$AK$335=$AK172)*(ROW($O$5:$O$335)&lt;ROW()))))=0,1,0))</f>
        <v>0</v>
      </c>
      <c r="AO172" s="25" t="str">
        <f>IF(AN172=0,"",1+SUMPRODUCT(($B$5:$B$335=$B172)*($AN$5:$AN$335=1)*(($AK$5:$AK$335&gt;$AK172)+(($AK$5:$AK$335=$AK172)*(ROW($B$5:$B$335)&lt;ROW())))))</f>
        <v/>
      </c>
      <c r="AP172" s="22" t="s">
        <v>131</v>
      </c>
      <c r="AQ172" s="25">
        <f>IF(INDEX('01_Criterios'!$C$26:$C$36,MATCH($B172,'01_Criterios'!$B$26:$B$36,0))&lt;&gt;1,0,IF($AP172="Excluir",0,IF($AP172="Incluir",IF(AND(OR($F172="+",$F172="-"),ISNUMBER($G172),ISNUMBER($H172),COUNT($Q172:$AA172)&gt;0),1,0),IF('01_Criterios'!$C$18="Automática",IF(AND($AN172=1,$AO172&lt;&gt;"",$AO172&lt;=INDEX('01_Criterios'!$E$26:$E$36,MATCH($B172,'01_Criterios'!$B$26:$B$36,0))),1,0),0))))</f>
        <v>0</v>
      </c>
      <c r="AR172" s="25" t="str">
        <f>IF(AQ172=0,"",IF($AO172&lt;&gt;"",1+SUMPRODUCT(($B$5:$B$335=$B172)*($AQ$5:$AQ$335=1)*($AO$5:$AO$335&lt;$AO172)),1+SUMPRODUCT(($B$5:$B$335=$B172)*($AQ$5:$AQ$335=1)*ISNUMBER($AO$5:$AO$335))+SUMPRODUCT(($B$5:$B$335=$B172)*($AQ$5:$AQ$335=1)*($AO$5:$AO$335="")*(ROW($AO$5:$AO$335)&lt;ROW()))))</f>
        <v/>
      </c>
      <c r="AS172" s="24" t="s">
        <v>966</v>
      </c>
    </row>
    <row r="173" spans="1:45">
      <c r="A173" s="20" t="s">
        <v>967</v>
      </c>
      <c r="B173" s="21" t="s">
        <v>80</v>
      </c>
      <c r="C173" s="21" t="s">
        <v>968</v>
      </c>
      <c r="D173" s="21" t="s">
        <v>969</v>
      </c>
      <c r="E173" s="20" t="s">
        <v>951</v>
      </c>
      <c r="F173" s="20" t="s">
        <v>126</v>
      </c>
      <c r="G173" s="20">
        <v>0</v>
      </c>
      <c r="H173" s="20">
        <v>100</v>
      </c>
      <c r="I173" s="20">
        <v>25</v>
      </c>
      <c r="J173" s="22">
        <v>1</v>
      </c>
      <c r="K173" s="21" t="s">
        <v>905</v>
      </c>
      <c r="L173" s="20" t="s">
        <v>970</v>
      </c>
      <c r="M173" s="21" t="s">
        <v>161</v>
      </c>
      <c r="N173" s="20">
        <v>0</v>
      </c>
      <c r="O173" s="21" t="s">
        <v>907</v>
      </c>
      <c r="P173" s="20" t="s">
        <v>180</v>
      </c>
      <c r="Q173" s="6">
        <v>7.7</v>
      </c>
      <c r="R173" s="6">
        <v>7.7</v>
      </c>
      <c r="S173" s="6">
        <v>7.9</v>
      </c>
      <c r="T173" s="6">
        <v>7.8</v>
      </c>
      <c r="U173" s="6">
        <v>8</v>
      </c>
      <c r="V173" s="6">
        <v>8.1</v>
      </c>
      <c r="W173" s="6">
        <v>8.1999999999999993</v>
      </c>
      <c r="X173" s="6">
        <v>8.3000000000000007</v>
      </c>
      <c r="Y173" s="6">
        <v>8.4</v>
      </c>
      <c r="Z173" s="6"/>
      <c r="AA173" s="6"/>
      <c r="AB173" s="20">
        <f>COUNT(Q173:AA173)</f>
        <v>9</v>
      </c>
      <c r="AC173" s="23">
        <f>AB173/11</f>
        <v>0.81818181818181823</v>
      </c>
      <c r="AD173" s="20">
        <f>IFERROR(INDEX($Q$4:$AA$4,MATCH(TRUE,INDEX(ISNUMBER(Q173:AA173),0),0)),"")</f>
        <v>2015</v>
      </c>
      <c r="AE173" s="20">
        <f>IFERROR(LOOKUP(2,1/ISNUMBER(Q173:AA173),$Q$4:$AA$4),"")</f>
        <v>2023</v>
      </c>
      <c r="AF173" s="23">
        <f>IF(AB173=0,"",AB173/(AE173-AD173+1))</f>
        <v>1</v>
      </c>
      <c r="AG173" s="20">
        <f>IF(AB173=0,"",'01_Criterios'!$C$8-AE173)</f>
        <v>2</v>
      </c>
      <c r="AH173" s="7">
        <f>IF(P173="Em uso",100,IF(P173="Alta",85,IF(P173="Média",55,30)))</f>
        <v>55</v>
      </c>
      <c r="AI173" s="7">
        <f>ROUND(100*AC173,1)</f>
        <v>81.8</v>
      </c>
      <c r="AJ173" s="7">
        <f>IF(AB173=0,0,ROUND(MAX(0,100*AF173-10*AG173),1))</f>
        <v>80</v>
      </c>
      <c r="AK173" s="7">
        <f>ROUND(('01_Criterios'!$C$19*AH173+'01_Criterios'!$C$20*AI173+'01_Criterios'!$C$21*AJ173)/('01_Criterios'!$C$19+'01_Criterios'!$C$20+'01_Criterios'!$C$21)+N173*'01_Criterios'!$C$22,1)</f>
        <v>70.599999999999994</v>
      </c>
      <c r="AL173" s="20">
        <f>IF(AND(AB173&gt;=3,AC173&gt;='01_Criterios'!$C$11,N(AE173)&gt;='01_Criterios'!$C$12,OR(F173="+",F173="-"),ISNUMBER(G173),ISNUMBER(H173)),1,0)</f>
        <v>1</v>
      </c>
      <c r="AM173" s="24" t="str">
        <f>IF(AL173=1,"",TRIM(IF(AB173=0,"sem dados no período; ",IF(AB173&lt;3,"série demasiado curta; ",""))&amp;IF(AND(AB173&gt;0,AC173&lt;'01_Criterios'!$C$11),"cobertura insuficiente; ","")&amp;IF(AND(AB173&gt;0,N(AE173)&lt;'01_Criterios'!$C$12),"desactualizado; ","")&amp;IF(AND(F173&lt;&gt;"+",F173&lt;&gt;"-"),"sentido ambíguo; ","")&amp;IF(OR(NOT(ISNUMBER(G173)),NOT(ISNUMBER(H173))),"sem limites min/max; ","")))</f>
        <v/>
      </c>
      <c r="AN173" s="20">
        <f>IF(OR(AL173=0,$AP173="Excluir"),0,IF(SUMPRODUCT(($O$5:$O$335=$O173)*($AL$5:$AL$335=1)*($AP$5:$AP$335&lt;&gt;"Excluir")*(($AK$5:$AK$335&gt;$AK173)+(($AK$5:$AK$335=$AK173)*(ROW($O$5:$O$335)&lt;ROW()))))=0,1,0))</f>
        <v>0</v>
      </c>
      <c r="AO173" s="20" t="str">
        <f>IF(AN173=0,"",1+SUMPRODUCT(($B$5:$B$335=$B173)*($AN$5:$AN$335=1)*(($AK$5:$AK$335&gt;$AK173)+(($AK$5:$AK$335=$AK173)*(ROW($B$5:$B$335)&lt;ROW())))))</f>
        <v/>
      </c>
      <c r="AP173" s="22" t="s">
        <v>131</v>
      </c>
      <c r="AQ173" s="20">
        <f>IF(INDEX('01_Criterios'!$C$26:$C$36,MATCH($B173,'01_Criterios'!$B$26:$B$36,0))&lt;&gt;1,0,IF($AP173="Excluir",0,IF($AP173="Incluir",IF(AND(OR($F173="+",$F173="-"),ISNUMBER($G173),ISNUMBER($H173),COUNT($Q173:$AA173)&gt;0),1,0),IF('01_Criterios'!$C$18="Automática",IF(AND($AN173=1,$AO173&lt;&gt;"",$AO173&lt;=INDEX('01_Criterios'!$E$26:$E$36,MATCH($B173,'01_Criterios'!$B$26:$B$36,0))),1,0),0))))</f>
        <v>0</v>
      </c>
      <c r="AR173" s="20" t="str">
        <f>IF(AQ173=0,"",IF($AO173&lt;&gt;"",1+SUMPRODUCT(($B$5:$B$335=$B173)*($AQ$5:$AQ$335=1)*($AO$5:$AO$335&lt;$AO173)),1+SUMPRODUCT(($B$5:$B$335=$B173)*($AQ$5:$AQ$335=1)*ISNUMBER($AO$5:$AO$335))+SUMPRODUCT(($B$5:$B$335=$B173)*($AQ$5:$AQ$335=1)*($AO$5:$AO$335="")*(ROW($AO$5:$AO$335)&lt;ROW()))))</f>
        <v/>
      </c>
      <c r="AS173" s="24" t="s">
        <v>971</v>
      </c>
    </row>
    <row r="174" spans="1:45">
      <c r="A174" s="25" t="s">
        <v>972</v>
      </c>
      <c r="B174" s="26" t="s">
        <v>80</v>
      </c>
      <c r="C174" s="26" t="s">
        <v>968</v>
      </c>
      <c r="D174" s="26" t="s">
        <v>973</v>
      </c>
      <c r="E174" s="25" t="s">
        <v>940</v>
      </c>
      <c r="F174" s="25" t="s">
        <v>126</v>
      </c>
      <c r="G174" s="25">
        <v>0</v>
      </c>
      <c r="H174" s="25">
        <v>100</v>
      </c>
      <c r="I174" s="25">
        <v>60</v>
      </c>
      <c r="J174" s="22">
        <v>1</v>
      </c>
      <c r="K174" s="26" t="s">
        <v>905</v>
      </c>
      <c r="L174" s="25" t="s">
        <v>974</v>
      </c>
      <c r="M174" s="26" t="s">
        <v>161</v>
      </c>
      <c r="N174" s="25">
        <v>0</v>
      </c>
      <c r="O174" s="26" t="s">
        <v>907</v>
      </c>
      <c r="P174" s="25" t="s">
        <v>180</v>
      </c>
      <c r="Q174" s="27">
        <v>77.5</v>
      </c>
      <c r="R174" s="27">
        <v>77.400000000000006</v>
      </c>
      <c r="S174" s="27">
        <v>77.2</v>
      </c>
      <c r="T174" s="27">
        <v>77</v>
      </c>
      <c r="U174" s="27">
        <v>76.599999999999994</v>
      </c>
      <c r="V174" s="27">
        <v>76.400000000000006</v>
      </c>
      <c r="W174" s="27">
        <v>75.7</v>
      </c>
      <c r="X174" s="27">
        <v>75.400000000000006</v>
      </c>
      <c r="Y174" s="27">
        <v>75</v>
      </c>
      <c r="Z174" s="27"/>
      <c r="AA174" s="27"/>
      <c r="AB174" s="25">
        <f>COUNT(Q174:AA174)</f>
        <v>9</v>
      </c>
      <c r="AC174" s="28">
        <f>AB174/11</f>
        <v>0.81818181818181823</v>
      </c>
      <c r="AD174" s="25">
        <f>IFERROR(INDEX($Q$4:$AA$4,MATCH(TRUE,INDEX(ISNUMBER(Q174:AA174),0),0)),"")</f>
        <v>2015</v>
      </c>
      <c r="AE174" s="25">
        <f>IFERROR(LOOKUP(2,1/ISNUMBER(Q174:AA174),$Q$4:$AA$4),"")</f>
        <v>2023</v>
      </c>
      <c r="AF174" s="28">
        <f>IF(AB174=0,"",AB174/(AE174-AD174+1))</f>
        <v>1</v>
      </c>
      <c r="AG174" s="25">
        <f>IF(AB174=0,"",'01_Criterios'!$C$8-AE174)</f>
        <v>2</v>
      </c>
      <c r="AH174" s="29">
        <f>IF(P174="Em uso",100,IF(P174="Alta",85,IF(P174="Média",55,30)))</f>
        <v>55</v>
      </c>
      <c r="AI174" s="29">
        <f>ROUND(100*AC174,1)</f>
        <v>81.8</v>
      </c>
      <c r="AJ174" s="29">
        <f>IF(AB174=0,0,ROUND(MAX(0,100*AF174-10*AG174),1))</f>
        <v>80</v>
      </c>
      <c r="AK174" s="29">
        <f>ROUND(('01_Criterios'!$C$19*AH174+'01_Criterios'!$C$20*AI174+'01_Criterios'!$C$21*AJ174)/('01_Criterios'!$C$19+'01_Criterios'!$C$20+'01_Criterios'!$C$21)+N174*'01_Criterios'!$C$22,1)</f>
        <v>70.599999999999994</v>
      </c>
      <c r="AL174" s="25">
        <f>IF(AND(AB174&gt;=3,AC174&gt;='01_Criterios'!$C$11,N(AE174)&gt;='01_Criterios'!$C$12,OR(F174="+",F174="-"),ISNUMBER(G174),ISNUMBER(H174)),1,0)</f>
        <v>1</v>
      </c>
      <c r="AM174" s="30" t="str">
        <f>IF(AL174=1,"",TRIM(IF(AB174=0,"sem dados no período; ",IF(AB174&lt;3,"série demasiado curta; ",""))&amp;IF(AND(AB174&gt;0,AC174&lt;'01_Criterios'!$C$11),"cobertura insuficiente; ","")&amp;IF(AND(AB174&gt;0,N(AE174)&lt;'01_Criterios'!$C$12),"desactualizado; ","")&amp;IF(AND(F174&lt;&gt;"+",F174&lt;&gt;"-"),"sentido ambíguo; ","")&amp;IF(OR(NOT(ISNUMBER(G174)),NOT(ISNUMBER(H174))),"sem limites min/max; ","")))</f>
        <v/>
      </c>
      <c r="AN174" s="25">
        <f>IF(OR(AL174=0,$AP174="Excluir"),0,IF(SUMPRODUCT(($O$5:$O$335=$O174)*($AL$5:$AL$335=1)*($AP$5:$AP$335&lt;&gt;"Excluir")*(($AK$5:$AK$335&gt;$AK174)+(($AK$5:$AK$335=$AK174)*(ROW($O$5:$O$335)&lt;ROW()))))=0,1,0))</f>
        <v>0</v>
      </c>
      <c r="AO174" s="25" t="str">
        <f>IF(AN174=0,"",1+SUMPRODUCT(($B$5:$B$335=$B174)*($AN$5:$AN$335=1)*(($AK$5:$AK$335&gt;$AK174)+(($AK$5:$AK$335=$AK174)*(ROW($B$5:$B$335)&lt;ROW())))))</f>
        <v/>
      </c>
      <c r="AP174" s="22" t="s">
        <v>131</v>
      </c>
      <c r="AQ174" s="25">
        <f>IF(INDEX('01_Criterios'!$C$26:$C$36,MATCH($B174,'01_Criterios'!$B$26:$B$36,0))&lt;&gt;1,0,IF($AP174="Excluir",0,IF($AP174="Incluir",IF(AND(OR($F174="+",$F174="-"),ISNUMBER($G174),ISNUMBER($H174),COUNT($Q174:$AA174)&gt;0),1,0),IF('01_Criterios'!$C$18="Automática",IF(AND($AN174=1,$AO174&lt;&gt;"",$AO174&lt;=INDEX('01_Criterios'!$E$26:$E$36,MATCH($B174,'01_Criterios'!$B$26:$B$36,0))),1,0),0))))</f>
        <v>0</v>
      </c>
      <c r="AR174" s="25" t="str">
        <f>IF(AQ174=0,"",IF($AO174&lt;&gt;"",1+SUMPRODUCT(($B$5:$B$335=$B174)*($AQ$5:$AQ$335=1)*($AO$5:$AO$335&lt;$AO174)),1+SUMPRODUCT(($B$5:$B$335=$B174)*($AQ$5:$AQ$335=1)*ISNUMBER($AO$5:$AO$335))+SUMPRODUCT(($B$5:$B$335=$B174)*($AQ$5:$AQ$335=1)*($AO$5:$AO$335="")*(ROW($AO$5:$AO$335)&lt;ROW()))))</f>
        <v/>
      </c>
      <c r="AS174" s="24" t="s">
        <v>975</v>
      </c>
    </row>
    <row r="175" spans="1:45">
      <c r="A175" s="20" t="s">
        <v>976</v>
      </c>
      <c r="B175" s="21" t="s">
        <v>80</v>
      </c>
      <c r="C175" s="21" t="s">
        <v>977</v>
      </c>
      <c r="D175" s="21" t="s">
        <v>978</v>
      </c>
      <c r="E175" s="20" t="s">
        <v>979</v>
      </c>
      <c r="F175" s="20" t="s">
        <v>126</v>
      </c>
      <c r="G175" s="20">
        <v>0</v>
      </c>
      <c r="H175" s="20">
        <v>1500000</v>
      </c>
      <c r="I175" s="20"/>
      <c r="J175" s="22">
        <v>1</v>
      </c>
      <c r="K175" s="21" t="s">
        <v>204</v>
      </c>
      <c r="L175" s="20" t="s">
        <v>980</v>
      </c>
      <c r="M175" s="21" t="s">
        <v>161</v>
      </c>
      <c r="N175" s="20">
        <v>0</v>
      </c>
      <c r="O175" s="21" t="s">
        <v>976</v>
      </c>
      <c r="P175" s="20" t="s">
        <v>180</v>
      </c>
      <c r="Q175" s="6">
        <v>814965</v>
      </c>
      <c r="R175" s="6">
        <v>572298</v>
      </c>
      <c r="S175" s="6">
        <v>735431</v>
      </c>
      <c r="T175" s="6">
        <v>618238</v>
      </c>
      <c r="U175" s="6">
        <v>700123</v>
      </c>
      <c r="V175" s="6">
        <v>590128</v>
      </c>
      <c r="W175" s="6">
        <v>628348</v>
      </c>
      <c r="X175" s="6">
        <v>678333</v>
      </c>
      <c r="Y175" s="6">
        <v>662054</v>
      </c>
      <c r="Z175" s="6">
        <v>709221</v>
      </c>
      <c r="AA175" s="6"/>
      <c r="AB175" s="20">
        <f>COUNT(Q175:AA175)</f>
        <v>10</v>
      </c>
      <c r="AC175" s="23">
        <f>AB175/11</f>
        <v>0.90909090909090906</v>
      </c>
      <c r="AD175" s="20">
        <f>IFERROR(INDEX($Q$4:$AA$4,MATCH(TRUE,INDEX(ISNUMBER(Q175:AA175),0),0)),"")</f>
        <v>2015</v>
      </c>
      <c r="AE175" s="20">
        <f>IFERROR(LOOKUP(2,1/ISNUMBER(Q175:AA175),$Q$4:$AA$4),"")</f>
        <v>2024</v>
      </c>
      <c r="AF175" s="23">
        <f>IF(AB175=0,"",AB175/(AE175-AD175+1))</f>
        <v>1</v>
      </c>
      <c r="AG175" s="20">
        <f>IF(AB175=0,"",'01_Criterios'!$C$8-AE175)</f>
        <v>1</v>
      </c>
      <c r="AH175" s="7">
        <f>IF(P175="Em uso",100,IF(P175="Alta",85,IF(P175="Média",55,30)))</f>
        <v>55</v>
      </c>
      <c r="AI175" s="7">
        <f>ROUND(100*AC175,1)</f>
        <v>90.9</v>
      </c>
      <c r="AJ175" s="7">
        <f>IF(AB175=0,0,ROUND(MAX(0,100*AF175-10*AG175),1))</f>
        <v>90</v>
      </c>
      <c r="AK175" s="7">
        <f>ROUND(('01_Criterios'!$C$19*AH175+'01_Criterios'!$C$20*AI175+'01_Criterios'!$C$21*AJ175)/('01_Criterios'!$C$19+'01_Criterios'!$C$20+'01_Criterios'!$C$21)+N175*'01_Criterios'!$C$22,1)</f>
        <v>76.3</v>
      </c>
      <c r="AL175" s="20">
        <f>IF(AND(AB175&gt;=3,AC175&gt;='01_Criterios'!$C$11,N(AE175)&gt;='01_Criterios'!$C$12,OR(F175="+",F175="-"),ISNUMBER(G175),ISNUMBER(H175)),1,0)</f>
        <v>1</v>
      </c>
      <c r="AM175" s="24" t="str">
        <f>IF(AL175=1,"",TRIM(IF(AB175=0,"sem dados no período; ",IF(AB175&lt;3,"série demasiado curta; ",""))&amp;IF(AND(AB175&gt;0,AC175&lt;'01_Criterios'!$C$11),"cobertura insuficiente; ","")&amp;IF(AND(AB175&gt;0,N(AE175)&lt;'01_Criterios'!$C$12),"desactualizado; ","")&amp;IF(AND(F175&lt;&gt;"+",F175&lt;&gt;"-"),"sentido ambíguo; ","")&amp;IF(OR(NOT(ISNUMBER(G175)),NOT(ISNUMBER(H175))),"sem limites min/max; ","")))</f>
        <v/>
      </c>
      <c r="AN175" s="20">
        <f>IF(OR(AL175=0,$AP175="Excluir"),0,IF(SUMPRODUCT(($O$5:$O$335=$O175)*($AL$5:$AL$335=1)*($AP$5:$AP$335&lt;&gt;"Excluir")*(($AK$5:$AK$335&gt;$AK175)+(($AK$5:$AK$335=$AK175)*(ROW($O$5:$O$335)&lt;ROW()))))=0,1,0))</f>
        <v>1</v>
      </c>
      <c r="AO175" s="20">
        <f>IF(AN175=0,"",1+SUMPRODUCT(($B$5:$B$335=$B175)*($AN$5:$AN$335=1)*(($AK$5:$AK$335&gt;$AK175)+(($AK$5:$AK$335=$AK175)*(ROW($B$5:$B$335)&lt;ROW())))))</f>
        <v>5</v>
      </c>
      <c r="AP175" s="22" t="s">
        <v>131</v>
      </c>
      <c r="AQ175" s="20">
        <f>IF(INDEX('01_Criterios'!$C$26:$C$36,MATCH($B175,'01_Criterios'!$B$26:$B$36,0))&lt;&gt;1,0,IF($AP175="Excluir",0,IF($AP175="Incluir",IF(AND(OR($F175="+",$F175="-"),ISNUMBER($G175),ISNUMBER($H175),COUNT($Q175:$AA175)&gt;0),1,0),IF('01_Criterios'!$C$18="Automática",IF(AND($AN175=1,$AO175&lt;&gt;"",$AO175&lt;=INDEX('01_Criterios'!$E$26:$E$36,MATCH($B175,'01_Criterios'!$B$26:$B$36,0))),1,0),0))))</f>
        <v>1</v>
      </c>
      <c r="AR175" s="20">
        <f>IF(AQ175=0,"",IF($AO175&lt;&gt;"",1+SUMPRODUCT(($B$5:$B$335=$B175)*($AQ$5:$AQ$335=1)*($AO$5:$AO$335&lt;$AO175)),1+SUMPRODUCT(($B$5:$B$335=$B175)*($AQ$5:$AQ$335=1)*ISNUMBER($AO$5:$AO$335))+SUMPRODUCT(($B$5:$B$335=$B175)*($AQ$5:$AQ$335=1)*($AO$5:$AO$335="")*(ROW($AO$5:$AO$335)&lt;ROW()))))</f>
        <v>5</v>
      </c>
      <c r="AS175" s="24" t="s">
        <v>2231</v>
      </c>
    </row>
    <row r="176" spans="1:45">
      <c r="A176" s="25" t="s">
        <v>982</v>
      </c>
      <c r="B176" s="26" t="s">
        <v>80</v>
      </c>
      <c r="C176" s="26" t="s">
        <v>849</v>
      </c>
      <c r="D176" s="26" t="s">
        <v>983</v>
      </c>
      <c r="E176" s="25" t="s">
        <v>984</v>
      </c>
      <c r="F176" s="25" t="s">
        <v>126</v>
      </c>
      <c r="G176" s="25">
        <v>1</v>
      </c>
      <c r="H176" s="25">
        <v>5</v>
      </c>
      <c r="I176" s="25">
        <v>3</v>
      </c>
      <c r="J176" s="22">
        <v>1</v>
      </c>
      <c r="K176" s="26" t="s">
        <v>985</v>
      </c>
      <c r="L176" s="25" t="s">
        <v>986</v>
      </c>
      <c r="M176" s="26" t="s">
        <v>161</v>
      </c>
      <c r="N176" s="25">
        <v>0</v>
      </c>
      <c r="O176" s="26" t="s">
        <v>982</v>
      </c>
      <c r="P176" s="25" t="s">
        <v>268</v>
      </c>
      <c r="Q176" s="27"/>
      <c r="R176" s="27">
        <v>2.2411829999999999</v>
      </c>
      <c r="S176" s="27"/>
      <c r="T176" s="27">
        <v>2.0499999999999998</v>
      </c>
      <c r="U176" s="27"/>
      <c r="V176" s="27"/>
      <c r="W176" s="27"/>
      <c r="X176" s="27">
        <v>2.1</v>
      </c>
      <c r="Y176" s="27"/>
      <c r="Z176" s="27"/>
      <c r="AA176" s="27"/>
      <c r="AB176" s="25">
        <f>COUNT(Q176:AA176)</f>
        <v>3</v>
      </c>
      <c r="AC176" s="28">
        <f>AB176/11</f>
        <v>0.27272727272727271</v>
      </c>
      <c r="AD176" s="25">
        <f>IFERROR(INDEX($Q$4:$AA$4,MATCH(TRUE,INDEX(ISNUMBER(Q176:AA176),0),0)),"")</f>
        <v>2016</v>
      </c>
      <c r="AE176" s="25">
        <f>IFERROR(LOOKUP(2,1/ISNUMBER(Q176:AA176),$Q$4:$AA$4),"")</f>
        <v>2022</v>
      </c>
      <c r="AF176" s="28">
        <f>IF(AB176=0,"",AB176/(AE176-AD176+1))</f>
        <v>0.42857142857142855</v>
      </c>
      <c r="AG176" s="25">
        <f>IF(AB176=0,"",'01_Criterios'!$C$8-AE176)</f>
        <v>3</v>
      </c>
      <c r="AH176" s="29">
        <f>IF(P176="Em uso",100,IF(P176="Alta",85,IF(P176="Média",55,30)))</f>
        <v>30</v>
      </c>
      <c r="AI176" s="29">
        <f>ROUND(100*AC176,1)</f>
        <v>27.3</v>
      </c>
      <c r="AJ176" s="29">
        <f>IF(AB176=0,0,ROUND(MAX(0,100*AF176-10*AG176),1))</f>
        <v>12.9</v>
      </c>
      <c r="AK176" s="29">
        <f>ROUND(('01_Criterios'!$C$19*AH176+'01_Criterios'!$C$20*AI176+'01_Criterios'!$C$21*AJ176)/('01_Criterios'!$C$19+'01_Criterios'!$C$20+'01_Criterios'!$C$21)+N176*'01_Criterios'!$C$22,1)</f>
        <v>24.8</v>
      </c>
      <c r="AL176" s="25">
        <f>IF(AND(AB176&gt;=3,AC176&gt;='01_Criterios'!$C$11,N(AE176)&gt;='01_Criterios'!$C$12,OR(F176="+",F176="-"),ISNUMBER(G176),ISNUMBER(H176)),1,0)</f>
        <v>0</v>
      </c>
      <c r="AM176" s="30" t="str">
        <f>IF(AL176=1,"",TRIM(IF(AB176=0,"sem dados no período; ",IF(AB176&lt;3,"série demasiado curta; ",""))&amp;IF(AND(AB176&gt;0,AC176&lt;'01_Criterios'!$C$11),"cobertura insuficiente; ","")&amp;IF(AND(AB176&gt;0,N(AE176)&lt;'01_Criterios'!$C$12),"desactualizado; ","")&amp;IF(AND(F176&lt;&gt;"+",F176&lt;&gt;"-"),"sentido ambíguo; ","")&amp;IF(OR(NOT(ISNUMBER(G176)),NOT(ISNUMBER(H176))),"sem limites min/max; ","")))</f>
        <v>cobertura insuficiente; desactualizado;</v>
      </c>
      <c r="AN176" s="25">
        <f>IF(OR(AL176=0,$AP176="Excluir"),0,IF(SUMPRODUCT(($O$5:$O$335=$O176)*($AL$5:$AL$335=1)*($AP$5:$AP$335&lt;&gt;"Excluir")*(($AK$5:$AK$335&gt;$AK176)+(($AK$5:$AK$335=$AK176)*(ROW($O$5:$O$335)&lt;ROW()))))=0,1,0))</f>
        <v>0</v>
      </c>
      <c r="AO176" s="25" t="str">
        <f>IF(AN176=0,"",1+SUMPRODUCT(($B$5:$B$335=$B176)*($AN$5:$AN$335=1)*(($AK$5:$AK$335&gt;$AK176)+(($AK$5:$AK$335=$AK176)*(ROW($B$5:$B$335)&lt;ROW())))))</f>
        <v/>
      </c>
      <c r="AP176" s="22" t="s">
        <v>131</v>
      </c>
      <c r="AQ176" s="25">
        <f>IF(INDEX('01_Criterios'!$C$26:$C$36,MATCH($B176,'01_Criterios'!$B$26:$B$36,0))&lt;&gt;1,0,IF($AP176="Excluir",0,IF($AP176="Incluir",IF(AND(OR($F176="+",$F176="-"),ISNUMBER($G176),ISNUMBER($H176),COUNT($Q176:$AA176)&gt;0),1,0),IF('01_Criterios'!$C$18="Automática",IF(AND($AN176=1,$AO176&lt;&gt;"",$AO176&lt;=INDEX('01_Criterios'!$E$26:$E$36,MATCH($B176,'01_Criterios'!$B$26:$B$36,0))),1,0),0))))</f>
        <v>0</v>
      </c>
      <c r="AR176" s="25" t="str">
        <f>IF(AQ176=0,"",IF($AO176&lt;&gt;"",1+SUMPRODUCT(($B$5:$B$335=$B176)*($AQ$5:$AQ$335=1)*($AO$5:$AO$335&lt;$AO176)),1+SUMPRODUCT(($B$5:$B$335=$B176)*($AQ$5:$AQ$335=1)*ISNUMBER($AO$5:$AO$335))+SUMPRODUCT(($B$5:$B$335=$B176)*($AQ$5:$AQ$335=1)*($AO$5:$AO$335="")*(ROW($AO$5:$AO$335)&lt;ROW()))))</f>
        <v/>
      </c>
      <c r="AS176" s="24" t="s">
        <v>987</v>
      </c>
    </row>
    <row r="177" spans="1:45">
      <c r="A177" s="20" t="s">
        <v>988</v>
      </c>
      <c r="B177" s="21" t="s">
        <v>80</v>
      </c>
      <c r="C177" s="21" t="s">
        <v>938</v>
      </c>
      <c r="D177" s="21" t="s">
        <v>989</v>
      </c>
      <c r="E177" s="20" t="s">
        <v>945</v>
      </c>
      <c r="F177" s="20" t="s">
        <v>316</v>
      </c>
      <c r="G177" s="20">
        <v>0</v>
      </c>
      <c r="H177" s="20">
        <v>100</v>
      </c>
      <c r="I177" s="20"/>
      <c r="J177" s="22">
        <v>1</v>
      </c>
      <c r="K177" s="21" t="s">
        <v>916</v>
      </c>
      <c r="L177" s="20" t="s">
        <v>990</v>
      </c>
      <c r="M177" s="21" t="s">
        <v>161</v>
      </c>
      <c r="N177" s="20">
        <v>0</v>
      </c>
      <c r="O177" s="21" t="s">
        <v>947</v>
      </c>
      <c r="P177" s="20" t="s">
        <v>268</v>
      </c>
      <c r="Q177" s="6">
        <v>54.3330588719638</v>
      </c>
      <c r="R177" s="6">
        <v>58.324165749908303</v>
      </c>
      <c r="S177" s="6">
        <v>71.263618586460595</v>
      </c>
      <c r="T177" s="6">
        <v>79.336188436830795</v>
      </c>
      <c r="U177" s="6">
        <v>71.642785738087298</v>
      </c>
      <c r="V177" s="6">
        <v>74.906367041198493</v>
      </c>
      <c r="W177" s="6">
        <v>72.267430505826397</v>
      </c>
      <c r="X177" s="6">
        <v>67.903871829105498</v>
      </c>
      <c r="Y177" s="6">
        <v>71.460416533978702</v>
      </c>
      <c r="Z177" s="6"/>
      <c r="AA177" s="6"/>
      <c r="AB177" s="20">
        <f>COUNT(Q177:AA177)</f>
        <v>9</v>
      </c>
      <c r="AC177" s="23">
        <f>AB177/11</f>
        <v>0.81818181818181823</v>
      </c>
      <c r="AD177" s="20">
        <f>IFERROR(INDEX($Q$4:$AA$4,MATCH(TRUE,INDEX(ISNUMBER(Q177:AA177),0),0)),"")</f>
        <v>2015</v>
      </c>
      <c r="AE177" s="20">
        <f>IFERROR(LOOKUP(2,1/ISNUMBER(Q177:AA177),$Q$4:$AA$4),"")</f>
        <v>2023</v>
      </c>
      <c r="AF177" s="23">
        <f>IF(AB177=0,"",AB177/(AE177-AD177+1))</f>
        <v>1</v>
      </c>
      <c r="AG177" s="20">
        <f>IF(AB177=0,"",'01_Criterios'!$C$8-AE177)</f>
        <v>2</v>
      </c>
      <c r="AH177" s="7">
        <f>IF(P177="Em uso",100,IF(P177="Alta",85,IF(P177="Média",55,30)))</f>
        <v>30</v>
      </c>
      <c r="AI177" s="7">
        <f>ROUND(100*AC177,1)</f>
        <v>81.8</v>
      </c>
      <c r="AJ177" s="7">
        <f>IF(AB177=0,0,ROUND(MAX(0,100*AF177-10*AG177),1))</f>
        <v>80</v>
      </c>
      <c r="AK177" s="7">
        <f>ROUND(('01_Criterios'!$C$19*AH177+'01_Criterios'!$C$20*AI177+'01_Criterios'!$C$21*AJ177)/('01_Criterios'!$C$19+'01_Criterios'!$C$20+'01_Criterios'!$C$21)+N177*'01_Criterios'!$C$22,1)</f>
        <v>60.6</v>
      </c>
      <c r="AL177" s="20">
        <f>IF(AND(AB177&gt;=3,AC177&gt;='01_Criterios'!$C$11,N(AE177)&gt;='01_Criterios'!$C$12,OR(F177="+",F177="-"),ISNUMBER(G177),ISNUMBER(H177)),1,0)</f>
        <v>0</v>
      </c>
      <c r="AM177" s="24" t="str">
        <f>IF(AL177=1,"",TRIM(IF(AB177=0,"sem dados no período; ",IF(AB177&lt;3,"série demasiado curta; ",""))&amp;IF(AND(AB177&gt;0,AC177&lt;'01_Criterios'!$C$11),"cobertura insuficiente; ","")&amp;IF(AND(AB177&gt;0,N(AE177)&lt;'01_Criterios'!$C$12),"desactualizado; ","")&amp;IF(AND(F177&lt;&gt;"+",F177&lt;&gt;"-"),"sentido ambíguo; ","")&amp;IF(OR(NOT(ISNUMBER(G177)),NOT(ISNUMBER(H177))),"sem limites min/max; ","")))</f>
        <v>sentido ambíguo;</v>
      </c>
      <c r="AN177" s="20">
        <f>IF(OR(AL177=0,$AP177="Excluir"),0,IF(SUMPRODUCT(($O$5:$O$335=$O177)*($AL$5:$AL$335=1)*($AP$5:$AP$335&lt;&gt;"Excluir")*(($AK$5:$AK$335&gt;$AK177)+(($AK$5:$AK$335=$AK177)*(ROW($O$5:$O$335)&lt;ROW()))))=0,1,0))</f>
        <v>0</v>
      </c>
      <c r="AO177" s="20" t="str">
        <f>IF(AN177=0,"",1+SUMPRODUCT(($B$5:$B$335=$B177)*($AN$5:$AN$335=1)*(($AK$5:$AK$335&gt;$AK177)+(($AK$5:$AK$335=$AK177)*(ROW($B$5:$B$335)&lt;ROW())))))</f>
        <v/>
      </c>
      <c r="AP177" s="22" t="s">
        <v>131</v>
      </c>
      <c r="AQ177" s="20">
        <f>IF(INDEX('01_Criterios'!$C$26:$C$36,MATCH($B177,'01_Criterios'!$B$26:$B$36,0))&lt;&gt;1,0,IF($AP177="Excluir",0,IF($AP177="Incluir",IF(AND(OR($F177="+",$F177="-"),ISNUMBER($G177),ISNUMBER($H177),COUNT($Q177:$AA177)&gt;0),1,0),IF('01_Criterios'!$C$18="Automática",IF(AND($AN177=1,$AO177&lt;&gt;"",$AO177&lt;=INDEX('01_Criterios'!$E$26:$E$36,MATCH($B177,'01_Criterios'!$B$26:$B$36,0))),1,0),0))))</f>
        <v>0</v>
      </c>
      <c r="AR177" s="20" t="str">
        <f>IF(AQ177=0,"",IF($AO177&lt;&gt;"",1+SUMPRODUCT(($B$5:$B$335=$B177)*($AQ$5:$AQ$335=1)*($AO$5:$AO$335&lt;$AO177)),1+SUMPRODUCT(($B$5:$B$335=$B177)*($AQ$5:$AQ$335=1)*ISNUMBER($AO$5:$AO$335))+SUMPRODUCT(($B$5:$B$335=$B177)*($AQ$5:$AQ$335=1)*($AO$5:$AO$335="")*(ROW($AO$5:$AO$335)&lt;ROW()))))</f>
        <v/>
      </c>
      <c r="AS177" s="24" t="s">
        <v>991</v>
      </c>
    </row>
    <row r="178" spans="1:45">
      <c r="A178" s="25" t="s">
        <v>992</v>
      </c>
      <c r="B178" s="26" t="s">
        <v>80</v>
      </c>
      <c r="C178" s="26" t="s">
        <v>977</v>
      </c>
      <c r="D178" s="26" t="s">
        <v>993</v>
      </c>
      <c r="E178" s="25" t="s">
        <v>237</v>
      </c>
      <c r="F178" s="25" t="s">
        <v>126</v>
      </c>
      <c r="G178" s="25">
        <v>0</v>
      </c>
      <c r="H178" s="25">
        <v>1720000</v>
      </c>
      <c r="I178" s="25"/>
      <c r="J178" s="22">
        <v>1</v>
      </c>
      <c r="K178" s="26" t="s">
        <v>204</v>
      </c>
      <c r="L178" s="25" t="s">
        <v>994</v>
      </c>
      <c r="M178" s="26" t="s">
        <v>161</v>
      </c>
      <c r="N178" s="25">
        <v>0</v>
      </c>
      <c r="O178" s="26" t="s">
        <v>992</v>
      </c>
      <c r="P178" s="25" t="s">
        <v>268</v>
      </c>
      <c r="Q178" s="27">
        <v>1244491</v>
      </c>
      <c r="R178" s="27">
        <v>1482546</v>
      </c>
      <c r="S178" s="27">
        <v>1375523</v>
      </c>
      <c r="T178" s="27">
        <v>1516628</v>
      </c>
      <c r="U178" s="27">
        <v>1436959</v>
      </c>
      <c r="V178" s="27">
        <v>356695</v>
      </c>
      <c r="W178" s="27">
        <v>311488</v>
      </c>
      <c r="X178" s="27">
        <v>895730</v>
      </c>
      <c r="Y178" s="27">
        <v>1321412</v>
      </c>
      <c r="Z178" s="27"/>
      <c r="AA178" s="27"/>
      <c r="AB178" s="25">
        <f>COUNT(Q178:AA178)</f>
        <v>9</v>
      </c>
      <c r="AC178" s="28">
        <f>AB178/11</f>
        <v>0.81818181818181823</v>
      </c>
      <c r="AD178" s="25">
        <f>IFERROR(INDEX($Q$4:$AA$4,MATCH(TRUE,INDEX(ISNUMBER(Q178:AA178),0),0)),"")</f>
        <v>2015</v>
      </c>
      <c r="AE178" s="25">
        <f>IFERROR(LOOKUP(2,1/ISNUMBER(Q178:AA178),$Q$4:$AA$4),"")</f>
        <v>2023</v>
      </c>
      <c r="AF178" s="28">
        <f>IF(AB178=0,"",AB178/(AE178-AD178+1))</f>
        <v>1</v>
      </c>
      <c r="AG178" s="25">
        <f>IF(AB178=0,"",'01_Criterios'!$C$8-AE178)</f>
        <v>2</v>
      </c>
      <c r="AH178" s="29">
        <f>IF(P178="Em uso",100,IF(P178="Alta",85,IF(P178="Média",55,30)))</f>
        <v>30</v>
      </c>
      <c r="AI178" s="29">
        <f>ROUND(100*AC178,1)</f>
        <v>81.8</v>
      </c>
      <c r="AJ178" s="29">
        <f>IF(AB178=0,0,ROUND(MAX(0,100*AF178-10*AG178),1))</f>
        <v>80</v>
      </c>
      <c r="AK178" s="29">
        <f>ROUND(('01_Criterios'!$C$19*AH178+'01_Criterios'!$C$20*AI178+'01_Criterios'!$C$21*AJ178)/('01_Criterios'!$C$19+'01_Criterios'!$C$20+'01_Criterios'!$C$21)+N178*'01_Criterios'!$C$22,1)</f>
        <v>60.6</v>
      </c>
      <c r="AL178" s="25">
        <f>IF(AND(AB178&gt;=3,AC178&gt;='01_Criterios'!$C$11,N(AE178)&gt;='01_Criterios'!$C$12,OR(F178="+",F178="-"),ISNUMBER(G178),ISNUMBER(H178)),1,0)</f>
        <v>1</v>
      </c>
      <c r="AM178" s="30" t="str">
        <f>IF(AL178=1,"",TRIM(IF(AB178=0,"sem dados no período; ",IF(AB178&lt;3,"série demasiado curta; ",""))&amp;IF(AND(AB178&gt;0,AC178&lt;'01_Criterios'!$C$11),"cobertura insuficiente; ","")&amp;IF(AND(AB178&gt;0,N(AE178)&lt;'01_Criterios'!$C$12),"desactualizado; ","")&amp;IF(AND(F178&lt;&gt;"+",F178&lt;&gt;"-"),"sentido ambíguo; ","")&amp;IF(OR(NOT(ISNUMBER(G178)),NOT(ISNUMBER(H178))),"sem limites min/max; ","")))</f>
        <v/>
      </c>
      <c r="AN178" s="25">
        <f>IF(OR(AL178=0,$AP178="Excluir"),0,IF(SUMPRODUCT(($O$5:$O$335=$O178)*($AL$5:$AL$335=1)*($AP$5:$AP$335&lt;&gt;"Excluir")*(($AK$5:$AK$335&gt;$AK178)+(($AK$5:$AK$335=$AK178)*(ROW($O$5:$O$335)&lt;ROW()))))=0,1,0))</f>
        <v>1</v>
      </c>
      <c r="AO178" s="25">
        <f>IF(AN178=0,"",1+SUMPRODUCT(($B$5:$B$335=$B178)*($AN$5:$AN$335=1)*(($AK$5:$AK$335&gt;$AK178)+(($AK$5:$AK$335=$AK178)*(ROW($B$5:$B$335)&lt;ROW())))))</f>
        <v>7</v>
      </c>
      <c r="AP178" s="22" t="s">
        <v>131</v>
      </c>
      <c r="AQ178" s="25">
        <f>IF(INDEX('01_Criterios'!$C$26:$C$36,MATCH($B178,'01_Criterios'!$B$26:$B$36,0))&lt;&gt;1,0,IF($AP178="Excluir",0,IF($AP178="Incluir",IF(AND(OR($F178="+",$F178="-"),ISNUMBER($G178),ISNUMBER($H178),COUNT($Q178:$AA178)&gt;0),1,0),IF('01_Criterios'!$C$18="Automática",IF(AND($AN178=1,$AO178&lt;&gt;"",$AO178&lt;=INDEX('01_Criterios'!$E$26:$E$36,MATCH($B178,'01_Criterios'!$B$26:$B$36,0))),1,0),0))))</f>
        <v>0</v>
      </c>
      <c r="AR178" s="25" t="str">
        <f>IF(AQ178=0,"",IF($AO178&lt;&gt;"",1+SUMPRODUCT(($B$5:$B$335=$B178)*($AQ$5:$AQ$335=1)*($AO$5:$AO$335&lt;$AO178)),1+SUMPRODUCT(($B$5:$B$335=$B178)*($AQ$5:$AQ$335=1)*ISNUMBER($AO$5:$AO$335))+SUMPRODUCT(($B$5:$B$335=$B178)*($AQ$5:$AQ$335=1)*($AO$5:$AO$335="")*(ROW($AO$5:$AO$335)&lt;ROW()))))</f>
        <v/>
      </c>
      <c r="AS178" s="24" t="s">
        <v>995</v>
      </c>
    </row>
    <row r="179" spans="1:45">
      <c r="A179" s="20" t="s">
        <v>996</v>
      </c>
      <c r="B179" s="21" t="s">
        <v>80</v>
      </c>
      <c r="C179" s="21" t="s">
        <v>977</v>
      </c>
      <c r="D179" s="21" t="s">
        <v>997</v>
      </c>
      <c r="E179" s="20" t="s">
        <v>998</v>
      </c>
      <c r="F179" s="20" t="s">
        <v>126</v>
      </c>
      <c r="G179" s="20">
        <v>21.1</v>
      </c>
      <c r="H179" s="20">
        <v>88.8</v>
      </c>
      <c r="I179" s="20"/>
      <c r="J179" s="22">
        <v>1</v>
      </c>
      <c r="K179" s="21" t="s">
        <v>204</v>
      </c>
      <c r="L179" s="20" t="s">
        <v>999</v>
      </c>
      <c r="M179" s="21" t="s">
        <v>161</v>
      </c>
      <c r="N179" s="20">
        <v>0</v>
      </c>
      <c r="O179" s="21" t="s">
        <v>996</v>
      </c>
      <c r="P179" s="20" t="s">
        <v>268</v>
      </c>
      <c r="Q179" s="6">
        <v>46.042999999999999</v>
      </c>
      <c r="R179" s="6">
        <v>43.940435000000001</v>
      </c>
      <c r="S179" s="6">
        <v>67.320350000000005</v>
      </c>
      <c r="T179" s="6">
        <v>78.159639999999996</v>
      </c>
      <c r="U179" s="6">
        <v>68.043580000000006</v>
      </c>
      <c r="V179" s="6">
        <v>28.89977</v>
      </c>
      <c r="W179" s="6">
        <v>31.036380000000001</v>
      </c>
      <c r="X179" s="6">
        <v>60.343310000000002</v>
      </c>
      <c r="Y179" s="6">
        <v>70.707650999999998</v>
      </c>
      <c r="Z179" s="6"/>
      <c r="AA179" s="6"/>
      <c r="AB179" s="20">
        <f>COUNT(Q179:AA179)</f>
        <v>9</v>
      </c>
      <c r="AC179" s="23">
        <f>AB179/11</f>
        <v>0.81818181818181823</v>
      </c>
      <c r="AD179" s="20">
        <f>IFERROR(INDEX($Q$4:$AA$4,MATCH(TRUE,INDEX(ISNUMBER(Q179:AA179),0),0)),"")</f>
        <v>2015</v>
      </c>
      <c r="AE179" s="20">
        <f>IFERROR(LOOKUP(2,1/ISNUMBER(Q179:AA179),$Q$4:$AA$4),"")</f>
        <v>2023</v>
      </c>
      <c r="AF179" s="23">
        <f>IF(AB179=0,"",AB179/(AE179-AD179+1))</f>
        <v>1</v>
      </c>
      <c r="AG179" s="20">
        <f>IF(AB179=0,"",'01_Criterios'!$C$8-AE179)</f>
        <v>2</v>
      </c>
      <c r="AH179" s="7">
        <f>IF(P179="Em uso",100,IF(P179="Alta",85,IF(P179="Média",55,30)))</f>
        <v>30</v>
      </c>
      <c r="AI179" s="7">
        <f>ROUND(100*AC179,1)</f>
        <v>81.8</v>
      </c>
      <c r="AJ179" s="7">
        <f>IF(AB179=0,0,ROUND(MAX(0,100*AF179-10*AG179),1))</f>
        <v>80</v>
      </c>
      <c r="AK179" s="7">
        <f>ROUND(('01_Criterios'!$C$19*AH179+'01_Criterios'!$C$20*AI179+'01_Criterios'!$C$21*AJ179)/('01_Criterios'!$C$19+'01_Criterios'!$C$20+'01_Criterios'!$C$21)+N179*'01_Criterios'!$C$22,1)</f>
        <v>60.6</v>
      </c>
      <c r="AL179" s="20">
        <f>IF(AND(AB179&gt;=3,AC179&gt;='01_Criterios'!$C$11,N(AE179)&gt;='01_Criterios'!$C$12,OR(F179="+",F179="-"),ISNUMBER(G179),ISNUMBER(H179)),1,0)</f>
        <v>1</v>
      </c>
      <c r="AM179" s="24" t="str">
        <f>IF(AL179=1,"",TRIM(IF(AB179=0,"sem dados no período; ",IF(AB179&lt;3,"série demasiado curta; ",""))&amp;IF(AND(AB179&gt;0,AC179&lt;'01_Criterios'!$C$11),"cobertura insuficiente; ","")&amp;IF(AND(AB179&gt;0,N(AE179)&lt;'01_Criterios'!$C$12),"desactualizado; ","")&amp;IF(AND(F179&lt;&gt;"+",F179&lt;&gt;"-"),"sentido ambíguo; ","")&amp;IF(OR(NOT(ISNUMBER(G179)),NOT(ISNUMBER(H179))),"sem limites min/max; ","")))</f>
        <v/>
      </c>
      <c r="AN179" s="20">
        <f>IF(OR(AL179=0,$AP179="Excluir"),0,IF(SUMPRODUCT(($O$5:$O$335=$O179)*($AL$5:$AL$335=1)*($AP$5:$AP$335&lt;&gt;"Excluir")*(($AK$5:$AK$335&gt;$AK179)+(($AK$5:$AK$335=$AK179)*(ROW($O$5:$O$335)&lt;ROW()))))=0,1,0))</f>
        <v>1</v>
      </c>
      <c r="AO179" s="20">
        <f>IF(AN179=0,"",1+SUMPRODUCT(($B$5:$B$335=$B179)*($AN$5:$AN$335=1)*(($AK$5:$AK$335&gt;$AK179)+(($AK$5:$AK$335=$AK179)*(ROW($B$5:$B$335)&lt;ROW())))))</f>
        <v>8</v>
      </c>
      <c r="AP179" s="22" t="s">
        <v>131</v>
      </c>
      <c r="AQ179" s="20">
        <f>IF(INDEX('01_Criterios'!$C$26:$C$36,MATCH($B179,'01_Criterios'!$B$26:$B$36,0))&lt;&gt;1,0,IF($AP179="Excluir",0,IF($AP179="Incluir",IF(AND(OR($F179="+",$F179="-"),ISNUMBER($G179),ISNUMBER($H179),COUNT($Q179:$AA179)&gt;0),1,0),IF('01_Criterios'!$C$18="Automática",IF(AND($AN179=1,$AO179&lt;&gt;"",$AO179&lt;=INDEX('01_Criterios'!$E$26:$E$36,MATCH($B179,'01_Criterios'!$B$26:$B$36,0))),1,0),0))))</f>
        <v>0</v>
      </c>
      <c r="AR179" s="20" t="str">
        <f>IF(AQ179=0,"",IF($AO179&lt;&gt;"",1+SUMPRODUCT(($B$5:$B$335=$B179)*($AQ$5:$AQ$335=1)*($AO$5:$AO$335&lt;$AO179)),1+SUMPRODUCT(($B$5:$B$335=$B179)*($AQ$5:$AQ$335=1)*ISNUMBER($AO$5:$AO$335))+SUMPRODUCT(($B$5:$B$335=$B179)*($AQ$5:$AQ$335=1)*($AO$5:$AO$335="")*(ROW($AO$5:$AO$335)&lt;ROW()))))</f>
        <v/>
      </c>
      <c r="AS179" s="24" t="s">
        <v>1000</v>
      </c>
    </row>
    <row r="180" spans="1:45">
      <c r="A180" s="25" t="s">
        <v>1001</v>
      </c>
      <c r="B180" s="26" t="s">
        <v>80</v>
      </c>
      <c r="C180" s="26" t="s">
        <v>1002</v>
      </c>
      <c r="D180" s="26" t="s">
        <v>1003</v>
      </c>
      <c r="E180" s="25" t="s">
        <v>542</v>
      </c>
      <c r="F180" s="25" t="s">
        <v>126</v>
      </c>
      <c r="G180" s="25">
        <v>0</v>
      </c>
      <c r="H180" s="25">
        <v>1000000000</v>
      </c>
      <c r="I180" s="25"/>
      <c r="J180" s="22">
        <v>1</v>
      </c>
      <c r="K180" s="26" t="s">
        <v>1004</v>
      </c>
      <c r="L180" s="25" t="s">
        <v>1005</v>
      </c>
      <c r="M180" s="26" t="s">
        <v>161</v>
      </c>
      <c r="N180" s="25">
        <v>0</v>
      </c>
      <c r="O180" s="26" t="s">
        <v>1001</v>
      </c>
      <c r="P180" s="25" t="s">
        <v>268</v>
      </c>
      <c r="Q180" s="27"/>
      <c r="R180" s="27"/>
      <c r="S180" s="27"/>
      <c r="T180" s="27"/>
      <c r="U180" s="27"/>
      <c r="V180" s="27"/>
      <c r="W180" s="27">
        <v>190000000</v>
      </c>
      <c r="X180" s="27"/>
      <c r="Y180" s="27"/>
      <c r="Z180" s="27">
        <v>800000000</v>
      </c>
      <c r="AA180" s="27"/>
      <c r="AB180" s="25">
        <f>COUNT(Q180:AA180)</f>
        <v>2</v>
      </c>
      <c r="AC180" s="28">
        <f>AB180/11</f>
        <v>0.18181818181818182</v>
      </c>
      <c r="AD180" s="25">
        <f>IFERROR(INDEX($Q$4:$AA$4,MATCH(TRUE,INDEX(ISNUMBER(Q180:AA180),0),0)),"")</f>
        <v>2021</v>
      </c>
      <c r="AE180" s="25">
        <f>IFERROR(LOOKUP(2,1/ISNUMBER(Q180:AA180),$Q$4:$AA$4),"")</f>
        <v>2024</v>
      </c>
      <c r="AF180" s="28">
        <f>IF(AB180=0,"",AB180/(AE180-AD180+1))</f>
        <v>0.5</v>
      </c>
      <c r="AG180" s="25">
        <f>IF(AB180=0,"",'01_Criterios'!$C$8-AE180)</f>
        <v>1</v>
      </c>
      <c r="AH180" s="29">
        <f>IF(P180="Em uso",100,IF(P180="Alta",85,IF(P180="Média",55,30)))</f>
        <v>30</v>
      </c>
      <c r="AI180" s="29">
        <f>ROUND(100*AC180,1)</f>
        <v>18.2</v>
      </c>
      <c r="AJ180" s="29">
        <f>IF(AB180=0,0,ROUND(MAX(0,100*AF180-10*AG180),1))</f>
        <v>40</v>
      </c>
      <c r="AK180" s="29">
        <f>ROUND(('01_Criterios'!$C$19*AH180+'01_Criterios'!$C$20*AI180+'01_Criterios'!$C$21*AJ180)/('01_Criterios'!$C$19+'01_Criterios'!$C$20+'01_Criterios'!$C$21)+N180*'01_Criterios'!$C$22,1)</f>
        <v>28.4</v>
      </c>
      <c r="AL180" s="25">
        <f>IF(AND(AB180&gt;=3,AC180&gt;='01_Criterios'!$C$11,N(AE180)&gt;='01_Criterios'!$C$12,OR(F180="+",F180="-"),ISNUMBER(G180),ISNUMBER(H180)),1,0)</f>
        <v>0</v>
      </c>
      <c r="AM180" s="30" t="str">
        <f>IF(AL180=1,"",TRIM(IF(AB180=0,"sem dados no período; ",IF(AB180&lt;3,"série demasiado curta; ",""))&amp;IF(AND(AB180&gt;0,AC180&lt;'01_Criterios'!$C$11),"cobertura insuficiente; ","")&amp;IF(AND(AB180&gt;0,N(AE180)&lt;'01_Criterios'!$C$12),"desactualizado; ","")&amp;IF(AND(F180&lt;&gt;"+",F180&lt;&gt;"-"),"sentido ambíguo; ","")&amp;IF(OR(NOT(ISNUMBER(G180)),NOT(ISNUMBER(H180))),"sem limites min/max; ","")))</f>
        <v>série demasiado curta; cobertura insuficiente;</v>
      </c>
      <c r="AN180" s="25">
        <f>IF(OR(AL180=0,$AP180="Excluir"),0,IF(SUMPRODUCT(($O$5:$O$335=$O180)*($AL$5:$AL$335=1)*($AP$5:$AP$335&lt;&gt;"Excluir")*(($AK$5:$AK$335&gt;$AK180)+(($AK$5:$AK$335=$AK180)*(ROW($O$5:$O$335)&lt;ROW()))))=0,1,0))</f>
        <v>0</v>
      </c>
      <c r="AO180" s="25" t="str">
        <f>IF(AN180=0,"",1+SUMPRODUCT(($B$5:$B$335=$B180)*($AN$5:$AN$335=1)*(($AK$5:$AK$335&gt;$AK180)+(($AK$5:$AK$335=$AK180)*(ROW($B$5:$B$335)&lt;ROW())))))</f>
        <v/>
      </c>
      <c r="AP180" s="22" t="s">
        <v>131</v>
      </c>
      <c r="AQ180" s="25">
        <f>IF(INDEX('01_Criterios'!$C$26:$C$36,MATCH($B180,'01_Criterios'!$B$26:$B$36,0))&lt;&gt;1,0,IF($AP180="Excluir",0,IF($AP180="Incluir",IF(AND(OR($F180="+",$F180="-"),ISNUMBER($G180),ISNUMBER($H180),COUNT($Q180:$AA180)&gt;0),1,0),IF('01_Criterios'!$C$18="Automática",IF(AND($AN180=1,$AO180&lt;&gt;"",$AO180&lt;=INDEX('01_Criterios'!$E$26:$E$36,MATCH($B180,'01_Criterios'!$B$26:$B$36,0))),1,0),0))))</f>
        <v>0</v>
      </c>
      <c r="AR180" s="25" t="str">
        <f>IF(AQ180=0,"",IF($AO180&lt;&gt;"",1+SUMPRODUCT(($B$5:$B$335=$B180)*($AQ$5:$AQ$335=1)*($AO$5:$AO$335&lt;$AO180)),1+SUMPRODUCT(($B$5:$B$335=$B180)*($AQ$5:$AQ$335=1)*ISNUMBER($AO$5:$AO$335))+SUMPRODUCT(($B$5:$B$335=$B180)*($AQ$5:$AQ$335=1)*($AO$5:$AO$335="")*(ROW($AO$5:$AO$335)&lt;ROW()))))</f>
        <v/>
      </c>
      <c r="AS180" s="24" t="s">
        <v>1006</v>
      </c>
    </row>
    <row r="181" spans="1:45">
      <c r="A181" s="20" t="s">
        <v>1007</v>
      </c>
      <c r="B181" s="21" t="s">
        <v>80</v>
      </c>
      <c r="C181" s="21" t="s">
        <v>938</v>
      </c>
      <c r="D181" s="21" t="s">
        <v>1008</v>
      </c>
      <c r="E181" s="20" t="s">
        <v>1009</v>
      </c>
      <c r="F181" s="20" t="s">
        <v>126</v>
      </c>
      <c r="G181" s="20">
        <v>21.8</v>
      </c>
      <c r="H181" s="20">
        <v>494</v>
      </c>
      <c r="I181" s="20"/>
      <c r="J181" s="22">
        <v>1</v>
      </c>
      <c r="K181" s="21" t="s">
        <v>916</v>
      </c>
      <c r="L181" s="20" t="s">
        <v>1010</v>
      </c>
      <c r="M181" s="21" t="s">
        <v>161</v>
      </c>
      <c r="N181" s="20">
        <v>0</v>
      </c>
      <c r="O181" s="21" t="s">
        <v>1007</v>
      </c>
      <c r="P181" s="20" t="s">
        <v>268</v>
      </c>
      <c r="Q181" s="6">
        <v>306.167406982606</v>
      </c>
      <c r="R181" s="6">
        <v>331.66490023153801</v>
      </c>
      <c r="S181" s="6">
        <v>315.19929707580098</v>
      </c>
      <c r="T181" s="6">
        <v>370.73657334029201</v>
      </c>
      <c r="U181" s="6">
        <v>411.26610285167601</v>
      </c>
      <c r="V181" s="6">
        <v>439.11817393803</v>
      </c>
      <c r="W181" s="6">
        <v>394.73041412754401</v>
      </c>
      <c r="X181" s="6">
        <v>373.03182775577397</v>
      </c>
      <c r="Y181" s="6">
        <v>379.10301049477499</v>
      </c>
      <c r="Z181" s="6"/>
      <c r="AA181" s="6"/>
      <c r="AB181" s="20">
        <f>COUNT(Q181:AA181)</f>
        <v>9</v>
      </c>
      <c r="AC181" s="23">
        <f>AB181/11</f>
        <v>0.81818181818181823</v>
      </c>
      <c r="AD181" s="20">
        <f>IFERROR(INDEX($Q$4:$AA$4,MATCH(TRUE,INDEX(ISNUMBER(Q181:AA181),0),0)),"")</f>
        <v>2015</v>
      </c>
      <c r="AE181" s="20">
        <f>IFERROR(LOOKUP(2,1/ISNUMBER(Q181:AA181),$Q$4:$AA$4),"")</f>
        <v>2023</v>
      </c>
      <c r="AF181" s="23">
        <f>IF(AB181=0,"",AB181/(AE181-AD181+1))</f>
        <v>1</v>
      </c>
      <c r="AG181" s="20">
        <f>IF(AB181=0,"",'01_Criterios'!$C$8-AE181)</f>
        <v>2</v>
      </c>
      <c r="AH181" s="7">
        <f>IF(P181="Em uso",100,IF(P181="Alta",85,IF(P181="Média",55,30)))</f>
        <v>30</v>
      </c>
      <c r="AI181" s="7">
        <f>ROUND(100*AC181,1)</f>
        <v>81.8</v>
      </c>
      <c r="AJ181" s="7">
        <f>IF(AB181=0,0,ROUND(MAX(0,100*AF181-10*AG181),1))</f>
        <v>80</v>
      </c>
      <c r="AK181" s="7">
        <f>ROUND(('01_Criterios'!$C$19*AH181+'01_Criterios'!$C$20*AI181+'01_Criterios'!$C$21*AJ181)/('01_Criterios'!$C$19+'01_Criterios'!$C$20+'01_Criterios'!$C$21)+N181*'01_Criterios'!$C$22,1)</f>
        <v>60.6</v>
      </c>
      <c r="AL181" s="20">
        <f>IF(AND(AB181&gt;=3,AC181&gt;='01_Criterios'!$C$11,N(AE181)&gt;='01_Criterios'!$C$12,OR(F181="+",F181="-"),ISNUMBER(G181),ISNUMBER(H181)),1,0)</f>
        <v>1</v>
      </c>
      <c r="AM181" s="24" t="str">
        <f>IF(AL181=1,"",TRIM(IF(AB181=0,"sem dados no período; ",IF(AB181&lt;3,"série demasiado curta; ",""))&amp;IF(AND(AB181&gt;0,AC181&lt;'01_Criterios'!$C$11),"cobertura insuficiente; ","")&amp;IF(AND(AB181&gt;0,N(AE181)&lt;'01_Criterios'!$C$12),"desactualizado; ","")&amp;IF(AND(F181&lt;&gt;"+",F181&lt;&gt;"-"),"sentido ambíguo; ","")&amp;IF(OR(NOT(ISNUMBER(G181)),NOT(ISNUMBER(H181))),"sem limites min/max; ","")))</f>
        <v/>
      </c>
      <c r="AN181" s="20">
        <f>IF(OR(AL181=0,$AP181="Excluir"),0,IF(SUMPRODUCT(($O$5:$O$335=$O181)*($AL$5:$AL$335=1)*($AP$5:$AP$335&lt;&gt;"Excluir")*(($AK$5:$AK$335&gt;$AK181)+(($AK$5:$AK$335=$AK181)*(ROW($O$5:$O$335)&lt;ROW()))))=0,1,0))</f>
        <v>1</v>
      </c>
      <c r="AO181" s="20">
        <f>IF(AN181=0,"",1+SUMPRODUCT(($B$5:$B$335=$B181)*($AN$5:$AN$335=1)*(($AK$5:$AK$335&gt;$AK181)+(($AK$5:$AK$335=$AK181)*(ROW($B$5:$B$335)&lt;ROW())))))</f>
        <v>9</v>
      </c>
      <c r="AP181" s="22" t="s">
        <v>131</v>
      </c>
      <c r="AQ181" s="20">
        <f>IF(INDEX('01_Criterios'!$C$26:$C$36,MATCH($B181,'01_Criterios'!$B$26:$B$36,0))&lt;&gt;1,0,IF($AP181="Excluir",0,IF($AP181="Incluir",IF(AND(OR($F181="+",$F181="-"),ISNUMBER($G181),ISNUMBER($H181),COUNT($Q181:$AA181)&gt;0),1,0),IF('01_Criterios'!$C$18="Automática",IF(AND($AN181=1,$AO181&lt;&gt;"",$AO181&lt;=INDEX('01_Criterios'!$E$26:$E$36,MATCH($B181,'01_Criterios'!$B$26:$B$36,0))),1,0),0))))</f>
        <v>0</v>
      </c>
      <c r="AR181" s="20" t="str">
        <f>IF(AQ181=0,"",IF($AO181&lt;&gt;"",1+SUMPRODUCT(($B$5:$B$335=$B181)*($AQ$5:$AQ$335=1)*($AO$5:$AO$335&lt;$AO181)),1+SUMPRODUCT(($B$5:$B$335=$B181)*($AQ$5:$AQ$335=1)*ISNUMBER($AO$5:$AO$335))+SUMPRODUCT(($B$5:$B$335=$B181)*($AQ$5:$AQ$335=1)*($AO$5:$AO$335="")*(ROW($AO$5:$AO$335)&lt;ROW()))))</f>
        <v/>
      </c>
      <c r="AS181" s="24" t="s">
        <v>1011</v>
      </c>
    </row>
    <row r="182" spans="1:45">
      <c r="A182" s="25" t="s">
        <v>1012</v>
      </c>
      <c r="B182" s="26" t="s">
        <v>80</v>
      </c>
      <c r="C182" s="26" t="s">
        <v>1013</v>
      </c>
      <c r="D182" s="26" t="s">
        <v>1014</v>
      </c>
      <c r="E182" s="25" t="s">
        <v>898</v>
      </c>
      <c r="F182" s="25" t="s">
        <v>316</v>
      </c>
      <c r="G182" s="25">
        <v>0</v>
      </c>
      <c r="H182" s="25">
        <v>50</v>
      </c>
      <c r="I182" s="25"/>
      <c r="J182" s="22">
        <v>1</v>
      </c>
      <c r="K182" s="26" t="s">
        <v>899</v>
      </c>
      <c r="L182" s="25" t="s">
        <v>1015</v>
      </c>
      <c r="M182" s="26" t="s">
        <v>161</v>
      </c>
      <c r="N182" s="25">
        <v>0</v>
      </c>
      <c r="O182" s="26" t="s">
        <v>1012</v>
      </c>
      <c r="P182" s="25" t="s">
        <v>268</v>
      </c>
      <c r="Q182" s="27">
        <v>1.01188665392088</v>
      </c>
      <c r="R182" s="27">
        <v>1.04338919791509</v>
      </c>
      <c r="S182" s="27">
        <v>0.53272980881426202</v>
      </c>
      <c r="T182" s="27">
        <v>0.54911700440503297</v>
      </c>
      <c r="U182" s="27">
        <v>0.38524653356573901</v>
      </c>
      <c r="V182" s="27">
        <v>0.356233086521556</v>
      </c>
      <c r="W182" s="27">
        <v>0.34750234337700397</v>
      </c>
      <c r="X182" s="27">
        <v>0.263757327095202</v>
      </c>
      <c r="Y182" s="27">
        <v>0.235682235486534</v>
      </c>
      <c r="Z182" s="27">
        <v>0.21186538541079</v>
      </c>
      <c r="AA182" s="27"/>
      <c r="AB182" s="25">
        <f>COUNT(Q182:AA182)</f>
        <v>10</v>
      </c>
      <c r="AC182" s="28">
        <f>AB182/11</f>
        <v>0.90909090909090906</v>
      </c>
      <c r="AD182" s="25">
        <f>IFERROR(INDEX($Q$4:$AA$4,MATCH(TRUE,INDEX(ISNUMBER(Q182:AA182),0),0)),"")</f>
        <v>2015</v>
      </c>
      <c r="AE182" s="25">
        <f>IFERROR(LOOKUP(2,1/ISNUMBER(Q182:AA182),$Q$4:$AA$4),"")</f>
        <v>2024</v>
      </c>
      <c r="AF182" s="28">
        <f>IF(AB182=0,"",AB182/(AE182-AD182+1))</f>
        <v>1</v>
      </c>
      <c r="AG182" s="25">
        <f>IF(AB182=0,"",'01_Criterios'!$C$8-AE182)</f>
        <v>1</v>
      </c>
      <c r="AH182" s="29">
        <f>IF(P182="Em uso",100,IF(P182="Alta",85,IF(P182="Média",55,30)))</f>
        <v>30</v>
      </c>
      <c r="AI182" s="29">
        <f>ROUND(100*AC182,1)</f>
        <v>90.9</v>
      </c>
      <c r="AJ182" s="29">
        <f>IF(AB182=0,0,ROUND(MAX(0,100*AF182-10*AG182),1))</f>
        <v>90</v>
      </c>
      <c r="AK182" s="29">
        <f>ROUND(('01_Criterios'!$C$19*AH182+'01_Criterios'!$C$20*AI182+'01_Criterios'!$C$21*AJ182)/('01_Criterios'!$C$19+'01_Criterios'!$C$20+'01_Criterios'!$C$21)+N182*'01_Criterios'!$C$22,1)</f>
        <v>66.3</v>
      </c>
      <c r="AL182" s="25">
        <f>IF(AND(AB182&gt;=3,AC182&gt;='01_Criterios'!$C$11,N(AE182)&gt;='01_Criterios'!$C$12,OR(F182="+",F182="-"),ISNUMBER(G182),ISNUMBER(H182)),1,0)</f>
        <v>0</v>
      </c>
      <c r="AM182" s="30" t="str">
        <f>IF(AL182=1,"",TRIM(IF(AB182=0,"sem dados no período; ",IF(AB182&lt;3,"série demasiado curta; ",""))&amp;IF(AND(AB182&gt;0,AC182&lt;'01_Criterios'!$C$11),"cobertura insuficiente; ","")&amp;IF(AND(AB182&gt;0,N(AE182)&lt;'01_Criterios'!$C$12),"desactualizado; ","")&amp;IF(AND(F182&lt;&gt;"+",F182&lt;&gt;"-"),"sentido ambíguo; ","")&amp;IF(OR(NOT(ISNUMBER(G182)),NOT(ISNUMBER(H182))),"sem limites min/max; ","")))</f>
        <v>sentido ambíguo;</v>
      </c>
      <c r="AN182" s="25">
        <f>IF(OR(AL182=0,$AP182="Excluir"),0,IF(SUMPRODUCT(($O$5:$O$335=$O182)*($AL$5:$AL$335=1)*($AP$5:$AP$335&lt;&gt;"Excluir")*(($AK$5:$AK$335&gt;$AK182)+(($AK$5:$AK$335=$AK182)*(ROW($O$5:$O$335)&lt;ROW()))))=0,1,0))</f>
        <v>0</v>
      </c>
      <c r="AO182" s="25" t="str">
        <f>IF(AN182=0,"",1+SUMPRODUCT(($B$5:$B$335=$B182)*($AN$5:$AN$335=1)*(($AK$5:$AK$335&gt;$AK182)+(($AK$5:$AK$335=$AK182)*(ROW($B$5:$B$335)&lt;ROW())))))</f>
        <v/>
      </c>
      <c r="AP182" s="22" t="s">
        <v>131</v>
      </c>
      <c r="AQ182" s="25">
        <f>IF(INDEX('01_Criterios'!$C$26:$C$36,MATCH($B182,'01_Criterios'!$B$26:$B$36,0))&lt;&gt;1,0,IF($AP182="Excluir",0,IF($AP182="Incluir",IF(AND(OR($F182="+",$F182="-"),ISNUMBER($G182),ISNUMBER($H182),COUNT($Q182:$AA182)&gt;0),1,0),IF('01_Criterios'!$C$18="Automática",IF(AND($AN182=1,$AO182&lt;&gt;"",$AO182&lt;=INDEX('01_Criterios'!$E$26:$E$36,MATCH($B182,'01_Criterios'!$B$26:$B$36,0))),1,0),0))))</f>
        <v>0</v>
      </c>
      <c r="AR182" s="25" t="str">
        <f>IF(AQ182=0,"",IF($AO182&lt;&gt;"",1+SUMPRODUCT(($B$5:$B$335=$B182)*($AQ$5:$AQ$335=1)*($AO$5:$AO$335&lt;$AO182)),1+SUMPRODUCT(($B$5:$B$335=$B182)*($AQ$5:$AQ$335=1)*ISNUMBER($AO$5:$AO$335))+SUMPRODUCT(($B$5:$B$335=$B182)*($AQ$5:$AQ$335=1)*($AO$5:$AO$335="")*(ROW($AO$5:$AO$335)&lt;ROW()))))</f>
        <v/>
      </c>
      <c r="AS182" s="24" t="s">
        <v>1016</v>
      </c>
    </row>
    <row r="183" spans="1:45">
      <c r="A183" s="20" t="s">
        <v>1017</v>
      </c>
      <c r="B183" s="21" t="s">
        <v>81</v>
      </c>
      <c r="C183" s="21" t="s">
        <v>1018</v>
      </c>
      <c r="D183" s="21" t="s">
        <v>1019</v>
      </c>
      <c r="E183" s="20" t="s">
        <v>157</v>
      </c>
      <c r="F183" s="20" t="s">
        <v>126</v>
      </c>
      <c r="G183" s="20">
        <v>0</v>
      </c>
      <c r="H183" s="20">
        <v>100</v>
      </c>
      <c r="I183" s="20">
        <v>65</v>
      </c>
      <c r="J183" s="22">
        <v>1</v>
      </c>
      <c r="K183" s="21" t="s">
        <v>714</v>
      </c>
      <c r="L183" s="20" t="s">
        <v>1020</v>
      </c>
      <c r="M183" s="21" t="s">
        <v>161</v>
      </c>
      <c r="N183" s="20">
        <v>1</v>
      </c>
      <c r="O183" s="21" t="s">
        <v>1017</v>
      </c>
      <c r="P183" s="20" t="s">
        <v>130</v>
      </c>
      <c r="Q183" s="6">
        <v>63.637999999999998</v>
      </c>
      <c r="R183" s="6">
        <v>63.320999999999998</v>
      </c>
      <c r="S183" s="6">
        <v>63.045000000000002</v>
      </c>
      <c r="T183" s="6">
        <v>62.811999999999998</v>
      </c>
      <c r="U183" s="6">
        <v>62.643999999999998</v>
      </c>
      <c r="V183" s="6">
        <v>61.078000000000003</v>
      </c>
      <c r="W183" s="6">
        <v>64.305999999999997</v>
      </c>
      <c r="X183" s="6">
        <v>64.619</v>
      </c>
      <c r="Y183" s="6">
        <v>64.369</v>
      </c>
      <c r="Z183" s="6">
        <v>64.382999999999996</v>
      </c>
      <c r="AA183" s="6">
        <v>64.236000000000004</v>
      </c>
      <c r="AB183" s="20">
        <f>COUNT(Q183:AA183)</f>
        <v>11</v>
      </c>
      <c r="AC183" s="23">
        <f>AB183/11</f>
        <v>1</v>
      </c>
      <c r="AD183" s="20">
        <f>IFERROR(INDEX($Q$4:$AA$4,MATCH(TRUE,INDEX(ISNUMBER(Q183:AA183),0),0)),"")</f>
        <v>2015</v>
      </c>
      <c r="AE183" s="20">
        <f>IFERROR(LOOKUP(2,1/ISNUMBER(Q183:AA183),$Q$4:$AA$4),"")</f>
        <v>2025</v>
      </c>
      <c r="AF183" s="23">
        <f>IF(AB183=0,"",AB183/(AE183-AD183+1))</f>
        <v>1</v>
      </c>
      <c r="AG183" s="20">
        <f>IF(AB183=0,"",'01_Criterios'!$C$8-AE183)</f>
        <v>0</v>
      </c>
      <c r="AH183" s="7">
        <f>IF(P183="Em uso",100,IF(P183="Alta",85,IF(P183="Média",55,30)))</f>
        <v>100</v>
      </c>
      <c r="AI183" s="7">
        <f>ROUND(100*AC183,1)</f>
        <v>100</v>
      </c>
      <c r="AJ183" s="7">
        <f>IF(AB183=0,0,ROUND(MAX(0,100*AF183-10*AG183),1))</f>
        <v>100</v>
      </c>
      <c r="AK183" s="7">
        <f>ROUND(('01_Criterios'!$C$19*AH183+'01_Criterios'!$C$20*AI183+'01_Criterios'!$C$21*AJ183)/('01_Criterios'!$C$19+'01_Criterios'!$C$20+'01_Criterios'!$C$21)+N183*'01_Criterios'!$C$22,1)</f>
        <v>112</v>
      </c>
      <c r="AL183" s="20">
        <f>IF(AND(AB183&gt;=3,AC183&gt;='01_Criterios'!$C$11,N(AE183)&gt;='01_Criterios'!$C$12,OR(F183="+",F183="-"),ISNUMBER(G183),ISNUMBER(H183)),1,0)</f>
        <v>1</v>
      </c>
      <c r="AM183" s="24" t="str">
        <f>IF(AL183=1,"",TRIM(IF(AB183=0,"sem dados no período; ",IF(AB183&lt;3,"série demasiado curta; ",""))&amp;IF(AND(AB183&gt;0,AC183&lt;'01_Criterios'!$C$11),"cobertura insuficiente; ","")&amp;IF(AND(AB183&gt;0,N(AE183)&lt;'01_Criterios'!$C$12),"desactualizado; ","")&amp;IF(AND(F183&lt;&gt;"+",F183&lt;&gt;"-"),"sentido ambíguo; ","")&amp;IF(OR(NOT(ISNUMBER(G183)),NOT(ISNUMBER(H183))),"sem limites min/max; ","")))</f>
        <v/>
      </c>
      <c r="AN183" s="20">
        <f>IF(OR(AL183=0,$AP183="Excluir"),0,IF(SUMPRODUCT(($O$5:$O$335=$O183)*($AL$5:$AL$335=1)*($AP$5:$AP$335&lt;&gt;"Excluir")*(($AK$5:$AK$335&gt;$AK183)+(($AK$5:$AK$335=$AK183)*(ROW($O$5:$O$335)&lt;ROW()))))=0,1,0))</f>
        <v>1</v>
      </c>
      <c r="AO183" s="20">
        <f>IF(AN183=0,"",1+SUMPRODUCT(($B$5:$B$335=$B183)*($AN$5:$AN$335=1)*(($AK$5:$AK$335&gt;$AK183)+(($AK$5:$AK$335=$AK183)*(ROW($B$5:$B$335)&lt;ROW())))))</f>
        <v>1</v>
      </c>
      <c r="AP183" s="22" t="s">
        <v>131</v>
      </c>
      <c r="AQ183" s="20">
        <f>IF(INDEX('01_Criterios'!$C$26:$C$36,MATCH($B183,'01_Criterios'!$B$26:$B$36,0))&lt;&gt;1,0,IF($AP183="Excluir",0,IF($AP183="Incluir",IF(AND(OR($F183="+",$F183="-"),ISNUMBER($G183),ISNUMBER($H183),COUNT($Q183:$AA183)&gt;0),1,0),IF('01_Criterios'!$C$18="Automática",IF(AND($AN183=1,$AO183&lt;&gt;"",$AO183&lt;=INDEX('01_Criterios'!$E$26:$E$36,MATCH($B183,'01_Criterios'!$B$26:$B$36,0))),1,0),0))))</f>
        <v>1</v>
      </c>
      <c r="AR183" s="20">
        <f>IF(AQ183=0,"",IF($AO183&lt;&gt;"",1+SUMPRODUCT(($B$5:$B$335=$B183)*($AQ$5:$AQ$335=1)*($AO$5:$AO$335&lt;$AO183)),1+SUMPRODUCT(($B$5:$B$335=$B183)*($AQ$5:$AQ$335=1)*ISNUMBER($AO$5:$AO$335))+SUMPRODUCT(($B$5:$B$335=$B183)*($AQ$5:$AQ$335=1)*($AO$5:$AO$335="")*(ROW($AO$5:$AO$335)&lt;ROW()))))</f>
        <v>1</v>
      </c>
      <c r="AS183" s="24" t="s">
        <v>1021</v>
      </c>
    </row>
    <row r="184" spans="1:45">
      <c r="A184" s="25" t="s">
        <v>1022</v>
      </c>
      <c r="B184" s="26" t="s">
        <v>81</v>
      </c>
      <c r="C184" s="26" t="s">
        <v>1018</v>
      </c>
      <c r="D184" s="26" t="s">
        <v>1023</v>
      </c>
      <c r="E184" s="25" t="s">
        <v>157</v>
      </c>
      <c r="F184" s="25" t="s">
        <v>158</v>
      </c>
      <c r="G184" s="25">
        <v>0</v>
      </c>
      <c r="H184" s="25">
        <v>50</v>
      </c>
      <c r="I184" s="25">
        <v>20</v>
      </c>
      <c r="J184" s="22">
        <v>1</v>
      </c>
      <c r="K184" s="26" t="s">
        <v>714</v>
      </c>
      <c r="L184" s="25" t="s">
        <v>1024</v>
      </c>
      <c r="M184" s="26" t="s">
        <v>161</v>
      </c>
      <c r="N184" s="25">
        <v>1</v>
      </c>
      <c r="O184" s="26" t="s">
        <v>1025</v>
      </c>
      <c r="P184" s="25" t="s">
        <v>130</v>
      </c>
      <c r="Q184" s="27">
        <v>16.472000000000001</v>
      </c>
      <c r="R184" s="27">
        <v>16.571999999999999</v>
      </c>
      <c r="S184" s="27">
        <v>16.617000000000001</v>
      </c>
      <c r="T184" s="27">
        <v>16.602</v>
      </c>
      <c r="U184" s="27">
        <v>16.497</v>
      </c>
      <c r="V184" s="27">
        <v>16.696000000000002</v>
      </c>
      <c r="W184" s="27">
        <v>15.798999999999999</v>
      </c>
      <c r="X184" s="27">
        <v>14.124000000000001</v>
      </c>
      <c r="Y184" s="27">
        <v>14.051</v>
      </c>
      <c r="Z184" s="27">
        <v>14.02</v>
      </c>
      <c r="AA184" s="27">
        <v>14.108000000000001</v>
      </c>
      <c r="AB184" s="25">
        <f>COUNT(Q184:AA184)</f>
        <v>11</v>
      </c>
      <c r="AC184" s="28">
        <f>AB184/11</f>
        <v>1</v>
      </c>
      <c r="AD184" s="25">
        <f>IFERROR(INDEX($Q$4:$AA$4,MATCH(TRUE,INDEX(ISNUMBER(Q184:AA184),0),0)),"")</f>
        <v>2015</v>
      </c>
      <c r="AE184" s="25">
        <f>IFERROR(LOOKUP(2,1/ISNUMBER(Q184:AA184),$Q$4:$AA$4),"")</f>
        <v>2025</v>
      </c>
      <c r="AF184" s="28">
        <f>IF(AB184=0,"",AB184/(AE184-AD184+1))</f>
        <v>1</v>
      </c>
      <c r="AG184" s="25">
        <f>IF(AB184=0,"",'01_Criterios'!$C$8-AE184)</f>
        <v>0</v>
      </c>
      <c r="AH184" s="29">
        <f>IF(P184="Em uso",100,IF(P184="Alta",85,IF(P184="Média",55,30)))</f>
        <v>100</v>
      </c>
      <c r="AI184" s="29">
        <f>ROUND(100*AC184,1)</f>
        <v>100</v>
      </c>
      <c r="AJ184" s="29">
        <f>IF(AB184=0,0,ROUND(MAX(0,100*AF184-10*AG184),1))</f>
        <v>100</v>
      </c>
      <c r="AK184" s="29">
        <f>ROUND(('01_Criterios'!$C$19*AH184+'01_Criterios'!$C$20*AI184+'01_Criterios'!$C$21*AJ184)/('01_Criterios'!$C$19+'01_Criterios'!$C$20+'01_Criterios'!$C$21)+N184*'01_Criterios'!$C$22,1)</f>
        <v>112</v>
      </c>
      <c r="AL184" s="25">
        <f>IF(AND(AB184&gt;=3,AC184&gt;='01_Criterios'!$C$11,N(AE184)&gt;='01_Criterios'!$C$12,OR(F184="+",F184="-"),ISNUMBER(G184),ISNUMBER(H184)),1,0)</f>
        <v>1</v>
      </c>
      <c r="AM184" s="30" t="str">
        <f>IF(AL184=1,"",TRIM(IF(AB184=0,"sem dados no período; ",IF(AB184&lt;3,"série demasiado curta; ",""))&amp;IF(AND(AB184&gt;0,AC184&lt;'01_Criterios'!$C$11),"cobertura insuficiente; ","")&amp;IF(AND(AB184&gt;0,N(AE184)&lt;'01_Criterios'!$C$12),"desactualizado; ","")&amp;IF(AND(F184&lt;&gt;"+",F184&lt;&gt;"-"),"sentido ambíguo; ","")&amp;IF(OR(NOT(ISNUMBER(G184)),NOT(ISNUMBER(H184))),"sem limites min/max; ","")))</f>
        <v/>
      </c>
      <c r="AN184" s="25">
        <f>IF(OR(AL184=0,$AP184="Excluir"),0,IF(SUMPRODUCT(($O$5:$O$335=$O184)*($AL$5:$AL$335=1)*($AP$5:$AP$335&lt;&gt;"Excluir")*(($AK$5:$AK$335&gt;$AK184)+(($AK$5:$AK$335=$AK184)*(ROW($O$5:$O$335)&lt;ROW()))))=0,1,0))</f>
        <v>1</v>
      </c>
      <c r="AO184" s="25">
        <f>IF(AN184=0,"",1+SUMPRODUCT(($B$5:$B$335=$B184)*($AN$5:$AN$335=1)*(($AK$5:$AK$335&gt;$AK184)+(($AK$5:$AK$335=$AK184)*(ROW($B$5:$B$335)&lt;ROW())))))</f>
        <v>2</v>
      </c>
      <c r="AP184" s="22" t="s">
        <v>131</v>
      </c>
      <c r="AQ184" s="25">
        <f>IF(INDEX('01_Criterios'!$C$26:$C$36,MATCH($B184,'01_Criterios'!$B$26:$B$36,0))&lt;&gt;1,0,IF($AP184="Excluir",0,IF($AP184="Incluir",IF(AND(OR($F184="+",$F184="-"),ISNUMBER($G184),ISNUMBER($H184),COUNT($Q184:$AA184)&gt;0),1,0),IF('01_Criterios'!$C$18="Automática",IF(AND($AN184=1,$AO184&lt;&gt;"",$AO184&lt;=INDEX('01_Criterios'!$E$26:$E$36,MATCH($B184,'01_Criterios'!$B$26:$B$36,0))),1,0),0))))</f>
        <v>1</v>
      </c>
      <c r="AR184" s="25">
        <f>IF(AQ184=0,"",IF($AO184&lt;&gt;"",1+SUMPRODUCT(($B$5:$B$335=$B184)*($AQ$5:$AQ$335=1)*($AO$5:$AO$335&lt;$AO184)),1+SUMPRODUCT(($B$5:$B$335=$B184)*($AQ$5:$AQ$335=1)*ISNUMBER($AO$5:$AO$335))+SUMPRODUCT(($B$5:$B$335=$B184)*($AQ$5:$AQ$335=1)*($AO$5:$AO$335="")*(ROW($AO$5:$AO$335)&lt;ROW()))))</f>
        <v>2</v>
      </c>
      <c r="AS184" s="24" t="s">
        <v>1026</v>
      </c>
    </row>
    <row r="185" spans="1:45">
      <c r="A185" s="20" t="s">
        <v>1027</v>
      </c>
      <c r="B185" s="21" t="s">
        <v>81</v>
      </c>
      <c r="C185" s="21" t="s">
        <v>1018</v>
      </c>
      <c r="D185" s="21" t="s">
        <v>1028</v>
      </c>
      <c r="E185" s="20" t="s">
        <v>157</v>
      </c>
      <c r="F185" s="20" t="s">
        <v>158</v>
      </c>
      <c r="G185" s="20">
        <v>0</v>
      </c>
      <c r="H185" s="20">
        <v>50</v>
      </c>
      <c r="I185" s="20"/>
      <c r="J185" s="22">
        <v>1</v>
      </c>
      <c r="K185" s="21" t="s">
        <v>714</v>
      </c>
      <c r="L185" s="20" t="s">
        <v>1029</v>
      </c>
      <c r="M185" s="21" t="s">
        <v>161</v>
      </c>
      <c r="N185" s="20">
        <v>1</v>
      </c>
      <c r="O185" s="21" t="s">
        <v>1030</v>
      </c>
      <c r="P185" s="20" t="s">
        <v>130</v>
      </c>
      <c r="Q185" s="6">
        <v>35.122</v>
      </c>
      <c r="R185" s="6">
        <v>34.482999999999997</v>
      </c>
      <c r="S185" s="6">
        <v>33.725000000000001</v>
      </c>
      <c r="T185" s="6">
        <v>32.854999999999997</v>
      </c>
      <c r="U185" s="6">
        <v>31.832000000000001</v>
      </c>
      <c r="V185" s="6">
        <v>33.076000000000001</v>
      </c>
      <c r="W185" s="6">
        <v>30.170999999999999</v>
      </c>
      <c r="X185" s="6">
        <v>27.143000000000001</v>
      </c>
      <c r="Y185" s="6">
        <v>26.834</v>
      </c>
      <c r="Z185" s="6">
        <v>26.74</v>
      </c>
      <c r="AA185" s="6">
        <v>27.228999999999999</v>
      </c>
      <c r="AB185" s="20">
        <f>COUNT(Q185:AA185)</f>
        <v>11</v>
      </c>
      <c r="AC185" s="23">
        <f>AB185/11</f>
        <v>1</v>
      </c>
      <c r="AD185" s="20">
        <f>IFERROR(INDEX($Q$4:$AA$4,MATCH(TRUE,INDEX(ISNUMBER(Q185:AA185),0),0)),"")</f>
        <v>2015</v>
      </c>
      <c r="AE185" s="20">
        <f>IFERROR(LOOKUP(2,1/ISNUMBER(Q185:AA185),$Q$4:$AA$4),"")</f>
        <v>2025</v>
      </c>
      <c r="AF185" s="23">
        <f>IF(AB185=0,"",AB185/(AE185-AD185+1))</f>
        <v>1</v>
      </c>
      <c r="AG185" s="20">
        <f>IF(AB185=0,"",'01_Criterios'!$C$8-AE185)</f>
        <v>0</v>
      </c>
      <c r="AH185" s="7">
        <f>IF(P185="Em uso",100,IF(P185="Alta",85,IF(P185="Média",55,30)))</f>
        <v>100</v>
      </c>
      <c r="AI185" s="7">
        <f>ROUND(100*AC185,1)</f>
        <v>100</v>
      </c>
      <c r="AJ185" s="7">
        <f>IF(AB185=0,0,ROUND(MAX(0,100*AF185-10*AG185),1))</f>
        <v>100</v>
      </c>
      <c r="AK185" s="7">
        <f>ROUND(('01_Criterios'!$C$19*AH185+'01_Criterios'!$C$20*AI185+'01_Criterios'!$C$21*AJ185)/('01_Criterios'!$C$19+'01_Criterios'!$C$20+'01_Criterios'!$C$21)+N185*'01_Criterios'!$C$22,1)</f>
        <v>112</v>
      </c>
      <c r="AL185" s="20">
        <f>IF(AND(AB185&gt;=3,AC185&gt;='01_Criterios'!$C$11,N(AE185)&gt;='01_Criterios'!$C$12,OR(F185="+",F185="-"),ISNUMBER(G185),ISNUMBER(H185)),1,0)</f>
        <v>1</v>
      </c>
      <c r="AM185" s="24" t="str">
        <f>IF(AL185=1,"",TRIM(IF(AB185=0,"sem dados no período; ",IF(AB185&lt;3,"série demasiado curta; ",""))&amp;IF(AND(AB185&gt;0,AC185&lt;'01_Criterios'!$C$11),"cobertura insuficiente; ","")&amp;IF(AND(AB185&gt;0,N(AE185)&lt;'01_Criterios'!$C$12),"desactualizado; ","")&amp;IF(AND(F185&lt;&gt;"+",F185&lt;&gt;"-"),"sentido ambíguo; ","")&amp;IF(OR(NOT(ISNUMBER(G185)),NOT(ISNUMBER(H185))),"sem limites min/max; ","")))</f>
        <v/>
      </c>
      <c r="AN185" s="20">
        <f>IF(OR(AL185=0,$AP185="Excluir"),0,IF(SUMPRODUCT(($O$5:$O$335=$O185)*($AL$5:$AL$335=1)*($AP$5:$AP$335&lt;&gt;"Excluir")*(($AK$5:$AK$335&gt;$AK185)+(($AK$5:$AK$335=$AK185)*(ROW($O$5:$O$335)&lt;ROW()))))=0,1,0))</f>
        <v>1</v>
      </c>
      <c r="AO185" s="20">
        <f>IF(AN185=0,"",1+SUMPRODUCT(($B$5:$B$335=$B185)*($AN$5:$AN$335=1)*(($AK$5:$AK$335&gt;$AK185)+(($AK$5:$AK$335=$AK185)*(ROW($B$5:$B$335)&lt;ROW())))))</f>
        <v>3</v>
      </c>
      <c r="AP185" s="22" t="s">
        <v>131</v>
      </c>
      <c r="AQ185" s="20">
        <f>IF(INDEX('01_Criterios'!$C$26:$C$36,MATCH($B185,'01_Criterios'!$B$26:$B$36,0))&lt;&gt;1,0,IF($AP185="Excluir",0,IF($AP185="Incluir",IF(AND(OR($F185="+",$F185="-"),ISNUMBER($G185),ISNUMBER($H185),COUNT($Q185:$AA185)&gt;0),1,0),IF('01_Criterios'!$C$18="Automática",IF(AND($AN185=1,$AO185&lt;&gt;"",$AO185&lt;=INDEX('01_Criterios'!$E$26:$E$36,MATCH($B185,'01_Criterios'!$B$26:$B$36,0))),1,0),0))))</f>
        <v>1</v>
      </c>
      <c r="AR185" s="20">
        <f>IF(AQ185=0,"",IF($AO185&lt;&gt;"",1+SUMPRODUCT(($B$5:$B$335=$B185)*($AQ$5:$AQ$335=1)*($AO$5:$AO$335&lt;$AO185)),1+SUMPRODUCT(($B$5:$B$335=$B185)*($AQ$5:$AQ$335=1)*ISNUMBER($AO$5:$AO$335))+SUMPRODUCT(($B$5:$B$335=$B185)*($AQ$5:$AQ$335=1)*($AO$5:$AO$335="")*(ROW($AO$5:$AO$335)&lt;ROW()))))</f>
        <v>3</v>
      </c>
      <c r="AS185" s="24" t="s">
        <v>2232</v>
      </c>
    </row>
    <row r="186" spans="1:45">
      <c r="A186" s="25" t="s">
        <v>1032</v>
      </c>
      <c r="B186" s="26" t="s">
        <v>81</v>
      </c>
      <c r="C186" s="26" t="s">
        <v>1018</v>
      </c>
      <c r="D186" s="26" t="s">
        <v>1033</v>
      </c>
      <c r="E186" s="25" t="s">
        <v>157</v>
      </c>
      <c r="F186" s="25" t="s">
        <v>158</v>
      </c>
      <c r="G186" s="25">
        <v>0</v>
      </c>
      <c r="H186" s="25">
        <v>100</v>
      </c>
      <c r="I186" s="25">
        <v>50</v>
      </c>
      <c r="J186" s="22">
        <v>1</v>
      </c>
      <c r="K186" s="26" t="s">
        <v>714</v>
      </c>
      <c r="L186" s="25"/>
      <c r="M186" s="26" t="s">
        <v>129</v>
      </c>
      <c r="N186" s="25">
        <v>1</v>
      </c>
      <c r="O186" s="26" t="s">
        <v>1034</v>
      </c>
      <c r="P186" s="25" t="s">
        <v>130</v>
      </c>
      <c r="Q186" s="27"/>
      <c r="R186" s="27"/>
      <c r="S186" s="27"/>
      <c r="T186" s="27"/>
      <c r="U186" s="27">
        <v>74.541815932249506</v>
      </c>
      <c r="V186" s="27">
        <v>80.353574999537301</v>
      </c>
      <c r="W186" s="27">
        <v>80.447517651503802</v>
      </c>
      <c r="X186" s="27">
        <v>79.860137204835098</v>
      </c>
      <c r="Y186" s="27">
        <v>80.4880950864722</v>
      </c>
      <c r="Z186" s="27">
        <v>79.759922565439297</v>
      </c>
      <c r="AA186" s="27">
        <v>77.120842484637393</v>
      </c>
      <c r="AB186" s="25">
        <f>COUNT(Q186:AA186)</f>
        <v>7</v>
      </c>
      <c r="AC186" s="28">
        <f>AB186/11</f>
        <v>0.63636363636363635</v>
      </c>
      <c r="AD186" s="25">
        <f>IFERROR(INDEX($Q$4:$AA$4,MATCH(TRUE,INDEX(ISNUMBER(Q186:AA186),0),0)),"")</f>
        <v>2019</v>
      </c>
      <c r="AE186" s="25">
        <f>IFERROR(LOOKUP(2,1/ISNUMBER(Q186:AA186),$Q$4:$AA$4),"")</f>
        <v>2025</v>
      </c>
      <c r="AF186" s="28">
        <f>IF(AB186=0,"",AB186/(AE186-AD186+1))</f>
        <v>1</v>
      </c>
      <c r="AG186" s="25">
        <f>IF(AB186=0,"",'01_Criterios'!$C$8-AE186)</f>
        <v>0</v>
      </c>
      <c r="AH186" s="29">
        <f>IF(P186="Em uso",100,IF(P186="Alta",85,IF(P186="Média",55,30)))</f>
        <v>100</v>
      </c>
      <c r="AI186" s="29">
        <f>ROUND(100*AC186,1)</f>
        <v>63.6</v>
      </c>
      <c r="AJ186" s="29">
        <f>IF(AB186=0,0,ROUND(MAX(0,100*AF186-10*AG186),1))</f>
        <v>100</v>
      </c>
      <c r="AK186" s="29">
        <f>ROUND(('01_Criterios'!$C$19*AH186+'01_Criterios'!$C$20*AI186+'01_Criterios'!$C$21*AJ186)/('01_Criterios'!$C$19+'01_Criterios'!$C$20+'01_Criterios'!$C$21)+N186*'01_Criterios'!$C$22,1)</f>
        <v>99.3</v>
      </c>
      <c r="AL186" s="25">
        <f>IF(AND(AB186&gt;=3,AC186&gt;='01_Criterios'!$C$11,N(AE186)&gt;='01_Criterios'!$C$12,OR(F186="+",F186="-"),ISNUMBER(G186),ISNUMBER(H186)),1,0)</f>
        <v>0</v>
      </c>
      <c r="AM186" s="30" t="str">
        <f>IF(AL186=1,"",TRIM(IF(AB186=0,"sem dados no período; ",IF(AB186&lt;3,"série demasiado curta; ",""))&amp;IF(AND(AB186&gt;0,AC186&lt;'01_Criterios'!$C$11),"cobertura insuficiente; ","")&amp;IF(AND(AB186&gt;0,N(AE186)&lt;'01_Criterios'!$C$12),"desactualizado; ","")&amp;IF(AND(F186&lt;&gt;"+",F186&lt;&gt;"-"),"sentido ambíguo; ","")&amp;IF(OR(NOT(ISNUMBER(G186)),NOT(ISNUMBER(H186))),"sem limites min/max; ","")))</f>
        <v>cobertura insuficiente;</v>
      </c>
      <c r="AN186" s="25">
        <f>IF(OR(AL186=0,$AP186="Excluir"),0,IF(SUMPRODUCT(($O$5:$O$335=$O186)*($AL$5:$AL$335=1)*($AP$5:$AP$335&lt;&gt;"Excluir")*(($AK$5:$AK$335&gt;$AK186)+(($AK$5:$AK$335=$AK186)*(ROW($O$5:$O$335)&lt;ROW()))))=0,1,0))</f>
        <v>0</v>
      </c>
      <c r="AO186" s="25" t="str">
        <f>IF(AN186=0,"",1+SUMPRODUCT(($B$5:$B$335=$B186)*($AN$5:$AN$335=1)*(($AK$5:$AK$335&gt;$AK186)+(($AK$5:$AK$335=$AK186)*(ROW($B$5:$B$335)&lt;ROW())))))</f>
        <v/>
      </c>
      <c r="AP186" s="22" t="s">
        <v>131</v>
      </c>
      <c r="AQ186" s="25">
        <f>IF(INDEX('01_Criterios'!$C$26:$C$36,MATCH($B186,'01_Criterios'!$B$26:$B$36,0))&lt;&gt;1,0,IF($AP186="Excluir",0,IF($AP186="Incluir",IF(AND(OR($F186="+",$F186="-"),ISNUMBER($G186),ISNUMBER($H186),COUNT($Q186:$AA186)&gt;0),1,0),IF('01_Criterios'!$C$18="Automática",IF(AND($AN186=1,$AO186&lt;&gt;"",$AO186&lt;=INDEX('01_Criterios'!$E$26:$E$36,MATCH($B186,'01_Criterios'!$B$26:$B$36,0))),1,0),0))))</f>
        <v>0</v>
      </c>
      <c r="AR186" s="25" t="str">
        <f>IF(AQ186=0,"",IF($AO186&lt;&gt;"",1+SUMPRODUCT(($B$5:$B$335=$B186)*($AQ$5:$AQ$335=1)*($AO$5:$AO$335&lt;$AO186)),1+SUMPRODUCT(($B$5:$B$335=$B186)*($AQ$5:$AQ$335=1)*ISNUMBER($AO$5:$AO$335))+SUMPRODUCT(($B$5:$B$335=$B186)*($AQ$5:$AQ$335=1)*($AO$5:$AO$335="")*(ROW($AO$5:$AO$335)&lt;ROW()))))</f>
        <v/>
      </c>
      <c r="AS186" s="24" t="s">
        <v>132</v>
      </c>
    </row>
    <row r="187" spans="1:45">
      <c r="A187" s="20" t="s">
        <v>1035</v>
      </c>
      <c r="B187" s="21" t="s">
        <v>81</v>
      </c>
      <c r="C187" s="21" t="s">
        <v>1018</v>
      </c>
      <c r="D187" s="21" t="s">
        <v>1036</v>
      </c>
      <c r="E187" s="20" t="s">
        <v>157</v>
      </c>
      <c r="F187" s="20" t="s">
        <v>126</v>
      </c>
      <c r="G187" s="20">
        <v>0</v>
      </c>
      <c r="H187" s="20">
        <v>100</v>
      </c>
      <c r="I187" s="20">
        <v>40</v>
      </c>
      <c r="J187" s="22">
        <v>1</v>
      </c>
      <c r="K187" s="21" t="s">
        <v>710</v>
      </c>
      <c r="L187" s="20"/>
      <c r="M187" s="21" t="s">
        <v>129</v>
      </c>
      <c r="N187" s="20">
        <v>1</v>
      </c>
      <c r="O187" s="21" t="s">
        <v>1034</v>
      </c>
      <c r="P187" s="20" t="s">
        <v>130</v>
      </c>
      <c r="Q187" s="6"/>
      <c r="R187" s="6"/>
      <c r="S187" s="6"/>
      <c r="T187" s="6"/>
      <c r="U187" s="6">
        <v>25.458184067750501</v>
      </c>
      <c r="V187" s="6">
        <v>19.646425000462699</v>
      </c>
      <c r="W187" s="6">
        <v>19.552482348496198</v>
      </c>
      <c r="X187" s="6">
        <v>20.139862795164898</v>
      </c>
      <c r="Y187" s="6">
        <v>19.5119049135278</v>
      </c>
      <c r="Z187" s="6">
        <v>20.2400774345607</v>
      </c>
      <c r="AA187" s="6">
        <v>22.8791575153626</v>
      </c>
      <c r="AB187" s="20">
        <f>COUNT(Q187:AA187)</f>
        <v>7</v>
      </c>
      <c r="AC187" s="23">
        <f>AB187/11</f>
        <v>0.63636363636363635</v>
      </c>
      <c r="AD187" s="20">
        <f>IFERROR(INDEX($Q$4:$AA$4,MATCH(TRUE,INDEX(ISNUMBER(Q187:AA187),0),0)),"")</f>
        <v>2019</v>
      </c>
      <c r="AE187" s="20">
        <f>IFERROR(LOOKUP(2,1/ISNUMBER(Q187:AA187),$Q$4:$AA$4),"")</f>
        <v>2025</v>
      </c>
      <c r="AF187" s="23">
        <f>IF(AB187=0,"",AB187/(AE187-AD187+1))</f>
        <v>1</v>
      </c>
      <c r="AG187" s="20">
        <f>IF(AB187=0,"",'01_Criterios'!$C$8-AE187)</f>
        <v>0</v>
      </c>
      <c r="AH187" s="7">
        <f>IF(P187="Em uso",100,IF(P187="Alta",85,IF(P187="Média",55,30)))</f>
        <v>100</v>
      </c>
      <c r="AI187" s="7">
        <f>ROUND(100*AC187,1)</f>
        <v>63.6</v>
      </c>
      <c r="AJ187" s="7">
        <f>IF(AB187=0,0,ROUND(MAX(0,100*AF187-10*AG187),1))</f>
        <v>100</v>
      </c>
      <c r="AK187" s="7">
        <f>ROUND(('01_Criterios'!$C$19*AH187+'01_Criterios'!$C$20*AI187+'01_Criterios'!$C$21*AJ187)/('01_Criterios'!$C$19+'01_Criterios'!$C$20+'01_Criterios'!$C$21)+N187*'01_Criterios'!$C$22,1)</f>
        <v>99.3</v>
      </c>
      <c r="AL187" s="20">
        <f>IF(AND(AB187&gt;=3,AC187&gt;='01_Criterios'!$C$11,N(AE187)&gt;='01_Criterios'!$C$12,OR(F187="+",F187="-"),ISNUMBER(G187),ISNUMBER(H187)),1,0)</f>
        <v>0</v>
      </c>
      <c r="AM187" s="24" t="str">
        <f>IF(AL187=1,"",TRIM(IF(AB187=0,"sem dados no período; ",IF(AB187&lt;3,"série demasiado curta; ",""))&amp;IF(AND(AB187&gt;0,AC187&lt;'01_Criterios'!$C$11),"cobertura insuficiente; ","")&amp;IF(AND(AB187&gt;0,N(AE187)&lt;'01_Criterios'!$C$12),"desactualizado; ","")&amp;IF(AND(F187&lt;&gt;"+",F187&lt;&gt;"-"),"sentido ambíguo; ","")&amp;IF(OR(NOT(ISNUMBER(G187)),NOT(ISNUMBER(H187))),"sem limites min/max; ","")))</f>
        <v>cobertura insuficiente;</v>
      </c>
      <c r="AN187" s="20">
        <f>IF(OR(AL187=0,$AP187="Excluir"),0,IF(SUMPRODUCT(($O$5:$O$335=$O187)*($AL$5:$AL$335=1)*($AP$5:$AP$335&lt;&gt;"Excluir")*(($AK$5:$AK$335&gt;$AK187)+(($AK$5:$AK$335=$AK187)*(ROW($O$5:$O$335)&lt;ROW()))))=0,1,0))</f>
        <v>0</v>
      </c>
      <c r="AO187" s="20" t="str">
        <f>IF(AN187=0,"",1+SUMPRODUCT(($B$5:$B$335=$B187)*($AN$5:$AN$335=1)*(($AK$5:$AK$335&gt;$AK187)+(($AK$5:$AK$335=$AK187)*(ROW($B$5:$B$335)&lt;ROW())))))</f>
        <v/>
      </c>
      <c r="AP187" s="22" t="s">
        <v>131</v>
      </c>
      <c r="AQ187" s="20">
        <f>IF(INDEX('01_Criterios'!$C$26:$C$36,MATCH($B187,'01_Criterios'!$B$26:$B$36,0))&lt;&gt;1,0,IF($AP187="Excluir",0,IF($AP187="Incluir",IF(AND(OR($F187="+",$F187="-"),ISNUMBER($G187),ISNUMBER($H187),COUNT($Q187:$AA187)&gt;0),1,0),IF('01_Criterios'!$C$18="Automática",IF(AND($AN187=1,$AO187&lt;&gt;"",$AO187&lt;=INDEX('01_Criterios'!$E$26:$E$36,MATCH($B187,'01_Criterios'!$B$26:$B$36,0))),1,0),0))))</f>
        <v>0</v>
      </c>
      <c r="AR187" s="20" t="str">
        <f>IF(AQ187=0,"",IF($AO187&lt;&gt;"",1+SUMPRODUCT(($B$5:$B$335=$B187)*($AQ$5:$AQ$335=1)*($AO$5:$AO$335&lt;$AO187)),1+SUMPRODUCT(($B$5:$B$335=$B187)*($AQ$5:$AQ$335=1)*ISNUMBER($AO$5:$AO$335))+SUMPRODUCT(($B$5:$B$335=$B187)*($AQ$5:$AQ$335=1)*($AO$5:$AO$335="")*(ROW($AO$5:$AO$335)&lt;ROW()))))</f>
        <v/>
      </c>
      <c r="AS187" s="24" t="s">
        <v>132</v>
      </c>
    </row>
    <row r="188" spans="1:45">
      <c r="A188" s="25" t="s">
        <v>1037</v>
      </c>
      <c r="B188" s="26" t="s">
        <v>81</v>
      </c>
      <c r="C188" s="26" t="s">
        <v>1018</v>
      </c>
      <c r="D188" s="26" t="s">
        <v>1038</v>
      </c>
      <c r="E188" s="25" t="s">
        <v>157</v>
      </c>
      <c r="F188" s="25" t="s">
        <v>126</v>
      </c>
      <c r="G188" s="25">
        <v>-5</v>
      </c>
      <c r="H188" s="25">
        <v>10</v>
      </c>
      <c r="I188" s="25">
        <v>3</v>
      </c>
      <c r="J188" s="22">
        <v>1</v>
      </c>
      <c r="K188" s="26" t="s">
        <v>273</v>
      </c>
      <c r="L188" s="25"/>
      <c r="M188" s="26" t="s">
        <v>129</v>
      </c>
      <c r="N188" s="25">
        <v>1</v>
      </c>
      <c r="O188" s="26" t="s">
        <v>1039</v>
      </c>
      <c r="P188" s="25" t="s">
        <v>130</v>
      </c>
      <c r="Q188" s="27"/>
      <c r="R188" s="27"/>
      <c r="S188" s="27"/>
      <c r="T188" s="27"/>
      <c r="U188" s="27"/>
      <c r="V188" s="27"/>
      <c r="W188" s="27"/>
      <c r="X188" s="27"/>
      <c r="Y188" s="27"/>
      <c r="Z188" s="27"/>
      <c r="AA188" s="27"/>
      <c r="AB188" s="25">
        <f>COUNT(Q188:AA188)</f>
        <v>0</v>
      </c>
      <c r="AC188" s="28">
        <f>AB188/11</f>
        <v>0</v>
      </c>
      <c r="AD188" s="25" t="str">
        <f>IFERROR(INDEX($Q$4:$AA$4,MATCH(TRUE,INDEX(ISNUMBER(Q188:AA188),0),0)),"")</f>
        <v/>
      </c>
      <c r="AE188" s="25" t="str">
        <f>IFERROR(LOOKUP(2,1/ISNUMBER(Q188:AA188),$Q$4:$AA$4),"")</f>
        <v/>
      </c>
      <c r="AF188" s="28" t="str">
        <f>IF(AB188=0,"",AB188/(AE188-AD188+1))</f>
        <v/>
      </c>
      <c r="AG188" s="25" t="str">
        <f>IF(AB188=0,"",'01_Criterios'!$C$8-AE188)</f>
        <v/>
      </c>
      <c r="AH188" s="29">
        <f>IF(P188="Em uso",100,IF(P188="Alta",85,IF(P188="Média",55,30)))</f>
        <v>100</v>
      </c>
      <c r="AI188" s="29">
        <f>ROUND(100*AC188,1)</f>
        <v>0</v>
      </c>
      <c r="AJ188" s="29">
        <f>IF(AB188=0,0,ROUND(MAX(0,100*AF188-10*AG188),1))</f>
        <v>0</v>
      </c>
      <c r="AK188" s="29">
        <f>ROUND(('01_Criterios'!$C$19*AH188+'01_Criterios'!$C$20*AI188+'01_Criterios'!$C$21*AJ188)/('01_Criterios'!$C$19+'01_Criterios'!$C$20+'01_Criterios'!$C$21)+N188*'01_Criterios'!$C$22,1)</f>
        <v>52</v>
      </c>
      <c r="AL188" s="25">
        <f>IF(AND(AB188&gt;=3,AC188&gt;='01_Criterios'!$C$11,N(AE188)&gt;='01_Criterios'!$C$12,OR(F188="+",F188="-"),ISNUMBER(G188),ISNUMBER(H188)),1,0)</f>
        <v>0</v>
      </c>
      <c r="AM188" s="30" t="str">
        <f>IF(AL188=1,"",TRIM(IF(AB188=0,"sem dados no período; ",IF(AB188&lt;3,"série demasiado curta; ",""))&amp;IF(AND(AB188&gt;0,AC188&lt;'01_Criterios'!$C$11),"cobertura insuficiente; ","")&amp;IF(AND(AB188&gt;0,N(AE188)&lt;'01_Criterios'!$C$12),"desactualizado; ","")&amp;IF(AND(F188&lt;&gt;"+",F188&lt;&gt;"-"),"sentido ambíguo; ","")&amp;IF(OR(NOT(ISNUMBER(G188)),NOT(ISNUMBER(H188))),"sem limites min/max; ","")))</f>
        <v>sem dados no período;</v>
      </c>
      <c r="AN188" s="25">
        <f>IF(OR(AL188=0,$AP188="Excluir"),0,IF(SUMPRODUCT(($O$5:$O$335=$O188)*($AL$5:$AL$335=1)*($AP$5:$AP$335&lt;&gt;"Excluir")*(($AK$5:$AK$335&gt;$AK188)+(($AK$5:$AK$335=$AK188)*(ROW($O$5:$O$335)&lt;ROW()))))=0,1,0))</f>
        <v>0</v>
      </c>
      <c r="AO188" s="25" t="str">
        <f>IF(AN188=0,"",1+SUMPRODUCT(($B$5:$B$335=$B188)*($AN$5:$AN$335=1)*(($AK$5:$AK$335&gt;$AK188)+(($AK$5:$AK$335=$AK188)*(ROW($B$5:$B$335)&lt;ROW())))))</f>
        <v/>
      </c>
      <c r="AP188" s="22" t="s">
        <v>131</v>
      </c>
      <c r="AQ188" s="25">
        <f>IF(INDEX('01_Criterios'!$C$26:$C$36,MATCH($B188,'01_Criterios'!$B$26:$B$36,0))&lt;&gt;1,0,IF($AP188="Excluir",0,IF($AP188="Incluir",IF(AND(OR($F188="+",$F188="-"),ISNUMBER($G188),ISNUMBER($H188),COUNT($Q188:$AA188)&gt;0),1,0),IF('01_Criterios'!$C$18="Automática",IF(AND($AN188=1,$AO188&lt;&gt;"",$AO188&lt;=INDEX('01_Criterios'!$E$26:$E$36,MATCH($B188,'01_Criterios'!$B$26:$B$36,0))),1,0),0))))</f>
        <v>0</v>
      </c>
      <c r="AR188" s="25" t="str">
        <f>IF(AQ188=0,"",IF($AO188&lt;&gt;"",1+SUMPRODUCT(($B$5:$B$335=$B188)*($AQ$5:$AQ$335=1)*($AO$5:$AO$335&lt;$AO188)),1+SUMPRODUCT(($B$5:$B$335=$B188)*($AQ$5:$AQ$335=1)*ISNUMBER($AO$5:$AO$335))+SUMPRODUCT(($B$5:$B$335=$B188)*($AQ$5:$AQ$335=1)*($AO$5:$AO$335="")*(ROW($AO$5:$AO$335)&lt;ROW()))))</f>
        <v/>
      </c>
      <c r="AS188" s="24" t="s">
        <v>132</v>
      </c>
    </row>
    <row r="189" spans="1:45">
      <c r="A189" s="20" t="s">
        <v>1040</v>
      </c>
      <c r="B189" s="21" t="s">
        <v>81</v>
      </c>
      <c r="C189" s="21" t="s">
        <v>1018</v>
      </c>
      <c r="D189" s="21" t="s">
        <v>1041</v>
      </c>
      <c r="E189" s="20" t="s">
        <v>1042</v>
      </c>
      <c r="F189" s="20" t="s">
        <v>158</v>
      </c>
      <c r="G189" s="20">
        <v>0</v>
      </c>
      <c r="H189" s="20">
        <v>100</v>
      </c>
      <c r="I189" s="20">
        <v>55</v>
      </c>
      <c r="J189" s="22">
        <v>1</v>
      </c>
      <c r="K189" s="21" t="s">
        <v>1043</v>
      </c>
      <c r="L189" s="20"/>
      <c r="M189" s="21" t="s">
        <v>129</v>
      </c>
      <c r="N189" s="20">
        <v>1</v>
      </c>
      <c r="O189" s="21" t="s">
        <v>1034</v>
      </c>
      <c r="P189" s="20" t="s">
        <v>152</v>
      </c>
      <c r="Q189" s="6"/>
      <c r="R189" s="6"/>
      <c r="S189" s="6"/>
      <c r="T189" s="6"/>
      <c r="U189" s="6"/>
      <c r="V189" s="6"/>
      <c r="W189" s="6"/>
      <c r="X189" s="6"/>
      <c r="Y189" s="6"/>
      <c r="Z189" s="6"/>
      <c r="AA189" s="6"/>
      <c r="AB189" s="20">
        <f>COUNT(Q189:AA189)</f>
        <v>0</v>
      </c>
      <c r="AC189" s="23">
        <f>AB189/11</f>
        <v>0</v>
      </c>
      <c r="AD189" s="20" t="str">
        <f>IFERROR(INDEX($Q$4:$AA$4,MATCH(TRUE,INDEX(ISNUMBER(Q189:AA189),0),0)),"")</f>
        <v/>
      </c>
      <c r="AE189" s="20" t="str">
        <f>IFERROR(LOOKUP(2,1/ISNUMBER(Q189:AA189),$Q$4:$AA$4),"")</f>
        <v/>
      </c>
      <c r="AF189" s="23" t="str">
        <f>IF(AB189=0,"",AB189/(AE189-AD189+1))</f>
        <v/>
      </c>
      <c r="AG189" s="20" t="str">
        <f>IF(AB189=0,"",'01_Criterios'!$C$8-AE189)</f>
        <v/>
      </c>
      <c r="AH189" s="7">
        <f>IF(P189="Em uso",100,IF(P189="Alta",85,IF(P189="Média",55,30)))</f>
        <v>85</v>
      </c>
      <c r="AI189" s="7">
        <f>ROUND(100*AC189,1)</f>
        <v>0</v>
      </c>
      <c r="AJ189" s="7">
        <f>IF(AB189=0,0,ROUND(MAX(0,100*AF189-10*AG189),1))</f>
        <v>0</v>
      </c>
      <c r="AK189" s="7">
        <f>ROUND(('01_Criterios'!$C$19*AH189+'01_Criterios'!$C$20*AI189+'01_Criterios'!$C$21*AJ189)/('01_Criterios'!$C$19+'01_Criterios'!$C$20+'01_Criterios'!$C$21)+N189*'01_Criterios'!$C$22,1)</f>
        <v>46</v>
      </c>
      <c r="AL189" s="20">
        <f>IF(AND(AB189&gt;=3,AC189&gt;='01_Criterios'!$C$11,N(AE189)&gt;='01_Criterios'!$C$12,OR(F189="+",F189="-"),ISNUMBER(G189),ISNUMBER(H189)),1,0)</f>
        <v>0</v>
      </c>
      <c r="AM189" s="24" t="str">
        <f>IF(AL189=1,"",TRIM(IF(AB189=0,"sem dados no período; ",IF(AB189&lt;3,"série demasiado curta; ",""))&amp;IF(AND(AB189&gt;0,AC189&lt;'01_Criterios'!$C$11),"cobertura insuficiente; ","")&amp;IF(AND(AB189&gt;0,N(AE189)&lt;'01_Criterios'!$C$12),"desactualizado; ","")&amp;IF(AND(F189&lt;&gt;"+",F189&lt;&gt;"-"),"sentido ambíguo; ","")&amp;IF(OR(NOT(ISNUMBER(G189)),NOT(ISNUMBER(H189))),"sem limites min/max; ","")))</f>
        <v>sem dados no período;</v>
      </c>
      <c r="AN189" s="20">
        <f>IF(OR(AL189=0,$AP189="Excluir"),0,IF(SUMPRODUCT(($O$5:$O$335=$O189)*($AL$5:$AL$335=1)*($AP$5:$AP$335&lt;&gt;"Excluir")*(($AK$5:$AK$335&gt;$AK189)+(($AK$5:$AK$335=$AK189)*(ROW($O$5:$O$335)&lt;ROW()))))=0,1,0))</f>
        <v>0</v>
      </c>
      <c r="AO189" s="20" t="str">
        <f>IF(AN189=0,"",1+SUMPRODUCT(($B$5:$B$335=$B189)*($AN$5:$AN$335=1)*(($AK$5:$AK$335&gt;$AK189)+(($AK$5:$AK$335=$AK189)*(ROW($B$5:$B$335)&lt;ROW())))))</f>
        <v/>
      </c>
      <c r="AP189" s="22" t="s">
        <v>131</v>
      </c>
      <c r="AQ189" s="20">
        <f>IF(INDEX('01_Criterios'!$C$26:$C$36,MATCH($B189,'01_Criterios'!$B$26:$B$36,0))&lt;&gt;1,0,IF($AP189="Excluir",0,IF($AP189="Incluir",IF(AND(OR($F189="+",$F189="-"),ISNUMBER($G189),ISNUMBER($H189),COUNT($Q189:$AA189)&gt;0),1,0),IF('01_Criterios'!$C$18="Automática",IF(AND($AN189=1,$AO189&lt;&gt;"",$AO189&lt;=INDEX('01_Criterios'!$E$26:$E$36,MATCH($B189,'01_Criterios'!$B$26:$B$36,0))),1,0),0))))</f>
        <v>0</v>
      </c>
      <c r="AR189" s="20" t="str">
        <f>IF(AQ189=0,"",IF($AO189&lt;&gt;"",1+SUMPRODUCT(($B$5:$B$335=$B189)*($AQ$5:$AQ$335=1)*($AO$5:$AO$335&lt;$AO189)),1+SUMPRODUCT(($B$5:$B$335=$B189)*($AQ$5:$AQ$335=1)*ISNUMBER($AO$5:$AO$335))+SUMPRODUCT(($B$5:$B$335=$B189)*($AQ$5:$AQ$335=1)*($AO$5:$AO$335="")*(ROW($AO$5:$AO$335)&lt;ROW()))))</f>
        <v/>
      </c>
      <c r="AS189" s="24" t="s">
        <v>1044</v>
      </c>
    </row>
    <row r="190" spans="1:45">
      <c r="A190" s="25" t="s">
        <v>1045</v>
      </c>
      <c r="B190" s="26" t="s">
        <v>81</v>
      </c>
      <c r="C190" s="26" t="s">
        <v>1046</v>
      </c>
      <c r="D190" s="26" t="s">
        <v>1047</v>
      </c>
      <c r="E190" s="25" t="s">
        <v>157</v>
      </c>
      <c r="F190" s="25" t="s">
        <v>126</v>
      </c>
      <c r="G190" s="25">
        <v>0</v>
      </c>
      <c r="H190" s="25">
        <v>100</v>
      </c>
      <c r="I190" s="25">
        <v>50</v>
      </c>
      <c r="J190" s="22">
        <v>1</v>
      </c>
      <c r="K190" s="26" t="s">
        <v>1048</v>
      </c>
      <c r="L190" s="25"/>
      <c r="M190" s="26" t="s">
        <v>879</v>
      </c>
      <c r="N190" s="25">
        <v>1</v>
      </c>
      <c r="O190" s="26" t="s">
        <v>1034</v>
      </c>
      <c r="P190" s="25" t="s">
        <v>152</v>
      </c>
      <c r="Q190" s="27"/>
      <c r="R190" s="27"/>
      <c r="S190" s="27"/>
      <c r="T190" s="27"/>
      <c r="U190" s="27"/>
      <c r="V190" s="27"/>
      <c r="W190" s="27"/>
      <c r="X190" s="27"/>
      <c r="Y190" s="27"/>
      <c r="Z190" s="27"/>
      <c r="AA190" s="27"/>
      <c r="AB190" s="25">
        <f>COUNT(Q190:AA190)</f>
        <v>0</v>
      </c>
      <c r="AC190" s="28">
        <f>AB190/11</f>
        <v>0</v>
      </c>
      <c r="AD190" s="25" t="str">
        <f>IFERROR(INDEX($Q$4:$AA$4,MATCH(TRUE,INDEX(ISNUMBER(Q190:AA190),0),0)),"")</f>
        <v/>
      </c>
      <c r="AE190" s="25" t="str">
        <f>IFERROR(LOOKUP(2,1/ISNUMBER(Q190:AA190),$Q$4:$AA$4),"")</f>
        <v/>
      </c>
      <c r="AF190" s="28" t="str">
        <f>IF(AB190=0,"",AB190/(AE190-AD190+1))</f>
        <v/>
      </c>
      <c r="AG190" s="25" t="str">
        <f>IF(AB190=0,"",'01_Criterios'!$C$8-AE190)</f>
        <v/>
      </c>
      <c r="AH190" s="29">
        <f>IF(P190="Em uso",100,IF(P190="Alta",85,IF(P190="Média",55,30)))</f>
        <v>85</v>
      </c>
      <c r="AI190" s="29">
        <f>ROUND(100*AC190,1)</f>
        <v>0</v>
      </c>
      <c r="AJ190" s="29">
        <f>IF(AB190=0,0,ROUND(MAX(0,100*AF190-10*AG190),1))</f>
        <v>0</v>
      </c>
      <c r="AK190" s="29">
        <f>ROUND(('01_Criterios'!$C$19*AH190+'01_Criterios'!$C$20*AI190+'01_Criterios'!$C$21*AJ190)/('01_Criterios'!$C$19+'01_Criterios'!$C$20+'01_Criterios'!$C$21)+N190*'01_Criterios'!$C$22,1)</f>
        <v>46</v>
      </c>
      <c r="AL190" s="25">
        <f>IF(AND(AB190&gt;=3,AC190&gt;='01_Criterios'!$C$11,N(AE190)&gt;='01_Criterios'!$C$12,OR(F190="+",F190="-"),ISNUMBER(G190),ISNUMBER(H190)),1,0)</f>
        <v>0</v>
      </c>
      <c r="AM190" s="30" t="str">
        <f>IF(AL190=1,"",TRIM(IF(AB190=0,"sem dados no período; ",IF(AB190&lt;3,"série demasiado curta; ",""))&amp;IF(AND(AB190&gt;0,AC190&lt;'01_Criterios'!$C$11),"cobertura insuficiente; ","")&amp;IF(AND(AB190&gt;0,N(AE190)&lt;'01_Criterios'!$C$12),"desactualizado; ","")&amp;IF(AND(F190&lt;&gt;"+",F190&lt;&gt;"-"),"sentido ambíguo; ","")&amp;IF(OR(NOT(ISNUMBER(G190)),NOT(ISNUMBER(H190))),"sem limites min/max; ","")))</f>
        <v>sem dados no período;</v>
      </c>
      <c r="AN190" s="25">
        <f>IF(OR(AL190=0,$AP190="Excluir"),0,IF(SUMPRODUCT(($O$5:$O$335=$O190)*($AL$5:$AL$335=1)*($AP$5:$AP$335&lt;&gt;"Excluir")*(($AK$5:$AK$335&gt;$AK190)+(($AK$5:$AK$335=$AK190)*(ROW($O$5:$O$335)&lt;ROW()))))=0,1,0))</f>
        <v>0</v>
      </c>
      <c r="AO190" s="25" t="str">
        <f>IF(AN190=0,"",1+SUMPRODUCT(($B$5:$B$335=$B190)*($AN$5:$AN$335=1)*(($AK$5:$AK$335&gt;$AK190)+(($AK$5:$AK$335=$AK190)*(ROW($B$5:$B$335)&lt;ROW())))))</f>
        <v/>
      </c>
      <c r="AP190" s="22" t="s">
        <v>131</v>
      </c>
      <c r="AQ190" s="25">
        <f>IF(INDEX('01_Criterios'!$C$26:$C$36,MATCH($B190,'01_Criterios'!$B$26:$B$36,0))&lt;&gt;1,0,IF($AP190="Excluir",0,IF($AP190="Incluir",IF(AND(OR($F190="+",$F190="-"),ISNUMBER($G190),ISNUMBER($H190),COUNT($Q190:$AA190)&gt;0),1,0),IF('01_Criterios'!$C$18="Automática",IF(AND($AN190=1,$AO190&lt;&gt;"",$AO190&lt;=INDEX('01_Criterios'!$E$26:$E$36,MATCH($B190,'01_Criterios'!$B$26:$B$36,0))),1,0),0))))</f>
        <v>0</v>
      </c>
      <c r="AR190" s="25" t="str">
        <f>IF(AQ190=0,"",IF($AO190&lt;&gt;"",1+SUMPRODUCT(($B$5:$B$335=$B190)*($AQ$5:$AQ$335=1)*($AO$5:$AO$335&lt;$AO190)),1+SUMPRODUCT(($B$5:$B$335=$B190)*($AQ$5:$AQ$335=1)*ISNUMBER($AO$5:$AO$335))+SUMPRODUCT(($B$5:$B$335=$B190)*($AQ$5:$AQ$335=1)*($AO$5:$AO$335="")*(ROW($AO$5:$AO$335)&lt;ROW()))))</f>
        <v/>
      </c>
      <c r="AS190" s="24" t="s">
        <v>1049</v>
      </c>
    </row>
    <row r="191" spans="1:45">
      <c r="A191" s="20" t="s">
        <v>1050</v>
      </c>
      <c r="B191" s="21" t="s">
        <v>81</v>
      </c>
      <c r="C191" s="21" t="s">
        <v>1018</v>
      </c>
      <c r="D191" s="21" t="s">
        <v>787</v>
      </c>
      <c r="E191" s="20" t="s">
        <v>157</v>
      </c>
      <c r="F191" s="20" t="s">
        <v>158</v>
      </c>
      <c r="G191" s="20">
        <v>0</v>
      </c>
      <c r="H191" s="20">
        <v>70</v>
      </c>
      <c r="I191" s="20">
        <v>25</v>
      </c>
      <c r="J191" s="22">
        <v>1</v>
      </c>
      <c r="K191" s="21" t="s">
        <v>788</v>
      </c>
      <c r="L191" s="20" t="s">
        <v>789</v>
      </c>
      <c r="M191" s="21" t="s">
        <v>161</v>
      </c>
      <c r="N191" s="20">
        <v>0</v>
      </c>
      <c r="O191" s="21" t="s">
        <v>790</v>
      </c>
      <c r="P191" s="20" t="s">
        <v>152</v>
      </c>
      <c r="Q191" s="6"/>
      <c r="R191" s="6"/>
      <c r="S191" s="6"/>
      <c r="T191" s="6"/>
      <c r="U191" s="6">
        <v>22.922000000000001</v>
      </c>
      <c r="V191" s="6">
        <v>27.286000000000001</v>
      </c>
      <c r="W191" s="6">
        <v>28.126000000000001</v>
      </c>
      <c r="X191" s="6">
        <v>24.765999999999998</v>
      </c>
      <c r="Y191" s="6">
        <v>21.382999999999999</v>
      </c>
      <c r="Z191" s="6">
        <v>24.564</v>
      </c>
      <c r="AA191" s="6">
        <v>24.902999999999999</v>
      </c>
      <c r="AB191" s="20">
        <f>COUNT(Q191:AA191)</f>
        <v>7</v>
      </c>
      <c r="AC191" s="23">
        <f>AB191/11</f>
        <v>0.63636363636363635</v>
      </c>
      <c r="AD191" s="20">
        <f>IFERROR(INDEX($Q$4:$AA$4,MATCH(TRUE,INDEX(ISNUMBER(Q191:AA191),0),0)),"")</f>
        <v>2019</v>
      </c>
      <c r="AE191" s="20">
        <f>IFERROR(LOOKUP(2,1/ISNUMBER(Q191:AA191),$Q$4:$AA$4),"")</f>
        <v>2025</v>
      </c>
      <c r="AF191" s="23">
        <f>IF(AB191=0,"",AB191/(AE191-AD191+1))</f>
        <v>1</v>
      </c>
      <c r="AG191" s="20">
        <f>IF(AB191=0,"",'01_Criterios'!$C$8-AE191)</f>
        <v>0</v>
      </c>
      <c r="AH191" s="7">
        <f>IF(P191="Em uso",100,IF(P191="Alta",85,IF(P191="Média",55,30)))</f>
        <v>85</v>
      </c>
      <c r="AI191" s="7">
        <f>ROUND(100*AC191,1)</f>
        <v>63.6</v>
      </c>
      <c r="AJ191" s="7">
        <f>IF(AB191=0,0,ROUND(MAX(0,100*AF191-10*AG191),1))</f>
        <v>100</v>
      </c>
      <c r="AK191" s="7">
        <f>ROUND(('01_Criterios'!$C$19*AH191+'01_Criterios'!$C$20*AI191+'01_Criterios'!$C$21*AJ191)/('01_Criterios'!$C$19+'01_Criterios'!$C$20+'01_Criterios'!$C$21)+N191*'01_Criterios'!$C$22,1)</f>
        <v>81.3</v>
      </c>
      <c r="AL191" s="20">
        <f>IF(AND(AB191&gt;=3,AC191&gt;='01_Criterios'!$C$11,N(AE191)&gt;='01_Criterios'!$C$12,OR(F191="+",F191="-"),ISNUMBER(G191),ISNUMBER(H191)),1,0)</f>
        <v>0</v>
      </c>
      <c r="AM191" s="24" t="str">
        <f>IF(AL191=1,"",TRIM(IF(AB191=0,"sem dados no período; ",IF(AB191&lt;3,"série demasiado curta; ",""))&amp;IF(AND(AB191&gt;0,AC191&lt;'01_Criterios'!$C$11),"cobertura insuficiente; ","")&amp;IF(AND(AB191&gt;0,N(AE191)&lt;'01_Criterios'!$C$12),"desactualizado; ","")&amp;IF(AND(F191&lt;&gt;"+",F191&lt;&gt;"-"),"sentido ambíguo; ","")&amp;IF(OR(NOT(ISNUMBER(G191)),NOT(ISNUMBER(H191))),"sem limites min/max; ","")))</f>
        <v>cobertura insuficiente;</v>
      </c>
      <c r="AN191" s="20">
        <f>IF(OR(AL191=0,$AP191="Excluir"),0,IF(SUMPRODUCT(($O$5:$O$335=$O191)*($AL$5:$AL$335=1)*($AP$5:$AP$335&lt;&gt;"Excluir")*(($AK$5:$AK$335&gt;$AK191)+(($AK$5:$AK$335=$AK191)*(ROW($O$5:$O$335)&lt;ROW()))))=0,1,0))</f>
        <v>0</v>
      </c>
      <c r="AO191" s="20" t="str">
        <f>IF(AN191=0,"",1+SUMPRODUCT(($B$5:$B$335=$B191)*($AN$5:$AN$335=1)*(($AK$5:$AK$335&gt;$AK191)+(($AK$5:$AK$335=$AK191)*(ROW($B$5:$B$335)&lt;ROW())))))</f>
        <v/>
      </c>
      <c r="AP191" s="22" t="s">
        <v>131</v>
      </c>
      <c r="AQ191" s="20">
        <f>IF(INDEX('01_Criterios'!$C$26:$C$36,MATCH($B191,'01_Criterios'!$B$26:$B$36,0))&lt;&gt;1,0,IF($AP191="Excluir",0,IF($AP191="Incluir",IF(AND(OR($F191="+",$F191="-"),ISNUMBER($G191),ISNUMBER($H191),COUNT($Q191:$AA191)&gt;0),1,0),IF('01_Criterios'!$C$18="Automática",IF(AND($AN191=1,$AO191&lt;&gt;"",$AO191&lt;=INDEX('01_Criterios'!$E$26:$E$36,MATCH($B191,'01_Criterios'!$B$26:$B$36,0))),1,0),0))))</f>
        <v>0</v>
      </c>
      <c r="AR191" s="20" t="str">
        <f>IF(AQ191=0,"",IF($AO191&lt;&gt;"",1+SUMPRODUCT(($B$5:$B$335=$B191)*($AQ$5:$AQ$335=1)*($AO$5:$AO$335&lt;$AO191)),1+SUMPRODUCT(($B$5:$B$335=$B191)*($AQ$5:$AQ$335=1)*ISNUMBER($AO$5:$AO$335))+SUMPRODUCT(($B$5:$B$335=$B191)*($AQ$5:$AQ$335=1)*($AO$5:$AO$335="")*(ROW($AO$5:$AO$335)&lt;ROW()))))</f>
        <v/>
      </c>
      <c r="AS191" s="24" t="s">
        <v>1051</v>
      </c>
    </row>
    <row r="192" spans="1:45">
      <c r="A192" s="25" t="s">
        <v>1052</v>
      </c>
      <c r="B192" s="26" t="s">
        <v>81</v>
      </c>
      <c r="C192" s="26" t="s">
        <v>1053</v>
      </c>
      <c r="D192" s="26" t="s">
        <v>1054</v>
      </c>
      <c r="E192" s="25" t="s">
        <v>157</v>
      </c>
      <c r="F192" s="25" t="s">
        <v>126</v>
      </c>
      <c r="G192" s="25">
        <v>0</v>
      </c>
      <c r="H192" s="25">
        <v>100</v>
      </c>
      <c r="I192" s="25">
        <v>65</v>
      </c>
      <c r="J192" s="22">
        <v>1</v>
      </c>
      <c r="K192" s="26" t="s">
        <v>788</v>
      </c>
      <c r="L192" s="25" t="s">
        <v>840</v>
      </c>
      <c r="M192" s="26" t="s">
        <v>161</v>
      </c>
      <c r="N192" s="25">
        <v>0</v>
      </c>
      <c r="O192" s="26" t="s">
        <v>841</v>
      </c>
      <c r="P192" s="25" t="s">
        <v>152</v>
      </c>
      <c r="Q192" s="27">
        <v>73.933000000000007</v>
      </c>
      <c r="R192" s="27">
        <v>73.697000000000003</v>
      </c>
      <c r="S192" s="27">
        <v>73.460999999999999</v>
      </c>
      <c r="T192" s="27">
        <v>73.224000000000004</v>
      </c>
      <c r="U192" s="27">
        <v>72.984999999999999</v>
      </c>
      <c r="V192" s="27">
        <v>71.341999999999999</v>
      </c>
      <c r="W192" s="27">
        <v>74.694999999999993</v>
      </c>
      <c r="X192" s="27">
        <v>74.018000000000001</v>
      </c>
      <c r="Y192" s="27">
        <v>72.317999999999998</v>
      </c>
      <c r="Z192" s="27">
        <v>72.358999999999995</v>
      </c>
      <c r="AA192" s="27">
        <v>72.224000000000004</v>
      </c>
      <c r="AB192" s="25">
        <f>COUNT(Q192:AA192)</f>
        <v>11</v>
      </c>
      <c r="AC192" s="28">
        <f>AB192/11</f>
        <v>1</v>
      </c>
      <c r="AD192" s="25">
        <f>IFERROR(INDEX($Q$4:$AA$4,MATCH(TRUE,INDEX(ISNUMBER(Q192:AA192),0),0)),"")</f>
        <v>2015</v>
      </c>
      <c r="AE192" s="25">
        <f>IFERROR(LOOKUP(2,1/ISNUMBER(Q192:AA192),$Q$4:$AA$4),"")</f>
        <v>2025</v>
      </c>
      <c r="AF192" s="28">
        <f>IF(AB192=0,"",AB192/(AE192-AD192+1))</f>
        <v>1</v>
      </c>
      <c r="AG192" s="25">
        <f>IF(AB192=0,"",'01_Criterios'!$C$8-AE192)</f>
        <v>0</v>
      </c>
      <c r="AH192" s="29">
        <f>IF(P192="Em uso",100,IF(P192="Alta",85,IF(P192="Média",55,30)))</f>
        <v>85</v>
      </c>
      <c r="AI192" s="29">
        <f>ROUND(100*AC192,1)</f>
        <v>100</v>
      </c>
      <c r="AJ192" s="29">
        <f>IF(AB192=0,0,ROUND(MAX(0,100*AF192-10*AG192),1))</f>
        <v>100</v>
      </c>
      <c r="AK192" s="29">
        <f>ROUND(('01_Criterios'!$C$19*AH192+'01_Criterios'!$C$20*AI192+'01_Criterios'!$C$21*AJ192)/('01_Criterios'!$C$19+'01_Criterios'!$C$20+'01_Criterios'!$C$21)+N192*'01_Criterios'!$C$22,1)</f>
        <v>94</v>
      </c>
      <c r="AL192" s="25">
        <f>IF(AND(AB192&gt;=3,AC192&gt;='01_Criterios'!$C$11,N(AE192)&gt;='01_Criterios'!$C$12,OR(F192="+",F192="-"),ISNUMBER(G192),ISNUMBER(H192)),1,0)</f>
        <v>1</v>
      </c>
      <c r="AM192" s="30" t="str">
        <f>IF(AL192=1,"",TRIM(IF(AB192=0,"sem dados no período; ",IF(AB192&lt;3,"série demasiado curta; ",""))&amp;IF(AND(AB192&gt;0,AC192&lt;'01_Criterios'!$C$11),"cobertura insuficiente; ","")&amp;IF(AND(AB192&gt;0,N(AE192)&lt;'01_Criterios'!$C$12),"desactualizado; ","")&amp;IF(AND(F192&lt;&gt;"+",F192&lt;&gt;"-"),"sentido ambíguo; ","")&amp;IF(OR(NOT(ISNUMBER(G192)),NOT(ISNUMBER(H192))),"sem limites min/max; ","")))</f>
        <v/>
      </c>
      <c r="AN192" s="25">
        <f>IF(OR(AL192=0,$AP192="Excluir"),0,IF(SUMPRODUCT(($O$5:$O$335=$O192)*($AL$5:$AL$335=1)*($AP$5:$AP$335&lt;&gt;"Excluir")*(($AK$5:$AK$335&gt;$AK192)+(($AK$5:$AK$335=$AK192)*(ROW($O$5:$O$335)&lt;ROW()))))=0,1,0))</f>
        <v>1</v>
      </c>
      <c r="AO192" s="25">
        <f>IF(AN192=0,"",1+SUMPRODUCT(($B$5:$B$335=$B192)*($AN$5:$AN$335=1)*(($AK$5:$AK$335&gt;$AK192)+(($AK$5:$AK$335=$AK192)*(ROW($B$5:$B$335)&lt;ROW())))))</f>
        <v>4</v>
      </c>
      <c r="AP192" s="22" t="s">
        <v>131</v>
      </c>
      <c r="AQ192" s="25">
        <f>IF(INDEX('01_Criterios'!$C$26:$C$36,MATCH($B192,'01_Criterios'!$B$26:$B$36,0))&lt;&gt;1,0,IF($AP192="Excluir",0,IF($AP192="Incluir",IF(AND(OR($F192="+",$F192="-"),ISNUMBER($G192),ISNUMBER($H192),COUNT($Q192:$AA192)&gt;0),1,0),IF('01_Criterios'!$C$18="Automática",IF(AND($AN192=1,$AO192&lt;&gt;"",$AO192&lt;=INDEX('01_Criterios'!$E$26:$E$36,MATCH($B192,'01_Criterios'!$B$26:$B$36,0))),1,0),0))))</f>
        <v>1</v>
      </c>
      <c r="AR192" s="25">
        <f>IF(AQ192=0,"",IF($AO192&lt;&gt;"",1+SUMPRODUCT(($B$5:$B$335=$B192)*($AQ$5:$AQ$335=1)*($AO$5:$AO$335&lt;$AO192)),1+SUMPRODUCT(($B$5:$B$335=$B192)*($AQ$5:$AQ$335=1)*ISNUMBER($AO$5:$AO$335))+SUMPRODUCT(($B$5:$B$335=$B192)*($AQ$5:$AQ$335=1)*($AO$5:$AO$335="")*(ROW($AO$5:$AO$335)&lt;ROW()))))</f>
        <v>4</v>
      </c>
      <c r="AS192" s="24" t="s">
        <v>1055</v>
      </c>
    </row>
    <row r="193" spans="1:45">
      <c r="A193" s="20" t="s">
        <v>1056</v>
      </c>
      <c r="B193" s="21" t="s">
        <v>81</v>
      </c>
      <c r="C193" s="21" t="s">
        <v>1057</v>
      </c>
      <c r="D193" s="21" t="s">
        <v>1058</v>
      </c>
      <c r="E193" s="20" t="s">
        <v>157</v>
      </c>
      <c r="F193" s="20" t="s">
        <v>158</v>
      </c>
      <c r="G193" s="20">
        <v>0</v>
      </c>
      <c r="H193" s="20">
        <v>60</v>
      </c>
      <c r="I193" s="20">
        <v>20</v>
      </c>
      <c r="J193" s="22">
        <v>1</v>
      </c>
      <c r="K193" s="21" t="s">
        <v>788</v>
      </c>
      <c r="L193" s="20" t="s">
        <v>1059</v>
      </c>
      <c r="M193" s="21" t="s">
        <v>161</v>
      </c>
      <c r="N193" s="20">
        <v>0</v>
      </c>
      <c r="O193" s="21" t="s">
        <v>1025</v>
      </c>
      <c r="P193" s="20" t="s">
        <v>152</v>
      </c>
      <c r="Q193" s="6"/>
      <c r="R193" s="6"/>
      <c r="S193" s="6"/>
      <c r="T193" s="6"/>
      <c r="U193" s="6">
        <v>16.431000000000001</v>
      </c>
      <c r="V193" s="6">
        <v>16.033000000000001</v>
      </c>
      <c r="W193" s="6">
        <v>15.805999999999999</v>
      </c>
      <c r="X193" s="6">
        <v>14.093999999999999</v>
      </c>
      <c r="Y193" s="6">
        <v>12.885</v>
      </c>
      <c r="Z193" s="6">
        <v>13.936999999999999</v>
      </c>
      <c r="AA193" s="6">
        <v>10.391</v>
      </c>
      <c r="AB193" s="20">
        <f>COUNT(Q193:AA193)</f>
        <v>7</v>
      </c>
      <c r="AC193" s="23">
        <f>AB193/11</f>
        <v>0.63636363636363635</v>
      </c>
      <c r="AD193" s="20">
        <f>IFERROR(INDEX($Q$4:$AA$4,MATCH(TRUE,INDEX(ISNUMBER(Q193:AA193),0),0)),"")</f>
        <v>2019</v>
      </c>
      <c r="AE193" s="20">
        <f>IFERROR(LOOKUP(2,1/ISNUMBER(Q193:AA193),$Q$4:$AA$4),"")</f>
        <v>2025</v>
      </c>
      <c r="AF193" s="23">
        <f>IF(AB193=0,"",AB193/(AE193-AD193+1))</f>
        <v>1</v>
      </c>
      <c r="AG193" s="20">
        <f>IF(AB193=0,"",'01_Criterios'!$C$8-AE193)</f>
        <v>0</v>
      </c>
      <c r="AH193" s="7">
        <f>IF(P193="Em uso",100,IF(P193="Alta",85,IF(P193="Média",55,30)))</f>
        <v>85</v>
      </c>
      <c r="AI193" s="7">
        <f>ROUND(100*AC193,1)</f>
        <v>63.6</v>
      </c>
      <c r="AJ193" s="7">
        <f>IF(AB193=0,0,ROUND(MAX(0,100*AF193-10*AG193),1))</f>
        <v>100</v>
      </c>
      <c r="AK193" s="7">
        <f>ROUND(('01_Criterios'!$C$19*AH193+'01_Criterios'!$C$20*AI193+'01_Criterios'!$C$21*AJ193)/('01_Criterios'!$C$19+'01_Criterios'!$C$20+'01_Criterios'!$C$21)+N193*'01_Criterios'!$C$22,1)</f>
        <v>81.3</v>
      </c>
      <c r="AL193" s="20">
        <f>IF(AND(AB193&gt;=3,AC193&gt;='01_Criterios'!$C$11,N(AE193)&gt;='01_Criterios'!$C$12,OR(F193="+",F193="-"),ISNUMBER(G193),ISNUMBER(H193)),1,0)</f>
        <v>0</v>
      </c>
      <c r="AM193" s="24" t="str">
        <f>IF(AL193=1,"",TRIM(IF(AB193=0,"sem dados no período; ",IF(AB193&lt;3,"série demasiado curta; ",""))&amp;IF(AND(AB193&gt;0,AC193&lt;'01_Criterios'!$C$11),"cobertura insuficiente; ","")&amp;IF(AND(AB193&gt;0,N(AE193)&lt;'01_Criterios'!$C$12),"desactualizado; ","")&amp;IF(AND(F193&lt;&gt;"+",F193&lt;&gt;"-"),"sentido ambíguo; ","")&amp;IF(OR(NOT(ISNUMBER(G193)),NOT(ISNUMBER(H193))),"sem limites min/max; ","")))</f>
        <v>cobertura insuficiente;</v>
      </c>
      <c r="AN193" s="20">
        <f>IF(OR(AL193=0,$AP193="Excluir"),0,IF(SUMPRODUCT(($O$5:$O$335=$O193)*($AL$5:$AL$335=1)*($AP$5:$AP$335&lt;&gt;"Excluir")*(($AK$5:$AK$335&gt;$AK193)+(($AK$5:$AK$335=$AK193)*(ROW($O$5:$O$335)&lt;ROW()))))=0,1,0))</f>
        <v>0</v>
      </c>
      <c r="AO193" s="20" t="str">
        <f>IF(AN193=0,"",1+SUMPRODUCT(($B$5:$B$335=$B193)*($AN$5:$AN$335=1)*(($AK$5:$AK$335&gt;$AK193)+(($AK$5:$AK$335=$AK193)*(ROW($B$5:$B$335)&lt;ROW())))))</f>
        <v/>
      </c>
      <c r="AP193" s="22" t="s">
        <v>131</v>
      </c>
      <c r="AQ193" s="20">
        <f>IF(INDEX('01_Criterios'!$C$26:$C$36,MATCH($B193,'01_Criterios'!$B$26:$B$36,0))&lt;&gt;1,0,IF($AP193="Excluir",0,IF($AP193="Incluir",IF(AND(OR($F193="+",$F193="-"),ISNUMBER($G193),ISNUMBER($H193),COUNT($Q193:$AA193)&gt;0),1,0),IF('01_Criterios'!$C$18="Automática",IF(AND($AN193=1,$AO193&lt;&gt;"",$AO193&lt;=INDEX('01_Criterios'!$E$26:$E$36,MATCH($B193,'01_Criterios'!$B$26:$B$36,0))),1,0),0))))</f>
        <v>0</v>
      </c>
      <c r="AR193" s="20" t="str">
        <f>IF(AQ193=0,"",IF($AO193&lt;&gt;"",1+SUMPRODUCT(($B$5:$B$335=$B193)*($AQ$5:$AQ$335=1)*($AO$5:$AO$335&lt;$AO193)),1+SUMPRODUCT(($B$5:$B$335=$B193)*($AQ$5:$AQ$335=1)*ISNUMBER($AO$5:$AO$335))+SUMPRODUCT(($B$5:$B$335=$B193)*($AQ$5:$AQ$335=1)*($AO$5:$AO$335="")*(ROW($AO$5:$AO$335)&lt;ROW()))))</f>
        <v/>
      </c>
      <c r="AS193" s="24" t="s">
        <v>1060</v>
      </c>
    </row>
    <row r="194" spans="1:45">
      <c r="A194" s="25" t="s">
        <v>1061</v>
      </c>
      <c r="B194" s="26" t="s">
        <v>81</v>
      </c>
      <c r="C194" s="26" t="s">
        <v>1062</v>
      </c>
      <c r="D194" s="26" t="s">
        <v>1063</v>
      </c>
      <c r="E194" s="25" t="s">
        <v>1064</v>
      </c>
      <c r="F194" s="25" t="s">
        <v>126</v>
      </c>
      <c r="G194" s="25">
        <v>0</v>
      </c>
      <c r="H194" s="25">
        <v>25000</v>
      </c>
      <c r="I194" s="25"/>
      <c r="J194" s="22">
        <v>1</v>
      </c>
      <c r="K194" s="26" t="s">
        <v>1065</v>
      </c>
      <c r="L194" s="25" t="s">
        <v>1066</v>
      </c>
      <c r="M194" s="26" t="s">
        <v>1067</v>
      </c>
      <c r="N194" s="25">
        <v>0</v>
      </c>
      <c r="O194" s="26" t="s">
        <v>1039</v>
      </c>
      <c r="P194" s="25" t="s">
        <v>152</v>
      </c>
      <c r="Q194" s="27">
        <v>9228.44</v>
      </c>
      <c r="R194" s="27">
        <v>8719.17</v>
      </c>
      <c r="S194" s="27">
        <v>8435.4</v>
      </c>
      <c r="T194" s="27">
        <v>8063.77</v>
      </c>
      <c r="U194" s="27">
        <v>7749.11</v>
      </c>
      <c r="V194" s="27">
        <v>7369.04</v>
      </c>
      <c r="W194" s="27">
        <v>6908.52</v>
      </c>
      <c r="X194" s="27">
        <v>6924.37</v>
      </c>
      <c r="Y194" s="27">
        <v>6802.66</v>
      </c>
      <c r="Z194" s="27">
        <v>6861.8</v>
      </c>
      <c r="AA194" s="27">
        <v>6782.91</v>
      </c>
      <c r="AB194" s="25">
        <f>COUNT(Q194:AA194)</f>
        <v>11</v>
      </c>
      <c r="AC194" s="28">
        <f>AB194/11</f>
        <v>1</v>
      </c>
      <c r="AD194" s="25">
        <f>IFERROR(INDEX($Q$4:$AA$4,MATCH(TRUE,INDEX(ISNUMBER(Q194:AA194),0),0)),"")</f>
        <v>2015</v>
      </c>
      <c r="AE194" s="25">
        <f>IFERROR(LOOKUP(2,1/ISNUMBER(Q194:AA194),$Q$4:$AA$4),"")</f>
        <v>2025</v>
      </c>
      <c r="AF194" s="28">
        <f>IF(AB194=0,"",AB194/(AE194-AD194+1))</f>
        <v>1</v>
      </c>
      <c r="AG194" s="25">
        <f>IF(AB194=0,"",'01_Criterios'!$C$8-AE194)</f>
        <v>0</v>
      </c>
      <c r="AH194" s="29">
        <f>IF(P194="Em uso",100,IF(P194="Alta",85,IF(P194="Média",55,30)))</f>
        <v>85</v>
      </c>
      <c r="AI194" s="29">
        <f>ROUND(100*AC194,1)</f>
        <v>100</v>
      </c>
      <c r="AJ194" s="29">
        <f>IF(AB194=0,0,ROUND(MAX(0,100*AF194-10*AG194),1))</f>
        <v>100</v>
      </c>
      <c r="AK194" s="29">
        <f>ROUND(('01_Criterios'!$C$19*AH194+'01_Criterios'!$C$20*AI194+'01_Criterios'!$C$21*AJ194)/('01_Criterios'!$C$19+'01_Criterios'!$C$20+'01_Criterios'!$C$21)+N194*'01_Criterios'!$C$22,1)</f>
        <v>94</v>
      </c>
      <c r="AL194" s="25">
        <f>IF(AND(AB194&gt;=3,AC194&gt;='01_Criterios'!$C$11,N(AE194)&gt;='01_Criterios'!$C$12,OR(F194="+",F194="-"),ISNUMBER(G194),ISNUMBER(H194)),1,0)</f>
        <v>1</v>
      </c>
      <c r="AM194" s="30" t="str">
        <f>IF(AL194=1,"",TRIM(IF(AB194=0,"sem dados no período; ",IF(AB194&lt;3,"série demasiado curta; ",""))&amp;IF(AND(AB194&gt;0,AC194&lt;'01_Criterios'!$C$11),"cobertura insuficiente; ","")&amp;IF(AND(AB194&gt;0,N(AE194)&lt;'01_Criterios'!$C$12),"desactualizado; ","")&amp;IF(AND(F194&lt;&gt;"+",F194&lt;&gt;"-"),"sentido ambíguo; ","")&amp;IF(OR(NOT(ISNUMBER(G194)),NOT(ISNUMBER(H194))),"sem limites min/max; ","")))</f>
        <v/>
      </c>
      <c r="AN194" s="25">
        <f>IF(OR(AL194=0,$AP194="Excluir"),0,IF(SUMPRODUCT(($O$5:$O$335=$O194)*($AL$5:$AL$335=1)*($AP$5:$AP$335&lt;&gt;"Excluir")*(($AK$5:$AK$335&gt;$AK194)+(($AK$5:$AK$335=$AK194)*(ROW($O$5:$O$335)&lt;ROW()))))=0,1,0))</f>
        <v>1</v>
      </c>
      <c r="AO194" s="25">
        <f>IF(AN194=0,"",1+SUMPRODUCT(($B$5:$B$335=$B194)*($AN$5:$AN$335=1)*(($AK$5:$AK$335&gt;$AK194)+(($AK$5:$AK$335=$AK194)*(ROW($B$5:$B$335)&lt;ROW())))))</f>
        <v>5</v>
      </c>
      <c r="AP194" s="22" t="s">
        <v>131</v>
      </c>
      <c r="AQ194" s="25">
        <f>IF(INDEX('01_Criterios'!$C$26:$C$36,MATCH($B194,'01_Criterios'!$B$26:$B$36,0))&lt;&gt;1,0,IF($AP194="Excluir",0,IF($AP194="Incluir",IF(AND(OR($F194="+",$F194="-"),ISNUMBER($G194),ISNUMBER($H194),COUNT($Q194:$AA194)&gt;0),1,0),IF('01_Criterios'!$C$18="Automática",IF(AND($AN194=1,$AO194&lt;&gt;"",$AO194&lt;=INDEX('01_Criterios'!$E$26:$E$36,MATCH($B194,'01_Criterios'!$B$26:$B$36,0))),1,0),0))))</f>
        <v>1</v>
      </c>
      <c r="AR194" s="25">
        <f>IF(AQ194=0,"",IF($AO194&lt;&gt;"",1+SUMPRODUCT(($B$5:$B$335=$B194)*($AQ$5:$AQ$335=1)*($AO$5:$AO$335&lt;$AO194)),1+SUMPRODUCT(($B$5:$B$335=$B194)*($AQ$5:$AQ$335=1)*ISNUMBER($AO$5:$AO$335))+SUMPRODUCT(($B$5:$B$335=$B194)*($AQ$5:$AQ$335=1)*($AO$5:$AO$335="")*(ROW($AO$5:$AO$335)&lt;ROW()))))</f>
        <v>5</v>
      </c>
      <c r="AS194" s="24" t="s">
        <v>2233</v>
      </c>
    </row>
    <row r="195" spans="1:45">
      <c r="A195" s="20" t="s">
        <v>1069</v>
      </c>
      <c r="B195" s="21" t="s">
        <v>81</v>
      </c>
      <c r="C195" s="21" t="s">
        <v>1018</v>
      </c>
      <c r="D195" s="21" t="s">
        <v>1070</v>
      </c>
      <c r="E195" s="20" t="s">
        <v>157</v>
      </c>
      <c r="F195" s="20" t="s">
        <v>126</v>
      </c>
      <c r="G195" s="20">
        <v>0</v>
      </c>
      <c r="H195" s="20">
        <v>100</v>
      </c>
      <c r="I195" s="20">
        <v>70</v>
      </c>
      <c r="J195" s="22">
        <v>1</v>
      </c>
      <c r="K195" s="21" t="s">
        <v>788</v>
      </c>
      <c r="L195" s="20" t="s">
        <v>1071</v>
      </c>
      <c r="M195" s="21" t="s">
        <v>161</v>
      </c>
      <c r="N195" s="20">
        <v>0</v>
      </c>
      <c r="O195" s="21" t="s">
        <v>1072</v>
      </c>
      <c r="P195" s="20" t="s">
        <v>152</v>
      </c>
      <c r="Q195" s="6">
        <v>76.186999999999998</v>
      </c>
      <c r="R195" s="6">
        <v>75.899000000000001</v>
      </c>
      <c r="S195" s="6">
        <v>75.608999999999995</v>
      </c>
      <c r="T195" s="6">
        <v>75.316000000000003</v>
      </c>
      <c r="U195" s="6">
        <v>75.021000000000001</v>
      </c>
      <c r="V195" s="6">
        <v>73.319000000000003</v>
      </c>
      <c r="W195" s="6">
        <v>76.372</v>
      </c>
      <c r="X195" s="6">
        <v>75.247</v>
      </c>
      <c r="Y195" s="6">
        <v>74.891999999999996</v>
      </c>
      <c r="Z195" s="6">
        <v>74.881</v>
      </c>
      <c r="AA195" s="6">
        <v>74.786000000000001</v>
      </c>
      <c r="AB195" s="20">
        <f>COUNT(Q195:AA195)</f>
        <v>11</v>
      </c>
      <c r="AC195" s="23">
        <f>AB195/11</f>
        <v>1</v>
      </c>
      <c r="AD195" s="20">
        <f>IFERROR(INDEX($Q$4:$AA$4,MATCH(TRUE,INDEX(ISNUMBER(Q195:AA195),0),0)),"")</f>
        <v>2015</v>
      </c>
      <c r="AE195" s="20">
        <f>IFERROR(LOOKUP(2,1/ISNUMBER(Q195:AA195),$Q$4:$AA$4),"")</f>
        <v>2025</v>
      </c>
      <c r="AF195" s="23">
        <f>IF(AB195=0,"",AB195/(AE195-AD195+1))</f>
        <v>1</v>
      </c>
      <c r="AG195" s="20">
        <f>IF(AB195=0,"",'01_Criterios'!$C$8-AE195)</f>
        <v>0</v>
      </c>
      <c r="AH195" s="7">
        <f>IF(P195="Em uso",100,IF(P195="Alta",85,IF(P195="Média",55,30)))</f>
        <v>85</v>
      </c>
      <c r="AI195" s="7">
        <f>ROUND(100*AC195,1)</f>
        <v>100</v>
      </c>
      <c r="AJ195" s="7">
        <f>IF(AB195=0,0,ROUND(MAX(0,100*AF195-10*AG195),1))</f>
        <v>100</v>
      </c>
      <c r="AK195" s="7">
        <f>ROUND(('01_Criterios'!$C$19*AH195+'01_Criterios'!$C$20*AI195+'01_Criterios'!$C$21*AJ195)/('01_Criterios'!$C$19+'01_Criterios'!$C$20+'01_Criterios'!$C$21)+N195*'01_Criterios'!$C$22,1)</f>
        <v>94</v>
      </c>
      <c r="AL195" s="20">
        <f>IF(AND(AB195&gt;=3,AC195&gt;='01_Criterios'!$C$11,N(AE195)&gt;='01_Criterios'!$C$12,OR(F195="+",F195="-"),ISNUMBER(G195),ISNUMBER(H195)),1,0)</f>
        <v>1</v>
      </c>
      <c r="AM195" s="24" t="str">
        <f>IF(AL195=1,"",TRIM(IF(AB195=0,"sem dados no período; ",IF(AB195&lt;3,"série demasiado curta; ",""))&amp;IF(AND(AB195&gt;0,AC195&lt;'01_Criterios'!$C$11),"cobertura insuficiente; ","")&amp;IF(AND(AB195&gt;0,N(AE195)&lt;'01_Criterios'!$C$12),"desactualizado; ","")&amp;IF(AND(F195&lt;&gt;"+",F195&lt;&gt;"-"),"sentido ambíguo; ","")&amp;IF(OR(NOT(ISNUMBER(G195)),NOT(ISNUMBER(H195))),"sem limites min/max; ","")))</f>
        <v/>
      </c>
      <c r="AN195" s="20">
        <f>IF(OR(AL195=0,$AP195="Excluir"),0,IF(SUMPRODUCT(($O$5:$O$335=$O195)*($AL$5:$AL$335=1)*($AP$5:$AP$335&lt;&gt;"Excluir")*(($AK$5:$AK$335&gt;$AK195)+(($AK$5:$AK$335=$AK195)*(ROW($O$5:$O$335)&lt;ROW()))))=0,1,0))</f>
        <v>1</v>
      </c>
      <c r="AO195" s="20">
        <f>IF(AN195=0,"",1+SUMPRODUCT(($B$5:$B$335=$B195)*($AN$5:$AN$335=1)*(($AK$5:$AK$335&gt;$AK195)+(($AK$5:$AK$335=$AK195)*(ROW($B$5:$B$335)&lt;ROW())))))</f>
        <v>6</v>
      </c>
      <c r="AP195" s="22" t="s">
        <v>131</v>
      </c>
      <c r="AQ195" s="20">
        <f>IF(INDEX('01_Criterios'!$C$26:$C$36,MATCH($B195,'01_Criterios'!$B$26:$B$36,0))&lt;&gt;1,0,IF($AP195="Excluir",0,IF($AP195="Incluir",IF(AND(OR($F195="+",$F195="-"),ISNUMBER($G195),ISNUMBER($H195),COUNT($Q195:$AA195)&gt;0),1,0),IF('01_Criterios'!$C$18="Automática",IF(AND($AN195=1,$AO195&lt;&gt;"",$AO195&lt;=INDEX('01_Criterios'!$E$26:$E$36,MATCH($B195,'01_Criterios'!$B$26:$B$36,0))),1,0),0))))</f>
        <v>0</v>
      </c>
      <c r="AR195" s="20" t="str">
        <f>IF(AQ195=0,"",IF($AO195&lt;&gt;"",1+SUMPRODUCT(($B$5:$B$335=$B195)*($AQ$5:$AQ$335=1)*($AO$5:$AO$335&lt;$AO195)),1+SUMPRODUCT(($B$5:$B$335=$B195)*($AQ$5:$AQ$335=1)*ISNUMBER($AO$5:$AO$335))+SUMPRODUCT(($B$5:$B$335=$B195)*($AQ$5:$AQ$335=1)*($AO$5:$AO$335="")*(ROW($AO$5:$AO$335)&lt;ROW()))))</f>
        <v/>
      </c>
      <c r="AS195" s="24" t="s">
        <v>1073</v>
      </c>
    </row>
    <row r="196" spans="1:45">
      <c r="A196" s="25" t="s">
        <v>1074</v>
      </c>
      <c r="B196" s="26" t="s">
        <v>81</v>
      </c>
      <c r="C196" s="26" t="s">
        <v>1018</v>
      </c>
      <c r="D196" s="26" t="s">
        <v>1075</v>
      </c>
      <c r="E196" s="25" t="s">
        <v>157</v>
      </c>
      <c r="F196" s="25" t="s">
        <v>158</v>
      </c>
      <c r="G196" s="25">
        <v>0</v>
      </c>
      <c r="H196" s="25">
        <v>100</v>
      </c>
      <c r="I196" s="25">
        <v>50</v>
      </c>
      <c r="J196" s="22">
        <v>1</v>
      </c>
      <c r="K196" s="26" t="s">
        <v>788</v>
      </c>
      <c r="L196" s="25" t="s">
        <v>1076</v>
      </c>
      <c r="M196" s="26" t="s">
        <v>161</v>
      </c>
      <c r="N196" s="25">
        <v>0</v>
      </c>
      <c r="O196" s="26" t="s">
        <v>1077</v>
      </c>
      <c r="P196" s="25" t="s">
        <v>152</v>
      </c>
      <c r="Q196" s="27">
        <v>65.262783804826597</v>
      </c>
      <c r="R196" s="27">
        <v>65.224798048823104</v>
      </c>
      <c r="S196" s="27">
        <v>65.2211179561194</v>
      </c>
      <c r="T196" s="27">
        <v>65.260188942090707</v>
      </c>
      <c r="U196" s="27">
        <v>65.269002131248101</v>
      </c>
      <c r="V196" s="27">
        <v>65.9410906429964</v>
      </c>
      <c r="W196" s="27">
        <v>65.793082161541903</v>
      </c>
      <c r="X196" s="27">
        <v>66.312487849522</v>
      </c>
      <c r="Y196" s="27">
        <v>66.309574354577094</v>
      </c>
      <c r="Z196" s="27">
        <v>66.233541011456495</v>
      </c>
      <c r="AA196" s="27">
        <v>66.2665952765539</v>
      </c>
      <c r="AB196" s="25">
        <f>COUNT(Q196:AA196)</f>
        <v>11</v>
      </c>
      <c r="AC196" s="28">
        <f>AB196/11</f>
        <v>1</v>
      </c>
      <c r="AD196" s="25">
        <f>IFERROR(INDEX($Q$4:$AA$4,MATCH(TRUE,INDEX(ISNUMBER(Q196:AA196),0),0)),"")</f>
        <v>2015</v>
      </c>
      <c r="AE196" s="25">
        <f>IFERROR(LOOKUP(2,1/ISNUMBER(Q196:AA196),$Q$4:$AA$4),"")</f>
        <v>2025</v>
      </c>
      <c r="AF196" s="28">
        <f>IF(AB196=0,"",AB196/(AE196-AD196+1))</f>
        <v>1</v>
      </c>
      <c r="AG196" s="25">
        <f>IF(AB196=0,"",'01_Criterios'!$C$8-AE196)</f>
        <v>0</v>
      </c>
      <c r="AH196" s="29">
        <f>IF(P196="Em uso",100,IF(P196="Alta",85,IF(P196="Média",55,30)))</f>
        <v>85</v>
      </c>
      <c r="AI196" s="29">
        <f>ROUND(100*AC196,1)</f>
        <v>100</v>
      </c>
      <c r="AJ196" s="29">
        <f>IF(AB196=0,0,ROUND(MAX(0,100*AF196-10*AG196),1))</f>
        <v>100</v>
      </c>
      <c r="AK196" s="29">
        <f>ROUND(('01_Criterios'!$C$19*AH196+'01_Criterios'!$C$20*AI196+'01_Criterios'!$C$21*AJ196)/('01_Criterios'!$C$19+'01_Criterios'!$C$20+'01_Criterios'!$C$21)+N196*'01_Criterios'!$C$22,1)</f>
        <v>94</v>
      </c>
      <c r="AL196" s="25">
        <f>IF(AND(AB196&gt;=3,AC196&gt;='01_Criterios'!$C$11,N(AE196)&gt;='01_Criterios'!$C$12,OR(F196="+",F196="-"),ISNUMBER(G196),ISNUMBER(H196)),1,0)</f>
        <v>1</v>
      </c>
      <c r="AM196" s="30" t="str">
        <f>IF(AL196=1,"",TRIM(IF(AB196=0,"sem dados no período; ",IF(AB196&lt;3,"série demasiado curta; ",""))&amp;IF(AND(AB196&gt;0,AC196&lt;'01_Criterios'!$C$11),"cobertura insuficiente; ","")&amp;IF(AND(AB196&gt;0,N(AE196)&lt;'01_Criterios'!$C$12),"desactualizado; ","")&amp;IF(AND(F196&lt;&gt;"+",F196&lt;&gt;"-"),"sentido ambíguo; ","")&amp;IF(OR(NOT(ISNUMBER(G196)),NOT(ISNUMBER(H196))),"sem limites min/max; ","")))</f>
        <v/>
      </c>
      <c r="AN196" s="25">
        <f>IF(OR(AL196=0,$AP196="Excluir"),0,IF(SUMPRODUCT(($O$5:$O$335=$O196)*($AL$5:$AL$335=1)*($AP$5:$AP$335&lt;&gt;"Excluir")*(($AK$5:$AK$335&gt;$AK196)+(($AK$5:$AK$335=$AK196)*(ROW($O$5:$O$335)&lt;ROW()))))=0,1,0))</f>
        <v>1</v>
      </c>
      <c r="AO196" s="25">
        <f>IF(AN196=0,"",1+SUMPRODUCT(($B$5:$B$335=$B196)*($AN$5:$AN$335=1)*(($AK$5:$AK$335&gt;$AK196)+(($AK$5:$AK$335=$AK196)*(ROW($B$5:$B$335)&lt;ROW())))))</f>
        <v>7</v>
      </c>
      <c r="AP196" s="22" t="s">
        <v>131</v>
      </c>
      <c r="AQ196" s="25">
        <f>IF(INDEX('01_Criterios'!$C$26:$C$36,MATCH($B196,'01_Criterios'!$B$26:$B$36,0))&lt;&gt;1,0,IF($AP196="Excluir",0,IF($AP196="Incluir",IF(AND(OR($F196="+",$F196="-"),ISNUMBER($G196),ISNUMBER($H196),COUNT($Q196:$AA196)&gt;0),1,0),IF('01_Criterios'!$C$18="Automática",IF(AND($AN196=1,$AO196&lt;&gt;"",$AO196&lt;=INDEX('01_Criterios'!$E$26:$E$36,MATCH($B196,'01_Criterios'!$B$26:$B$36,0))),1,0),0))))</f>
        <v>0</v>
      </c>
      <c r="AR196" s="25" t="str">
        <f>IF(AQ196=0,"",IF($AO196&lt;&gt;"",1+SUMPRODUCT(($B$5:$B$335=$B196)*($AQ$5:$AQ$335=1)*($AO$5:$AO$335&lt;$AO196)),1+SUMPRODUCT(($B$5:$B$335=$B196)*($AQ$5:$AQ$335=1)*ISNUMBER($AO$5:$AO$335))+SUMPRODUCT(($B$5:$B$335=$B196)*($AQ$5:$AQ$335=1)*($AO$5:$AO$335="")*(ROW($AO$5:$AO$335)&lt;ROW()))))</f>
        <v/>
      </c>
      <c r="AS196" s="24" t="s">
        <v>1078</v>
      </c>
    </row>
    <row r="197" spans="1:45">
      <c r="A197" s="20" t="s">
        <v>1079</v>
      </c>
      <c r="B197" s="21" t="s">
        <v>81</v>
      </c>
      <c r="C197" s="21" t="s">
        <v>1018</v>
      </c>
      <c r="D197" s="21" t="s">
        <v>1080</v>
      </c>
      <c r="E197" s="20" t="s">
        <v>1081</v>
      </c>
      <c r="F197" s="20" t="s">
        <v>126</v>
      </c>
      <c r="G197" s="20">
        <v>0</v>
      </c>
      <c r="H197" s="20">
        <v>100</v>
      </c>
      <c r="I197" s="20">
        <v>50</v>
      </c>
      <c r="J197" s="22">
        <v>1</v>
      </c>
      <c r="K197" s="21" t="s">
        <v>788</v>
      </c>
      <c r="L197" s="20" t="s">
        <v>1082</v>
      </c>
      <c r="M197" s="21" t="s">
        <v>161</v>
      </c>
      <c r="N197" s="20">
        <v>0</v>
      </c>
      <c r="O197" s="21" t="s">
        <v>1083</v>
      </c>
      <c r="P197" s="20" t="s">
        <v>152</v>
      </c>
      <c r="Q197" s="6">
        <v>25.408996604718102</v>
      </c>
      <c r="R197" s="6">
        <v>25.385662734834199</v>
      </c>
      <c r="S197" s="6">
        <v>25.326995778359699</v>
      </c>
      <c r="T197" s="6">
        <v>25.222142848656201</v>
      </c>
      <c r="U197" s="6">
        <v>25.1526346403042</v>
      </c>
      <c r="V197" s="6">
        <v>24.578102925348901</v>
      </c>
      <c r="W197" s="6">
        <v>24.690894820249</v>
      </c>
      <c r="X197" s="6">
        <v>24.1548789834013</v>
      </c>
      <c r="Y197" s="6">
        <v>24.107086814509302</v>
      </c>
      <c r="Z197" s="6">
        <v>24.1421508499038</v>
      </c>
      <c r="AA197" s="6">
        <v>24.095040441557298</v>
      </c>
      <c r="AB197" s="20">
        <f>COUNT(Q197:AA197)</f>
        <v>11</v>
      </c>
      <c r="AC197" s="23">
        <f>AB197/11</f>
        <v>1</v>
      </c>
      <c r="AD197" s="20">
        <f>IFERROR(INDEX($Q$4:$AA$4,MATCH(TRUE,INDEX(ISNUMBER(Q197:AA197),0),0)),"")</f>
        <v>2015</v>
      </c>
      <c r="AE197" s="20">
        <f>IFERROR(LOOKUP(2,1/ISNUMBER(Q197:AA197),$Q$4:$AA$4),"")</f>
        <v>2025</v>
      </c>
      <c r="AF197" s="23">
        <f>IF(AB197=0,"",AB197/(AE197-AD197+1))</f>
        <v>1</v>
      </c>
      <c r="AG197" s="20">
        <f>IF(AB197=0,"",'01_Criterios'!$C$8-AE197)</f>
        <v>0</v>
      </c>
      <c r="AH197" s="7">
        <f>IF(P197="Em uso",100,IF(P197="Alta",85,IF(P197="Média",55,30)))</f>
        <v>85</v>
      </c>
      <c r="AI197" s="7">
        <f>ROUND(100*AC197,1)</f>
        <v>100</v>
      </c>
      <c r="AJ197" s="7">
        <f>IF(AB197=0,0,ROUND(MAX(0,100*AF197-10*AG197),1))</f>
        <v>100</v>
      </c>
      <c r="AK197" s="7">
        <f>ROUND(('01_Criterios'!$C$19*AH197+'01_Criterios'!$C$20*AI197+'01_Criterios'!$C$21*AJ197)/('01_Criterios'!$C$19+'01_Criterios'!$C$20+'01_Criterios'!$C$21)+N197*'01_Criterios'!$C$22,1)</f>
        <v>94</v>
      </c>
      <c r="AL197" s="20">
        <f>IF(AND(AB197&gt;=3,AC197&gt;='01_Criterios'!$C$11,N(AE197)&gt;='01_Criterios'!$C$12,OR(F197="+",F197="-"),ISNUMBER(G197),ISNUMBER(H197)),1,0)</f>
        <v>1</v>
      </c>
      <c r="AM197" s="24" t="str">
        <f>IF(AL197=1,"",TRIM(IF(AB197=0,"sem dados no período; ",IF(AB197&lt;3,"série demasiado curta; ",""))&amp;IF(AND(AB197&gt;0,AC197&lt;'01_Criterios'!$C$11),"cobertura insuficiente; ","")&amp;IF(AND(AB197&gt;0,N(AE197)&lt;'01_Criterios'!$C$12),"desactualizado; ","")&amp;IF(AND(F197&lt;&gt;"+",F197&lt;&gt;"-"),"sentido ambíguo; ","")&amp;IF(OR(NOT(ISNUMBER(G197)),NOT(ISNUMBER(H197))),"sem limites min/max; ","")))</f>
        <v/>
      </c>
      <c r="AN197" s="20">
        <f>IF(OR(AL197=0,$AP197="Excluir"),0,IF(SUMPRODUCT(($O$5:$O$335=$O197)*($AL$5:$AL$335=1)*($AP$5:$AP$335&lt;&gt;"Excluir")*(($AK$5:$AK$335&gt;$AK197)+(($AK$5:$AK$335=$AK197)*(ROW($O$5:$O$335)&lt;ROW()))))=0,1,0))</f>
        <v>1</v>
      </c>
      <c r="AO197" s="20">
        <f>IF(AN197=0,"",1+SUMPRODUCT(($B$5:$B$335=$B197)*($AN$5:$AN$335=1)*(($AK$5:$AK$335&gt;$AK197)+(($AK$5:$AK$335=$AK197)*(ROW($B$5:$B$335)&lt;ROW())))))</f>
        <v>8</v>
      </c>
      <c r="AP197" s="22" t="s">
        <v>131</v>
      </c>
      <c r="AQ197" s="20">
        <f>IF(INDEX('01_Criterios'!$C$26:$C$36,MATCH($B197,'01_Criterios'!$B$26:$B$36,0))&lt;&gt;1,0,IF($AP197="Excluir",0,IF($AP197="Incluir",IF(AND(OR($F197="+",$F197="-"),ISNUMBER($G197),ISNUMBER($H197),COUNT($Q197:$AA197)&gt;0),1,0),IF('01_Criterios'!$C$18="Automática",IF(AND($AN197=1,$AO197&lt;&gt;"",$AO197&lt;=INDEX('01_Criterios'!$E$26:$E$36,MATCH($B197,'01_Criterios'!$B$26:$B$36,0))),1,0),0))))</f>
        <v>0</v>
      </c>
      <c r="AR197" s="20" t="str">
        <f>IF(AQ197=0,"",IF($AO197&lt;&gt;"",1+SUMPRODUCT(($B$5:$B$335=$B197)*($AQ$5:$AQ$335=1)*($AO$5:$AO$335&lt;$AO197)),1+SUMPRODUCT(($B$5:$B$335=$B197)*($AQ$5:$AQ$335=1)*ISNUMBER($AO$5:$AO$335))+SUMPRODUCT(($B$5:$B$335=$B197)*($AQ$5:$AQ$335=1)*($AO$5:$AO$335="")*(ROW($AO$5:$AO$335)&lt;ROW()))))</f>
        <v/>
      </c>
      <c r="AS197" s="24" t="s">
        <v>1084</v>
      </c>
    </row>
    <row r="198" spans="1:45">
      <c r="A198" s="25" t="s">
        <v>1085</v>
      </c>
      <c r="B198" s="26" t="s">
        <v>81</v>
      </c>
      <c r="C198" s="26" t="s">
        <v>1018</v>
      </c>
      <c r="D198" s="26" t="s">
        <v>1086</v>
      </c>
      <c r="E198" s="25" t="s">
        <v>1087</v>
      </c>
      <c r="F198" s="25" t="s">
        <v>126</v>
      </c>
      <c r="G198" s="25">
        <v>1000</v>
      </c>
      <c r="H198" s="25">
        <v>50000</v>
      </c>
      <c r="I198" s="25">
        <v>12000</v>
      </c>
      <c r="J198" s="22">
        <v>1</v>
      </c>
      <c r="K198" s="26" t="s">
        <v>788</v>
      </c>
      <c r="L198" s="25" t="s">
        <v>1088</v>
      </c>
      <c r="M198" s="26" t="s">
        <v>161</v>
      </c>
      <c r="N198" s="25">
        <v>0</v>
      </c>
      <c r="O198" s="26" t="s">
        <v>1039</v>
      </c>
      <c r="P198" s="25" t="s">
        <v>152</v>
      </c>
      <c r="Q198" s="27">
        <v>32713.472952978998</v>
      </c>
      <c r="R198" s="27">
        <v>31187.471865687799</v>
      </c>
      <c r="S198" s="27">
        <v>30171.6575044905</v>
      </c>
      <c r="T198" s="27">
        <v>29053.3348953266</v>
      </c>
      <c r="U198" s="27">
        <v>28059.953394062701</v>
      </c>
      <c r="V198" s="27">
        <v>26682.793395420402</v>
      </c>
      <c r="W198" s="27">
        <v>25015.855886011599</v>
      </c>
      <c r="X198" s="27">
        <v>25072.600004866501</v>
      </c>
      <c r="Y198" s="27">
        <v>24631.96462192</v>
      </c>
      <c r="Z198" s="27">
        <v>24845.813773560101</v>
      </c>
      <c r="AA198" s="27"/>
      <c r="AB198" s="25">
        <f>COUNT(Q198:AA198)</f>
        <v>10</v>
      </c>
      <c r="AC198" s="28">
        <f>AB198/11</f>
        <v>0.90909090909090906</v>
      </c>
      <c r="AD198" s="25">
        <f>IFERROR(INDEX($Q$4:$AA$4,MATCH(TRUE,INDEX(ISNUMBER(Q198:AA198),0),0)),"")</f>
        <v>2015</v>
      </c>
      <c r="AE198" s="25">
        <f>IFERROR(LOOKUP(2,1/ISNUMBER(Q198:AA198),$Q$4:$AA$4),"")</f>
        <v>2024</v>
      </c>
      <c r="AF198" s="28">
        <f>IF(AB198=0,"",AB198/(AE198-AD198+1))</f>
        <v>1</v>
      </c>
      <c r="AG198" s="25">
        <f>IF(AB198=0,"",'01_Criterios'!$C$8-AE198)</f>
        <v>1</v>
      </c>
      <c r="AH198" s="29">
        <f>IF(P198="Em uso",100,IF(P198="Alta",85,IF(P198="Média",55,30)))</f>
        <v>85</v>
      </c>
      <c r="AI198" s="29">
        <f>ROUND(100*AC198,1)</f>
        <v>90.9</v>
      </c>
      <c r="AJ198" s="29">
        <f>IF(AB198=0,0,ROUND(MAX(0,100*AF198-10*AG198),1))</f>
        <v>90</v>
      </c>
      <c r="AK198" s="29">
        <f>ROUND(('01_Criterios'!$C$19*AH198+'01_Criterios'!$C$20*AI198+'01_Criterios'!$C$21*AJ198)/('01_Criterios'!$C$19+'01_Criterios'!$C$20+'01_Criterios'!$C$21)+N198*'01_Criterios'!$C$22,1)</f>
        <v>88.3</v>
      </c>
      <c r="AL198" s="25">
        <f>IF(AND(AB198&gt;=3,AC198&gt;='01_Criterios'!$C$11,N(AE198)&gt;='01_Criterios'!$C$12,OR(F198="+",F198="-"),ISNUMBER(G198),ISNUMBER(H198)),1,0)</f>
        <v>1</v>
      </c>
      <c r="AM198" s="30" t="str">
        <f>IF(AL198=1,"",TRIM(IF(AB198=0,"sem dados no período; ",IF(AB198&lt;3,"série demasiado curta; ",""))&amp;IF(AND(AB198&gt;0,AC198&lt;'01_Criterios'!$C$11),"cobertura insuficiente; ","")&amp;IF(AND(AB198&gt;0,N(AE198)&lt;'01_Criterios'!$C$12),"desactualizado; ","")&amp;IF(AND(F198&lt;&gt;"+",F198&lt;&gt;"-"),"sentido ambíguo; ","")&amp;IF(OR(NOT(ISNUMBER(G198)),NOT(ISNUMBER(H198))),"sem limites min/max; ","")))</f>
        <v/>
      </c>
      <c r="AN198" s="25">
        <f>IF(OR(AL198=0,$AP198="Excluir"),0,IF(SUMPRODUCT(($O$5:$O$335=$O198)*($AL$5:$AL$335=1)*($AP$5:$AP$335&lt;&gt;"Excluir")*(($AK$5:$AK$335&gt;$AK198)+(($AK$5:$AK$335=$AK198)*(ROW($O$5:$O$335)&lt;ROW()))))=0,1,0))</f>
        <v>0</v>
      </c>
      <c r="AO198" s="25" t="str">
        <f>IF(AN198=0,"",1+SUMPRODUCT(($B$5:$B$335=$B198)*($AN$5:$AN$335=1)*(($AK$5:$AK$335&gt;$AK198)+(($AK$5:$AK$335=$AK198)*(ROW($B$5:$B$335)&lt;ROW())))))</f>
        <v/>
      </c>
      <c r="AP198" s="22" t="s">
        <v>131</v>
      </c>
      <c r="AQ198" s="25">
        <f>IF(INDEX('01_Criterios'!$C$26:$C$36,MATCH($B198,'01_Criterios'!$B$26:$B$36,0))&lt;&gt;1,0,IF($AP198="Excluir",0,IF($AP198="Incluir",IF(AND(OR($F198="+",$F198="-"),ISNUMBER($G198),ISNUMBER($H198),COUNT($Q198:$AA198)&gt;0),1,0),IF('01_Criterios'!$C$18="Automática",IF(AND($AN198=1,$AO198&lt;&gt;"",$AO198&lt;=INDEX('01_Criterios'!$E$26:$E$36,MATCH($B198,'01_Criterios'!$B$26:$B$36,0))),1,0),0))))</f>
        <v>0</v>
      </c>
      <c r="AR198" s="25" t="str">
        <f>IF(AQ198=0,"",IF($AO198&lt;&gt;"",1+SUMPRODUCT(($B$5:$B$335=$B198)*($AQ$5:$AQ$335=1)*($AO$5:$AO$335&lt;$AO198)),1+SUMPRODUCT(($B$5:$B$335=$B198)*($AQ$5:$AQ$335=1)*ISNUMBER($AO$5:$AO$335))+SUMPRODUCT(($B$5:$B$335=$B198)*($AQ$5:$AQ$335=1)*($AO$5:$AO$335="")*(ROW($AO$5:$AO$335)&lt;ROW()))))</f>
        <v/>
      </c>
      <c r="AS198" s="24" t="s">
        <v>1089</v>
      </c>
    </row>
    <row r="199" spans="1:45">
      <c r="A199" s="20" t="s">
        <v>1090</v>
      </c>
      <c r="B199" s="21" t="s">
        <v>81</v>
      </c>
      <c r="C199" s="21" t="s">
        <v>1018</v>
      </c>
      <c r="D199" s="21" t="s">
        <v>1091</v>
      </c>
      <c r="E199" s="20" t="s">
        <v>1081</v>
      </c>
      <c r="F199" s="20" t="s">
        <v>316</v>
      </c>
      <c r="G199" s="20">
        <v>0</v>
      </c>
      <c r="H199" s="20">
        <v>100</v>
      </c>
      <c r="I199" s="20">
        <v>35</v>
      </c>
      <c r="J199" s="22">
        <v>1</v>
      </c>
      <c r="K199" s="21" t="s">
        <v>788</v>
      </c>
      <c r="L199" s="20" t="s">
        <v>1092</v>
      </c>
      <c r="M199" s="21" t="s">
        <v>161</v>
      </c>
      <c r="N199" s="20">
        <v>0</v>
      </c>
      <c r="O199" s="21" t="s">
        <v>1090</v>
      </c>
      <c r="P199" s="20" t="s">
        <v>180</v>
      </c>
      <c r="Q199" s="6">
        <v>52.700210222964799</v>
      </c>
      <c r="R199" s="6">
        <v>52.921320855986799</v>
      </c>
      <c r="S199" s="6">
        <v>53.008942513562701</v>
      </c>
      <c r="T199" s="6">
        <v>53.309141310030199</v>
      </c>
      <c r="U199" s="6">
        <v>53.423323354570996</v>
      </c>
      <c r="V199" s="6">
        <v>55.5597336500376</v>
      </c>
      <c r="W199" s="6">
        <v>56.707508768052101</v>
      </c>
      <c r="X199" s="6">
        <v>52.484758495468803</v>
      </c>
      <c r="Y199" s="6">
        <v>52.4066285799356</v>
      </c>
      <c r="Z199" s="6">
        <v>52.154747091659097</v>
      </c>
      <c r="AA199" s="6">
        <v>51.949389488990001</v>
      </c>
      <c r="AB199" s="20">
        <f>COUNT(Q199:AA199)</f>
        <v>11</v>
      </c>
      <c r="AC199" s="23">
        <f>AB199/11</f>
        <v>1</v>
      </c>
      <c r="AD199" s="20">
        <f>IFERROR(INDEX($Q$4:$AA$4,MATCH(TRUE,INDEX(ISNUMBER(Q199:AA199),0),0)),"")</f>
        <v>2015</v>
      </c>
      <c r="AE199" s="20">
        <f>IFERROR(LOOKUP(2,1/ISNUMBER(Q199:AA199),$Q$4:$AA$4),"")</f>
        <v>2025</v>
      </c>
      <c r="AF199" s="23">
        <f>IF(AB199=0,"",AB199/(AE199-AD199+1))</f>
        <v>1</v>
      </c>
      <c r="AG199" s="20">
        <f>IF(AB199=0,"",'01_Criterios'!$C$8-AE199)</f>
        <v>0</v>
      </c>
      <c r="AH199" s="7">
        <f>IF(P199="Em uso",100,IF(P199="Alta",85,IF(P199="Média",55,30)))</f>
        <v>55</v>
      </c>
      <c r="AI199" s="7">
        <f>ROUND(100*AC199,1)</f>
        <v>100</v>
      </c>
      <c r="AJ199" s="7">
        <f>IF(AB199=0,0,ROUND(MAX(0,100*AF199-10*AG199),1))</f>
        <v>100</v>
      </c>
      <c r="AK199" s="7">
        <f>ROUND(('01_Criterios'!$C$19*AH199+'01_Criterios'!$C$20*AI199+'01_Criterios'!$C$21*AJ199)/('01_Criterios'!$C$19+'01_Criterios'!$C$20+'01_Criterios'!$C$21)+N199*'01_Criterios'!$C$22,1)</f>
        <v>82</v>
      </c>
      <c r="AL199" s="20">
        <f>IF(AND(AB199&gt;=3,AC199&gt;='01_Criterios'!$C$11,N(AE199)&gt;='01_Criterios'!$C$12,OR(F199="+",F199="-"),ISNUMBER(G199),ISNUMBER(H199)),1,0)</f>
        <v>0</v>
      </c>
      <c r="AM199" s="24" t="str">
        <f>IF(AL199=1,"",TRIM(IF(AB199=0,"sem dados no período; ",IF(AB199&lt;3,"série demasiado curta; ",""))&amp;IF(AND(AB199&gt;0,AC199&lt;'01_Criterios'!$C$11),"cobertura insuficiente; ","")&amp;IF(AND(AB199&gt;0,N(AE199)&lt;'01_Criterios'!$C$12),"desactualizado; ","")&amp;IF(AND(F199&lt;&gt;"+",F199&lt;&gt;"-"),"sentido ambíguo; ","")&amp;IF(OR(NOT(ISNUMBER(G199)),NOT(ISNUMBER(H199))),"sem limites min/max; ","")))</f>
        <v>sentido ambíguo;</v>
      </c>
      <c r="AN199" s="20">
        <f>IF(OR(AL199=0,$AP199="Excluir"),0,IF(SUMPRODUCT(($O$5:$O$335=$O199)*($AL$5:$AL$335=1)*($AP$5:$AP$335&lt;&gt;"Excluir")*(($AK$5:$AK$335&gt;$AK199)+(($AK$5:$AK$335=$AK199)*(ROW($O$5:$O$335)&lt;ROW()))))=0,1,0))</f>
        <v>0</v>
      </c>
      <c r="AO199" s="20" t="str">
        <f>IF(AN199=0,"",1+SUMPRODUCT(($B$5:$B$335=$B199)*($AN$5:$AN$335=1)*(($AK$5:$AK$335&gt;$AK199)+(($AK$5:$AK$335=$AK199)*(ROW($B$5:$B$335)&lt;ROW())))))</f>
        <v/>
      </c>
      <c r="AP199" s="22" t="s">
        <v>131</v>
      </c>
      <c r="AQ199" s="20">
        <f>IF(INDEX('01_Criterios'!$C$26:$C$36,MATCH($B199,'01_Criterios'!$B$26:$B$36,0))&lt;&gt;1,0,IF($AP199="Excluir",0,IF($AP199="Incluir",IF(AND(OR($F199="+",$F199="-"),ISNUMBER($G199),ISNUMBER($H199),COUNT($Q199:$AA199)&gt;0),1,0),IF('01_Criterios'!$C$18="Automática",IF(AND($AN199=1,$AO199&lt;&gt;"",$AO199&lt;=INDEX('01_Criterios'!$E$26:$E$36,MATCH($B199,'01_Criterios'!$B$26:$B$36,0))),1,0),0))))</f>
        <v>0</v>
      </c>
      <c r="AR199" s="20" t="str">
        <f>IF(AQ199=0,"",IF($AO199&lt;&gt;"",1+SUMPRODUCT(($B$5:$B$335=$B199)*($AQ$5:$AQ$335=1)*($AO$5:$AO$335&lt;$AO199)),1+SUMPRODUCT(($B$5:$B$335=$B199)*($AQ$5:$AQ$335=1)*ISNUMBER($AO$5:$AO$335))+SUMPRODUCT(($B$5:$B$335=$B199)*($AQ$5:$AQ$335=1)*($AO$5:$AO$335="")*(ROW($AO$5:$AO$335)&lt;ROW()))))</f>
        <v/>
      </c>
      <c r="AS199" s="24" t="s">
        <v>1093</v>
      </c>
    </row>
    <row r="200" spans="1:45">
      <c r="A200" s="25" t="s">
        <v>1094</v>
      </c>
      <c r="B200" s="26" t="s">
        <v>81</v>
      </c>
      <c r="C200" s="26" t="s">
        <v>1095</v>
      </c>
      <c r="D200" s="26" t="s">
        <v>1096</v>
      </c>
      <c r="E200" s="25" t="s">
        <v>1081</v>
      </c>
      <c r="F200" s="25" t="s">
        <v>126</v>
      </c>
      <c r="G200" s="25">
        <v>0</v>
      </c>
      <c r="H200" s="25">
        <v>100</v>
      </c>
      <c r="I200" s="25">
        <v>20</v>
      </c>
      <c r="J200" s="22">
        <v>1</v>
      </c>
      <c r="K200" s="26" t="s">
        <v>788</v>
      </c>
      <c r="L200" s="25" t="s">
        <v>1097</v>
      </c>
      <c r="M200" s="26" t="s">
        <v>161</v>
      </c>
      <c r="N200" s="25">
        <v>0</v>
      </c>
      <c r="O200" s="26" t="s">
        <v>1094</v>
      </c>
      <c r="P200" s="25" t="s">
        <v>180</v>
      </c>
      <c r="Q200" s="27">
        <v>6.97823990911923</v>
      </c>
      <c r="R200" s="27">
        <v>6.9647108250222001</v>
      </c>
      <c r="S200" s="27">
        <v>6.9731751423343402</v>
      </c>
      <c r="T200" s="27">
        <v>6.9135232011738701</v>
      </c>
      <c r="U200" s="27">
        <v>6.9104808445940602</v>
      </c>
      <c r="V200" s="27">
        <v>6.2211263032917401</v>
      </c>
      <c r="W200" s="27">
        <v>5.7175726755568101</v>
      </c>
      <c r="X200" s="27">
        <v>7.0274787702210899</v>
      </c>
      <c r="Y200" s="27">
        <v>7.0670390124092499</v>
      </c>
      <c r="Z200" s="27">
        <v>7.15769760915994</v>
      </c>
      <c r="AA200" s="27">
        <v>7.1991450306404001</v>
      </c>
      <c r="AB200" s="25">
        <f>COUNT(Q200:AA200)</f>
        <v>11</v>
      </c>
      <c r="AC200" s="28">
        <f>AB200/11</f>
        <v>1</v>
      </c>
      <c r="AD200" s="25">
        <f>IFERROR(INDEX($Q$4:$AA$4,MATCH(TRUE,INDEX(ISNUMBER(Q200:AA200),0),0)),"")</f>
        <v>2015</v>
      </c>
      <c r="AE200" s="25">
        <f>IFERROR(LOOKUP(2,1/ISNUMBER(Q200:AA200),$Q$4:$AA$4),"")</f>
        <v>2025</v>
      </c>
      <c r="AF200" s="28">
        <f>IF(AB200=0,"",AB200/(AE200-AD200+1))</f>
        <v>1</v>
      </c>
      <c r="AG200" s="25">
        <f>IF(AB200=0,"",'01_Criterios'!$C$8-AE200)</f>
        <v>0</v>
      </c>
      <c r="AH200" s="29">
        <f>IF(P200="Em uso",100,IF(P200="Alta",85,IF(P200="Média",55,30)))</f>
        <v>55</v>
      </c>
      <c r="AI200" s="29">
        <f>ROUND(100*AC200,1)</f>
        <v>100</v>
      </c>
      <c r="AJ200" s="29">
        <f>IF(AB200=0,0,ROUND(MAX(0,100*AF200-10*AG200),1))</f>
        <v>100</v>
      </c>
      <c r="AK200" s="29">
        <f>ROUND(('01_Criterios'!$C$19*AH200+'01_Criterios'!$C$20*AI200+'01_Criterios'!$C$21*AJ200)/('01_Criterios'!$C$19+'01_Criterios'!$C$20+'01_Criterios'!$C$21)+N200*'01_Criterios'!$C$22,1)</f>
        <v>82</v>
      </c>
      <c r="AL200" s="25">
        <f>IF(AND(AB200&gt;=3,AC200&gt;='01_Criterios'!$C$11,N(AE200)&gt;='01_Criterios'!$C$12,OR(F200="+",F200="-"),ISNUMBER(G200),ISNUMBER(H200)),1,0)</f>
        <v>1</v>
      </c>
      <c r="AM200" s="30" t="str">
        <f>IF(AL200=1,"",TRIM(IF(AB200=0,"sem dados no período; ",IF(AB200&lt;3,"série demasiado curta; ",""))&amp;IF(AND(AB200&gt;0,AC200&lt;'01_Criterios'!$C$11),"cobertura insuficiente; ","")&amp;IF(AND(AB200&gt;0,N(AE200)&lt;'01_Criterios'!$C$12),"desactualizado; ","")&amp;IF(AND(F200&lt;&gt;"+",F200&lt;&gt;"-"),"sentido ambíguo; ","")&amp;IF(OR(NOT(ISNUMBER(G200)),NOT(ISNUMBER(H200))),"sem limites min/max; ","")))</f>
        <v/>
      </c>
      <c r="AN200" s="25">
        <f>IF(OR(AL200=0,$AP200="Excluir"),0,IF(SUMPRODUCT(($O$5:$O$335=$O200)*($AL$5:$AL$335=1)*($AP$5:$AP$335&lt;&gt;"Excluir")*(($AK$5:$AK$335&gt;$AK200)+(($AK$5:$AK$335=$AK200)*(ROW($O$5:$O$335)&lt;ROW()))))=0,1,0))</f>
        <v>1</v>
      </c>
      <c r="AO200" s="25">
        <f>IF(AN200=0,"",1+SUMPRODUCT(($B$5:$B$335=$B200)*($AN$5:$AN$335=1)*(($AK$5:$AK$335&gt;$AK200)+(($AK$5:$AK$335=$AK200)*(ROW($B$5:$B$335)&lt;ROW())))))</f>
        <v>9</v>
      </c>
      <c r="AP200" s="22" t="s">
        <v>131</v>
      </c>
      <c r="AQ200" s="25">
        <f>IF(INDEX('01_Criterios'!$C$26:$C$36,MATCH($B200,'01_Criterios'!$B$26:$B$36,0))&lt;&gt;1,0,IF($AP200="Excluir",0,IF($AP200="Incluir",IF(AND(OR($F200="+",$F200="-"),ISNUMBER($G200),ISNUMBER($H200),COUNT($Q200:$AA200)&gt;0),1,0),IF('01_Criterios'!$C$18="Automática",IF(AND($AN200=1,$AO200&lt;&gt;"",$AO200&lt;=INDEX('01_Criterios'!$E$26:$E$36,MATCH($B200,'01_Criterios'!$B$26:$B$36,0))),1,0),0))))</f>
        <v>0</v>
      </c>
      <c r="AR200" s="25" t="str">
        <f>IF(AQ200=0,"",IF($AO200&lt;&gt;"",1+SUMPRODUCT(($B$5:$B$335=$B200)*($AQ$5:$AQ$335=1)*($AO$5:$AO$335&lt;$AO200)),1+SUMPRODUCT(($B$5:$B$335=$B200)*($AQ$5:$AQ$335=1)*ISNUMBER($AO$5:$AO$335))+SUMPRODUCT(($B$5:$B$335=$B200)*($AQ$5:$AQ$335=1)*($AO$5:$AO$335="")*(ROW($AO$5:$AO$335)&lt;ROW()))))</f>
        <v/>
      </c>
      <c r="AS200" s="24" t="s">
        <v>1098</v>
      </c>
    </row>
    <row r="201" spans="1:45">
      <c r="A201" s="20" t="s">
        <v>1099</v>
      </c>
      <c r="B201" s="21" t="s">
        <v>81</v>
      </c>
      <c r="C201" s="21" t="s">
        <v>1095</v>
      </c>
      <c r="D201" s="21" t="s">
        <v>1100</v>
      </c>
      <c r="E201" s="20" t="s">
        <v>1081</v>
      </c>
      <c r="F201" s="20" t="s">
        <v>126</v>
      </c>
      <c r="G201" s="20">
        <v>0</v>
      </c>
      <c r="H201" s="20">
        <v>100</v>
      </c>
      <c r="I201" s="20">
        <v>45</v>
      </c>
      <c r="J201" s="22">
        <v>1</v>
      </c>
      <c r="K201" s="21" t="s">
        <v>788</v>
      </c>
      <c r="L201" s="20" t="s">
        <v>1101</v>
      </c>
      <c r="M201" s="21" t="s">
        <v>161</v>
      </c>
      <c r="N201" s="20">
        <v>0</v>
      </c>
      <c r="O201" s="21" t="s">
        <v>1099</v>
      </c>
      <c r="P201" s="20" t="s">
        <v>180</v>
      </c>
      <c r="Q201" s="6">
        <v>40.321549867915898</v>
      </c>
      <c r="R201" s="6">
        <v>40.113958428998401</v>
      </c>
      <c r="S201" s="6">
        <v>40.017872761880199</v>
      </c>
      <c r="T201" s="6">
        <v>39.777335488795899</v>
      </c>
      <c r="U201" s="6">
        <v>39.666195800834998</v>
      </c>
      <c r="V201" s="6">
        <v>38.219131144480698</v>
      </c>
      <c r="W201" s="6">
        <v>37.574926730587798</v>
      </c>
      <c r="X201" s="6">
        <v>40.487762734310202</v>
      </c>
      <c r="Y201" s="6">
        <v>40.526340034356799</v>
      </c>
      <c r="Z201" s="6">
        <v>40.687555299181</v>
      </c>
      <c r="AA201" s="6">
        <v>40.851465480369598</v>
      </c>
      <c r="AB201" s="20">
        <f>COUNT(Q201:AA201)</f>
        <v>11</v>
      </c>
      <c r="AC201" s="23">
        <f>AB201/11</f>
        <v>1</v>
      </c>
      <c r="AD201" s="20">
        <f>IFERROR(INDEX($Q$4:$AA$4,MATCH(TRUE,INDEX(ISNUMBER(Q201:AA201),0),0)),"")</f>
        <v>2015</v>
      </c>
      <c r="AE201" s="20">
        <f>IFERROR(LOOKUP(2,1/ISNUMBER(Q201:AA201),$Q$4:$AA$4),"")</f>
        <v>2025</v>
      </c>
      <c r="AF201" s="23">
        <f>IF(AB201=0,"",AB201/(AE201-AD201+1))</f>
        <v>1</v>
      </c>
      <c r="AG201" s="20">
        <f>IF(AB201=0,"",'01_Criterios'!$C$8-AE201)</f>
        <v>0</v>
      </c>
      <c r="AH201" s="7">
        <f>IF(P201="Em uso",100,IF(P201="Alta",85,IF(P201="Média",55,30)))</f>
        <v>55</v>
      </c>
      <c r="AI201" s="7">
        <f>ROUND(100*AC201,1)</f>
        <v>100</v>
      </c>
      <c r="AJ201" s="7">
        <f>IF(AB201=0,0,ROUND(MAX(0,100*AF201-10*AG201),1))</f>
        <v>100</v>
      </c>
      <c r="AK201" s="7">
        <f>ROUND(('01_Criterios'!$C$19*AH201+'01_Criterios'!$C$20*AI201+'01_Criterios'!$C$21*AJ201)/('01_Criterios'!$C$19+'01_Criterios'!$C$20+'01_Criterios'!$C$21)+N201*'01_Criterios'!$C$22,1)</f>
        <v>82</v>
      </c>
      <c r="AL201" s="20">
        <f>IF(AND(AB201&gt;=3,AC201&gt;='01_Criterios'!$C$11,N(AE201)&gt;='01_Criterios'!$C$12,OR(F201="+",F201="-"),ISNUMBER(G201),ISNUMBER(H201)),1,0)</f>
        <v>1</v>
      </c>
      <c r="AM201" s="24" t="str">
        <f>IF(AL201=1,"",TRIM(IF(AB201=0,"sem dados no período; ",IF(AB201&lt;3,"série demasiado curta; ",""))&amp;IF(AND(AB201&gt;0,AC201&lt;'01_Criterios'!$C$11),"cobertura insuficiente; ","")&amp;IF(AND(AB201&gt;0,N(AE201)&lt;'01_Criterios'!$C$12),"desactualizado; ","")&amp;IF(AND(F201&lt;&gt;"+",F201&lt;&gt;"-"),"sentido ambíguo; ","")&amp;IF(OR(NOT(ISNUMBER(G201)),NOT(ISNUMBER(H201))),"sem limites min/max; ","")))</f>
        <v/>
      </c>
      <c r="AN201" s="20">
        <f>IF(OR(AL201=0,$AP201="Excluir"),0,IF(SUMPRODUCT(($O$5:$O$335=$O201)*($AL$5:$AL$335=1)*($AP$5:$AP$335&lt;&gt;"Excluir")*(($AK$5:$AK$335&gt;$AK201)+(($AK$5:$AK$335=$AK201)*(ROW($O$5:$O$335)&lt;ROW()))))=0,1,0))</f>
        <v>1</v>
      </c>
      <c r="AO201" s="20">
        <f>IF(AN201=0,"",1+SUMPRODUCT(($B$5:$B$335=$B201)*($AN$5:$AN$335=1)*(($AK$5:$AK$335&gt;$AK201)+(($AK$5:$AK$335=$AK201)*(ROW($B$5:$B$335)&lt;ROW())))))</f>
        <v>10</v>
      </c>
      <c r="AP201" s="22" t="s">
        <v>131</v>
      </c>
      <c r="AQ201" s="20">
        <f>IF(INDEX('01_Criterios'!$C$26:$C$36,MATCH($B201,'01_Criterios'!$B$26:$B$36,0))&lt;&gt;1,0,IF($AP201="Excluir",0,IF($AP201="Incluir",IF(AND(OR($F201="+",$F201="-"),ISNUMBER($G201),ISNUMBER($H201),COUNT($Q201:$AA201)&gt;0),1,0),IF('01_Criterios'!$C$18="Automática",IF(AND($AN201=1,$AO201&lt;&gt;"",$AO201&lt;=INDEX('01_Criterios'!$E$26:$E$36,MATCH($B201,'01_Criterios'!$B$26:$B$36,0))),1,0),0))))</f>
        <v>0</v>
      </c>
      <c r="AR201" s="20" t="str">
        <f>IF(AQ201=0,"",IF($AO201&lt;&gt;"",1+SUMPRODUCT(($B$5:$B$335=$B201)*($AQ$5:$AQ$335=1)*($AO$5:$AO$335&lt;$AO201)),1+SUMPRODUCT(($B$5:$B$335=$B201)*($AQ$5:$AQ$335=1)*ISNUMBER($AO$5:$AO$335))+SUMPRODUCT(($B$5:$B$335=$B201)*($AQ$5:$AQ$335=1)*($AO$5:$AO$335="")*(ROW($AO$5:$AO$335)&lt;ROW()))))</f>
        <v/>
      </c>
      <c r="AS201" s="24" t="s">
        <v>1102</v>
      </c>
    </row>
    <row r="202" spans="1:45">
      <c r="A202" s="25" t="s">
        <v>1103</v>
      </c>
      <c r="B202" s="26" t="s">
        <v>81</v>
      </c>
      <c r="C202" s="26" t="s">
        <v>1053</v>
      </c>
      <c r="D202" s="26" t="s">
        <v>1104</v>
      </c>
      <c r="E202" s="25" t="s">
        <v>157</v>
      </c>
      <c r="F202" s="25" t="s">
        <v>126</v>
      </c>
      <c r="G202" s="25">
        <v>0</v>
      </c>
      <c r="H202" s="25">
        <v>100</v>
      </c>
      <c r="I202" s="25">
        <v>75</v>
      </c>
      <c r="J202" s="22">
        <v>1</v>
      </c>
      <c r="K202" s="26" t="s">
        <v>788</v>
      </c>
      <c r="L202" s="25" t="s">
        <v>1105</v>
      </c>
      <c r="M202" s="26" t="s">
        <v>161</v>
      </c>
      <c r="N202" s="25">
        <v>0</v>
      </c>
      <c r="O202" s="26" t="s">
        <v>1072</v>
      </c>
      <c r="P202" s="25" t="s">
        <v>180</v>
      </c>
      <c r="Q202" s="27">
        <v>78.555999999999997</v>
      </c>
      <c r="R202" s="27">
        <v>78.212000000000003</v>
      </c>
      <c r="S202" s="27">
        <v>77.863</v>
      </c>
      <c r="T202" s="27">
        <v>77.510999999999996</v>
      </c>
      <c r="U202" s="27">
        <v>77.156000000000006</v>
      </c>
      <c r="V202" s="27">
        <v>75.391999999999996</v>
      </c>
      <c r="W202" s="27">
        <v>78.13</v>
      </c>
      <c r="X202" s="27">
        <v>76.534999999999997</v>
      </c>
      <c r="Y202" s="27">
        <v>77.587999999999994</v>
      </c>
      <c r="Z202" s="27">
        <v>77.522000000000006</v>
      </c>
      <c r="AA202" s="27">
        <v>77.466999999999999</v>
      </c>
      <c r="AB202" s="25">
        <f>COUNT(Q202:AA202)</f>
        <v>11</v>
      </c>
      <c r="AC202" s="28">
        <f>AB202/11</f>
        <v>1</v>
      </c>
      <c r="AD202" s="25">
        <f>IFERROR(INDEX($Q$4:$AA$4,MATCH(TRUE,INDEX(ISNUMBER(Q202:AA202),0),0)),"")</f>
        <v>2015</v>
      </c>
      <c r="AE202" s="25">
        <f>IFERROR(LOOKUP(2,1/ISNUMBER(Q202:AA202),$Q$4:$AA$4),"")</f>
        <v>2025</v>
      </c>
      <c r="AF202" s="28">
        <f>IF(AB202=0,"",AB202/(AE202-AD202+1))</f>
        <v>1</v>
      </c>
      <c r="AG202" s="25">
        <f>IF(AB202=0,"",'01_Criterios'!$C$8-AE202)</f>
        <v>0</v>
      </c>
      <c r="AH202" s="29">
        <f>IF(P202="Em uso",100,IF(P202="Alta",85,IF(P202="Média",55,30)))</f>
        <v>55</v>
      </c>
      <c r="AI202" s="29">
        <f>ROUND(100*AC202,1)</f>
        <v>100</v>
      </c>
      <c r="AJ202" s="29">
        <f>IF(AB202=0,0,ROUND(MAX(0,100*AF202-10*AG202),1))</f>
        <v>100</v>
      </c>
      <c r="AK202" s="29">
        <f>ROUND(('01_Criterios'!$C$19*AH202+'01_Criterios'!$C$20*AI202+'01_Criterios'!$C$21*AJ202)/('01_Criterios'!$C$19+'01_Criterios'!$C$20+'01_Criterios'!$C$21)+N202*'01_Criterios'!$C$22,1)</f>
        <v>82</v>
      </c>
      <c r="AL202" s="25">
        <f>IF(AND(AB202&gt;=3,AC202&gt;='01_Criterios'!$C$11,N(AE202)&gt;='01_Criterios'!$C$12,OR(F202="+",F202="-"),ISNUMBER(G202),ISNUMBER(H202)),1,0)</f>
        <v>1</v>
      </c>
      <c r="AM202" s="30" t="str">
        <f>IF(AL202=1,"",TRIM(IF(AB202=0,"sem dados no período; ",IF(AB202&lt;3,"série demasiado curta; ",""))&amp;IF(AND(AB202&gt;0,AC202&lt;'01_Criterios'!$C$11),"cobertura insuficiente; ","")&amp;IF(AND(AB202&gt;0,N(AE202)&lt;'01_Criterios'!$C$12),"desactualizado; ","")&amp;IF(AND(F202&lt;&gt;"+",F202&lt;&gt;"-"),"sentido ambíguo; ","")&amp;IF(OR(NOT(ISNUMBER(G202)),NOT(ISNUMBER(H202))),"sem limites min/max; ","")))</f>
        <v/>
      </c>
      <c r="AN202" s="25">
        <f>IF(OR(AL202=0,$AP202="Excluir"),0,IF(SUMPRODUCT(($O$5:$O$335=$O202)*($AL$5:$AL$335=1)*($AP$5:$AP$335&lt;&gt;"Excluir")*(($AK$5:$AK$335&gt;$AK202)+(($AK$5:$AK$335=$AK202)*(ROW($O$5:$O$335)&lt;ROW()))))=0,1,0))</f>
        <v>0</v>
      </c>
      <c r="AO202" s="25" t="str">
        <f>IF(AN202=0,"",1+SUMPRODUCT(($B$5:$B$335=$B202)*($AN$5:$AN$335=1)*(($AK$5:$AK$335&gt;$AK202)+(($AK$5:$AK$335=$AK202)*(ROW($B$5:$B$335)&lt;ROW())))))</f>
        <v/>
      </c>
      <c r="AP202" s="22" t="s">
        <v>131</v>
      </c>
      <c r="AQ202" s="25">
        <f>IF(INDEX('01_Criterios'!$C$26:$C$36,MATCH($B202,'01_Criterios'!$B$26:$B$36,0))&lt;&gt;1,0,IF($AP202="Excluir",0,IF($AP202="Incluir",IF(AND(OR($F202="+",$F202="-"),ISNUMBER($G202),ISNUMBER($H202),COUNT($Q202:$AA202)&gt;0),1,0),IF('01_Criterios'!$C$18="Automática",IF(AND($AN202=1,$AO202&lt;&gt;"",$AO202&lt;=INDEX('01_Criterios'!$E$26:$E$36,MATCH($B202,'01_Criterios'!$B$26:$B$36,0))),1,0),0))))</f>
        <v>0</v>
      </c>
      <c r="AR202" s="25" t="str">
        <f>IF(AQ202=0,"",IF($AO202&lt;&gt;"",1+SUMPRODUCT(($B$5:$B$335=$B202)*($AQ$5:$AQ$335=1)*($AO$5:$AO$335&lt;$AO202)),1+SUMPRODUCT(($B$5:$B$335=$B202)*($AQ$5:$AQ$335=1)*ISNUMBER($AO$5:$AO$335))+SUMPRODUCT(($B$5:$B$335=$B202)*($AQ$5:$AQ$335=1)*($AO$5:$AO$335="")*(ROW($AO$5:$AO$335)&lt;ROW()))))</f>
        <v/>
      </c>
      <c r="AS202" s="24" t="s">
        <v>1106</v>
      </c>
    </row>
    <row r="203" spans="1:45">
      <c r="A203" s="20" t="s">
        <v>1107</v>
      </c>
      <c r="B203" s="21" t="s">
        <v>81</v>
      </c>
      <c r="C203" s="21" t="s">
        <v>1057</v>
      </c>
      <c r="D203" s="21" t="s">
        <v>1108</v>
      </c>
      <c r="E203" s="20" t="s">
        <v>157</v>
      </c>
      <c r="F203" s="20" t="s">
        <v>158</v>
      </c>
      <c r="G203" s="20">
        <v>0</v>
      </c>
      <c r="H203" s="20">
        <v>60</v>
      </c>
      <c r="I203" s="20">
        <v>20</v>
      </c>
      <c r="J203" s="22">
        <v>1</v>
      </c>
      <c r="K203" s="21" t="s">
        <v>788</v>
      </c>
      <c r="L203" s="20" t="s">
        <v>1109</v>
      </c>
      <c r="M203" s="21" t="s">
        <v>161</v>
      </c>
      <c r="N203" s="20">
        <v>0</v>
      </c>
      <c r="O203" s="21" t="s">
        <v>1110</v>
      </c>
      <c r="P203" s="20" t="s">
        <v>180</v>
      </c>
      <c r="Q203" s="6">
        <v>17.510000000000002</v>
      </c>
      <c r="R203" s="6">
        <v>17.367999999999999</v>
      </c>
      <c r="S203" s="6">
        <v>17.166</v>
      </c>
      <c r="T203" s="6">
        <v>16.901</v>
      </c>
      <c r="U203" s="6">
        <v>16.547000000000001</v>
      </c>
      <c r="V203" s="6">
        <v>16.616</v>
      </c>
      <c r="W203" s="6">
        <v>15.781000000000001</v>
      </c>
      <c r="X203" s="6">
        <v>14.403</v>
      </c>
      <c r="Y203" s="6">
        <v>14.335000000000001</v>
      </c>
      <c r="Z203" s="6">
        <v>14.305</v>
      </c>
      <c r="AA203" s="6">
        <v>14.259</v>
      </c>
      <c r="AB203" s="20">
        <f>COUNT(Q203:AA203)</f>
        <v>11</v>
      </c>
      <c r="AC203" s="23">
        <f>AB203/11</f>
        <v>1</v>
      </c>
      <c r="AD203" s="20">
        <f>IFERROR(INDEX($Q$4:$AA$4,MATCH(TRUE,INDEX(ISNUMBER(Q203:AA203),0),0)),"")</f>
        <v>2015</v>
      </c>
      <c r="AE203" s="20">
        <f>IFERROR(LOOKUP(2,1/ISNUMBER(Q203:AA203),$Q$4:$AA$4),"")</f>
        <v>2025</v>
      </c>
      <c r="AF203" s="23">
        <f>IF(AB203=0,"",AB203/(AE203-AD203+1))</f>
        <v>1</v>
      </c>
      <c r="AG203" s="20">
        <f>IF(AB203=0,"",'01_Criterios'!$C$8-AE203)</f>
        <v>0</v>
      </c>
      <c r="AH203" s="7">
        <f>IF(P203="Em uso",100,IF(P203="Alta",85,IF(P203="Média",55,30)))</f>
        <v>55</v>
      </c>
      <c r="AI203" s="7">
        <f>ROUND(100*AC203,1)</f>
        <v>100</v>
      </c>
      <c r="AJ203" s="7">
        <f>IF(AB203=0,0,ROUND(MAX(0,100*AF203-10*AG203),1))</f>
        <v>100</v>
      </c>
      <c r="AK203" s="7">
        <f>ROUND(('01_Criterios'!$C$19*AH203+'01_Criterios'!$C$20*AI203+'01_Criterios'!$C$21*AJ203)/('01_Criterios'!$C$19+'01_Criterios'!$C$20+'01_Criterios'!$C$21)+N203*'01_Criterios'!$C$22,1)</f>
        <v>82</v>
      </c>
      <c r="AL203" s="20">
        <f>IF(AND(AB203&gt;=3,AC203&gt;='01_Criterios'!$C$11,N(AE203)&gt;='01_Criterios'!$C$12,OR(F203="+",F203="-"),ISNUMBER(G203),ISNUMBER(H203)),1,0)</f>
        <v>1</v>
      </c>
      <c r="AM203" s="24" t="str">
        <f>IF(AL203=1,"",TRIM(IF(AB203=0,"sem dados no período; ",IF(AB203&lt;3,"série demasiado curta; ",""))&amp;IF(AND(AB203&gt;0,AC203&lt;'01_Criterios'!$C$11),"cobertura insuficiente; ","")&amp;IF(AND(AB203&gt;0,N(AE203)&lt;'01_Criterios'!$C$12),"desactualizado; ","")&amp;IF(AND(F203&lt;&gt;"+",F203&lt;&gt;"-"),"sentido ambíguo; ","")&amp;IF(OR(NOT(ISNUMBER(G203)),NOT(ISNUMBER(H203))),"sem limites min/max; ","")))</f>
        <v/>
      </c>
      <c r="AN203" s="20">
        <f>IF(OR(AL203=0,$AP203="Excluir"),0,IF(SUMPRODUCT(($O$5:$O$335=$O203)*($AL$5:$AL$335=1)*($AP$5:$AP$335&lt;&gt;"Excluir")*(($AK$5:$AK$335&gt;$AK203)+(($AK$5:$AK$335=$AK203)*(ROW($O$5:$O$335)&lt;ROW()))))=0,1,0))</f>
        <v>1</v>
      </c>
      <c r="AO203" s="20">
        <f>IF(AN203=0,"",1+SUMPRODUCT(($B$5:$B$335=$B203)*($AN$5:$AN$335=1)*(($AK$5:$AK$335&gt;$AK203)+(($AK$5:$AK$335=$AK203)*(ROW($B$5:$B$335)&lt;ROW())))))</f>
        <v>11</v>
      </c>
      <c r="AP203" s="22" t="s">
        <v>131</v>
      </c>
      <c r="AQ203" s="20">
        <f>IF(INDEX('01_Criterios'!$C$26:$C$36,MATCH($B203,'01_Criterios'!$B$26:$B$36,0))&lt;&gt;1,0,IF($AP203="Excluir",0,IF($AP203="Incluir",IF(AND(OR($F203="+",$F203="-"),ISNUMBER($G203),ISNUMBER($H203),COUNT($Q203:$AA203)&gt;0),1,0),IF('01_Criterios'!$C$18="Automática",IF(AND($AN203=1,$AO203&lt;&gt;"",$AO203&lt;=INDEX('01_Criterios'!$E$26:$E$36,MATCH($B203,'01_Criterios'!$B$26:$B$36,0))),1,0),0))))</f>
        <v>0</v>
      </c>
      <c r="AR203" s="20" t="str">
        <f>IF(AQ203=0,"",IF($AO203&lt;&gt;"",1+SUMPRODUCT(($B$5:$B$335=$B203)*($AQ$5:$AQ$335=1)*($AO$5:$AO$335&lt;$AO203)),1+SUMPRODUCT(($B$5:$B$335=$B203)*($AQ$5:$AQ$335=1)*ISNUMBER($AO$5:$AO$335))+SUMPRODUCT(($B$5:$B$335=$B203)*($AQ$5:$AQ$335=1)*($AO$5:$AO$335="")*(ROW($AO$5:$AO$335)&lt;ROW()))))</f>
        <v/>
      </c>
      <c r="AS203" s="24" t="s">
        <v>1111</v>
      </c>
    </row>
    <row r="204" spans="1:45">
      <c r="A204" s="25" t="s">
        <v>1112</v>
      </c>
      <c r="B204" s="26" t="s">
        <v>81</v>
      </c>
      <c r="C204" s="26" t="s">
        <v>1057</v>
      </c>
      <c r="D204" s="26" t="s">
        <v>1113</v>
      </c>
      <c r="E204" s="25" t="s">
        <v>157</v>
      </c>
      <c r="F204" s="25" t="s">
        <v>158</v>
      </c>
      <c r="G204" s="25">
        <v>0</v>
      </c>
      <c r="H204" s="25">
        <v>60</v>
      </c>
      <c r="I204" s="25">
        <v>18</v>
      </c>
      <c r="J204" s="22">
        <v>1</v>
      </c>
      <c r="K204" s="26" t="s">
        <v>788</v>
      </c>
      <c r="L204" s="25" t="s">
        <v>1114</v>
      </c>
      <c r="M204" s="26" t="s">
        <v>161</v>
      </c>
      <c r="N204" s="25">
        <v>0</v>
      </c>
      <c r="O204" s="26" t="s">
        <v>1110</v>
      </c>
      <c r="P204" s="25" t="s">
        <v>180</v>
      </c>
      <c r="Q204" s="27">
        <v>15.445</v>
      </c>
      <c r="R204" s="27">
        <v>15.784000000000001</v>
      </c>
      <c r="S204" s="27">
        <v>16.073</v>
      </c>
      <c r="T204" s="27">
        <v>16.306000000000001</v>
      </c>
      <c r="U204" s="27">
        <v>16.446999999999999</v>
      </c>
      <c r="V204" s="27">
        <v>16.776</v>
      </c>
      <c r="W204" s="27">
        <v>15.817</v>
      </c>
      <c r="X204" s="27">
        <v>13.842000000000001</v>
      </c>
      <c r="Y204" s="27">
        <v>13.773</v>
      </c>
      <c r="Z204" s="27">
        <v>13.742000000000001</v>
      </c>
      <c r="AA204" s="27">
        <v>13.96</v>
      </c>
      <c r="AB204" s="25">
        <f>COUNT(Q204:AA204)</f>
        <v>11</v>
      </c>
      <c r="AC204" s="28">
        <f>AB204/11</f>
        <v>1</v>
      </c>
      <c r="AD204" s="25">
        <f>IFERROR(INDEX($Q$4:$AA$4,MATCH(TRUE,INDEX(ISNUMBER(Q204:AA204),0),0)),"")</f>
        <v>2015</v>
      </c>
      <c r="AE204" s="25">
        <f>IFERROR(LOOKUP(2,1/ISNUMBER(Q204:AA204),$Q$4:$AA$4),"")</f>
        <v>2025</v>
      </c>
      <c r="AF204" s="28">
        <f>IF(AB204=0,"",AB204/(AE204-AD204+1))</f>
        <v>1</v>
      </c>
      <c r="AG204" s="25">
        <f>IF(AB204=0,"",'01_Criterios'!$C$8-AE204)</f>
        <v>0</v>
      </c>
      <c r="AH204" s="29">
        <f>IF(P204="Em uso",100,IF(P204="Alta",85,IF(P204="Média",55,30)))</f>
        <v>55</v>
      </c>
      <c r="AI204" s="29">
        <f>ROUND(100*AC204,1)</f>
        <v>100</v>
      </c>
      <c r="AJ204" s="29">
        <f>IF(AB204=0,0,ROUND(MAX(0,100*AF204-10*AG204),1))</f>
        <v>100</v>
      </c>
      <c r="AK204" s="29">
        <f>ROUND(('01_Criterios'!$C$19*AH204+'01_Criterios'!$C$20*AI204+'01_Criterios'!$C$21*AJ204)/('01_Criterios'!$C$19+'01_Criterios'!$C$20+'01_Criterios'!$C$21)+N204*'01_Criterios'!$C$22,1)</f>
        <v>82</v>
      </c>
      <c r="AL204" s="25">
        <f>IF(AND(AB204&gt;=3,AC204&gt;='01_Criterios'!$C$11,N(AE204)&gt;='01_Criterios'!$C$12,OR(F204="+",F204="-"),ISNUMBER(G204),ISNUMBER(H204)),1,0)</f>
        <v>1</v>
      </c>
      <c r="AM204" s="30" t="str">
        <f>IF(AL204=1,"",TRIM(IF(AB204=0,"sem dados no período; ",IF(AB204&lt;3,"série demasiado curta; ",""))&amp;IF(AND(AB204&gt;0,AC204&lt;'01_Criterios'!$C$11),"cobertura insuficiente; ","")&amp;IF(AND(AB204&gt;0,N(AE204)&lt;'01_Criterios'!$C$12),"desactualizado; ","")&amp;IF(AND(F204&lt;&gt;"+",F204&lt;&gt;"-"),"sentido ambíguo; ","")&amp;IF(OR(NOT(ISNUMBER(G204)),NOT(ISNUMBER(H204))),"sem limites min/max; ","")))</f>
        <v/>
      </c>
      <c r="AN204" s="25">
        <f>IF(OR(AL204=0,$AP204="Excluir"),0,IF(SUMPRODUCT(($O$5:$O$335=$O204)*($AL$5:$AL$335=1)*($AP$5:$AP$335&lt;&gt;"Excluir")*(($AK$5:$AK$335&gt;$AK204)+(($AK$5:$AK$335=$AK204)*(ROW($O$5:$O$335)&lt;ROW()))))=0,1,0))</f>
        <v>0</v>
      </c>
      <c r="AO204" s="25" t="str">
        <f>IF(AN204=0,"",1+SUMPRODUCT(($B$5:$B$335=$B204)*($AN$5:$AN$335=1)*(($AK$5:$AK$335&gt;$AK204)+(($AK$5:$AK$335=$AK204)*(ROW($B$5:$B$335)&lt;ROW())))))</f>
        <v/>
      </c>
      <c r="AP204" s="22" t="s">
        <v>131</v>
      </c>
      <c r="AQ204" s="25">
        <f>IF(INDEX('01_Criterios'!$C$26:$C$36,MATCH($B204,'01_Criterios'!$B$26:$B$36,0))&lt;&gt;1,0,IF($AP204="Excluir",0,IF($AP204="Incluir",IF(AND(OR($F204="+",$F204="-"),ISNUMBER($G204),ISNUMBER($H204),COUNT($Q204:$AA204)&gt;0),1,0),IF('01_Criterios'!$C$18="Automática",IF(AND($AN204=1,$AO204&lt;&gt;"",$AO204&lt;=INDEX('01_Criterios'!$E$26:$E$36,MATCH($B204,'01_Criterios'!$B$26:$B$36,0))),1,0),0))))</f>
        <v>0</v>
      </c>
      <c r="AR204" s="25" t="str">
        <f>IF(AQ204=0,"",IF($AO204&lt;&gt;"",1+SUMPRODUCT(($B$5:$B$335=$B204)*($AQ$5:$AQ$335=1)*($AO$5:$AO$335&lt;$AO204)),1+SUMPRODUCT(($B$5:$B$335=$B204)*($AQ$5:$AQ$335=1)*ISNUMBER($AO$5:$AO$335))+SUMPRODUCT(($B$5:$B$335=$B204)*($AQ$5:$AQ$335=1)*($AO$5:$AO$335="")*(ROW($AO$5:$AO$335)&lt;ROW()))))</f>
        <v/>
      </c>
      <c r="AS204" s="24" t="s">
        <v>1115</v>
      </c>
    </row>
    <row r="205" spans="1:45">
      <c r="A205" s="20" t="s">
        <v>1116</v>
      </c>
      <c r="B205" s="21" t="s">
        <v>81</v>
      </c>
      <c r="C205" s="21" t="s">
        <v>1117</v>
      </c>
      <c r="D205" s="21" t="s">
        <v>1118</v>
      </c>
      <c r="E205" s="20" t="s">
        <v>157</v>
      </c>
      <c r="F205" s="20" t="s">
        <v>158</v>
      </c>
      <c r="G205" s="20">
        <v>0</v>
      </c>
      <c r="H205" s="20">
        <v>80</v>
      </c>
      <c r="I205" s="20">
        <v>30</v>
      </c>
      <c r="J205" s="22">
        <v>1</v>
      </c>
      <c r="K205" s="21" t="s">
        <v>788</v>
      </c>
      <c r="L205" s="20" t="s">
        <v>1119</v>
      </c>
      <c r="M205" s="21" t="s">
        <v>161</v>
      </c>
      <c r="N205" s="20">
        <v>0</v>
      </c>
      <c r="O205" s="21" t="s">
        <v>1030</v>
      </c>
      <c r="P205" s="20" t="s">
        <v>180</v>
      </c>
      <c r="Q205" s="6">
        <v>34.619</v>
      </c>
      <c r="R205" s="6">
        <v>33.515999999999998</v>
      </c>
      <c r="S205" s="6">
        <v>32.295999999999999</v>
      </c>
      <c r="T205" s="6">
        <v>30.966999999999999</v>
      </c>
      <c r="U205" s="6">
        <v>29.501000000000001</v>
      </c>
      <c r="V205" s="6">
        <v>30.731000000000002</v>
      </c>
      <c r="W205" s="6">
        <v>27.626999999999999</v>
      </c>
      <c r="X205" s="6">
        <v>26.923999999999999</v>
      </c>
      <c r="Y205" s="6">
        <v>26.574000000000002</v>
      </c>
      <c r="Z205" s="6">
        <v>26.48</v>
      </c>
      <c r="AA205" s="6">
        <v>26.666</v>
      </c>
      <c r="AB205" s="20">
        <f>COUNT(Q205:AA205)</f>
        <v>11</v>
      </c>
      <c r="AC205" s="23">
        <f>AB205/11</f>
        <v>1</v>
      </c>
      <c r="AD205" s="20">
        <f>IFERROR(INDEX($Q$4:$AA$4,MATCH(TRUE,INDEX(ISNUMBER(Q205:AA205),0),0)),"")</f>
        <v>2015</v>
      </c>
      <c r="AE205" s="20">
        <f>IFERROR(LOOKUP(2,1/ISNUMBER(Q205:AA205),$Q$4:$AA$4),"")</f>
        <v>2025</v>
      </c>
      <c r="AF205" s="23">
        <f>IF(AB205=0,"",AB205/(AE205-AD205+1))</f>
        <v>1</v>
      </c>
      <c r="AG205" s="20">
        <f>IF(AB205=0,"",'01_Criterios'!$C$8-AE205)</f>
        <v>0</v>
      </c>
      <c r="AH205" s="7">
        <f>IF(P205="Em uso",100,IF(P205="Alta",85,IF(P205="Média",55,30)))</f>
        <v>55</v>
      </c>
      <c r="AI205" s="7">
        <f>ROUND(100*AC205,1)</f>
        <v>100</v>
      </c>
      <c r="AJ205" s="7">
        <f>IF(AB205=0,0,ROUND(MAX(0,100*AF205-10*AG205),1))</f>
        <v>100</v>
      </c>
      <c r="AK205" s="7">
        <f>ROUND(('01_Criterios'!$C$19*AH205+'01_Criterios'!$C$20*AI205+'01_Criterios'!$C$21*AJ205)/('01_Criterios'!$C$19+'01_Criterios'!$C$20+'01_Criterios'!$C$21)+N205*'01_Criterios'!$C$22,1)</f>
        <v>82</v>
      </c>
      <c r="AL205" s="20">
        <f>IF(AND(AB205&gt;=3,AC205&gt;='01_Criterios'!$C$11,N(AE205)&gt;='01_Criterios'!$C$12,OR(F205="+",F205="-"),ISNUMBER(G205),ISNUMBER(H205)),1,0)</f>
        <v>1</v>
      </c>
      <c r="AM205" s="24" t="str">
        <f>IF(AL205=1,"",TRIM(IF(AB205=0,"sem dados no período; ",IF(AB205&lt;3,"série demasiado curta; ",""))&amp;IF(AND(AB205&gt;0,AC205&lt;'01_Criterios'!$C$11),"cobertura insuficiente; ","")&amp;IF(AND(AB205&gt;0,N(AE205)&lt;'01_Criterios'!$C$12),"desactualizado; ","")&amp;IF(AND(F205&lt;&gt;"+",F205&lt;&gt;"-"),"sentido ambíguo; ","")&amp;IF(OR(NOT(ISNUMBER(G205)),NOT(ISNUMBER(H205))),"sem limites min/max; ","")))</f>
        <v/>
      </c>
      <c r="AN205" s="20">
        <f>IF(OR(AL205=0,$AP205="Excluir"),0,IF(SUMPRODUCT(($O$5:$O$335=$O205)*($AL$5:$AL$335=1)*($AP$5:$AP$335&lt;&gt;"Excluir")*(($AK$5:$AK$335&gt;$AK205)+(($AK$5:$AK$335=$AK205)*(ROW($O$5:$O$335)&lt;ROW()))))=0,1,0))</f>
        <v>0</v>
      </c>
      <c r="AO205" s="20" t="str">
        <f>IF(AN205=0,"",1+SUMPRODUCT(($B$5:$B$335=$B205)*($AN$5:$AN$335=1)*(($AK$5:$AK$335&gt;$AK205)+(($AK$5:$AK$335=$AK205)*(ROW($B$5:$B$335)&lt;ROW())))))</f>
        <v/>
      </c>
      <c r="AP205" s="22" t="s">
        <v>131</v>
      </c>
      <c r="AQ205" s="20">
        <f>IF(INDEX('01_Criterios'!$C$26:$C$36,MATCH($B205,'01_Criterios'!$B$26:$B$36,0))&lt;&gt;1,0,IF($AP205="Excluir",0,IF($AP205="Incluir",IF(AND(OR($F205="+",$F205="-"),ISNUMBER($G205),ISNUMBER($H205),COUNT($Q205:$AA205)&gt;0),1,0),IF('01_Criterios'!$C$18="Automática",IF(AND($AN205=1,$AO205&lt;&gt;"",$AO205&lt;=INDEX('01_Criterios'!$E$26:$E$36,MATCH($B205,'01_Criterios'!$B$26:$B$36,0))),1,0),0))))</f>
        <v>0</v>
      </c>
      <c r="AR205" s="20" t="str">
        <f>IF(AQ205=0,"",IF($AO205&lt;&gt;"",1+SUMPRODUCT(($B$5:$B$335=$B205)*($AQ$5:$AQ$335=1)*($AO$5:$AO$335&lt;$AO205)),1+SUMPRODUCT(($B$5:$B$335=$B205)*($AQ$5:$AQ$335=1)*ISNUMBER($AO$5:$AO$335))+SUMPRODUCT(($B$5:$B$335=$B205)*($AQ$5:$AQ$335=1)*($AO$5:$AO$335="")*(ROW($AO$5:$AO$335)&lt;ROW()))))</f>
        <v/>
      </c>
      <c r="AS205" s="24" t="s">
        <v>1120</v>
      </c>
    </row>
    <row r="206" spans="1:45">
      <c r="A206" s="25" t="s">
        <v>1121</v>
      </c>
      <c r="B206" s="26" t="s">
        <v>81</v>
      </c>
      <c r="C206" s="26" t="s">
        <v>1117</v>
      </c>
      <c r="D206" s="26" t="s">
        <v>1122</v>
      </c>
      <c r="E206" s="25" t="s">
        <v>157</v>
      </c>
      <c r="F206" s="25" t="s">
        <v>158</v>
      </c>
      <c r="G206" s="25">
        <v>0</v>
      </c>
      <c r="H206" s="25">
        <v>80</v>
      </c>
      <c r="I206" s="25">
        <v>28</v>
      </c>
      <c r="J206" s="22">
        <v>1</v>
      </c>
      <c r="K206" s="26" t="s">
        <v>788</v>
      </c>
      <c r="L206" s="25" t="s">
        <v>1123</v>
      </c>
      <c r="M206" s="26" t="s">
        <v>161</v>
      </c>
      <c r="N206" s="25">
        <v>0</v>
      </c>
      <c r="O206" s="26" t="s">
        <v>1030</v>
      </c>
      <c r="P206" s="25" t="s">
        <v>180</v>
      </c>
      <c r="Q206" s="27">
        <v>35.624000000000002</v>
      </c>
      <c r="R206" s="27">
        <v>35.445999999999998</v>
      </c>
      <c r="S206" s="27">
        <v>35.151000000000003</v>
      </c>
      <c r="T206" s="27">
        <v>34.734999999999999</v>
      </c>
      <c r="U206" s="27">
        <v>34.15</v>
      </c>
      <c r="V206" s="27">
        <v>35.351999999999997</v>
      </c>
      <c r="W206" s="27">
        <v>32.636000000000003</v>
      </c>
      <c r="X206" s="27">
        <v>27.359000000000002</v>
      </c>
      <c r="Y206" s="27">
        <v>27.084</v>
      </c>
      <c r="Z206" s="27">
        <v>26.99</v>
      </c>
      <c r="AA206" s="27">
        <v>27.766999999999999</v>
      </c>
      <c r="AB206" s="25">
        <f>COUNT(Q206:AA206)</f>
        <v>11</v>
      </c>
      <c r="AC206" s="28">
        <f>AB206/11</f>
        <v>1</v>
      </c>
      <c r="AD206" s="25">
        <f>IFERROR(INDEX($Q$4:$AA$4,MATCH(TRUE,INDEX(ISNUMBER(Q206:AA206),0),0)),"")</f>
        <v>2015</v>
      </c>
      <c r="AE206" s="25">
        <f>IFERROR(LOOKUP(2,1/ISNUMBER(Q206:AA206),$Q$4:$AA$4),"")</f>
        <v>2025</v>
      </c>
      <c r="AF206" s="28">
        <f>IF(AB206=0,"",AB206/(AE206-AD206+1))</f>
        <v>1</v>
      </c>
      <c r="AG206" s="25">
        <f>IF(AB206=0,"",'01_Criterios'!$C$8-AE206)</f>
        <v>0</v>
      </c>
      <c r="AH206" s="29">
        <f>IF(P206="Em uso",100,IF(P206="Alta",85,IF(P206="Média",55,30)))</f>
        <v>55</v>
      </c>
      <c r="AI206" s="29">
        <f>ROUND(100*AC206,1)</f>
        <v>100</v>
      </c>
      <c r="AJ206" s="29">
        <f>IF(AB206=0,0,ROUND(MAX(0,100*AF206-10*AG206),1))</f>
        <v>100</v>
      </c>
      <c r="AK206" s="29">
        <f>ROUND(('01_Criterios'!$C$19*AH206+'01_Criterios'!$C$20*AI206+'01_Criterios'!$C$21*AJ206)/('01_Criterios'!$C$19+'01_Criterios'!$C$20+'01_Criterios'!$C$21)+N206*'01_Criterios'!$C$22,1)</f>
        <v>82</v>
      </c>
      <c r="AL206" s="25">
        <f>IF(AND(AB206&gt;=3,AC206&gt;='01_Criterios'!$C$11,N(AE206)&gt;='01_Criterios'!$C$12,OR(F206="+",F206="-"),ISNUMBER(G206),ISNUMBER(H206)),1,0)</f>
        <v>1</v>
      </c>
      <c r="AM206" s="30" t="str">
        <f>IF(AL206=1,"",TRIM(IF(AB206=0,"sem dados no período; ",IF(AB206&lt;3,"série demasiado curta; ",""))&amp;IF(AND(AB206&gt;0,AC206&lt;'01_Criterios'!$C$11),"cobertura insuficiente; ","")&amp;IF(AND(AB206&gt;0,N(AE206)&lt;'01_Criterios'!$C$12),"desactualizado; ","")&amp;IF(AND(F206&lt;&gt;"+",F206&lt;&gt;"-"),"sentido ambíguo; ","")&amp;IF(OR(NOT(ISNUMBER(G206)),NOT(ISNUMBER(H206))),"sem limites min/max; ","")))</f>
        <v/>
      </c>
      <c r="AN206" s="25">
        <f>IF(OR(AL206=0,$AP206="Excluir"),0,IF(SUMPRODUCT(($O$5:$O$335=$O206)*($AL$5:$AL$335=1)*($AP$5:$AP$335&lt;&gt;"Excluir")*(($AK$5:$AK$335&gt;$AK206)+(($AK$5:$AK$335=$AK206)*(ROW($O$5:$O$335)&lt;ROW()))))=0,1,0))</f>
        <v>0</v>
      </c>
      <c r="AO206" s="25" t="str">
        <f>IF(AN206=0,"",1+SUMPRODUCT(($B$5:$B$335=$B206)*($AN$5:$AN$335=1)*(($AK$5:$AK$335&gt;$AK206)+(($AK$5:$AK$335=$AK206)*(ROW($B$5:$B$335)&lt;ROW())))))</f>
        <v/>
      </c>
      <c r="AP206" s="22" t="s">
        <v>131</v>
      </c>
      <c r="AQ206" s="25">
        <f>IF(INDEX('01_Criterios'!$C$26:$C$36,MATCH($B206,'01_Criterios'!$B$26:$B$36,0))&lt;&gt;1,0,IF($AP206="Excluir",0,IF($AP206="Incluir",IF(AND(OR($F206="+",$F206="-"),ISNUMBER($G206),ISNUMBER($H206),COUNT($Q206:$AA206)&gt;0),1,0),IF('01_Criterios'!$C$18="Automática",IF(AND($AN206=1,$AO206&lt;&gt;"",$AO206&lt;=INDEX('01_Criterios'!$E$26:$E$36,MATCH($B206,'01_Criterios'!$B$26:$B$36,0))),1,0),0))))</f>
        <v>0</v>
      </c>
      <c r="AR206" s="25" t="str">
        <f>IF(AQ206=0,"",IF($AO206&lt;&gt;"",1+SUMPRODUCT(($B$5:$B$335=$B206)*($AQ$5:$AQ$335=1)*($AO$5:$AO$335&lt;$AO206)),1+SUMPRODUCT(($B$5:$B$335=$B206)*($AQ$5:$AQ$335=1)*ISNUMBER($AO$5:$AO$335))+SUMPRODUCT(($B$5:$B$335=$B206)*($AQ$5:$AQ$335=1)*($AO$5:$AO$335="")*(ROW($AO$5:$AO$335)&lt;ROW()))))</f>
        <v/>
      </c>
      <c r="AS206" s="24" t="s">
        <v>1124</v>
      </c>
    </row>
    <row r="207" spans="1:45">
      <c r="A207" s="20" t="s">
        <v>1125</v>
      </c>
      <c r="B207" s="21" t="s">
        <v>81</v>
      </c>
      <c r="C207" s="21" t="s">
        <v>1126</v>
      </c>
      <c r="D207" s="21" t="s">
        <v>1127</v>
      </c>
      <c r="E207" s="20" t="s">
        <v>1128</v>
      </c>
      <c r="F207" s="20" t="s">
        <v>158</v>
      </c>
      <c r="G207" s="20">
        <v>0</v>
      </c>
      <c r="H207" s="20">
        <v>100</v>
      </c>
      <c r="I207" s="20">
        <v>45</v>
      </c>
      <c r="J207" s="22">
        <v>1</v>
      </c>
      <c r="K207" s="21" t="s">
        <v>788</v>
      </c>
      <c r="L207" s="20" t="s">
        <v>1129</v>
      </c>
      <c r="M207" s="21" t="s">
        <v>161</v>
      </c>
      <c r="N207" s="20">
        <v>0</v>
      </c>
      <c r="O207" s="21" t="s">
        <v>1077</v>
      </c>
      <c r="P207" s="20" t="s">
        <v>180</v>
      </c>
      <c r="Q207" s="6">
        <v>80.847615646244407</v>
      </c>
      <c r="R207" s="6">
        <v>80.795662932678994</v>
      </c>
      <c r="S207" s="6">
        <v>80.774732516669303</v>
      </c>
      <c r="T207" s="6">
        <v>80.7827345560559</v>
      </c>
      <c r="U207" s="6">
        <v>80.755797731549194</v>
      </c>
      <c r="V207" s="6">
        <v>80.972855021727199</v>
      </c>
      <c r="W207" s="6">
        <v>81.012098968494499</v>
      </c>
      <c r="X207" s="6">
        <v>81.407710784697002</v>
      </c>
      <c r="Y207" s="6">
        <v>81.579921642593305</v>
      </c>
      <c r="Z207" s="6">
        <v>81.501177330642093</v>
      </c>
      <c r="AA207" s="6">
        <v>81.502052780576705</v>
      </c>
      <c r="AB207" s="20">
        <f>COUNT(Q207:AA207)</f>
        <v>11</v>
      </c>
      <c r="AC207" s="23">
        <f>AB207/11</f>
        <v>1</v>
      </c>
      <c r="AD207" s="20">
        <f>IFERROR(INDEX($Q$4:$AA$4,MATCH(TRUE,INDEX(ISNUMBER(Q207:AA207),0),0)),"")</f>
        <v>2015</v>
      </c>
      <c r="AE207" s="20">
        <f>IFERROR(LOOKUP(2,1/ISNUMBER(Q207:AA207),$Q$4:$AA$4),"")</f>
        <v>2025</v>
      </c>
      <c r="AF207" s="23">
        <f>IF(AB207=0,"",AB207/(AE207-AD207+1))</f>
        <v>1</v>
      </c>
      <c r="AG207" s="20">
        <f>IF(AB207=0,"",'01_Criterios'!$C$8-AE207)</f>
        <v>0</v>
      </c>
      <c r="AH207" s="7">
        <f>IF(P207="Em uso",100,IF(P207="Alta",85,IF(P207="Média",55,30)))</f>
        <v>55</v>
      </c>
      <c r="AI207" s="7">
        <f>ROUND(100*AC207,1)</f>
        <v>100</v>
      </c>
      <c r="AJ207" s="7">
        <f>IF(AB207=0,0,ROUND(MAX(0,100*AF207-10*AG207),1))</f>
        <v>100</v>
      </c>
      <c r="AK207" s="7">
        <f>ROUND(('01_Criterios'!$C$19*AH207+'01_Criterios'!$C$20*AI207+'01_Criterios'!$C$21*AJ207)/('01_Criterios'!$C$19+'01_Criterios'!$C$20+'01_Criterios'!$C$21)+N207*'01_Criterios'!$C$22,1)</f>
        <v>82</v>
      </c>
      <c r="AL207" s="20">
        <f>IF(AND(AB207&gt;=3,AC207&gt;='01_Criterios'!$C$11,N(AE207)&gt;='01_Criterios'!$C$12,OR(F207="+",F207="-"),ISNUMBER(G207),ISNUMBER(H207)),1,0)</f>
        <v>1</v>
      </c>
      <c r="AM207" s="24" t="str">
        <f>IF(AL207=1,"",TRIM(IF(AB207=0,"sem dados no período; ",IF(AB207&lt;3,"série demasiado curta; ",""))&amp;IF(AND(AB207&gt;0,AC207&lt;'01_Criterios'!$C$11),"cobertura insuficiente; ","")&amp;IF(AND(AB207&gt;0,N(AE207)&lt;'01_Criterios'!$C$12),"desactualizado; ","")&amp;IF(AND(F207&lt;&gt;"+",F207&lt;&gt;"-"),"sentido ambíguo; ","")&amp;IF(OR(NOT(ISNUMBER(G207)),NOT(ISNUMBER(H207))),"sem limites min/max; ","")))</f>
        <v/>
      </c>
      <c r="AN207" s="20">
        <f>IF(OR(AL207=0,$AP207="Excluir"),0,IF(SUMPRODUCT(($O$5:$O$335=$O207)*($AL$5:$AL$335=1)*($AP$5:$AP$335&lt;&gt;"Excluir")*(($AK$5:$AK$335&gt;$AK207)+(($AK$5:$AK$335=$AK207)*(ROW($O$5:$O$335)&lt;ROW()))))=0,1,0))</f>
        <v>0</v>
      </c>
      <c r="AO207" s="20" t="str">
        <f>IF(AN207=0,"",1+SUMPRODUCT(($B$5:$B$335=$B207)*($AN$5:$AN$335=1)*(($AK$5:$AK$335&gt;$AK207)+(($AK$5:$AK$335=$AK207)*(ROW($B$5:$B$335)&lt;ROW())))))</f>
        <v/>
      </c>
      <c r="AP207" s="22" t="s">
        <v>131</v>
      </c>
      <c r="AQ207" s="20">
        <f>IF(INDEX('01_Criterios'!$C$26:$C$36,MATCH($B207,'01_Criterios'!$B$26:$B$36,0))&lt;&gt;1,0,IF($AP207="Excluir",0,IF($AP207="Incluir",IF(AND(OR($F207="+",$F207="-"),ISNUMBER($G207),ISNUMBER($H207),COUNT($Q207:$AA207)&gt;0),1,0),IF('01_Criterios'!$C$18="Automática",IF(AND($AN207=1,$AO207&lt;&gt;"",$AO207&lt;=INDEX('01_Criterios'!$E$26:$E$36,MATCH($B207,'01_Criterios'!$B$26:$B$36,0))),1,0),0))))</f>
        <v>0</v>
      </c>
      <c r="AR207" s="20" t="str">
        <f>IF(AQ207=0,"",IF($AO207&lt;&gt;"",1+SUMPRODUCT(($B$5:$B$335=$B207)*($AQ$5:$AQ$335=1)*($AO$5:$AO$335&lt;$AO207)),1+SUMPRODUCT(($B$5:$B$335=$B207)*($AQ$5:$AQ$335=1)*ISNUMBER($AO$5:$AO$335))+SUMPRODUCT(($B$5:$B$335=$B207)*($AQ$5:$AQ$335=1)*($AO$5:$AO$335="")*(ROW($AO$5:$AO$335)&lt;ROW()))))</f>
        <v/>
      </c>
      <c r="AS207" s="24" t="s">
        <v>1130</v>
      </c>
    </row>
    <row r="208" spans="1:45">
      <c r="A208" s="25" t="s">
        <v>1131</v>
      </c>
      <c r="B208" s="26" t="s">
        <v>81</v>
      </c>
      <c r="C208" s="26" t="s">
        <v>1126</v>
      </c>
      <c r="D208" s="26" t="s">
        <v>1132</v>
      </c>
      <c r="E208" s="25" t="s">
        <v>1128</v>
      </c>
      <c r="F208" s="25" t="s">
        <v>126</v>
      </c>
      <c r="G208" s="25">
        <v>0</v>
      </c>
      <c r="H208" s="25">
        <v>100</v>
      </c>
      <c r="I208" s="25">
        <v>45</v>
      </c>
      <c r="J208" s="22">
        <v>1</v>
      </c>
      <c r="K208" s="26" t="s">
        <v>788</v>
      </c>
      <c r="L208" s="25" t="s">
        <v>1133</v>
      </c>
      <c r="M208" s="26" t="s">
        <v>161</v>
      </c>
      <c r="N208" s="25">
        <v>0</v>
      </c>
      <c r="O208" s="26" t="s">
        <v>1083</v>
      </c>
      <c r="P208" s="25" t="s">
        <v>180</v>
      </c>
      <c r="Q208" s="27">
        <v>14.56569587083</v>
      </c>
      <c r="R208" s="27">
        <v>14.6319217404151</v>
      </c>
      <c r="S208" s="27">
        <v>14.661032718250899</v>
      </c>
      <c r="T208" s="27">
        <v>14.6653168877366</v>
      </c>
      <c r="U208" s="27">
        <v>14.6991250838767</v>
      </c>
      <c r="V208" s="27">
        <v>14.363865742042799</v>
      </c>
      <c r="W208" s="27">
        <v>14.5968553425233</v>
      </c>
      <c r="X208" s="27">
        <v>14.4429330133786</v>
      </c>
      <c r="Y208" s="27">
        <v>14.3196363809858</v>
      </c>
      <c r="Z208" s="27">
        <v>14.37910764559</v>
      </c>
      <c r="AA208" s="27">
        <v>14.3830667562131</v>
      </c>
      <c r="AB208" s="25">
        <f>COUNT(Q208:AA208)</f>
        <v>11</v>
      </c>
      <c r="AC208" s="28">
        <f>AB208/11</f>
        <v>1</v>
      </c>
      <c r="AD208" s="25">
        <f>IFERROR(INDEX($Q$4:$AA$4,MATCH(TRUE,INDEX(ISNUMBER(Q208:AA208),0),0)),"")</f>
        <v>2015</v>
      </c>
      <c r="AE208" s="25">
        <f>IFERROR(LOOKUP(2,1/ISNUMBER(Q208:AA208),$Q$4:$AA$4),"")</f>
        <v>2025</v>
      </c>
      <c r="AF208" s="28">
        <f>IF(AB208=0,"",AB208/(AE208-AD208+1))</f>
        <v>1</v>
      </c>
      <c r="AG208" s="25">
        <f>IF(AB208=0,"",'01_Criterios'!$C$8-AE208)</f>
        <v>0</v>
      </c>
      <c r="AH208" s="29">
        <f>IF(P208="Em uso",100,IF(P208="Alta",85,IF(P208="Média",55,30)))</f>
        <v>55</v>
      </c>
      <c r="AI208" s="29">
        <f>ROUND(100*AC208,1)</f>
        <v>100</v>
      </c>
      <c r="AJ208" s="29">
        <f>IF(AB208=0,0,ROUND(MAX(0,100*AF208-10*AG208),1))</f>
        <v>100</v>
      </c>
      <c r="AK208" s="29">
        <f>ROUND(('01_Criterios'!$C$19*AH208+'01_Criterios'!$C$20*AI208+'01_Criterios'!$C$21*AJ208)/('01_Criterios'!$C$19+'01_Criterios'!$C$20+'01_Criterios'!$C$21)+N208*'01_Criterios'!$C$22,1)</f>
        <v>82</v>
      </c>
      <c r="AL208" s="25">
        <f>IF(AND(AB208&gt;=3,AC208&gt;='01_Criterios'!$C$11,N(AE208)&gt;='01_Criterios'!$C$12,OR(F208="+",F208="-"),ISNUMBER(G208),ISNUMBER(H208)),1,0)</f>
        <v>1</v>
      </c>
      <c r="AM208" s="30" t="str">
        <f>IF(AL208=1,"",TRIM(IF(AB208=0,"sem dados no período; ",IF(AB208&lt;3,"série demasiado curta; ",""))&amp;IF(AND(AB208&gt;0,AC208&lt;'01_Criterios'!$C$11),"cobertura insuficiente; ","")&amp;IF(AND(AB208&gt;0,N(AE208)&lt;'01_Criterios'!$C$12),"desactualizado; ","")&amp;IF(AND(F208&lt;&gt;"+",F208&lt;&gt;"-"),"sentido ambíguo; ","")&amp;IF(OR(NOT(ISNUMBER(G208)),NOT(ISNUMBER(H208))),"sem limites min/max; ","")))</f>
        <v/>
      </c>
      <c r="AN208" s="25">
        <f>IF(OR(AL208=0,$AP208="Excluir"),0,IF(SUMPRODUCT(($O$5:$O$335=$O208)*($AL$5:$AL$335=1)*($AP$5:$AP$335&lt;&gt;"Excluir")*(($AK$5:$AK$335&gt;$AK208)+(($AK$5:$AK$335=$AK208)*(ROW($O$5:$O$335)&lt;ROW()))))=0,1,0))</f>
        <v>0</v>
      </c>
      <c r="AO208" s="25" t="str">
        <f>IF(AN208=0,"",1+SUMPRODUCT(($B$5:$B$335=$B208)*($AN$5:$AN$335=1)*(($AK$5:$AK$335&gt;$AK208)+(($AK$5:$AK$335=$AK208)*(ROW($B$5:$B$335)&lt;ROW())))))</f>
        <v/>
      </c>
      <c r="AP208" s="22" t="s">
        <v>131</v>
      </c>
      <c r="AQ208" s="25">
        <f>IF(INDEX('01_Criterios'!$C$26:$C$36,MATCH($B208,'01_Criterios'!$B$26:$B$36,0))&lt;&gt;1,0,IF($AP208="Excluir",0,IF($AP208="Incluir",IF(AND(OR($F208="+",$F208="-"),ISNUMBER($G208),ISNUMBER($H208),COUNT($Q208:$AA208)&gt;0),1,0),IF('01_Criterios'!$C$18="Automática",IF(AND($AN208=1,$AO208&lt;&gt;"",$AO208&lt;=INDEX('01_Criterios'!$E$26:$E$36,MATCH($B208,'01_Criterios'!$B$26:$B$36,0))),1,0),0))))</f>
        <v>0</v>
      </c>
      <c r="AR208" s="25" t="str">
        <f>IF(AQ208=0,"",IF($AO208&lt;&gt;"",1+SUMPRODUCT(($B$5:$B$335=$B208)*($AQ$5:$AQ$335=1)*($AO$5:$AO$335&lt;$AO208)),1+SUMPRODUCT(($B$5:$B$335=$B208)*($AQ$5:$AQ$335=1)*ISNUMBER($AO$5:$AO$335))+SUMPRODUCT(($B$5:$B$335=$B208)*($AQ$5:$AQ$335=1)*($AO$5:$AO$335="")*(ROW($AO$5:$AO$335)&lt;ROW()))))</f>
        <v/>
      </c>
      <c r="AS208" s="24" t="s">
        <v>1134</v>
      </c>
    </row>
    <row r="209" spans="1:45">
      <c r="A209" s="20" t="s">
        <v>1135</v>
      </c>
      <c r="B209" s="21" t="s">
        <v>81</v>
      </c>
      <c r="C209" s="21" t="s">
        <v>1136</v>
      </c>
      <c r="D209" s="21" t="s">
        <v>1137</v>
      </c>
      <c r="E209" s="20" t="s">
        <v>334</v>
      </c>
      <c r="F209" s="20" t="s">
        <v>126</v>
      </c>
      <c r="G209" s="20">
        <v>0</v>
      </c>
      <c r="H209" s="20">
        <v>60</v>
      </c>
      <c r="I209" s="20"/>
      <c r="J209" s="22">
        <v>1</v>
      </c>
      <c r="K209" s="21" t="s">
        <v>329</v>
      </c>
      <c r="L209" s="20" t="s">
        <v>1138</v>
      </c>
      <c r="M209" s="21" t="s">
        <v>329</v>
      </c>
      <c r="N209" s="20">
        <v>1</v>
      </c>
      <c r="O209" s="21" t="s">
        <v>1135</v>
      </c>
      <c r="P209" s="20" t="s">
        <v>268</v>
      </c>
      <c r="Q209" s="6">
        <v>26.482500000000002</v>
      </c>
      <c r="R209" s="6">
        <v>24.400500000000001</v>
      </c>
      <c r="S209" s="6">
        <v>24.341699999999999</v>
      </c>
      <c r="T209" s="6">
        <v>24.866700000000002</v>
      </c>
      <c r="U209" s="6">
        <v>24.865600000000001</v>
      </c>
      <c r="V209" s="6">
        <v>23.600200000000001</v>
      </c>
      <c r="W209" s="6">
        <v>24.092500000000001</v>
      </c>
      <c r="X209" s="6">
        <v>23.477799999999998</v>
      </c>
      <c r="Y209" s="6">
        <v>21.985499999999998</v>
      </c>
      <c r="Z209" s="6">
        <v>19.069500000000001</v>
      </c>
      <c r="AA209" s="6"/>
      <c r="AB209" s="20">
        <f>COUNT(Q209:AA209)</f>
        <v>10</v>
      </c>
      <c r="AC209" s="23">
        <f>AB209/11</f>
        <v>0.90909090909090906</v>
      </c>
      <c r="AD209" s="20">
        <f>IFERROR(INDEX($Q$4:$AA$4,MATCH(TRUE,INDEX(ISNUMBER(Q209:AA209),0),0)),"")</f>
        <v>2015</v>
      </c>
      <c r="AE209" s="20">
        <f>IFERROR(LOOKUP(2,1/ISNUMBER(Q209:AA209),$Q$4:$AA$4),"")</f>
        <v>2024</v>
      </c>
      <c r="AF209" s="23">
        <f>IF(AB209=0,"",AB209/(AE209-AD209+1))</f>
        <v>1</v>
      </c>
      <c r="AG209" s="20">
        <f>IF(AB209=0,"",'01_Criterios'!$C$8-AE209)</f>
        <v>1</v>
      </c>
      <c r="AH209" s="7">
        <f>IF(P209="Em uso",100,IF(P209="Alta",85,IF(P209="Média",55,30)))</f>
        <v>30</v>
      </c>
      <c r="AI209" s="7">
        <f>ROUND(100*AC209,1)</f>
        <v>90.9</v>
      </c>
      <c r="AJ209" s="7">
        <f>IF(AB209=0,0,ROUND(MAX(0,100*AF209-10*AG209),1))</f>
        <v>90</v>
      </c>
      <c r="AK209" s="7">
        <f>ROUND(('01_Criterios'!$C$19*AH209+'01_Criterios'!$C$20*AI209+'01_Criterios'!$C$21*AJ209)/('01_Criterios'!$C$19+'01_Criterios'!$C$20+'01_Criterios'!$C$21)+N209*'01_Criterios'!$C$22,1)</f>
        <v>78.3</v>
      </c>
      <c r="AL209" s="20">
        <f>IF(AND(AB209&gt;=3,AC209&gt;='01_Criterios'!$C$11,N(AE209)&gt;='01_Criterios'!$C$12,OR(F209="+",F209="-"),ISNUMBER(G209),ISNUMBER(H209)),1,0)</f>
        <v>1</v>
      </c>
      <c r="AM209" s="24" t="str">
        <f>IF(AL209=1,"",TRIM(IF(AB209=0,"sem dados no período; ",IF(AB209&lt;3,"série demasiado curta; ",""))&amp;IF(AND(AB209&gt;0,AC209&lt;'01_Criterios'!$C$11),"cobertura insuficiente; ","")&amp;IF(AND(AB209&gt;0,N(AE209)&lt;'01_Criterios'!$C$12),"desactualizado; ","")&amp;IF(AND(F209&lt;&gt;"+",F209&lt;&gt;"-"),"sentido ambíguo; ","")&amp;IF(OR(NOT(ISNUMBER(G209)),NOT(ISNUMBER(H209))),"sem limites min/max; ","")))</f>
        <v/>
      </c>
      <c r="AN209" s="20">
        <f>IF(OR(AL209=0,$AP209="Excluir"),0,IF(SUMPRODUCT(($O$5:$O$335=$O209)*($AL$5:$AL$335=1)*($AP$5:$AP$335&lt;&gt;"Excluir")*(($AK$5:$AK$335&gt;$AK209)+(($AK$5:$AK$335=$AK209)*(ROW($O$5:$O$335)&lt;ROW()))))=0,1,0))</f>
        <v>1</v>
      </c>
      <c r="AO209" s="20">
        <f>IF(AN209=0,"",1+SUMPRODUCT(($B$5:$B$335=$B209)*($AN$5:$AN$335=1)*(($AK$5:$AK$335&gt;$AK209)+(($AK$5:$AK$335=$AK209)*(ROW($B$5:$B$335)&lt;ROW())))))</f>
        <v>12</v>
      </c>
      <c r="AP209" s="22" t="s">
        <v>131</v>
      </c>
      <c r="AQ209" s="20">
        <f>IF(INDEX('01_Criterios'!$C$26:$C$36,MATCH($B209,'01_Criterios'!$B$26:$B$36,0))&lt;&gt;1,0,IF($AP209="Excluir",0,IF($AP209="Incluir",IF(AND(OR($F209="+",$F209="-"),ISNUMBER($G209),ISNUMBER($H209),COUNT($Q209:$AA209)&gt;0),1,0),IF('01_Criterios'!$C$18="Automática",IF(AND($AN209=1,$AO209&lt;&gt;"",$AO209&lt;=INDEX('01_Criterios'!$E$26:$E$36,MATCH($B209,'01_Criterios'!$B$26:$B$36,0))),1,0),0))))</f>
        <v>0</v>
      </c>
      <c r="AR209" s="20" t="str">
        <f>IF(AQ209=0,"",IF($AO209&lt;&gt;"",1+SUMPRODUCT(($B$5:$B$335=$B209)*($AQ$5:$AQ$335=1)*($AO$5:$AO$335&lt;$AO209)),1+SUMPRODUCT(($B$5:$B$335=$B209)*($AQ$5:$AQ$335=1)*ISNUMBER($AO$5:$AO$335))+SUMPRODUCT(($B$5:$B$335=$B209)*($AQ$5:$AQ$335=1)*($AO$5:$AO$335="")*(ROW($AO$5:$AO$335)&lt;ROW()))))</f>
        <v/>
      </c>
      <c r="AS209" s="24" t="s">
        <v>344</v>
      </c>
    </row>
    <row r="210" spans="1:45">
      <c r="A210" s="25" t="s">
        <v>1139</v>
      </c>
      <c r="B210" s="26" t="s">
        <v>82</v>
      </c>
      <c r="C210" s="26" t="s">
        <v>1140</v>
      </c>
      <c r="D210" s="26" t="s">
        <v>1141</v>
      </c>
      <c r="E210" s="25" t="s">
        <v>157</v>
      </c>
      <c r="F210" s="25" t="s">
        <v>158</v>
      </c>
      <c r="G210" s="25">
        <v>0</v>
      </c>
      <c r="H210" s="25">
        <v>50</v>
      </c>
      <c r="I210" s="25">
        <v>15</v>
      </c>
      <c r="J210" s="22">
        <v>1</v>
      </c>
      <c r="K210" s="26" t="s">
        <v>1142</v>
      </c>
      <c r="L210" s="25" t="s">
        <v>1143</v>
      </c>
      <c r="M210" s="26" t="s">
        <v>161</v>
      </c>
      <c r="N210" s="25">
        <v>1</v>
      </c>
      <c r="O210" s="26" t="s">
        <v>1139</v>
      </c>
      <c r="P210" s="25" t="s">
        <v>130</v>
      </c>
      <c r="Q210" s="27">
        <v>14.2</v>
      </c>
      <c r="R210" s="27">
        <v>15.2</v>
      </c>
      <c r="S210" s="27">
        <v>15.4</v>
      </c>
      <c r="T210" s="27">
        <v>15.9</v>
      </c>
      <c r="U210" s="27">
        <v>18.2</v>
      </c>
      <c r="V210" s="27">
        <v>20.8</v>
      </c>
      <c r="W210" s="27">
        <v>22.6</v>
      </c>
      <c r="X210" s="27">
        <v>23.1</v>
      </c>
      <c r="Y210" s="27">
        <v>22.5</v>
      </c>
      <c r="Z210" s="27"/>
      <c r="AA210" s="27"/>
      <c r="AB210" s="25">
        <f>COUNT(Q210:AA210)</f>
        <v>9</v>
      </c>
      <c r="AC210" s="28">
        <f>AB210/11</f>
        <v>0.81818181818181823</v>
      </c>
      <c r="AD210" s="25">
        <f>IFERROR(INDEX($Q$4:$AA$4,MATCH(TRUE,INDEX(ISNUMBER(Q210:AA210),0),0)),"")</f>
        <v>2015</v>
      </c>
      <c r="AE210" s="25">
        <f>IFERROR(LOOKUP(2,1/ISNUMBER(Q210:AA210),$Q$4:$AA$4),"")</f>
        <v>2023</v>
      </c>
      <c r="AF210" s="28">
        <f>IF(AB210=0,"",AB210/(AE210-AD210+1))</f>
        <v>1</v>
      </c>
      <c r="AG210" s="25">
        <f>IF(AB210=0,"",'01_Criterios'!$C$8-AE210)</f>
        <v>2</v>
      </c>
      <c r="AH210" s="29">
        <f>IF(P210="Em uso",100,IF(P210="Alta",85,IF(P210="Média",55,30)))</f>
        <v>100</v>
      </c>
      <c r="AI210" s="29">
        <f>ROUND(100*AC210,1)</f>
        <v>81.8</v>
      </c>
      <c r="AJ210" s="29">
        <f>IF(AB210=0,0,ROUND(MAX(0,100*AF210-10*AG210),1))</f>
        <v>80</v>
      </c>
      <c r="AK210" s="29">
        <f>ROUND(('01_Criterios'!$C$19*AH210+'01_Criterios'!$C$20*AI210+'01_Criterios'!$C$21*AJ210)/('01_Criterios'!$C$19+'01_Criterios'!$C$20+'01_Criterios'!$C$21)+N210*'01_Criterios'!$C$22,1)</f>
        <v>100.6</v>
      </c>
      <c r="AL210" s="25">
        <f>IF(AND(AB210&gt;=3,AC210&gt;='01_Criterios'!$C$11,N(AE210)&gt;='01_Criterios'!$C$12,OR(F210="+",F210="-"),ISNUMBER(G210),ISNUMBER(H210)),1,0)</f>
        <v>1</v>
      </c>
      <c r="AM210" s="30" t="str">
        <f>IF(AL210=1,"",TRIM(IF(AB210=0,"sem dados no período; ",IF(AB210&lt;3,"série demasiado curta; ",""))&amp;IF(AND(AB210&gt;0,AC210&lt;'01_Criterios'!$C$11),"cobertura insuficiente; ","")&amp;IF(AND(AB210&gt;0,N(AE210)&lt;'01_Criterios'!$C$12),"desactualizado; ","")&amp;IF(AND(F210&lt;&gt;"+",F210&lt;&gt;"-"),"sentido ambíguo; ","")&amp;IF(OR(NOT(ISNUMBER(G210)),NOT(ISNUMBER(H210))),"sem limites min/max; ","")))</f>
        <v/>
      </c>
      <c r="AN210" s="25">
        <f>IF(OR(AL210=0,$AP210="Excluir"),0,IF(SUMPRODUCT(($O$5:$O$335=$O210)*($AL$5:$AL$335=1)*($AP$5:$AP$335&lt;&gt;"Excluir")*(($AK$5:$AK$335&gt;$AK210)+(($AK$5:$AK$335=$AK210)*(ROW($O$5:$O$335)&lt;ROW()))))=0,1,0))</f>
        <v>1</v>
      </c>
      <c r="AO210" s="25">
        <f>IF(AN210=0,"",1+SUMPRODUCT(($B$5:$B$335=$B210)*($AN$5:$AN$335=1)*(($AK$5:$AK$335&gt;$AK210)+(($AK$5:$AK$335=$AK210)*(ROW($B$5:$B$335)&lt;ROW())))))</f>
        <v>3</v>
      </c>
      <c r="AP210" s="22" t="s">
        <v>131</v>
      </c>
      <c r="AQ210" s="25">
        <f>IF(INDEX('01_Criterios'!$C$26:$C$36,MATCH($B210,'01_Criterios'!$B$26:$B$36,0))&lt;&gt;1,0,IF($AP210="Excluir",0,IF($AP210="Incluir",IF(AND(OR($F210="+",$F210="-"),ISNUMBER($G210),ISNUMBER($H210),COUNT($Q210:$AA210)&gt;0),1,0),IF('01_Criterios'!$C$18="Automática",IF(AND($AN210=1,$AO210&lt;&gt;"",$AO210&lt;=INDEX('01_Criterios'!$E$26:$E$36,MATCH($B210,'01_Criterios'!$B$26:$B$36,0))),1,0),0))))</f>
        <v>1</v>
      </c>
      <c r="AR210" s="25">
        <f>IF(AQ210=0,"",IF($AO210&lt;&gt;"",1+SUMPRODUCT(($B$5:$B$335=$B210)*($AQ$5:$AQ$335=1)*($AO$5:$AO$335&lt;$AO210)),1+SUMPRODUCT(($B$5:$B$335=$B210)*($AQ$5:$AQ$335=1)*ISNUMBER($AO$5:$AO$335))+SUMPRODUCT(($B$5:$B$335=$B210)*($AQ$5:$AQ$335=1)*($AO$5:$AO$335="")*(ROW($AO$5:$AO$335)&lt;ROW()))))</f>
        <v>3</v>
      </c>
      <c r="AS210" s="24" t="s">
        <v>1144</v>
      </c>
    </row>
    <row r="211" spans="1:45">
      <c r="A211" s="20" t="s">
        <v>1145</v>
      </c>
      <c r="B211" s="21" t="s">
        <v>82</v>
      </c>
      <c r="C211" s="21" t="s">
        <v>1140</v>
      </c>
      <c r="D211" s="21" t="s">
        <v>1146</v>
      </c>
      <c r="E211" s="20" t="s">
        <v>1147</v>
      </c>
      <c r="F211" s="20" t="s">
        <v>158</v>
      </c>
      <c r="G211" s="20">
        <v>0</v>
      </c>
      <c r="H211" s="20">
        <v>1000</v>
      </c>
      <c r="I211" s="20">
        <v>300</v>
      </c>
      <c r="J211" s="22">
        <v>1</v>
      </c>
      <c r="K211" s="21" t="s">
        <v>1148</v>
      </c>
      <c r="L211" s="20" t="s">
        <v>1149</v>
      </c>
      <c r="M211" s="21" t="s">
        <v>161</v>
      </c>
      <c r="N211" s="20">
        <v>1</v>
      </c>
      <c r="O211" s="21" t="s">
        <v>1150</v>
      </c>
      <c r="P211" s="20" t="s">
        <v>130</v>
      </c>
      <c r="Q211" s="6">
        <v>249</v>
      </c>
      <c r="R211" s="6">
        <v>236</v>
      </c>
      <c r="S211" s="6">
        <v>220</v>
      </c>
      <c r="T211" s="6">
        <v>208</v>
      </c>
      <c r="U211" s="6">
        <v>202</v>
      </c>
      <c r="V211" s="6">
        <v>195</v>
      </c>
      <c r="W211" s="6">
        <v>211</v>
      </c>
      <c r="X211" s="6">
        <v>185</v>
      </c>
      <c r="Y211" s="6">
        <v>183</v>
      </c>
      <c r="Z211" s="6">
        <v>185</v>
      </c>
      <c r="AA211" s="6">
        <v>170</v>
      </c>
      <c r="AB211" s="20">
        <f>COUNT(Q211:AA211)</f>
        <v>11</v>
      </c>
      <c r="AC211" s="23">
        <f>AB211/11</f>
        <v>1</v>
      </c>
      <c r="AD211" s="20">
        <f>IFERROR(INDEX($Q$4:$AA$4,MATCH(TRUE,INDEX(ISNUMBER(Q211:AA211),0),0)),"")</f>
        <v>2015</v>
      </c>
      <c r="AE211" s="20">
        <f>IFERROR(LOOKUP(2,1/ISNUMBER(Q211:AA211),$Q$4:$AA$4),"")</f>
        <v>2025</v>
      </c>
      <c r="AF211" s="23">
        <f>IF(AB211=0,"",AB211/(AE211-AD211+1))</f>
        <v>1</v>
      </c>
      <c r="AG211" s="20">
        <f>IF(AB211=0,"",'01_Criterios'!$C$8-AE211)</f>
        <v>0</v>
      </c>
      <c r="AH211" s="7">
        <f>IF(P211="Em uso",100,IF(P211="Alta",85,IF(P211="Média",55,30)))</f>
        <v>100</v>
      </c>
      <c r="AI211" s="7">
        <f>ROUND(100*AC211,1)</f>
        <v>100</v>
      </c>
      <c r="AJ211" s="7">
        <f>IF(AB211=0,0,ROUND(MAX(0,100*AF211-10*AG211),1))</f>
        <v>100</v>
      </c>
      <c r="AK211" s="7">
        <f>ROUND(('01_Criterios'!$C$19*AH211+'01_Criterios'!$C$20*AI211+'01_Criterios'!$C$21*AJ211)/('01_Criterios'!$C$19+'01_Criterios'!$C$20+'01_Criterios'!$C$21)+N211*'01_Criterios'!$C$22,1)</f>
        <v>112</v>
      </c>
      <c r="AL211" s="20">
        <f>IF(AND(AB211&gt;=3,AC211&gt;='01_Criterios'!$C$11,N(AE211)&gt;='01_Criterios'!$C$12,OR(F211="+",F211="-"),ISNUMBER(G211),ISNUMBER(H211)),1,0)</f>
        <v>1</v>
      </c>
      <c r="AM211" s="24" t="str">
        <f>IF(AL211=1,"",TRIM(IF(AB211=0,"sem dados no período; ",IF(AB211&lt;3,"série demasiado curta; ",""))&amp;IF(AND(AB211&gt;0,AC211&lt;'01_Criterios'!$C$11),"cobertura insuficiente; ","")&amp;IF(AND(AB211&gt;0,N(AE211)&lt;'01_Criterios'!$C$12),"desactualizado; ","")&amp;IF(AND(F211&lt;&gt;"+",F211&lt;&gt;"-"),"sentido ambíguo; ","")&amp;IF(OR(NOT(ISNUMBER(G211)),NOT(ISNUMBER(H211))),"sem limites min/max; ","")))</f>
        <v/>
      </c>
      <c r="AN211" s="20">
        <f>IF(OR(AL211=0,$AP211="Excluir"),0,IF(SUMPRODUCT(($O$5:$O$335=$O211)*($AL$5:$AL$335=1)*($AP$5:$AP$335&lt;&gt;"Excluir")*(($AK$5:$AK$335&gt;$AK211)+(($AK$5:$AK$335=$AK211)*(ROW($O$5:$O$335)&lt;ROW()))))=0,1,0))</f>
        <v>1</v>
      </c>
      <c r="AO211" s="20">
        <f>IF(AN211=0,"",1+SUMPRODUCT(($B$5:$B$335=$B211)*($AN$5:$AN$335=1)*(($AK$5:$AK$335&gt;$AK211)+(($AK$5:$AK$335=$AK211)*(ROW($B$5:$B$335)&lt;ROW())))))</f>
        <v>1</v>
      </c>
      <c r="AP211" s="22" t="s">
        <v>131</v>
      </c>
      <c r="AQ211" s="20">
        <f>IF(INDEX('01_Criterios'!$C$26:$C$36,MATCH($B211,'01_Criterios'!$B$26:$B$36,0))&lt;&gt;1,0,IF($AP211="Excluir",0,IF($AP211="Incluir",IF(AND(OR($F211="+",$F211="-"),ISNUMBER($G211),ISNUMBER($H211),COUNT($Q211:$AA211)&gt;0),1,0),IF('01_Criterios'!$C$18="Automática",IF(AND($AN211=1,$AO211&lt;&gt;"",$AO211&lt;=INDEX('01_Criterios'!$E$26:$E$36,MATCH($B211,'01_Criterios'!$B$26:$B$36,0))),1,0),0))))</f>
        <v>1</v>
      </c>
      <c r="AR211" s="20">
        <f>IF(AQ211=0,"",IF($AO211&lt;&gt;"",1+SUMPRODUCT(($B$5:$B$335=$B211)*($AQ$5:$AQ$335=1)*($AO$5:$AO$335&lt;$AO211)),1+SUMPRODUCT(($B$5:$B$335=$B211)*($AQ$5:$AQ$335=1)*ISNUMBER($AO$5:$AO$335))+SUMPRODUCT(($B$5:$B$335=$B211)*($AQ$5:$AQ$335=1)*($AO$5:$AO$335="")*(ROW($AO$5:$AO$335)&lt;ROW()))))</f>
        <v>1</v>
      </c>
      <c r="AS211" s="24" t="s">
        <v>1151</v>
      </c>
    </row>
    <row r="212" spans="1:45">
      <c r="A212" s="25" t="s">
        <v>1152</v>
      </c>
      <c r="B212" s="26" t="s">
        <v>82</v>
      </c>
      <c r="C212" s="26" t="s">
        <v>1140</v>
      </c>
      <c r="D212" s="26" t="s">
        <v>1153</v>
      </c>
      <c r="E212" s="25" t="s">
        <v>157</v>
      </c>
      <c r="F212" s="25" t="s">
        <v>126</v>
      </c>
      <c r="G212" s="25">
        <v>0</v>
      </c>
      <c r="H212" s="25">
        <v>15</v>
      </c>
      <c r="I212" s="25">
        <v>5</v>
      </c>
      <c r="J212" s="22">
        <v>1</v>
      </c>
      <c r="K212" s="26" t="s">
        <v>1154</v>
      </c>
      <c r="L212" s="25" t="s">
        <v>1155</v>
      </c>
      <c r="M212" s="26" t="s">
        <v>161</v>
      </c>
      <c r="N212" s="25">
        <v>1</v>
      </c>
      <c r="O212" s="26" t="s">
        <v>1156</v>
      </c>
      <c r="P212" s="25" t="s">
        <v>130</v>
      </c>
      <c r="Q212" s="27">
        <v>2.2996687900000001</v>
      </c>
      <c r="R212" s="27">
        <v>2.3906872300000002</v>
      </c>
      <c r="S212" s="27">
        <v>2.4379425000000001</v>
      </c>
      <c r="T212" s="27">
        <v>2.2988748600000002</v>
      </c>
      <c r="U212" s="27">
        <v>2.2039427800000002</v>
      </c>
      <c r="V212" s="27">
        <v>2.8168890499999999</v>
      </c>
      <c r="W212" s="27">
        <v>2.7398710300000002</v>
      </c>
      <c r="X212" s="27">
        <v>2.60041046</v>
      </c>
      <c r="Y212" s="27">
        <v>2.54692864</v>
      </c>
      <c r="Z212" s="27"/>
      <c r="AA212" s="27"/>
      <c r="AB212" s="25">
        <f>COUNT(Q212:AA212)</f>
        <v>9</v>
      </c>
      <c r="AC212" s="28">
        <f>AB212/11</f>
        <v>0.81818181818181823</v>
      </c>
      <c r="AD212" s="25">
        <f>IFERROR(INDEX($Q$4:$AA$4,MATCH(TRUE,INDEX(ISNUMBER(Q212:AA212),0),0)),"")</f>
        <v>2015</v>
      </c>
      <c r="AE212" s="25">
        <f>IFERROR(LOOKUP(2,1/ISNUMBER(Q212:AA212),$Q$4:$AA$4),"")</f>
        <v>2023</v>
      </c>
      <c r="AF212" s="28">
        <f>IF(AB212=0,"",AB212/(AE212-AD212+1))</f>
        <v>1</v>
      </c>
      <c r="AG212" s="25">
        <f>IF(AB212=0,"",'01_Criterios'!$C$8-AE212)</f>
        <v>2</v>
      </c>
      <c r="AH212" s="29">
        <f>IF(P212="Em uso",100,IF(P212="Alta",85,IF(P212="Média",55,30)))</f>
        <v>100</v>
      </c>
      <c r="AI212" s="29">
        <f>ROUND(100*AC212,1)</f>
        <v>81.8</v>
      </c>
      <c r="AJ212" s="29">
        <f>IF(AB212=0,0,ROUND(MAX(0,100*AF212-10*AG212),1))</f>
        <v>80</v>
      </c>
      <c r="AK212" s="29">
        <f>ROUND(('01_Criterios'!$C$19*AH212+'01_Criterios'!$C$20*AI212+'01_Criterios'!$C$21*AJ212)/('01_Criterios'!$C$19+'01_Criterios'!$C$20+'01_Criterios'!$C$21)+N212*'01_Criterios'!$C$22,1)</f>
        <v>100.6</v>
      </c>
      <c r="AL212" s="25">
        <f>IF(AND(AB212&gt;=3,AC212&gt;='01_Criterios'!$C$11,N(AE212)&gt;='01_Criterios'!$C$12,OR(F212="+",F212="-"),ISNUMBER(G212),ISNUMBER(H212)),1,0)</f>
        <v>1</v>
      </c>
      <c r="AM212" s="30" t="str">
        <f>IF(AL212=1,"",TRIM(IF(AB212=0,"sem dados no período; ",IF(AB212&lt;3,"série demasiado curta; ",""))&amp;IF(AND(AB212&gt;0,AC212&lt;'01_Criterios'!$C$11),"cobertura insuficiente; ","")&amp;IF(AND(AB212&gt;0,N(AE212)&lt;'01_Criterios'!$C$12),"desactualizado; ","")&amp;IF(AND(F212&lt;&gt;"+",F212&lt;&gt;"-"),"sentido ambíguo; ","")&amp;IF(OR(NOT(ISNUMBER(G212)),NOT(ISNUMBER(H212))),"sem limites min/max; ","")))</f>
        <v/>
      </c>
      <c r="AN212" s="25">
        <f>IF(OR(AL212=0,$AP212="Excluir"),0,IF(SUMPRODUCT(($O$5:$O$335=$O212)*($AL$5:$AL$335=1)*($AP$5:$AP$335&lt;&gt;"Excluir")*(($AK$5:$AK$335&gt;$AK212)+(($AK$5:$AK$335=$AK212)*(ROW($O$5:$O$335)&lt;ROW()))))=0,1,0))</f>
        <v>1</v>
      </c>
      <c r="AO212" s="25">
        <f>IF(AN212=0,"",1+SUMPRODUCT(($B$5:$B$335=$B212)*($AN$5:$AN$335=1)*(($AK$5:$AK$335&gt;$AK212)+(($AK$5:$AK$335=$AK212)*(ROW($B$5:$B$335)&lt;ROW())))))</f>
        <v>4</v>
      </c>
      <c r="AP212" s="22" t="s">
        <v>131</v>
      </c>
      <c r="AQ212" s="25">
        <f>IF(INDEX('01_Criterios'!$C$26:$C$36,MATCH($B212,'01_Criterios'!$B$26:$B$36,0))&lt;&gt;1,0,IF($AP212="Excluir",0,IF($AP212="Incluir",IF(AND(OR($F212="+",$F212="-"),ISNUMBER($G212),ISNUMBER($H212),COUNT($Q212:$AA212)&gt;0),1,0),IF('01_Criterios'!$C$18="Automática",IF(AND($AN212=1,$AO212&lt;&gt;"",$AO212&lt;=INDEX('01_Criterios'!$E$26:$E$36,MATCH($B212,'01_Criterios'!$B$26:$B$36,0))),1,0),0))))</f>
        <v>1</v>
      </c>
      <c r="AR212" s="25">
        <f>IF(AQ212=0,"",IF($AO212&lt;&gt;"",1+SUMPRODUCT(($B$5:$B$335=$B212)*($AQ$5:$AQ$335=1)*($AO$5:$AO$335&lt;$AO212)),1+SUMPRODUCT(($B$5:$B$335=$B212)*($AQ$5:$AQ$335=1)*ISNUMBER($AO$5:$AO$335))+SUMPRODUCT(($B$5:$B$335=$B212)*($AQ$5:$AQ$335=1)*($AO$5:$AO$335="")*(ROW($AO$5:$AO$335)&lt;ROW()))))</f>
        <v>4</v>
      </c>
      <c r="AS212" s="24" t="s">
        <v>1157</v>
      </c>
    </row>
    <row r="213" spans="1:45">
      <c r="A213" s="20" t="s">
        <v>1158</v>
      </c>
      <c r="B213" s="21" t="s">
        <v>82</v>
      </c>
      <c r="C213" s="21" t="s">
        <v>1140</v>
      </c>
      <c r="D213" s="21" t="s">
        <v>1159</v>
      </c>
      <c r="E213" s="20" t="s">
        <v>1160</v>
      </c>
      <c r="F213" s="20" t="s">
        <v>126</v>
      </c>
      <c r="G213" s="20">
        <v>0</v>
      </c>
      <c r="H213" s="20">
        <v>10</v>
      </c>
      <c r="I213" s="20">
        <v>2</v>
      </c>
      <c r="J213" s="22">
        <v>1</v>
      </c>
      <c r="K213" s="21" t="s">
        <v>1161</v>
      </c>
      <c r="L213" s="20" t="s">
        <v>1162</v>
      </c>
      <c r="M213" s="21" t="s">
        <v>161</v>
      </c>
      <c r="N213" s="20">
        <v>1</v>
      </c>
      <c r="O213" s="21" t="s">
        <v>1158</v>
      </c>
      <c r="P213" s="20" t="s">
        <v>130</v>
      </c>
      <c r="Q213" s="6"/>
      <c r="R213" s="6"/>
      <c r="S213" s="6">
        <v>0.38</v>
      </c>
      <c r="T213" s="6"/>
      <c r="U213" s="6">
        <v>0.75</v>
      </c>
      <c r="V213" s="6"/>
      <c r="W213" s="6"/>
      <c r="X213" s="6">
        <v>1.02</v>
      </c>
      <c r="Y213" s="6"/>
      <c r="Z213" s="6"/>
      <c r="AA213" s="6"/>
      <c r="AB213" s="20">
        <f>COUNT(Q213:AA213)</f>
        <v>3</v>
      </c>
      <c r="AC213" s="23">
        <f>AB213/11</f>
        <v>0.27272727272727271</v>
      </c>
      <c r="AD213" s="20">
        <f>IFERROR(INDEX($Q$4:$AA$4,MATCH(TRUE,INDEX(ISNUMBER(Q213:AA213),0),0)),"")</f>
        <v>2017</v>
      </c>
      <c r="AE213" s="20">
        <f>IFERROR(LOOKUP(2,1/ISNUMBER(Q213:AA213),$Q$4:$AA$4),"")</f>
        <v>2022</v>
      </c>
      <c r="AF213" s="23">
        <f>IF(AB213=0,"",AB213/(AE213-AD213+1))</f>
        <v>0.5</v>
      </c>
      <c r="AG213" s="20">
        <f>IF(AB213=0,"",'01_Criterios'!$C$8-AE213)</f>
        <v>3</v>
      </c>
      <c r="AH213" s="7">
        <f>IF(P213="Em uso",100,IF(P213="Alta",85,IF(P213="Média",55,30)))</f>
        <v>100</v>
      </c>
      <c r="AI213" s="7">
        <f>ROUND(100*AC213,1)</f>
        <v>27.3</v>
      </c>
      <c r="AJ213" s="7">
        <f>IF(AB213=0,0,ROUND(MAX(0,100*AF213-10*AG213),1))</f>
        <v>20</v>
      </c>
      <c r="AK213" s="7">
        <f>ROUND(('01_Criterios'!$C$19*AH213+'01_Criterios'!$C$20*AI213+'01_Criterios'!$C$21*AJ213)/('01_Criterios'!$C$19+'01_Criterios'!$C$20+'01_Criterios'!$C$21)+N213*'01_Criterios'!$C$22,1)</f>
        <v>66.599999999999994</v>
      </c>
      <c r="AL213" s="20">
        <f>IF(AND(AB213&gt;=3,AC213&gt;='01_Criterios'!$C$11,N(AE213)&gt;='01_Criterios'!$C$12,OR(F213="+",F213="-"),ISNUMBER(G213),ISNUMBER(H213)),1,0)</f>
        <v>0</v>
      </c>
      <c r="AM213" s="24" t="str">
        <f>IF(AL213=1,"",TRIM(IF(AB213=0,"sem dados no período; ",IF(AB213&lt;3,"série demasiado curta; ",""))&amp;IF(AND(AB213&gt;0,AC213&lt;'01_Criterios'!$C$11),"cobertura insuficiente; ","")&amp;IF(AND(AB213&gt;0,N(AE213)&lt;'01_Criterios'!$C$12),"desactualizado; ","")&amp;IF(AND(F213&lt;&gt;"+",F213&lt;&gt;"-"),"sentido ambíguo; ","")&amp;IF(OR(NOT(ISNUMBER(G213)),NOT(ISNUMBER(H213))),"sem limites min/max; ","")))</f>
        <v>cobertura insuficiente; desactualizado;</v>
      </c>
      <c r="AN213" s="20">
        <f>IF(OR(AL213=0,$AP213="Excluir"),0,IF(SUMPRODUCT(($O$5:$O$335=$O213)*($AL$5:$AL$335=1)*($AP$5:$AP$335&lt;&gt;"Excluir")*(($AK$5:$AK$335&gt;$AK213)+(($AK$5:$AK$335=$AK213)*(ROW($O$5:$O$335)&lt;ROW()))))=0,1,0))</f>
        <v>0</v>
      </c>
      <c r="AO213" s="20" t="str">
        <f>IF(AN213=0,"",1+SUMPRODUCT(($B$5:$B$335=$B213)*($AN$5:$AN$335=1)*(($AK$5:$AK$335&gt;$AK213)+(($AK$5:$AK$335=$AK213)*(ROW($B$5:$B$335)&lt;ROW())))))</f>
        <v/>
      </c>
      <c r="AP213" s="22" t="s">
        <v>131</v>
      </c>
      <c r="AQ213" s="20">
        <f>IF(INDEX('01_Criterios'!$C$26:$C$36,MATCH($B213,'01_Criterios'!$B$26:$B$36,0))&lt;&gt;1,0,IF($AP213="Excluir",0,IF($AP213="Incluir",IF(AND(OR($F213="+",$F213="-"),ISNUMBER($G213),ISNUMBER($H213),COUNT($Q213:$AA213)&gt;0),1,0),IF('01_Criterios'!$C$18="Automática",IF(AND($AN213=1,$AO213&lt;&gt;"",$AO213&lt;=INDEX('01_Criterios'!$E$26:$E$36,MATCH($B213,'01_Criterios'!$B$26:$B$36,0))),1,0),0))))</f>
        <v>0</v>
      </c>
      <c r="AR213" s="20" t="str">
        <f>IF(AQ213=0,"",IF($AO213&lt;&gt;"",1+SUMPRODUCT(($B$5:$B$335=$B213)*($AQ$5:$AQ$335=1)*($AO$5:$AO$335&lt;$AO213)),1+SUMPRODUCT(($B$5:$B$335=$B213)*($AQ$5:$AQ$335=1)*ISNUMBER($AO$5:$AO$335))+SUMPRODUCT(($B$5:$B$335=$B213)*($AQ$5:$AQ$335=1)*($AO$5:$AO$335="")*(ROW($AO$5:$AO$335)&lt;ROW()))))</f>
        <v/>
      </c>
      <c r="AS213" s="24" t="s">
        <v>1163</v>
      </c>
    </row>
    <row r="214" spans="1:45">
      <c r="A214" s="25" t="s">
        <v>1164</v>
      </c>
      <c r="B214" s="26" t="s">
        <v>82</v>
      </c>
      <c r="C214" s="26" t="s">
        <v>1140</v>
      </c>
      <c r="D214" s="26" t="s">
        <v>1165</v>
      </c>
      <c r="E214" s="25" t="s">
        <v>157</v>
      </c>
      <c r="F214" s="25" t="s">
        <v>126</v>
      </c>
      <c r="G214" s="25">
        <v>0</v>
      </c>
      <c r="H214" s="25">
        <v>100</v>
      </c>
      <c r="I214" s="25">
        <v>80</v>
      </c>
      <c r="J214" s="22">
        <v>1</v>
      </c>
      <c r="K214" s="26" t="s">
        <v>1148</v>
      </c>
      <c r="L214" s="25" t="s">
        <v>1166</v>
      </c>
      <c r="M214" s="26" t="s">
        <v>161</v>
      </c>
      <c r="N214" s="25">
        <v>1</v>
      </c>
      <c r="O214" s="26" t="s">
        <v>1167</v>
      </c>
      <c r="P214" s="25" t="s">
        <v>130</v>
      </c>
      <c r="Q214" s="27">
        <v>52</v>
      </c>
      <c r="R214" s="27">
        <v>49</v>
      </c>
      <c r="S214" s="27">
        <v>47</v>
      </c>
      <c r="T214" s="27">
        <v>56</v>
      </c>
      <c r="U214" s="27">
        <v>59</v>
      </c>
      <c r="V214" s="27">
        <v>54</v>
      </c>
      <c r="W214" s="27">
        <v>48</v>
      </c>
      <c r="X214" s="27">
        <v>50</v>
      </c>
      <c r="Y214" s="27">
        <v>63</v>
      </c>
      <c r="Z214" s="27">
        <v>53</v>
      </c>
      <c r="AA214" s="27"/>
      <c r="AB214" s="25">
        <f>COUNT(Q214:AA214)</f>
        <v>10</v>
      </c>
      <c r="AC214" s="28">
        <f>AB214/11</f>
        <v>0.90909090909090906</v>
      </c>
      <c r="AD214" s="25">
        <f>IFERROR(INDEX($Q$4:$AA$4,MATCH(TRUE,INDEX(ISNUMBER(Q214:AA214),0),0)),"")</f>
        <v>2015</v>
      </c>
      <c r="AE214" s="25">
        <f>IFERROR(LOOKUP(2,1/ISNUMBER(Q214:AA214),$Q$4:$AA$4),"")</f>
        <v>2024</v>
      </c>
      <c r="AF214" s="28">
        <f>IF(AB214=0,"",AB214/(AE214-AD214+1))</f>
        <v>1</v>
      </c>
      <c r="AG214" s="25">
        <f>IF(AB214=0,"",'01_Criterios'!$C$8-AE214)</f>
        <v>1</v>
      </c>
      <c r="AH214" s="29">
        <f>IF(P214="Em uso",100,IF(P214="Alta",85,IF(P214="Média",55,30)))</f>
        <v>100</v>
      </c>
      <c r="AI214" s="29">
        <f>ROUND(100*AC214,1)</f>
        <v>90.9</v>
      </c>
      <c r="AJ214" s="29">
        <f>IF(AB214=0,0,ROUND(MAX(0,100*AF214-10*AG214),1))</f>
        <v>90</v>
      </c>
      <c r="AK214" s="29">
        <f>ROUND(('01_Criterios'!$C$19*AH214+'01_Criterios'!$C$20*AI214+'01_Criterios'!$C$21*AJ214)/('01_Criterios'!$C$19+'01_Criterios'!$C$20+'01_Criterios'!$C$21)+N214*'01_Criterios'!$C$22,1)</f>
        <v>106.3</v>
      </c>
      <c r="AL214" s="25">
        <f>IF(AND(AB214&gt;=3,AC214&gt;='01_Criterios'!$C$11,N(AE214)&gt;='01_Criterios'!$C$12,OR(F214="+",F214="-"),ISNUMBER(G214),ISNUMBER(H214)),1,0)</f>
        <v>1</v>
      </c>
      <c r="AM214" s="30" t="str">
        <f>IF(AL214=1,"",TRIM(IF(AB214=0,"sem dados no período; ",IF(AB214&lt;3,"série demasiado curta; ",""))&amp;IF(AND(AB214&gt;0,AC214&lt;'01_Criterios'!$C$11),"cobertura insuficiente; ","")&amp;IF(AND(AB214&gt;0,N(AE214)&lt;'01_Criterios'!$C$12),"desactualizado; ","")&amp;IF(AND(F214&lt;&gt;"+",F214&lt;&gt;"-"),"sentido ambíguo; ","")&amp;IF(OR(NOT(ISNUMBER(G214)),NOT(ISNUMBER(H214))),"sem limites min/max; ","")))</f>
        <v/>
      </c>
      <c r="AN214" s="25">
        <f>IF(OR(AL214=0,$AP214="Excluir"),0,IF(SUMPRODUCT(($O$5:$O$335=$O214)*($AL$5:$AL$335=1)*($AP$5:$AP$335&lt;&gt;"Excluir")*(($AK$5:$AK$335&gt;$AK214)+(($AK$5:$AK$335=$AK214)*(ROW($O$5:$O$335)&lt;ROW()))))=0,1,0))</f>
        <v>1</v>
      </c>
      <c r="AO214" s="25">
        <f>IF(AN214=0,"",1+SUMPRODUCT(($B$5:$B$335=$B214)*($AN$5:$AN$335=1)*(($AK$5:$AK$335&gt;$AK214)+(($AK$5:$AK$335=$AK214)*(ROW($B$5:$B$335)&lt;ROW())))))</f>
        <v>2</v>
      </c>
      <c r="AP214" s="22" t="s">
        <v>131</v>
      </c>
      <c r="AQ214" s="25">
        <f>IF(INDEX('01_Criterios'!$C$26:$C$36,MATCH($B214,'01_Criterios'!$B$26:$B$36,0))&lt;&gt;1,0,IF($AP214="Excluir",0,IF($AP214="Incluir",IF(AND(OR($F214="+",$F214="-"),ISNUMBER($G214),ISNUMBER($H214),COUNT($Q214:$AA214)&gt;0),1,0),IF('01_Criterios'!$C$18="Automática",IF(AND($AN214=1,$AO214&lt;&gt;"",$AO214&lt;=INDEX('01_Criterios'!$E$26:$E$36,MATCH($B214,'01_Criterios'!$B$26:$B$36,0))),1,0),0))))</f>
        <v>1</v>
      </c>
      <c r="AR214" s="25">
        <f>IF(AQ214=0,"",IF($AO214&lt;&gt;"",1+SUMPRODUCT(($B$5:$B$335=$B214)*($AQ$5:$AQ$335=1)*($AO$5:$AO$335&lt;$AO214)),1+SUMPRODUCT(($B$5:$B$335=$B214)*($AQ$5:$AQ$335=1)*ISNUMBER($AO$5:$AO$335))+SUMPRODUCT(($B$5:$B$335=$B214)*($AQ$5:$AQ$335=1)*($AO$5:$AO$335="")*(ROW($AO$5:$AO$335)&lt;ROW()))))</f>
        <v>2</v>
      </c>
      <c r="AS214" s="24" t="s">
        <v>1168</v>
      </c>
    </row>
    <row r="215" spans="1:45">
      <c r="A215" s="20" t="s">
        <v>1169</v>
      </c>
      <c r="B215" s="21" t="s">
        <v>82</v>
      </c>
      <c r="C215" s="21" t="s">
        <v>1140</v>
      </c>
      <c r="D215" s="21" t="s">
        <v>1170</v>
      </c>
      <c r="E215" s="20" t="s">
        <v>135</v>
      </c>
      <c r="F215" s="20" t="s">
        <v>126</v>
      </c>
      <c r="G215" s="20">
        <v>0</v>
      </c>
      <c r="H215" s="20">
        <v>100</v>
      </c>
      <c r="I215" s="20">
        <v>50</v>
      </c>
      <c r="J215" s="22">
        <v>1</v>
      </c>
      <c r="K215" s="21" t="s">
        <v>1171</v>
      </c>
      <c r="L215" s="20"/>
      <c r="M215" s="21" t="s">
        <v>129</v>
      </c>
      <c r="N215" s="20">
        <v>0</v>
      </c>
      <c r="O215" s="21" t="s">
        <v>1169</v>
      </c>
      <c r="P215" s="20" t="s">
        <v>130</v>
      </c>
      <c r="Q215" s="6">
        <v>35.1</v>
      </c>
      <c r="R215" s="6"/>
      <c r="S215" s="6"/>
      <c r="T215" s="6"/>
      <c r="U215" s="6"/>
      <c r="V215" s="6"/>
      <c r="W215" s="6"/>
      <c r="X215" s="6"/>
      <c r="Y215" s="6"/>
      <c r="Z215" s="6">
        <v>26</v>
      </c>
      <c r="AA215" s="6">
        <v>29.7</v>
      </c>
      <c r="AB215" s="20">
        <f>COUNT(Q215:AA215)</f>
        <v>3</v>
      </c>
      <c r="AC215" s="23">
        <f>AB215/11</f>
        <v>0.27272727272727271</v>
      </c>
      <c r="AD215" s="20">
        <f>IFERROR(INDEX($Q$4:$AA$4,MATCH(TRUE,INDEX(ISNUMBER(Q215:AA215),0),0)),"")</f>
        <v>2015</v>
      </c>
      <c r="AE215" s="20">
        <f>IFERROR(LOOKUP(2,1/ISNUMBER(Q215:AA215),$Q$4:$AA$4),"")</f>
        <v>2025</v>
      </c>
      <c r="AF215" s="23">
        <f>IF(AB215=0,"",AB215/(AE215-AD215+1))</f>
        <v>0.27272727272727271</v>
      </c>
      <c r="AG215" s="20">
        <f>IF(AB215=0,"",'01_Criterios'!$C$8-AE215)</f>
        <v>0</v>
      </c>
      <c r="AH215" s="7">
        <f>IF(P215="Em uso",100,IF(P215="Alta",85,IF(P215="Média",55,30)))</f>
        <v>100</v>
      </c>
      <c r="AI215" s="7">
        <f>ROUND(100*AC215,1)</f>
        <v>27.3</v>
      </c>
      <c r="AJ215" s="7">
        <f>IF(AB215=0,0,ROUND(MAX(0,100*AF215-10*AG215),1))</f>
        <v>27.3</v>
      </c>
      <c r="AK215" s="7">
        <f>ROUND(('01_Criterios'!$C$19*AH215+'01_Criterios'!$C$20*AI215+'01_Criterios'!$C$21*AJ215)/('01_Criterios'!$C$19+'01_Criterios'!$C$20+'01_Criterios'!$C$21)+N215*'01_Criterios'!$C$22,1)</f>
        <v>56.4</v>
      </c>
      <c r="AL215" s="20">
        <f>IF(AND(AB215&gt;=3,AC215&gt;='01_Criterios'!$C$11,N(AE215)&gt;='01_Criterios'!$C$12,OR(F215="+",F215="-"),ISNUMBER(G215),ISNUMBER(H215)),1,0)</f>
        <v>0</v>
      </c>
      <c r="AM215" s="24" t="str">
        <f>IF(AL215=1,"",TRIM(IF(AB215=0,"sem dados no período; ",IF(AB215&lt;3,"série demasiado curta; ",""))&amp;IF(AND(AB215&gt;0,AC215&lt;'01_Criterios'!$C$11),"cobertura insuficiente; ","")&amp;IF(AND(AB215&gt;0,N(AE215)&lt;'01_Criterios'!$C$12),"desactualizado; ","")&amp;IF(AND(F215&lt;&gt;"+",F215&lt;&gt;"-"),"sentido ambíguo; ","")&amp;IF(OR(NOT(ISNUMBER(G215)),NOT(ISNUMBER(H215))),"sem limites min/max; ","")))</f>
        <v>cobertura insuficiente;</v>
      </c>
      <c r="AN215" s="20">
        <f>IF(OR(AL215=0,$AP215="Excluir"),0,IF(SUMPRODUCT(($O$5:$O$335=$O215)*($AL$5:$AL$335=1)*($AP$5:$AP$335&lt;&gt;"Excluir")*(($AK$5:$AK$335&gt;$AK215)+(($AK$5:$AK$335=$AK215)*(ROW($O$5:$O$335)&lt;ROW()))))=0,1,0))</f>
        <v>0</v>
      </c>
      <c r="AO215" s="20" t="str">
        <f>IF(AN215=0,"",1+SUMPRODUCT(($B$5:$B$335=$B215)*($AN$5:$AN$335=1)*(($AK$5:$AK$335&gt;$AK215)+(($AK$5:$AK$335=$AK215)*(ROW($B$5:$B$335)&lt;ROW())))))</f>
        <v/>
      </c>
      <c r="AP215" s="22" t="s">
        <v>131</v>
      </c>
      <c r="AQ215" s="20">
        <f>IF(INDEX('01_Criterios'!$C$26:$C$36,MATCH($B215,'01_Criterios'!$B$26:$B$36,0))&lt;&gt;1,0,IF($AP215="Excluir",0,IF($AP215="Incluir",IF(AND(OR($F215="+",$F215="-"),ISNUMBER($G215),ISNUMBER($H215),COUNT($Q215:$AA215)&gt;0),1,0),IF('01_Criterios'!$C$18="Automática",IF(AND($AN215=1,$AO215&lt;&gt;"",$AO215&lt;=INDEX('01_Criterios'!$E$26:$E$36,MATCH($B215,'01_Criterios'!$B$26:$B$36,0))),1,0),0))))</f>
        <v>0</v>
      </c>
      <c r="AR215" s="20" t="str">
        <f>IF(AQ215=0,"",IF($AO215&lt;&gt;"",1+SUMPRODUCT(($B$5:$B$335=$B215)*($AQ$5:$AQ$335=1)*($AO$5:$AO$335&lt;$AO215)),1+SUMPRODUCT(($B$5:$B$335=$B215)*($AQ$5:$AQ$335=1)*ISNUMBER($AO$5:$AO$335))+SUMPRODUCT(($B$5:$B$335=$B215)*($AQ$5:$AQ$335=1)*($AO$5:$AO$335="")*(ROW($AO$5:$AO$335)&lt;ROW()))))</f>
        <v/>
      </c>
      <c r="AS215" s="24" t="s">
        <v>132</v>
      </c>
    </row>
    <row r="216" spans="1:45">
      <c r="A216" s="25" t="s">
        <v>1172</v>
      </c>
      <c r="B216" s="26" t="s">
        <v>82</v>
      </c>
      <c r="C216" s="26" t="s">
        <v>1173</v>
      </c>
      <c r="D216" s="26" t="s">
        <v>1174</v>
      </c>
      <c r="E216" s="25" t="s">
        <v>157</v>
      </c>
      <c r="F216" s="25" t="s">
        <v>126</v>
      </c>
      <c r="G216" s="25">
        <v>0</v>
      </c>
      <c r="H216" s="25">
        <v>100</v>
      </c>
      <c r="I216" s="25">
        <v>80</v>
      </c>
      <c r="J216" s="22">
        <v>1</v>
      </c>
      <c r="K216" s="26" t="s">
        <v>1175</v>
      </c>
      <c r="L216" s="25"/>
      <c r="M216" s="26" t="s">
        <v>879</v>
      </c>
      <c r="N216" s="25">
        <v>1</v>
      </c>
      <c r="O216" s="26" t="s">
        <v>1176</v>
      </c>
      <c r="P216" s="25" t="s">
        <v>152</v>
      </c>
      <c r="Q216" s="27"/>
      <c r="R216" s="27"/>
      <c r="S216" s="27"/>
      <c r="T216" s="27"/>
      <c r="U216" s="27"/>
      <c r="V216" s="27"/>
      <c r="W216" s="27"/>
      <c r="X216" s="27"/>
      <c r="Y216" s="27"/>
      <c r="Z216" s="27"/>
      <c r="AA216" s="27"/>
      <c r="AB216" s="25">
        <f>COUNT(Q216:AA216)</f>
        <v>0</v>
      </c>
      <c r="AC216" s="28">
        <f>AB216/11</f>
        <v>0</v>
      </c>
      <c r="AD216" s="25" t="str">
        <f>IFERROR(INDEX($Q$4:$AA$4,MATCH(TRUE,INDEX(ISNUMBER(Q216:AA216),0),0)),"")</f>
        <v/>
      </c>
      <c r="AE216" s="25" t="str">
        <f>IFERROR(LOOKUP(2,1/ISNUMBER(Q216:AA216),$Q$4:$AA$4),"")</f>
        <v/>
      </c>
      <c r="AF216" s="28" t="str">
        <f>IF(AB216=0,"",AB216/(AE216-AD216+1))</f>
        <v/>
      </c>
      <c r="AG216" s="25" t="str">
        <f>IF(AB216=0,"",'01_Criterios'!$C$8-AE216)</f>
        <v/>
      </c>
      <c r="AH216" s="29">
        <f>IF(P216="Em uso",100,IF(P216="Alta",85,IF(P216="Média",55,30)))</f>
        <v>85</v>
      </c>
      <c r="AI216" s="29">
        <f>ROUND(100*AC216,1)</f>
        <v>0</v>
      </c>
      <c r="AJ216" s="29">
        <f>IF(AB216=0,0,ROUND(MAX(0,100*AF216-10*AG216),1))</f>
        <v>0</v>
      </c>
      <c r="AK216" s="29">
        <f>ROUND(('01_Criterios'!$C$19*AH216+'01_Criterios'!$C$20*AI216+'01_Criterios'!$C$21*AJ216)/('01_Criterios'!$C$19+'01_Criterios'!$C$20+'01_Criterios'!$C$21)+N216*'01_Criterios'!$C$22,1)</f>
        <v>46</v>
      </c>
      <c r="AL216" s="25">
        <f>IF(AND(AB216&gt;=3,AC216&gt;='01_Criterios'!$C$11,N(AE216)&gt;='01_Criterios'!$C$12,OR(F216="+",F216="-"),ISNUMBER(G216),ISNUMBER(H216)),1,0)</f>
        <v>0</v>
      </c>
      <c r="AM216" s="30" t="str">
        <f>IF(AL216=1,"",TRIM(IF(AB216=0,"sem dados no período; ",IF(AB216&lt;3,"série demasiado curta; ",""))&amp;IF(AND(AB216&gt;0,AC216&lt;'01_Criterios'!$C$11),"cobertura insuficiente; ","")&amp;IF(AND(AB216&gt;0,N(AE216)&lt;'01_Criterios'!$C$12),"desactualizado; ","")&amp;IF(AND(F216&lt;&gt;"+",F216&lt;&gt;"-"),"sentido ambíguo; ","")&amp;IF(OR(NOT(ISNUMBER(G216)),NOT(ISNUMBER(H216))),"sem limites min/max; ","")))</f>
        <v>sem dados no período;</v>
      </c>
      <c r="AN216" s="25">
        <f>IF(OR(AL216=0,$AP216="Excluir"),0,IF(SUMPRODUCT(($O$5:$O$335=$O216)*($AL$5:$AL$335=1)*($AP$5:$AP$335&lt;&gt;"Excluir")*(($AK$5:$AK$335&gt;$AK216)+(($AK$5:$AK$335=$AK216)*(ROW($O$5:$O$335)&lt;ROW()))))=0,1,0))</f>
        <v>0</v>
      </c>
      <c r="AO216" s="25" t="str">
        <f>IF(AN216=0,"",1+SUMPRODUCT(($B$5:$B$335=$B216)*($AN$5:$AN$335=1)*(($AK$5:$AK$335&gt;$AK216)+(($AK$5:$AK$335=$AK216)*(ROW($B$5:$B$335)&lt;ROW())))))</f>
        <v/>
      </c>
      <c r="AP216" s="22" t="s">
        <v>131</v>
      </c>
      <c r="AQ216" s="25">
        <f>IF(INDEX('01_Criterios'!$C$26:$C$36,MATCH($B216,'01_Criterios'!$B$26:$B$36,0))&lt;&gt;1,0,IF($AP216="Excluir",0,IF($AP216="Incluir",IF(AND(OR($F216="+",$F216="-"),ISNUMBER($G216),ISNUMBER($H216),COUNT($Q216:$AA216)&gt;0),1,0),IF('01_Criterios'!$C$18="Automática",IF(AND($AN216=1,$AO216&lt;&gt;"",$AO216&lt;=INDEX('01_Criterios'!$E$26:$E$36,MATCH($B216,'01_Criterios'!$B$26:$B$36,0))),1,0),0))))</f>
        <v>0</v>
      </c>
      <c r="AR216" s="25" t="str">
        <f>IF(AQ216=0,"",IF($AO216&lt;&gt;"",1+SUMPRODUCT(($B$5:$B$335=$B216)*($AQ$5:$AQ$335=1)*($AO$5:$AO$335&lt;$AO216)),1+SUMPRODUCT(($B$5:$B$335=$B216)*($AQ$5:$AQ$335=1)*ISNUMBER($AO$5:$AO$335))+SUMPRODUCT(($B$5:$B$335=$B216)*($AQ$5:$AQ$335=1)*($AO$5:$AO$335="")*(ROW($AO$5:$AO$335)&lt;ROW()))))</f>
        <v/>
      </c>
      <c r="AS216" s="24" t="s">
        <v>1177</v>
      </c>
    </row>
    <row r="217" spans="1:45">
      <c r="A217" s="20" t="s">
        <v>1178</v>
      </c>
      <c r="B217" s="21" t="s">
        <v>82</v>
      </c>
      <c r="C217" s="21" t="s">
        <v>1179</v>
      </c>
      <c r="D217" s="21" t="s">
        <v>1180</v>
      </c>
      <c r="E217" s="20" t="s">
        <v>1181</v>
      </c>
      <c r="F217" s="20" t="s">
        <v>158</v>
      </c>
      <c r="G217" s="20">
        <v>0</v>
      </c>
      <c r="H217" s="20">
        <v>1000</v>
      </c>
      <c r="I217" s="20">
        <v>70</v>
      </c>
      <c r="J217" s="22">
        <v>1</v>
      </c>
      <c r="K217" s="21" t="s">
        <v>586</v>
      </c>
      <c r="L217" s="20" t="s">
        <v>1182</v>
      </c>
      <c r="M217" s="21" t="s">
        <v>588</v>
      </c>
      <c r="N217" s="20">
        <v>1</v>
      </c>
      <c r="O217" s="21" t="s">
        <v>1150</v>
      </c>
      <c r="P217" s="20" t="s">
        <v>152</v>
      </c>
      <c r="Q217" s="6"/>
      <c r="R217" s="6"/>
      <c r="S217" s="6"/>
      <c r="T217" s="6"/>
      <c r="U217" s="6"/>
      <c r="V217" s="6"/>
      <c r="W217" s="6"/>
      <c r="X217" s="6"/>
      <c r="Y217" s="6"/>
      <c r="Z217" s="6">
        <v>170</v>
      </c>
      <c r="AA217" s="6"/>
      <c r="AB217" s="20">
        <f>COUNT(Q217:AA217)</f>
        <v>1</v>
      </c>
      <c r="AC217" s="23">
        <f>AB217/11</f>
        <v>9.0909090909090912E-2</v>
      </c>
      <c r="AD217" s="20">
        <f>IFERROR(INDEX($Q$4:$AA$4,MATCH(TRUE,INDEX(ISNUMBER(Q217:AA217),0),0)),"")</f>
        <v>2024</v>
      </c>
      <c r="AE217" s="20">
        <f>IFERROR(LOOKUP(2,1/ISNUMBER(Q217:AA217),$Q$4:$AA$4),"")</f>
        <v>2024</v>
      </c>
      <c r="AF217" s="23">
        <f>IF(AB217=0,"",AB217/(AE217-AD217+1))</f>
        <v>1</v>
      </c>
      <c r="AG217" s="20">
        <f>IF(AB217=0,"",'01_Criterios'!$C$8-AE217)</f>
        <v>1</v>
      </c>
      <c r="AH217" s="7">
        <f>IF(P217="Em uso",100,IF(P217="Alta",85,IF(P217="Média",55,30)))</f>
        <v>85</v>
      </c>
      <c r="AI217" s="7">
        <f>ROUND(100*AC217,1)</f>
        <v>9.1</v>
      </c>
      <c r="AJ217" s="7">
        <f>IF(AB217=0,0,ROUND(MAX(0,100*AF217-10*AG217),1))</f>
        <v>90</v>
      </c>
      <c r="AK217" s="7">
        <f>ROUND(('01_Criterios'!$C$19*AH217+'01_Criterios'!$C$20*AI217+'01_Criterios'!$C$21*AJ217)/('01_Criterios'!$C$19+'01_Criterios'!$C$20+'01_Criterios'!$C$21)+N217*'01_Criterios'!$C$22,1)</f>
        <v>71.7</v>
      </c>
      <c r="AL217" s="20">
        <f>IF(AND(AB217&gt;=3,AC217&gt;='01_Criterios'!$C$11,N(AE217)&gt;='01_Criterios'!$C$12,OR(F217="+",F217="-"),ISNUMBER(G217),ISNUMBER(H217)),1,0)</f>
        <v>0</v>
      </c>
      <c r="AM217" s="24" t="str">
        <f>IF(AL217=1,"",TRIM(IF(AB217=0,"sem dados no período; ",IF(AB217&lt;3,"série demasiado curta; ",""))&amp;IF(AND(AB217&gt;0,AC217&lt;'01_Criterios'!$C$11),"cobertura insuficiente; ","")&amp;IF(AND(AB217&gt;0,N(AE217)&lt;'01_Criterios'!$C$12),"desactualizado; ","")&amp;IF(AND(F217&lt;&gt;"+",F217&lt;&gt;"-"),"sentido ambíguo; ","")&amp;IF(OR(NOT(ISNUMBER(G217)),NOT(ISNUMBER(H217))),"sem limites min/max; ","")))</f>
        <v>série demasiado curta; cobertura insuficiente;</v>
      </c>
      <c r="AN217" s="20">
        <f>IF(OR(AL217=0,$AP217="Excluir"),0,IF(SUMPRODUCT(($O$5:$O$335=$O217)*($AL$5:$AL$335=1)*($AP$5:$AP$335&lt;&gt;"Excluir")*(($AK$5:$AK$335&gt;$AK217)+(($AK$5:$AK$335=$AK217)*(ROW($O$5:$O$335)&lt;ROW()))))=0,1,0))</f>
        <v>0</v>
      </c>
      <c r="AO217" s="20" t="str">
        <f>IF(AN217=0,"",1+SUMPRODUCT(($B$5:$B$335=$B217)*($AN$5:$AN$335=1)*(($AK$5:$AK$335&gt;$AK217)+(($AK$5:$AK$335=$AK217)*(ROW($B$5:$B$335)&lt;ROW())))))</f>
        <v/>
      </c>
      <c r="AP217" s="22" t="s">
        <v>131</v>
      </c>
      <c r="AQ217" s="20">
        <f>IF(INDEX('01_Criterios'!$C$26:$C$36,MATCH($B217,'01_Criterios'!$B$26:$B$36,0))&lt;&gt;1,0,IF($AP217="Excluir",0,IF($AP217="Incluir",IF(AND(OR($F217="+",$F217="-"),ISNUMBER($G217),ISNUMBER($H217),COUNT($Q217:$AA217)&gt;0),1,0),IF('01_Criterios'!$C$18="Automática",IF(AND($AN217=1,$AO217&lt;&gt;"",$AO217&lt;=INDEX('01_Criterios'!$E$26:$E$36,MATCH($B217,'01_Criterios'!$B$26:$B$36,0))),1,0),0))))</f>
        <v>0</v>
      </c>
      <c r="AR217" s="20" t="str">
        <f>IF(AQ217=0,"",IF($AO217&lt;&gt;"",1+SUMPRODUCT(($B$5:$B$335=$B217)*($AQ$5:$AQ$335=1)*($AO$5:$AO$335&lt;$AO217)),1+SUMPRODUCT(($B$5:$B$335=$B217)*($AQ$5:$AQ$335=1)*ISNUMBER($AO$5:$AO$335))+SUMPRODUCT(($B$5:$B$335=$B217)*($AQ$5:$AQ$335=1)*($AO$5:$AO$335="")*(ROW($AO$5:$AO$335)&lt;ROW()))))</f>
        <v/>
      </c>
      <c r="AS217" s="24" t="s">
        <v>1183</v>
      </c>
    </row>
    <row r="218" spans="1:45">
      <c r="A218" s="25" t="s">
        <v>1184</v>
      </c>
      <c r="B218" s="26" t="s">
        <v>82</v>
      </c>
      <c r="C218" s="26" t="s">
        <v>1185</v>
      </c>
      <c r="D218" s="26" t="s">
        <v>1186</v>
      </c>
      <c r="E218" s="25" t="s">
        <v>742</v>
      </c>
      <c r="F218" s="25" t="s">
        <v>158</v>
      </c>
      <c r="G218" s="25">
        <v>0</v>
      </c>
      <c r="H218" s="25">
        <v>100</v>
      </c>
      <c r="I218" s="25">
        <v>20</v>
      </c>
      <c r="J218" s="22">
        <v>1</v>
      </c>
      <c r="K218" s="26" t="s">
        <v>1187</v>
      </c>
      <c r="L218" s="25" t="s">
        <v>1188</v>
      </c>
      <c r="M218" s="26" t="s">
        <v>161</v>
      </c>
      <c r="N218" s="25">
        <v>0</v>
      </c>
      <c r="O218" s="26" t="s">
        <v>1189</v>
      </c>
      <c r="P218" s="25" t="s">
        <v>152</v>
      </c>
      <c r="Q218" s="27"/>
      <c r="R218" s="27"/>
      <c r="S218" s="27"/>
      <c r="T218" s="27"/>
      <c r="U218" s="27">
        <v>26.9</v>
      </c>
      <c r="V218" s="27">
        <v>30.4</v>
      </c>
      <c r="W218" s="27">
        <v>31.2</v>
      </c>
      <c r="X218" s="27"/>
      <c r="Y218" s="27"/>
      <c r="Z218" s="27"/>
      <c r="AA218" s="27"/>
      <c r="AB218" s="25">
        <f>COUNT(Q218:AA218)</f>
        <v>3</v>
      </c>
      <c r="AC218" s="28">
        <f>AB218/11</f>
        <v>0.27272727272727271</v>
      </c>
      <c r="AD218" s="25">
        <f>IFERROR(INDEX($Q$4:$AA$4,MATCH(TRUE,INDEX(ISNUMBER(Q218:AA218),0),0)),"")</f>
        <v>2019</v>
      </c>
      <c r="AE218" s="25">
        <f>IFERROR(LOOKUP(2,1/ISNUMBER(Q218:AA218),$Q$4:$AA$4),"")</f>
        <v>2021</v>
      </c>
      <c r="AF218" s="28">
        <f>IF(AB218=0,"",AB218/(AE218-AD218+1))</f>
        <v>1</v>
      </c>
      <c r="AG218" s="25">
        <f>IF(AB218=0,"",'01_Criterios'!$C$8-AE218)</f>
        <v>4</v>
      </c>
      <c r="AH218" s="29">
        <f>IF(P218="Em uso",100,IF(P218="Alta",85,IF(P218="Média",55,30)))</f>
        <v>85</v>
      </c>
      <c r="AI218" s="29">
        <f>ROUND(100*AC218,1)</f>
        <v>27.3</v>
      </c>
      <c r="AJ218" s="29">
        <f>IF(AB218=0,0,ROUND(MAX(0,100*AF218-10*AG218),1))</f>
        <v>60</v>
      </c>
      <c r="AK218" s="29">
        <f>ROUND(('01_Criterios'!$C$19*AH218+'01_Criterios'!$C$20*AI218+'01_Criterios'!$C$21*AJ218)/('01_Criterios'!$C$19+'01_Criterios'!$C$20+'01_Criterios'!$C$21)+N218*'01_Criterios'!$C$22,1)</f>
        <v>58.6</v>
      </c>
      <c r="AL218" s="25">
        <f>IF(AND(AB218&gt;=3,AC218&gt;='01_Criterios'!$C$11,N(AE218)&gt;='01_Criterios'!$C$12,OR(F218="+",F218="-"),ISNUMBER(G218),ISNUMBER(H218)),1,0)</f>
        <v>0</v>
      </c>
      <c r="AM218" s="30" t="str">
        <f>IF(AL218=1,"",TRIM(IF(AB218=0,"sem dados no período; ",IF(AB218&lt;3,"série demasiado curta; ",""))&amp;IF(AND(AB218&gt;0,AC218&lt;'01_Criterios'!$C$11),"cobertura insuficiente; ","")&amp;IF(AND(AB218&gt;0,N(AE218)&lt;'01_Criterios'!$C$12),"desactualizado; ","")&amp;IF(AND(F218&lt;&gt;"+",F218&lt;&gt;"-"),"sentido ambíguo; ","")&amp;IF(OR(NOT(ISNUMBER(G218)),NOT(ISNUMBER(H218))),"sem limites min/max; ","")))</f>
        <v>cobertura insuficiente; desactualizado;</v>
      </c>
      <c r="AN218" s="25">
        <f>IF(OR(AL218=0,$AP218="Excluir"),0,IF(SUMPRODUCT(($O$5:$O$335=$O218)*($AL$5:$AL$335=1)*($AP$5:$AP$335&lt;&gt;"Excluir")*(($AK$5:$AK$335&gt;$AK218)+(($AK$5:$AK$335=$AK218)*(ROW($O$5:$O$335)&lt;ROW()))))=0,1,0))</f>
        <v>0</v>
      </c>
      <c r="AO218" s="25" t="str">
        <f>IF(AN218=0,"",1+SUMPRODUCT(($B$5:$B$335=$B218)*($AN$5:$AN$335=1)*(($AK$5:$AK$335&gt;$AK218)+(($AK$5:$AK$335=$AK218)*(ROW($B$5:$B$335)&lt;ROW())))))</f>
        <v/>
      </c>
      <c r="AP218" s="22" t="s">
        <v>131</v>
      </c>
      <c r="AQ218" s="25">
        <f>IF(INDEX('01_Criterios'!$C$26:$C$36,MATCH($B218,'01_Criterios'!$B$26:$B$36,0))&lt;&gt;1,0,IF($AP218="Excluir",0,IF($AP218="Incluir",IF(AND(OR($F218="+",$F218="-"),ISNUMBER($G218),ISNUMBER($H218),COUNT($Q218:$AA218)&gt;0),1,0),IF('01_Criterios'!$C$18="Automática",IF(AND($AN218=1,$AO218&lt;&gt;"",$AO218&lt;=INDEX('01_Criterios'!$E$26:$E$36,MATCH($B218,'01_Criterios'!$B$26:$B$36,0))),1,0),0))))</f>
        <v>0</v>
      </c>
      <c r="AR218" s="25" t="str">
        <f>IF(AQ218=0,"",IF($AO218&lt;&gt;"",1+SUMPRODUCT(($B$5:$B$335=$B218)*($AQ$5:$AQ$335=1)*($AO$5:$AO$335&lt;$AO218)),1+SUMPRODUCT(($B$5:$B$335=$B218)*($AQ$5:$AQ$335=1)*ISNUMBER($AO$5:$AO$335))+SUMPRODUCT(($B$5:$B$335=$B218)*($AQ$5:$AQ$335=1)*($AO$5:$AO$335="")*(ROW($AO$5:$AO$335)&lt;ROW()))))</f>
        <v/>
      </c>
      <c r="AS218" s="24" t="s">
        <v>1190</v>
      </c>
    </row>
    <row r="219" spans="1:45">
      <c r="A219" s="20" t="s">
        <v>1191</v>
      </c>
      <c r="B219" s="21" t="s">
        <v>82</v>
      </c>
      <c r="C219" s="21" t="s">
        <v>1192</v>
      </c>
      <c r="D219" s="21" t="s">
        <v>1193</v>
      </c>
      <c r="E219" s="20" t="s">
        <v>1194</v>
      </c>
      <c r="F219" s="20" t="s">
        <v>158</v>
      </c>
      <c r="G219" s="20">
        <v>0</v>
      </c>
      <c r="H219" s="20">
        <v>100</v>
      </c>
      <c r="I219" s="20">
        <v>20</v>
      </c>
      <c r="J219" s="22">
        <v>1</v>
      </c>
      <c r="K219" s="21" t="s">
        <v>905</v>
      </c>
      <c r="L219" s="20" t="s">
        <v>1195</v>
      </c>
      <c r="M219" s="21" t="s">
        <v>161</v>
      </c>
      <c r="N219" s="20">
        <v>0</v>
      </c>
      <c r="O219" s="21" t="s">
        <v>1191</v>
      </c>
      <c r="P219" s="20" t="s">
        <v>152</v>
      </c>
      <c r="Q219" s="6">
        <v>33.523166660000001</v>
      </c>
      <c r="R219" s="6">
        <v>35.208930969999997</v>
      </c>
      <c r="S219" s="6">
        <v>34.121013640000001</v>
      </c>
      <c r="T219" s="6">
        <v>36.247333529999999</v>
      </c>
      <c r="U219" s="6">
        <v>33.143085480000003</v>
      </c>
      <c r="V219" s="6">
        <v>28.62218094</v>
      </c>
      <c r="W219" s="6">
        <v>26.11725616</v>
      </c>
      <c r="X219" s="6">
        <v>30.038616179999998</v>
      </c>
      <c r="Y219" s="6">
        <v>32.546676640000001</v>
      </c>
      <c r="Z219" s="6"/>
      <c r="AA219" s="6"/>
      <c r="AB219" s="20">
        <f>COUNT(Q219:AA219)</f>
        <v>9</v>
      </c>
      <c r="AC219" s="23">
        <f>AB219/11</f>
        <v>0.81818181818181823</v>
      </c>
      <c r="AD219" s="20">
        <f>IFERROR(INDEX($Q$4:$AA$4,MATCH(TRUE,INDEX(ISNUMBER(Q219:AA219),0),0)),"")</f>
        <v>2015</v>
      </c>
      <c r="AE219" s="20">
        <f>IFERROR(LOOKUP(2,1/ISNUMBER(Q219:AA219),$Q$4:$AA$4),"")</f>
        <v>2023</v>
      </c>
      <c r="AF219" s="23">
        <f>IF(AB219=0,"",AB219/(AE219-AD219+1))</f>
        <v>1</v>
      </c>
      <c r="AG219" s="20">
        <f>IF(AB219=0,"",'01_Criterios'!$C$8-AE219)</f>
        <v>2</v>
      </c>
      <c r="AH219" s="7">
        <f>IF(P219="Em uso",100,IF(P219="Alta",85,IF(P219="Média",55,30)))</f>
        <v>85</v>
      </c>
      <c r="AI219" s="7">
        <f>ROUND(100*AC219,1)</f>
        <v>81.8</v>
      </c>
      <c r="AJ219" s="7">
        <f>IF(AB219=0,0,ROUND(MAX(0,100*AF219-10*AG219),1))</f>
        <v>80</v>
      </c>
      <c r="AK219" s="7">
        <f>ROUND(('01_Criterios'!$C$19*AH219+'01_Criterios'!$C$20*AI219+'01_Criterios'!$C$21*AJ219)/('01_Criterios'!$C$19+'01_Criterios'!$C$20+'01_Criterios'!$C$21)+N219*'01_Criterios'!$C$22,1)</f>
        <v>82.6</v>
      </c>
      <c r="AL219" s="20">
        <f>IF(AND(AB219&gt;=3,AC219&gt;='01_Criterios'!$C$11,N(AE219)&gt;='01_Criterios'!$C$12,OR(F219="+",F219="-"),ISNUMBER(G219),ISNUMBER(H219)),1,0)</f>
        <v>1</v>
      </c>
      <c r="AM219" s="24" t="str">
        <f>IF(AL219=1,"",TRIM(IF(AB219=0,"sem dados no período; ",IF(AB219&lt;3,"série demasiado curta; ",""))&amp;IF(AND(AB219&gt;0,AC219&lt;'01_Criterios'!$C$11),"cobertura insuficiente; ","")&amp;IF(AND(AB219&gt;0,N(AE219)&lt;'01_Criterios'!$C$12),"desactualizado; ","")&amp;IF(AND(F219&lt;&gt;"+",F219&lt;&gt;"-"),"sentido ambíguo; ","")&amp;IF(OR(NOT(ISNUMBER(G219)),NOT(ISNUMBER(H219))),"sem limites min/max; ","")))</f>
        <v/>
      </c>
      <c r="AN219" s="20">
        <f>IF(OR(AL219=0,$AP219="Excluir"),0,IF(SUMPRODUCT(($O$5:$O$335=$O219)*($AL$5:$AL$335=1)*($AP$5:$AP$335&lt;&gt;"Excluir")*(($AK$5:$AK$335&gt;$AK219)+(($AK$5:$AK$335=$AK219)*(ROW($O$5:$O$335)&lt;ROW()))))=0,1,0))</f>
        <v>1</v>
      </c>
      <c r="AO219" s="20">
        <f>IF(AN219=0,"",1+SUMPRODUCT(($B$5:$B$335=$B219)*($AN$5:$AN$335=1)*(($AK$5:$AK$335&gt;$AK219)+(($AK$5:$AK$335=$AK219)*(ROW($B$5:$B$335)&lt;ROW())))))</f>
        <v>7</v>
      </c>
      <c r="AP219" s="22" t="s">
        <v>131</v>
      </c>
      <c r="AQ219" s="20">
        <f>IF(INDEX('01_Criterios'!$C$26:$C$36,MATCH($B219,'01_Criterios'!$B$26:$B$36,0))&lt;&gt;1,0,IF($AP219="Excluir",0,IF($AP219="Incluir",IF(AND(OR($F219="+",$F219="-"),ISNUMBER($G219),ISNUMBER($H219),COUNT($Q219:$AA219)&gt;0),1,0),IF('01_Criterios'!$C$18="Automática",IF(AND($AN219=1,$AO219&lt;&gt;"",$AO219&lt;=INDEX('01_Criterios'!$E$26:$E$36,MATCH($B219,'01_Criterios'!$B$26:$B$36,0))),1,0),0))))</f>
        <v>1</v>
      </c>
      <c r="AR219" s="20">
        <f>IF(AQ219=0,"",IF($AO219&lt;&gt;"",1+SUMPRODUCT(($B$5:$B$335=$B219)*($AQ$5:$AQ$335=1)*($AO$5:$AO$335&lt;$AO219)),1+SUMPRODUCT(($B$5:$B$335=$B219)*($AQ$5:$AQ$335=1)*ISNUMBER($AO$5:$AO$335))+SUMPRODUCT(($B$5:$B$335=$B219)*($AQ$5:$AQ$335=1)*($AO$5:$AO$335="")*(ROW($AO$5:$AO$335)&lt;ROW()))))</f>
        <v>7</v>
      </c>
      <c r="AS219" s="24" t="s">
        <v>1196</v>
      </c>
    </row>
    <row r="220" spans="1:45">
      <c r="A220" s="25" t="s">
        <v>1197</v>
      </c>
      <c r="B220" s="26" t="s">
        <v>82</v>
      </c>
      <c r="C220" s="26" t="s">
        <v>1140</v>
      </c>
      <c r="D220" s="26" t="s">
        <v>1198</v>
      </c>
      <c r="E220" s="25" t="s">
        <v>157</v>
      </c>
      <c r="F220" s="25" t="s">
        <v>158</v>
      </c>
      <c r="G220" s="25">
        <v>0</v>
      </c>
      <c r="H220" s="25">
        <v>100</v>
      </c>
      <c r="I220" s="25">
        <v>45</v>
      </c>
      <c r="J220" s="22">
        <v>1</v>
      </c>
      <c r="K220" s="26" t="s">
        <v>1187</v>
      </c>
      <c r="L220" s="25" t="s">
        <v>1199</v>
      </c>
      <c r="M220" s="26" t="s">
        <v>161</v>
      </c>
      <c r="N220" s="25">
        <v>0</v>
      </c>
      <c r="O220" s="26" t="s">
        <v>1189</v>
      </c>
      <c r="P220" s="25" t="s">
        <v>152</v>
      </c>
      <c r="Q220" s="27"/>
      <c r="R220" s="27"/>
      <c r="S220" s="27"/>
      <c r="T220" s="27"/>
      <c r="U220" s="27">
        <v>73.5</v>
      </c>
      <c r="V220" s="27">
        <v>77.7</v>
      </c>
      <c r="W220" s="27">
        <v>78.5</v>
      </c>
      <c r="X220" s="27"/>
      <c r="Y220" s="27"/>
      <c r="Z220" s="27"/>
      <c r="AA220" s="27"/>
      <c r="AB220" s="25">
        <f>COUNT(Q220:AA220)</f>
        <v>3</v>
      </c>
      <c r="AC220" s="28">
        <f>AB220/11</f>
        <v>0.27272727272727271</v>
      </c>
      <c r="AD220" s="25">
        <f>IFERROR(INDEX($Q$4:$AA$4,MATCH(TRUE,INDEX(ISNUMBER(Q220:AA220),0),0)),"")</f>
        <v>2019</v>
      </c>
      <c r="AE220" s="25">
        <f>IFERROR(LOOKUP(2,1/ISNUMBER(Q220:AA220),$Q$4:$AA$4),"")</f>
        <v>2021</v>
      </c>
      <c r="AF220" s="28">
        <f>IF(AB220=0,"",AB220/(AE220-AD220+1))</f>
        <v>1</v>
      </c>
      <c r="AG220" s="25">
        <f>IF(AB220=0,"",'01_Criterios'!$C$8-AE220)</f>
        <v>4</v>
      </c>
      <c r="AH220" s="29">
        <f>IF(P220="Em uso",100,IF(P220="Alta",85,IF(P220="Média",55,30)))</f>
        <v>85</v>
      </c>
      <c r="AI220" s="29">
        <f>ROUND(100*AC220,1)</f>
        <v>27.3</v>
      </c>
      <c r="AJ220" s="29">
        <f>IF(AB220=0,0,ROUND(MAX(0,100*AF220-10*AG220),1))</f>
        <v>60</v>
      </c>
      <c r="AK220" s="29">
        <f>ROUND(('01_Criterios'!$C$19*AH220+'01_Criterios'!$C$20*AI220+'01_Criterios'!$C$21*AJ220)/('01_Criterios'!$C$19+'01_Criterios'!$C$20+'01_Criterios'!$C$21)+N220*'01_Criterios'!$C$22,1)</f>
        <v>58.6</v>
      </c>
      <c r="AL220" s="25">
        <f>IF(AND(AB220&gt;=3,AC220&gt;='01_Criterios'!$C$11,N(AE220)&gt;='01_Criterios'!$C$12,OR(F220="+",F220="-"),ISNUMBER(G220),ISNUMBER(H220)),1,0)</f>
        <v>0</v>
      </c>
      <c r="AM220" s="30" t="str">
        <f>IF(AL220=1,"",TRIM(IF(AB220=0,"sem dados no período; ",IF(AB220&lt;3,"série demasiado curta; ",""))&amp;IF(AND(AB220&gt;0,AC220&lt;'01_Criterios'!$C$11),"cobertura insuficiente; ","")&amp;IF(AND(AB220&gt;0,N(AE220)&lt;'01_Criterios'!$C$12),"desactualizado; ","")&amp;IF(AND(F220&lt;&gt;"+",F220&lt;&gt;"-"),"sentido ambíguo; ","")&amp;IF(OR(NOT(ISNUMBER(G220)),NOT(ISNUMBER(H220))),"sem limites min/max; ","")))</f>
        <v>cobertura insuficiente; desactualizado;</v>
      </c>
      <c r="AN220" s="25">
        <f>IF(OR(AL220=0,$AP220="Excluir"),0,IF(SUMPRODUCT(($O$5:$O$335=$O220)*($AL$5:$AL$335=1)*($AP$5:$AP$335&lt;&gt;"Excluir")*(($AK$5:$AK$335&gt;$AK220)+(($AK$5:$AK$335=$AK220)*(ROW($O$5:$O$335)&lt;ROW()))))=0,1,0))</f>
        <v>0</v>
      </c>
      <c r="AO220" s="25" t="str">
        <f>IF(AN220=0,"",1+SUMPRODUCT(($B$5:$B$335=$B220)*($AN$5:$AN$335=1)*(($AK$5:$AK$335&gt;$AK220)+(($AK$5:$AK$335=$AK220)*(ROW($B$5:$B$335)&lt;ROW())))))</f>
        <v/>
      </c>
      <c r="AP220" s="22" t="s">
        <v>131</v>
      </c>
      <c r="AQ220" s="25">
        <f>IF(INDEX('01_Criterios'!$C$26:$C$36,MATCH($B220,'01_Criterios'!$B$26:$B$36,0))&lt;&gt;1,0,IF($AP220="Excluir",0,IF($AP220="Incluir",IF(AND(OR($F220="+",$F220="-"),ISNUMBER($G220),ISNUMBER($H220),COUNT($Q220:$AA220)&gt;0),1,0),IF('01_Criterios'!$C$18="Automática",IF(AND($AN220=1,$AO220&lt;&gt;"",$AO220&lt;=INDEX('01_Criterios'!$E$26:$E$36,MATCH($B220,'01_Criterios'!$B$26:$B$36,0))),1,0),0))))</f>
        <v>0</v>
      </c>
      <c r="AR220" s="25" t="str">
        <f>IF(AQ220=0,"",IF($AO220&lt;&gt;"",1+SUMPRODUCT(($B$5:$B$335=$B220)*($AQ$5:$AQ$335=1)*($AO$5:$AO$335&lt;$AO220)),1+SUMPRODUCT(($B$5:$B$335=$B220)*($AQ$5:$AQ$335=1)*ISNUMBER($AO$5:$AO$335))+SUMPRODUCT(($B$5:$B$335=$B220)*($AQ$5:$AQ$335=1)*($AO$5:$AO$335="")*(ROW($AO$5:$AO$335)&lt;ROW()))))</f>
        <v/>
      </c>
      <c r="AS220" s="24" t="s">
        <v>1200</v>
      </c>
    </row>
    <row r="221" spans="1:45">
      <c r="A221" s="20" t="s">
        <v>1201</v>
      </c>
      <c r="B221" s="21" t="s">
        <v>82</v>
      </c>
      <c r="C221" s="21" t="s">
        <v>1202</v>
      </c>
      <c r="D221" s="21" t="s">
        <v>1203</v>
      </c>
      <c r="E221" s="20" t="s">
        <v>1204</v>
      </c>
      <c r="F221" s="20" t="s">
        <v>158</v>
      </c>
      <c r="G221" s="20">
        <v>0</v>
      </c>
      <c r="H221" s="20">
        <v>500</v>
      </c>
      <c r="I221" s="20">
        <v>100</v>
      </c>
      <c r="J221" s="22">
        <v>1</v>
      </c>
      <c r="K221" s="21" t="s">
        <v>905</v>
      </c>
      <c r="L221" s="20" t="s">
        <v>1205</v>
      </c>
      <c r="M221" s="21" t="s">
        <v>161</v>
      </c>
      <c r="N221" s="20">
        <v>0</v>
      </c>
      <c r="O221" s="21" t="s">
        <v>1206</v>
      </c>
      <c r="P221" s="20" t="s">
        <v>152</v>
      </c>
      <c r="Q221" s="6">
        <v>174.47</v>
      </c>
      <c r="R221" s="6">
        <v>189.78</v>
      </c>
      <c r="S221" s="6">
        <v>215.31</v>
      </c>
      <c r="T221" s="6">
        <v>232.44</v>
      </c>
      <c r="U221" s="6">
        <v>243.1</v>
      </c>
      <c r="V221" s="6">
        <v>244.53</v>
      </c>
      <c r="W221" s="6">
        <v>258.61</v>
      </c>
      <c r="X221" s="6">
        <v>260.08999999999997</v>
      </c>
      <c r="Y221" s="6">
        <v>255.47</v>
      </c>
      <c r="Z221" s="6">
        <v>258.89999999999998</v>
      </c>
      <c r="AA221" s="6"/>
      <c r="AB221" s="20">
        <f>COUNT(Q221:AA221)</f>
        <v>10</v>
      </c>
      <c r="AC221" s="23">
        <f>AB221/11</f>
        <v>0.90909090909090906</v>
      </c>
      <c r="AD221" s="20">
        <f>IFERROR(INDEX($Q$4:$AA$4,MATCH(TRUE,INDEX(ISNUMBER(Q221:AA221),0),0)),"")</f>
        <v>2015</v>
      </c>
      <c r="AE221" s="20">
        <f>IFERROR(LOOKUP(2,1/ISNUMBER(Q221:AA221),$Q$4:$AA$4),"")</f>
        <v>2024</v>
      </c>
      <c r="AF221" s="23">
        <f>IF(AB221=0,"",AB221/(AE221-AD221+1))</f>
        <v>1</v>
      </c>
      <c r="AG221" s="20">
        <f>IF(AB221=0,"",'01_Criterios'!$C$8-AE221)</f>
        <v>1</v>
      </c>
      <c r="AH221" s="7">
        <f>IF(P221="Em uso",100,IF(P221="Alta",85,IF(P221="Média",55,30)))</f>
        <v>85</v>
      </c>
      <c r="AI221" s="7">
        <f>ROUND(100*AC221,1)</f>
        <v>90.9</v>
      </c>
      <c r="AJ221" s="7">
        <f>IF(AB221=0,0,ROUND(MAX(0,100*AF221-10*AG221),1))</f>
        <v>90</v>
      </c>
      <c r="AK221" s="7">
        <f>ROUND(('01_Criterios'!$C$19*AH221+'01_Criterios'!$C$20*AI221+'01_Criterios'!$C$21*AJ221)/('01_Criterios'!$C$19+'01_Criterios'!$C$20+'01_Criterios'!$C$21)+N221*'01_Criterios'!$C$22,1)</f>
        <v>88.3</v>
      </c>
      <c r="AL221" s="20">
        <f>IF(AND(AB221&gt;=3,AC221&gt;='01_Criterios'!$C$11,N(AE221)&gt;='01_Criterios'!$C$12,OR(F221="+",F221="-"),ISNUMBER(G221),ISNUMBER(H221)),1,0)</f>
        <v>1</v>
      </c>
      <c r="AM221" s="24" t="str">
        <f>IF(AL221=1,"",TRIM(IF(AB221=0,"sem dados no período; ",IF(AB221&lt;3,"série demasiado curta; ",""))&amp;IF(AND(AB221&gt;0,AC221&lt;'01_Criterios'!$C$11),"cobertura insuficiente; ","")&amp;IF(AND(AB221&gt;0,N(AE221)&lt;'01_Criterios'!$C$12),"desactualizado; ","")&amp;IF(AND(F221&lt;&gt;"+",F221&lt;&gt;"-"),"sentido ambíguo; ","")&amp;IF(OR(NOT(ISNUMBER(G221)),NOT(ISNUMBER(H221))),"sem limites min/max; ","")))</f>
        <v/>
      </c>
      <c r="AN221" s="20">
        <f>IF(OR(AL221=0,$AP221="Excluir"),0,IF(SUMPRODUCT(($O$5:$O$335=$O221)*($AL$5:$AL$335=1)*($AP$5:$AP$335&lt;&gt;"Excluir")*(($AK$5:$AK$335&gt;$AK221)+(($AK$5:$AK$335=$AK221)*(ROW($O$5:$O$335)&lt;ROW()))))=0,1,0))</f>
        <v>1</v>
      </c>
      <c r="AO221" s="20">
        <f>IF(AN221=0,"",1+SUMPRODUCT(($B$5:$B$335=$B221)*($AN$5:$AN$335=1)*(($AK$5:$AK$335&gt;$AK221)+(($AK$5:$AK$335=$AK221)*(ROW($B$5:$B$335)&lt;ROW())))))</f>
        <v>5</v>
      </c>
      <c r="AP221" s="22" t="s">
        <v>131</v>
      </c>
      <c r="AQ221" s="20">
        <f>IF(INDEX('01_Criterios'!$C$26:$C$36,MATCH($B221,'01_Criterios'!$B$26:$B$36,0))&lt;&gt;1,0,IF($AP221="Excluir",0,IF($AP221="Incluir",IF(AND(OR($F221="+",$F221="-"),ISNUMBER($G221),ISNUMBER($H221),COUNT($Q221:$AA221)&gt;0),1,0),IF('01_Criterios'!$C$18="Automática",IF(AND($AN221=1,$AO221&lt;&gt;"",$AO221&lt;=INDEX('01_Criterios'!$E$26:$E$36,MATCH($B221,'01_Criterios'!$B$26:$B$36,0))),1,0),0))))</f>
        <v>1</v>
      </c>
      <c r="AR221" s="20">
        <f>IF(AQ221=0,"",IF($AO221&lt;&gt;"",1+SUMPRODUCT(($B$5:$B$335=$B221)*($AQ$5:$AQ$335=1)*($AO$5:$AO$335&lt;$AO221)),1+SUMPRODUCT(($B$5:$B$335=$B221)*($AQ$5:$AQ$335=1)*ISNUMBER($AO$5:$AO$335))+SUMPRODUCT(($B$5:$B$335=$B221)*($AQ$5:$AQ$335=1)*($AO$5:$AO$335="")*(ROW($AO$5:$AO$335)&lt;ROW()))))</f>
        <v>5</v>
      </c>
      <c r="AS221" s="24" t="s">
        <v>1207</v>
      </c>
    </row>
    <row r="222" spans="1:45">
      <c r="A222" s="25" t="s">
        <v>1208</v>
      </c>
      <c r="B222" s="26" t="s">
        <v>82</v>
      </c>
      <c r="C222" s="26" t="s">
        <v>1202</v>
      </c>
      <c r="D222" s="26" t="s">
        <v>1209</v>
      </c>
      <c r="E222" s="25" t="s">
        <v>237</v>
      </c>
      <c r="F222" s="25" t="s">
        <v>158</v>
      </c>
      <c r="G222" s="25">
        <v>9280</v>
      </c>
      <c r="H222" s="25">
        <v>25400</v>
      </c>
      <c r="I222" s="25">
        <v>0</v>
      </c>
      <c r="J222" s="22">
        <v>1</v>
      </c>
      <c r="K222" s="26" t="s">
        <v>675</v>
      </c>
      <c r="L222" s="25" t="s">
        <v>1210</v>
      </c>
      <c r="M222" s="26" t="s">
        <v>677</v>
      </c>
      <c r="N222" s="25">
        <v>0</v>
      </c>
      <c r="O222" s="26" t="s">
        <v>1206</v>
      </c>
      <c r="P222" s="25" t="s">
        <v>152</v>
      </c>
      <c r="Q222" s="27">
        <v>12090</v>
      </c>
      <c r="R222" s="27">
        <v>12961</v>
      </c>
      <c r="S222" s="27">
        <v>13849</v>
      </c>
      <c r="T222" s="27">
        <v>14399</v>
      </c>
      <c r="U222" s="27">
        <v>15253</v>
      </c>
      <c r="V222" s="27">
        <v>17198</v>
      </c>
      <c r="W222" s="27">
        <v>20493</v>
      </c>
      <c r="X222" s="27">
        <v>20286</v>
      </c>
      <c r="Y222" s="27">
        <v>16169</v>
      </c>
      <c r="Z222" s="27">
        <v>16385</v>
      </c>
      <c r="AA222" s="27"/>
      <c r="AB222" s="25">
        <f>COUNT(Q222:AA222)</f>
        <v>10</v>
      </c>
      <c r="AC222" s="28">
        <f>AB222/11</f>
        <v>0.90909090909090906</v>
      </c>
      <c r="AD222" s="25">
        <f>IFERROR(INDEX($Q$4:$AA$4,MATCH(TRUE,INDEX(ISNUMBER(Q222:AA222),0),0)),"")</f>
        <v>2015</v>
      </c>
      <c r="AE222" s="25">
        <f>IFERROR(LOOKUP(2,1/ISNUMBER(Q222:AA222),$Q$4:$AA$4),"")</f>
        <v>2024</v>
      </c>
      <c r="AF222" s="28">
        <f>IF(AB222=0,"",AB222/(AE222-AD222+1))</f>
        <v>1</v>
      </c>
      <c r="AG222" s="25">
        <f>IF(AB222=0,"",'01_Criterios'!$C$8-AE222)</f>
        <v>1</v>
      </c>
      <c r="AH222" s="29">
        <f>IF(P222="Em uso",100,IF(P222="Alta",85,IF(P222="Média",55,30)))</f>
        <v>85</v>
      </c>
      <c r="AI222" s="29">
        <f>ROUND(100*AC222,1)</f>
        <v>90.9</v>
      </c>
      <c r="AJ222" s="29">
        <f>IF(AB222=0,0,ROUND(MAX(0,100*AF222-10*AG222),1))</f>
        <v>90</v>
      </c>
      <c r="AK222" s="29">
        <f>ROUND(('01_Criterios'!$C$19*AH222+'01_Criterios'!$C$20*AI222+'01_Criterios'!$C$21*AJ222)/('01_Criterios'!$C$19+'01_Criterios'!$C$20+'01_Criterios'!$C$21)+N222*'01_Criterios'!$C$22,1)</f>
        <v>88.3</v>
      </c>
      <c r="AL222" s="25">
        <f>IF(AND(AB222&gt;=3,AC222&gt;='01_Criterios'!$C$11,N(AE222)&gt;='01_Criterios'!$C$12,OR(F222="+",F222="-"),ISNUMBER(G222),ISNUMBER(H222)),1,0)</f>
        <v>1</v>
      </c>
      <c r="AM222" s="30" t="str">
        <f>IF(AL222=1,"",TRIM(IF(AB222=0,"sem dados no período; ",IF(AB222&lt;3,"série demasiado curta; ",""))&amp;IF(AND(AB222&gt;0,AC222&lt;'01_Criterios'!$C$11),"cobertura insuficiente; ","")&amp;IF(AND(AB222&gt;0,N(AE222)&lt;'01_Criterios'!$C$12),"desactualizado; ","")&amp;IF(AND(F222&lt;&gt;"+",F222&lt;&gt;"-"),"sentido ambíguo; ","")&amp;IF(OR(NOT(ISNUMBER(G222)),NOT(ISNUMBER(H222))),"sem limites min/max; ","")))</f>
        <v/>
      </c>
      <c r="AN222" s="25">
        <f>IF(OR(AL222=0,$AP222="Excluir"),0,IF(SUMPRODUCT(($O$5:$O$335=$O222)*($AL$5:$AL$335=1)*($AP$5:$AP$335&lt;&gt;"Excluir")*(($AK$5:$AK$335&gt;$AK222)+(($AK$5:$AK$335=$AK222)*(ROW($O$5:$O$335)&lt;ROW()))))=0,1,0))</f>
        <v>0</v>
      </c>
      <c r="AO222" s="25" t="str">
        <f>IF(AN222=0,"",1+SUMPRODUCT(($B$5:$B$335=$B222)*($AN$5:$AN$335=1)*(($AK$5:$AK$335&gt;$AK222)+(($AK$5:$AK$335=$AK222)*(ROW($B$5:$B$335)&lt;ROW())))))</f>
        <v/>
      </c>
      <c r="AP222" s="22" t="s">
        <v>131</v>
      </c>
      <c r="AQ222" s="25">
        <f>IF(INDEX('01_Criterios'!$C$26:$C$36,MATCH($B222,'01_Criterios'!$B$26:$B$36,0))&lt;&gt;1,0,IF($AP222="Excluir",0,IF($AP222="Incluir",IF(AND(OR($F222="+",$F222="-"),ISNUMBER($G222),ISNUMBER($H222),COUNT($Q222:$AA222)&gt;0),1,0),IF('01_Criterios'!$C$18="Automática",IF(AND($AN222=1,$AO222&lt;&gt;"",$AO222&lt;=INDEX('01_Criterios'!$E$26:$E$36,MATCH($B222,'01_Criterios'!$B$26:$B$36,0))),1,0),0))))</f>
        <v>0</v>
      </c>
      <c r="AR222" s="25" t="str">
        <f>IF(AQ222=0,"",IF($AO222&lt;&gt;"",1+SUMPRODUCT(($B$5:$B$335=$B222)*($AQ$5:$AQ$335=1)*($AO$5:$AO$335&lt;$AO222)),1+SUMPRODUCT(($B$5:$B$335=$B222)*($AQ$5:$AQ$335=1)*ISNUMBER($AO$5:$AO$335))+SUMPRODUCT(($B$5:$B$335=$B222)*($AQ$5:$AQ$335=1)*($AO$5:$AO$335="")*(ROW($AO$5:$AO$335)&lt;ROW()))))</f>
        <v/>
      </c>
      <c r="AS222" s="24" t="s">
        <v>1211</v>
      </c>
    </row>
    <row r="223" spans="1:45">
      <c r="A223" s="20" t="s">
        <v>1212</v>
      </c>
      <c r="B223" s="21" t="s">
        <v>82</v>
      </c>
      <c r="C223" s="21" t="s">
        <v>1173</v>
      </c>
      <c r="D223" s="21" t="s">
        <v>1213</v>
      </c>
      <c r="E223" s="20" t="s">
        <v>1214</v>
      </c>
      <c r="F223" s="20" t="s">
        <v>126</v>
      </c>
      <c r="G223" s="20">
        <v>0</v>
      </c>
      <c r="H223" s="20">
        <v>100</v>
      </c>
      <c r="I223" s="20">
        <v>80</v>
      </c>
      <c r="J223" s="22">
        <v>1</v>
      </c>
      <c r="K223" s="21" t="s">
        <v>905</v>
      </c>
      <c r="L223" s="20" t="s">
        <v>1215</v>
      </c>
      <c r="M223" s="21" t="s">
        <v>161</v>
      </c>
      <c r="N223" s="20">
        <v>0</v>
      </c>
      <c r="O223" s="21" t="s">
        <v>1176</v>
      </c>
      <c r="P223" s="20" t="s">
        <v>152</v>
      </c>
      <c r="Q223" s="6"/>
      <c r="R223" s="6">
        <v>49.6</v>
      </c>
      <c r="S223" s="6"/>
      <c r="T223" s="6"/>
      <c r="U223" s="6"/>
      <c r="V223" s="6"/>
      <c r="W223" s="6"/>
      <c r="X223" s="6"/>
      <c r="Y223" s="6"/>
      <c r="Z223" s="6"/>
      <c r="AA223" s="6"/>
      <c r="AB223" s="20">
        <f>COUNT(Q223:AA223)</f>
        <v>1</v>
      </c>
      <c r="AC223" s="23">
        <f>AB223/11</f>
        <v>9.0909090909090912E-2</v>
      </c>
      <c r="AD223" s="20">
        <f>IFERROR(INDEX($Q$4:$AA$4,MATCH(TRUE,INDEX(ISNUMBER(Q223:AA223),0),0)),"")</f>
        <v>2016</v>
      </c>
      <c r="AE223" s="20">
        <f>IFERROR(LOOKUP(2,1/ISNUMBER(Q223:AA223),$Q$4:$AA$4),"")</f>
        <v>2016</v>
      </c>
      <c r="AF223" s="23">
        <f>IF(AB223=0,"",AB223/(AE223-AD223+1))</f>
        <v>1</v>
      </c>
      <c r="AG223" s="20">
        <f>IF(AB223=0,"",'01_Criterios'!$C$8-AE223)</f>
        <v>9</v>
      </c>
      <c r="AH223" s="7">
        <f>IF(P223="Em uso",100,IF(P223="Alta",85,IF(P223="Média",55,30)))</f>
        <v>85</v>
      </c>
      <c r="AI223" s="7">
        <f>ROUND(100*AC223,1)</f>
        <v>9.1</v>
      </c>
      <c r="AJ223" s="7">
        <f>IF(AB223=0,0,ROUND(MAX(0,100*AF223-10*AG223),1))</f>
        <v>10</v>
      </c>
      <c r="AK223" s="7">
        <f>ROUND(('01_Criterios'!$C$19*AH223+'01_Criterios'!$C$20*AI223+'01_Criterios'!$C$21*AJ223)/('01_Criterios'!$C$19+'01_Criterios'!$C$20+'01_Criterios'!$C$21)+N223*'01_Criterios'!$C$22,1)</f>
        <v>39.700000000000003</v>
      </c>
      <c r="AL223" s="20">
        <f>IF(AND(AB223&gt;=3,AC223&gt;='01_Criterios'!$C$11,N(AE223)&gt;='01_Criterios'!$C$12,OR(F223="+",F223="-"),ISNUMBER(G223),ISNUMBER(H223)),1,0)</f>
        <v>0</v>
      </c>
      <c r="AM223" s="24" t="str">
        <f>IF(AL223=1,"",TRIM(IF(AB223=0,"sem dados no período; ",IF(AB223&lt;3,"série demasiado curta; ",""))&amp;IF(AND(AB223&gt;0,AC223&lt;'01_Criterios'!$C$11),"cobertura insuficiente; ","")&amp;IF(AND(AB223&gt;0,N(AE223)&lt;'01_Criterios'!$C$12),"desactualizado; ","")&amp;IF(AND(F223&lt;&gt;"+",F223&lt;&gt;"-"),"sentido ambíguo; ","")&amp;IF(OR(NOT(ISNUMBER(G223)),NOT(ISNUMBER(H223))),"sem limites min/max; ","")))</f>
        <v>série demasiado curta; cobertura insuficiente; desactualizado;</v>
      </c>
      <c r="AN223" s="20">
        <f>IF(OR(AL223=0,$AP223="Excluir"),0,IF(SUMPRODUCT(($O$5:$O$335=$O223)*($AL$5:$AL$335=1)*($AP$5:$AP$335&lt;&gt;"Excluir")*(($AK$5:$AK$335&gt;$AK223)+(($AK$5:$AK$335=$AK223)*(ROW($O$5:$O$335)&lt;ROW()))))=0,1,0))</f>
        <v>0</v>
      </c>
      <c r="AO223" s="20" t="str">
        <f>IF(AN223=0,"",1+SUMPRODUCT(($B$5:$B$335=$B223)*($AN$5:$AN$335=1)*(($AK$5:$AK$335&gt;$AK223)+(($AK$5:$AK$335=$AK223)*(ROW($B$5:$B$335)&lt;ROW())))))</f>
        <v/>
      </c>
      <c r="AP223" s="22" t="s">
        <v>131</v>
      </c>
      <c r="AQ223" s="20">
        <f>IF(INDEX('01_Criterios'!$C$26:$C$36,MATCH($B223,'01_Criterios'!$B$26:$B$36,0))&lt;&gt;1,0,IF($AP223="Excluir",0,IF($AP223="Incluir",IF(AND(OR($F223="+",$F223="-"),ISNUMBER($G223),ISNUMBER($H223),COUNT($Q223:$AA223)&gt;0),1,0),IF('01_Criterios'!$C$18="Automática",IF(AND($AN223=1,$AO223&lt;&gt;"",$AO223&lt;=INDEX('01_Criterios'!$E$26:$E$36,MATCH($B223,'01_Criterios'!$B$26:$B$36,0))),1,0),0))))</f>
        <v>0</v>
      </c>
      <c r="AR223" s="20" t="str">
        <f>IF(AQ223=0,"",IF($AO223&lt;&gt;"",1+SUMPRODUCT(($B$5:$B$335=$B223)*($AQ$5:$AQ$335=1)*($AO$5:$AO$335&lt;$AO223)),1+SUMPRODUCT(($B$5:$B$335=$B223)*($AQ$5:$AQ$335=1)*ISNUMBER($AO$5:$AO$335))+SUMPRODUCT(($B$5:$B$335=$B223)*($AQ$5:$AQ$335=1)*($AO$5:$AO$335="")*(ROW($AO$5:$AO$335)&lt;ROW()))))</f>
        <v/>
      </c>
      <c r="AS223" s="24" t="s">
        <v>1216</v>
      </c>
    </row>
    <row r="224" spans="1:45">
      <c r="A224" s="25" t="s">
        <v>1217</v>
      </c>
      <c r="B224" s="26" t="s">
        <v>82</v>
      </c>
      <c r="C224" s="26" t="s">
        <v>1140</v>
      </c>
      <c r="D224" s="26" t="s">
        <v>1218</v>
      </c>
      <c r="E224" s="25" t="s">
        <v>1160</v>
      </c>
      <c r="F224" s="25" t="s">
        <v>158</v>
      </c>
      <c r="G224" s="25">
        <v>0</v>
      </c>
      <c r="H224" s="25">
        <v>200</v>
      </c>
      <c r="I224" s="25">
        <v>50</v>
      </c>
      <c r="J224" s="22">
        <v>1</v>
      </c>
      <c r="K224" s="26" t="s">
        <v>803</v>
      </c>
      <c r="L224" s="25" t="s">
        <v>1219</v>
      </c>
      <c r="M224" s="26" t="s">
        <v>161</v>
      </c>
      <c r="N224" s="25">
        <v>0</v>
      </c>
      <c r="O224" s="26" t="s">
        <v>589</v>
      </c>
      <c r="P224" s="25" t="s">
        <v>152</v>
      </c>
      <c r="Q224" s="27">
        <v>61.8</v>
      </c>
      <c r="R224" s="27">
        <v>59.6</v>
      </c>
      <c r="S224" s="27">
        <v>57.9</v>
      </c>
      <c r="T224" s="27">
        <v>56.5</v>
      </c>
      <c r="U224" s="27">
        <v>55.3</v>
      </c>
      <c r="V224" s="27">
        <v>54.2</v>
      </c>
      <c r="W224" s="27">
        <v>53.2</v>
      </c>
      <c r="X224" s="27">
        <v>51.9</v>
      </c>
      <c r="Y224" s="27">
        <v>50.5</v>
      </c>
      <c r="Z224" s="27">
        <v>49</v>
      </c>
      <c r="AA224" s="27"/>
      <c r="AB224" s="25">
        <f>COUNT(Q224:AA224)</f>
        <v>10</v>
      </c>
      <c r="AC224" s="28">
        <f>AB224/11</f>
        <v>0.90909090909090906</v>
      </c>
      <c r="AD224" s="25">
        <f>IFERROR(INDEX($Q$4:$AA$4,MATCH(TRUE,INDEX(ISNUMBER(Q224:AA224),0),0)),"")</f>
        <v>2015</v>
      </c>
      <c r="AE224" s="25">
        <f>IFERROR(LOOKUP(2,1/ISNUMBER(Q224:AA224),$Q$4:$AA$4),"")</f>
        <v>2024</v>
      </c>
      <c r="AF224" s="28">
        <f>IF(AB224=0,"",AB224/(AE224-AD224+1))</f>
        <v>1</v>
      </c>
      <c r="AG224" s="25">
        <f>IF(AB224=0,"",'01_Criterios'!$C$8-AE224)</f>
        <v>1</v>
      </c>
      <c r="AH224" s="29">
        <f>IF(P224="Em uso",100,IF(P224="Alta",85,IF(P224="Média",55,30)))</f>
        <v>85</v>
      </c>
      <c r="AI224" s="29">
        <f>ROUND(100*AC224,1)</f>
        <v>90.9</v>
      </c>
      <c r="AJ224" s="29">
        <f>IF(AB224=0,0,ROUND(MAX(0,100*AF224-10*AG224),1))</f>
        <v>90</v>
      </c>
      <c r="AK224" s="29">
        <f>ROUND(('01_Criterios'!$C$19*AH224+'01_Criterios'!$C$20*AI224+'01_Criterios'!$C$21*AJ224)/('01_Criterios'!$C$19+'01_Criterios'!$C$20+'01_Criterios'!$C$21)+N224*'01_Criterios'!$C$22,1)</f>
        <v>88.3</v>
      </c>
      <c r="AL224" s="25">
        <f>IF(AND(AB224&gt;=3,AC224&gt;='01_Criterios'!$C$11,N(AE224)&gt;='01_Criterios'!$C$12,OR(F224="+",F224="-"),ISNUMBER(G224),ISNUMBER(H224)),1,0)</f>
        <v>1</v>
      </c>
      <c r="AM224" s="30" t="str">
        <f>IF(AL224=1,"",TRIM(IF(AB224=0,"sem dados no período; ",IF(AB224&lt;3,"série demasiado curta; ",""))&amp;IF(AND(AB224&gt;0,AC224&lt;'01_Criterios'!$C$11),"cobertura insuficiente; ","")&amp;IF(AND(AB224&gt;0,N(AE224)&lt;'01_Criterios'!$C$12),"desactualizado; ","")&amp;IF(AND(F224&lt;&gt;"+",F224&lt;&gt;"-"),"sentido ambíguo; ","")&amp;IF(OR(NOT(ISNUMBER(G224)),NOT(ISNUMBER(H224))),"sem limites min/max; ","")))</f>
        <v/>
      </c>
      <c r="AN224" s="25">
        <f>IF(OR(AL224=0,$AP224="Excluir"),0,IF(SUMPRODUCT(($O$5:$O$335=$O224)*($AL$5:$AL$335=1)*($AP$5:$AP$335&lt;&gt;"Excluir")*(($AK$5:$AK$335&gt;$AK224)+(($AK$5:$AK$335=$AK224)*(ROW($O$5:$O$335)&lt;ROW()))))=0,1,0))</f>
        <v>1</v>
      </c>
      <c r="AO224" s="25">
        <f>IF(AN224=0,"",1+SUMPRODUCT(($B$5:$B$335=$B224)*($AN$5:$AN$335=1)*(($AK$5:$AK$335&gt;$AK224)+(($AK$5:$AK$335=$AK224)*(ROW($B$5:$B$335)&lt;ROW())))))</f>
        <v>6</v>
      </c>
      <c r="AP224" s="22" t="s">
        <v>131</v>
      </c>
      <c r="AQ224" s="25">
        <f>IF(INDEX('01_Criterios'!$C$26:$C$36,MATCH($B224,'01_Criterios'!$B$26:$B$36,0))&lt;&gt;1,0,IF($AP224="Excluir",0,IF($AP224="Incluir",IF(AND(OR($F224="+",$F224="-"),ISNUMBER($G224),ISNUMBER($H224),COUNT($Q224:$AA224)&gt;0),1,0),IF('01_Criterios'!$C$18="Automática",IF(AND($AN224=1,$AO224&lt;&gt;"",$AO224&lt;=INDEX('01_Criterios'!$E$26:$E$36,MATCH($B224,'01_Criterios'!$B$26:$B$36,0))),1,0),0))))</f>
        <v>1</v>
      </c>
      <c r="AR224" s="25">
        <f>IF(AQ224=0,"",IF($AO224&lt;&gt;"",1+SUMPRODUCT(($B$5:$B$335=$B224)*($AQ$5:$AQ$335=1)*($AO$5:$AO$335&lt;$AO224)),1+SUMPRODUCT(($B$5:$B$335=$B224)*($AQ$5:$AQ$335=1)*ISNUMBER($AO$5:$AO$335))+SUMPRODUCT(($B$5:$B$335=$B224)*($AQ$5:$AQ$335=1)*($AO$5:$AO$335="")*(ROW($AO$5:$AO$335)&lt;ROW()))))</f>
        <v>6</v>
      </c>
      <c r="AS224" s="24" t="s">
        <v>1220</v>
      </c>
    </row>
    <row r="225" spans="1:45">
      <c r="A225" s="20" t="s">
        <v>1221</v>
      </c>
      <c r="B225" s="21" t="s">
        <v>82</v>
      </c>
      <c r="C225" s="21" t="s">
        <v>1140</v>
      </c>
      <c r="D225" s="21" t="s">
        <v>1222</v>
      </c>
      <c r="E225" s="20" t="s">
        <v>1223</v>
      </c>
      <c r="F225" s="20" t="s">
        <v>126</v>
      </c>
      <c r="G225" s="20">
        <v>0</v>
      </c>
      <c r="H225" s="20">
        <v>100</v>
      </c>
      <c r="I225" s="20">
        <v>85</v>
      </c>
      <c r="J225" s="22">
        <v>1</v>
      </c>
      <c r="K225" s="21" t="s">
        <v>1224</v>
      </c>
      <c r="L225" s="20" t="s">
        <v>1225</v>
      </c>
      <c r="M225" s="21" t="s">
        <v>161</v>
      </c>
      <c r="N225" s="20">
        <v>0</v>
      </c>
      <c r="O225" s="21" t="s">
        <v>1167</v>
      </c>
      <c r="P225" s="20" t="s">
        <v>152</v>
      </c>
      <c r="Q225" s="6">
        <v>57</v>
      </c>
      <c r="R225" s="6">
        <v>59</v>
      </c>
      <c r="S225" s="6">
        <v>58</v>
      </c>
      <c r="T225" s="6">
        <v>67</v>
      </c>
      <c r="U225" s="6">
        <v>64</v>
      </c>
      <c r="V225" s="6">
        <v>59</v>
      </c>
      <c r="W225" s="6">
        <v>55</v>
      </c>
      <c r="X225" s="6">
        <v>54</v>
      </c>
      <c r="Y225" s="6">
        <v>66</v>
      </c>
      <c r="Z225" s="6">
        <v>64</v>
      </c>
      <c r="AA225" s="6"/>
      <c r="AB225" s="20">
        <f>COUNT(Q225:AA225)</f>
        <v>10</v>
      </c>
      <c r="AC225" s="23">
        <f>AB225/11</f>
        <v>0.90909090909090906</v>
      </c>
      <c r="AD225" s="20">
        <f>IFERROR(INDEX($Q$4:$AA$4,MATCH(TRUE,INDEX(ISNUMBER(Q225:AA225),0),0)),"")</f>
        <v>2015</v>
      </c>
      <c r="AE225" s="20">
        <f>IFERROR(LOOKUP(2,1/ISNUMBER(Q225:AA225),$Q$4:$AA$4),"")</f>
        <v>2024</v>
      </c>
      <c r="AF225" s="23">
        <f>IF(AB225=0,"",AB225/(AE225-AD225+1))</f>
        <v>1</v>
      </c>
      <c r="AG225" s="20">
        <f>IF(AB225=0,"",'01_Criterios'!$C$8-AE225)</f>
        <v>1</v>
      </c>
      <c r="AH225" s="7">
        <f>IF(P225="Em uso",100,IF(P225="Alta",85,IF(P225="Média",55,30)))</f>
        <v>85</v>
      </c>
      <c r="AI225" s="7">
        <f>ROUND(100*AC225,1)</f>
        <v>90.9</v>
      </c>
      <c r="AJ225" s="7">
        <f>IF(AB225=0,0,ROUND(MAX(0,100*AF225-10*AG225),1))</f>
        <v>90</v>
      </c>
      <c r="AK225" s="7">
        <f>ROUND(('01_Criterios'!$C$19*AH225+'01_Criterios'!$C$20*AI225+'01_Criterios'!$C$21*AJ225)/('01_Criterios'!$C$19+'01_Criterios'!$C$20+'01_Criterios'!$C$21)+N225*'01_Criterios'!$C$22,1)</f>
        <v>88.3</v>
      </c>
      <c r="AL225" s="20">
        <f>IF(AND(AB225&gt;=3,AC225&gt;='01_Criterios'!$C$11,N(AE225)&gt;='01_Criterios'!$C$12,OR(F225="+",F225="-"),ISNUMBER(G225),ISNUMBER(H225)),1,0)</f>
        <v>1</v>
      </c>
      <c r="AM225" s="24" t="str">
        <f>IF(AL225=1,"",TRIM(IF(AB225=0,"sem dados no período; ",IF(AB225&lt;3,"série demasiado curta; ",""))&amp;IF(AND(AB225&gt;0,AC225&lt;'01_Criterios'!$C$11),"cobertura insuficiente; ","")&amp;IF(AND(AB225&gt;0,N(AE225)&lt;'01_Criterios'!$C$12),"desactualizado; ","")&amp;IF(AND(F225&lt;&gt;"+",F225&lt;&gt;"-"),"sentido ambíguo; ","")&amp;IF(OR(NOT(ISNUMBER(G225)),NOT(ISNUMBER(H225))),"sem limites min/max; ","")))</f>
        <v/>
      </c>
      <c r="AN225" s="20">
        <f>IF(OR(AL225=0,$AP225="Excluir"),0,IF(SUMPRODUCT(($O$5:$O$335=$O225)*($AL$5:$AL$335=1)*($AP$5:$AP$335&lt;&gt;"Excluir")*(($AK$5:$AK$335&gt;$AK225)+(($AK$5:$AK$335=$AK225)*(ROW($O$5:$O$335)&lt;ROW()))))=0,1,0))</f>
        <v>0</v>
      </c>
      <c r="AO225" s="20" t="str">
        <f>IF(AN225=0,"",1+SUMPRODUCT(($B$5:$B$335=$B225)*($AN$5:$AN$335=1)*(($AK$5:$AK$335&gt;$AK225)+(($AK$5:$AK$335=$AK225)*(ROW($B$5:$B$335)&lt;ROW())))))</f>
        <v/>
      </c>
      <c r="AP225" s="22" t="s">
        <v>131</v>
      </c>
      <c r="AQ225" s="20">
        <f>IF(INDEX('01_Criterios'!$C$26:$C$36,MATCH($B225,'01_Criterios'!$B$26:$B$36,0))&lt;&gt;1,0,IF($AP225="Excluir",0,IF($AP225="Incluir",IF(AND(OR($F225="+",$F225="-"),ISNUMBER($G225),ISNUMBER($H225),COUNT($Q225:$AA225)&gt;0),1,0),IF('01_Criterios'!$C$18="Automática",IF(AND($AN225=1,$AO225&lt;&gt;"",$AO225&lt;=INDEX('01_Criterios'!$E$26:$E$36,MATCH($B225,'01_Criterios'!$B$26:$B$36,0))),1,0),0))))</f>
        <v>0</v>
      </c>
      <c r="AR225" s="20" t="str">
        <f>IF(AQ225=0,"",IF($AO225&lt;&gt;"",1+SUMPRODUCT(($B$5:$B$335=$B225)*($AQ$5:$AQ$335=1)*($AO$5:$AO$335&lt;$AO225)),1+SUMPRODUCT(($B$5:$B$335=$B225)*($AQ$5:$AQ$335=1)*ISNUMBER($AO$5:$AO$335))+SUMPRODUCT(($B$5:$B$335=$B225)*($AQ$5:$AQ$335=1)*($AO$5:$AO$335="")*(ROW($AO$5:$AO$335)&lt;ROW()))))</f>
        <v/>
      </c>
      <c r="AS225" s="24" t="s">
        <v>1226</v>
      </c>
    </row>
    <row r="226" spans="1:45">
      <c r="A226" s="25" t="s">
        <v>1227</v>
      </c>
      <c r="B226" s="26" t="s">
        <v>82</v>
      </c>
      <c r="C226" s="26" t="s">
        <v>1228</v>
      </c>
      <c r="D226" s="26" t="s">
        <v>1229</v>
      </c>
      <c r="E226" s="25" t="s">
        <v>1230</v>
      </c>
      <c r="F226" s="25" t="s">
        <v>158</v>
      </c>
      <c r="G226" s="25">
        <v>0</v>
      </c>
      <c r="H226" s="25">
        <v>40</v>
      </c>
      <c r="I226" s="25">
        <v>8</v>
      </c>
      <c r="J226" s="22">
        <v>1</v>
      </c>
      <c r="K226" s="26" t="s">
        <v>586</v>
      </c>
      <c r="L226" s="25" t="s">
        <v>1231</v>
      </c>
      <c r="M226" s="26" t="s">
        <v>588</v>
      </c>
      <c r="N226" s="25">
        <v>1</v>
      </c>
      <c r="O226" s="26" t="s">
        <v>1232</v>
      </c>
      <c r="P226" s="25" t="s">
        <v>180</v>
      </c>
      <c r="Q226" s="27"/>
      <c r="R226" s="27"/>
      <c r="S226" s="27"/>
      <c r="T226" s="27"/>
      <c r="U226" s="27"/>
      <c r="V226" s="27"/>
      <c r="W226" s="27"/>
      <c r="X226" s="27"/>
      <c r="Y226" s="27"/>
      <c r="Z226" s="27">
        <v>16.350000000000001</v>
      </c>
      <c r="AA226" s="27"/>
      <c r="AB226" s="25">
        <f>COUNT(Q226:AA226)</f>
        <v>1</v>
      </c>
      <c r="AC226" s="28">
        <f>AB226/11</f>
        <v>9.0909090909090912E-2</v>
      </c>
      <c r="AD226" s="25">
        <f>IFERROR(INDEX($Q$4:$AA$4,MATCH(TRUE,INDEX(ISNUMBER(Q226:AA226),0),0)),"")</f>
        <v>2024</v>
      </c>
      <c r="AE226" s="25">
        <f>IFERROR(LOOKUP(2,1/ISNUMBER(Q226:AA226),$Q$4:$AA$4),"")</f>
        <v>2024</v>
      </c>
      <c r="AF226" s="28">
        <f>IF(AB226=0,"",AB226/(AE226-AD226+1))</f>
        <v>1</v>
      </c>
      <c r="AG226" s="25">
        <f>IF(AB226=0,"",'01_Criterios'!$C$8-AE226)</f>
        <v>1</v>
      </c>
      <c r="AH226" s="29">
        <f>IF(P226="Em uso",100,IF(P226="Alta",85,IF(P226="Média",55,30)))</f>
        <v>55</v>
      </c>
      <c r="AI226" s="29">
        <f>ROUND(100*AC226,1)</f>
        <v>9.1</v>
      </c>
      <c r="AJ226" s="29">
        <f>IF(AB226=0,0,ROUND(MAX(0,100*AF226-10*AG226),1))</f>
        <v>90</v>
      </c>
      <c r="AK226" s="29">
        <f>ROUND(('01_Criterios'!$C$19*AH226+'01_Criterios'!$C$20*AI226+'01_Criterios'!$C$21*AJ226)/('01_Criterios'!$C$19+'01_Criterios'!$C$20+'01_Criterios'!$C$21)+N226*'01_Criterios'!$C$22,1)</f>
        <v>59.7</v>
      </c>
      <c r="AL226" s="25">
        <f>IF(AND(AB226&gt;=3,AC226&gt;='01_Criterios'!$C$11,N(AE226)&gt;='01_Criterios'!$C$12,OR(F226="+",F226="-"),ISNUMBER(G226),ISNUMBER(H226)),1,0)</f>
        <v>0</v>
      </c>
      <c r="AM226" s="30" t="str">
        <f>IF(AL226=1,"",TRIM(IF(AB226=0,"sem dados no período; ",IF(AB226&lt;3,"série demasiado curta; ",""))&amp;IF(AND(AB226&gt;0,AC226&lt;'01_Criterios'!$C$11),"cobertura insuficiente; ","")&amp;IF(AND(AB226&gt;0,N(AE226)&lt;'01_Criterios'!$C$12),"desactualizado; ","")&amp;IF(AND(F226&lt;&gt;"+",F226&lt;&gt;"-"),"sentido ambíguo; ","")&amp;IF(OR(NOT(ISNUMBER(G226)),NOT(ISNUMBER(H226))),"sem limites min/max; ","")))</f>
        <v>série demasiado curta; cobertura insuficiente;</v>
      </c>
      <c r="AN226" s="25">
        <f>IF(OR(AL226=0,$AP226="Excluir"),0,IF(SUMPRODUCT(($O$5:$O$335=$O226)*($AL$5:$AL$335=1)*($AP$5:$AP$335&lt;&gt;"Excluir")*(($AK$5:$AK$335&gt;$AK226)+(($AK$5:$AK$335=$AK226)*(ROW($O$5:$O$335)&lt;ROW()))))=0,1,0))</f>
        <v>0</v>
      </c>
      <c r="AO226" s="25" t="str">
        <f>IF(AN226=0,"",1+SUMPRODUCT(($B$5:$B$335=$B226)*($AN$5:$AN$335=1)*(($AK$5:$AK$335&gt;$AK226)+(($AK$5:$AK$335=$AK226)*(ROW($B$5:$B$335)&lt;ROW())))))</f>
        <v/>
      </c>
      <c r="AP226" s="22" t="s">
        <v>131</v>
      </c>
      <c r="AQ226" s="25">
        <f>IF(INDEX('01_Criterios'!$C$26:$C$36,MATCH($B226,'01_Criterios'!$B$26:$B$36,0))&lt;&gt;1,0,IF($AP226="Excluir",0,IF($AP226="Incluir",IF(AND(OR($F226="+",$F226="-"),ISNUMBER($G226),ISNUMBER($H226),COUNT($Q226:$AA226)&gt;0),1,0),IF('01_Criterios'!$C$18="Automática",IF(AND($AN226=1,$AO226&lt;&gt;"",$AO226&lt;=INDEX('01_Criterios'!$E$26:$E$36,MATCH($B226,'01_Criterios'!$B$26:$B$36,0))),1,0),0))))</f>
        <v>0</v>
      </c>
      <c r="AR226" s="25" t="str">
        <f>IF(AQ226=0,"",IF($AO226&lt;&gt;"",1+SUMPRODUCT(($B$5:$B$335=$B226)*($AQ$5:$AQ$335=1)*($AO$5:$AO$335&lt;$AO226)),1+SUMPRODUCT(($B$5:$B$335=$B226)*($AQ$5:$AQ$335=1)*ISNUMBER($AO$5:$AO$335))+SUMPRODUCT(($B$5:$B$335=$B226)*($AQ$5:$AQ$335=1)*($AO$5:$AO$335="")*(ROW($AO$5:$AO$335)&lt;ROW()))))</f>
        <v/>
      </c>
      <c r="AS226" s="24" t="s">
        <v>1233</v>
      </c>
    </row>
    <row r="227" spans="1:45">
      <c r="A227" s="20" t="s">
        <v>1234</v>
      </c>
      <c r="B227" s="21" t="s">
        <v>82</v>
      </c>
      <c r="C227" s="21" t="s">
        <v>1140</v>
      </c>
      <c r="D227" s="21" t="s">
        <v>1235</v>
      </c>
      <c r="E227" s="20" t="s">
        <v>1230</v>
      </c>
      <c r="F227" s="20" t="s">
        <v>158</v>
      </c>
      <c r="G227" s="20">
        <v>0</v>
      </c>
      <c r="H227" s="20">
        <v>60</v>
      </c>
      <c r="I227" s="20">
        <v>25</v>
      </c>
      <c r="J227" s="22">
        <v>1</v>
      </c>
      <c r="K227" s="21" t="s">
        <v>1224</v>
      </c>
      <c r="L227" s="20" t="s">
        <v>1236</v>
      </c>
      <c r="M227" s="21" t="s">
        <v>161</v>
      </c>
      <c r="N227" s="20">
        <v>0</v>
      </c>
      <c r="O227" s="21" t="s">
        <v>1232</v>
      </c>
      <c r="P227" s="20" t="s">
        <v>180</v>
      </c>
      <c r="Q227" s="6">
        <v>37.6</v>
      </c>
      <c r="R227" s="6"/>
      <c r="S227" s="6"/>
      <c r="T227" s="6"/>
      <c r="U227" s="6"/>
      <c r="V227" s="6"/>
      <c r="W227" s="6"/>
      <c r="X227" s="6"/>
      <c r="Y227" s="6"/>
      <c r="Z227" s="6">
        <v>39.9</v>
      </c>
      <c r="AA227" s="6"/>
      <c r="AB227" s="20">
        <f>COUNT(Q227:AA227)</f>
        <v>2</v>
      </c>
      <c r="AC227" s="23">
        <f>AB227/11</f>
        <v>0.18181818181818182</v>
      </c>
      <c r="AD227" s="20">
        <f>IFERROR(INDEX($Q$4:$AA$4,MATCH(TRUE,INDEX(ISNUMBER(Q227:AA227),0),0)),"")</f>
        <v>2015</v>
      </c>
      <c r="AE227" s="20">
        <f>IFERROR(LOOKUP(2,1/ISNUMBER(Q227:AA227),$Q$4:$AA$4),"")</f>
        <v>2024</v>
      </c>
      <c r="AF227" s="23">
        <f>IF(AB227=0,"",AB227/(AE227-AD227+1))</f>
        <v>0.2</v>
      </c>
      <c r="AG227" s="20">
        <f>IF(AB227=0,"",'01_Criterios'!$C$8-AE227)</f>
        <v>1</v>
      </c>
      <c r="AH227" s="7">
        <f>IF(P227="Em uso",100,IF(P227="Alta",85,IF(P227="Média",55,30)))</f>
        <v>55</v>
      </c>
      <c r="AI227" s="7">
        <f>ROUND(100*AC227,1)</f>
        <v>18.2</v>
      </c>
      <c r="AJ227" s="7">
        <f>IF(AB227=0,0,ROUND(MAX(0,100*AF227-10*AG227),1))</f>
        <v>10</v>
      </c>
      <c r="AK227" s="7">
        <f>ROUND(('01_Criterios'!$C$19*AH227+'01_Criterios'!$C$20*AI227+'01_Criterios'!$C$21*AJ227)/('01_Criterios'!$C$19+'01_Criterios'!$C$20+'01_Criterios'!$C$21)+N227*'01_Criterios'!$C$22,1)</f>
        <v>30.9</v>
      </c>
      <c r="AL227" s="20">
        <f>IF(AND(AB227&gt;=3,AC227&gt;='01_Criterios'!$C$11,N(AE227)&gt;='01_Criterios'!$C$12,OR(F227="+",F227="-"),ISNUMBER(G227),ISNUMBER(H227)),1,0)</f>
        <v>0</v>
      </c>
      <c r="AM227" s="24" t="str">
        <f>IF(AL227=1,"",TRIM(IF(AB227=0,"sem dados no período; ",IF(AB227&lt;3,"série demasiado curta; ",""))&amp;IF(AND(AB227&gt;0,AC227&lt;'01_Criterios'!$C$11),"cobertura insuficiente; ","")&amp;IF(AND(AB227&gt;0,N(AE227)&lt;'01_Criterios'!$C$12),"desactualizado; ","")&amp;IF(AND(F227&lt;&gt;"+",F227&lt;&gt;"-"),"sentido ambíguo; ","")&amp;IF(OR(NOT(ISNUMBER(G227)),NOT(ISNUMBER(H227))),"sem limites min/max; ","")))</f>
        <v>série demasiado curta; cobertura insuficiente;</v>
      </c>
      <c r="AN227" s="20">
        <f>IF(OR(AL227=0,$AP227="Excluir"),0,IF(SUMPRODUCT(($O$5:$O$335=$O227)*($AL$5:$AL$335=1)*($AP$5:$AP$335&lt;&gt;"Excluir")*(($AK$5:$AK$335&gt;$AK227)+(($AK$5:$AK$335=$AK227)*(ROW($O$5:$O$335)&lt;ROW()))))=0,1,0))</f>
        <v>0</v>
      </c>
      <c r="AO227" s="20" t="str">
        <f>IF(AN227=0,"",1+SUMPRODUCT(($B$5:$B$335=$B227)*($AN$5:$AN$335=1)*(($AK$5:$AK$335&gt;$AK227)+(($AK$5:$AK$335=$AK227)*(ROW($B$5:$B$335)&lt;ROW())))))</f>
        <v/>
      </c>
      <c r="AP227" s="22" t="s">
        <v>131</v>
      </c>
      <c r="AQ227" s="20">
        <f>IF(INDEX('01_Criterios'!$C$26:$C$36,MATCH($B227,'01_Criterios'!$B$26:$B$36,0))&lt;&gt;1,0,IF($AP227="Excluir",0,IF($AP227="Incluir",IF(AND(OR($F227="+",$F227="-"),ISNUMBER($G227),ISNUMBER($H227),COUNT($Q227:$AA227)&gt;0),1,0),IF('01_Criterios'!$C$18="Automática",IF(AND($AN227=1,$AO227&lt;&gt;"",$AO227&lt;=INDEX('01_Criterios'!$E$26:$E$36,MATCH($B227,'01_Criterios'!$B$26:$B$36,0))),1,0),0))))</f>
        <v>0</v>
      </c>
      <c r="AR227" s="20" t="str">
        <f>IF(AQ227=0,"",IF($AO227&lt;&gt;"",1+SUMPRODUCT(($B$5:$B$335=$B227)*($AQ$5:$AQ$335=1)*($AO$5:$AO$335&lt;$AO227)),1+SUMPRODUCT(($B$5:$B$335=$B227)*($AQ$5:$AQ$335=1)*ISNUMBER($AO$5:$AO$335))+SUMPRODUCT(($B$5:$B$335=$B227)*($AQ$5:$AQ$335=1)*($AO$5:$AO$335="")*(ROW($AO$5:$AO$335)&lt;ROW()))))</f>
        <v/>
      </c>
      <c r="AS227" s="24" t="s">
        <v>1237</v>
      </c>
    </row>
    <row r="228" spans="1:45">
      <c r="A228" s="25" t="s">
        <v>1238</v>
      </c>
      <c r="B228" s="26" t="s">
        <v>82</v>
      </c>
      <c r="C228" s="26" t="s">
        <v>1140</v>
      </c>
      <c r="D228" s="26" t="s">
        <v>1239</v>
      </c>
      <c r="E228" s="25" t="s">
        <v>1230</v>
      </c>
      <c r="F228" s="25" t="s">
        <v>158</v>
      </c>
      <c r="G228" s="25">
        <v>0</v>
      </c>
      <c r="H228" s="25">
        <v>25</v>
      </c>
      <c r="I228" s="25">
        <v>5</v>
      </c>
      <c r="J228" s="22">
        <v>1</v>
      </c>
      <c r="K228" s="26" t="s">
        <v>1224</v>
      </c>
      <c r="L228" s="25" t="s">
        <v>1240</v>
      </c>
      <c r="M228" s="26" t="s">
        <v>161</v>
      </c>
      <c r="N228" s="25">
        <v>0</v>
      </c>
      <c r="O228" s="26" t="s">
        <v>1238</v>
      </c>
      <c r="P228" s="25" t="s">
        <v>180</v>
      </c>
      <c r="Q228" s="27">
        <v>4.9000000000000004</v>
      </c>
      <c r="R228" s="27"/>
      <c r="S228" s="27"/>
      <c r="T228" s="27"/>
      <c r="U228" s="27"/>
      <c r="V228" s="27"/>
      <c r="W228" s="27"/>
      <c r="X228" s="27"/>
      <c r="Y228" s="27"/>
      <c r="Z228" s="27">
        <v>5.2</v>
      </c>
      <c r="AA228" s="27"/>
      <c r="AB228" s="25">
        <f>COUNT(Q228:AA228)</f>
        <v>2</v>
      </c>
      <c r="AC228" s="28">
        <f>AB228/11</f>
        <v>0.18181818181818182</v>
      </c>
      <c r="AD228" s="25">
        <f>IFERROR(INDEX($Q$4:$AA$4,MATCH(TRUE,INDEX(ISNUMBER(Q228:AA228),0),0)),"")</f>
        <v>2015</v>
      </c>
      <c r="AE228" s="25">
        <f>IFERROR(LOOKUP(2,1/ISNUMBER(Q228:AA228),$Q$4:$AA$4),"")</f>
        <v>2024</v>
      </c>
      <c r="AF228" s="28">
        <f>IF(AB228=0,"",AB228/(AE228-AD228+1))</f>
        <v>0.2</v>
      </c>
      <c r="AG228" s="25">
        <f>IF(AB228=0,"",'01_Criterios'!$C$8-AE228)</f>
        <v>1</v>
      </c>
      <c r="AH228" s="29">
        <f>IF(P228="Em uso",100,IF(P228="Alta",85,IF(P228="Média",55,30)))</f>
        <v>55</v>
      </c>
      <c r="AI228" s="29">
        <f>ROUND(100*AC228,1)</f>
        <v>18.2</v>
      </c>
      <c r="AJ228" s="29">
        <f>IF(AB228=0,0,ROUND(MAX(0,100*AF228-10*AG228),1))</f>
        <v>10</v>
      </c>
      <c r="AK228" s="29">
        <f>ROUND(('01_Criterios'!$C$19*AH228+'01_Criterios'!$C$20*AI228+'01_Criterios'!$C$21*AJ228)/('01_Criterios'!$C$19+'01_Criterios'!$C$20+'01_Criterios'!$C$21)+N228*'01_Criterios'!$C$22,1)</f>
        <v>30.9</v>
      </c>
      <c r="AL228" s="25">
        <f>IF(AND(AB228&gt;=3,AC228&gt;='01_Criterios'!$C$11,N(AE228)&gt;='01_Criterios'!$C$12,OR(F228="+",F228="-"),ISNUMBER(G228),ISNUMBER(H228)),1,0)</f>
        <v>0</v>
      </c>
      <c r="AM228" s="30" t="str">
        <f>IF(AL228=1,"",TRIM(IF(AB228=0,"sem dados no período; ",IF(AB228&lt;3,"série demasiado curta; ",""))&amp;IF(AND(AB228&gt;0,AC228&lt;'01_Criterios'!$C$11),"cobertura insuficiente; ","")&amp;IF(AND(AB228&gt;0,N(AE228)&lt;'01_Criterios'!$C$12),"desactualizado; ","")&amp;IF(AND(F228&lt;&gt;"+",F228&lt;&gt;"-"),"sentido ambíguo; ","")&amp;IF(OR(NOT(ISNUMBER(G228)),NOT(ISNUMBER(H228))),"sem limites min/max; ","")))</f>
        <v>série demasiado curta; cobertura insuficiente;</v>
      </c>
      <c r="AN228" s="25">
        <f>IF(OR(AL228=0,$AP228="Excluir"),0,IF(SUMPRODUCT(($O$5:$O$335=$O228)*($AL$5:$AL$335=1)*($AP$5:$AP$335&lt;&gt;"Excluir")*(($AK$5:$AK$335&gt;$AK228)+(($AK$5:$AK$335=$AK228)*(ROW($O$5:$O$335)&lt;ROW()))))=0,1,0))</f>
        <v>0</v>
      </c>
      <c r="AO228" s="25" t="str">
        <f>IF(AN228=0,"",1+SUMPRODUCT(($B$5:$B$335=$B228)*($AN$5:$AN$335=1)*(($AK$5:$AK$335&gt;$AK228)+(($AK$5:$AK$335=$AK228)*(ROW($B$5:$B$335)&lt;ROW())))))</f>
        <v/>
      </c>
      <c r="AP228" s="22" t="s">
        <v>131</v>
      </c>
      <c r="AQ228" s="25">
        <f>IF(INDEX('01_Criterios'!$C$26:$C$36,MATCH($B228,'01_Criterios'!$B$26:$B$36,0))&lt;&gt;1,0,IF($AP228="Excluir",0,IF($AP228="Incluir",IF(AND(OR($F228="+",$F228="-"),ISNUMBER($G228),ISNUMBER($H228),COUNT($Q228:$AA228)&gt;0),1,0),IF('01_Criterios'!$C$18="Automática",IF(AND($AN228=1,$AO228&lt;&gt;"",$AO228&lt;=INDEX('01_Criterios'!$E$26:$E$36,MATCH($B228,'01_Criterios'!$B$26:$B$36,0))),1,0),0))))</f>
        <v>0</v>
      </c>
      <c r="AR228" s="25" t="str">
        <f>IF(AQ228=0,"",IF($AO228&lt;&gt;"",1+SUMPRODUCT(($B$5:$B$335=$B228)*($AQ$5:$AQ$335=1)*($AO$5:$AO$335&lt;$AO228)),1+SUMPRODUCT(($B$5:$B$335=$B228)*($AQ$5:$AQ$335=1)*ISNUMBER($AO$5:$AO$335))+SUMPRODUCT(($B$5:$B$335=$B228)*($AQ$5:$AQ$335=1)*($AO$5:$AO$335="")*(ROW($AO$5:$AO$335)&lt;ROW()))))</f>
        <v/>
      </c>
      <c r="AS228" s="24" t="s">
        <v>1241</v>
      </c>
    </row>
    <row r="229" spans="1:45">
      <c r="A229" s="20" t="s">
        <v>1242</v>
      </c>
      <c r="B229" s="21" t="s">
        <v>82</v>
      </c>
      <c r="C229" s="21" t="s">
        <v>1140</v>
      </c>
      <c r="D229" s="21" t="s">
        <v>1243</v>
      </c>
      <c r="E229" s="20" t="s">
        <v>1160</v>
      </c>
      <c r="F229" s="20" t="s">
        <v>126</v>
      </c>
      <c r="G229" s="20">
        <v>0</v>
      </c>
      <c r="H229" s="20">
        <v>5</v>
      </c>
      <c r="I229" s="20">
        <v>1</v>
      </c>
      <c r="J229" s="22">
        <v>1</v>
      </c>
      <c r="K229" s="21" t="s">
        <v>905</v>
      </c>
      <c r="L229" s="20" t="s">
        <v>1244</v>
      </c>
      <c r="M229" s="21" t="s">
        <v>161</v>
      </c>
      <c r="N229" s="20">
        <v>0</v>
      </c>
      <c r="O229" s="21" t="s">
        <v>1242</v>
      </c>
      <c r="P229" s="20" t="s">
        <v>180</v>
      </c>
      <c r="Q229" s="6"/>
      <c r="R229" s="6"/>
      <c r="S229" s="6">
        <v>0.21199999999999999</v>
      </c>
      <c r="T229" s="6">
        <v>0.21099999999999999</v>
      </c>
      <c r="U229" s="6"/>
      <c r="V229" s="6"/>
      <c r="W229" s="6"/>
      <c r="X229" s="6">
        <v>0.24399999999999999</v>
      </c>
      <c r="Y229" s="6"/>
      <c r="Z229" s="6"/>
      <c r="AA229" s="6"/>
      <c r="AB229" s="20">
        <f>COUNT(Q229:AA229)</f>
        <v>3</v>
      </c>
      <c r="AC229" s="23">
        <f>AB229/11</f>
        <v>0.27272727272727271</v>
      </c>
      <c r="AD229" s="20">
        <f>IFERROR(INDEX($Q$4:$AA$4,MATCH(TRUE,INDEX(ISNUMBER(Q229:AA229),0),0)),"")</f>
        <v>2017</v>
      </c>
      <c r="AE229" s="20">
        <f>IFERROR(LOOKUP(2,1/ISNUMBER(Q229:AA229),$Q$4:$AA$4),"")</f>
        <v>2022</v>
      </c>
      <c r="AF229" s="23">
        <f>IF(AB229=0,"",AB229/(AE229-AD229+1))</f>
        <v>0.5</v>
      </c>
      <c r="AG229" s="20">
        <f>IF(AB229=0,"",'01_Criterios'!$C$8-AE229)</f>
        <v>3</v>
      </c>
      <c r="AH229" s="7">
        <f>IF(P229="Em uso",100,IF(P229="Alta",85,IF(P229="Média",55,30)))</f>
        <v>55</v>
      </c>
      <c r="AI229" s="7">
        <f>ROUND(100*AC229,1)</f>
        <v>27.3</v>
      </c>
      <c r="AJ229" s="7">
        <f>IF(AB229=0,0,ROUND(MAX(0,100*AF229-10*AG229),1))</f>
        <v>20</v>
      </c>
      <c r="AK229" s="7">
        <f>ROUND(('01_Criterios'!$C$19*AH229+'01_Criterios'!$C$20*AI229+'01_Criterios'!$C$21*AJ229)/('01_Criterios'!$C$19+'01_Criterios'!$C$20+'01_Criterios'!$C$21)+N229*'01_Criterios'!$C$22,1)</f>
        <v>36.6</v>
      </c>
      <c r="AL229" s="20">
        <f>IF(AND(AB229&gt;=3,AC229&gt;='01_Criterios'!$C$11,N(AE229)&gt;='01_Criterios'!$C$12,OR(F229="+",F229="-"),ISNUMBER(G229),ISNUMBER(H229)),1,0)</f>
        <v>0</v>
      </c>
      <c r="AM229" s="24" t="str">
        <f>IF(AL229=1,"",TRIM(IF(AB229=0,"sem dados no período; ",IF(AB229&lt;3,"série demasiado curta; ",""))&amp;IF(AND(AB229&gt;0,AC229&lt;'01_Criterios'!$C$11),"cobertura insuficiente; ","")&amp;IF(AND(AB229&gt;0,N(AE229)&lt;'01_Criterios'!$C$12),"desactualizado; ","")&amp;IF(AND(F229&lt;&gt;"+",F229&lt;&gt;"-"),"sentido ambíguo; ","")&amp;IF(OR(NOT(ISNUMBER(G229)),NOT(ISNUMBER(H229))),"sem limites min/max; ","")))</f>
        <v>cobertura insuficiente; desactualizado;</v>
      </c>
      <c r="AN229" s="20">
        <f>IF(OR(AL229=0,$AP229="Excluir"),0,IF(SUMPRODUCT(($O$5:$O$335=$O229)*($AL$5:$AL$335=1)*($AP$5:$AP$335&lt;&gt;"Excluir")*(($AK$5:$AK$335&gt;$AK229)+(($AK$5:$AK$335=$AK229)*(ROW($O$5:$O$335)&lt;ROW()))))=0,1,0))</f>
        <v>0</v>
      </c>
      <c r="AO229" s="20" t="str">
        <f>IF(AN229=0,"",1+SUMPRODUCT(($B$5:$B$335=$B229)*($AN$5:$AN$335=1)*(($AK$5:$AK$335&gt;$AK229)+(($AK$5:$AK$335=$AK229)*(ROW($B$5:$B$335)&lt;ROW())))))</f>
        <v/>
      </c>
      <c r="AP229" s="22" t="s">
        <v>131</v>
      </c>
      <c r="AQ229" s="20">
        <f>IF(INDEX('01_Criterios'!$C$26:$C$36,MATCH($B229,'01_Criterios'!$B$26:$B$36,0))&lt;&gt;1,0,IF($AP229="Excluir",0,IF($AP229="Incluir",IF(AND(OR($F229="+",$F229="-"),ISNUMBER($G229),ISNUMBER($H229),COUNT($Q229:$AA229)&gt;0),1,0),IF('01_Criterios'!$C$18="Automática",IF(AND($AN229=1,$AO229&lt;&gt;"",$AO229&lt;=INDEX('01_Criterios'!$E$26:$E$36,MATCH($B229,'01_Criterios'!$B$26:$B$36,0))),1,0),0))))</f>
        <v>0</v>
      </c>
      <c r="AR229" s="20" t="str">
        <f>IF(AQ229=0,"",IF($AO229&lt;&gt;"",1+SUMPRODUCT(($B$5:$B$335=$B229)*($AQ$5:$AQ$335=1)*($AO$5:$AO$335&lt;$AO229)),1+SUMPRODUCT(($B$5:$B$335=$B229)*($AQ$5:$AQ$335=1)*ISNUMBER($AO$5:$AO$335))+SUMPRODUCT(($B$5:$B$335=$B229)*($AQ$5:$AQ$335=1)*($AO$5:$AO$335="")*(ROW($AO$5:$AO$335)&lt;ROW()))))</f>
        <v/>
      </c>
      <c r="AS229" s="24" t="s">
        <v>1245</v>
      </c>
    </row>
    <row r="230" spans="1:45">
      <c r="A230" s="25" t="s">
        <v>1246</v>
      </c>
      <c r="B230" s="26" t="s">
        <v>82</v>
      </c>
      <c r="C230" s="26" t="s">
        <v>1140</v>
      </c>
      <c r="D230" s="26" t="s">
        <v>1247</v>
      </c>
      <c r="E230" s="25" t="s">
        <v>1248</v>
      </c>
      <c r="F230" s="25" t="s">
        <v>126</v>
      </c>
      <c r="G230" s="25">
        <v>0</v>
      </c>
      <c r="H230" s="25">
        <v>6000</v>
      </c>
      <c r="I230" s="25">
        <v>2000</v>
      </c>
      <c r="J230" s="22">
        <v>1</v>
      </c>
      <c r="K230" s="26" t="s">
        <v>1187</v>
      </c>
      <c r="L230" s="25" t="s">
        <v>1249</v>
      </c>
      <c r="M230" s="26" t="s">
        <v>161</v>
      </c>
      <c r="N230" s="25">
        <v>0</v>
      </c>
      <c r="O230" s="26" t="s">
        <v>1246</v>
      </c>
      <c r="P230" s="25" t="s">
        <v>180</v>
      </c>
      <c r="Q230" s="27">
        <v>982.3</v>
      </c>
      <c r="R230" s="27">
        <v>852.3</v>
      </c>
      <c r="S230" s="27">
        <v>809.2</v>
      </c>
      <c r="T230" s="27">
        <v>948.3</v>
      </c>
      <c r="U230" s="27">
        <v>961.1</v>
      </c>
      <c r="V230" s="27">
        <v>984.8</v>
      </c>
      <c r="W230" s="27">
        <v>996.1</v>
      </c>
      <c r="X230" s="27">
        <v>1033</v>
      </c>
      <c r="Y230" s="27">
        <v>1061.8</v>
      </c>
      <c r="Z230" s="27"/>
      <c r="AA230" s="27"/>
      <c r="AB230" s="25">
        <f>COUNT(Q230:AA230)</f>
        <v>9</v>
      </c>
      <c r="AC230" s="28">
        <f>AB230/11</f>
        <v>0.81818181818181823</v>
      </c>
      <c r="AD230" s="25">
        <f>IFERROR(INDEX($Q$4:$AA$4,MATCH(TRUE,INDEX(ISNUMBER(Q230:AA230),0),0)),"")</f>
        <v>2015</v>
      </c>
      <c r="AE230" s="25">
        <f>IFERROR(LOOKUP(2,1/ISNUMBER(Q230:AA230),$Q$4:$AA$4),"")</f>
        <v>2023</v>
      </c>
      <c r="AF230" s="28">
        <f>IF(AB230=0,"",AB230/(AE230-AD230+1))</f>
        <v>1</v>
      </c>
      <c r="AG230" s="25">
        <f>IF(AB230=0,"",'01_Criterios'!$C$8-AE230)</f>
        <v>2</v>
      </c>
      <c r="AH230" s="29">
        <f>IF(P230="Em uso",100,IF(P230="Alta",85,IF(P230="Média",55,30)))</f>
        <v>55</v>
      </c>
      <c r="AI230" s="29">
        <f>ROUND(100*AC230,1)</f>
        <v>81.8</v>
      </c>
      <c r="AJ230" s="29">
        <f>IF(AB230=0,0,ROUND(MAX(0,100*AF230-10*AG230),1))</f>
        <v>80</v>
      </c>
      <c r="AK230" s="29">
        <f>ROUND(('01_Criterios'!$C$19*AH230+'01_Criterios'!$C$20*AI230+'01_Criterios'!$C$21*AJ230)/('01_Criterios'!$C$19+'01_Criterios'!$C$20+'01_Criterios'!$C$21)+N230*'01_Criterios'!$C$22,1)</f>
        <v>70.599999999999994</v>
      </c>
      <c r="AL230" s="25">
        <f>IF(AND(AB230&gt;=3,AC230&gt;='01_Criterios'!$C$11,N(AE230)&gt;='01_Criterios'!$C$12,OR(F230="+",F230="-"),ISNUMBER(G230),ISNUMBER(H230)),1,0)</f>
        <v>1</v>
      </c>
      <c r="AM230" s="30" t="str">
        <f>IF(AL230=1,"",TRIM(IF(AB230=0,"sem dados no período; ",IF(AB230&lt;3,"série demasiado curta; ",""))&amp;IF(AND(AB230&gt;0,AC230&lt;'01_Criterios'!$C$11),"cobertura insuficiente; ","")&amp;IF(AND(AB230&gt;0,N(AE230)&lt;'01_Criterios'!$C$12),"desactualizado; ","")&amp;IF(AND(F230&lt;&gt;"+",F230&lt;&gt;"-"),"sentido ambíguo; ","")&amp;IF(OR(NOT(ISNUMBER(G230)),NOT(ISNUMBER(H230))),"sem limites min/max; ","")))</f>
        <v/>
      </c>
      <c r="AN230" s="25">
        <f>IF(OR(AL230=0,$AP230="Excluir"),0,IF(SUMPRODUCT(($O$5:$O$335=$O230)*($AL$5:$AL$335=1)*($AP$5:$AP$335&lt;&gt;"Excluir")*(($AK$5:$AK$335&gt;$AK230)+(($AK$5:$AK$335=$AK230)*(ROW($O$5:$O$335)&lt;ROW()))))=0,1,0))</f>
        <v>1</v>
      </c>
      <c r="AO230" s="25">
        <f>IF(AN230=0,"",1+SUMPRODUCT(($B$5:$B$335=$B230)*($AN$5:$AN$335=1)*(($AK$5:$AK$335&gt;$AK230)+(($AK$5:$AK$335=$AK230)*(ROW($B$5:$B$335)&lt;ROW())))))</f>
        <v>10</v>
      </c>
      <c r="AP230" s="22" t="s">
        <v>131</v>
      </c>
      <c r="AQ230" s="25">
        <f>IF(INDEX('01_Criterios'!$C$26:$C$36,MATCH($B230,'01_Criterios'!$B$26:$B$36,0))&lt;&gt;1,0,IF($AP230="Excluir",0,IF($AP230="Incluir",IF(AND(OR($F230="+",$F230="-"),ISNUMBER($G230),ISNUMBER($H230),COUNT($Q230:$AA230)&gt;0),1,0),IF('01_Criterios'!$C$18="Automática",IF(AND($AN230=1,$AO230&lt;&gt;"",$AO230&lt;=INDEX('01_Criterios'!$E$26:$E$36,MATCH($B230,'01_Criterios'!$B$26:$B$36,0))),1,0),0))))</f>
        <v>0</v>
      </c>
      <c r="AR230" s="25" t="str">
        <f>IF(AQ230=0,"",IF($AO230&lt;&gt;"",1+SUMPRODUCT(($B$5:$B$335=$B230)*($AQ$5:$AQ$335=1)*($AO$5:$AO$335&lt;$AO230)),1+SUMPRODUCT(($B$5:$B$335=$B230)*($AQ$5:$AQ$335=1)*ISNUMBER($AO$5:$AO$335))+SUMPRODUCT(($B$5:$B$335=$B230)*($AQ$5:$AQ$335=1)*($AO$5:$AO$335="")*(ROW($AO$5:$AO$335)&lt;ROW()))))</f>
        <v/>
      </c>
      <c r="AS230" s="24" t="s">
        <v>1250</v>
      </c>
    </row>
    <row r="231" spans="1:45">
      <c r="A231" s="20" t="s">
        <v>1251</v>
      </c>
      <c r="B231" s="21" t="s">
        <v>82</v>
      </c>
      <c r="C231" s="21" t="s">
        <v>1192</v>
      </c>
      <c r="D231" s="21" t="s">
        <v>1252</v>
      </c>
      <c r="E231" s="20" t="s">
        <v>334</v>
      </c>
      <c r="F231" s="20" t="s">
        <v>126</v>
      </c>
      <c r="G231" s="20">
        <v>0</v>
      </c>
      <c r="H231" s="20">
        <v>10</v>
      </c>
      <c r="I231" s="20">
        <v>3</v>
      </c>
      <c r="J231" s="22">
        <v>1</v>
      </c>
      <c r="K231" s="21" t="s">
        <v>905</v>
      </c>
      <c r="L231" s="20" t="s">
        <v>1253</v>
      </c>
      <c r="M231" s="21" t="s">
        <v>161</v>
      </c>
      <c r="N231" s="20">
        <v>0</v>
      </c>
      <c r="O231" s="21" t="s">
        <v>1156</v>
      </c>
      <c r="P231" s="20" t="s">
        <v>180</v>
      </c>
      <c r="Q231" s="6">
        <v>1.0892434099999999</v>
      </c>
      <c r="R231" s="6">
        <v>1.05520773</v>
      </c>
      <c r="S231" s="6">
        <v>1.1282470200000001</v>
      </c>
      <c r="T231" s="6">
        <v>0.97981894000000003</v>
      </c>
      <c r="U231" s="6">
        <v>1.00303984</v>
      </c>
      <c r="V231" s="6">
        <v>1.4605543599999999</v>
      </c>
      <c r="W231" s="6">
        <v>1.51676536</v>
      </c>
      <c r="X231" s="6">
        <v>1.3071184199999999</v>
      </c>
      <c r="Y231" s="6">
        <v>1.1340300999999999</v>
      </c>
      <c r="Z231" s="6"/>
      <c r="AA231" s="6"/>
      <c r="AB231" s="20">
        <f>COUNT(Q231:AA231)</f>
        <v>9</v>
      </c>
      <c r="AC231" s="23">
        <f>AB231/11</f>
        <v>0.81818181818181823</v>
      </c>
      <c r="AD231" s="20">
        <f>IFERROR(INDEX($Q$4:$AA$4,MATCH(TRUE,INDEX(ISNUMBER(Q231:AA231),0),0)),"")</f>
        <v>2015</v>
      </c>
      <c r="AE231" s="20">
        <f>IFERROR(LOOKUP(2,1/ISNUMBER(Q231:AA231),$Q$4:$AA$4),"")</f>
        <v>2023</v>
      </c>
      <c r="AF231" s="23">
        <f>IF(AB231=0,"",AB231/(AE231-AD231+1))</f>
        <v>1</v>
      </c>
      <c r="AG231" s="20">
        <f>IF(AB231=0,"",'01_Criterios'!$C$8-AE231)</f>
        <v>2</v>
      </c>
      <c r="AH231" s="7">
        <f>IF(P231="Em uso",100,IF(P231="Alta",85,IF(P231="Média",55,30)))</f>
        <v>55</v>
      </c>
      <c r="AI231" s="7">
        <f>ROUND(100*AC231,1)</f>
        <v>81.8</v>
      </c>
      <c r="AJ231" s="7">
        <f>IF(AB231=0,0,ROUND(MAX(0,100*AF231-10*AG231),1))</f>
        <v>80</v>
      </c>
      <c r="AK231" s="7">
        <f>ROUND(('01_Criterios'!$C$19*AH231+'01_Criterios'!$C$20*AI231+'01_Criterios'!$C$21*AJ231)/('01_Criterios'!$C$19+'01_Criterios'!$C$20+'01_Criterios'!$C$21)+N231*'01_Criterios'!$C$22,1)</f>
        <v>70.599999999999994</v>
      </c>
      <c r="AL231" s="20">
        <f>IF(AND(AB231&gt;=3,AC231&gt;='01_Criterios'!$C$11,N(AE231)&gt;='01_Criterios'!$C$12,OR(F231="+",F231="-"),ISNUMBER(G231),ISNUMBER(H231)),1,0)</f>
        <v>1</v>
      </c>
      <c r="AM231" s="24" t="str">
        <f>IF(AL231=1,"",TRIM(IF(AB231=0,"sem dados no período; ",IF(AB231&lt;3,"série demasiado curta; ",""))&amp;IF(AND(AB231&gt;0,AC231&lt;'01_Criterios'!$C$11),"cobertura insuficiente; ","")&amp;IF(AND(AB231&gt;0,N(AE231)&lt;'01_Criterios'!$C$12),"desactualizado; ","")&amp;IF(AND(F231&lt;&gt;"+",F231&lt;&gt;"-"),"sentido ambíguo; ","")&amp;IF(OR(NOT(ISNUMBER(G231)),NOT(ISNUMBER(H231))),"sem limites min/max; ","")))</f>
        <v/>
      </c>
      <c r="AN231" s="20">
        <f>IF(OR(AL231=0,$AP231="Excluir"),0,IF(SUMPRODUCT(($O$5:$O$335=$O231)*($AL$5:$AL$335=1)*($AP$5:$AP$335&lt;&gt;"Excluir")*(($AK$5:$AK$335&gt;$AK231)+(($AK$5:$AK$335=$AK231)*(ROW($O$5:$O$335)&lt;ROW()))))=0,1,0))</f>
        <v>0</v>
      </c>
      <c r="AO231" s="20" t="str">
        <f>IF(AN231=0,"",1+SUMPRODUCT(($B$5:$B$335=$B231)*($AN$5:$AN$335=1)*(($AK$5:$AK$335&gt;$AK231)+(($AK$5:$AK$335=$AK231)*(ROW($B$5:$B$335)&lt;ROW())))))</f>
        <v/>
      </c>
      <c r="AP231" s="22" t="s">
        <v>131</v>
      </c>
      <c r="AQ231" s="20">
        <f>IF(INDEX('01_Criterios'!$C$26:$C$36,MATCH($B231,'01_Criterios'!$B$26:$B$36,0))&lt;&gt;1,0,IF($AP231="Excluir",0,IF($AP231="Incluir",IF(AND(OR($F231="+",$F231="-"),ISNUMBER($G231),ISNUMBER($H231),COUNT($Q231:$AA231)&gt;0),1,0),IF('01_Criterios'!$C$18="Automática",IF(AND($AN231=1,$AO231&lt;&gt;"",$AO231&lt;=INDEX('01_Criterios'!$E$26:$E$36,MATCH($B231,'01_Criterios'!$B$26:$B$36,0))),1,0),0))))</f>
        <v>0</v>
      </c>
      <c r="AR231" s="20" t="str">
        <f>IF(AQ231=0,"",IF($AO231&lt;&gt;"",1+SUMPRODUCT(($B$5:$B$335=$B231)*($AQ$5:$AQ$335=1)*($AO$5:$AO$335&lt;$AO231)),1+SUMPRODUCT(($B$5:$B$335=$B231)*($AQ$5:$AQ$335=1)*ISNUMBER($AO$5:$AO$335))+SUMPRODUCT(($B$5:$B$335=$B231)*($AQ$5:$AQ$335=1)*($AO$5:$AO$335="")*(ROW($AO$5:$AO$335)&lt;ROW()))))</f>
        <v/>
      </c>
      <c r="AS231" s="24" t="s">
        <v>1254</v>
      </c>
    </row>
    <row r="232" spans="1:45">
      <c r="A232" s="25" t="s">
        <v>1255</v>
      </c>
      <c r="B232" s="26" t="s">
        <v>82</v>
      </c>
      <c r="C232" s="26" t="s">
        <v>1256</v>
      </c>
      <c r="D232" s="26" t="s">
        <v>1257</v>
      </c>
      <c r="E232" s="25" t="s">
        <v>1258</v>
      </c>
      <c r="F232" s="25" t="s">
        <v>126</v>
      </c>
      <c r="G232" s="25">
        <v>0</v>
      </c>
      <c r="H232" s="25">
        <v>100</v>
      </c>
      <c r="I232" s="25">
        <v>90</v>
      </c>
      <c r="J232" s="22">
        <v>1</v>
      </c>
      <c r="K232" s="26" t="s">
        <v>1224</v>
      </c>
      <c r="L232" s="25" t="s">
        <v>1259</v>
      </c>
      <c r="M232" s="26" t="s">
        <v>161</v>
      </c>
      <c r="N232" s="25">
        <v>0</v>
      </c>
      <c r="O232" s="26" t="s">
        <v>1167</v>
      </c>
      <c r="P232" s="25" t="s">
        <v>180</v>
      </c>
      <c r="Q232" s="27">
        <v>57</v>
      </c>
      <c r="R232" s="27">
        <v>59</v>
      </c>
      <c r="S232" s="27">
        <v>58</v>
      </c>
      <c r="T232" s="27">
        <v>67</v>
      </c>
      <c r="U232" s="27">
        <v>64</v>
      </c>
      <c r="V232" s="27">
        <v>59</v>
      </c>
      <c r="W232" s="27">
        <v>55</v>
      </c>
      <c r="X232" s="27">
        <v>54</v>
      </c>
      <c r="Y232" s="27">
        <v>66</v>
      </c>
      <c r="Z232" s="27">
        <v>64</v>
      </c>
      <c r="AA232" s="27"/>
      <c r="AB232" s="25">
        <f>COUNT(Q232:AA232)</f>
        <v>10</v>
      </c>
      <c r="AC232" s="28">
        <f>AB232/11</f>
        <v>0.90909090909090906</v>
      </c>
      <c r="AD232" s="25">
        <f>IFERROR(INDEX($Q$4:$AA$4,MATCH(TRUE,INDEX(ISNUMBER(Q232:AA232),0),0)),"")</f>
        <v>2015</v>
      </c>
      <c r="AE232" s="25">
        <f>IFERROR(LOOKUP(2,1/ISNUMBER(Q232:AA232),$Q$4:$AA$4),"")</f>
        <v>2024</v>
      </c>
      <c r="AF232" s="28">
        <f>IF(AB232=0,"",AB232/(AE232-AD232+1))</f>
        <v>1</v>
      </c>
      <c r="AG232" s="25">
        <f>IF(AB232=0,"",'01_Criterios'!$C$8-AE232)</f>
        <v>1</v>
      </c>
      <c r="AH232" s="29">
        <f>IF(P232="Em uso",100,IF(P232="Alta",85,IF(P232="Média",55,30)))</f>
        <v>55</v>
      </c>
      <c r="AI232" s="29">
        <f>ROUND(100*AC232,1)</f>
        <v>90.9</v>
      </c>
      <c r="AJ232" s="29">
        <f>IF(AB232=0,0,ROUND(MAX(0,100*AF232-10*AG232),1))</f>
        <v>90</v>
      </c>
      <c r="AK232" s="29">
        <f>ROUND(('01_Criterios'!$C$19*AH232+'01_Criterios'!$C$20*AI232+'01_Criterios'!$C$21*AJ232)/('01_Criterios'!$C$19+'01_Criterios'!$C$20+'01_Criterios'!$C$21)+N232*'01_Criterios'!$C$22,1)</f>
        <v>76.3</v>
      </c>
      <c r="AL232" s="25">
        <f>IF(AND(AB232&gt;=3,AC232&gt;='01_Criterios'!$C$11,N(AE232)&gt;='01_Criterios'!$C$12,OR(F232="+",F232="-"),ISNUMBER(G232),ISNUMBER(H232)),1,0)</f>
        <v>1</v>
      </c>
      <c r="AM232" s="30" t="str">
        <f>IF(AL232=1,"",TRIM(IF(AB232=0,"sem dados no período; ",IF(AB232&lt;3,"série demasiado curta; ",""))&amp;IF(AND(AB232&gt;0,AC232&lt;'01_Criterios'!$C$11),"cobertura insuficiente; ","")&amp;IF(AND(AB232&gt;0,N(AE232)&lt;'01_Criterios'!$C$12),"desactualizado; ","")&amp;IF(AND(F232&lt;&gt;"+",F232&lt;&gt;"-"),"sentido ambíguo; ","")&amp;IF(OR(NOT(ISNUMBER(G232)),NOT(ISNUMBER(H232))),"sem limites min/max; ","")))</f>
        <v/>
      </c>
      <c r="AN232" s="25">
        <f>IF(OR(AL232=0,$AP232="Excluir"),0,IF(SUMPRODUCT(($O$5:$O$335=$O232)*($AL$5:$AL$335=1)*($AP$5:$AP$335&lt;&gt;"Excluir")*(($AK$5:$AK$335&gt;$AK232)+(($AK$5:$AK$335=$AK232)*(ROW($O$5:$O$335)&lt;ROW()))))=0,1,0))</f>
        <v>0</v>
      </c>
      <c r="AO232" s="25" t="str">
        <f>IF(AN232=0,"",1+SUMPRODUCT(($B$5:$B$335=$B232)*($AN$5:$AN$335=1)*(($AK$5:$AK$335&gt;$AK232)+(($AK$5:$AK$335=$AK232)*(ROW($B$5:$B$335)&lt;ROW())))))</f>
        <v/>
      </c>
      <c r="AP232" s="22" t="s">
        <v>131</v>
      </c>
      <c r="AQ232" s="25">
        <f>IF(INDEX('01_Criterios'!$C$26:$C$36,MATCH($B232,'01_Criterios'!$B$26:$B$36,0))&lt;&gt;1,0,IF($AP232="Excluir",0,IF($AP232="Incluir",IF(AND(OR($F232="+",$F232="-"),ISNUMBER($G232),ISNUMBER($H232),COUNT($Q232:$AA232)&gt;0),1,0),IF('01_Criterios'!$C$18="Automática",IF(AND($AN232=1,$AO232&lt;&gt;"",$AO232&lt;=INDEX('01_Criterios'!$E$26:$E$36,MATCH($B232,'01_Criterios'!$B$26:$B$36,0))),1,0),0))))</f>
        <v>0</v>
      </c>
      <c r="AR232" s="25" t="str">
        <f>IF(AQ232=0,"",IF($AO232&lt;&gt;"",1+SUMPRODUCT(($B$5:$B$335=$B232)*($AQ$5:$AQ$335=1)*($AO$5:$AO$335&lt;$AO232)),1+SUMPRODUCT(($B$5:$B$335=$B232)*($AQ$5:$AQ$335=1)*ISNUMBER($AO$5:$AO$335))+SUMPRODUCT(($B$5:$B$335=$B232)*($AQ$5:$AQ$335=1)*($AO$5:$AO$335="")*(ROW($AO$5:$AO$335)&lt;ROW()))))</f>
        <v/>
      </c>
      <c r="AS232" s="24" t="s">
        <v>1260</v>
      </c>
    </row>
    <row r="233" spans="1:45">
      <c r="A233" s="20" t="s">
        <v>1261</v>
      </c>
      <c r="B233" s="21" t="s">
        <v>82</v>
      </c>
      <c r="C233" s="21" t="s">
        <v>1202</v>
      </c>
      <c r="D233" s="21" t="s">
        <v>1262</v>
      </c>
      <c r="E233" s="20" t="s">
        <v>232</v>
      </c>
      <c r="F233" s="20" t="s">
        <v>158</v>
      </c>
      <c r="G233" s="20">
        <v>0</v>
      </c>
      <c r="H233" s="20">
        <v>500</v>
      </c>
      <c r="I233" s="20">
        <v>100</v>
      </c>
      <c r="J233" s="22">
        <v>1</v>
      </c>
      <c r="K233" s="21" t="s">
        <v>905</v>
      </c>
      <c r="L233" s="20" t="s">
        <v>1263</v>
      </c>
      <c r="M233" s="21" t="s">
        <v>161</v>
      </c>
      <c r="N233" s="20">
        <v>0</v>
      </c>
      <c r="O233" s="21" t="s">
        <v>1261</v>
      </c>
      <c r="P233" s="20" t="s">
        <v>180</v>
      </c>
      <c r="Q233" s="6">
        <v>445</v>
      </c>
      <c r="R233" s="6">
        <v>433</v>
      </c>
      <c r="S233" s="6">
        <v>418</v>
      </c>
      <c r="T233" s="6">
        <v>403</v>
      </c>
      <c r="U233" s="6">
        <v>390</v>
      </c>
      <c r="V233" s="6">
        <v>373</v>
      </c>
      <c r="W233" s="6">
        <v>371</v>
      </c>
      <c r="X233" s="6">
        <v>379</v>
      </c>
      <c r="Y233" s="6">
        <v>383</v>
      </c>
      <c r="Z233" s="6">
        <v>373</v>
      </c>
      <c r="AA233" s="6"/>
      <c r="AB233" s="20">
        <f>COUNT(Q233:AA233)</f>
        <v>10</v>
      </c>
      <c r="AC233" s="23">
        <f>AB233/11</f>
        <v>0.90909090909090906</v>
      </c>
      <c r="AD233" s="20">
        <f>IFERROR(INDEX($Q$4:$AA$4,MATCH(TRUE,INDEX(ISNUMBER(Q233:AA233),0),0)),"")</f>
        <v>2015</v>
      </c>
      <c r="AE233" s="20">
        <f>IFERROR(LOOKUP(2,1/ISNUMBER(Q233:AA233),$Q$4:$AA$4),"")</f>
        <v>2024</v>
      </c>
      <c r="AF233" s="23">
        <f>IF(AB233=0,"",AB233/(AE233-AD233+1))</f>
        <v>1</v>
      </c>
      <c r="AG233" s="20">
        <f>IF(AB233=0,"",'01_Criterios'!$C$8-AE233)</f>
        <v>1</v>
      </c>
      <c r="AH233" s="7">
        <f>IF(P233="Em uso",100,IF(P233="Alta",85,IF(P233="Média",55,30)))</f>
        <v>55</v>
      </c>
      <c r="AI233" s="7">
        <f>ROUND(100*AC233,1)</f>
        <v>90.9</v>
      </c>
      <c r="AJ233" s="7">
        <f>IF(AB233=0,0,ROUND(MAX(0,100*AF233-10*AG233),1))</f>
        <v>90</v>
      </c>
      <c r="AK233" s="7">
        <f>ROUND(('01_Criterios'!$C$19*AH233+'01_Criterios'!$C$20*AI233+'01_Criterios'!$C$21*AJ233)/('01_Criterios'!$C$19+'01_Criterios'!$C$20+'01_Criterios'!$C$21)+N233*'01_Criterios'!$C$22,1)</f>
        <v>76.3</v>
      </c>
      <c r="AL233" s="20">
        <f>IF(AND(AB233&gt;=3,AC233&gt;='01_Criterios'!$C$11,N(AE233)&gt;='01_Criterios'!$C$12,OR(F233="+",F233="-"),ISNUMBER(G233),ISNUMBER(H233)),1,0)</f>
        <v>1</v>
      </c>
      <c r="AM233" s="24" t="str">
        <f>IF(AL233=1,"",TRIM(IF(AB233=0,"sem dados no período; ",IF(AB233&lt;3,"série demasiado curta; ",""))&amp;IF(AND(AB233&gt;0,AC233&lt;'01_Criterios'!$C$11),"cobertura insuficiente; ","")&amp;IF(AND(AB233&gt;0,N(AE233)&lt;'01_Criterios'!$C$12),"desactualizado; ","")&amp;IF(AND(F233&lt;&gt;"+",F233&lt;&gt;"-"),"sentido ambíguo; ","")&amp;IF(OR(NOT(ISNUMBER(G233)),NOT(ISNUMBER(H233))),"sem limites min/max; ","")))</f>
        <v/>
      </c>
      <c r="AN233" s="20">
        <f>IF(OR(AL233=0,$AP233="Excluir"),0,IF(SUMPRODUCT(($O$5:$O$335=$O233)*($AL$5:$AL$335=1)*($AP$5:$AP$335&lt;&gt;"Excluir")*(($AK$5:$AK$335&gt;$AK233)+(($AK$5:$AK$335=$AK233)*(ROW($O$5:$O$335)&lt;ROW()))))=0,1,0))</f>
        <v>1</v>
      </c>
      <c r="AO233" s="20">
        <f>IF(AN233=0,"",1+SUMPRODUCT(($B$5:$B$335=$B233)*($AN$5:$AN$335=1)*(($AK$5:$AK$335&gt;$AK233)+(($AK$5:$AK$335=$AK233)*(ROW($B$5:$B$335)&lt;ROW())))))</f>
        <v>8</v>
      </c>
      <c r="AP233" s="22" t="s">
        <v>131</v>
      </c>
      <c r="AQ233" s="20">
        <f>IF(INDEX('01_Criterios'!$C$26:$C$36,MATCH($B233,'01_Criterios'!$B$26:$B$36,0))&lt;&gt;1,0,IF($AP233="Excluir",0,IF($AP233="Incluir",IF(AND(OR($F233="+",$F233="-"),ISNUMBER($G233),ISNUMBER($H233),COUNT($Q233:$AA233)&gt;0),1,0),IF('01_Criterios'!$C$18="Automática",IF(AND($AN233=1,$AO233&lt;&gt;"",$AO233&lt;=INDEX('01_Criterios'!$E$26:$E$36,MATCH($B233,'01_Criterios'!$B$26:$B$36,0))),1,0),0))))</f>
        <v>0</v>
      </c>
      <c r="AR233" s="20" t="str">
        <f>IF(AQ233=0,"",IF($AO233&lt;&gt;"",1+SUMPRODUCT(($B$5:$B$335=$B233)*($AQ$5:$AQ$335=1)*($AO$5:$AO$335&lt;$AO233)),1+SUMPRODUCT(($B$5:$B$335=$B233)*($AQ$5:$AQ$335=1)*ISNUMBER($AO$5:$AO$335))+SUMPRODUCT(($B$5:$B$335=$B233)*($AQ$5:$AQ$335=1)*($AO$5:$AO$335="")*(ROW($AO$5:$AO$335)&lt;ROW()))))</f>
        <v/>
      </c>
      <c r="AS233" s="24" t="s">
        <v>1264</v>
      </c>
    </row>
    <row r="234" spans="1:45">
      <c r="A234" s="25" t="s">
        <v>1265</v>
      </c>
      <c r="B234" s="26" t="s">
        <v>82</v>
      </c>
      <c r="C234" s="26" t="s">
        <v>1202</v>
      </c>
      <c r="D234" s="26" t="s">
        <v>1266</v>
      </c>
      <c r="E234" s="25" t="s">
        <v>157</v>
      </c>
      <c r="F234" s="25" t="s">
        <v>126</v>
      </c>
      <c r="G234" s="25">
        <v>0</v>
      </c>
      <c r="H234" s="25">
        <v>100</v>
      </c>
      <c r="I234" s="25">
        <v>90</v>
      </c>
      <c r="J234" s="22">
        <v>1</v>
      </c>
      <c r="K234" s="26" t="s">
        <v>905</v>
      </c>
      <c r="L234" s="25" t="s">
        <v>1267</v>
      </c>
      <c r="M234" s="26" t="s">
        <v>161</v>
      </c>
      <c r="N234" s="25">
        <v>0</v>
      </c>
      <c r="O234" s="26" t="s">
        <v>1265</v>
      </c>
      <c r="P234" s="25" t="s">
        <v>180</v>
      </c>
      <c r="Q234" s="27"/>
      <c r="R234" s="27">
        <v>27</v>
      </c>
      <c r="S234" s="27">
        <v>25</v>
      </c>
      <c r="T234" s="27">
        <v>50</v>
      </c>
      <c r="U234" s="27">
        <v>69</v>
      </c>
      <c r="V234" s="27">
        <v>53</v>
      </c>
      <c r="W234" s="27">
        <v>67</v>
      </c>
      <c r="X234" s="27">
        <v>65</v>
      </c>
      <c r="Y234" s="27">
        <v>63</v>
      </c>
      <c r="Z234" s="27"/>
      <c r="AA234" s="27"/>
      <c r="AB234" s="25">
        <f>COUNT(Q234:AA234)</f>
        <v>8</v>
      </c>
      <c r="AC234" s="28">
        <f>AB234/11</f>
        <v>0.72727272727272729</v>
      </c>
      <c r="AD234" s="25">
        <f>IFERROR(INDEX($Q$4:$AA$4,MATCH(TRUE,INDEX(ISNUMBER(Q234:AA234),0),0)),"")</f>
        <v>2016</v>
      </c>
      <c r="AE234" s="25">
        <f>IFERROR(LOOKUP(2,1/ISNUMBER(Q234:AA234),$Q$4:$AA$4),"")</f>
        <v>2023</v>
      </c>
      <c r="AF234" s="28">
        <f>IF(AB234=0,"",AB234/(AE234-AD234+1))</f>
        <v>1</v>
      </c>
      <c r="AG234" s="25">
        <f>IF(AB234=0,"",'01_Criterios'!$C$8-AE234)</f>
        <v>2</v>
      </c>
      <c r="AH234" s="29">
        <f>IF(P234="Em uso",100,IF(P234="Alta",85,IF(P234="Média",55,30)))</f>
        <v>55</v>
      </c>
      <c r="AI234" s="29">
        <f>ROUND(100*AC234,1)</f>
        <v>72.7</v>
      </c>
      <c r="AJ234" s="29">
        <f>IF(AB234=0,0,ROUND(MAX(0,100*AF234-10*AG234),1))</f>
        <v>80</v>
      </c>
      <c r="AK234" s="29">
        <f>ROUND(('01_Criterios'!$C$19*AH234+'01_Criterios'!$C$20*AI234+'01_Criterios'!$C$21*AJ234)/('01_Criterios'!$C$19+'01_Criterios'!$C$20+'01_Criterios'!$C$21)+N234*'01_Criterios'!$C$22,1)</f>
        <v>67.400000000000006</v>
      </c>
      <c r="AL234" s="25">
        <f>IF(AND(AB234&gt;=3,AC234&gt;='01_Criterios'!$C$11,N(AE234)&gt;='01_Criterios'!$C$12,OR(F234="+",F234="-"),ISNUMBER(G234),ISNUMBER(H234)),1,0)</f>
        <v>0</v>
      </c>
      <c r="AM234" s="30" t="str">
        <f>IF(AL234=1,"",TRIM(IF(AB234=0,"sem dados no período; ",IF(AB234&lt;3,"série demasiado curta; ",""))&amp;IF(AND(AB234&gt;0,AC234&lt;'01_Criterios'!$C$11),"cobertura insuficiente; ","")&amp;IF(AND(AB234&gt;0,N(AE234)&lt;'01_Criterios'!$C$12),"desactualizado; ","")&amp;IF(AND(F234&lt;&gt;"+",F234&lt;&gt;"-"),"sentido ambíguo; ","")&amp;IF(OR(NOT(ISNUMBER(G234)),NOT(ISNUMBER(H234))),"sem limites min/max; ","")))</f>
        <v>cobertura insuficiente;</v>
      </c>
      <c r="AN234" s="25">
        <f>IF(OR(AL234=0,$AP234="Excluir"),0,IF(SUMPRODUCT(($O$5:$O$335=$O234)*($AL$5:$AL$335=1)*($AP$5:$AP$335&lt;&gt;"Excluir")*(($AK$5:$AK$335&gt;$AK234)+(($AK$5:$AK$335=$AK234)*(ROW($O$5:$O$335)&lt;ROW()))))=0,1,0))</f>
        <v>0</v>
      </c>
      <c r="AO234" s="25" t="str">
        <f>IF(AN234=0,"",1+SUMPRODUCT(($B$5:$B$335=$B234)*($AN$5:$AN$335=1)*(($AK$5:$AK$335&gt;$AK234)+(($AK$5:$AK$335=$AK234)*(ROW($B$5:$B$335)&lt;ROW())))))</f>
        <v/>
      </c>
      <c r="AP234" s="22" t="s">
        <v>131</v>
      </c>
      <c r="AQ234" s="25">
        <f>IF(INDEX('01_Criterios'!$C$26:$C$36,MATCH($B234,'01_Criterios'!$B$26:$B$36,0))&lt;&gt;1,0,IF($AP234="Excluir",0,IF($AP234="Incluir",IF(AND(OR($F234="+",$F234="-"),ISNUMBER($G234),ISNUMBER($H234),COUNT($Q234:$AA234)&gt;0),1,0),IF('01_Criterios'!$C$18="Automática",IF(AND($AN234=1,$AO234&lt;&gt;"",$AO234&lt;=INDEX('01_Criterios'!$E$26:$E$36,MATCH($B234,'01_Criterios'!$B$26:$B$36,0))),1,0),0))))</f>
        <v>0</v>
      </c>
      <c r="AR234" s="25" t="str">
        <f>IF(AQ234=0,"",IF($AO234&lt;&gt;"",1+SUMPRODUCT(($B$5:$B$335=$B234)*($AQ$5:$AQ$335=1)*($AO$5:$AO$335&lt;$AO234)),1+SUMPRODUCT(($B$5:$B$335=$B234)*($AQ$5:$AQ$335=1)*ISNUMBER($AO$5:$AO$335))+SUMPRODUCT(($B$5:$B$335=$B234)*($AQ$5:$AQ$335=1)*($AO$5:$AO$335="")*(ROW($AO$5:$AO$335)&lt;ROW()))))</f>
        <v/>
      </c>
      <c r="AS234" s="24" t="s">
        <v>1268</v>
      </c>
    </row>
    <row r="235" spans="1:45">
      <c r="A235" s="20" t="s">
        <v>1269</v>
      </c>
      <c r="B235" s="21" t="s">
        <v>82</v>
      </c>
      <c r="C235" s="21" t="s">
        <v>1202</v>
      </c>
      <c r="D235" s="21" t="s">
        <v>1270</v>
      </c>
      <c r="E235" s="20" t="s">
        <v>1271</v>
      </c>
      <c r="F235" s="20" t="s">
        <v>158</v>
      </c>
      <c r="G235" s="20">
        <v>0</v>
      </c>
      <c r="H235" s="20">
        <v>10</v>
      </c>
      <c r="I235" s="20">
        <v>1</v>
      </c>
      <c r="J235" s="22">
        <v>1</v>
      </c>
      <c r="K235" s="21" t="s">
        <v>1272</v>
      </c>
      <c r="L235" s="20" t="s">
        <v>1273</v>
      </c>
      <c r="M235" s="21" t="s">
        <v>161</v>
      </c>
      <c r="N235" s="20">
        <v>0</v>
      </c>
      <c r="O235" s="21" t="s">
        <v>1274</v>
      </c>
      <c r="P235" s="20" t="s">
        <v>180</v>
      </c>
      <c r="Q235" s="6">
        <v>1.3</v>
      </c>
      <c r="R235" s="6">
        <v>1.3</v>
      </c>
      <c r="S235" s="6">
        <v>1.3</v>
      </c>
      <c r="T235" s="6">
        <v>1.2</v>
      </c>
      <c r="U235" s="6">
        <v>1.2</v>
      </c>
      <c r="V235" s="6">
        <v>1.2</v>
      </c>
      <c r="W235" s="6">
        <v>1.1000000000000001</v>
      </c>
      <c r="X235" s="6">
        <v>1</v>
      </c>
      <c r="Y235" s="6">
        <v>0.95</v>
      </c>
      <c r="Z235" s="6">
        <v>0.89</v>
      </c>
      <c r="AA235" s="6"/>
      <c r="AB235" s="20">
        <f>COUNT(Q235:AA235)</f>
        <v>10</v>
      </c>
      <c r="AC235" s="23">
        <f>AB235/11</f>
        <v>0.90909090909090906</v>
      </c>
      <c r="AD235" s="20">
        <f>IFERROR(INDEX($Q$4:$AA$4,MATCH(TRUE,INDEX(ISNUMBER(Q235:AA235),0),0)),"")</f>
        <v>2015</v>
      </c>
      <c r="AE235" s="20">
        <f>IFERROR(LOOKUP(2,1/ISNUMBER(Q235:AA235),$Q$4:$AA$4),"")</f>
        <v>2024</v>
      </c>
      <c r="AF235" s="23">
        <f>IF(AB235=0,"",AB235/(AE235-AD235+1))</f>
        <v>1</v>
      </c>
      <c r="AG235" s="20">
        <f>IF(AB235=0,"",'01_Criterios'!$C$8-AE235)</f>
        <v>1</v>
      </c>
      <c r="AH235" s="7">
        <f>IF(P235="Em uso",100,IF(P235="Alta",85,IF(P235="Média",55,30)))</f>
        <v>55</v>
      </c>
      <c r="AI235" s="7">
        <f>ROUND(100*AC235,1)</f>
        <v>90.9</v>
      </c>
      <c r="AJ235" s="7">
        <f>IF(AB235=0,0,ROUND(MAX(0,100*AF235-10*AG235),1))</f>
        <v>90</v>
      </c>
      <c r="AK235" s="7">
        <f>ROUND(('01_Criterios'!$C$19*AH235+'01_Criterios'!$C$20*AI235+'01_Criterios'!$C$21*AJ235)/('01_Criterios'!$C$19+'01_Criterios'!$C$20+'01_Criterios'!$C$21)+N235*'01_Criterios'!$C$22,1)</f>
        <v>76.3</v>
      </c>
      <c r="AL235" s="20">
        <f>IF(AND(AB235&gt;=3,AC235&gt;='01_Criterios'!$C$11,N(AE235)&gt;='01_Criterios'!$C$12,OR(F235="+",F235="-"),ISNUMBER(G235),ISNUMBER(H235)),1,0)</f>
        <v>1</v>
      </c>
      <c r="AM235" s="24" t="str">
        <f>IF(AL235=1,"",TRIM(IF(AB235=0,"sem dados no período; ",IF(AB235&lt;3,"série demasiado curta; ",""))&amp;IF(AND(AB235&gt;0,AC235&lt;'01_Criterios'!$C$11),"cobertura insuficiente; ","")&amp;IF(AND(AB235&gt;0,N(AE235)&lt;'01_Criterios'!$C$12),"desactualizado; ","")&amp;IF(AND(F235&lt;&gt;"+",F235&lt;&gt;"-"),"sentido ambíguo; ","")&amp;IF(OR(NOT(ISNUMBER(G235)),NOT(ISNUMBER(H235))),"sem limites min/max; ","")))</f>
        <v/>
      </c>
      <c r="AN235" s="20">
        <f>IF(OR(AL235=0,$AP235="Excluir"),0,IF(SUMPRODUCT(($O$5:$O$335=$O235)*($AL$5:$AL$335=1)*($AP$5:$AP$335&lt;&gt;"Excluir")*(($AK$5:$AK$335&gt;$AK235)+(($AK$5:$AK$335=$AK235)*(ROW($O$5:$O$335)&lt;ROW()))))=0,1,0))</f>
        <v>1</v>
      </c>
      <c r="AO235" s="20">
        <f>IF(AN235=0,"",1+SUMPRODUCT(($B$5:$B$335=$B235)*($AN$5:$AN$335=1)*(($AK$5:$AK$335&gt;$AK235)+(($AK$5:$AK$335=$AK235)*(ROW($B$5:$B$335)&lt;ROW())))))</f>
        <v>9</v>
      </c>
      <c r="AP235" s="22" t="s">
        <v>131</v>
      </c>
      <c r="AQ235" s="20">
        <f>IF(INDEX('01_Criterios'!$C$26:$C$36,MATCH($B235,'01_Criterios'!$B$26:$B$36,0))&lt;&gt;1,0,IF($AP235="Excluir",0,IF($AP235="Incluir",IF(AND(OR($F235="+",$F235="-"),ISNUMBER($G235),ISNUMBER($H235),COUNT($Q235:$AA235)&gt;0),1,0),IF('01_Criterios'!$C$18="Automática",IF(AND($AN235=1,$AO235&lt;&gt;"",$AO235&lt;=INDEX('01_Criterios'!$E$26:$E$36,MATCH($B235,'01_Criterios'!$B$26:$B$36,0))),1,0),0))))</f>
        <v>0</v>
      </c>
      <c r="AR235" s="20" t="str">
        <f>IF(AQ235=0,"",IF($AO235&lt;&gt;"",1+SUMPRODUCT(($B$5:$B$335=$B235)*($AQ$5:$AQ$335=1)*($AO$5:$AO$335&lt;$AO235)),1+SUMPRODUCT(($B$5:$B$335=$B235)*($AQ$5:$AQ$335=1)*ISNUMBER($AO$5:$AO$335))+SUMPRODUCT(($B$5:$B$335=$B235)*($AQ$5:$AQ$335=1)*($AO$5:$AO$335="")*(ROW($AO$5:$AO$335)&lt;ROW()))))</f>
        <v/>
      </c>
      <c r="AS235" s="24" t="s">
        <v>1275</v>
      </c>
    </row>
    <row r="236" spans="1:45">
      <c r="A236" s="25" t="s">
        <v>1276</v>
      </c>
      <c r="B236" s="26" t="s">
        <v>82</v>
      </c>
      <c r="C236" s="26" t="s">
        <v>1277</v>
      </c>
      <c r="D236" s="26" t="s">
        <v>1278</v>
      </c>
      <c r="E236" s="25" t="s">
        <v>1279</v>
      </c>
      <c r="F236" s="25" t="s">
        <v>126</v>
      </c>
      <c r="G236" s="25">
        <v>50</v>
      </c>
      <c r="H236" s="25">
        <v>200</v>
      </c>
      <c r="I236" s="25">
        <v>120</v>
      </c>
      <c r="J236" s="22">
        <v>1</v>
      </c>
      <c r="K236" s="26" t="s">
        <v>1187</v>
      </c>
      <c r="L236" s="25" t="s">
        <v>1280</v>
      </c>
      <c r="M236" s="26" t="s">
        <v>161</v>
      </c>
      <c r="N236" s="25">
        <v>0</v>
      </c>
      <c r="O236" s="26" t="s">
        <v>1281</v>
      </c>
      <c r="P236" s="25" t="s">
        <v>180</v>
      </c>
      <c r="Q236" s="27">
        <v>100.89</v>
      </c>
      <c r="R236" s="27">
        <v>105.11</v>
      </c>
      <c r="S236" s="27">
        <v>104.58</v>
      </c>
      <c r="T236" s="27">
        <v>107.34</v>
      </c>
      <c r="U236" s="27">
        <v>109.43</v>
      </c>
      <c r="V236" s="27">
        <v>115.08</v>
      </c>
      <c r="W236" s="27">
        <v>116.22</v>
      </c>
      <c r="X236" s="27">
        <v>122.45</v>
      </c>
      <c r="Y236" s="27"/>
      <c r="Z236" s="27"/>
      <c r="AA236" s="27"/>
      <c r="AB236" s="25">
        <f>COUNT(Q236:AA236)</f>
        <v>8</v>
      </c>
      <c r="AC236" s="28">
        <f>AB236/11</f>
        <v>0.72727272727272729</v>
      </c>
      <c r="AD236" s="25">
        <f>IFERROR(INDEX($Q$4:$AA$4,MATCH(TRUE,INDEX(ISNUMBER(Q236:AA236),0),0)),"")</f>
        <v>2015</v>
      </c>
      <c r="AE236" s="25">
        <f>IFERROR(LOOKUP(2,1/ISNUMBER(Q236:AA236),$Q$4:$AA$4),"")</f>
        <v>2022</v>
      </c>
      <c r="AF236" s="28">
        <f>IF(AB236=0,"",AB236/(AE236-AD236+1))</f>
        <v>1</v>
      </c>
      <c r="AG236" s="25">
        <f>IF(AB236=0,"",'01_Criterios'!$C$8-AE236)</f>
        <v>3</v>
      </c>
      <c r="AH236" s="29">
        <f>IF(P236="Em uso",100,IF(P236="Alta",85,IF(P236="Média",55,30)))</f>
        <v>55</v>
      </c>
      <c r="AI236" s="29">
        <f>ROUND(100*AC236,1)</f>
        <v>72.7</v>
      </c>
      <c r="AJ236" s="29">
        <f>IF(AB236=0,0,ROUND(MAX(0,100*AF236-10*AG236),1))</f>
        <v>70</v>
      </c>
      <c r="AK236" s="29">
        <f>ROUND(('01_Criterios'!$C$19*AH236+'01_Criterios'!$C$20*AI236+'01_Criterios'!$C$21*AJ236)/('01_Criterios'!$C$19+'01_Criterios'!$C$20+'01_Criterios'!$C$21)+N236*'01_Criterios'!$C$22,1)</f>
        <v>64.900000000000006</v>
      </c>
      <c r="AL236" s="25">
        <f>IF(AND(AB236&gt;=3,AC236&gt;='01_Criterios'!$C$11,N(AE236)&gt;='01_Criterios'!$C$12,OR(F236="+",F236="-"),ISNUMBER(G236),ISNUMBER(H236)),1,0)</f>
        <v>0</v>
      </c>
      <c r="AM236" s="30" t="str">
        <f>IF(AL236=1,"",TRIM(IF(AB236=0,"sem dados no período; ",IF(AB236&lt;3,"série demasiado curta; ",""))&amp;IF(AND(AB236&gt;0,AC236&lt;'01_Criterios'!$C$11),"cobertura insuficiente; ","")&amp;IF(AND(AB236&gt;0,N(AE236)&lt;'01_Criterios'!$C$12),"desactualizado; ","")&amp;IF(AND(F236&lt;&gt;"+",F236&lt;&gt;"-"),"sentido ambíguo; ","")&amp;IF(OR(NOT(ISNUMBER(G236)),NOT(ISNUMBER(H236))),"sem limites min/max; ","")))</f>
        <v>cobertura insuficiente; desactualizado;</v>
      </c>
      <c r="AN236" s="25">
        <f>IF(OR(AL236=0,$AP236="Excluir"),0,IF(SUMPRODUCT(($O$5:$O$335=$O236)*($AL$5:$AL$335=1)*($AP$5:$AP$335&lt;&gt;"Excluir")*(($AK$5:$AK$335&gt;$AK236)+(($AK$5:$AK$335=$AK236)*(ROW($O$5:$O$335)&lt;ROW()))))=0,1,0))</f>
        <v>0</v>
      </c>
      <c r="AO236" s="25" t="str">
        <f>IF(AN236=0,"",1+SUMPRODUCT(($B$5:$B$335=$B236)*($AN$5:$AN$335=1)*(($AK$5:$AK$335&gt;$AK236)+(($AK$5:$AK$335=$AK236)*(ROW($B$5:$B$335)&lt;ROW())))))</f>
        <v/>
      </c>
      <c r="AP236" s="22" t="s">
        <v>131</v>
      </c>
      <c r="AQ236" s="25">
        <f>IF(INDEX('01_Criterios'!$C$26:$C$36,MATCH($B236,'01_Criterios'!$B$26:$B$36,0))&lt;&gt;1,0,IF($AP236="Excluir",0,IF($AP236="Incluir",IF(AND(OR($F236="+",$F236="-"),ISNUMBER($G236),ISNUMBER($H236),COUNT($Q236:$AA236)&gt;0),1,0),IF('01_Criterios'!$C$18="Automática",IF(AND($AN236=1,$AO236&lt;&gt;"",$AO236&lt;=INDEX('01_Criterios'!$E$26:$E$36,MATCH($B236,'01_Criterios'!$B$26:$B$36,0))),1,0),0))))</f>
        <v>0</v>
      </c>
      <c r="AR236" s="25" t="str">
        <f>IF(AQ236=0,"",IF($AO236&lt;&gt;"",1+SUMPRODUCT(($B$5:$B$335=$B236)*($AQ$5:$AQ$335=1)*($AO$5:$AO$335&lt;$AO236)),1+SUMPRODUCT(($B$5:$B$335=$B236)*($AQ$5:$AQ$335=1)*ISNUMBER($AO$5:$AO$335))+SUMPRODUCT(($B$5:$B$335=$B236)*($AQ$5:$AQ$335=1)*($AO$5:$AO$335="")*(ROW($AO$5:$AO$335)&lt;ROW()))))</f>
        <v/>
      </c>
      <c r="AS236" s="24" t="s">
        <v>1282</v>
      </c>
    </row>
    <row r="237" spans="1:45">
      <c r="A237" s="20" t="s">
        <v>1283</v>
      </c>
      <c r="B237" s="21" t="s">
        <v>82</v>
      </c>
      <c r="C237" s="21" t="s">
        <v>1277</v>
      </c>
      <c r="D237" s="21" t="s">
        <v>1284</v>
      </c>
      <c r="E237" s="20" t="s">
        <v>1279</v>
      </c>
      <c r="F237" s="20" t="s">
        <v>126</v>
      </c>
      <c r="G237" s="20">
        <v>50</v>
      </c>
      <c r="H237" s="20">
        <v>200</v>
      </c>
      <c r="I237" s="20">
        <v>120</v>
      </c>
      <c r="J237" s="22">
        <v>1</v>
      </c>
      <c r="K237" s="21" t="s">
        <v>1187</v>
      </c>
      <c r="L237" s="20" t="s">
        <v>1285</v>
      </c>
      <c r="M237" s="21" t="s">
        <v>161</v>
      </c>
      <c r="N237" s="20">
        <v>0</v>
      </c>
      <c r="O237" s="21" t="s">
        <v>1281</v>
      </c>
      <c r="P237" s="20" t="s">
        <v>180</v>
      </c>
      <c r="Q237" s="6">
        <v>99.8</v>
      </c>
      <c r="R237" s="6">
        <v>103.52</v>
      </c>
      <c r="S237" s="6">
        <v>107.46</v>
      </c>
      <c r="T237" s="6">
        <v>107.07</v>
      </c>
      <c r="U237" s="6">
        <v>113.83</v>
      </c>
      <c r="V237" s="6">
        <v>113.25</v>
      </c>
      <c r="W237" s="6">
        <v>122.72</v>
      </c>
      <c r="X237" s="6">
        <v>130.74</v>
      </c>
      <c r="Y237" s="6"/>
      <c r="Z237" s="6"/>
      <c r="AA237" s="6"/>
      <c r="AB237" s="20">
        <f>COUNT(Q237:AA237)</f>
        <v>8</v>
      </c>
      <c r="AC237" s="23">
        <f>AB237/11</f>
        <v>0.72727272727272729</v>
      </c>
      <c r="AD237" s="20">
        <f>IFERROR(INDEX($Q$4:$AA$4,MATCH(TRUE,INDEX(ISNUMBER(Q237:AA237),0),0)),"")</f>
        <v>2015</v>
      </c>
      <c r="AE237" s="20">
        <f>IFERROR(LOOKUP(2,1/ISNUMBER(Q237:AA237),$Q$4:$AA$4),"")</f>
        <v>2022</v>
      </c>
      <c r="AF237" s="23">
        <f>IF(AB237=0,"",AB237/(AE237-AD237+1))</f>
        <v>1</v>
      </c>
      <c r="AG237" s="20">
        <f>IF(AB237=0,"",'01_Criterios'!$C$8-AE237)</f>
        <v>3</v>
      </c>
      <c r="AH237" s="7">
        <f>IF(P237="Em uso",100,IF(P237="Alta",85,IF(P237="Média",55,30)))</f>
        <v>55</v>
      </c>
      <c r="AI237" s="7">
        <f>ROUND(100*AC237,1)</f>
        <v>72.7</v>
      </c>
      <c r="AJ237" s="7">
        <f>IF(AB237=0,0,ROUND(MAX(0,100*AF237-10*AG237),1))</f>
        <v>70</v>
      </c>
      <c r="AK237" s="7">
        <f>ROUND(('01_Criterios'!$C$19*AH237+'01_Criterios'!$C$20*AI237+'01_Criterios'!$C$21*AJ237)/('01_Criterios'!$C$19+'01_Criterios'!$C$20+'01_Criterios'!$C$21)+N237*'01_Criterios'!$C$22,1)</f>
        <v>64.900000000000006</v>
      </c>
      <c r="AL237" s="20">
        <f>IF(AND(AB237&gt;=3,AC237&gt;='01_Criterios'!$C$11,N(AE237)&gt;='01_Criterios'!$C$12,OR(F237="+",F237="-"),ISNUMBER(G237),ISNUMBER(H237)),1,0)</f>
        <v>0</v>
      </c>
      <c r="AM237" s="24" t="str">
        <f>IF(AL237=1,"",TRIM(IF(AB237=0,"sem dados no período; ",IF(AB237&lt;3,"série demasiado curta; ",""))&amp;IF(AND(AB237&gt;0,AC237&lt;'01_Criterios'!$C$11),"cobertura insuficiente; ","")&amp;IF(AND(AB237&gt;0,N(AE237)&lt;'01_Criterios'!$C$12),"desactualizado; ","")&amp;IF(AND(F237&lt;&gt;"+",F237&lt;&gt;"-"),"sentido ambíguo; ","")&amp;IF(OR(NOT(ISNUMBER(G237)),NOT(ISNUMBER(H237))),"sem limites min/max; ","")))</f>
        <v>cobertura insuficiente; desactualizado;</v>
      </c>
      <c r="AN237" s="20">
        <f>IF(OR(AL237=0,$AP237="Excluir"),0,IF(SUMPRODUCT(($O$5:$O$335=$O237)*($AL$5:$AL$335=1)*($AP$5:$AP$335&lt;&gt;"Excluir")*(($AK$5:$AK$335&gt;$AK237)+(($AK$5:$AK$335=$AK237)*(ROW($O$5:$O$335)&lt;ROW()))))=0,1,0))</f>
        <v>0</v>
      </c>
      <c r="AO237" s="20" t="str">
        <f>IF(AN237=0,"",1+SUMPRODUCT(($B$5:$B$335=$B237)*($AN$5:$AN$335=1)*(($AK$5:$AK$335&gt;$AK237)+(($AK$5:$AK$335=$AK237)*(ROW($B$5:$B$335)&lt;ROW())))))</f>
        <v/>
      </c>
      <c r="AP237" s="22" t="s">
        <v>131</v>
      </c>
      <c r="AQ237" s="20">
        <f>IF(INDEX('01_Criterios'!$C$26:$C$36,MATCH($B237,'01_Criterios'!$B$26:$B$36,0))&lt;&gt;1,0,IF($AP237="Excluir",0,IF($AP237="Incluir",IF(AND(OR($F237="+",$F237="-"),ISNUMBER($G237),ISNUMBER($H237),COUNT($Q237:$AA237)&gt;0),1,0),IF('01_Criterios'!$C$18="Automática",IF(AND($AN237=1,$AO237&lt;&gt;"",$AO237&lt;=INDEX('01_Criterios'!$E$26:$E$36,MATCH($B237,'01_Criterios'!$B$26:$B$36,0))),1,0),0))))</f>
        <v>0</v>
      </c>
      <c r="AR237" s="20" t="str">
        <f>IF(AQ237=0,"",IF($AO237&lt;&gt;"",1+SUMPRODUCT(($B$5:$B$335=$B237)*($AQ$5:$AQ$335=1)*($AO$5:$AO$335&lt;$AO237)),1+SUMPRODUCT(($B$5:$B$335=$B237)*($AQ$5:$AQ$335=1)*ISNUMBER($AO$5:$AO$335))+SUMPRODUCT(($B$5:$B$335=$B237)*($AQ$5:$AQ$335=1)*($AO$5:$AO$335="")*(ROW($AO$5:$AO$335)&lt;ROW()))))</f>
        <v/>
      </c>
      <c r="AS237" s="24" t="s">
        <v>1286</v>
      </c>
    </row>
    <row r="238" spans="1:45">
      <c r="A238" s="25" t="s">
        <v>1287</v>
      </c>
      <c r="B238" s="26" t="s">
        <v>82</v>
      </c>
      <c r="C238" s="26" t="s">
        <v>1202</v>
      </c>
      <c r="D238" s="26" t="s">
        <v>1288</v>
      </c>
      <c r="E238" s="25" t="s">
        <v>1289</v>
      </c>
      <c r="F238" s="25" t="s">
        <v>158</v>
      </c>
      <c r="G238" s="25">
        <v>0</v>
      </c>
      <c r="H238" s="25">
        <v>10</v>
      </c>
      <c r="I238" s="25">
        <v>1</v>
      </c>
      <c r="J238" s="22">
        <v>1</v>
      </c>
      <c r="K238" s="26" t="s">
        <v>1272</v>
      </c>
      <c r="L238" s="25" t="s">
        <v>1290</v>
      </c>
      <c r="M238" s="26" t="s">
        <v>161</v>
      </c>
      <c r="N238" s="25">
        <v>0</v>
      </c>
      <c r="O238" s="26" t="s">
        <v>1274</v>
      </c>
      <c r="P238" s="25" t="s">
        <v>180</v>
      </c>
      <c r="Q238" s="27">
        <v>1.8</v>
      </c>
      <c r="R238" s="27">
        <v>1.8</v>
      </c>
      <c r="S238" s="27">
        <v>1.8</v>
      </c>
      <c r="T238" s="27">
        <v>1.7</v>
      </c>
      <c r="U238" s="27">
        <v>1.7</v>
      </c>
      <c r="V238" s="27">
        <v>1.7</v>
      </c>
      <c r="W238" s="27">
        <v>1.7</v>
      </c>
      <c r="X238" s="27">
        <v>1.6</v>
      </c>
      <c r="Y238" s="27">
        <v>1.6</v>
      </c>
      <c r="Z238" s="27">
        <v>1.6</v>
      </c>
      <c r="AA238" s="27"/>
      <c r="AB238" s="25">
        <f>COUNT(Q238:AA238)</f>
        <v>10</v>
      </c>
      <c r="AC238" s="28">
        <f>AB238/11</f>
        <v>0.90909090909090906</v>
      </c>
      <c r="AD238" s="25">
        <f>IFERROR(INDEX($Q$4:$AA$4,MATCH(TRUE,INDEX(ISNUMBER(Q238:AA238),0),0)),"")</f>
        <v>2015</v>
      </c>
      <c r="AE238" s="25">
        <f>IFERROR(LOOKUP(2,1/ISNUMBER(Q238:AA238),$Q$4:$AA$4),"")</f>
        <v>2024</v>
      </c>
      <c r="AF238" s="28">
        <f>IF(AB238=0,"",AB238/(AE238-AD238+1))</f>
        <v>1</v>
      </c>
      <c r="AG238" s="25">
        <f>IF(AB238=0,"",'01_Criterios'!$C$8-AE238)</f>
        <v>1</v>
      </c>
      <c r="AH238" s="29">
        <f>IF(P238="Em uso",100,IF(P238="Alta",85,IF(P238="Média",55,30)))</f>
        <v>55</v>
      </c>
      <c r="AI238" s="29">
        <f>ROUND(100*AC238,1)</f>
        <v>90.9</v>
      </c>
      <c r="AJ238" s="29">
        <f>IF(AB238=0,0,ROUND(MAX(0,100*AF238-10*AG238),1))</f>
        <v>90</v>
      </c>
      <c r="AK238" s="29">
        <f>ROUND(('01_Criterios'!$C$19*AH238+'01_Criterios'!$C$20*AI238+'01_Criterios'!$C$21*AJ238)/('01_Criterios'!$C$19+'01_Criterios'!$C$20+'01_Criterios'!$C$21)+N238*'01_Criterios'!$C$22,1)</f>
        <v>76.3</v>
      </c>
      <c r="AL238" s="25">
        <f>IF(AND(AB238&gt;=3,AC238&gt;='01_Criterios'!$C$11,N(AE238)&gt;='01_Criterios'!$C$12,OR(F238="+",F238="-"),ISNUMBER(G238),ISNUMBER(H238)),1,0)</f>
        <v>1</v>
      </c>
      <c r="AM238" s="30" t="str">
        <f>IF(AL238=1,"",TRIM(IF(AB238=0,"sem dados no período; ",IF(AB238&lt;3,"série demasiado curta; ",""))&amp;IF(AND(AB238&gt;0,AC238&lt;'01_Criterios'!$C$11),"cobertura insuficiente; ","")&amp;IF(AND(AB238&gt;0,N(AE238)&lt;'01_Criterios'!$C$12),"desactualizado; ","")&amp;IF(AND(F238&lt;&gt;"+",F238&lt;&gt;"-"),"sentido ambíguo; ","")&amp;IF(OR(NOT(ISNUMBER(G238)),NOT(ISNUMBER(H238))),"sem limites min/max; ","")))</f>
        <v/>
      </c>
      <c r="AN238" s="25">
        <f>IF(OR(AL238=0,$AP238="Excluir"),0,IF(SUMPRODUCT(($O$5:$O$335=$O238)*($AL$5:$AL$335=1)*($AP$5:$AP$335&lt;&gt;"Excluir")*(($AK$5:$AK$335&gt;$AK238)+(($AK$5:$AK$335=$AK238)*(ROW($O$5:$O$335)&lt;ROW()))))=0,1,0))</f>
        <v>0</v>
      </c>
      <c r="AO238" s="25" t="str">
        <f>IF(AN238=0,"",1+SUMPRODUCT(($B$5:$B$335=$B238)*($AN$5:$AN$335=1)*(($AK$5:$AK$335&gt;$AK238)+(($AK$5:$AK$335=$AK238)*(ROW($B$5:$B$335)&lt;ROW())))))</f>
        <v/>
      </c>
      <c r="AP238" s="22" t="s">
        <v>131</v>
      </c>
      <c r="AQ238" s="25">
        <f>IF(INDEX('01_Criterios'!$C$26:$C$36,MATCH($B238,'01_Criterios'!$B$26:$B$36,0))&lt;&gt;1,0,IF($AP238="Excluir",0,IF($AP238="Incluir",IF(AND(OR($F238="+",$F238="-"),ISNUMBER($G238),ISNUMBER($H238),COUNT($Q238:$AA238)&gt;0),1,0),IF('01_Criterios'!$C$18="Automática",IF(AND($AN238=1,$AO238&lt;&gt;"",$AO238&lt;=INDEX('01_Criterios'!$E$26:$E$36,MATCH($B238,'01_Criterios'!$B$26:$B$36,0))),1,0),0))))</f>
        <v>0</v>
      </c>
      <c r="AR238" s="25" t="str">
        <f>IF(AQ238=0,"",IF($AO238&lt;&gt;"",1+SUMPRODUCT(($B$5:$B$335=$B238)*($AQ$5:$AQ$335=1)*($AO$5:$AO$335&lt;$AO238)),1+SUMPRODUCT(($B$5:$B$335=$B238)*($AQ$5:$AQ$335=1)*ISNUMBER($AO$5:$AO$335))+SUMPRODUCT(($B$5:$B$335=$B238)*($AQ$5:$AQ$335=1)*($AO$5:$AO$335="")*(ROW($AO$5:$AO$335)&lt;ROW()))))</f>
        <v/>
      </c>
      <c r="AS238" s="24" t="s">
        <v>1291</v>
      </c>
    </row>
    <row r="239" spans="1:45">
      <c r="A239" s="20" t="s">
        <v>1292</v>
      </c>
      <c r="B239" s="21" t="s">
        <v>82</v>
      </c>
      <c r="C239" s="21" t="s">
        <v>1293</v>
      </c>
      <c r="D239" s="21" t="s">
        <v>1294</v>
      </c>
      <c r="E239" s="20" t="s">
        <v>1230</v>
      </c>
      <c r="F239" s="20" t="s">
        <v>158</v>
      </c>
      <c r="G239" s="20">
        <v>0</v>
      </c>
      <c r="H239" s="20">
        <v>40</v>
      </c>
      <c r="I239" s="20">
        <v>10</v>
      </c>
      <c r="J239" s="22">
        <v>1</v>
      </c>
      <c r="K239" s="21" t="s">
        <v>1224</v>
      </c>
      <c r="L239" s="20" t="s">
        <v>1295</v>
      </c>
      <c r="M239" s="21" t="s">
        <v>161</v>
      </c>
      <c r="N239" s="20">
        <v>0</v>
      </c>
      <c r="O239" s="21" t="s">
        <v>1292</v>
      </c>
      <c r="P239" s="20" t="s">
        <v>180</v>
      </c>
      <c r="Q239" s="6">
        <v>19</v>
      </c>
      <c r="R239" s="6"/>
      <c r="S239" s="6"/>
      <c r="T239" s="6"/>
      <c r="U239" s="6"/>
      <c r="V239" s="6"/>
      <c r="W239" s="6"/>
      <c r="X239" s="6"/>
      <c r="Y239" s="6"/>
      <c r="Z239" s="6"/>
      <c r="AA239" s="6"/>
      <c r="AB239" s="20">
        <f>COUNT(Q239:AA239)</f>
        <v>1</v>
      </c>
      <c r="AC239" s="23">
        <f>AB239/11</f>
        <v>9.0909090909090912E-2</v>
      </c>
      <c r="AD239" s="20">
        <f>IFERROR(INDEX($Q$4:$AA$4,MATCH(TRUE,INDEX(ISNUMBER(Q239:AA239),0),0)),"")</f>
        <v>2015</v>
      </c>
      <c r="AE239" s="20">
        <f>IFERROR(LOOKUP(2,1/ISNUMBER(Q239:AA239),$Q$4:$AA$4),"")</f>
        <v>2015</v>
      </c>
      <c r="AF239" s="23">
        <f>IF(AB239=0,"",AB239/(AE239-AD239+1))</f>
        <v>1</v>
      </c>
      <c r="AG239" s="20">
        <f>IF(AB239=0,"",'01_Criterios'!$C$8-AE239)</f>
        <v>10</v>
      </c>
      <c r="AH239" s="7">
        <f>IF(P239="Em uso",100,IF(P239="Alta",85,IF(P239="Média",55,30)))</f>
        <v>55</v>
      </c>
      <c r="AI239" s="7">
        <f>ROUND(100*AC239,1)</f>
        <v>9.1</v>
      </c>
      <c r="AJ239" s="7">
        <f>IF(AB239=0,0,ROUND(MAX(0,100*AF239-10*AG239),1))</f>
        <v>0</v>
      </c>
      <c r="AK239" s="7">
        <f>ROUND(('01_Criterios'!$C$19*AH239+'01_Criterios'!$C$20*AI239+'01_Criterios'!$C$21*AJ239)/('01_Criterios'!$C$19+'01_Criterios'!$C$20+'01_Criterios'!$C$21)+N239*'01_Criterios'!$C$22,1)</f>
        <v>25.2</v>
      </c>
      <c r="AL239" s="20">
        <f>IF(AND(AB239&gt;=3,AC239&gt;='01_Criterios'!$C$11,N(AE239)&gt;='01_Criterios'!$C$12,OR(F239="+",F239="-"),ISNUMBER(G239),ISNUMBER(H239)),1,0)</f>
        <v>0</v>
      </c>
      <c r="AM239" s="24" t="str">
        <f>IF(AL239=1,"",TRIM(IF(AB239=0,"sem dados no período; ",IF(AB239&lt;3,"série demasiado curta; ",""))&amp;IF(AND(AB239&gt;0,AC239&lt;'01_Criterios'!$C$11),"cobertura insuficiente; ","")&amp;IF(AND(AB239&gt;0,N(AE239)&lt;'01_Criterios'!$C$12),"desactualizado; ","")&amp;IF(AND(F239&lt;&gt;"+",F239&lt;&gt;"-"),"sentido ambíguo; ","")&amp;IF(OR(NOT(ISNUMBER(G239)),NOT(ISNUMBER(H239))),"sem limites min/max; ","")))</f>
        <v>série demasiado curta; cobertura insuficiente; desactualizado;</v>
      </c>
      <c r="AN239" s="20">
        <f>IF(OR(AL239=0,$AP239="Excluir"),0,IF(SUMPRODUCT(($O$5:$O$335=$O239)*($AL$5:$AL$335=1)*($AP$5:$AP$335&lt;&gt;"Excluir")*(($AK$5:$AK$335&gt;$AK239)+(($AK$5:$AK$335=$AK239)*(ROW($O$5:$O$335)&lt;ROW()))))=0,1,0))</f>
        <v>0</v>
      </c>
      <c r="AO239" s="20" t="str">
        <f>IF(AN239=0,"",1+SUMPRODUCT(($B$5:$B$335=$B239)*($AN$5:$AN$335=1)*(($AK$5:$AK$335&gt;$AK239)+(($AK$5:$AK$335=$AK239)*(ROW($B$5:$B$335)&lt;ROW())))))</f>
        <v/>
      </c>
      <c r="AP239" s="22" t="s">
        <v>131</v>
      </c>
      <c r="AQ239" s="20">
        <f>IF(INDEX('01_Criterios'!$C$26:$C$36,MATCH($B239,'01_Criterios'!$B$26:$B$36,0))&lt;&gt;1,0,IF($AP239="Excluir",0,IF($AP239="Incluir",IF(AND(OR($F239="+",$F239="-"),ISNUMBER($G239),ISNUMBER($H239),COUNT($Q239:$AA239)&gt;0),1,0),IF('01_Criterios'!$C$18="Automática",IF(AND($AN239=1,$AO239&lt;&gt;"",$AO239&lt;=INDEX('01_Criterios'!$E$26:$E$36,MATCH($B239,'01_Criterios'!$B$26:$B$36,0))),1,0),0))))</f>
        <v>0</v>
      </c>
      <c r="AR239" s="20" t="str">
        <f>IF(AQ239=0,"",IF($AO239&lt;&gt;"",1+SUMPRODUCT(($B$5:$B$335=$B239)*($AQ$5:$AQ$335=1)*($AO$5:$AO$335&lt;$AO239)),1+SUMPRODUCT(($B$5:$B$335=$B239)*($AQ$5:$AQ$335=1)*ISNUMBER($AO$5:$AO$335))+SUMPRODUCT(($B$5:$B$335=$B239)*($AQ$5:$AQ$335=1)*($AO$5:$AO$335="")*(ROW($AO$5:$AO$335)&lt;ROW()))))</f>
        <v/>
      </c>
      <c r="AS239" s="24" t="s">
        <v>1296</v>
      </c>
    </row>
    <row r="240" spans="1:45">
      <c r="A240" s="25" t="s">
        <v>1297</v>
      </c>
      <c r="B240" s="26" t="s">
        <v>82</v>
      </c>
      <c r="C240" s="26" t="s">
        <v>1298</v>
      </c>
      <c r="D240" s="26" t="s">
        <v>1299</v>
      </c>
      <c r="E240" s="25" t="s">
        <v>1300</v>
      </c>
      <c r="F240" s="25" t="s">
        <v>126</v>
      </c>
      <c r="G240" s="25">
        <v>0</v>
      </c>
      <c r="H240" s="25">
        <v>100</v>
      </c>
      <c r="I240" s="25">
        <v>40</v>
      </c>
      <c r="J240" s="22">
        <v>1</v>
      </c>
      <c r="K240" s="26" t="s">
        <v>905</v>
      </c>
      <c r="L240" s="25" t="s">
        <v>1301</v>
      </c>
      <c r="M240" s="26" t="s">
        <v>161</v>
      </c>
      <c r="N240" s="25">
        <v>0</v>
      </c>
      <c r="O240" s="26" t="s">
        <v>1176</v>
      </c>
      <c r="P240" s="25" t="s">
        <v>180</v>
      </c>
      <c r="Q240" s="27"/>
      <c r="R240" s="27">
        <v>13.7</v>
      </c>
      <c r="S240" s="27"/>
      <c r="T240" s="27"/>
      <c r="U240" s="27"/>
      <c r="V240" s="27"/>
      <c r="W240" s="27"/>
      <c r="X240" s="27"/>
      <c r="Y240" s="27"/>
      <c r="Z240" s="27"/>
      <c r="AA240" s="27"/>
      <c r="AB240" s="25">
        <f>COUNT(Q240:AA240)</f>
        <v>1</v>
      </c>
      <c r="AC240" s="28">
        <f>AB240/11</f>
        <v>9.0909090909090912E-2</v>
      </c>
      <c r="AD240" s="25">
        <f>IFERROR(INDEX($Q$4:$AA$4,MATCH(TRUE,INDEX(ISNUMBER(Q240:AA240),0),0)),"")</f>
        <v>2016</v>
      </c>
      <c r="AE240" s="25">
        <f>IFERROR(LOOKUP(2,1/ISNUMBER(Q240:AA240),$Q$4:$AA$4),"")</f>
        <v>2016</v>
      </c>
      <c r="AF240" s="28">
        <f>IF(AB240=0,"",AB240/(AE240-AD240+1))</f>
        <v>1</v>
      </c>
      <c r="AG240" s="25">
        <f>IF(AB240=0,"",'01_Criterios'!$C$8-AE240)</f>
        <v>9</v>
      </c>
      <c r="AH240" s="29">
        <f>IF(P240="Em uso",100,IF(P240="Alta",85,IF(P240="Média",55,30)))</f>
        <v>55</v>
      </c>
      <c r="AI240" s="29">
        <f>ROUND(100*AC240,1)</f>
        <v>9.1</v>
      </c>
      <c r="AJ240" s="29">
        <f>IF(AB240=0,0,ROUND(MAX(0,100*AF240-10*AG240),1))</f>
        <v>10</v>
      </c>
      <c r="AK240" s="29">
        <f>ROUND(('01_Criterios'!$C$19*AH240+'01_Criterios'!$C$20*AI240+'01_Criterios'!$C$21*AJ240)/('01_Criterios'!$C$19+'01_Criterios'!$C$20+'01_Criterios'!$C$21)+N240*'01_Criterios'!$C$22,1)</f>
        <v>27.7</v>
      </c>
      <c r="AL240" s="25">
        <f>IF(AND(AB240&gt;=3,AC240&gt;='01_Criterios'!$C$11,N(AE240)&gt;='01_Criterios'!$C$12,OR(F240="+",F240="-"),ISNUMBER(G240),ISNUMBER(H240)),1,0)</f>
        <v>0</v>
      </c>
      <c r="AM240" s="30" t="str">
        <f>IF(AL240=1,"",TRIM(IF(AB240=0,"sem dados no período; ",IF(AB240&lt;3,"série demasiado curta; ",""))&amp;IF(AND(AB240&gt;0,AC240&lt;'01_Criterios'!$C$11),"cobertura insuficiente; ","")&amp;IF(AND(AB240&gt;0,N(AE240)&lt;'01_Criterios'!$C$12),"desactualizado; ","")&amp;IF(AND(F240&lt;&gt;"+",F240&lt;&gt;"-"),"sentido ambíguo; ","")&amp;IF(OR(NOT(ISNUMBER(G240)),NOT(ISNUMBER(H240))),"sem limites min/max; ","")))</f>
        <v>série demasiado curta; cobertura insuficiente; desactualizado;</v>
      </c>
      <c r="AN240" s="25">
        <f>IF(OR(AL240=0,$AP240="Excluir"),0,IF(SUMPRODUCT(($O$5:$O$335=$O240)*($AL$5:$AL$335=1)*($AP$5:$AP$335&lt;&gt;"Excluir")*(($AK$5:$AK$335&gt;$AK240)+(($AK$5:$AK$335=$AK240)*(ROW($O$5:$O$335)&lt;ROW()))))=0,1,0))</f>
        <v>0</v>
      </c>
      <c r="AO240" s="25" t="str">
        <f>IF(AN240=0,"",1+SUMPRODUCT(($B$5:$B$335=$B240)*($AN$5:$AN$335=1)*(($AK$5:$AK$335&gt;$AK240)+(($AK$5:$AK$335=$AK240)*(ROW($B$5:$B$335)&lt;ROW())))))</f>
        <v/>
      </c>
      <c r="AP240" s="22" t="s">
        <v>131</v>
      </c>
      <c r="AQ240" s="25">
        <f>IF(INDEX('01_Criterios'!$C$26:$C$36,MATCH($B240,'01_Criterios'!$B$26:$B$36,0))&lt;&gt;1,0,IF($AP240="Excluir",0,IF($AP240="Incluir",IF(AND(OR($F240="+",$F240="-"),ISNUMBER($G240),ISNUMBER($H240),COUNT($Q240:$AA240)&gt;0),1,0),IF('01_Criterios'!$C$18="Automática",IF(AND($AN240=1,$AO240&lt;&gt;"",$AO240&lt;=INDEX('01_Criterios'!$E$26:$E$36,MATCH($B240,'01_Criterios'!$B$26:$B$36,0))),1,0),0))))</f>
        <v>0</v>
      </c>
      <c r="AR240" s="25" t="str">
        <f>IF(AQ240=0,"",IF($AO240&lt;&gt;"",1+SUMPRODUCT(($B$5:$B$335=$B240)*($AQ$5:$AQ$335=1)*($AO$5:$AO$335&lt;$AO240)),1+SUMPRODUCT(($B$5:$B$335=$B240)*($AQ$5:$AQ$335=1)*ISNUMBER($AO$5:$AO$335))+SUMPRODUCT(($B$5:$B$335=$B240)*($AQ$5:$AQ$335=1)*($AO$5:$AO$335="")*(ROW($AO$5:$AO$335)&lt;ROW()))))</f>
        <v/>
      </c>
      <c r="AS240" s="24" t="s">
        <v>1302</v>
      </c>
    </row>
    <row r="241" spans="1:45">
      <c r="A241" s="20" t="s">
        <v>1303</v>
      </c>
      <c r="B241" s="21" t="s">
        <v>82</v>
      </c>
      <c r="C241" s="21" t="s">
        <v>1304</v>
      </c>
      <c r="D241" s="21" t="s">
        <v>1305</v>
      </c>
      <c r="E241" s="20" t="s">
        <v>542</v>
      </c>
      <c r="F241" s="20" t="s">
        <v>126</v>
      </c>
      <c r="G241" s="20">
        <v>0</v>
      </c>
      <c r="H241" s="20">
        <v>162</v>
      </c>
      <c r="I241" s="20"/>
      <c r="J241" s="22">
        <v>1</v>
      </c>
      <c r="K241" s="21" t="s">
        <v>905</v>
      </c>
      <c r="L241" s="20" t="s">
        <v>1306</v>
      </c>
      <c r="M241" s="21" t="s">
        <v>161</v>
      </c>
      <c r="N241" s="20">
        <v>0</v>
      </c>
      <c r="O241" s="21" t="s">
        <v>1156</v>
      </c>
      <c r="P241" s="20" t="s">
        <v>180</v>
      </c>
      <c r="Q241" s="6">
        <v>107.52857208</v>
      </c>
      <c r="R241" s="6">
        <v>94.014816280000005</v>
      </c>
      <c r="S241" s="6">
        <v>112.75364685</v>
      </c>
      <c r="T241" s="6">
        <v>83.875556950000004</v>
      </c>
      <c r="U241" s="6">
        <v>64.446609499999994</v>
      </c>
      <c r="V241" s="6">
        <v>56.016418459999997</v>
      </c>
      <c r="W241" s="6">
        <v>66.944869999999995</v>
      </c>
      <c r="X241" s="6">
        <v>103.94506072999999</v>
      </c>
      <c r="Y241" s="6">
        <v>76.071182250000007</v>
      </c>
      <c r="Z241" s="6"/>
      <c r="AA241" s="6"/>
      <c r="AB241" s="20">
        <f>COUNT(Q241:AA241)</f>
        <v>9</v>
      </c>
      <c r="AC241" s="23">
        <f>AB241/11</f>
        <v>0.81818181818181823</v>
      </c>
      <c r="AD241" s="20">
        <f>IFERROR(INDEX($Q$4:$AA$4,MATCH(TRUE,INDEX(ISNUMBER(Q241:AA241),0),0)),"")</f>
        <v>2015</v>
      </c>
      <c r="AE241" s="20">
        <f>IFERROR(LOOKUP(2,1/ISNUMBER(Q241:AA241),$Q$4:$AA$4),"")</f>
        <v>2023</v>
      </c>
      <c r="AF241" s="23">
        <f>IF(AB241=0,"",AB241/(AE241-AD241+1))</f>
        <v>1</v>
      </c>
      <c r="AG241" s="20">
        <f>IF(AB241=0,"",'01_Criterios'!$C$8-AE241)</f>
        <v>2</v>
      </c>
      <c r="AH241" s="7">
        <f>IF(P241="Em uso",100,IF(P241="Alta",85,IF(P241="Média",55,30)))</f>
        <v>55</v>
      </c>
      <c r="AI241" s="7">
        <f>ROUND(100*AC241,1)</f>
        <v>81.8</v>
      </c>
      <c r="AJ241" s="7">
        <f>IF(AB241=0,0,ROUND(MAX(0,100*AF241-10*AG241),1))</f>
        <v>80</v>
      </c>
      <c r="AK241" s="7">
        <f>ROUND(('01_Criterios'!$C$19*AH241+'01_Criterios'!$C$20*AI241+'01_Criterios'!$C$21*AJ241)/('01_Criterios'!$C$19+'01_Criterios'!$C$20+'01_Criterios'!$C$21)+N241*'01_Criterios'!$C$22,1)</f>
        <v>70.599999999999994</v>
      </c>
      <c r="AL241" s="20">
        <f>IF(AND(AB241&gt;=3,AC241&gt;='01_Criterios'!$C$11,N(AE241)&gt;='01_Criterios'!$C$12,OR(F241="+",F241="-"),ISNUMBER(G241),ISNUMBER(H241)),1,0)</f>
        <v>1</v>
      </c>
      <c r="AM241" s="24" t="str">
        <f>IF(AL241=1,"",TRIM(IF(AB241=0,"sem dados no período; ",IF(AB241&lt;3,"série demasiado curta; ",""))&amp;IF(AND(AB241&gt;0,AC241&lt;'01_Criterios'!$C$11),"cobertura insuficiente; ","")&amp;IF(AND(AB241&gt;0,N(AE241)&lt;'01_Criterios'!$C$12),"desactualizado; ","")&amp;IF(AND(F241&lt;&gt;"+",F241&lt;&gt;"-"),"sentido ambíguo; ","")&amp;IF(OR(NOT(ISNUMBER(G241)),NOT(ISNUMBER(H241))),"sem limites min/max; ","")))</f>
        <v/>
      </c>
      <c r="AN241" s="20">
        <f>IF(OR(AL241=0,$AP241="Excluir"),0,IF(SUMPRODUCT(($O$5:$O$335=$O241)*($AL$5:$AL$335=1)*($AP$5:$AP$335&lt;&gt;"Excluir")*(($AK$5:$AK$335&gt;$AK241)+(($AK$5:$AK$335=$AK241)*(ROW($O$5:$O$335)&lt;ROW()))))=0,1,0))</f>
        <v>0</v>
      </c>
      <c r="AO241" s="20" t="str">
        <f>IF(AN241=0,"",1+SUMPRODUCT(($B$5:$B$335=$B241)*($AN$5:$AN$335=1)*(($AK$5:$AK$335&gt;$AK241)+(($AK$5:$AK$335=$AK241)*(ROW($B$5:$B$335)&lt;ROW())))))</f>
        <v/>
      </c>
      <c r="AP241" s="22" t="s">
        <v>131</v>
      </c>
      <c r="AQ241" s="20">
        <f>IF(INDEX('01_Criterios'!$C$26:$C$36,MATCH($B241,'01_Criterios'!$B$26:$B$36,0))&lt;&gt;1,0,IF($AP241="Excluir",0,IF($AP241="Incluir",IF(AND(OR($F241="+",$F241="-"),ISNUMBER($G241),ISNUMBER($H241),COUNT($Q241:$AA241)&gt;0),1,0),IF('01_Criterios'!$C$18="Automática",IF(AND($AN241=1,$AO241&lt;&gt;"",$AO241&lt;=INDEX('01_Criterios'!$E$26:$E$36,MATCH($B241,'01_Criterios'!$B$26:$B$36,0))),1,0),0))))</f>
        <v>0</v>
      </c>
      <c r="AR241" s="20" t="str">
        <f>IF(AQ241=0,"",IF($AO241&lt;&gt;"",1+SUMPRODUCT(($B$5:$B$335=$B241)*($AQ$5:$AQ$335=1)*($AO$5:$AO$335&lt;$AO241)),1+SUMPRODUCT(($B$5:$B$335=$B241)*($AQ$5:$AQ$335=1)*ISNUMBER($AO$5:$AO$335))+SUMPRODUCT(($B$5:$B$335=$B241)*($AQ$5:$AQ$335=1)*($AO$5:$AO$335="")*(ROW($AO$5:$AO$335)&lt;ROW()))))</f>
        <v/>
      </c>
      <c r="AS241" s="24" t="s">
        <v>1307</v>
      </c>
    </row>
    <row r="242" spans="1:45">
      <c r="A242" s="25" t="s">
        <v>1308</v>
      </c>
      <c r="B242" s="26" t="s">
        <v>82</v>
      </c>
      <c r="C242" s="26" t="s">
        <v>1173</v>
      </c>
      <c r="D242" s="26" t="s">
        <v>1309</v>
      </c>
      <c r="E242" s="25" t="s">
        <v>1310</v>
      </c>
      <c r="F242" s="25" t="s">
        <v>126</v>
      </c>
      <c r="G242" s="25">
        <v>0</v>
      </c>
      <c r="H242" s="25">
        <v>100</v>
      </c>
      <c r="I242" s="25">
        <v>80</v>
      </c>
      <c r="J242" s="22">
        <v>1</v>
      </c>
      <c r="K242" s="26" t="s">
        <v>905</v>
      </c>
      <c r="L242" s="25" t="s">
        <v>1311</v>
      </c>
      <c r="M242" s="26" t="s">
        <v>161</v>
      </c>
      <c r="N242" s="25">
        <v>0</v>
      </c>
      <c r="O242" s="26" t="s">
        <v>1176</v>
      </c>
      <c r="P242" s="25" t="s">
        <v>180</v>
      </c>
      <c r="Q242" s="27"/>
      <c r="R242" s="27">
        <v>81.599999999999994</v>
      </c>
      <c r="S242" s="27"/>
      <c r="T242" s="27"/>
      <c r="U242" s="27"/>
      <c r="V242" s="27"/>
      <c r="W242" s="27"/>
      <c r="X242" s="27"/>
      <c r="Y242" s="27"/>
      <c r="Z242" s="27"/>
      <c r="AA242" s="27"/>
      <c r="AB242" s="25">
        <f>COUNT(Q242:AA242)</f>
        <v>1</v>
      </c>
      <c r="AC242" s="28">
        <f>AB242/11</f>
        <v>9.0909090909090912E-2</v>
      </c>
      <c r="AD242" s="25">
        <f>IFERROR(INDEX($Q$4:$AA$4,MATCH(TRUE,INDEX(ISNUMBER(Q242:AA242),0),0)),"")</f>
        <v>2016</v>
      </c>
      <c r="AE242" s="25">
        <f>IFERROR(LOOKUP(2,1/ISNUMBER(Q242:AA242),$Q$4:$AA$4),"")</f>
        <v>2016</v>
      </c>
      <c r="AF242" s="28">
        <f>IF(AB242=0,"",AB242/(AE242-AD242+1))</f>
        <v>1</v>
      </c>
      <c r="AG242" s="25">
        <f>IF(AB242=0,"",'01_Criterios'!$C$8-AE242)</f>
        <v>9</v>
      </c>
      <c r="AH242" s="29">
        <f>IF(P242="Em uso",100,IF(P242="Alta",85,IF(P242="Média",55,30)))</f>
        <v>55</v>
      </c>
      <c r="AI242" s="29">
        <f>ROUND(100*AC242,1)</f>
        <v>9.1</v>
      </c>
      <c r="AJ242" s="29">
        <f>IF(AB242=0,0,ROUND(MAX(0,100*AF242-10*AG242),1))</f>
        <v>10</v>
      </c>
      <c r="AK242" s="29">
        <f>ROUND(('01_Criterios'!$C$19*AH242+'01_Criterios'!$C$20*AI242+'01_Criterios'!$C$21*AJ242)/('01_Criterios'!$C$19+'01_Criterios'!$C$20+'01_Criterios'!$C$21)+N242*'01_Criterios'!$C$22,1)</f>
        <v>27.7</v>
      </c>
      <c r="AL242" s="25">
        <f>IF(AND(AB242&gt;=3,AC242&gt;='01_Criterios'!$C$11,N(AE242)&gt;='01_Criterios'!$C$12,OR(F242="+",F242="-"),ISNUMBER(G242),ISNUMBER(H242)),1,0)</f>
        <v>0</v>
      </c>
      <c r="AM242" s="30" t="str">
        <f>IF(AL242=1,"",TRIM(IF(AB242=0,"sem dados no período; ",IF(AB242&lt;3,"série demasiado curta; ",""))&amp;IF(AND(AB242&gt;0,AC242&lt;'01_Criterios'!$C$11),"cobertura insuficiente; ","")&amp;IF(AND(AB242&gt;0,N(AE242)&lt;'01_Criterios'!$C$12),"desactualizado; ","")&amp;IF(AND(F242&lt;&gt;"+",F242&lt;&gt;"-"),"sentido ambíguo; ","")&amp;IF(OR(NOT(ISNUMBER(G242)),NOT(ISNUMBER(H242))),"sem limites min/max; ","")))</f>
        <v>série demasiado curta; cobertura insuficiente; desactualizado;</v>
      </c>
      <c r="AN242" s="25">
        <f>IF(OR(AL242=0,$AP242="Excluir"),0,IF(SUMPRODUCT(($O$5:$O$335=$O242)*($AL$5:$AL$335=1)*($AP$5:$AP$335&lt;&gt;"Excluir")*(($AK$5:$AK$335&gt;$AK242)+(($AK$5:$AK$335=$AK242)*(ROW($O$5:$O$335)&lt;ROW()))))=0,1,0))</f>
        <v>0</v>
      </c>
      <c r="AO242" s="25" t="str">
        <f>IF(AN242=0,"",1+SUMPRODUCT(($B$5:$B$335=$B242)*($AN$5:$AN$335=1)*(($AK$5:$AK$335&gt;$AK242)+(($AK$5:$AK$335=$AK242)*(ROW($B$5:$B$335)&lt;ROW())))))</f>
        <v/>
      </c>
      <c r="AP242" s="22" t="s">
        <v>131</v>
      </c>
      <c r="AQ242" s="25">
        <f>IF(INDEX('01_Criterios'!$C$26:$C$36,MATCH($B242,'01_Criterios'!$B$26:$B$36,0))&lt;&gt;1,0,IF($AP242="Excluir",0,IF($AP242="Incluir",IF(AND(OR($F242="+",$F242="-"),ISNUMBER($G242),ISNUMBER($H242),COUNT($Q242:$AA242)&gt;0),1,0),IF('01_Criterios'!$C$18="Automática",IF(AND($AN242=1,$AO242&lt;&gt;"",$AO242&lt;=INDEX('01_Criterios'!$E$26:$E$36,MATCH($B242,'01_Criterios'!$B$26:$B$36,0))),1,0),0))))</f>
        <v>0</v>
      </c>
      <c r="AR242" s="25" t="str">
        <f>IF(AQ242=0,"",IF($AO242&lt;&gt;"",1+SUMPRODUCT(($B$5:$B$335=$B242)*($AQ$5:$AQ$335=1)*($AO$5:$AO$335&lt;$AO242)),1+SUMPRODUCT(($B$5:$B$335=$B242)*($AQ$5:$AQ$335=1)*ISNUMBER($AO$5:$AO$335))+SUMPRODUCT(($B$5:$B$335=$B242)*($AQ$5:$AQ$335=1)*($AO$5:$AO$335="")*(ROW($AO$5:$AO$335)&lt;ROW()))))</f>
        <v/>
      </c>
      <c r="AS242" s="24" t="s">
        <v>1312</v>
      </c>
    </row>
    <row r="243" spans="1:45">
      <c r="A243" s="20" t="s">
        <v>1313</v>
      </c>
      <c r="B243" s="21" t="s">
        <v>82</v>
      </c>
      <c r="C243" s="21" t="s">
        <v>1140</v>
      </c>
      <c r="D243" s="21" t="s">
        <v>1314</v>
      </c>
      <c r="E243" s="20" t="s">
        <v>1279</v>
      </c>
      <c r="F243" s="20" t="s">
        <v>126</v>
      </c>
      <c r="G243" s="20">
        <v>50</v>
      </c>
      <c r="H243" s="20">
        <v>150</v>
      </c>
      <c r="I243" s="20">
        <v>110</v>
      </c>
      <c r="J243" s="22">
        <v>1</v>
      </c>
      <c r="K243" s="21" t="s">
        <v>1187</v>
      </c>
      <c r="L243" s="20" t="s">
        <v>1315</v>
      </c>
      <c r="M243" s="21" t="s">
        <v>161</v>
      </c>
      <c r="N243" s="20">
        <v>0</v>
      </c>
      <c r="O243" s="21" t="s">
        <v>1281</v>
      </c>
      <c r="P243" s="20" t="s">
        <v>180</v>
      </c>
      <c r="Q243" s="6">
        <v>100.7</v>
      </c>
      <c r="R243" s="6">
        <v>104.88</v>
      </c>
      <c r="S243" s="6">
        <v>105.13</v>
      </c>
      <c r="T243" s="6">
        <v>107.35</v>
      </c>
      <c r="U243" s="6">
        <v>110.28</v>
      </c>
      <c r="V243" s="6">
        <v>114.88</v>
      </c>
      <c r="W243" s="6">
        <v>117.5</v>
      </c>
      <c r="X243" s="6">
        <v>124.09</v>
      </c>
      <c r="Y243" s="6"/>
      <c r="Z243" s="6"/>
      <c r="AA243" s="6"/>
      <c r="AB243" s="20">
        <f>COUNT(Q243:AA243)</f>
        <v>8</v>
      </c>
      <c r="AC243" s="23">
        <f>AB243/11</f>
        <v>0.72727272727272729</v>
      </c>
      <c r="AD243" s="20">
        <f>IFERROR(INDEX($Q$4:$AA$4,MATCH(TRUE,INDEX(ISNUMBER(Q243:AA243),0),0)),"")</f>
        <v>2015</v>
      </c>
      <c r="AE243" s="20">
        <f>IFERROR(LOOKUP(2,1/ISNUMBER(Q243:AA243),$Q$4:$AA$4),"")</f>
        <v>2022</v>
      </c>
      <c r="AF243" s="23">
        <f>IF(AB243=0,"",AB243/(AE243-AD243+1))</f>
        <v>1</v>
      </c>
      <c r="AG243" s="20">
        <f>IF(AB243=0,"",'01_Criterios'!$C$8-AE243)</f>
        <v>3</v>
      </c>
      <c r="AH243" s="7">
        <f>IF(P243="Em uso",100,IF(P243="Alta",85,IF(P243="Média",55,30)))</f>
        <v>55</v>
      </c>
      <c r="AI243" s="7">
        <f>ROUND(100*AC243,1)</f>
        <v>72.7</v>
      </c>
      <c r="AJ243" s="7">
        <f>IF(AB243=0,0,ROUND(MAX(0,100*AF243-10*AG243),1))</f>
        <v>70</v>
      </c>
      <c r="AK243" s="7">
        <f>ROUND(('01_Criterios'!$C$19*AH243+'01_Criterios'!$C$20*AI243+'01_Criterios'!$C$21*AJ243)/('01_Criterios'!$C$19+'01_Criterios'!$C$20+'01_Criterios'!$C$21)+N243*'01_Criterios'!$C$22,1)</f>
        <v>64.900000000000006</v>
      </c>
      <c r="AL243" s="20">
        <f>IF(AND(AB243&gt;=3,AC243&gt;='01_Criterios'!$C$11,N(AE243)&gt;='01_Criterios'!$C$12,OR(F243="+",F243="-"),ISNUMBER(G243),ISNUMBER(H243)),1,0)</f>
        <v>0</v>
      </c>
      <c r="AM243" s="24" t="str">
        <f>IF(AL243=1,"",TRIM(IF(AB243=0,"sem dados no período; ",IF(AB243&lt;3,"série demasiado curta; ",""))&amp;IF(AND(AB243&gt;0,AC243&lt;'01_Criterios'!$C$11),"cobertura insuficiente; ","")&amp;IF(AND(AB243&gt;0,N(AE243)&lt;'01_Criterios'!$C$12),"desactualizado; ","")&amp;IF(AND(F243&lt;&gt;"+",F243&lt;&gt;"-"),"sentido ambíguo; ","")&amp;IF(OR(NOT(ISNUMBER(G243)),NOT(ISNUMBER(H243))),"sem limites min/max; ","")))</f>
        <v>cobertura insuficiente; desactualizado;</v>
      </c>
      <c r="AN243" s="20">
        <f>IF(OR(AL243=0,$AP243="Excluir"),0,IF(SUMPRODUCT(($O$5:$O$335=$O243)*($AL$5:$AL$335=1)*($AP$5:$AP$335&lt;&gt;"Excluir")*(($AK$5:$AK$335&gt;$AK243)+(($AK$5:$AK$335=$AK243)*(ROW($O$5:$O$335)&lt;ROW()))))=0,1,0))</f>
        <v>0</v>
      </c>
      <c r="AO243" s="20" t="str">
        <f>IF(AN243=0,"",1+SUMPRODUCT(($B$5:$B$335=$B243)*($AN$5:$AN$335=1)*(($AK$5:$AK$335&gt;$AK243)+(($AK$5:$AK$335=$AK243)*(ROW($B$5:$B$335)&lt;ROW())))))</f>
        <v/>
      </c>
      <c r="AP243" s="22" t="s">
        <v>131</v>
      </c>
      <c r="AQ243" s="20">
        <f>IF(INDEX('01_Criterios'!$C$26:$C$36,MATCH($B243,'01_Criterios'!$B$26:$B$36,0))&lt;&gt;1,0,IF($AP243="Excluir",0,IF($AP243="Incluir",IF(AND(OR($F243="+",$F243="-"),ISNUMBER($G243),ISNUMBER($H243),COUNT($Q243:$AA243)&gt;0),1,0),IF('01_Criterios'!$C$18="Automática",IF(AND($AN243=1,$AO243&lt;&gt;"",$AO243&lt;=INDEX('01_Criterios'!$E$26:$E$36,MATCH($B243,'01_Criterios'!$B$26:$B$36,0))),1,0),0))))</f>
        <v>0</v>
      </c>
      <c r="AR243" s="20" t="str">
        <f>IF(AQ243=0,"",IF($AO243&lt;&gt;"",1+SUMPRODUCT(($B$5:$B$335=$B243)*($AQ$5:$AQ$335=1)*($AO$5:$AO$335&lt;$AO243)),1+SUMPRODUCT(($B$5:$B$335=$B243)*($AQ$5:$AQ$335=1)*ISNUMBER($AO$5:$AO$335))+SUMPRODUCT(($B$5:$B$335=$B243)*($AQ$5:$AQ$335=1)*($AO$5:$AO$335="")*(ROW($AO$5:$AO$335)&lt;ROW()))))</f>
        <v/>
      </c>
      <c r="AS243" s="24" t="s">
        <v>1316</v>
      </c>
    </row>
    <row r="244" spans="1:45">
      <c r="A244" s="25" t="s">
        <v>1317</v>
      </c>
      <c r="B244" s="26" t="s">
        <v>82</v>
      </c>
      <c r="C244" s="26" t="s">
        <v>1140</v>
      </c>
      <c r="D244" s="26" t="s">
        <v>1318</v>
      </c>
      <c r="E244" s="25" t="s">
        <v>135</v>
      </c>
      <c r="F244" s="25" t="s">
        <v>126</v>
      </c>
      <c r="G244" s="25">
        <v>0</v>
      </c>
      <c r="H244" s="25">
        <v>100</v>
      </c>
      <c r="I244" s="25">
        <v>55</v>
      </c>
      <c r="J244" s="22">
        <v>1</v>
      </c>
      <c r="K244" s="26" t="s">
        <v>905</v>
      </c>
      <c r="L244" s="25" t="s">
        <v>1319</v>
      </c>
      <c r="M244" s="26" t="s">
        <v>129</v>
      </c>
      <c r="N244" s="25">
        <v>0</v>
      </c>
      <c r="O244" s="26" t="s">
        <v>1317</v>
      </c>
      <c r="P244" s="25" t="s">
        <v>268</v>
      </c>
      <c r="Q244" s="27">
        <v>39</v>
      </c>
      <c r="R244" s="27">
        <v>40</v>
      </c>
      <c r="S244" s="27">
        <v>42</v>
      </c>
      <c r="T244" s="27">
        <v>41</v>
      </c>
      <c r="U244" s="27">
        <v>45</v>
      </c>
      <c r="V244" s="27">
        <v>43</v>
      </c>
      <c r="W244" s="27">
        <v>38</v>
      </c>
      <c r="X244" s="27">
        <v>45</v>
      </c>
      <c r="Y244" s="27">
        <v>44</v>
      </c>
      <c r="Z244" s="27"/>
      <c r="AA244" s="27"/>
      <c r="AB244" s="25">
        <f>COUNT(Q244:AA244)</f>
        <v>9</v>
      </c>
      <c r="AC244" s="28">
        <f>AB244/11</f>
        <v>0.81818181818181823</v>
      </c>
      <c r="AD244" s="25">
        <f>IFERROR(INDEX($Q$4:$AA$4,MATCH(TRUE,INDEX(ISNUMBER(Q244:AA244),0),0)),"")</f>
        <v>2015</v>
      </c>
      <c r="AE244" s="25">
        <f>IFERROR(LOOKUP(2,1/ISNUMBER(Q244:AA244),$Q$4:$AA$4),"")</f>
        <v>2023</v>
      </c>
      <c r="AF244" s="28">
        <f>IF(AB244=0,"",AB244/(AE244-AD244+1))</f>
        <v>1</v>
      </c>
      <c r="AG244" s="25">
        <f>IF(AB244=0,"",'01_Criterios'!$C$8-AE244)</f>
        <v>2</v>
      </c>
      <c r="AH244" s="29">
        <f>IF(P244="Em uso",100,IF(P244="Alta",85,IF(P244="Média",55,30)))</f>
        <v>30</v>
      </c>
      <c r="AI244" s="29">
        <f>ROUND(100*AC244,1)</f>
        <v>81.8</v>
      </c>
      <c r="AJ244" s="29">
        <f>IF(AB244=0,0,ROUND(MAX(0,100*AF244-10*AG244),1))</f>
        <v>80</v>
      </c>
      <c r="AK244" s="29">
        <f>ROUND(('01_Criterios'!$C$19*AH244+'01_Criterios'!$C$20*AI244+'01_Criterios'!$C$21*AJ244)/('01_Criterios'!$C$19+'01_Criterios'!$C$20+'01_Criterios'!$C$21)+N244*'01_Criterios'!$C$22,1)</f>
        <v>60.6</v>
      </c>
      <c r="AL244" s="25">
        <f>IF(AND(AB244&gt;=3,AC244&gt;='01_Criterios'!$C$11,N(AE244)&gt;='01_Criterios'!$C$12,OR(F244="+",F244="-"),ISNUMBER(G244),ISNUMBER(H244)),1,0)</f>
        <v>1</v>
      </c>
      <c r="AM244" s="30" t="str">
        <f>IF(AL244=1,"",TRIM(IF(AB244=0,"sem dados no período; ",IF(AB244&lt;3,"série demasiado curta; ",""))&amp;IF(AND(AB244&gt;0,AC244&lt;'01_Criterios'!$C$11),"cobertura insuficiente; ","")&amp;IF(AND(AB244&gt;0,N(AE244)&lt;'01_Criterios'!$C$12),"desactualizado; ","")&amp;IF(AND(F244&lt;&gt;"+",F244&lt;&gt;"-"),"sentido ambíguo; ","")&amp;IF(OR(NOT(ISNUMBER(G244)),NOT(ISNUMBER(H244))),"sem limites min/max; ","")))</f>
        <v/>
      </c>
      <c r="AN244" s="25">
        <f>IF(OR(AL244=0,$AP244="Excluir"),0,IF(SUMPRODUCT(($O$5:$O$335=$O244)*($AL$5:$AL$335=1)*($AP$5:$AP$335&lt;&gt;"Excluir")*(($AK$5:$AK$335&gt;$AK244)+(($AK$5:$AK$335=$AK244)*(ROW($O$5:$O$335)&lt;ROW()))))=0,1,0))</f>
        <v>1</v>
      </c>
      <c r="AO244" s="25">
        <f>IF(AN244=0,"",1+SUMPRODUCT(($B$5:$B$335=$B244)*($AN$5:$AN$335=1)*(($AK$5:$AK$335&gt;$AK244)+(($AK$5:$AK$335=$AK244)*(ROW($B$5:$B$335)&lt;ROW())))))</f>
        <v>11</v>
      </c>
      <c r="AP244" s="22" t="s">
        <v>131</v>
      </c>
      <c r="AQ244" s="25">
        <f>IF(INDEX('01_Criterios'!$C$26:$C$36,MATCH($B244,'01_Criterios'!$B$26:$B$36,0))&lt;&gt;1,0,IF($AP244="Excluir",0,IF($AP244="Incluir",IF(AND(OR($F244="+",$F244="-"),ISNUMBER($G244),ISNUMBER($H244),COUNT($Q244:$AA244)&gt;0),1,0),IF('01_Criterios'!$C$18="Automática",IF(AND($AN244=1,$AO244&lt;&gt;"",$AO244&lt;=INDEX('01_Criterios'!$E$26:$E$36,MATCH($B244,'01_Criterios'!$B$26:$B$36,0))),1,0),0))))</f>
        <v>0</v>
      </c>
      <c r="AR244" s="25" t="str">
        <f>IF(AQ244=0,"",IF($AO244&lt;&gt;"",1+SUMPRODUCT(($B$5:$B$335=$B244)*($AQ$5:$AQ$335=1)*($AO$5:$AO$335&lt;$AO244)),1+SUMPRODUCT(($B$5:$B$335=$B244)*($AQ$5:$AQ$335=1)*ISNUMBER($AO$5:$AO$335))+SUMPRODUCT(($B$5:$B$335=$B244)*($AQ$5:$AQ$335=1)*($AO$5:$AO$335="")*(ROW($AO$5:$AO$335)&lt;ROW()))))</f>
        <v/>
      </c>
      <c r="AS244" s="24" t="s">
        <v>1320</v>
      </c>
    </row>
    <row r="245" spans="1:45">
      <c r="A245" s="20" t="s">
        <v>1321</v>
      </c>
      <c r="B245" s="21" t="s">
        <v>82</v>
      </c>
      <c r="C245" s="21" t="s">
        <v>1322</v>
      </c>
      <c r="D245" s="21" t="s">
        <v>1323</v>
      </c>
      <c r="E245" s="20" t="s">
        <v>157</v>
      </c>
      <c r="F245" s="20" t="s">
        <v>158</v>
      </c>
      <c r="G245" s="20">
        <v>0</v>
      </c>
      <c r="H245" s="20">
        <v>50</v>
      </c>
      <c r="I245" s="20">
        <v>10</v>
      </c>
      <c r="J245" s="22">
        <v>1</v>
      </c>
      <c r="K245" s="21" t="s">
        <v>675</v>
      </c>
      <c r="L245" s="20" t="s">
        <v>1324</v>
      </c>
      <c r="M245" s="21" t="s">
        <v>677</v>
      </c>
      <c r="N245" s="20">
        <v>0</v>
      </c>
      <c r="O245" s="21" t="s">
        <v>1321</v>
      </c>
      <c r="P245" s="20" t="s">
        <v>268</v>
      </c>
      <c r="Q245" s="6">
        <v>4.8117983999999998</v>
      </c>
      <c r="R245" s="6">
        <v>13.752644</v>
      </c>
      <c r="S245" s="6">
        <v>14.146288999999999</v>
      </c>
      <c r="T245" s="6">
        <v>10.116035</v>
      </c>
      <c r="U245" s="6">
        <v>14.972315999999999</v>
      </c>
      <c r="V245" s="6">
        <v>5.7630971000000004</v>
      </c>
      <c r="W245" s="6">
        <v>11.109583000000001</v>
      </c>
      <c r="X245" s="6">
        <v>11.473734</v>
      </c>
      <c r="Y245" s="6"/>
      <c r="Z245" s="6"/>
      <c r="AA245" s="6"/>
      <c r="AB245" s="20">
        <f>COUNT(Q245:AA245)</f>
        <v>8</v>
      </c>
      <c r="AC245" s="23">
        <f>AB245/11</f>
        <v>0.72727272727272729</v>
      </c>
      <c r="AD245" s="20">
        <f>IFERROR(INDEX($Q$4:$AA$4,MATCH(TRUE,INDEX(ISNUMBER(Q245:AA245),0),0)),"")</f>
        <v>2015</v>
      </c>
      <c r="AE245" s="20">
        <f>IFERROR(LOOKUP(2,1/ISNUMBER(Q245:AA245),$Q$4:$AA$4),"")</f>
        <v>2022</v>
      </c>
      <c r="AF245" s="23">
        <f>IF(AB245=0,"",AB245/(AE245-AD245+1))</f>
        <v>1</v>
      </c>
      <c r="AG245" s="20">
        <f>IF(AB245=0,"",'01_Criterios'!$C$8-AE245)</f>
        <v>3</v>
      </c>
      <c r="AH245" s="7">
        <f>IF(P245="Em uso",100,IF(P245="Alta",85,IF(P245="Média",55,30)))</f>
        <v>30</v>
      </c>
      <c r="AI245" s="7">
        <f>ROUND(100*AC245,1)</f>
        <v>72.7</v>
      </c>
      <c r="AJ245" s="7">
        <f>IF(AB245=0,0,ROUND(MAX(0,100*AF245-10*AG245),1))</f>
        <v>70</v>
      </c>
      <c r="AK245" s="7">
        <f>ROUND(('01_Criterios'!$C$19*AH245+'01_Criterios'!$C$20*AI245+'01_Criterios'!$C$21*AJ245)/('01_Criterios'!$C$19+'01_Criterios'!$C$20+'01_Criterios'!$C$21)+N245*'01_Criterios'!$C$22,1)</f>
        <v>54.9</v>
      </c>
      <c r="AL245" s="20">
        <f>IF(AND(AB245&gt;=3,AC245&gt;='01_Criterios'!$C$11,N(AE245)&gt;='01_Criterios'!$C$12,OR(F245="+",F245="-"),ISNUMBER(G245),ISNUMBER(H245)),1,0)</f>
        <v>0</v>
      </c>
      <c r="AM245" s="24" t="str">
        <f>IF(AL245=1,"",TRIM(IF(AB245=0,"sem dados no período; ",IF(AB245&lt;3,"série demasiado curta; ",""))&amp;IF(AND(AB245&gt;0,AC245&lt;'01_Criterios'!$C$11),"cobertura insuficiente; ","")&amp;IF(AND(AB245&gt;0,N(AE245)&lt;'01_Criterios'!$C$12),"desactualizado; ","")&amp;IF(AND(F245&lt;&gt;"+",F245&lt;&gt;"-"),"sentido ambíguo; ","")&amp;IF(OR(NOT(ISNUMBER(G245)),NOT(ISNUMBER(H245))),"sem limites min/max; ","")))</f>
        <v>cobertura insuficiente; desactualizado;</v>
      </c>
      <c r="AN245" s="20">
        <f>IF(OR(AL245=0,$AP245="Excluir"),0,IF(SUMPRODUCT(($O$5:$O$335=$O245)*($AL$5:$AL$335=1)*($AP$5:$AP$335&lt;&gt;"Excluir")*(($AK$5:$AK$335&gt;$AK245)+(($AK$5:$AK$335=$AK245)*(ROW($O$5:$O$335)&lt;ROW()))))=0,1,0))</f>
        <v>0</v>
      </c>
      <c r="AO245" s="20" t="str">
        <f>IF(AN245=0,"",1+SUMPRODUCT(($B$5:$B$335=$B245)*($AN$5:$AN$335=1)*(($AK$5:$AK$335&gt;$AK245)+(($AK$5:$AK$335=$AK245)*(ROW($B$5:$B$335)&lt;ROW())))))</f>
        <v/>
      </c>
      <c r="AP245" s="22" t="s">
        <v>131</v>
      </c>
      <c r="AQ245" s="20">
        <f>IF(INDEX('01_Criterios'!$C$26:$C$36,MATCH($B245,'01_Criterios'!$B$26:$B$36,0))&lt;&gt;1,0,IF($AP245="Excluir",0,IF($AP245="Incluir",IF(AND(OR($F245="+",$F245="-"),ISNUMBER($G245),ISNUMBER($H245),COUNT($Q245:$AA245)&gt;0),1,0),IF('01_Criterios'!$C$18="Automática",IF(AND($AN245=1,$AO245&lt;&gt;"",$AO245&lt;=INDEX('01_Criterios'!$E$26:$E$36,MATCH($B245,'01_Criterios'!$B$26:$B$36,0))),1,0),0))))</f>
        <v>0</v>
      </c>
      <c r="AR245" s="20" t="str">
        <f>IF(AQ245=0,"",IF($AO245&lt;&gt;"",1+SUMPRODUCT(($B$5:$B$335=$B245)*($AQ$5:$AQ$335=1)*($AO$5:$AO$335&lt;$AO245)),1+SUMPRODUCT(($B$5:$B$335=$B245)*($AQ$5:$AQ$335=1)*ISNUMBER($AO$5:$AO$335))+SUMPRODUCT(($B$5:$B$335=$B245)*($AQ$5:$AQ$335=1)*($AO$5:$AO$335="")*(ROW($AO$5:$AO$335)&lt;ROW()))))</f>
        <v/>
      </c>
      <c r="AS245" s="24" t="s">
        <v>1325</v>
      </c>
    </row>
    <row r="246" spans="1:45">
      <c r="A246" s="25" t="s">
        <v>1326</v>
      </c>
      <c r="B246" s="26" t="s">
        <v>82</v>
      </c>
      <c r="C246" s="26" t="s">
        <v>1322</v>
      </c>
      <c r="D246" s="26" t="s">
        <v>1327</v>
      </c>
      <c r="E246" s="25" t="s">
        <v>232</v>
      </c>
      <c r="F246" s="25" t="s">
        <v>158</v>
      </c>
      <c r="G246" s="25">
        <v>0</v>
      </c>
      <c r="H246" s="25">
        <v>30</v>
      </c>
      <c r="I246" s="25">
        <v>5</v>
      </c>
      <c r="J246" s="22">
        <v>1</v>
      </c>
      <c r="K246" s="26" t="s">
        <v>905</v>
      </c>
      <c r="L246" s="25" t="s">
        <v>1328</v>
      </c>
      <c r="M246" s="26" t="s">
        <v>161</v>
      </c>
      <c r="N246" s="25">
        <v>0</v>
      </c>
      <c r="O246" s="26" t="s">
        <v>1326</v>
      </c>
      <c r="P246" s="25" t="s">
        <v>268</v>
      </c>
      <c r="Q246" s="27">
        <v>6.56</v>
      </c>
      <c r="R246" s="27">
        <v>6.49</v>
      </c>
      <c r="S246" s="27">
        <v>6.47</v>
      </c>
      <c r="T246" s="27">
        <v>7.15</v>
      </c>
      <c r="U246" s="27">
        <v>7.52</v>
      </c>
      <c r="V246" s="27">
        <v>7.41</v>
      </c>
      <c r="W246" s="27">
        <v>8.11</v>
      </c>
      <c r="X246" s="27"/>
      <c r="Y246" s="27"/>
      <c r="Z246" s="27"/>
      <c r="AA246" s="27"/>
      <c r="AB246" s="25">
        <f>COUNT(Q246:AA246)</f>
        <v>7</v>
      </c>
      <c r="AC246" s="28">
        <f>AB246/11</f>
        <v>0.63636363636363635</v>
      </c>
      <c r="AD246" s="25">
        <f>IFERROR(INDEX($Q$4:$AA$4,MATCH(TRUE,INDEX(ISNUMBER(Q246:AA246),0),0)),"")</f>
        <v>2015</v>
      </c>
      <c r="AE246" s="25">
        <f>IFERROR(LOOKUP(2,1/ISNUMBER(Q246:AA246),$Q$4:$AA$4),"")</f>
        <v>2021</v>
      </c>
      <c r="AF246" s="28">
        <f>IF(AB246=0,"",AB246/(AE246-AD246+1))</f>
        <v>1</v>
      </c>
      <c r="AG246" s="25">
        <f>IF(AB246=0,"",'01_Criterios'!$C$8-AE246)</f>
        <v>4</v>
      </c>
      <c r="AH246" s="29">
        <f>IF(P246="Em uso",100,IF(P246="Alta",85,IF(P246="Média",55,30)))</f>
        <v>30</v>
      </c>
      <c r="AI246" s="29">
        <f>ROUND(100*AC246,1)</f>
        <v>63.6</v>
      </c>
      <c r="AJ246" s="29">
        <f>IF(AB246=0,0,ROUND(MAX(0,100*AF246-10*AG246),1))</f>
        <v>60</v>
      </c>
      <c r="AK246" s="29">
        <f>ROUND(('01_Criterios'!$C$19*AH246+'01_Criterios'!$C$20*AI246+'01_Criterios'!$C$21*AJ246)/('01_Criterios'!$C$19+'01_Criterios'!$C$20+'01_Criterios'!$C$21)+N246*'01_Criterios'!$C$22,1)</f>
        <v>49.3</v>
      </c>
      <c r="AL246" s="25">
        <f>IF(AND(AB246&gt;=3,AC246&gt;='01_Criterios'!$C$11,N(AE246)&gt;='01_Criterios'!$C$12,OR(F246="+",F246="-"),ISNUMBER(G246),ISNUMBER(H246)),1,0)</f>
        <v>0</v>
      </c>
      <c r="AM246" s="30" t="str">
        <f>IF(AL246=1,"",TRIM(IF(AB246=0,"sem dados no período; ",IF(AB246&lt;3,"série demasiado curta; ",""))&amp;IF(AND(AB246&gt;0,AC246&lt;'01_Criterios'!$C$11),"cobertura insuficiente; ","")&amp;IF(AND(AB246&gt;0,N(AE246)&lt;'01_Criterios'!$C$12),"desactualizado; ","")&amp;IF(AND(F246&lt;&gt;"+",F246&lt;&gt;"-"),"sentido ambíguo; ","")&amp;IF(OR(NOT(ISNUMBER(G246)),NOT(ISNUMBER(H246))),"sem limites min/max; ","")))</f>
        <v>cobertura insuficiente; desactualizado;</v>
      </c>
      <c r="AN246" s="25">
        <f>IF(OR(AL246=0,$AP246="Excluir"),0,IF(SUMPRODUCT(($O$5:$O$335=$O246)*($AL$5:$AL$335=1)*($AP$5:$AP$335&lt;&gt;"Excluir")*(($AK$5:$AK$335&gt;$AK246)+(($AK$5:$AK$335=$AK246)*(ROW($O$5:$O$335)&lt;ROW()))))=0,1,0))</f>
        <v>0</v>
      </c>
      <c r="AO246" s="25" t="str">
        <f>IF(AN246=0,"",1+SUMPRODUCT(($B$5:$B$335=$B246)*($AN$5:$AN$335=1)*(($AK$5:$AK$335&gt;$AK246)+(($AK$5:$AK$335=$AK246)*(ROW($B$5:$B$335)&lt;ROW())))))</f>
        <v/>
      </c>
      <c r="AP246" s="22" t="s">
        <v>131</v>
      </c>
      <c r="AQ246" s="25">
        <f>IF(INDEX('01_Criterios'!$C$26:$C$36,MATCH($B246,'01_Criterios'!$B$26:$B$36,0))&lt;&gt;1,0,IF($AP246="Excluir",0,IF($AP246="Incluir",IF(AND(OR($F246="+",$F246="-"),ISNUMBER($G246),ISNUMBER($H246),COUNT($Q246:$AA246)&gt;0),1,0),IF('01_Criterios'!$C$18="Automática",IF(AND($AN246=1,$AO246&lt;&gt;"",$AO246&lt;=INDEX('01_Criterios'!$E$26:$E$36,MATCH($B246,'01_Criterios'!$B$26:$B$36,0))),1,0),0))))</f>
        <v>0</v>
      </c>
      <c r="AR246" s="25" t="str">
        <f>IF(AQ246=0,"",IF($AO246&lt;&gt;"",1+SUMPRODUCT(($B$5:$B$335=$B246)*($AQ$5:$AQ$335=1)*($AO$5:$AO$335&lt;$AO246)),1+SUMPRODUCT(($B$5:$B$335=$B246)*($AQ$5:$AQ$335=1)*ISNUMBER($AO$5:$AO$335))+SUMPRODUCT(($B$5:$B$335=$B246)*($AQ$5:$AQ$335=1)*($AO$5:$AO$335="")*(ROW($AO$5:$AO$335)&lt;ROW()))))</f>
        <v/>
      </c>
      <c r="AS246" s="24" t="s">
        <v>1329</v>
      </c>
    </row>
    <row r="247" spans="1:45">
      <c r="A247" s="20" t="s">
        <v>1330</v>
      </c>
      <c r="B247" s="21" t="s">
        <v>83</v>
      </c>
      <c r="C247" s="21" t="s">
        <v>1331</v>
      </c>
      <c r="D247" s="21" t="s">
        <v>309</v>
      </c>
      <c r="E247" s="20" t="s">
        <v>157</v>
      </c>
      <c r="F247" s="20" t="s">
        <v>126</v>
      </c>
      <c r="G247" s="20">
        <v>-10</v>
      </c>
      <c r="H247" s="20">
        <v>15</v>
      </c>
      <c r="I247" s="20">
        <v>5</v>
      </c>
      <c r="J247" s="22">
        <v>1</v>
      </c>
      <c r="K247" s="21" t="s">
        <v>310</v>
      </c>
      <c r="L247" s="20" t="s">
        <v>311</v>
      </c>
      <c r="M247" s="21" t="s">
        <v>879</v>
      </c>
      <c r="N247" s="20">
        <v>1</v>
      </c>
      <c r="O247" s="21" t="s">
        <v>1330</v>
      </c>
      <c r="P247" s="20" t="s">
        <v>152</v>
      </c>
      <c r="Q247" s="6">
        <v>-3.6888000000000001</v>
      </c>
      <c r="R247" s="6">
        <v>0.92749999999999999</v>
      </c>
      <c r="S247" s="6">
        <v>3.9201000000000001</v>
      </c>
      <c r="T247" s="6">
        <v>3.1939000000000002</v>
      </c>
      <c r="U247" s="6">
        <v>1.2479</v>
      </c>
      <c r="V247" s="6">
        <v>-4.7728000000000002</v>
      </c>
      <c r="W247" s="6">
        <v>5.3132999999999999</v>
      </c>
      <c r="X247" s="6">
        <v>3.1457000000000002</v>
      </c>
      <c r="Y247" s="6">
        <v>2.3972000000000002</v>
      </c>
      <c r="Z247" s="6">
        <v>5.3951000000000002</v>
      </c>
      <c r="AA247" s="6">
        <v>5.3792999999999997</v>
      </c>
      <c r="AB247" s="20">
        <f>COUNT(Q247:AA247)</f>
        <v>11</v>
      </c>
      <c r="AC247" s="23">
        <f>AB247/11</f>
        <v>1</v>
      </c>
      <c r="AD247" s="20">
        <f>IFERROR(INDEX($Q$4:$AA$4,MATCH(TRUE,INDEX(ISNUMBER(Q247:AA247),0),0)),"")</f>
        <v>2015</v>
      </c>
      <c r="AE247" s="20">
        <f>IFERROR(LOOKUP(2,1/ISNUMBER(Q247:AA247),$Q$4:$AA$4),"")</f>
        <v>2025</v>
      </c>
      <c r="AF247" s="23">
        <f>IF(AB247=0,"",AB247/(AE247-AD247+1))</f>
        <v>1</v>
      </c>
      <c r="AG247" s="20">
        <f>IF(AB247=0,"",'01_Criterios'!$C$8-AE247)</f>
        <v>0</v>
      </c>
      <c r="AH247" s="7">
        <f>IF(P247="Em uso",100,IF(P247="Alta",85,IF(P247="Média",55,30)))</f>
        <v>85</v>
      </c>
      <c r="AI247" s="7">
        <f>ROUND(100*AC247,1)</f>
        <v>100</v>
      </c>
      <c r="AJ247" s="7">
        <f>IF(AB247=0,0,ROUND(MAX(0,100*AF247-10*AG247),1))</f>
        <v>100</v>
      </c>
      <c r="AK247" s="7">
        <f>ROUND(('01_Criterios'!$C$19*AH247+'01_Criterios'!$C$20*AI247+'01_Criterios'!$C$21*AJ247)/('01_Criterios'!$C$19+'01_Criterios'!$C$20+'01_Criterios'!$C$21)+N247*'01_Criterios'!$C$22,1)</f>
        <v>106</v>
      </c>
      <c r="AL247" s="20">
        <f>IF(AND(AB247&gt;=3,AC247&gt;='01_Criterios'!$C$11,N(AE247)&gt;='01_Criterios'!$C$12,OR(F247="+",F247="-"),ISNUMBER(G247),ISNUMBER(H247)),1,0)</f>
        <v>1</v>
      </c>
      <c r="AM247" s="24" t="str">
        <f>IF(AL247=1,"",TRIM(IF(AB247=0,"sem dados no período; ",IF(AB247&lt;3,"série demasiado curta; ",""))&amp;IF(AND(AB247&gt;0,AC247&lt;'01_Criterios'!$C$11),"cobertura insuficiente; ","")&amp;IF(AND(AB247&gt;0,N(AE247)&lt;'01_Criterios'!$C$12),"desactualizado; ","")&amp;IF(AND(F247&lt;&gt;"+",F247&lt;&gt;"-"),"sentido ambíguo; ","")&amp;IF(OR(NOT(ISNUMBER(G247)),NOT(ISNUMBER(H247))),"sem limites min/max; ","")))</f>
        <v/>
      </c>
      <c r="AN247" s="20">
        <f>IF(OR(AL247=0,$AP247="Excluir"),0,IF(SUMPRODUCT(($O$5:$O$335=$O247)*($AL$5:$AL$335=1)*($AP$5:$AP$335&lt;&gt;"Excluir")*(($AK$5:$AK$335&gt;$AK247)+(($AK$5:$AK$335=$AK247)*(ROW($O$5:$O$335)&lt;ROW()))))=0,1,0))</f>
        <v>1</v>
      </c>
      <c r="AO247" s="20">
        <f>IF(AN247=0,"",1+SUMPRODUCT(($B$5:$B$335=$B247)*($AN$5:$AN$335=1)*(($AK$5:$AK$335&gt;$AK247)+(($AK$5:$AK$335=$AK247)*(ROW($B$5:$B$335)&lt;ROW())))))</f>
        <v>1</v>
      </c>
      <c r="AP247" s="22" t="s">
        <v>131</v>
      </c>
      <c r="AQ247" s="20">
        <f>IF(INDEX('01_Criterios'!$C$26:$C$36,MATCH($B247,'01_Criterios'!$B$26:$B$36,0))&lt;&gt;1,0,IF($AP247="Excluir",0,IF($AP247="Incluir",IF(AND(OR($F247="+",$F247="-"),ISNUMBER($G247),ISNUMBER($H247),COUNT($Q247:$AA247)&gt;0),1,0),IF('01_Criterios'!$C$18="Automática",IF(AND($AN247=1,$AO247&lt;&gt;"",$AO247&lt;=INDEX('01_Criterios'!$E$26:$E$36,MATCH($B247,'01_Criterios'!$B$26:$B$36,0))),1,0),0))))</f>
        <v>1</v>
      </c>
      <c r="AR247" s="20">
        <f>IF(AQ247=0,"",IF($AO247&lt;&gt;"",1+SUMPRODUCT(($B$5:$B$335=$B247)*($AQ$5:$AQ$335=1)*($AO$5:$AO$335&lt;$AO247)),1+SUMPRODUCT(($B$5:$B$335=$B247)*($AQ$5:$AQ$335=1)*ISNUMBER($AO$5:$AO$335))+SUMPRODUCT(($B$5:$B$335=$B247)*($AQ$5:$AQ$335=1)*($AO$5:$AO$335="")*(ROW($AO$5:$AO$335)&lt;ROW()))))</f>
        <v>1</v>
      </c>
      <c r="AS247" s="24" t="s">
        <v>1332</v>
      </c>
    </row>
    <row r="248" spans="1:45">
      <c r="A248" s="25" t="s">
        <v>1333</v>
      </c>
      <c r="B248" s="26" t="s">
        <v>83</v>
      </c>
      <c r="C248" s="26" t="s">
        <v>1334</v>
      </c>
      <c r="D248" s="26" t="s">
        <v>1335</v>
      </c>
      <c r="E248" s="25" t="s">
        <v>1336</v>
      </c>
      <c r="F248" s="25" t="s">
        <v>126</v>
      </c>
      <c r="G248" s="25">
        <v>0</v>
      </c>
      <c r="H248" s="25">
        <v>100</v>
      </c>
      <c r="I248" s="25">
        <v>45</v>
      </c>
      <c r="J248" s="22">
        <v>1</v>
      </c>
      <c r="K248" s="26" t="s">
        <v>1337</v>
      </c>
      <c r="L248" s="25" t="s">
        <v>1338</v>
      </c>
      <c r="M248" s="26" t="s">
        <v>1339</v>
      </c>
      <c r="N248" s="25">
        <v>0</v>
      </c>
      <c r="O248" s="26" t="s">
        <v>1333</v>
      </c>
      <c r="P248" s="25" t="s">
        <v>152</v>
      </c>
      <c r="Q248" s="27">
        <v>28.97</v>
      </c>
      <c r="R248" s="27">
        <v>28.79</v>
      </c>
      <c r="S248" s="27">
        <v>28.49</v>
      </c>
      <c r="T248" s="27">
        <v>27.9</v>
      </c>
      <c r="U248" s="27">
        <v>28</v>
      </c>
      <c r="V248" s="27">
        <v>26.45</v>
      </c>
      <c r="W248" s="27">
        <v>26.18</v>
      </c>
      <c r="X248" s="27">
        <v>27.19</v>
      </c>
      <c r="Y248" s="27">
        <v>27.93</v>
      </c>
      <c r="Z248" s="27">
        <v>27.69</v>
      </c>
      <c r="AA248" s="27"/>
      <c r="AB248" s="25">
        <f>COUNT(Q248:AA248)</f>
        <v>10</v>
      </c>
      <c r="AC248" s="28">
        <f>AB248/11</f>
        <v>0.90909090909090906</v>
      </c>
      <c r="AD248" s="25">
        <f>IFERROR(INDEX($Q$4:$AA$4,MATCH(TRUE,INDEX(ISNUMBER(Q248:AA248),0),0)),"")</f>
        <v>2015</v>
      </c>
      <c r="AE248" s="25">
        <f>IFERROR(LOOKUP(2,1/ISNUMBER(Q248:AA248),$Q$4:$AA$4),"")</f>
        <v>2024</v>
      </c>
      <c r="AF248" s="28">
        <f>IF(AB248=0,"",AB248/(AE248-AD248+1))</f>
        <v>1</v>
      </c>
      <c r="AG248" s="25">
        <f>IF(AB248=0,"",'01_Criterios'!$C$8-AE248)</f>
        <v>1</v>
      </c>
      <c r="AH248" s="29">
        <f>IF(P248="Em uso",100,IF(P248="Alta",85,IF(P248="Média",55,30)))</f>
        <v>85</v>
      </c>
      <c r="AI248" s="29">
        <f>ROUND(100*AC248,1)</f>
        <v>90.9</v>
      </c>
      <c r="AJ248" s="29">
        <f>IF(AB248=0,0,ROUND(MAX(0,100*AF248-10*AG248),1))</f>
        <v>90</v>
      </c>
      <c r="AK248" s="29">
        <f>ROUND(('01_Criterios'!$C$19*AH248+'01_Criterios'!$C$20*AI248+'01_Criterios'!$C$21*AJ248)/('01_Criterios'!$C$19+'01_Criterios'!$C$20+'01_Criterios'!$C$21)+N248*'01_Criterios'!$C$22,1)</f>
        <v>88.3</v>
      </c>
      <c r="AL248" s="25">
        <f>IF(AND(AB248&gt;=3,AC248&gt;='01_Criterios'!$C$11,N(AE248)&gt;='01_Criterios'!$C$12,OR(F248="+",F248="-"),ISNUMBER(G248),ISNUMBER(H248)),1,0)</f>
        <v>1</v>
      </c>
      <c r="AM248" s="30" t="str">
        <f>IF(AL248=1,"",TRIM(IF(AB248=0,"sem dados no período; ",IF(AB248&lt;3,"série demasiado curta; ",""))&amp;IF(AND(AB248&gt;0,AC248&lt;'01_Criterios'!$C$11),"cobertura insuficiente; ","")&amp;IF(AND(AB248&gt;0,N(AE248)&lt;'01_Criterios'!$C$12),"desactualizado; ","")&amp;IF(AND(F248&lt;&gt;"+",F248&lt;&gt;"-"),"sentido ambíguo; ","")&amp;IF(OR(NOT(ISNUMBER(G248)),NOT(ISNUMBER(H248))),"sem limites min/max; ","")))</f>
        <v/>
      </c>
      <c r="AN248" s="25">
        <f>IF(OR(AL248=0,$AP248="Excluir"),0,IF(SUMPRODUCT(($O$5:$O$335=$O248)*($AL$5:$AL$335=1)*($AP$5:$AP$335&lt;&gt;"Excluir")*(($AK$5:$AK$335&gt;$AK248)+(($AK$5:$AK$335=$AK248)*(ROW($O$5:$O$335)&lt;ROW()))))=0,1,0))</f>
        <v>1</v>
      </c>
      <c r="AO248" s="25">
        <f>IF(AN248=0,"",1+SUMPRODUCT(($B$5:$B$335=$B248)*($AN$5:$AN$335=1)*(($AK$5:$AK$335&gt;$AK248)+(($AK$5:$AK$335=$AK248)*(ROW($B$5:$B$335)&lt;ROW())))))</f>
        <v>4</v>
      </c>
      <c r="AP248" s="22" t="s">
        <v>131</v>
      </c>
      <c r="AQ248" s="25">
        <f>IF(INDEX('01_Criterios'!$C$26:$C$36,MATCH($B248,'01_Criterios'!$B$26:$B$36,0))&lt;&gt;1,0,IF($AP248="Excluir",0,IF($AP248="Incluir",IF(AND(OR($F248="+",$F248="-"),ISNUMBER($G248),ISNUMBER($H248),COUNT($Q248:$AA248)&gt;0),1,0),IF('01_Criterios'!$C$18="Automática",IF(AND($AN248=1,$AO248&lt;&gt;"",$AO248&lt;=INDEX('01_Criterios'!$E$26:$E$36,MATCH($B248,'01_Criterios'!$B$26:$B$36,0))),1,0),0))))</f>
        <v>1</v>
      </c>
      <c r="AR248" s="25">
        <f>IF(AQ248=0,"",IF($AO248&lt;&gt;"",1+SUMPRODUCT(($B$5:$B$335=$B248)*($AQ$5:$AQ$335=1)*($AO$5:$AO$335&lt;$AO248)),1+SUMPRODUCT(($B$5:$B$335=$B248)*($AQ$5:$AQ$335=1)*ISNUMBER($AO$5:$AO$335))+SUMPRODUCT(($B$5:$B$335=$B248)*($AQ$5:$AQ$335=1)*($AO$5:$AO$335="")*(ROW($AO$5:$AO$335)&lt;ROW()))))</f>
        <v>4</v>
      </c>
      <c r="AS248" s="24" t="s">
        <v>1340</v>
      </c>
    </row>
    <row r="249" spans="1:45">
      <c r="A249" s="20" t="s">
        <v>1341</v>
      </c>
      <c r="B249" s="21" t="s">
        <v>83</v>
      </c>
      <c r="C249" s="21" t="s">
        <v>1334</v>
      </c>
      <c r="D249" s="21" t="s">
        <v>1342</v>
      </c>
      <c r="E249" s="20" t="s">
        <v>1336</v>
      </c>
      <c r="F249" s="20" t="s">
        <v>126</v>
      </c>
      <c r="G249" s="20">
        <v>0</v>
      </c>
      <c r="H249" s="20">
        <v>100</v>
      </c>
      <c r="I249" s="20">
        <v>45</v>
      </c>
      <c r="J249" s="22">
        <v>1</v>
      </c>
      <c r="K249" s="21" t="s">
        <v>1337</v>
      </c>
      <c r="L249" s="20" t="s">
        <v>1343</v>
      </c>
      <c r="M249" s="21" t="s">
        <v>1339</v>
      </c>
      <c r="N249" s="20">
        <v>0</v>
      </c>
      <c r="O249" s="21" t="s">
        <v>1341</v>
      </c>
      <c r="P249" s="20" t="s">
        <v>152</v>
      </c>
      <c r="Q249" s="6">
        <v>46.78</v>
      </c>
      <c r="R249" s="6">
        <v>45.08</v>
      </c>
      <c r="S249" s="6">
        <v>42.68</v>
      </c>
      <c r="T249" s="6">
        <v>37.65</v>
      </c>
      <c r="U249" s="6">
        <v>36.96</v>
      </c>
      <c r="V249" s="6">
        <v>33.94</v>
      </c>
      <c r="W249" s="6">
        <v>31.02</v>
      </c>
      <c r="X249" s="6">
        <v>30.92</v>
      </c>
      <c r="Y249" s="6">
        <v>30.32</v>
      </c>
      <c r="Z249" s="6">
        <v>29.13</v>
      </c>
      <c r="AA249" s="6"/>
      <c r="AB249" s="20">
        <f>COUNT(Q249:AA249)</f>
        <v>10</v>
      </c>
      <c r="AC249" s="23">
        <f>AB249/11</f>
        <v>0.90909090909090906</v>
      </c>
      <c r="AD249" s="20">
        <f>IFERROR(INDEX($Q$4:$AA$4,MATCH(TRUE,INDEX(ISNUMBER(Q249:AA249),0),0)),"")</f>
        <v>2015</v>
      </c>
      <c r="AE249" s="20">
        <f>IFERROR(LOOKUP(2,1/ISNUMBER(Q249:AA249),$Q$4:$AA$4),"")</f>
        <v>2024</v>
      </c>
      <c r="AF249" s="23">
        <f>IF(AB249=0,"",AB249/(AE249-AD249+1))</f>
        <v>1</v>
      </c>
      <c r="AG249" s="20">
        <f>IF(AB249=0,"",'01_Criterios'!$C$8-AE249)</f>
        <v>1</v>
      </c>
      <c r="AH249" s="7">
        <f>IF(P249="Em uso",100,IF(P249="Alta",85,IF(P249="Média",55,30)))</f>
        <v>85</v>
      </c>
      <c r="AI249" s="7">
        <f>ROUND(100*AC249,1)</f>
        <v>90.9</v>
      </c>
      <c r="AJ249" s="7">
        <f>IF(AB249=0,0,ROUND(MAX(0,100*AF249-10*AG249),1))</f>
        <v>90</v>
      </c>
      <c r="AK249" s="7">
        <f>ROUND(('01_Criterios'!$C$19*AH249+'01_Criterios'!$C$20*AI249+'01_Criterios'!$C$21*AJ249)/('01_Criterios'!$C$19+'01_Criterios'!$C$20+'01_Criterios'!$C$21)+N249*'01_Criterios'!$C$22,1)</f>
        <v>88.3</v>
      </c>
      <c r="AL249" s="20">
        <f>IF(AND(AB249&gt;=3,AC249&gt;='01_Criterios'!$C$11,N(AE249)&gt;='01_Criterios'!$C$12,OR(F249="+",F249="-"),ISNUMBER(G249),ISNUMBER(H249)),1,0)</f>
        <v>1</v>
      </c>
      <c r="AM249" s="24" t="str">
        <f>IF(AL249=1,"",TRIM(IF(AB249=0,"sem dados no período; ",IF(AB249&lt;3,"série demasiado curta; ",""))&amp;IF(AND(AB249&gt;0,AC249&lt;'01_Criterios'!$C$11),"cobertura insuficiente; ","")&amp;IF(AND(AB249&gt;0,N(AE249)&lt;'01_Criterios'!$C$12),"desactualizado; ","")&amp;IF(AND(F249&lt;&gt;"+",F249&lt;&gt;"-"),"sentido ambíguo; ","")&amp;IF(OR(NOT(ISNUMBER(G249)),NOT(ISNUMBER(H249))),"sem limites min/max; ","")))</f>
        <v/>
      </c>
      <c r="AN249" s="20">
        <f>IF(OR(AL249=0,$AP249="Excluir"),0,IF(SUMPRODUCT(($O$5:$O$335=$O249)*($AL$5:$AL$335=1)*($AP$5:$AP$335&lt;&gt;"Excluir")*(($AK$5:$AK$335&gt;$AK249)+(($AK$5:$AK$335=$AK249)*(ROW($O$5:$O$335)&lt;ROW()))))=0,1,0))</f>
        <v>0</v>
      </c>
      <c r="AO249" s="20" t="str">
        <f>IF(AN249=0,"",1+SUMPRODUCT(($B$5:$B$335=$B249)*($AN$5:$AN$335=1)*(($AK$5:$AK$335&gt;$AK249)+(($AK$5:$AK$335=$AK249)*(ROW($B$5:$B$335)&lt;ROW())))))</f>
        <v/>
      </c>
      <c r="AP249" s="22" t="s">
        <v>175</v>
      </c>
      <c r="AQ249" s="20">
        <f>IF(INDEX('01_Criterios'!$C$26:$C$36,MATCH($B249,'01_Criterios'!$B$26:$B$36,0))&lt;&gt;1,0,IF($AP249="Excluir",0,IF($AP249="Incluir",IF(AND(OR($F249="+",$F249="-"),ISNUMBER($G249),ISNUMBER($H249),COUNT($Q249:$AA249)&gt;0),1,0),IF('01_Criterios'!$C$18="Automática",IF(AND($AN249=1,$AO249&lt;&gt;"",$AO249&lt;=INDEX('01_Criterios'!$E$26:$E$36,MATCH($B249,'01_Criterios'!$B$26:$B$36,0))),1,0),0))))</f>
        <v>0</v>
      </c>
      <c r="AR249" s="20" t="str">
        <f>IF(AQ249=0,"",IF($AO249&lt;&gt;"",1+SUMPRODUCT(($B$5:$B$335=$B249)*($AQ$5:$AQ$335=1)*($AO$5:$AO$335&lt;$AO249)),1+SUMPRODUCT(($B$5:$B$335=$B249)*($AQ$5:$AQ$335=1)*ISNUMBER($AO$5:$AO$335))+SUMPRODUCT(($B$5:$B$335=$B249)*($AQ$5:$AQ$335=1)*($AO$5:$AO$335="")*(ROW($AO$5:$AO$335)&lt;ROW()))))</f>
        <v/>
      </c>
      <c r="AS249" s="24" t="s">
        <v>176</v>
      </c>
    </row>
    <row r="250" spans="1:45">
      <c r="A250" s="25" t="s">
        <v>1344</v>
      </c>
      <c r="B250" s="26" t="s">
        <v>83</v>
      </c>
      <c r="C250" s="26" t="s">
        <v>1334</v>
      </c>
      <c r="D250" s="26" t="s">
        <v>1345</v>
      </c>
      <c r="E250" s="25" t="s">
        <v>1336</v>
      </c>
      <c r="F250" s="25" t="s">
        <v>126</v>
      </c>
      <c r="G250" s="25">
        <v>0</v>
      </c>
      <c r="H250" s="25">
        <v>100</v>
      </c>
      <c r="I250" s="25">
        <v>45</v>
      </c>
      <c r="J250" s="22">
        <v>1</v>
      </c>
      <c r="K250" s="26" t="s">
        <v>1337</v>
      </c>
      <c r="L250" s="25" t="s">
        <v>1346</v>
      </c>
      <c r="M250" s="26" t="s">
        <v>1339</v>
      </c>
      <c r="N250" s="25">
        <v>0</v>
      </c>
      <c r="O250" s="26" t="s">
        <v>1344</v>
      </c>
      <c r="P250" s="25" t="s">
        <v>152</v>
      </c>
      <c r="Q250" s="27">
        <v>32.5</v>
      </c>
      <c r="R250" s="27">
        <v>30.3</v>
      </c>
      <c r="S250" s="27">
        <v>29.52</v>
      </c>
      <c r="T250" s="27">
        <v>24.17</v>
      </c>
      <c r="U250" s="27">
        <v>26.9</v>
      </c>
      <c r="V250" s="27">
        <v>26.92</v>
      </c>
      <c r="W250" s="27">
        <v>25.07</v>
      </c>
      <c r="X250" s="27">
        <v>21.95</v>
      </c>
      <c r="Y250" s="27">
        <v>25.63</v>
      </c>
      <c r="Z250" s="27">
        <v>25.5</v>
      </c>
      <c r="AA250" s="27"/>
      <c r="AB250" s="25">
        <f>COUNT(Q250:AA250)</f>
        <v>10</v>
      </c>
      <c r="AC250" s="28">
        <f>AB250/11</f>
        <v>0.90909090909090906</v>
      </c>
      <c r="AD250" s="25">
        <f>IFERROR(INDEX($Q$4:$AA$4,MATCH(TRUE,INDEX(ISNUMBER(Q250:AA250),0),0)),"")</f>
        <v>2015</v>
      </c>
      <c r="AE250" s="25">
        <f>IFERROR(LOOKUP(2,1/ISNUMBER(Q250:AA250),$Q$4:$AA$4),"")</f>
        <v>2024</v>
      </c>
      <c r="AF250" s="28">
        <f>IF(AB250=0,"",AB250/(AE250-AD250+1))</f>
        <v>1</v>
      </c>
      <c r="AG250" s="25">
        <f>IF(AB250=0,"",'01_Criterios'!$C$8-AE250)</f>
        <v>1</v>
      </c>
      <c r="AH250" s="29">
        <f>IF(P250="Em uso",100,IF(P250="Alta",85,IF(P250="Média",55,30)))</f>
        <v>85</v>
      </c>
      <c r="AI250" s="29">
        <f>ROUND(100*AC250,1)</f>
        <v>90.9</v>
      </c>
      <c r="AJ250" s="29">
        <f>IF(AB250=0,0,ROUND(MAX(0,100*AF250-10*AG250),1))</f>
        <v>90</v>
      </c>
      <c r="AK250" s="29">
        <f>ROUND(('01_Criterios'!$C$19*AH250+'01_Criterios'!$C$20*AI250+'01_Criterios'!$C$21*AJ250)/('01_Criterios'!$C$19+'01_Criterios'!$C$20+'01_Criterios'!$C$21)+N250*'01_Criterios'!$C$22,1)</f>
        <v>88.3</v>
      </c>
      <c r="AL250" s="25">
        <f>IF(AND(AB250&gt;=3,AC250&gt;='01_Criterios'!$C$11,N(AE250)&gt;='01_Criterios'!$C$12,OR(F250="+",F250="-"),ISNUMBER(G250),ISNUMBER(H250)),1,0)</f>
        <v>1</v>
      </c>
      <c r="AM250" s="30" t="str">
        <f>IF(AL250=1,"",TRIM(IF(AB250=0,"sem dados no período; ",IF(AB250&lt;3,"série demasiado curta; ",""))&amp;IF(AND(AB250&gt;0,AC250&lt;'01_Criterios'!$C$11),"cobertura insuficiente; ","")&amp;IF(AND(AB250&gt;0,N(AE250)&lt;'01_Criterios'!$C$12),"desactualizado; ","")&amp;IF(AND(F250&lt;&gt;"+",F250&lt;&gt;"-"),"sentido ambíguo; ","")&amp;IF(OR(NOT(ISNUMBER(G250)),NOT(ISNUMBER(H250))),"sem limites min/max; ","")))</f>
        <v/>
      </c>
      <c r="AN250" s="25">
        <f>IF(OR(AL250=0,$AP250="Excluir"),0,IF(SUMPRODUCT(($O$5:$O$335=$O250)*($AL$5:$AL$335=1)*($AP$5:$AP$335&lt;&gt;"Excluir")*(($AK$5:$AK$335&gt;$AK250)+(($AK$5:$AK$335=$AK250)*(ROW($O$5:$O$335)&lt;ROW()))))=0,1,0))</f>
        <v>0</v>
      </c>
      <c r="AO250" s="25" t="str">
        <f>IF(AN250=0,"",1+SUMPRODUCT(($B$5:$B$335=$B250)*($AN$5:$AN$335=1)*(($AK$5:$AK$335&gt;$AK250)+(($AK$5:$AK$335=$AK250)*(ROW($B$5:$B$335)&lt;ROW())))))</f>
        <v/>
      </c>
      <c r="AP250" s="22" t="s">
        <v>175</v>
      </c>
      <c r="AQ250" s="25">
        <f>IF(INDEX('01_Criterios'!$C$26:$C$36,MATCH($B250,'01_Criterios'!$B$26:$B$36,0))&lt;&gt;1,0,IF($AP250="Excluir",0,IF($AP250="Incluir",IF(AND(OR($F250="+",$F250="-"),ISNUMBER($G250),ISNUMBER($H250),COUNT($Q250:$AA250)&gt;0),1,0),IF('01_Criterios'!$C$18="Automática",IF(AND($AN250=1,$AO250&lt;&gt;"",$AO250&lt;=INDEX('01_Criterios'!$E$26:$E$36,MATCH($B250,'01_Criterios'!$B$26:$B$36,0))),1,0),0))))</f>
        <v>0</v>
      </c>
      <c r="AR250" s="25" t="str">
        <f>IF(AQ250=0,"",IF($AO250&lt;&gt;"",1+SUMPRODUCT(($B$5:$B$335=$B250)*($AQ$5:$AQ$335=1)*($AO$5:$AO$335&lt;$AO250)),1+SUMPRODUCT(($B$5:$B$335=$B250)*($AQ$5:$AQ$335=1)*ISNUMBER($AO$5:$AO$335))+SUMPRODUCT(($B$5:$B$335=$B250)*($AQ$5:$AQ$335=1)*($AO$5:$AO$335="")*(ROW($AO$5:$AO$335)&lt;ROW()))))</f>
        <v/>
      </c>
      <c r="AS250" s="24" t="s">
        <v>176</v>
      </c>
    </row>
    <row r="251" spans="1:45">
      <c r="A251" s="20" t="s">
        <v>1347</v>
      </c>
      <c r="B251" s="21" t="s">
        <v>83</v>
      </c>
      <c r="C251" s="21" t="s">
        <v>1348</v>
      </c>
      <c r="D251" s="21" t="s">
        <v>1349</v>
      </c>
      <c r="E251" s="20" t="s">
        <v>334</v>
      </c>
      <c r="F251" s="20" t="s">
        <v>158</v>
      </c>
      <c r="G251" s="20">
        <v>0</v>
      </c>
      <c r="H251" s="20">
        <v>60</v>
      </c>
      <c r="I251" s="20">
        <v>15</v>
      </c>
      <c r="J251" s="22">
        <v>1</v>
      </c>
      <c r="K251" s="21" t="s">
        <v>204</v>
      </c>
      <c r="L251" s="20" t="s">
        <v>376</v>
      </c>
      <c r="M251" s="21" t="s">
        <v>161</v>
      </c>
      <c r="N251" s="20">
        <v>0</v>
      </c>
      <c r="O251" s="21" t="s">
        <v>377</v>
      </c>
      <c r="P251" s="20" t="s">
        <v>152</v>
      </c>
      <c r="Q251" s="6">
        <v>12.718730309027199</v>
      </c>
      <c r="R251" s="6">
        <v>19.7483988340046</v>
      </c>
      <c r="S251" s="6">
        <v>24.711006005538199</v>
      </c>
      <c r="T251" s="6">
        <v>30.730402728590501</v>
      </c>
      <c r="U251" s="6">
        <v>27.504828641195999</v>
      </c>
      <c r="V251" s="6">
        <v>18.571959505383699</v>
      </c>
      <c r="W251" s="6">
        <v>28.274439882584399</v>
      </c>
      <c r="X251" s="6"/>
      <c r="Y251" s="6"/>
      <c r="Z251" s="6"/>
      <c r="AA251" s="6"/>
      <c r="AB251" s="20">
        <f>COUNT(Q251:AA251)</f>
        <v>7</v>
      </c>
      <c r="AC251" s="23">
        <f>AB251/11</f>
        <v>0.63636363636363635</v>
      </c>
      <c r="AD251" s="20">
        <f>IFERROR(INDEX($Q$4:$AA$4,MATCH(TRUE,INDEX(ISNUMBER(Q251:AA251),0),0)),"")</f>
        <v>2015</v>
      </c>
      <c r="AE251" s="20">
        <f>IFERROR(LOOKUP(2,1/ISNUMBER(Q251:AA251),$Q$4:$AA$4),"")</f>
        <v>2021</v>
      </c>
      <c r="AF251" s="23">
        <f>IF(AB251=0,"",AB251/(AE251-AD251+1))</f>
        <v>1</v>
      </c>
      <c r="AG251" s="20">
        <f>IF(AB251=0,"",'01_Criterios'!$C$8-AE251)</f>
        <v>4</v>
      </c>
      <c r="AH251" s="7">
        <f>IF(P251="Em uso",100,IF(P251="Alta",85,IF(P251="Média",55,30)))</f>
        <v>85</v>
      </c>
      <c r="AI251" s="7">
        <f>ROUND(100*AC251,1)</f>
        <v>63.6</v>
      </c>
      <c r="AJ251" s="7">
        <f>IF(AB251=0,0,ROUND(MAX(0,100*AF251-10*AG251),1))</f>
        <v>60</v>
      </c>
      <c r="AK251" s="7">
        <f>ROUND(('01_Criterios'!$C$19*AH251+'01_Criterios'!$C$20*AI251+'01_Criterios'!$C$21*AJ251)/('01_Criterios'!$C$19+'01_Criterios'!$C$20+'01_Criterios'!$C$21)+N251*'01_Criterios'!$C$22,1)</f>
        <v>71.3</v>
      </c>
      <c r="AL251" s="20">
        <f>IF(AND(AB251&gt;=3,AC251&gt;='01_Criterios'!$C$11,N(AE251)&gt;='01_Criterios'!$C$12,OR(F251="+",F251="-"),ISNUMBER(G251),ISNUMBER(H251)),1,0)</f>
        <v>0</v>
      </c>
      <c r="AM251" s="24" t="str">
        <f>IF(AL251=1,"",TRIM(IF(AB251=0,"sem dados no período; ",IF(AB251&lt;3,"série demasiado curta; ",""))&amp;IF(AND(AB251&gt;0,AC251&lt;'01_Criterios'!$C$11),"cobertura insuficiente; ","")&amp;IF(AND(AB251&gt;0,N(AE251)&lt;'01_Criterios'!$C$12),"desactualizado; ","")&amp;IF(AND(F251&lt;&gt;"+",F251&lt;&gt;"-"),"sentido ambíguo; ","")&amp;IF(OR(NOT(ISNUMBER(G251)),NOT(ISNUMBER(H251))),"sem limites min/max; ","")))</f>
        <v>cobertura insuficiente; desactualizado;</v>
      </c>
      <c r="AN251" s="20">
        <f>IF(OR(AL251=0,$AP251="Excluir"),0,IF(SUMPRODUCT(($O$5:$O$335=$O251)*($AL$5:$AL$335=1)*($AP$5:$AP$335&lt;&gt;"Excluir")*(($AK$5:$AK$335&gt;$AK251)+(($AK$5:$AK$335=$AK251)*(ROW($O$5:$O$335)&lt;ROW()))))=0,1,0))</f>
        <v>0</v>
      </c>
      <c r="AO251" s="20" t="str">
        <f>IF(AN251=0,"",1+SUMPRODUCT(($B$5:$B$335=$B251)*($AN$5:$AN$335=1)*(($AK$5:$AK$335&gt;$AK251)+(($AK$5:$AK$335=$AK251)*(ROW($B$5:$B$335)&lt;ROW())))))</f>
        <v/>
      </c>
      <c r="AP251" s="22" t="s">
        <v>131</v>
      </c>
      <c r="AQ251" s="20">
        <f>IF(INDEX('01_Criterios'!$C$26:$C$36,MATCH($B251,'01_Criterios'!$B$26:$B$36,0))&lt;&gt;1,0,IF($AP251="Excluir",0,IF($AP251="Incluir",IF(AND(OR($F251="+",$F251="-"),ISNUMBER($G251),ISNUMBER($H251),COUNT($Q251:$AA251)&gt;0),1,0),IF('01_Criterios'!$C$18="Automática",IF(AND($AN251=1,$AO251&lt;&gt;"",$AO251&lt;=INDEX('01_Criterios'!$E$26:$E$36,MATCH($B251,'01_Criterios'!$B$26:$B$36,0))),1,0),0))))</f>
        <v>0</v>
      </c>
      <c r="AR251" s="20" t="str">
        <f>IF(AQ251=0,"",IF($AO251&lt;&gt;"",1+SUMPRODUCT(($B$5:$B$335=$B251)*($AQ$5:$AQ$335=1)*($AO$5:$AO$335&lt;$AO251)),1+SUMPRODUCT(($B$5:$B$335=$B251)*($AQ$5:$AQ$335=1)*ISNUMBER($AO$5:$AO$335))+SUMPRODUCT(($B$5:$B$335=$B251)*($AQ$5:$AQ$335=1)*($AO$5:$AO$335="")*(ROW($AO$5:$AO$335)&lt;ROW()))))</f>
        <v/>
      </c>
      <c r="AS251" s="24" t="s">
        <v>1350</v>
      </c>
    </row>
    <row r="252" spans="1:45">
      <c r="A252" s="25" t="s">
        <v>1351</v>
      </c>
      <c r="B252" s="26" t="s">
        <v>83</v>
      </c>
      <c r="C252" s="26" t="s">
        <v>1348</v>
      </c>
      <c r="D252" s="26" t="s">
        <v>1352</v>
      </c>
      <c r="E252" s="25" t="s">
        <v>334</v>
      </c>
      <c r="F252" s="25" t="s">
        <v>158</v>
      </c>
      <c r="G252" s="25">
        <v>0</v>
      </c>
      <c r="H252" s="25">
        <v>70</v>
      </c>
      <c r="I252" s="25">
        <v>20</v>
      </c>
      <c r="J252" s="22">
        <v>1</v>
      </c>
      <c r="K252" s="26" t="s">
        <v>204</v>
      </c>
      <c r="L252" s="25" t="s">
        <v>1353</v>
      </c>
      <c r="M252" s="26" t="s">
        <v>161</v>
      </c>
      <c r="N252" s="25">
        <v>0</v>
      </c>
      <c r="O252" s="26" t="s">
        <v>1351</v>
      </c>
      <c r="P252" s="25" t="s">
        <v>152</v>
      </c>
      <c r="Q252" s="27">
        <v>13.305674888061301</v>
      </c>
      <c r="R252" s="27">
        <v>20.885120268219499</v>
      </c>
      <c r="S252" s="27">
        <v>25.950329908930701</v>
      </c>
      <c r="T252" s="27">
        <v>32.045405604301003</v>
      </c>
      <c r="U252" s="27">
        <v>28.897859059390701</v>
      </c>
      <c r="V252" s="27">
        <v>20.247665386353901</v>
      </c>
      <c r="W252" s="27">
        <v>29.9674348417559</v>
      </c>
      <c r="X252" s="27"/>
      <c r="Y252" s="27"/>
      <c r="Z252" s="27"/>
      <c r="AA252" s="27"/>
      <c r="AB252" s="25">
        <f>COUNT(Q252:AA252)</f>
        <v>7</v>
      </c>
      <c r="AC252" s="28">
        <f>AB252/11</f>
        <v>0.63636363636363635</v>
      </c>
      <c r="AD252" s="25">
        <f>IFERROR(INDEX($Q$4:$AA$4,MATCH(TRUE,INDEX(ISNUMBER(Q252:AA252),0),0)),"")</f>
        <v>2015</v>
      </c>
      <c r="AE252" s="25">
        <f>IFERROR(LOOKUP(2,1/ISNUMBER(Q252:AA252),$Q$4:$AA$4),"")</f>
        <v>2021</v>
      </c>
      <c r="AF252" s="28">
        <f>IF(AB252=0,"",AB252/(AE252-AD252+1))</f>
        <v>1</v>
      </c>
      <c r="AG252" s="25">
        <f>IF(AB252=0,"",'01_Criterios'!$C$8-AE252)</f>
        <v>4</v>
      </c>
      <c r="AH252" s="29">
        <f>IF(P252="Em uso",100,IF(P252="Alta",85,IF(P252="Média",55,30)))</f>
        <v>85</v>
      </c>
      <c r="AI252" s="29">
        <f>ROUND(100*AC252,1)</f>
        <v>63.6</v>
      </c>
      <c r="AJ252" s="29">
        <f>IF(AB252=0,0,ROUND(MAX(0,100*AF252-10*AG252),1))</f>
        <v>60</v>
      </c>
      <c r="AK252" s="29">
        <f>ROUND(('01_Criterios'!$C$19*AH252+'01_Criterios'!$C$20*AI252+'01_Criterios'!$C$21*AJ252)/('01_Criterios'!$C$19+'01_Criterios'!$C$20+'01_Criterios'!$C$21)+N252*'01_Criterios'!$C$22,1)</f>
        <v>71.3</v>
      </c>
      <c r="AL252" s="25">
        <f>IF(AND(AB252&gt;=3,AC252&gt;='01_Criterios'!$C$11,N(AE252)&gt;='01_Criterios'!$C$12,OR(F252="+",F252="-"),ISNUMBER(G252),ISNUMBER(H252)),1,0)</f>
        <v>0</v>
      </c>
      <c r="AM252" s="30" t="str">
        <f>IF(AL252=1,"",TRIM(IF(AB252=0,"sem dados no período; ",IF(AB252&lt;3,"série demasiado curta; ",""))&amp;IF(AND(AB252&gt;0,AC252&lt;'01_Criterios'!$C$11),"cobertura insuficiente; ","")&amp;IF(AND(AB252&gt;0,N(AE252)&lt;'01_Criterios'!$C$12),"desactualizado; ","")&amp;IF(AND(F252&lt;&gt;"+",F252&lt;&gt;"-"),"sentido ambíguo; ","")&amp;IF(OR(NOT(ISNUMBER(G252)),NOT(ISNUMBER(H252))),"sem limites min/max; ","")))</f>
        <v>cobertura insuficiente; desactualizado;</v>
      </c>
      <c r="AN252" s="25">
        <f>IF(OR(AL252=0,$AP252="Excluir"),0,IF(SUMPRODUCT(($O$5:$O$335=$O252)*($AL$5:$AL$335=1)*($AP$5:$AP$335&lt;&gt;"Excluir")*(($AK$5:$AK$335&gt;$AK252)+(($AK$5:$AK$335=$AK252)*(ROW($O$5:$O$335)&lt;ROW()))))=0,1,0))</f>
        <v>0</v>
      </c>
      <c r="AO252" s="25" t="str">
        <f>IF(AN252=0,"",1+SUMPRODUCT(($B$5:$B$335=$B252)*($AN$5:$AN$335=1)*(($AK$5:$AK$335&gt;$AK252)+(($AK$5:$AK$335=$AK252)*(ROW($B$5:$B$335)&lt;ROW())))))</f>
        <v/>
      </c>
      <c r="AP252" s="22" t="s">
        <v>131</v>
      </c>
      <c r="AQ252" s="25">
        <f>IF(INDEX('01_Criterios'!$C$26:$C$36,MATCH($B252,'01_Criterios'!$B$26:$B$36,0))&lt;&gt;1,0,IF($AP252="Excluir",0,IF($AP252="Incluir",IF(AND(OR($F252="+",$F252="-"),ISNUMBER($G252),ISNUMBER($H252),COUNT($Q252:$AA252)&gt;0),1,0),IF('01_Criterios'!$C$18="Automática",IF(AND($AN252=1,$AO252&lt;&gt;"",$AO252&lt;=INDEX('01_Criterios'!$E$26:$E$36,MATCH($B252,'01_Criterios'!$B$26:$B$36,0))),1,0),0))))</f>
        <v>0</v>
      </c>
      <c r="AR252" s="25" t="str">
        <f>IF(AQ252=0,"",IF($AO252&lt;&gt;"",1+SUMPRODUCT(($B$5:$B$335=$B252)*($AQ$5:$AQ$335=1)*($AO$5:$AO$335&lt;$AO252)),1+SUMPRODUCT(($B$5:$B$335=$B252)*($AQ$5:$AQ$335=1)*ISNUMBER($AO$5:$AO$335))+SUMPRODUCT(($B$5:$B$335=$B252)*($AQ$5:$AQ$335=1)*($AO$5:$AO$335="")*(ROW($AO$5:$AO$335)&lt;ROW()))))</f>
        <v/>
      </c>
      <c r="AS252" s="24" t="s">
        <v>1354</v>
      </c>
    </row>
    <row r="253" spans="1:45">
      <c r="A253" s="20" t="s">
        <v>1355</v>
      </c>
      <c r="B253" s="21" t="s">
        <v>83</v>
      </c>
      <c r="C253" s="21" t="s">
        <v>1356</v>
      </c>
      <c r="D253" s="21" t="s">
        <v>1357</v>
      </c>
      <c r="E253" s="20" t="s">
        <v>334</v>
      </c>
      <c r="F253" s="20" t="s">
        <v>126</v>
      </c>
      <c r="G253" s="20">
        <v>0</v>
      </c>
      <c r="H253" s="20">
        <v>30</v>
      </c>
      <c r="I253" s="20">
        <v>12</v>
      </c>
      <c r="J253" s="22">
        <v>1</v>
      </c>
      <c r="K253" s="21" t="s">
        <v>204</v>
      </c>
      <c r="L253" s="20" t="s">
        <v>1358</v>
      </c>
      <c r="M253" s="21" t="s">
        <v>161</v>
      </c>
      <c r="N253" s="20">
        <v>0</v>
      </c>
      <c r="O253" s="21" t="s">
        <v>1355</v>
      </c>
      <c r="P253" s="20" t="s">
        <v>152</v>
      </c>
      <c r="Q253" s="6">
        <v>5.2405155964762598</v>
      </c>
      <c r="R253" s="6">
        <v>5.7827889949915674</v>
      </c>
      <c r="S253" s="6">
        <v>5.7289694447204722</v>
      </c>
      <c r="T253" s="6">
        <v>5.3407462950965883</v>
      </c>
      <c r="U253" s="6">
        <v>5.4114487722420552</v>
      </c>
      <c r="V253" s="6">
        <v>6.097457181842449</v>
      </c>
      <c r="W253" s="6">
        <v>6.1937375601327727</v>
      </c>
      <c r="X253" s="6">
        <v>6.7164781373690721</v>
      </c>
      <c r="Y253" s="6">
        <v>7.4006662444250626</v>
      </c>
      <c r="Z253" s="6">
        <v>6.5761625979595326</v>
      </c>
      <c r="AA253" s="6">
        <v>6.7926209696117086</v>
      </c>
      <c r="AB253" s="20">
        <f>COUNT(Q253:AA253)</f>
        <v>11</v>
      </c>
      <c r="AC253" s="23">
        <f>AB253/11</f>
        <v>1</v>
      </c>
      <c r="AD253" s="20">
        <f>IFERROR(INDEX($Q$4:$AA$4,MATCH(TRUE,INDEX(ISNUMBER(Q253:AA253),0),0)),"")</f>
        <v>2015</v>
      </c>
      <c r="AE253" s="20">
        <f>IFERROR(LOOKUP(2,1/ISNUMBER(Q253:AA253),$Q$4:$AA$4),"")</f>
        <v>2025</v>
      </c>
      <c r="AF253" s="23">
        <f>IF(AB253=0,"",AB253/(AE253-AD253+1))</f>
        <v>1</v>
      </c>
      <c r="AG253" s="20">
        <f>IF(AB253=0,"",'01_Criterios'!$C$8-AE253)</f>
        <v>0</v>
      </c>
      <c r="AH253" s="7">
        <f>IF(P253="Em uso",100,IF(P253="Alta",85,IF(P253="Média",55,30)))</f>
        <v>85</v>
      </c>
      <c r="AI253" s="7">
        <f>ROUND(100*AC253,1)</f>
        <v>100</v>
      </c>
      <c r="AJ253" s="7">
        <f>IF(AB253=0,0,ROUND(MAX(0,100*AF253-10*AG253),1))</f>
        <v>100</v>
      </c>
      <c r="AK253" s="7">
        <f>ROUND(('01_Criterios'!$C$19*AH253+'01_Criterios'!$C$20*AI253+'01_Criterios'!$C$21*AJ253)/('01_Criterios'!$C$19+'01_Criterios'!$C$20+'01_Criterios'!$C$21)+N253*'01_Criterios'!$C$22,1)</f>
        <v>94</v>
      </c>
      <c r="AL253" s="20">
        <f>IF(AND(AB253&gt;=3,AC253&gt;='01_Criterios'!$C$11,N(AE253)&gt;='01_Criterios'!$C$12,OR(F253="+",F253="-"),ISNUMBER(G253),ISNUMBER(H253)),1,0)</f>
        <v>1</v>
      </c>
      <c r="AM253" s="24" t="str">
        <f>IF(AL253=1,"",TRIM(IF(AB253=0,"sem dados no período; ",IF(AB253&lt;3,"série demasiado curta; ",""))&amp;IF(AND(AB253&gt;0,AC253&lt;'01_Criterios'!$C$11),"cobertura insuficiente; ","")&amp;IF(AND(AB253&gt;0,N(AE253)&lt;'01_Criterios'!$C$12),"desactualizado; ","")&amp;IF(AND(F253&lt;&gt;"+",F253&lt;&gt;"-"),"sentido ambíguo; ","")&amp;IF(OR(NOT(ISNUMBER(G253)),NOT(ISNUMBER(H253))),"sem limites min/max; ","")))</f>
        <v/>
      </c>
      <c r="AN253" s="20">
        <f>IF(OR(AL253=0,$AP253="Excluir"),0,IF(SUMPRODUCT(($O$5:$O$335=$O253)*($AL$5:$AL$335=1)*($AP$5:$AP$335&lt;&gt;"Excluir")*(($AK$5:$AK$335&gt;$AK253)+(($AK$5:$AK$335=$AK253)*(ROW($O$5:$O$335)&lt;ROW()))))=0,1,0))</f>
        <v>1</v>
      </c>
      <c r="AO253" s="20">
        <f>IF(AN253=0,"",1+SUMPRODUCT(($B$5:$B$335=$B253)*($AN$5:$AN$335=1)*(($AK$5:$AK$335&gt;$AK253)+(($AK$5:$AK$335=$AK253)*(ROW($B$5:$B$335)&lt;ROW())))))</f>
        <v>2</v>
      </c>
      <c r="AP253" s="22" t="s">
        <v>131</v>
      </c>
      <c r="AQ253" s="20">
        <f>IF(INDEX('01_Criterios'!$C$26:$C$36,MATCH($B253,'01_Criterios'!$B$26:$B$36,0))&lt;&gt;1,0,IF($AP253="Excluir",0,IF($AP253="Incluir",IF(AND(OR($F253="+",$F253="-"),ISNUMBER($G253),ISNUMBER($H253),COUNT($Q253:$AA253)&gt;0),1,0),IF('01_Criterios'!$C$18="Automática",IF(AND($AN253=1,$AO253&lt;&gt;"",$AO253&lt;=INDEX('01_Criterios'!$E$26:$E$36,MATCH($B253,'01_Criterios'!$B$26:$B$36,0))),1,0),0))))</f>
        <v>1</v>
      </c>
      <c r="AR253" s="20">
        <f>IF(AQ253=0,"",IF($AO253&lt;&gt;"",1+SUMPRODUCT(($B$5:$B$335=$B253)*($AQ$5:$AQ$335=1)*($AO$5:$AO$335&lt;$AO253)),1+SUMPRODUCT(($B$5:$B$335=$B253)*($AQ$5:$AQ$335=1)*ISNUMBER($AO$5:$AO$335))+SUMPRODUCT(($B$5:$B$335=$B253)*($AQ$5:$AQ$335=1)*($AO$5:$AO$335="")*(ROW($AO$5:$AO$335)&lt;ROW()))))</f>
        <v>2</v>
      </c>
      <c r="AS253" s="24" t="s">
        <v>1359</v>
      </c>
    </row>
    <row r="254" spans="1:45">
      <c r="A254" s="25" t="s">
        <v>1360</v>
      </c>
      <c r="B254" s="26" t="s">
        <v>83</v>
      </c>
      <c r="C254" s="26" t="s">
        <v>1361</v>
      </c>
      <c r="D254" s="26" t="s">
        <v>1362</v>
      </c>
      <c r="E254" s="25" t="s">
        <v>1363</v>
      </c>
      <c r="F254" s="25" t="s">
        <v>158</v>
      </c>
      <c r="G254" s="25">
        <v>0</v>
      </c>
      <c r="H254" s="25">
        <v>100</v>
      </c>
      <c r="I254" s="25">
        <v>70</v>
      </c>
      <c r="J254" s="22">
        <v>1</v>
      </c>
      <c r="K254" s="26" t="s">
        <v>204</v>
      </c>
      <c r="L254" s="25" t="s">
        <v>1364</v>
      </c>
      <c r="M254" s="26" t="s">
        <v>161</v>
      </c>
      <c r="N254" s="25">
        <v>0</v>
      </c>
      <c r="O254" s="26" t="s">
        <v>1360</v>
      </c>
      <c r="P254" s="25" t="s">
        <v>152</v>
      </c>
      <c r="Q254" s="27">
        <v>94.015907975316097</v>
      </c>
      <c r="R254" s="27">
        <v>92.701054773629295</v>
      </c>
      <c r="S254" s="27">
        <v>94.691255061968405</v>
      </c>
      <c r="T254" s="27">
        <v>95.672320216927602</v>
      </c>
      <c r="U254" s="27">
        <v>95.249248327343906</v>
      </c>
      <c r="V254" s="27">
        <v>93.051290074937796</v>
      </c>
      <c r="W254" s="27">
        <v>94.163746439545903</v>
      </c>
      <c r="X254" s="27">
        <v>94.923343563070205</v>
      </c>
      <c r="Y254" s="27">
        <v>94.171086280141694</v>
      </c>
      <c r="Z254" s="27">
        <v>94.134773630931804</v>
      </c>
      <c r="AA254" s="27"/>
      <c r="AB254" s="25">
        <f>COUNT(Q254:AA254)</f>
        <v>10</v>
      </c>
      <c r="AC254" s="28">
        <f>AB254/11</f>
        <v>0.90909090909090906</v>
      </c>
      <c r="AD254" s="25">
        <f>IFERROR(INDEX($Q$4:$AA$4,MATCH(TRUE,INDEX(ISNUMBER(Q254:AA254),0),0)),"")</f>
        <v>2015</v>
      </c>
      <c r="AE254" s="25">
        <f>IFERROR(LOOKUP(2,1/ISNUMBER(Q254:AA254),$Q$4:$AA$4),"")</f>
        <v>2024</v>
      </c>
      <c r="AF254" s="28">
        <f>IF(AB254=0,"",AB254/(AE254-AD254+1))</f>
        <v>1</v>
      </c>
      <c r="AG254" s="25">
        <f>IF(AB254=0,"",'01_Criterios'!$C$8-AE254)</f>
        <v>1</v>
      </c>
      <c r="AH254" s="29">
        <f>IF(P254="Em uso",100,IF(P254="Alta",85,IF(P254="Média",55,30)))</f>
        <v>85</v>
      </c>
      <c r="AI254" s="29">
        <f>ROUND(100*AC254,1)</f>
        <v>90.9</v>
      </c>
      <c r="AJ254" s="29">
        <f>IF(AB254=0,0,ROUND(MAX(0,100*AF254-10*AG254),1))</f>
        <v>90</v>
      </c>
      <c r="AK254" s="29">
        <f>ROUND(('01_Criterios'!$C$19*AH254+'01_Criterios'!$C$20*AI254+'01_Criterios'!$C$21*AJ254)/('01_Criterios'!$C$19+'01_Criterios'!$C$20+'01_Criterios'!$C$21)+N254*'01_Criterios'!$C$22,1)</f>
        <v>88.3</v>
      </c>
      <c r="AL254" s="25">
        <f>IF(AND(AB254&gt;=3,AC254&gt;='01_Criterios'!$C$11,N(AE254)&gt;='01_Criterios'!$C$12,OR(F254="+",F254="-"),ISNUMBER(G254),ISNUMBER(H254)),1,0)</f>
        <v>1</v>
      </c>
      <c r="AM254" s="30" t="str">
        <f>IF(AL254=1,"",TRIM(IF(AB254=0,"sem dados no período; ",IF(AB254&lt;3,"série demasiado curta; ",""))&amp;IF(AND(AB254&gt;0,AC254&lt;'01_Criterios'!$C$11),"cobertura insuficiente; ","")&amp;IF(AND(AB254&gt;0,N(AE254)&lt;'01_Criterios'!$C$12),"desactualizado; ","")&amp;IF(AND(F254&lt;&gt;"+",F254&lt;&gt;"-"),"sentido ambíguo; ","")&amp;IF(OR(NOT(ISNUMBER(G254)),NOT(ISNUMBER(H254))),"sem limites min/max; ","")))</f>
        <v/>
      </c>
      <c r="AN254" s="25">
        <f>IF(OR(AL254=0,$AP254="Excluir"),0,IF(SUMPRODUCT(($O$5:$O$335=$O254)*($AL$5:$AL$335=1)*($AP$5:$AP$335&lt;&gt;"Excluir")*(($AK$5:$AK$335&gt;$AK254)+(($AK$5:$AK$335=$AK254)*(ROW($O$5:$O$335)&lt;ROW()))))=0,1,0))</f>
        <v>1</v>
      </c>
      <c r="AO254" s="25">
        <f>IF(AN254=0,"",1+SUMPRODUCT(($B$5:$B$335=$B254)*($AN$5:$AN$335=1)*(($AK$5:$AK$335&gt;$AK254)+(($AK$5:$AK$335=$AK254)*(ROW($B$5:$B$335)&lt;ROW())))))</f>
        <v>5</v>
      </c>
      <c r="AP254" s="22" t="s">
        <v>131</v>
      </c>
      <c r="AQ254" s="25">
        <f>IF(INDEX('01_Criterios'!$C$26:$C$36,MATCH($B254,'01_Criterios'!$B$26:$B$36,0))&lt;&gt;1,0,IF($AP254="Excluir",0,IF($AP254="Incluir",IF(AND(OR($F254="+",$F254="-"),ISNUMBER($G254),ISNUMBER($H254),COUNT($Q254:$AA254)&gt;0),1,0),IF('01_Criterios'!$C$18="Automática",IF(AND($AN254=1,$AO254&lt;&gt;"",$AO254&lt;=INDEX('01_Criterios'!$E$26:$E$36,MATCH($B254,'01_Criterios'!$B$26:$B$36,0))),1,0),0))))</f>
        <v>1</v>
      </c>
      <c r="AR254" s="25">
        <f>IF(AQ254=0,"",IF($AO254&lt;&gt;"",1+SUMPRODUCT(($B$5:$B$335=$B254)*($AQ$5:$AQ$335=1)*($AO$5:$AO$335&lt;$AO254)),1+SUMPRODUCT(($B$5:$B$335=$B254)*($AQ$5:$AQ$335=1)*ISNUMBER($AO$5:$AO$335))+SUMPRODUCT(($B$5:$B$335=$B254)*($AQ$5:$AQ$335=1)*($AO$5:$AO$335="")*(ROW($AO$5:$AO$335)&lt;ROW()))))</f>
        <v>5</v>
      </c>
      <c r="AS254" s="24" t="s">
        <v>1365</v>
      </c>
    </row>
    <row r="255" spans="1:45">
      <c r="A255" s="20" t="s">
        <v>1366</v>
      </c>
      <c r="B255" s="21" t="s">
        <v>83</v>
      </c>
      <c r="C255" s="21" t="s">
        <v>1361</v>
      </c>
      <c r="D255" s="21" t="s">
        <v>1367</v>
      </c>
      <c r="E255" s="20" t="s">
        <v>1363</v>
      </c>
      <c r="F255" s="20" t="s">
        <v>126</v>
      </c>
      <c r="G255" s="20">
        <v>0</v>
      </c>
      <c r="H255" s="20">
        <v>100</v>
      </c>
      <c r="I255" s="20">
        <v>15</v>
      </c>
      <c r="J255" s="22">
        <v>1</v>
      </c>
      <c r="K255" s="21" t="s">
        <v>204</v>
      </c>
      <c r="L255" s="20" t="s">
        <v>1368</v>
      </c>
      <c r="M255" s="21" t="s">
        <v>161</v>
      </c>
      <c r="N255" s="20">
        <v>0</v>
      </c>
      <c r="O255" s="21" t="s">
        <v>1366</v>
      </c>
      <c r="P255" s="20" t="s">
        <v>152</v>
      </c>
      <c r="Q255" s="6">
        <v>2.3854526026018501</v>
      </c>
      <c r="R255" s="6">
        <v>2.7761538493095101</v>
      </c>
      <c r="S255" s="6">
        <v>1.33188373152811</v>
      </c>
      <c r="T255" s="6">
        <v>0.65812273341302796</v>
      </c>
      <c r="U255" s="6">
        <v>0.82239066862700005</v>
      </c>
      <c r="V255" s="6">
        <v>0.93176004185347105</v>
      </c>
      <c r="W255" s="6">
        <v>0.81278995548598498</v>
      </c>
      <c r="X255" s="6">
        <v>0.69815240612557505</v>
      </c>
      <c r="Y255" s="6">
        <v>1.02737042810773</v>
      </c>
      <c r="Z255" s="6">
        <v>1.0575480985772401</v>
      </c>
      <c r="AA255" s="6"/>
      <c r="AB255" s="20">
        <f>COUNT(Q255:AA255)</f>
        <v>10</v>
      </c>
      <c r="AC255" s="23">
        <f>AB255/11</f>
        <v>0.90909090909090906</v>
      </c>
      <c r="AD255" s="20">
        <f>IFERROR(INDEX($Q$4:$AA$4,MATCH(TRUE,INDEX(ISNUMBER(Q255:AA255),0),0)),"")</f>
        <v>2015</v>
      </c>
      <c r="AE255" s="20">
        <f>IFERROR(LOOKUP(2,1/ISNUMBER(Q255:AA255),$Q$4:$AA$4),"")</f>
        <v>2024</v>
      </c>
      <c r="AF255" s="23">
        <f>IF(AB255=0,"",AB255/(AE255-AD255+1))</f>
        <v>1</v>
      </c>
      <c r="AG255" s="20">
        <f>IF(AB255=0,"",'01_Criterios'!$C$8-AE255)</f>
        <v>1</v>
      </c>
      <c r="AH255" s="7">
        <f>IF(P255="Em uso",100,IF(P255="Alta",85,IF(P255="Média",55,30)))</f>
        <v>85</v>
      </c>
      <c r="AI255" s="7">
        <f>ROUND(100*AC255,1)</f>
        <v>90.9</v>
      </c>
      <c r="AJ255" s="7">
        <f>IF(AB255=0,0,ROUND(MAX(0,100*AF255-10*AG255),1))</f>
        <v>90</v>
      </c>
      <c r="AK255" s="7">
        <f>ROUND(('01_Criterios'!$C$19*AH255+'01_Criterios'!$C$20*AI255+'01_Criterios'!$C$21*AJ255)/('01_Criterios'!$C$19+'01_Criterios'!$C$20+'01_Criterios'!$C$21)+N255*'01_Criterios'!$C$22,1)</f>
        <v>88.3</v>
      </c>
      <c r="AL255" s="20">
        <f>IF(AND(AB255&gt;=3,AC255&gt;='01_Criterios'!$C$11,N(AE255)&gt;='01_Criterios'!$C$12,OR(F255="+",F255="-"),ISNUMBER(G255),ISNUMBER(H255)),1,0)</f>
        <v>1</v>
      </c>
      <c r="AM255" s="24" t="str">
        <f>IF(AL255=1,"",TRIM(IF(AB255=0,"sem dados no período; ",IF(AB255&lt;3,"série demasiado curta; ",""))&amp;IF(AND(AB255&gt;0,AC255&lt;'01_Criterios'!$C$11),"cobertura insuficiente; ","")&amp;IF(AND(AB255&gt;0,N(AE255)&lt;'01_Criterios'!$C$12),"desactualizado; ","")&amp;IF(AND(F255&lt;&gt;"+",F255&lt;&gt;"-"),"sentido ambíguo; ","")&amp;IF(OR(NOT(ISNUMBER(G255)),NOT(ISNUMBER(H255))),"sem limites min/max; ","")))</f>
        <v/>
      </c>
      <c r="AN255" s="20">
        <f>IF(OR(AL255=0,$AP255="Excluir"),0,IF(SUMPRODUCT(($O$5:$O$335=$O255)*($AL$5:$AL$335=1)*($AP$5:$AP$335&lt;&gt;"Excluir")*(($AK$5:$AK$335&gt;$AK255)+(($AK$5:$AK$335=$AK255)*(ROW($O$5:$O$335)&lt;ROW()))))=0,1,0))</f>
        <v>1</v>
      </c>
      <c r="AO255" s="20">
        <f>IF(AN255=0,"",1+SUMPRODUCT(($B$5:$B$335=$B255)*($AN$5:$AN$335=1)*(($AK$5:$AK$335&gt;$AK255)+(($AK$5:$AK$335=$AK255)*(ROW($B$5:$B$335)&lt;ROW())))))</f>
        <v>6</v>
      </c>
      <c r="AP255" s="22" t="s">
        <v>131</v>
      </c>
      <c r="AQ255" s="20">
        <f>IF(INDEX('01_Criterios'!$C$26:$C$36,MATCH($B255,'01_Criterios'!$B$26:$B$36,0))&lt;&gt;1,0,IF($AP255="Excluir",0,IF($AP255="Incluir",IF(AND(OR($F255="+",$F255="-"),ISNUMBER($G255),ISNUMBER($H255),COUNT($Q255:$AA255)&gt;0),1,0),IF('01_Criterios'!$C$18="Automática",IF(AND($AN255=1,$AO255&lt;&gt;"",$AO255&lt;=INDEX('01_Criterios'!$E$26:$E$36,MATCH($B255,'01_Criterios'!$B$26:$B$36,0))),1,0),0))))</f>
        <v>0</v>
      </c>
      <c r="AR255" s="20" t="str">
        <f>IF(AQ255=0,"",IF($AO255&lt;&gt;"",1+SUMPRODUCT(($B$5:$B$335=$B255)*($AQ$5:$AQ$335=1)*($AO$5:$AO$335&lt;$AO255)),1+SUMPRODUCT(($B$5:$B$335=$B255)*($AQ$5:$AQ$335=1)*ISNUMBER($AO$5:$AO$335))+SUMPRODUCT(($B$5:$B$335=$B255)*($AQ$5:$AQ$335=1)*($AO$5:$AO$335="")*(ROW($AO$5:$AO$335)&lt;ROW()))))</f>
        <v/>
      </c>
      <c r="AS255" s="24" t="s">
        <v>1369</v>
      </c>
    </row>
    <row r="256" spans="1:45">
      <c r="A256" s="25" t="s">
        <v>1370</v>
      </c>
      <c r="B256" s="26" t="s">
        <v>83</v>
      </c>
      <c r="C256" s="26" t="s">
        <v>1371</v>
      </c>
      <c r="D256" s="26" t="s">
        <v>1372</v>
      </c>
      <c r="E256" s="25" t="s">
        <v>334</v>
      </c>
      <c r="F256" s="25" t="s">
        <v>126</v>
      </c>
      <c r="G256" s="25">
        <v>0</v>
      </c>
      <c r="H256" s="25">
        <v>60</v>
      </c>
      <c r="I256" s="25">
        <v>25</v>
      </c>
      <c r="J256" s="22">
        <v>1</v>
      </c>
      <c r="K256" s="26" t="s">
        <v>204</v>
      </c>
      <c r="L256" s="25" t="s">
        <v>1373</v>
      </c>
      <c r="M256" s="26" t="s">
        <v>161</v>
      </c>
      <c r="N256" s="25">
        <v>0</v>
      </c>
      <c r="O256" s="26" t="s">
        <v>343</v>
      </c>
      <c r="P256" s="25" t="s">
        <v>152</v>
      </c>
      <c r="Q256" s="27">
        <v>29.072120752715598</v>
      </c>
      <c r="R256" s="27">
        <v>29.634808589618149</v>
      </c>
      <c r="S256" s="27">
        <v>28.705703220030461</v>
      </c>
      <c r="T256" s="27">
        <v>23.89411373222168</v>
      </c>
      <c r="U256" s="27">
        <v>24.451355906573269</v>
      </c>
      <c r="V256" s="27">
        <v>19.66567476171338</v>
      </c>
      <c r="W256" s="27">
        <v>16.219420193303929</v>
      </c>
      <c r="X256" s="27">
        <v>14.46537031692649</v>
      </c>
      <c r="Y256" s="27">
        <v>12.421193286281911</v>
      </c>
      <c r="Z256" s="27">
        <v>10.622754433865699</v>
      </c>
      <c r="AA256" s="27"/>
      <c r="AB256" s="25">
        <f>COUNT(Q256:AA256)</f>
        <v>10</v>
      </c>
      <c r="AC256" s="28">
        <f>AB256/11</f>
        <v>0.90909090909090906</v>
      </c>
      <c r="AD256" s="25">
        <f>IFERROR(INDEX($Q$4:$AA$4,MATCH(TRUE,INDEX(ISNUMBER(Q256:AA256),0),0)),"")</f>
        <v>2015</v>
      </c>
      <c r="AE256" s="25">
        <f>IFERROR(LOOKUP(2,1/ISNUMBER(Q256:AA256),$Q$4:$AA$4),"")</f>
        <v>2024</v>
      </c>
      <c r="AF256" s="28">
        <f>IF(AB256=0,"",AB256/(AE256-AD256+1))</f>
        <v>1</v>
      </c>
      <c r="AG256" s="25">
        <f>IF(AB256=0,"",'01_Criterios'!$C$8-AE256)</f>
        <v>1</v>
      </c>
      <c r="AH256" s="29">
        <f>IF(P256="Em uso",100,IF(P256="Alta",85,IF(P256="Média",55,30)))</f>
        <v>85</v>
      </c>
      <c r="AI256" s="29">
        <f>ROUND(100*AC256,1)</f>
        <v>90.9</v>
      </c>
      <c r="AJ256" s="29">
        <f>IF(AB256=0,0,ROUND(MAX(0,100*AF256-10*AG256),1))</f>
        <v>90</v>
      </c>
      <c r="AK256" s="29">
        <f>ROUND(('01_Criterios'!$C$19*AH256+'01_Criterios'!$C$20*AI256+'01_Criterios'!$C$21*AJ256)/('01_Criterios'!$C$19+'01_Criterios'!$C$20+'01_Criterios'!$C$21)+N256*'01_Criterios'!$C$22,1)</f>
        <v>88.3</v>
      </c>
      <c r="AL256" s="25">
        <f>IF(AND(AB256&gt;=3,AC256&gt;='01_Criterios'!$C$11,N(AE256)&gt;='01_Criterios'!$C$12,OR(F256="+",F256="-"),ISNUMBER(G256),ISNUMBER(H256)),1,0)</f>
        <v>1</v>
      </c>
      <c r="AM256" s="30" t="str">
        <f>IF(AL256=1,"",TRIM(IF(AB256=0,"sem dados no período; ",IF(AB256&lt;3,"série demasiado curta; ",""))&amp;IF(AND(AB256&gt;0,AC256&lt;'01_Criterios'!$C$11),"cobertura insuficiente; ","")&amp;IF(AND(AB256&gt;0,N(AE256)&lt;'01_Criterios'!$C$12),"desactualizado; ","")&amp;IF(AND(F256&lt;&gt;"+",F256&lt;&gt;"-"),"sentido ambíguo; ","")&amp;IF(OR(NOT(ISNUMBER(G256)),NOT(ISNUMBER(H256))),"sem limites min/max; ","")))</f>
        <v/>
      </c>
      <c r="AN256" s="25">
        <f>IF(OR(AL256=0,$AP256="Excluir"),0,IF(SUMPRODUCT(($O$5:$O$335=$O256)*($AL$5:$AL$335=1)*($AP$5:$AP$335&lt;&gt;"Excluir")*(($AK$5:$AK$335&gt;$AK256)+(($AK$5:$AK$335=$AK256)*(ROW($O$5:$O$335)&lt;ROW()))))=0,1,0))</f>
        <v>0</v>
      </c>
      <c r="AO256" s="25" t="str">
        <f>IF(AN256=0,"",1+SUMPRODUCT(($B$5:$B$335=$B256)*($AN$5:$AN$335=1)*(($AK$5:$AK$335&gt;$AK256)+(($AK$5:$AK$335=$AK256)*(ROW($B$5:$B$335)&lt;ROW())))))</f>
        <v/>
      </c>
      <c r="AP256" s="22" t="s">
        <v>131</v>
      </c>
      <c r="AQ256" s="25">
        <f>IF(INDEX('01_Criterios'!$C$26:$C$36,MATCH($B256,'01_Criterios'!$B$26:$B$36,0))&lt;&gt;1,0,IF($AP256="Excluir",0,IF($AP256="Incluir",IF(AND(OR($F256="+",$F256="-"),ISNUMBER($G256),ISNUMBER($H256),COUNT($Q256:$AA256)&gt;0),1,0),IF('01_Criterios'!$C$18="Automática",IF(AND($AN256=1,$AO256&lt;&gt;"",$AO256&lt;=INDEX('01_Criterios'!$E$26:$E$36,MATCH($B256,'01_Criterios'!$B$26:$B$36,0))),1,0),0))))</f>
        <v>0</v>
      </c>
      <c r="AR256" s="25" t="str">
        <f>IF(AQ256=0,"",IF($AO256&lt;&gt;"",1+SUMPRODUCT(($B$5:$B$335=$B256)*($AQ$5:$AQ$335=1)*($AO$5:$AO$335&lt;$AO256)),1+SUMPRODUCT(($B$5:$B$335=$B256)*($AQ$5:$AQ$335=1)*ISNUMBER($AO$5:$AO$335))+SUMPRODUCT(($B$5:$B$335=$B256)*($AQ$5:$AQ$335=1)*($AO$5:$AO$335="")*(ROW($AO$5:$AO$335)&lt;ROW()))))</f>
        <v/>
      </c>
      <c r="AS256" s="24" t="s">
        <v>1374</v>
      </c>
    </row>
    <row r="257" spans="1:45">
      <c r="A257" s="20" t="s">
        <v>1375</v>
      </c>
      <c r="B257" s="21" t="s">
        <v>83</v>
      </c>
      <c r="C257" s="21" t="s">
        <v>1371</v>
      </c>
      <c r="D257" s="21" t="s">
        <v>1376</v>
      </c>
      <c r="E257" s="20" t="s">
        <v>334</v>
      </c>
      <c r="F257" s="20" t="s">
        <v>126</v>
      </c>
      <c r="G257" s="20">
        <v>-10</v>
      </c>
      <c r="H257" s="20">
        <v>20</v>
      </c>
      <c r="I257" s="20">
        <v>5</v>
      </c>
      <c r="J257" s="22">
        <v>1</v>
      </c>
      <c r="K257" s="21" t="s">
        <v>204</v>
      </c>
      <c r="L257" s="20" t="s">
        <v>372</v>
      </c>
      <c r="M257" s="21" t="s">
        <v>161</v>
      </c>
      <c r="N257" s="20">
        <v>0</v>
      </c>
      <c r="O257" s="21" t="s">
        <v>354</v>
      </c>
      <c r="P257" s="20" t="s">
        <v>152</v>
      </c>
      <c r="Q257" s="6">
        <v>9.7795154502447996</v>
      </c>
      <c r="R257" s="6">
        <v>-0.29540475886763651</v>
      </c>
      <c r="S257" s="6">
        <v>-8.6387131616293029</v>
      </c>
      <c r="T257" s="6">
        <v>-7.1333082880951926</v>
      </c>
      <c r="U257" s="6">
        <v>-5.0477721828997124</v>
      </c>
      <c r="V257" s="6">
        <v>-3.189887603746882</v>
      </c>
      <c r="W257" s="6">
        <v>-5.5632323414115383</v>
      </c>
      <c r="X257" s="6">
        <v>-5.1457918685519761</v>
      </c>
      <c r="Y257" s="6">
        <v>-1.998854414452103</v>
      </c>
      <c r="Z257" s="6">
        <v>-1.0765010719966861</v>
      </c>
      <c r="AA257" s="6"/>
      <c r="AB257" s="20">
        <f>COUNT(Q257:AA257)</f>
        <v>10</v>
      </c>
      <c r="AC257" s="23">
        <f>AB257/11</f>
        <v>0.90909090909090906</v>
      </c>
      <c r="AD257" s="20">
        <f>IFERROR(INDEX($Q$4:$AA$4,MATCH(TRUE,INDEX(ISNUMBER(Q257:AA257),0),0)),"")</f>
        <v>2015</v>
      </c>
      <c r="AE257" s="20">
        <f>IFERROR(LOOKUP(2,1/ISNUMBER(Q257:AA257),$Q$4:$AA$4),"")</f>
        <v>2024</v>
      </c>
      <c r="AF257" s="23">
        <f>IF(AB257=0,"",AB257/(AE257-AD257+1))</f>
        <v>1</v>
      </c>
      <c r="AG257" s="20">
        <f>IF(AB257=0,"",'01_Criterios'!$C$8-AE257)</f>
        <v>1</v>
      </c>
      <c r="AH257" s="7">
        <f>IF(P257="Em uso",100,IF(P257="Alta",85,IF(P257="Média",55,30)))</f>
        <v>85</v>
      </c>
      <c r="AI257" s="7">
        <f>ROUND(100*AC257,1)</f>
        <v>90.9</v>
      </c>
      <c r="AJ257" s="7">
        <f>IF(AB257=0,0,ROUND(MAX(0,100*AF257-10*AG257),1))</f>
        <v>90</v>
      </c>
      <c r="AK257" s="7">
        <f>ROUND(('01_Criterios'!$C$19*AH257+'01_Criterios'!$C$20*AI257+'01_Criterios'!$C$21*AJ257)/('01_Criterios'!$C$19+'01_Criterios'!$C$20+'01_Criterios'!$C$21)+N257*'01_Criterios'!$C$22,1)</f>
        <v>88.3</v>
      </c>
      <c r="AL257" s="20">
        <f>IF(AND(AB257&gt;=3,AC257&gt;='01_Criterios'!$C$11,N(AE257)&gt;='01_Criterios'!$C$12,OR(F257="+",F257="-"),ISNUMBER(G257),ISNUMBER(H257)),1,0)</f>
        <v>1</v>
      </c>
      <c r="AM257" s="24" t="str">
        <f>IF(AL257=1,"",TRIM(IF(AB257=0,"sem dados no período; ",IF(AB257&lt;3,"série demasiado curta; ",""))&amp;IF(AND(AB257&gt;0,AC257&lt;'01_Criterios'!$C$11),"cobertura insuficiente; ","")&amp;IF(AND(AB257&gt;0,N(AE257)&lt;'01_Criterios'!$C$12),"desactualizado; ","")&amp;IF(AND(F257&lt;&gt;"+",F257&lt;&gt;"-"),"sentido ambíguo; ","")&amp;IF(OR(NOT(ISNUMBER(G257)),NOT(ISNUMBER(H257))),"sem limites min/max; ","")))</f>
        <v/>
      </c>
      <c r="AN257" s="20">
        <f>IF(OR(AL257=0,$AP257="Excluir"),0,IF(SUMPRODUCT(($O$5:$O$335=$O257)*($AL$5:$AL$335=1)*($AP$5:$AP$335&lt;&gt;"Excluir")*(($AK$5:$AK$335&gt;$AK257)+(($AK$5:$AK$335=$AK257)*(ROW($O$5:$O$335)&lt;ROW()))))=0,1,0))</f>
        <v>0</v>
      </c>
      <c r="AO257" s="20" t="str">
        <f>IF(AN257=0,"",1+SUMPRODUCT(($B$5:$B$335=$B257)*($AN$5:$AN$335=1)*(($AK$5:$AK$335&gt;$AK257)+(($AK$5:$AK$335=$AK257)*(ROW($B$5:$B$335)&lt;ROW())))))</f>
        <v/>
      </c>
      <c r="AP257" s="22" t="s">
        <v>131</v>
      </c>
      <c r="AQ257" s="20">
        <f>IF(INDEX('01_Criterios'!$C$26:$C$36,MATCH($B257,'01_Criterios'!$B$26:$B$36,0))&lt;&gt;1,0,IF($AP257="Excluir",0,IF($AP257="Incluir",IF(AND(OR($F257="+",$F257="-"),ISNUMBER($G257),ISNUMBER($H257),COUNT($Q257:$AA257)&gt;0),1,0),IF('01_Criterios'!$C$18="Automática",IF(AND($AN257=1,$AO257&lt;&gt;"",$AO257&lt;=INDEX('01_Criterios'!$E$26:$E$36,MATCH($B257,'01_Criterios'!$B$26:$B$36,0))),1,0),0))))</f>
        <v>0</v>
      </c>
      <c r="AR257" s="20" t="str">
        <f>IF(AQ257=0,"",IF($AO257&lt;&gt;"",1+SUMPRODUCT(($B$5:$B$335=$B257)*($AQ$5:$AQ$335=1)*($AO$5:$AO$335&lt;$AO257)),1+SUMPRODUCT(($B$5:$B$335=$B257)*($AQ$5:$AQ$335=1)*ISNUMBER($AO$5:$AO$335))+SUMPRODUCT(($B$5:$B$335=$B257)*($AQ$5:$AQ$335=1)*($AO$5:$AO$335="")*(ROW($AO$5:$AO$335)&lt;ROW()))))</f>
        <v/>
      </c>
      <c r="AS257" s="24" t="s">
        <v>1377</v>
      </c>
    </row>
    <row r="258" spans="1:45">
      <c r="A258" s="25" t="s">
        <v>1378</v>
      </c>
      <c r="B258" s="26" t="s">
        <v>83</v>
      </c>
      <c r="C258" s="26" t="s">
        <v>1371</v>
      </c>
      <c r="D258" s="26" t="s">
        <v>1379</v>
      </c>
      <c r="E258" s="25" t="s">
        <v>334</v>
      </c>
      <c r="F258" s="25" t="s">
        <v>126</v>
      </c>
      <c r="G258" s="25">
        <v>0</v>
      </c>
      <c r="H258" s="25">
        <v>100</v>
      </c>
      <c r="I258" s="25">
        <v>35</v>
      </c>
      <c r="J258" s="22">
        <v>1</v>
      </c>
      <c r="K258" s="26" t="s">
        <v>204</v>
      </c>
      <c r="L258" s="25" t="s">
        <v>449</v>
      </c>
      <c r="M258" s="26" t="s">
        <v>161</v>
      </c>
      <c r="N258" s="25">
        <v>0</v>
      </c>
      <c r="O258" s="26" t="s">
        <v>450</v>
      </c>
      <c r="P258" s="25" t="s">
        <v>152</v>
      </c>
      <c r="Q258" s="27">
        <v>22.2749280175045</v>
      </c>
      <c r="R258" s="27">
        <v>18.318007502950611</v>
      </c>
      <c r="S258" s="27">
        <v>14.63025795529294</v>
      </c>
      <c r="T258" s="27">
        <v>13.11091760109753</v>
      </c>
      <c r="U258" s="27">
        <v>13.395602867586071</v>
      </c>
      <c r="V258" s="27">
        <v>11.376559084367299</v>
      </c>
      <c r="W258" s="27">
        <v>8.8443017464105509</v>
      </c>
      <c r="X258" s="27">
        <v>7.0250619443541522</v>
      </c>
      <c r="Y258" s="27">
        <v>7.6457337441609194</v>
      </c>
      <c r="Z258" s="27">
        <v>7.1689264092656177</v>
      </c>
      <c r="AA258" s="27">
        <v>6.5808829663826964</v>
      </c>
      <c r="AB258" s="25">
        <f>COUNT(Q258:AA258)</f>
        <v>11</v>
      </c>
      <c r="AC258" s="28">
        <f>AB258/11</f>
        <v>1</v>
      </c>
      <c r="AD258" s="25">
        <f>IFERROR(INDEX($Q$4:$AA$4,MATCH(TRUE,INDEX(ISNUMBER(Q258:AA258),0),0)),"")</f>
        <v>2015</v>
      </c>
      <c r="AE258" s="25">
        <f>IFERROR(LOOKUP(2,1/ISNUMBER(Q258:AA258),$Q$4:$AA$4),"")</f>
        <v>2025</v>
      </c>
      <c r="AF258" s="28">
        <f>IF(AB258=0,"",AB258/(AE258-AD258+1))</f>
        <v>1</v>
      </c>
      <c r="AG258" s="25">
        <f>IF(AB258=0,"",'01_Criterios'!$C$8-AE258)</f>
        <v>0</v>
      </c>
      <c r="AH258" s="29">
        <f>IF(P258="Em uso",100,IF(P258="Alta",85,IF(P258="Média",55,30)))</f>
        <v>85</v>
      </c>
      <c r="AI258" s="29">
        <f>ROUND(100*AC258,1)</f>
        <v>100</v>
      </c>
      <c r="AJ258" s="29">
        <f>IF(AB258=0,0,ROUND(MAX(0,100*AF258-10*AG258),1))</f>
        <v>100</v>
      </c>
      <c r="AK258" s="29">
        <f>ROUND(('01_Criterios'!$C$19*AH258+'01_Criterios'!$C$20*AI258+'01_Criterios'!$C$21*AJ258)/('01_Criterios'!$C$19+'01_Criterios'!$C$20+'01_Criterios'!$C$21)+N258*'01_Criterios'!$C$22,1)</f>
        <v>94</v>
      </c>
      <c r="AL258" s="25">
        <f>IF(AND(AB258&gt;=3,AC258&gt;='01_Criterios'!$C$11,N(AE258)&gt;='01_Criterios'!$C$12,OR(F258="+",F258="-"),ISNUMBER(G258),ISNUMBER(H258)),1,0)</f>
        <v>1</v>
      </c>
      <c r="AM258" s="30" t="str">
        <f>IF(AL258=1,"",TRIM(IF(AB258=0,"sem dados no período; ",IF(AB258&lt;3,"série demasiado curta; ",""))&amp;IF(AND(AB258&gt;0,AC258&lt;'01_Criterios'!$C$11),"cobertura insuficiente; ","")&amp;IF(AND(AB258&gt;0,N(AE258)&lt;'01_Criterios'!$C$12),"desactualizado; ","")&amp;IF(AND(F258&lt;&gt;"+",F258&lt;&gt;"-"),"sentido ambíguo; ","")&amp;IF(OR(NOT(ISNUMBER(G258)),NOT(ISNUMBER(H258))),"sem limites min/max; ","")))</f>
        <v/>
      </c>
      <c r="AN258" s="25">
        <f>IF(OR(AL258=0,$AP258="Excluir"),0,IF(SUMPRODUCT(($O$5:$O$335=$O258)*($AL$5:$AL$335=1)*($AP$5:$AP$335&lt;&gt;"Excluir")*(($AK$5:$AK$335&gt;$AK258)+(($AK$5:$AK$335=$AK258)*(ROW($O$5:$O$335)&lt;ROW()))))=0,1,0))</f>
        <v>1</v>
      </c>
      <c r="AO258" s="25">
        <f>IF(AN258=0,"",1+SUMPRODUCT(($B$5:$B$335=$B258)*($AN$5:$AN$335=1)*(($AK$5:$AK$335&gt;$AK258)+(($AK$5:$AK$335=$AK258)*(ROW($B$5:$B$335)&lt;ROW())))))</f>
        <v>3</v>
      </c>
      <c r="AP258" s="22" t="s">
        <v>131</v>
      </c>
      <c r="AQ258" s="25">
        <f>IF(INDEX('01_Criterios'!$C$26:$C$36,MATCH($B258,'01_Criterios'!$B$26:$B$36,0))&lt;&gt;1,0,IF($AP258="Excluir",0,IF($AP258="Incluir",IF(AND(OR($F258="+",$F258="-"),ISNUMBER($G258),ISNUMBER($H258),COUNT($Q258:$AA258)&gt;0),1,0),IF('01_Criterios'!$C$18="Automática",IF(AND($AN258=1,$AO258&lt;&gt;"",$AO258&lt;=INDEX('01_Criterios'!$E$26:$E$36,MATCH($B258,'01_Criterios'!$B$26:$B$36,0))),1,0),0))))</f>
        <v>1</v>
      </c>
      <c r="AR258" s="25">
        <f>IF(AQ258=0,"",IF($AO258&lt;&gt;"",1+SUMPRODUCT(($B$5:$B$335=$B258)*($AQ$5:$AQ$335=1)*($AO$5:$AO$335&lt;$AO258)),1+SUMPRODUCT(($B$5:$B$335=$B258)*($AQ$5:$AQ$335=1)*ISNUMBER($AO$5:$AO$335))+SUMPRODUCT(($B$5:$B$335=$B258)*($AQ$5:$AQ$335=1)*($AO$5:$AO$335="")*(ROW($AO$5:$AO$335)&lt;ROW()))))</f>
        <v>3</v>
      </c>
      <c r="AS258" s="24" t="s">
        <v>1380</v>
      </c>
    </row>
    <row r="259" spans="1:45">
      <c r="A259" s="20" t="s">
        <v>1381</v>
      </c>
      <c r="B259" s="21" t="s">
        <v>83</v>
      </c>
      <c r="C259" s="21" t="s">
        <v>1334</v>
      </c>
      <c r="D259" s="21" t="s">
        <v>1382</v>
      </c>
      <c r="E259" s="20" t="s">
        <v>1336</v>
      </c>
      <c r="F259" s="20" t="s">
        <v>126</v>
      </c>
      <c r="G259" s="20">
        <v>0</v>
      </c>
      <c r="H259" s="20">
        <v>100</v>
      </c>
      <c r="I259" s="20">
        <v>45</v>
      </c>
      <c r="J259" s="22">
        <v>1</v>
      </c>
      <c r="K259" s="21" t="s">
        <v>1337</v>
      </c>
      <c r="L259" s="20" t="s">
        <v>1383</v>
      </c>
      <c r="M259" s="21" t="s">
        <v>1339</v>
      </c>
      <c r="N259" s="20">
        <v>0</v>
      </c>
      <c r="O259" s="21" t="s">
        <v>1381</v>
      </c>
      <c r="P259" s="20" t="s">
        <v>180</v>
      </c>
      <c r="Q259" s="6">
        <v>15.17</v>
      </c>
      <c r="R259" s="6">
        <v>15.83</v>
      </c>
      <c r="S259" s="6">
        <v>16.29</v>
      </c>
      <c r="T259" s="6">
        <v>16.399999999999999</v>
      </c>
      <c r="U259" s="6">
        <v>14.8</v>
      </c>
      <c r="V259" s="6">
        <v>10.28</v>
      </c>
      <c r="W259" s="6">
        <v>10.1</v>
      </c>
      <c r="X259" s="6">
        <v>13.24</v>
      </c>
      <c r="Y259" s="6">
        <v>13.58</v>
      </c>
      <c r="Z259" s="6">
        <v>13.35</v>
      </c>
      <c r="AA259" s="6"/>
      <c r="AB259" s="20">
        <f>COUNT(Q259:AA259)</f>
        <v>10</v>
      </c>
      <c r="AC259" s="23">
        <f>AB259/11</f>
        <v>0.90909090909090906</v>
      </c>
      <c r="AD259" s="20">
        <f>IFERROR(INDEX($Q$4:$AA$4,MATCH(TRUE,INDEX(ISNUMBER(Q259:AA259),0),0)),"")</f>
        <v>2015</v>
      </c>
      <c r="AE259" s="20">
        <f>IFERROR(LOOKUP(2,1/ISNUMBER(Q259:AA259),$Q$4:$AA$4),"")</f>
        <v>2024</v>
      </c>
      <c r="AF259" s="23">
        <f>IF(AB259=0,"",AB259/(AE259-AD259+1))</f>
        <v>1</v>
      </c>
      <c r="AG259" s="20">
        <f>IF(AB259=0,"",'01_Criterios'!$C$8-AE259)</f>
        <v>1</v>
      </c>
      <c r="AH259" s="7">
        <f>IF(P259="Em uso",100,IF(P259="Alta",85,IF(P259="Média",55,30)))</f>
        <v>55</v>
      </c>
      <c r="AI259" s="7">
        <f>ROUND(100*AC259,1)</f>
        <v>90.9</v>
      </c>
      <c r="AJ259" s="7">
        <f>IF(AB259=0,0,ROUND(MAX(0,100*AF259-10*AG259),1))</f>
        <v>90</v>
      </c>
      <c r="AK259" s="7">
        <f>ROUND(('01_Criterios'!$C$19*AH259+'01_Criterios'!$C$20*AI259+'01_Criterios'!$C$21*AJ259)/('01_Criterios'!$C$19+'01_Criterios'!$C$20+'01_Criterios'!$C$21)+N259*'01_Criterios'!$C$22,1)</f>
        <v>76.3</v>
      </c>
      <c r="AL259" s="20">
        <f>IF(AND(AB259&gt;=3,AC259&gt;='01_Criterios'!$C$11,N(AE259)&gt;='01_Criterios'!$C$12,OR(F259="+",F259="-"),ISNUMBER(G259),ISNUMBER(H259)),1,0)</f>
        <v>1</v>
      </c>
      <c r="AM259" s="24" t="str">
        <f>IF(AL259=1,"",TRIM(IF(AB259=0,"sem dados no período; ",IF(AB259&lt;3,"série demasiado curta; ",""))&amp;IF(AND(AB259&gt;0,AC259&lt;'01_Criterios'!$C$11),"cobertura insuficiente; ","")&amp;IF(AND(AB259&gt;0,N(AE259)&lt;'01_Criterios'!$C$12),"desactualizado; ","")&amp;IF(AND(F259&lt;&gt;"+",F259&lt;&gt;"-"),"sentido ambíguo; ","")&amp;IF(OR(NOT(ISNUMBER(G259)),NOT(ISNUMBER(H259))),"sem limites min/max; ","")))</f>
        <v/>
      </c>
      <c r="AN259" s="20">
        <f>IF(OR(AL259=0,$AP259="Excluir"),0,IF(SUMPRODUCT(($O$5:$O$335=$O259)*($AL$5:$AL$335=1)*($AP$5:$AP$335&lt;&gt;"Excluir")*(($AK$5:$AK$335&gt;$AK259)+(($AK$5:$AK$335=$AK259)*(ROW($O$5:$O$335)&lt;ROW()))))=0,1,0))</f>
        <v>1</v>
      </c>
      <c r="AO259" s="20">
        <f>IF(AN259=0,"",1+SUMPRODUCT(($B$5:$B$335=$B259)*($AN$5:$AN$335=1)*(($AK$5:$AK$335&gt;$AK259)+(($AK$5:$AK$335=$AK259)*(ROW($B$5:$B$335)&lt;ROW())))))</f>
        <v>8</v>
      </c>
      <c r="AP259" s="22" t="s">
        <v>131</v>
      </c>
      <c r="AQ259" s="20">
        <f>IF(INDEX('01_Criterios'!$C$26:$C$36,MATCH($B259,'01_Criterios'!$B$26:$B$36,0))&lt;&gt;1,0,IF($AP259="Excluir",0,IF($AP259="Incluir",IF(AND(OR($F259="+",$F259="-"),ISNUMBER($G259),ISNUMBER($H259),COUNT($Q259:$AA259)&gt;0),1,0),IF('01_Criterios'!$C$18="Automática",IF(AND($AN259=1,$AO259&lt;&gt;"",$AO259&lt;=INDEX('01_Criterios'!$E$26:$E$36,MATCH($B259,'01_Criterios'!$B$26:$B$36,0))),1,0),0))))</f>
        <v>0</v>
      </c>
      <c r="AR259" s="20" t="str">
        <f>IF(AQ259=0,"",IF($AO259&lt;&gt;"",1+SUMPRODUCT(($B$5:$B$335=$B259)*($AQ$5:$AQ$335=1)*($AO$5:$AO$335&lt;$AO259)),1+SUMPRODUCT(($B$5:$B$335=$B259)*($AQ$5:$AQ$335=1)*ISNUMBER($AO$5:$AO$335))+SUMPRODUCT(($B$5:$B$335=$B259)*($AQ$5:$AQ$335=1)*($AO$5:$AO$335="")*(ROW($AO$5:$AO$335)&lt;ROW()))))</f>
        <v/>
      </c>
      <c r="AS259" s="24" t="s">
        <v>1384</v>
      </c>
    </row>
    <row r="260" spans="1:45">
      <c r="A260" s="25" t="s">
        <v>1385</v>
      </c>
      <c r="B260" s="26" t="s">
        <v>83</v>
      </c>
      <c r="C260" s="26" t="s">
        <v>1356</v>
      </c>
      <c r="D260" s="26" t="s">
        <v>1386</v>
      </c>
      <c r="E260" s="25" t="s">
        <v>334</v>
      </c>
      <c r="F260" s="25" t="s">
        <v>316</v>
      </c>
      <c r="G260" s="25">
        <v>0</v>
      </c>
      <c r="H260" s="25">
        <v>50</v>
      </c>
      <c r="I260" s="25"/>
      <c r="J260" s="22">
        <v>1</v>
      </c>
      <c r="K260" s="26" t="s">
        <v>204</v>
      </c>
      <c r="L260" s="25" t="s">
        <v>1387</v>
      </c>
      <c r="M260" s="26" t="s">
        <v>161</v>
      </c>
      <c r="N260" s="25">
        <v>0</v>
      </c>
      <c r="O260" s="26" t="s">
        <v>1385</v>
      </c>
      <c r="P260" s="25" t="s">
        <v>180</v>
      </c>
      <c r="Q260" s="27">
        <v>13.663772327979601</v>
      </c>
      <c r="R260" s="27">
        <v>14.45584243710219</v>
      </c>
      <c r="S260" s="27">
        <v>14.70994168849901</v>
      </c>
      <c r="T260" s="27">
        <v>13.193391728399691</v>
      </c>
      <c r="U260" s="27">
        <v>12.32105082410482</v>
      </c>
      <c r="V260" s="27">
        <v>15.109767466923101</v>
      </c>
      <c r="W260" s="27">
        <v>16.831796799702861</v>
      </c>
      <c r="X260" s="27">
        <v>19.43011701787675</v>
      </c>
      <c r="Y260" s="27">
        <v>20.909336942755921</v>
      </c>
      <c r="Z260" s="27">
        <v>21.552670988283211</v>
      </c>
      <c r="AA260" s="27">
        <v>25.24098538881427</v>
      </c>
      <c r="AB260" s="25">
        <f>COUNT(Q260:AA260)</f>
        <v>11</v>
      </c>
      <c r="AC260" s="28">
        <f>AB260/11</f>
        <v>1</v>
      </c>
      <c r="AD260" s="25">
        <f>IFERROR(INDEX($Q$4:$AA$4,MATCH(TRUE,INDEX(ISNUMBER(Q260:AA260),0),0)),"")</f>
        <v>2015</v>
      </c>
      <c r="AE260" s="25">
        <f>IFERROR(LOOKUP(2,1/ISNUMBER(Q260:AA260),$Q$4:$AA$4),"")</f>
        <v>2025</v>
      </c>
      <c r="AF260" s="28">
        <f>IF(AB260=0,"",AB260/(AE260-AD260+1))</f>
        <v>1</v>
      </c>
      <c r="AG260" s="25">
        <f>IF(AB260=0,"",'01_Criterios'!$C$8-AE260)</f>
        <v>0</v>
      </c>
      <c r="AH260" s="29">
        <f>IF(P260="Em uso",100,IF(P260="Alta",85,IF(P260="Média",55,30)))</f>
        <v>55</v>
      </c>
      <c r="AI260" s="29">
        <f>ROUND(100*AC260,1)</f>
        <v>100</v>
      </c>
      <c r="AJ260" s="29">
        <f>IF(AB260=0,0,ROUND(MAX(0,100*AF260-10*AG260),1))</f>
        <v>100</v>
      </c>
      <c r="AK260" s="29">
        <f>ROUND(('01_Criterios'!$C$19*AH260+'01_Criterios'!$C$20*AI260+'01_Criterios'!$C$21*AJ260)/('01_Criterios'!$C$19+'01_Criterios'!$C$20+'01_Criterios'!$C$21)+N260*'01_Criterios'!$C$22,1)</f>
        <v>82</v>
      </c>
      <c r="AL260" s="25">
        <f>IF(AND(AB260&gt;=3,AC260&gt;='01_Criterios'!$C$11,N(AE260)&gt;='01_Criterios'!$C$12,OR(F260="+",F260="-"),ISNUMBER(G260),ISNUMBER(H260)),1,0)</f>
        <v>0</v>
      </c>
      <c r="AM260" s="30" t="str">
        <f>IF(AL260=1,"",TRIM(IF(AB260=0,"sem dados no período; ",IF(AB260&lt;3,"série demasiado curta; ",""))&amp;IF(AND(AB260&gt;0,AC260&lt;'01_Criterios'!$C$11),"cobertura insuficiente; ","")&amp;IF(AND(AB260&gt;0,N(AE260)&lt;'01_Criterios'!$C$12),"desactualizado; ","")&amp;IF(AND(F260&lt;&gt;"+",F260&lt;&gt;"-"),"sentido ambíguo; ","")&amp;IF(OR(NOT(ISNUMBER(G260)),NOT(ISNUMBER(H260))),"sem limites min/max; ","")))</f>
        <v>sentido ambíguo;</v>
      </c>
      <c r="AN260" s="25">
        <f>IF(OR(AL260=0,$AP260="Excluir"),0,IF(SUMPRODUCT(($O$5:$O$335=$O260)*($AL$5:$AL$335=1)*($AP$5:$AP$335&lt;&gt;"Excluir")*(($AK$5:$AK$335&gt;$AK260)+(($AK$5:$AK$335=$AK260)*(ROW($O$5:$O$335)&lt;ROW()))))=0,1,0))</f>
        <v>0</v>
      </c>
      <c r="AO260" s="25" t="str">
        <f>IF(AN260=0,"",1+SUMPRODUCT(($B$5:$B$335=$B260)*($AN$5:$AN$335=1)*(($AK$5:$AK$335&gt;$AK260)+(($AK$5:$AK$335=$AK260)*(ROW($B$5:$B$335)&lt;ROW())))))</f>
        <v/>
      </c>
      <c r="AP260" s="22" t="s">
        <v>131</v>
      </c>
      <c r="AQ260" s="25">
        <f>IF(INDEX('01_Criterios'!$C$26:$C$36,MATCH($B260,'01_Criterios'!$B$26:$B$36,0))&lt;&gt;1,0,IF($AP260="Excluir",0,IF($AP260="Incluir",IF(AND(OR($F260="+",$F260="-"),ISNUMBER($G260),ISNUMBER($H260),COUNT($Q260:$AA260)&gt;0),1,0),IF('01_Criterios'!$C$18="Automática",IF(AND($AN260=1,$AO260&lt;&gt;"",$AO260&lt;=INDEX('01_Criterios'!$E$26:$E$36,MATCH($B260,'01_Criterios'!$B$26:$B$36,0))),1,0),0))))</f>
        <v>0</v>
      </c>
      <c r="AR260" s="25" t="str">
        <f>IF(AQ260=0,"",IF($AO260&lt;&gt;"",1+SUMPRODUCT(($B$5:$B$335=$B260)*($AQ$5:$AQ$335=1)*($AO$5:$AO$335&lt;$AO260)),1+SUMPRODUCT(($B$5:$B$335=$B260)*($AQ$5:$AQ$335=1)*ISNUMBER($AO$5:$AO$335))+SUMPRODUCT(($B$5:$B$335=$B260)*($AQ$5:$AQ$335=1)*($AO$5:$AO$335="")*(ROW($AO$5:$AO$335)&lt;ROW()))))</f>
        <v/>
      </c>
      <c r="AS260" s="24" t="s">
        <v>1388</v>
      </c>
    </row>
    <row r="261" spans="1:45">
      <c r="A261" s="20" t="s">
        <v>1389</v>
      </c>
      <c r="B261" s="21" t="s">
        <v>83</v>
      </c>
      <c r="C261" s="21" t="s">
        <v>1356</v>
      </c>
      <c r="D261" s="21" t="s">
        <v>1390</v>
      </c>
      <c r="E261" s="20" t="s">
        <v>334</v>
      </c>
      <c r="F261" s="20" t="s">
        <v>126</v>
      </c>
      <c r="G261" s="20">
        <v>0</v>
      </c>
      <c r="H261" s="20">
        <v>80</v>
      </c>
      <c r="I261" s="20">
        <v>45</v>
      </c>
      <c r="J261" s="22">
        <v>1</v>
      </c>
      <c r="K261" s="21" t="s">
        <v>204</v>
      </c>
      <c r="L261" s="20" t="s">
        <v>1391</v>
      </c>
      <c r="M261" s="21" t="s">
        <v>161</v>
      </c>
      <c r="N261" s="20">
        <v>0</v>
      </c>
      <c r="O261" s="21" t="s">
        <v>1389</v>
      </c>
      <c r="P261" s="20" t="s">
        <v>180</v>
      </c>
      <c r="Q261" s="6">
        <v>47.880848505235193</v>
      </c>
      <c r="R261" s="6">
        <v>45.863306669830507</v>
      </c>
      <c r="S261" s="6">
        <v>45.796304330128862</v>
      </c>
      <c r="T261" s="6">
        <v>42.850662529930531</v>
      </c>
      <c r="U261" s="6">
        <v>43.26796077844589</v>
      </c>
      <c r="V261" s="6">
        <v>45.39076786387561</v>
      </c>
      <c r="W261" s="6">
        <v>43.076579649214857</v>
      </c>
      <c r="X261" s="6">
        <v>44.481227010755838</v>
      </c>
      <c r="Y261" s="6">
        <v>43.554415827139437</v>
      </c>
      <c r="Z261" s="6">
        <v>44.607557277755667</v>
      </c>
      <c r="AA261" s="6">
        <v>46.829232347720648</v>
      </c>
      <c r="AB261" s="20">
        <f>COUNT(Q261:AA261)</f>
        <v>11</v>
      </c>
      <c r="AC261" s="23">
        <f>AB261/11</f>
        <v>1</v>
      </c>
      <c r="AD261" s="20">
        <f>IFERROR(INDEX($Q$4:$AA$4,MATCH(TRUE,INDEX(ISNUMBER(Q261:AA261),0),0)),"")</f>
        <v>2015</v>
      </c>
      <c r="AE261" s="20">
        <f>IFERROR(LOOKUP(2,1/ISNUMBER(Q261:AA261),$Q$4:$AA$4),"")</f>
        <v>2025</v>
      </c>
      <c r="AF261" s="23">
        <f>IF(AB261=0,"",AB261/(AE261-AD261+1))</f>
        <v>1</v>
      </c>
      <c r="AG261" s="20">
        <f>IF(AB261=0,"",'01_Criterios'!$C$8-AE261)</f>
        <v>0</v>
      </c>
      <c r="AH261" s="7">
        <f>IF(P261="Em uso",100,IF(P261="Alta",85,IF(P261="Média",55,30)))</f>
        <v>55</v>
      </c>
      <c r="AI261" s="7">
        <f>ROUND(100*AC261,1)</f>
        <v>100</v>
      </c>
      <c r="AJ261" s="7">
        <f>IF(AB261=0,0,ROUND(MAX(0,100*AF261-10*AG261),1))</f>
        <v>100</v>
      </c>
      <c r="AK261" s="7">
        <f>ROUND(('01_Criterios'!$C$19*AH261+'01_Criterios'!$C$20*AI261+'01_Criterios'!$C$21*AJ261)/('01_Criterios'!$C$19+'01_Criterios'!$C$20+'01_Criterios'!$C$21)+N261*'01_Criterios'!$C$22,1)</f>
        <v>82</v>
      </c>
      <c r="AL261" s="20">
        <f>IF(AND(AB261&gt;=3,AC261&gt;='01_Criterios'!$C$11,N(AE261)&gt;='01_Criterios'!$C$12,OR(F261="+",F261="-"),ISNUMBER(G261),ISNUMBER(H261)),1,0)</f>
        <v>1</v>
      </c>
      <c r="AM261" s="24" t="str">
        <f>IF(AL261=1,"",TRIM(IF(AB261=0,"sem dados no período; ",IF(AB261&lt;3,"série demasiado curta; ",""))&amp;IF(AND(AB261&gt;0,AC261&lt;'01_Criterios'!$C$11),"cobertura insuficiente; ","")&amp;IF(AND(AB261&gt;0,N(AE261)&lt;'01_Criterios'!$C$12),"desactualizado; ","")&amp;IF(AND(F261&lt;&gt;"+",F261&lt;&gt;"-"),"sentido ambíguo; ","")&amp;IF(OR(NOT(ISNUMBER(G261)),NOT(ISNUMBER(H261))),"sem limites min/max; ","")))</f>
        <v/>
      </c>
      <c r="AN261" s="20">
        <f>IF(OR(AL261=0,$AP261="Excluir"),0,IF(SUMPRODUCT(($O$5:$O$335=$O261)*($AL$5:$AL$335=1)*($AP$5:$AP$335&lt;&gt;"Excluir")*(($AK$5:$AK$335&gt;$AK261)+(($AK$5:$AK$335=$AK261)*(ROW($O$5:$O$335)&lt;ROW()))))=0,1,0))</f>
        <v>1</v>
      </c>
      <c r="AO261" s="20">
        <f>IF(AN261=0,"",1+SUMPRODUCT(($B$5:$B$335=$B261)*($AN$5:$AN$335=1)*(($AK$5:$AK$335&gt;$AK261)+(($AK$5:$AK$335=$AK261)*(ROW($B$5:$B$335)&lt;ROW())))))</f>
        <v>7</v>
      </c>
      <c r="AP261" s="22" t="s">
        <v>131</v>
      </c>
      <c r="AQ261" s="20">
        <f>IF(INDEX('01_Criterios'!$C$26:$C$36,MATCH($B261,'01_Criterios'!$B$26:$B$36,0))&lt;&gt;1,0,IF($AP261="Excluir",0,IF($AP261="Incluir",IF(AND(OR($F261="+",$F261="-"),ISNUMBER($G261),ISNUMBER($H261),COUNT($Q261:$AA261)&gt;0),1,0),IF('01_Criterios'!$C$18="Automática",IF(AND($AN261=1,$AO261&lt;&gt;"",$AO261&lt;=INDEX('01_Criterios'!$E$26:$E$36,MATCH($B261,'01_Criterios'!$B$26:$B$36,0))),1,0),0))))</f>
        <v>0</v>
      </c>
      <c r="AR261" s="20" t="str">
        <f>IF(AQ261=0,"",IF($AO261&lt;&gt;"",1+SUMPRODUCT(($B$5:$B$335=$B261)*($AQ$5:$AQ$335=1)*($AO$5:$AO$335&lt;$AO261)),1+SUMPRODUCT(($B$5:$B$335=$B261)*($AQ$5:$AQ$335=1)*ISNUMBER($AO$5:$AO$335))+SUMPRODUCT(($B$5:$B$335=$B261)*($AQ$5:$AQ$335=1)*($AO$5:$AO$335="")*(ROW($AO$5:$AO$335)&lt;ROW()))))</f>
        <v/>
      </c>
      <c r="AS261" s="24" t="s">
        <v>1392</v>
      </c>
    </row>
    <row r="262" spans="1:45">
      <c r="A262" s="25" t="s">
        <v>1393</v>
      </c>
      <c r="B262" s="26" t="s">
        <v>83</v>
      </c>
      <c r="C262" s="26" t="s">
        <v>1361</v>
      </c>
      <c r="D262" s="26" t="s">
        <v>1394</v>
      </c>
      <c r="E262" s="25" t="s">
        <v>1395</v>
      </c>
      <c r="F262" s="25" t="s">
        <v>126</v>
      </c>
      <c r="G262" s="25">
        <v>0</v>
      </c>
      <c r="H262" s="25">
        <v>100</v>
      </c>
      <c r="I262" s="25">
        <v>5</v>
      </c>
      <c r="J262" s="22">
        <v>1</v>
      </c>
      <c r="K262" s="26" t="s">
        <v>204</v>
      </c>
      <c r="L262" s="25" t="s">
        <v>1396</v>
      </c>
      <c r="M262" s="26" t="s">
        <v>161</v>
      </c>
      <c r="N262" s="25">
        <v>0</v>
      </c>
      <c r="O262" s="26" t="s">
        <v>1397</v>
      </c>
      <c r="P262" s="25" t="s">
        <v>180</v>
      </c>
      <c r="Q262" s="27">
        <v>12.604485894247301</v>
      </c>
      <c r="R262" s="27">
        <v>12.9883050935056</v>
      </c>
      <c r="S262" s="27">
        <v>19.383950695536502</v>
      </c>
      <c r="T262" s="27">
        <v>23.312775455037201</v>
      </c>
      <c r="U262" s="27">
        <v>27.496501690309799</v>
      </c>
      <c r="V262" s="27">
        <v>23.394621384716402</v>
      </c>
      <c r="W262" s="27">
        <v>16.1269540436105</v>
      </c>
      <c r="X262" s="27">
        <v>22.063503999578099</v>
      </c>
      <c r="Y262" s="27">
        <v>23.471413942333399</v>
      </c>
      <c r="Z262" s="27">
        <v>16.6897206933082</v>
      </c>
      <c r="AA262" s="27"/>
      <c r="AB262" s="25">
        <f>COUNT(Q262:AA262)</f>
        <v>10</v>
      </c>
      <c r="AC262" s="28">
        <f>AB262/11</f>
        <v>0.90909090909090906</v>
      </c>
      <c r="AD262" s="25">
        <f>IFERROR(INDEX($Q$4:$AA$4,MATCH(TRUE,INDEX(ISNUMBER(Q262:AA262),0),0)),"")</f>
        <v>2015</v>
      </c>
      <c r="AE262" s="25">
        <f>IFERROR(LOOKUP(2,1/ISNUMBER(Q262:AA262),$Q$4:$AA$4),"")</f>
        <v>2024</v>
      </c>
      <c r="AF262" s="28">
        <f>IF(AB262=0,"",AB262/(AE262-AD262+1))</f>
        <v>1</v>
      </c>
      <c r="AG262" s="25">
        <f>IF(AB262=0,"",'01_Criterios'!$C$8-AE262)</f>
        <v>1</v>
      </c>
      <c r="AH262" s="29">
        <f>IF(P262="Em uso",100,IF(P262="Alta",85,IF(P262="Média",55,30)))</f>
        <v>55</v>
      </c>
      <c r="AI262" s="29">
        <f>ROUND(100*AC262,1)</f>
        <v>90.9</v>
      </c>
      <c r="AJ262" s="29">
        <f>IF(AB262=0,0,ROUND(MAX(0,100*AF262-10*AG262),1))</f>
        <v>90</v>
      </c>
      <c r="AK262" s="29">
        <f>ROUND(('01_Criterios'!$C$19*AH262+'01_Criterios'!$C$20*AI262+'01_Criterios'!$C$21*AJ262)/('01_Criterios'!$C$19+'01_Criterios'!$C$20+'01_Criterios'!$C$21)+N262*'01_Criterios'!$C$22,1)</f>
        <v>76.3</v>
      </c>
      <c r="AL262" s="25">
        <f>IF(AND(AB262&gt;=3,AC262&gt;='01_Criterios'!$C$11,N(AE262)&gt;='01_Criterios'!$C$12,OR(F262="+",F262="-"),ISNUMBER(G262),ISNUMBER(H262)),1,0)</f>
        <v>1</v>
      </c>
      <c r="AM262" s="30" t="str">
        <f>IF(AL262=1,"",TRIM(IF(AB262=0,"sem dados no período; ",IF(AB262&lt;3,"série demasiado curta; ",""))&amp;IF(AND(AB262&gt;0,AC262&lt;'01_Criterios'!$C$11),"cobertura insuficiente; ","")&amp;IF(AND(AB262&gt;0,N(AE262)&lt;'01_Criterios'!$C$12),"desactualizado; ","")&amp;IF(AND(F262&lt;&gt;"+",F262&lt;&gt;"-"),"sentido ambíguo; ","")&amp;IF(OR(NOT(ISNUMBER(G262)),NOT(ISNUMBER(H262))),"sem limites min/max; ","")))</f>
        <v/>
      </c>
      <c r="AN262" s="25">
        <f>IF(OR(AL262=0,$AP262="Excluir"),0,IF(SUMPRODUCT(($O$5:$O$335=$O262)*($AL$5:$AL$335=1)*($AP$5:$AP$335&lt;&gt;"Excluir")*(($AK$5:$AK$335&gt;$AK262)+(($AK$5:$AK$335=$AK262)*(ROW($O$5:$O$335)&lt;ROW()))))=0,1,0))</f>
        <v>1</v>
      </c>
      <c r="AO262" s="25">
        <f>IF(AN262=0,"",1+SUMPRODUCT(($B$5:$B$335=$B262)*($AN$5:$AN$335=1)*(($AK$5:$AK$335&gt;$AK262)+(($AK$5:$AK$335=$AK262)*(ROW($B$5:$B$335)&lt;ROW())))))</f>
        <v>9</v>
      </c>
      <c r="AP262" s="22" t="s">
        <v>131</v>
      </c>
      <c r="AQ262" s="25">
        <f>IF(INDEX('01_Criterios'!$C$26:$C$36,MATCH($B262,'01_Criterios'!$B$26:$B$36,0))&lt;&gt;1,0,IF($AP262="Excluir",0,IF($AP262="Incluir",IF(AND(OR($F262="+",$F262="-"),ISNUMBER($G262),ISNUMBER($H262),COUNT($Q262:$AA262)&gt;0),1,0),IF('01_Criterios'!$C$18="Automática",IF(AND($AN262=1,$AO262&lt;&gt;"",$AO262&lt;=INDEX('01_Criterios'!$E$26:$E$36,MATCH($B262,'01_Criterios'!$B$26:$B$36,0))),1,0),0))))</f>
        <v>0</v>
      </c>
      <c r="AR262" s="25" t="str">
        <f>IF(AQ262=0,"",IF($AO262&lt;&gt;"",1+SUMPRODUCT(($B$5:$B$335=$B262)*($AQ$5:$AQ$335=1)*($AO$5:$AO$335&lt;$AO262)),1+SUMPRODUCT(($B$5:$B$335=$B262)*($AQ$5:$AQ$335=1)*ISNUMBER($AO$5:$AO$335))+SUMPRODUCT(($B$5:$B$335=$B262)*($AQ$5:$AQ$335=1)*($AO$5:$AO$335="")*(ROW($AO$5:$AO$335)&lt;ROW()))))</f>
        <v/>
      </c>
      <c r="AS262" s="24" t="s">
        <v>1398</v>
      </c>
    </row>
    <row r="263" spans="1:45">
      <c r="A263" s="20" t="s">
        <v>1399</v>
      </c>
      <c r="B263" s="21" t="s">
        <v>83</v>
      </c>
      <c r="C263" s="21" t="s">
        <v>1400</v>
      </c>
      <c r="D263" s="21" t="s">
        <v>1401</v>
      </c>
      <c r="E263" s="20" t="s">
        <v>1402</v>
      </c>
      <c r="F263" s="20" t="s">
        <v>126</v>
      </c>
      <c r="G263" s="20">
        <v>0</v>
      </c>
      <c r="H263" s="20">
        <v>20</v>
      </c>
      <c r="I263" s="20">
        <v>3</v>
      </c>
      <c r="J263" s="22">
        <v>1</v>
      </c>
      <c r="K263" s="21" t="s">
        <v>204</v>
      </c>
      <c r="L263" s="20" t="s">
        <v>1403</v>
      </c>
      <c r="M263" s="21" t="s">
        <v>161</v>
      </c>
      <c r="N263" s="20">
        <v>0</v>
      </c>
      <c r="O263" s="21" t="s">
        <v>1399</v>
      </c>
      <c r="P263" s="20" t="s">
        <v>180</v>
      </c>
      <c r="Q263" s="6">
        <v>0.82672740846039805</v>
      </c>
      <c r="R263" s="6">
        <v>0.72790628586887796</v>
      </c>
      <c r="S263" s="6">
        <v>1.0398028237050101</v>
      </c>
      <c r="T263" s="6">
        <v>0.98578318778872298</v>
      </c>
      <c r="U263" s="6">
        <v>0.84328970831386796</v>
      </c>
      <c r="V263" s="6">
        <v>0.49582845056440999</v>
      </c>
      <c r="W263" s="6">
        <v>0.82710231334724904</v>
      </c>
      <c r="X263" s="6">
        <v>1.22943108366753</v>
      </c>
      <c r="Y263" s="6">
        <v>1.48615804898069</v>
      </c>
      <c r="Z263" s="6">
        <v>1.5476107272080599</v>
      </c>
      <c r="AA263" s="6"/>
      <c r="AB263" s="20">
        <f>COUNT(Q263:AA263)</f>
        <v>10</v>
      </c>
      <c r="AC263" s="23">
        <f>AB263/11</f>
        <v>0.90909090909090906</v>
      </c>
      <c r="AD263" s="20">
        <f>IFERROR(INDEX($Q$4:$AA$4,MATCH(TRUE,INDEX(ISNUMBER(Q263:AA263),0),0)),"")</f>
        <v>2015</v>
      </c>
      <c r="AE263" s="20">
        <f>IFERROR(LOOKUP(2,1/ISNUMBER(Q263:AA263),$Q$4:$AA$4),"")</f>
        <v>2024</v>
      </c>
      <c r="AF263" s="23">
        <f>IF(AB263=0,"",AB263/(AE263-AD263+1))</f>
        <v>1</v>
      </c>
      <c r="AG263" s="20">
        <f>IF(AB263=0,"",'01_Criterios'!$C$8-AE263)</f>
        <v>1</v>
      </c>
      <c r="AH263" s="7">
        <f>IF(P263="Em uso",100,IF(P263="Alta",85,IF(P263="Média",55,30)))</f>
        <v>55</v>
      </c>
      <c r="AI263" s="7">
        <f>ROUND(100*AC263,1)</f>
        <v>90.9</v>
      </c>
      <c r="AJ263" s="7">
        <f>IF(AB263=0,0,ROUND(MAX(0,100*AF263-10*AG263),1))</f>
        <v>90</v>
      </c>
      <c r="AK263" s="7">
        <f>ROUND(('01_Criterios'!$C$19*AH263+'01_Criterios'!$C$20*AI263+'01_Criterios'!$C$21*AJ263)/('01_Criterios'!$C$19+'01_Criterios'!$C$20+'01_Criterios'!$C$21)+N263*'01_Criterios'!$C$22,1)</f>
        <v>76.3</v>
      </c>
      <c r="AL263" s="20">
        <f>IF(AND(AB263&gt;=3,AC263&gt;='01_Criterios'!$C$11,N(AE263)&gt;='01_Criterios'!$C$12,OR(F263="+",F263="-"),ISNUMBER(G263),ISNUMBER(H263)),1,0)</f>
        <v>1</v>
      </c>
      <c r="AM263" s="24" t="str">
        <f>IF(AL263=1,"",TRIM(IF(AB263=0,"sem dados no período; ",IF(AB263&lt;3,"série demasiado curta; ",""))&amp;IF(AND(AB263&gt;0,AC263&lt;'01_Criterios'!$C$11),"cobertura insuficiente; ","")&amp;IF(AND(AB263&gt;0,N(AE263)&lt;'01_Criterios'!$C$12),"desactualizado; ","")&amp;IF(AND(F263&lt;&gt;"+",F263&lt;&gt;"-"),"sentido ambíguo; ","")&amp;IF(OR(NOT(ISNUMBER(G263)),NOT(ISNUMBER(H263))),"sem limites min/max; ","")))</f>
        <v/>
      </c>
      <c r="AN263" s="20">
        <f>IF(OR(AL263=0,$AP263="Excluir"),0,IF(SUMPRODUCT(($O$5:$O$335=$O263)*($AL$5:$AL$335=1)*($AP$5:$AP$335&lt;&gt;"Excluir")*(($AK$5:$AK$335&gt;$AK263)+(($AK$5:$AK$335=$AK263)*(ROW($O$5:$O$335)&lt;ROW()))))=0,1,0))</f>
        <v>1</v>
      </c>
      <c r="AO263" s="20">
        <f>IF(AN263=0,"",1+SUMPRODUCT(($B$5:$B$335=$B263)*($AN$5:$AN$335=1)*(($AK$5:$AK$335&gt;$AK263)+(($AK$5:$AK$335=$AK263)*(ROW($B$5:$B$335)&lt;ROW())))))</f>
        <v>10</v>
      </c>
      <c r="AP263" s="22" t="s">
        <v>131</v>
      </c>
      <c r="AQ263" s="20">
        <f>IF(INDEX('01_Criterios'!$C$26:$C$36,MATCH($B263,'01_Criterios'!$B$26:$B$36,0))&lt;&gt;1,0,IF($AP263="Excluir",0,IF($AP263="Incluir",IF(AND(OR($F263="+",$F263="-"),ISNUMBER($G263),ISNUMBER($H263),COUNT($Q263:$AA263)&gt;0),1,0),IF('01_Criterios'!$C$18="Automática",IF(AND($AN263=1,$AO263&lt;&gt;"",$AO263&lt;=INDEX('01_Criterios'!$E$26:$E$36,MATCH($B263,'01_Criterios'!$B$26:$B$36,0))),1,0),0))))</f>
        <v>0</v>
      </c>
      <c r="AR263" s="20" t="str">
        <f>IF(AQ263=0,"",IF($AO263&lt;&gt;"",1+SUMPRODUCT(($B$5:$B$335=$B263)*($AQ$5:$AQ$335=1)*($AO$5:$AO$335&lt;$AO263)),1+SUMPRODUCT(($B$5:$B$335=$B263)*($AQ$5:$AQ$335=1)*ISNUMBER($AO$5:$AO$335))+SUMPRODUCT(($B$5:$B$335=$B263)*($AQ$5:$AQ$335=1)*($AO$5:$AO$335="")*(ROW($AO$5:$AO$335)&lt;ROW()))))</f>
        <v/>
      </c>
      <c r="AS263" s="24" t="s">
        <v>1404</v>
      </c>
    </row>
    <row r="264" spans="1:45">
      <c r="A264" s="25" t="s">
        <v>1405</v>
      </c>
      <c r="B264" s="26" t="s">
        <v>83</v>
      </c>
      <c r="C264" s="26" t="s">
        <v>1356</v>
      </c>
      <c r="D264" s="26" t="s">
        <v>1406</v>
      </c>
      <c r="E264" s="25" t="s">
        <v>334</v>
      </c>
      <c r="F264" s="25" t="s">
        <v>316</v>
      </c>
      <c r="G264" s="25">
        <v>0</v>
      </c>
      <c r="H264" s="25">
        <v>80</v>
      </c>
      <c r="I264" s="25"/>
      <c r="J264" s="22">
        <v>1</v>
      </c>
      <c r="K264" s="26" t="s">
        <v>204</v>
      </c>
      <c r="L264" s="25" t="s">
        <v>1407</v>
      </c>
      <c r="M264" s="26" t="s">
        <v>161</v>
      </c>
      <c r="N264" s="25">
        <v>0</v>
      </c>
      <c r="O264" s="26" t="s">
        <v>1405</v>
      </c>
      <c r="P264" s="25" t="s">
        <v>180</v>
      </c>
      <c r="Q264" s="27">
        <v>36.894966286957953</v>
      </c>
      <c r="R264" s="27">
        <v>37.019763758664482</v>
      </c>
      <c r="S264" s="27">
        <v>36.696929914538948</v>
      </c>
      <c r="T264" s="27">
        <v>40.902353114004221</v>
      </c>
      <c r="U264" s="27">
        <v>42.170233880217758</v>
      </c>
      <c r="V264" s="27">
        <v>37.138063442686743</v>
      </c>
      <c r="W264" s="27">
        <v>38.994568767004843</v>
      </c>
      <c r="X264" s="27">
        <v>35.947321175909089</v>
      </c>
      <c r="Y264" s="27">
        <v>35.701247004625422</v>
      </c>
      <c r="Z264" s="27">
        <v>33.884228428798288</v>
      </c>
      <c r="AA264" s="27">
        <v>27.067925877149229</v>
      </c>
      <c r="AB264" s="25">
        <f>COUNT(Q264:AA264)</f>
        <v>11</v>
      </c>
      <c r="AC264" s="28">
        <f>AB264/11</f>
        <v>1</v>
      </c>
      <c r="AD264" s="25">
        <f>IFERROR(INDEX($Q$4:$AA$4,MATCH(TRUE,INDEX(ISNUMBER(Q264:AA264),0),0)),"")</f>
        <v>2015</v>
      </c>
      <c r="AE264" s="25">
        <f>IFERROR(LOOKUP(2,1/ISNUMBER(Q264:AA264),$Q$4:$AA$4),"")</f>
        <v>2025</v>
      </c>
      <c r="AF264" s="28">
        <f>IF(AB264=0,"",AB264/(AE264-AD264+1))</f>
        <v>1</v>
      </c>
      <c r="AG264" s="25">
        <f>IF(AB264=0,"",'01_Criterios'!$C$8-AE264)</f>
        <v>0</v>
      </c>
      <c r="AH264" s="29">
        <f>IF(P264="Em uso",100,IF(P264="Alta",85,IF(P264="Média",55,30)))</f>
        <v>55</v>
      </c>
      <c r="AI264" s="29">
        <f>ROUND(100*AC264,1)</f>
        <v>100</v>
      </c>
      <c r="AJ264" s="29">
        <f>IF(AB264=0,0,ROUND(MAX(0,100*AF264-10*AG264),1))</f>
        <v>100</v>
      </c>
      <c r="AK264" s="29">
        <f>ROUND(('01_Criterios'!$C$19*AH264+'01_Criterios'!$C$20*AI264+'01_Criterios'!$C$21*AJ264)/('01_Criterios'!$C$19+'01_Criterios'!$C$20+'01_Criterios'!$C$21)+N264*'01_Criterios'!$C$22,1)</f>
        <v>82</v>
      </c>
      <c r="AL264" s="25">
        <f>IF(AND(AB264&gt;=3,AC264&gt;='01_Criterios'!$C$11,N(AE264)&gt;='01_Criterios'!$C$12,OR(F264="+",F264="-"),ISNUMBER(G264),ISNUMBER(H264)),1,0)</f>
        <v>0</v>
      </c>
      <c r="AM264" s="30" t="str">
        <f>IF(AL264=1,"",TRIM(IF(AB264=0,"sem dados no período; ",IF(AB264&lt;3,"série demasiado curta; ",""))&amp;IF(AND(AB264&gt;0,AC264&lt;'01_Criterios'!$C$11),"cobertura insuficiente; ","")&amp;IF(AND(AB264&gt;0,N(AE264)&lt;'01_Criterios'!$C$12),"desactualizado; ","")&amp;IF(AND(F264&lt;&gt;"+",F264&lt;&gt;"-"),"sentido ambíguo; ","")&amp;IF(OR(NOT(ISNUMBER(G264)),NOT(ISNUMBER(H264))),"sem limites min/max; ","")))</f>
        <v>sentido ambíguo;</v>
      </c>
      <c r="AN264" s="25">
        <f>IF(OR(AL264=0,$AP264="Excluir"),0,IF(SUMPRODUCT(($O$5:$O$335=$O264)*($AL$5:$AL$335=1)*($AP$5:$AP$335&lt;&gt;"Excluir")*(($AK$5:$AK$335&gt;$AK264)+(($AK$5:$AK$335=$AK264)*(ROW($O$5:$O$335)&lt;ROW()))))=0,1,0))</f>
        <v>0</v>
      </c>
      <c r="AO264" s="25" t="str">
        <f>IF(AN264=0,"",1+SUMPRODUCT(($B$5:$B$335=$B264)*($AN$5:$AN$335=1)*(($AK$5:$AK$335&gt;$AK264)+(($AK$5:$AK$335=$AK264)*(ROW($B$5:$B$335)&lt;ROW())))))</f>
        <v/>
      </c>
      <c r="AP264" s="22" t="s">
        <v>131</v>
      </c>
      <c r="AQ264" s="25">
        <f>IF(INDEX('01_Criterios'!$C$26:$C$36,MATCH($B264,'01_Criterios'!$B$26:$B$36,0))&lt;&gt;1,0,IF($AP264="Excluir",0,IF($AP264="Incluir",IF(AND(OR($F264="+",$F264="-"),ISNUMBER($G264),ISNUMBER($H264),COUNT($Q264:$AA264)&gt;0),1,0),IF('01_Criterios'!$C$18="Automática",IF(AND($AN264=1,$AO264&lt;&gt;"",$AO264&lt;=INDEX('01_Criterios'!$E$26:$E$36,MATCH($B264,'01_Criterios'!$B$26:$B$36,0))),1,0),0))))</f>
        <v>0</v>
      </c>
      <c r="AR264" s="25" t="str">
        <f>IF(AQ264=0,"",IF($AO264&lt;&gt;"",1+SUMPRODUCT(($B$5:$B$335=$B264)*($AQ$5:$AQ$335=1)*($AO$5:$AO$335&lt;$AO264)),1+SUMPRODUCT(($B$5:$B$335=$B264)*($AQ$5:$AQ$335=1)*ISNUMBER($AO$5:$AO$335))+SUMPRODUCT(($B$5:$B$335=$B264)*($AQ$5:$AQ$335=1)*($AO$5:$AO$335="")*(ROW($AO$5:$AO$335)&lt;ROW()))))</f>
        <v/>
      </c>
      <c r="AS264" s="24" t="s">
        <v>1408</v>
      </c>
    </row>
    <row r="265" spans="1:45">
      <c r="A265" s="20" t="s">
        <v>1409</v>
      </c>
      <c r="B265" s="21" t="s">
        <v>83</v>
      </c>
      <c r="C265" s="21" t="s">
        <v>1410</v>
      </c>
      <c r="D265" s="21" t="s">
        <v>1411</v>
      </c>
      <c r="E265" s="20" t="s">
        <v>1412</v>
      </c>
      <c r="F265" s="20" t="s">
        <v>126</v>
      </c>
      <c r="G265" s="20">
        <v>0</v>
      </c>
      <c r="H265" s="20">
        <v>50</v>
      </c>
      <c r="I265" s="20">
        <v>10</v>
      </c>
      <c r="J265" s="22">
        <v>1</v>
      </c>
      <c r="K265" s="21" t="s">
        <v>1413</v>
      </c>
      <c r="L265" s="20" t="s">
        <v>1414</v>
      </c>
      <c r="M265" s="21" t="s">
        <v>161</v>
      </c>
      <c r="N265" s="20">
        <v>0</v>
      </c>
      <c r="O265" s="21" t="s">
        <v>1409</v>
      </c>
      <c r="P265" s="20" t="s">
        <v>180</v>
      </c>
      <c r="Q265" s="6">
        <v>2.98513777140918</v>
      </c>
      <c r="R265" s="6">
        <v>3.5283816089895499</v>
      </c>
      <c r="S265" s="6">
        <v>3.5643279403230199</v>
      </c>
      <c r="T265" s="6">
        <v>3.2717331310379798</v>
      </c>
      <c r="U265" s="6">
        <v>3.2927155846902001</v>
      </c>
      <c r="V265" s="6">
        <v>2.98513777140918</v>
      </c>
      <c r="W265" s="6">
        <v>3.5643279401658599</v>
      </c>
      <c r="X265" s="6">
        <v>3.5643279411108901</v>
      </c>
      <c r="Y265" s="6"/>
      <c r="Z265" s="6"/>
      <c r="AA265" s="6"/>
      <c r="AB265" s="20">
        <f>COUNT(Q265:AA265)</f>
        <v>8</v>
      </c>
      <c r="AC265" s="23">
        <f>AB265/11</f>
        <v>0.72727272727272729</v>
      </c>
      <c r="AD265" s="20">
        <f>IFERROR(INDEX($Q$4:$AA$4,MATCH(TRUE,INDEX(ISNUMBER(Q265:AA265),0),0)),"")</f>
        <v>2015</v>
      </c>
      <c r="AE265" s="20">
        <f>IFERROR(LOOKUP(2,1/ISNUMBER(Q265:AA265),$Q$4:$AA$4),"")</f>
        <v>2022</v>
      </c>
      <c r="AF265" s="23">
        <f>IF(AB265=0,"",AB265/(AE265-AD265+1))</f>
        <v>1</v>
      </c>
      <c r="AG265" s="20">
        <f>IF(AB265=0,"",'01_Criterios'!$C$8-AE265)</f>
        <v>3</v>
      </c>
      <c r="AH265" s="7">
        <f>IF(P265="Em uso",100,IF(P265="Alta",85,IF(P265="Média",55,30)))</f>
        <v>55</v>
      </c>
      <c r="AI265" s="7">
        <f>ROUND(100*AC265,1)</f>
        <v>72.7</v>
      </c>
      <c r="AJ265" s="7">
        <f>IF(AB265=0,0,ROUND(MAX(0,100*AF265-10*AG265),1))</f>
        <v>70</v>
      </c>
      <c r="AK265" s="7">
        <f>ROUND(('01_Criterios'!$C$19*AH265+'01_Criterios'!$C$20*AI265+'01_Criterios'!$C$21*AJ265)/('01_Criterios'!$C$19+'01_Criterios'!$C$20+'01_Criterios'!$C$21)+N265*'01_Criterios'!$C$22,1)</f>
        <v>64.900000000000006</v>
      </c>
      <c r="AL265" s="20">
        <f>IF(AND(AB265&gt;=3,AC265&gt;='01_Criterios'!$C$11,N(AE265)&gt;='01_Criterios'!$C$12,OR(F265="+",F265="-"),ISNUMBER(G265),ISNUMBER(H265)),1,0)</f>
        <v>0</v>
      </c>
      <c r="AM265" s="24" t="str">
        <f>IF(AL265=1,"",TRIM(IF(AB265=0,"sem dados no período; ",IF(AB265&lt;3,"série demasiado curta; ",""))&amp;IF(AND(AB265&gt;0,AC265&lt;'01_Criterios'!$C$11),"cobertura insuficiente; ","")&amp;IF(AND(AB265&gt;0,N(AE265)&lt;'01_Criterios'!$C$12),"desactualizado; ","")&amp;IF(AND(F265&lt;&gt;"+",F265&lt;&gt;"-"),"sentido ambíguo; ","")&amp;IF(OR(NOT(ISNUMBER(G265)),NOT(ISNUMBER(H265))),"sem limites min/max; ","")))</f>
        <v>cobertura insuficiente; desactualizado;</v>
      </c>
      <c r="AN265" s="20">
        <f>IF(OR(AL265=0,$AP265="Excluir"),0,IF(SUMPRODUCT(($O$5:$O$335=$O265)*($AL$5:$AL$335=1)*($AP$5:$AP$335&lt;&gt;"Excluir")*(($AK$5:$AK$335&gt;$AK265)+(($AK$5:$AK$335=$AK265)*(ROW($O$5:$O$335)&lt;ROW()))))=0,1,0))</f>
        <v>0</v>
      </c>
      <c r="AO265" s="20" t="str">
        <f>IF(AN265=0,"",1+SUMPRODUCT(($B$5:$B$335=$B265)*($AN$5:$AN$335=1)*(($AK$5:$AK$335&gt;$AK265)+(($AK$5:$AK$335=$AK265)*(ROW($B$5:$B$335)&lt;ROW())))))</f>
        <v/>
      </c>
      <c r="AP265" s="22" t="s">
        <v>131</v>
      </c>
      <c r="AQ265" s="20">
        <f>IF(INDEX('01_Criterios'!$C$26:$C$36,MATCH($B265,'01_Criterios'!$B$26:$B$36,0))&lt;&gt;1,0,IF($AP265="Excluir",0,IF($AP265="Incluir",IF(AND(OR($F265="+",$F265="-"),ISNUMBER($G265),ISNUMBER($H265),COUNT($Q265:$AA265)&gt;0),1,0),IF('01_Criterios'!$C$18="Automática",IF(AND($AN265=1,$AO265&lt;&gt;"",$AO265&lt;=INDEX('01_Criterios'!$E$26:$E$36,MATCH($B265,'01_Criterios'!$B$26:$B$36,0))),1,0),0))))</f>
        <v>0</v>
      </c>
      <c r="AR265" s="20" t="str">
        <f>IF(AQ265=0,"",IF($AO265&lt;&gt;"",1+SUMPRODUCT(($B$5:$B$335=$B265)*($AQ$5:$AQ$335=1)*($AO$5:$AO$335&lt;$AO265)),1+SUMPRODUCT(($B$5:$B$335=$B265)*($AQ$5:$AQ$335=1)*ISNUMBER($AO$5:$AO$335))+SUMPRODUCT(($B$5:$B$335=$B265)*($AQ$5:$AQ$335=1)*($AO$5:$AO$335="")*(ROW($AO$5:$AO$335)&lt;ROW()))))</f>
        <v/>
      </c>
      <c r="AS265" s="24" t="s">
        <v>1415</v>
      </c>
    </row>
    <row r="266" spans="1:45">
      <c r="A266" s="25" t="s">
        <v>1416</v>
      </c>
      <c r="B266" s="26" t="s">
        <v>83</v>
      </c>
      <c r="C266" s="26" t="s">
        <v>1361</v>
      </c>
      <c r="D266" s="26" t="s">
        <v>1417</v>
      </c>
      <c r="E266" s="25" t="s">
        <v>1363</v>
      </c>
      <c r="F266" s="25" t="s">
        <v>126</v>
      </c>
      <c r="G266" s="25">
        <v>0</v>
      </c>
      <c r="H266" s="25">
        <v>100</v>
      </c>
      <c r="I266" s="25">
        <v>10</v>
      </c>
      <c r="J266" s="22">
        <v>1</v>
      </c>
      <c r="K266" s="26" t="s">
        <v>204</v>
      </c>
      <c r="L266" s="25" t="s">
        <v>1418</v>
      </c>
      <c r="M266" s="26" t="s">
        <v>161</v>
      </c>
      <c r="N266" s="25">
        <v>0</v>
      </c>
      <c r="O266" s="26" t="s">
        <v>1416</v>
      </c>
      <c r="P266" s="25" t="s">
        <v>268</v>
      </c>
      <c r="Q266" s="27">
        <v>3.3736185976531198E-2</v>
      </c>
      <c r="R266" s="27">
        <v>0.233867793345409</v>
      </c>
      <c r="S266" s="27">
        <v>0.26274384007671903</v>
      </c>
      <c r="T266" s="27">
        <v>0.357367566369093</v>
      </c>
      <c r="U266" s="27">
        <v>5.5076725772032799E-2</v>
      </c>
      <c r="V266" s="27">
        <v>9.2252838268174903E-2</v>
      </c>
      <c r="W266" s="27">
        <v>2.2043496409928998E-3</v>
      </c>
      <c r="X266" s="27">
        <v>1.4267222169116001E-3</v>
      </c>
      <c r="Y266" s="27">
        <v>2.7480777886125002E-3</v>
      </c>
      <c r="Z266" s="27">
        <v>3.4398820405589198E-2</v>
      </c>
      <c r="AA266" s="27"/>
      <c r="AB266" s="25">
        <f>COUNT(Q266:AA266)</f>
        <v>10</v>
      </c>
      <c r="AC266" s="28">
        <f>AB266/11</f>
        <v>0.90909090909090906</v>
      </c>
      <c r="AD266" s="25">
        <f>IFERROR(INDEX($Q$4:$AA$4,MATCH(TRUE,INDEX(ISNUMBER(Q266:AA266),0),0)),"")</f>
        <v>2015</v>
      </c>
      <c r="AE266" s="25">
        <f>IFERROR(LOOKUP(2,1/ISNUMBER(Q266:AA266),$Q$4:$AA$4),"")</f>
        <v>2024</v>
      </c>
      <c r="AF266" s="28">
        <f>IF(AB266=0,"",AB266/(AE266-AD266+1))</f>
        <v>1</v>
      </c>
      <c r="AG266" s="25">
        <f>IF(AB266=0,"",'01_Criterios'!$C$8-AE266)</f>
        <v>1</v>
      </c>
      <c r="AH266" s="29">
        <f>IF(P266="Em uso",100,IF(P266="Alta",85,IF(P266="Média",55,30)))</f>
        <v>30</v>
      </c>
      <c r="AI266" s="29">
        <f>ROUND(100*AC266,1)</f>
        <v>90.9</v>
      </c>
      <c r="AJ266" s="29">
        <f>IF(AB266=0,0,ROUND(MAX(0,100*AF266-10*AG266),1))</f>
        <v>90</v>
      </c>
      <c r="AK266" s="29">
        <f>ROUND(('01_Criterios'!$C$19*AH266+'01_Criterios'!$C$20*AI266+'01_Criterios'!$C$21*AJ266)/('01_Criterios'!$C$19+'01_Criterios'!$C$20+'01_Criterios'!$C$21)+N266*'01_Criterios'!$C$22,1)</f>
        <v>66.3</v>
      </c>
      <c r="AL266" s="25">
        <f>IF(AND(AB266&gt;=3,AC266&gt;='01_Criterios'!$C$11,N(AE266)&gt;='01_Criterios'!$C$12,OR(F266="+",F266="-"),ISNUMBER(G266),ISNUMBER(H266)),1,0)</f>
        <v>1</v>
      </c>
      <c r="AM266" s="30" t="str">
        <f>IF(AL266=1,"",TRIM(IF(AB266=0,"sem dados no período; ",IF(AB266&lt;3,"série demasiado curta; ",""))&amp;IF(AND(AB266&gt;0,AC266&lt;'01_Criterios'!$C$11),"cobertura insuficiente; ","")&amp;IF(AND(AB266&gt;0,N(AE266)&lt;'01_Criterios'!$C$12),"desactualizado; ","")&amp;IF(AND(F266&lt;&gt;"+",F266&lt;&gt;"-"),"sentido ambíguo; ","")&amp;IF(OR(NOT(ISNUMBER(G266)),NOT(ISNUMBER(H266))),"sem limites min/max; ","")))</f>
        <v/>
      </c>
      <c r="AN266" s="25">
        <f>IF(OR(AL266=0,$AP266="Excluir"),0,IF(SUMPRODUCT(($O$5:$O$335=$O266)*($AL$5:$AL$335=1)*($AP$5:$AP$335&lt;&gt;"Excluir")*(($AK$5:$AK$335&gt;$AK266)+(($AK$5:$AK$335=$AK266)*(ROW($O$5:$O$335)&lt;ROW()))))=0,1,0))</f>
        <v>1</v>
      </c>
      <c r="AO266" s="25">
        <f>IF(AN266=0,"",1+SUMPRODUCT(($B$5:$B$335=$B266)*($AN$5:$AN$335=1)*(($AK$5:$AK$335&gt;$AK266)+(($AK$5:$AK$335=$AK266)*(ROW($B$5:$B$335)&lt;ROW())))))</f>
        <v>11</v>
      </c>
      <c r="AP266" s="22" t="s">
        <v>131</v>
      </c>
      <c r="AQ266" s="25">
        <f>IF(INDEX('01_Criterios'!$C$26:$C$36,MATCH($B266,'01_Criterios'!$B$26:$B$36,0))&lt;&gt;1,0,IF($AP266="Excluir",0,IF($AP266="Incluir",IF(AND(OR($F266="+",$F266="-"),ISNUMBER($G266),ISNUMBER($H266),COUNT($Q266:$AA266)&gt;0),1,0),IF('01_Criterios'!$C$18="Automática",IF(AND($AN266=1,$AO266&lt;&gt;"",$AO266&lt;=INDEX('01_Criterios'!$E$26:$E$36,MATCH($B266,'01_Criterios'!$B$26:$B$36,0))),1,0),0))))</f>
        <v>0</v>
      </c>
      <c r="AR266" s="25" t="str">
        <f>IF(AQ266=0,"",IF($AO266&lt;&gt;"",1+SUMPRODUCT(($B$5:$B$335=$B266)*($AQ$5:$AQ$335=1)*($AO$5:$AO$335&lt;$AO266)),1+SUMPRODUCT(($B$5:$B$335=$B266)*($AQ$5:$AQ$335=1)*ISNUMBER($AO$5:$AO$335))+SUMPRODUCT(($B$5:$B$335=$B266)*($AQ$5:$AQ$335=1)*($AO$5:$AO$335="")*(ROW($AO$5:$AO$335)&lt;ROW()))))</f>
        <v/>
      </c>
      <c r="AS266" s="24" t="s">
        <v>1419</v>
      </c>
    </row>
    <row r="267" spans="1:45">
      <c r="A267" s="20" t="s">
        <v>1420</v>
      </c>
      <c r="B267" s="21" t="s">
        <v>84</v>
      </c>
      <c r="C267" s="21" t="s">
        <v>1421</v>
      </c>
      <c r="D267" s="21" t="s">
        <v>1422</v>
      </c>
      <c r="E267" s="20" t="s">
        <v>1336</v>
      </c>
      <c r="F267" s="20" t="s">
        <v>126</v>
      </c>
      <c r="G267" s="20">
        <v>0</v>
      </c>
      <c r="H267" s="20">
        <v>100</v>
      </c>
      <c r="I267" s="20">
        <v>50</v>
      </c>
      <c r="J267" s="22">
        <v>1</v>
      </c>
      <c r="K267" s="21" t="s">
        <v>1423</v>
      </c>
      <c r="L267" s="20" t="s">
        <v>1424</v>
      </c>
      <c r="M267" s="21" t="s">
        <v>1423</v>
      </c>
      <c r="N267" s="20">
        <v>0</v>
      </c>
      <c r="O267" s="21" t="s">
        <v>1425</v>
      </c>
      <c r="P267" s="20" t="s">
        <v>152</v>
      </c>
      <c r="Q267" s="6">
        <v>35.26</v>
      </c>
      <c r="R267" s="6">
        <v>36.590000000000003</v>
      </c>
      <c r="S267" s="6">
        <v>36.659999999999997</v>
      </c>
      <c r="T267" s="6">
        <v>37.11</v>
      </c>
      <c r="U267" s="6">
        <v>37.299999999999997</v>
      </c>
      <c r="V267" s="6">
        <v>37.35</v>
      </c>
      <c r="W267" s="6">
        <v>37.880000000000003</v>
      </c>
      <c r="X267" s="6">
        <v>38.15</v>
      </c>
      <c r="Y267" s="6">
        <v>38.31</v>
      </c>
      <c r="Z267" s="6"/>
      <c r="AA267" s="6"/>
      <c r="AB267" s="20">
        <f>COUNT(Q267:AA267)</f>
        <v>9</v>
      </c>
      <c r="AC267" s="23">
        <f>AB267/11</f>
        <v>0.81818181818181823</v>
      </c>
      <c r="AD267" s="20">
        <f>IFERROR(INDEX($Q$4:$AA$4,MATCH(TRUE,INDEX(ISNUMBER(Q267:AA267),0),0)),"")</f>
        <v>2015</v>
      </c>
      <c r="AE267" s="20">
        <f>IFERROR(LOOKUP(2,1/ISNUMBER(Q267:AA267),$Q$4:$AA$4),"")</f>
        <v>2023</v>
      </c>
      <c r="AF267" s="23">
        <f>IF(AB267=0,"",AB267/(AE267-AD267+1))</f>
        <v>1</v>
      </c>
      <c r="AG267" s="20">
        <f>IF(AB267=0,"",'01_Criterios'!$C$8-AE267)</f>
        <v>2</v>
      </c>
      <c r="AH267" s="7">
        <f>IF(P267="Em uso",100,IF(P267="Alta",85,IF(P267="Média",55,30)))</f>
        <v>85</v>
      </c>
      <c r="AI267" s="7">
        <f>ROUND(100*AC267,1)</f>
        <v>81.8</v>
      </c>
      <c r="AJ267" s="7">
        <f>IF(AB267=0,0,ROUND(MAX(0,100*AF267-10*AG267),1))</f>
        <v>80</v>
      </c>
      <c r="AK267" s="7">
        <f>ROUND(('01_Criterios'!$C$19*AH267+'01_Criterios'!$C$20*AI267+'01_Criterios'!$C$21*AJ267)/('01_Criterios'!$C$19+'01_Criterios'!$C$20+'01_Criterios'!$C$21)+N267*'01_Criterios'!$C$22,1)</f>
        <v>82.6</v>
      </c>
      <c r="AL267" s="20">
        <f>IF(AND(AB267&gt;=3,AC267&gt;='01_Criterios'!$C$11,N(AE267)&gt;='01_Criterios'!$C$12,OR(F267="+",F267="-"),ISNUMBER(G267),ISNUMBER(H267)),1,0)</f>
        <v>1</v>
      </c>
      <c r="AM267" s="24" t="str">
        <f>IF(AL267=1,"",TRIM(IF(AB267=0,"sem dados no período; ",IF(AB267&lt;3,"série demasiado curta; ",""))&amp;IF(AND(AB267&gt;0,AC267&lt;'01_Criterios'!$C$11),"cobertura insuficiente; ","")&amp;IF(AND(AB267&gt;0,N(AE267)&lt;'01_Criterios'!$C$12),"desactualizado; ","")&amp;IF(AND(F267&lt;&gt;"+",F267&lt;&gt;"-"),"sentido ambíguo; ","")&amp;IF(OR(NOT(ISNUMBER(G267)),NOT(ISNUMBER(H267))),"sem limites min/max; ","")))</f>
        <v/>
      </c>
      <c r="AN267" s="20">
        <f>IF(OR(AL267=0,$AP267="Excluir"),0,IF(SUMPRODUCT(($O$5:$O$335=$O267)*($AL$5:$AL$335=1)*($AP$5:$AP$335&lt;&gt;"Excluir")*(($AK$5:$AK$335&gt;$AK267)+(($AK$5:$AK$335=$AK267)*(ROW($O$5:$O$335)&lt;ROW()))))=0,1,0))</f>
        <v>1</v>
      </c>
      <c r="AO267" s="20">
        <f>IF(AN267=0,"",1+SUMPRODUCT(($B$5:$B$335=$B267)*($AN$5:$AN$335=1)*(($AK$5:$AK$335&gt;$AK267)+(($AK$5:$AK$335=$AK267)*(ROW($B$5:$B$335)&lt;ROW())))))</f>
        <v>1</v>
      </c>
      <c r="AP267" s="22" t="s">
        <v>131</v>
      </c>
      <c r="AQ267" s="20">
        <f>IF(INDEX('01_Criterios'!$C$26:$C$36,MATCH($B267,'01_Criterios'!$B$26:$B$36,0))&lt;&gt;1,0,IF($AP267="Excluir",0,IF($AP267="Incluir",IF(AND(OR($F267="+",$F267="-"),ISNUMBER($G267),ISNUMBER($H267),COUNT($Q267:$AA267)&gt;0),1,0),IF('01_Criterios'!$C$18="Automática",IF(AND($AN267=1,$AO267&lt;&gt;"",$AO267&lt;=INDEX('01_Criterios'!$E$26:$E$36,MATCH($B267,'01_Criterios'!$B$26:$B$36,0))),1,0),0))))</f>
        <v>0</v>
      </c>
      <c r="AR267" s="20" t="str">
        <f>IF(AQ267=0,"",IF($AO267&lt;&gt;"",1+SUMPRODUCT(($B$5:$B$335=$B267)*($AQ$5:$AQ$335=1)*($AO$5:$AO$335&lt;$AO267)),1+SUMPRODUCT(($B$5:$B$335=$B267)*($AQ$5:$AQ$335=1)*ISNUMBER($AO$5:$AO$335))+SUMPRODUCT(($B$5:$B$335=$B267)*($AQ$5:$AQ$335=1)*($AO$5:$AO$335="")*(ROW($AO$5:$AO$335)&lt;ROW()))))</f>
        <v/>
      </c>
      <c r="AS267" s="24" t="s">
        <v>1426</v>
      </c>
    </row>
    <row r="268" spans="1:45">
      <c r="A268" s="25" t="s">
        <v>1427</v>
      </c>
      <c r="B268" s="26" t="s">
        <v>84</v>
      </c>
      <c r="C268" s="26" t="s">
        <v>1421</v>
      </c>
      <c r="D268" s="26" t="s">
        <v>1428</v>
      </c>
      <c r="E268" s="25" t="s">
        <v>1336</v>
      </c>
      <c r="F268" s="25" t="s">
        <v>158</v>
      </c>
      <c r="G268" s="25">
        <v>0</v>
      </c>
      <c r="H268" s="25">
        <v>1</v>
      </c>
      <c r="I268" s="25">
        <v>0.35</v>
      </c>
      <c r="J268" s="22">
        <v>1</v>
      </c>
      <c r="K268" s="26" t="s">
        <v>1423</v>
      </c>
      <c r="L268" s="25" t="s">
        <v>1429</v>
      </c>
      <c r="M268" s="26" t="s">
        <v>1423</v>
      </c>
      <c r="N268" s="25">
        <v>0</v>
      </c>
      <c r="O268" s="26" t="s">
        <v>1427</v>
      </c>
      <c r="P268" s="25" t="s">
        <v>152</v>
      </c>
      <c r="Q268" s="27">
        <v>0.50600000000000001</v>
      </c>
      <c r="R268" s="27">
        <v>0.50800000000000001</v>
      </c>
      <c r="S268" s="27">
        <v>0.50900000000000001</v>
      </c>
      <c r="T268" s="27">
        <v>0.51200000000000001</v>
      </c>
      <c r="U268" s="27">
        <v>0.51200000000000001</v>
      </c>
      <c r="V268" s="27">
        <v>0.51400000000000001</v>
      </c>
      <c r="W268" s="27">
        <v>0.51</v>
      </c>
      <c r="X268" s="27">
        <v>0.50900000000000001</v>
      </c>
      <c r="Y268" s="27">
        <v>0.50600000000000001</v>
      </c>
      <c r="Z268" s="27"/>
      <c r="AA268" s="27"/>
      <c r="AB268" s="25">
        <f>COUNT(Q268:AA268)</f>
        <v>9</v>
      </c>
      <c r="AC268" s="28">
        <f>AB268/11</f>
        <v>0.81818181818181823</v>
      </c>
      <c r="AD268" s="25">
        <f>IFERROR(INDEX($Q$4:$AA$4,MATCH(TRUE,INDEX(ISNUMBER(Q268:AA268),0),0)),"")</f>
        <v>2015</v>
      </c>
      <c r="AE268" s="25">
        <f>IFERROR(LOOKUP(2,1/ISNUMBER(Q268:AA268),$Q$4:$AA$4),"")</f>
        <v>2023</v>
      </c>
      <c r="AF268" s="28">
        <f>IF(AB268=0,"",AB268/(AE268-AD268+1))</f>
        <v>1</v>
      </c>
      <c r="AG268" s="25">
        <f>IF(AB268=0,"",'01_Criterios'!$C$8-AE268)</f>
        <v>2</v>
      </c>
      <c r="AH268" s="29">
        <f>IF(P268="Em uso",100,IF(P268="Alta",85,IF(P268="Média",55,30)))</f>
        <v>85</v>
      </c>
      <c r="AI268" s="29">
        <f>ROUND(100*AC268,1)</f>
        <v>81.8</v>
      </c>
      <c r="AJ268" s="29">
        <f>IF(AB268=0,0,ROUND(MAX(0,100*AF268-10*AG268),1))</f>
        <v>80</v>
      </c>
      <c r="AK268" s="29">
        <f>ROUND(('01_Criterios'!$C$19*AH268+'01_Criterios'!$C$20*AI268+'01_Criterios'!$C$21*AJ268)/('01_Criterios'!$C$19+'01_Criterios'!$C$20+'01_Criterios'!$C$21)+N268*'01_Criterios'!$C$22,1)</f>
        <v>82.6</v>
      </c>
      <c r="AL268" s="25">
        <f>IF(AND(AB268&gt;=3,AC268&gt;='01_Criterios'!$C$11,N(AE268)&gt;='01_Criterios'!$C$12,OR(F268="+",F268="-"),ISNUMBER(G268),ISNUMBER(H268)),1,0)</f>
        <v>1</v>
      </c>
      <c r="AM268" s="30" t="str">
        <f>IF(AL268=1,"",TRIM(IF(AB268=0,"sem dados no período; ",IF(AB268&lt;3,"série demasiado curta; ",""))&amp;IF(AND(AB268&gt;0,AC268&lt;'01_Criterios'!$C$11),"cobertura insuficiente; ","")&amp;IF(AND(AB268&gt;0,N(AE268)&lt;'01_Criterios'!$C$12),"desactualizado; ","")&amp;IF(AND(F268&lt;&gt;"+",F268&lt;&gt;"-"),"sentido ambíguo; ","")&amp;IF(OR(NOT(ISNUMBER(G268)),NOT(ISNUMBER(H268))),"sem limites min/max; ","")))</f>
        <v/>
      </c>
      <c r="AN268" s="25">
        <f>IF(OR(AL268=0,$AP268="Excluir"),0,IF(SUMPRODUCT(($O$5:$O$335=$O268)*($AL$5:$AL$335=1)*($AP$5:$AP$335&lt;&gt;"Excluir")*(($AK$5:$AK$335&gt;$AK268)+(($AK$5:$AK$335=$AK268)*(ROW($O$5:$O$335)&lt;ROW()))))=0,1,0))</f>
        <v>1</v>
      </c>
      <c r="AO268" s="25">
        <f>IF(AN268=0,"",1+SUMPRODUCT(($B$5:$B$335=$B268)*($AN$5:$AN$335=1)*(($AK$5:$AK$335&gt;$AK268)+(($AK$5:$AK$335=$AK268)*(ROW($B$5:$B$335)&lt;ROW())))))</f>
        <v>2</v>
      </c>
      <c r="AP268" s="22" t="s">
        <v>131</v>
      </c>
      <c r="AQ268" s="25">
        <f>IF(INDEX('01_Criterios'!$C$26:$C$36,MATCH($B268,'01_Criterios'!$B$26:$B$36,0))&lt;&gt;1,0,IF($AP268="Excluir",0,IF($AP268="Incluir",IF(AND(OR($F268="+",$F268="-"),ISNUMBER($G268),ISNUMBER($H268),COUNT($Q268:$AA268)&gt;0),1,0),IF('01_Criterios'!$C$18="Automática",IF(AND($AN268=1,$AO268&lt;&gt;"",$AO268&lt;=INDEX('01_Criterios'!$E$26:$E$36,MATCH($B268,'01_Criterios'!$B$26:$B$36,0))),1,0),0))))</f>
        <v>0</v>
      </c>
      <c r="AR268" s="25" t="str">
        <f>IF(AQ268=0,"",IF($AO268&lt;&gt;"",1+SUMPRODUCT(($B$5:$B$335=$B268)*($AQ$5:$AQ$335=1)*($AO$5:$AO$335&lt;$AO268)),1+SUMPRODUCT(($B$5:$B$335=$B268)*($AQ$5:$AQ$335=1)*ISNUMBER($AO$5:$AO$335))+SUMPRODUCT(($B$5:$B$335=$B268)*($AQ$5:$AQ$335=1)*($AO$5:$AO$335="")*(ROW($AO$5:$AO$335)&lt;ROW()))))</f>
        <v/>
      </c>
      <c r="AS268" s="24" t="s">
        <v>1430</v>
      </c>
    </row>
    <row r="269" spans="1:45">
      <c r="A269" s="20" t="s">
        <v>1431</v>
      </c>
      <c r="B269" s="21" t="s">
        <v>84</v>
      </c>
      <c r="C269" s="21" t="s">
        <v>1432</v>
      </c>
      <c r="D269" s="21" t="s">
        <v>1433</v>
      </c>
      <c r="E269" s="20" t="s">
        <v>1434</v>
      </c>
      <c r="F269" s="20" t="s">
        <v>158</v>
      </c>
      <c r="G269" s="20">
        <v>0</v>
      </c>
      <c r="H269" s="20">
        <v>100</v>
      </c>
      <c r="I269" s="20">
        <v>15</v>
      </c>
      <c r="J269" s="22">
        <v>1</v>
      </c>
      <c r="K269" s="21" t="s">
        <v>204</v>
      </c>
      <c r="L269" s="20" t="s">
        <v>1435</v>
      </c>
      <c r="M269" s="21" t="s">
        <v>161</v>
      </c>
      <c r="N269" s="20">
        <v>0</v>
      </c>
      <c r="O269" s="21" t="s">
        <v>1431</v>
      </c>
      <c r="P269" s="20" t="s">
        <v>152</v>
      </c>
      <c r="Q269" s="6">
        <v>21.232450885066498</v>
      </c>
      <c r="R269" s="6">
        <v>20.996796028914801</v>
      </c>
      <c r="S269" s="6">
        <v>18.2261589534262</v>
      </c>
      <c r="T269" s="6">
        <v>19.927565415759901</v>
      </c>
      <c r="U269" s="6">
        <v>22.174343947275801</v>
      </c>
      <c r="V269" s="6">
        <v>19.570648413528499</v>
      </c>
      <c r="W269" s="6">
        <v>18.490841469332501</v>
      </c>
      <c r="X269" s="6">
        <v>22.517223904511699</v>
      </c>
      <c r="Y269" s="6">
        <v>19.907569053636699</v>
      </c>
      <c r="Z269" s="6"/>
      <c r="AA269" s="6"/>
      <c r="AB269" s="20">
        <f>COUNT(Q269:AA269)</f>
        <v>9</v>
      </c>
      <c r="AC269" s="23">
        <f>AB269/11</f>
        <v>0.81818181818181823</v>
      </c>
      <c r="AD269" s="20">
        <f>IFERROR(INDEX($Q$4:$AA$4,MATCH(TRUE,INDEX(ISNUMBER(Q269:AA269),0),0)),"")</f>
        <v>2015</v>
      </c>
      <c r="AE269" s="20">
        <f>IFERROR(LOOKUP(2,1/ISNUMBER(Q269:AA269),$Q$4:$AA$4),"")</f>
        <v>2023</v>
      </c>
      <c r="AF269" s="23">
        <f>IF(AB269=0,"",AB269/(AE269-AD269+1))</f>
        <v>1</v>
      </c>
      <c r="AG269" s="20">
        <f>IF(AB269=0,"",'01_Criterios'!$C$8-AE269)</f>
        <v>2</v>
      </c>
      <c r="AH269" s="7">
        <f>IF(P269="Em uso",100,IF(P269="Alta",85,IF(P269="Média",55,30)))</f>
        <v>85</v>
      </c>
      <c r="AI269" s="7">
        <f>ROUND(100*AC269,1)</f>
        <v>81.8</v>
      </c>
      <c r="AJ269" s="7">
        <f>IF(AB269=0,0,ROUND(MAX(0,100*AF269-10*AG269),1))</f>
        <v>80</v>
      </c>
      <c r="AK269" s="7">
        <f>ROUND(('01_Criterios'!$C$19*AH269+'01_Criterios'!$C$20*AI269+'01_Criterios'!$C$21*AJ269)/('01_Criterios'!$C$19+'01_Criterios'!$C$20+'01_Criterios'!$C$21)+N269*'01_Criterios'!$C$22,1)</f>
        <v>82.6</v>
      </c>
      <c r="AL269" s="20">
        <f>IF(AND(AB269&gt;=3,AC269&gt;='01_Criterios'!$C$11,N(AE269)&gt;='01_Criterios'!$C$12,OR(F269="+",F269="-"),ISNUMBER(G269),ISNUMBER(H269)),1,0)</f>
        <v>1</v>
      </c>
      <c r="AM269" s="24" t="str">
        <f>IF(AL269=1,"",TRIM(IF(AB269=0,"sem dados no período; ",IF(AB269&lt;3,"série demasiado curta; ",""))&amp;IF(AND(AB269&gt;0,AC269&lt;'01_Criterios'!$C$11),"cobertura insuficiente; ","")&amp;IF(AND(AB269&gt;0,N(AE269)&lt;'01_Criterios'!$C$12),"desactualizado; ","")&amp;IF(AND(F269&lt;&gt;"+",F269&lt;&gt;"-"),"sentido ambíguo; ","")&amp;IF(OR(NOT(ISNUMBER(G269)),NOT(ISNUMBER(H269))),"sem limites min/max; ","")))</f>
        <v/>
      </c>
      <c r="AN269" s="20">
        <f>IF(OR(AL269=0,$AP269="Excluir"),0,IF(SUMPRODUCT(($O$5:$O$335=$O269)*($AL$5:$AL$335=1)*($AP$5:$AP$335&lt;&gt;"Excluir")*(($AK$5:$AK$335&gt;$AK269)+(($AK$5:$AK$335=$AK269)*(ROW($O$5:$O$335)&lt;ROW()))))=0,1,0))</f>
        <v>1</v>
      </c>
      <c r="AO269" s="20">
        <f>IF(AN269=0,"",1+SUMPRODUCT(($B$5:$B$335=$B269)*($AN$5:$AN$335=1)*(($AK$5:$AK$335&gt;$AK269)+(($AK$5:$AK$335=$AK269)*(ROW($B$5:$B$335)&lt;ROW())))))</f>
        <v>3</v>
      </c>
      <c r="AP269" s="22" t="s">
        <v>131</v>
      </c>
      <c r="AQ269" s="20">
        <f>IF(INDEX('01_Criterios'!$C$26:$C$36,MATCH($B269,'01_Criterios'!$B$26:$B$36,0))&lt;&gt;1,0,IF($AP269="Excluir",0,IF($AP269="Incluir",IF(AND(OR($F269="+",$F269="-"),ISNUMBER($G269),ISNUMBER($H269),COUNT($Q269:$AA269)&gt;0),1,0),IF('01_Criterios'!$C$18="Automática",IF(AND($AN269=1,$AO269&lt;&gt;"",$AO269&lt;=INDEX('01_Criterios'!$E$26:$E$36,MATCH($B269,'01_Criterios'!$B$26:$B$36,0))),1,0),0))))</f>
        <v>0</v>
      </c>
      <c r="AR269" s="20" t="str">
        <f>IF(AQ269=0,"",IF($AO269&lt;&gt;"",1+SUMPRODUCT(($B$5:$B$335=$B269)*($AQ$5:$AQ$335=1)*($AO$5:$AO$335&lt;$AO269)),1+SUMPRODUCT(($B$5:$B$335=$B269)*($AQ$5:$AQ$335=1)*ISNUMBER($AO$5:$AO$335))+SUMPRODUCT(($B$5:$B$335=$B269)*($AQ$5:$AQ$335=1)*($AO$5:$AO$335="")*(ROW($AO$5:$AO$335)&lt;ROW()))))</f>
        <v/>
      </c>
      <c r="AS269" s="24" t="s">
        <v>1436</v>
      </c>
    </row>
    <row r="270" spans="1:45">
      <c r="A270" s="25" t="s">
        <v>1437</v>
      </c>
      <c r="B270" s="26" t="s">
        <v>84</v>
      </c>
      <c r="C270" s="26" t="s">
        <v>1438</v>
      </c>
      <c r="D270" s="26" t="s">
        <v>1439</v>
      </c>
      <c r="E270" s="25" t="s">
        <v>1440</v>
      </c>
      <c r="F270" s="25" t="s">
        <v>158</v>
      </c>
      <c r="G270" s="25">
        <v>0</v>
      </c>
      <c r="H270" s="25">
        <v>100</v>
      </c>
      <c r="I270" s="25">
        <v>20</v>
      </c>
      <c r="J270" s="22">
        <v>1</v>
      </c>
      <c r="K270" s="26" t="s">
        <v>204</v>
      </c>
      <c r="L270" s="25" t="s">
        <v>1441</v>
      </c>
      <c r="M270" s="26" t="s">
        <v>161</v>
      </c>
      <c r="N270" s="25">
        <v>0</v>
      </c>
      <c r="O270" s="26" t="s">
        <v>1442</v>
      </c>
      <c r="P270" s="25" t="s">
        <v>152</v>
      </c>
      <c r="Q270" s="27">
        <v>1.8718832889999999</v>
      </c>
      <c r="R270" s="27">
        <v>1.8718832889999999</v>
      </c>
      <c r="S270" s="27">
        <v>1.8718832889999999</v>
      </c>
      <c r="T270" s="27">
        <v>1.8718832889999999</v>
      </c>
      <c r="U270" s="27">
        <v>1.8718832889999999</v>
      </c>
      <c r="V270" s="27">
        <v>1.8718832889999999</v>
      </c>
      <c r="W270" s="27">
        <v>1.8718832889999999</v>
      </c>
      <c r="X270" s="27">
        <v>1.8718832889999999</v>
      </c>
      <c r="Y270" s="27"/>
      <c r="Z270" s="27"/>
      <c r="AA270" s="27"/>
      <c r="AB270" s="25">
        <f>COUNT(Q270:AA270)</f>
        <v>8</v>
      </c>
      <c r="AC270" s="28">
        <f>AB270/11</f>
        <v>0.72727272727272729</v>
      </c>
      <c r="AD270" s="25">
        <f>IFERROR(INDEX($Q$4:$AA$4,MATCH(TRUE,INDEX(ISNUMBER(Q270:AA270),0),0)),"")</f>
        <v>2015</v>
      </c>
      <c r="AE270" s="25">
        <f>IFERROR(LOOKUP(2,1/ISNUMBER(Q270:AA270),$Q$4:$AA$4),"")</f>
        <v>2022</v>
      </c>
      <c r="AF270" s="28">
        <f>IF(AB270=0,"",AB270/(AE270-AD270+1))</f>
        <v>1</v>
      </c>
      <c r="AG270" s="25">
        <f>IF(AB270=0,"",'01_Criterios'!$C$8-AE270)</f>
        <v>3</v>
      </c>
      <c r="AH270" s="29">
        <f>IF(P270="Em uso",100,IF(P270="Alta",85,IF(P270="Média",55,30)))</f>
        <v>85</v>
      </c>
      <c r="AI270" s="29">
        <f>ROUND(100*AC270,1)</f>
        <v>72.7</v>
      </c>
      <c r="AJ270" s="29">
        <f>IF(AB270=0,0,ROUND(MAX(0,100*AF270-10*AG270),1))</f>
        <v>70</v>
      </c>
      <c r="AK270" s="29">
        <f>ROUND(('01_Criterios'!$C$19*AH270+'01_Criterios'!$C$20*AI270+'01_Criterios'!$C$21*AJ270)/('01_Criterios'!$C$19+'01_Criterios'!$C$20+'01_Criterios'!$C$21)+N270*'01_Criterios'!$C$22,1)</f>
        <v>76.900000000000006</v>
      </c>
      <c r="AL270" s="25">
        <f>IF(AND(AB270&gt;=3,AC270&gt;='01_Criterios'!$C$11,N(AE270)&gt;='01_Criterios'!$C$12,OR(F270="+",F270="-"),ISNUMBER(G270),ISNUMBER(H270)),1,0)</f>
        <v>0</v>
      </c>
      <c r="AM270" s="30" t="str">
        <f>IF(AL270=1,"",TRIM(IF(AB270=0,"sem dados no período; ",IF(AB270&lt;3,"série demasiado curta; ",""))&amp;IF(AND(AB270&gt;0,AC270&lt;'01_Criterios'!$C$11),"cobertura insuficiente; ","")&amp;IF(AND(AB270&gt;0,N(AE270)&lt;'01_Criterios'!$C$12),"desactualizado; ","")&amp;IF(AND(F270&lt;&gt;"+",F270&lt;&gt;"-"),"sentido ambíguo; ","")&amp;IF(OR(NOT(ISNUMBER(G270)),NOT(ISNUMBER(H270))),"sem limites min/max; ","")))</f>
        <v>cobertura insuficiente; desactualizado;</v>
      </c>
      <c r="AN270" s="25">
        <f>IF(OR(AL270=0,$AP270="Excluir"),0,IF(SUMPRODUCT(($O$5:$O$335=$O270)*($AL$5:$AL$335=1)*($AP$5:$AP$335&lt;&gt;"Excluir")*(($AK$5:$AK$335&gt;$AK270)+(($AK$5:$AK$335=$AK270)*(ROW($O$5:$O$335)&lt;ROW()))))=0,1,0))</f>
        <v>0</v>
      </c>
      <c r="AO270" s="25" t="str">
        <f>IF(AN270=0,"",1+SUMPRODUCT(($B$5:$B$335=$B270)*($AN$5:$AN$335=1)*(($AK$5:$AK$335&gt;$AK270)+(($AK$5:$AK$335=$AK270)*(ROW($B$5:$B$335)&lt;ROW())))))</f>
        <v/>
      </c>
      <c r="AP270" s="22" t="s">
        <v>131</v>
      </c>
      <c r="AQ270" s="25">
        <f>IF(INDEX('01_Criterios'!$C$26:$C$36,MATCH($B270,'01_Criterios'!$B$26:$B$36,0))&lt;&gt;1,0,IF($AP270="Excluir",0,IF($AP270="Incluir",IF(AND(OR($F270="+",$F270="-"),ISNUMBER($G270),ISNUMBER($H270),COUNT($Q270:$AA270)&gt;0),1,0),IF('01_Criterios'!$C$18="Automática",IF(AND($AN270=1,$AO270&lt;&gt;"",$AO270&lt;=INDEX('01_Criterios'!$E$26:$E$36,MATCH($B270,'01_Criterios'!$B$26:$B$36,0))),1,0),0))))</f>
        <v>0</v>
      </c>
      <c r="AR270" s="25" t="str">
        <f>IF(AQ270=0,"",IF($AO270&lt;&gt;"",1+SUMPRODUCT(($B$5:$B$335=$B270)*($AQ$5:$AQ$335=1)*($AO$5:$AO$335&lt;$AO270)),1+SUMPRODUCT(($B$5:$B$335=$B270)*($AQ$5:$AQ$335=1)*ISNUMBER($AO$5:$AO$335))+SUMPRODUCT(($B$5:$B$335=$B270)*($AQ$5:$AQ$335=1)*($AO$5:$AO$335="")*(ROW($AO$5:$AO$335)&lt;ROW()))))</f>
        <v/>
      </c>
      <c r="AS270" s="24" t="s">
        <v>1443</v>
      </c>
    </row>
    <row r="271" spans="1:45">
      <c r="A271" s="20" t="s">
        <v>1444</v>
      </c>
      <c r="B271" s="21" t="s">
        <v>84</v>
      </c>
      <c r="C271" s="21" t="s">
        <v>1445</v>
      </c>
      <c r="D271" s="21" t="s">
        <v>1446</v>
      </c>
      <c r="E271" s="20" t="s">
        <v>492</v>
      </c>
      <c r="F271" s="20" t="s">
        <v>126</v>
      </c>
      <c r="G271" s="20">
        <v>-50</v>
      </c>
      <c r="H271" s="20">
        <v>50</v>
      </c>
      <c r="I271" s="20">
        <v>10</v>
      </c>
      <c r="J271" s="22">
        <v>1</v>
      </c>
      <c r="K271" s="21" t="s">
        <v>204</v>
      </c>
      <c r="L271" s="20" t="s">
        <v>1447</v>
      </c>
      <c r="M271" s="21" t="s">
        <v>161</v>
      </c>
      <c r="N271" s="20">
        <v>0</v>
      </c>
      <c r="O271" s="21" t="s">
        <v>1444</v>
      </c>
      <c r="P271" s="20" t="s">
        <v>152</v>
      </c>
      <c r="Q271" s="6">
        <v>8.2938647325795696</v>
      </c>
      <c r="R271" s="6">
        <v>0.355845786624648</v>
      </c>
      <c r="S271" s="6">
        <v>-3.9172687978609999</v>
      </c>
      <c r="T271" s="6">
        <v>-5.5778869044834902</v>
      </c>
      <c r="U271" s="6">
        <v>4.6933499070662101</v>
      </c>
      <c r="V271" s="6">
        <v>9.0191016024333592</v>
      </c>
      <c r="W271" s="6">
        <v>13.4028325453819</v>
      </c>
      <c r="X271" s="6"/>
      <c r="Y271" s="6"/>
      <c r="Z271" s="6"/>
      <c r="AA271" s="6"/>
      <c r="AB271" s="20">
        <f>COUNT(Q271:AA271)</f>
        <v>7</v>
      </c>
      <c r="AC271" s="23">
        <f>AB271/11</f>
        <v>0.63636363636363635</v>
      </c>
      <c r="AD271" s="20">
        <f>IFERROR(INDEX($Q$4:$AA$4,MATCH(TRUE,INDEX(ISNUMBER(Q271:AA271),0),0)),"")</f>
        <v>2015</v>
      </c>
      <c r="AE271" s="20">
        <f>IFERROR(LOOKUP(2,1/ISNUMBER(Q271:AA271),$Q$4:$AA$4),"")</f>
        <v>2021</v>
      </c>
      <c r="AF271" s="23">
        <f>IF(AB271=0,"",AB271/(AE271-AD271+1))</f>
        <v>1</v>
      </c>
      <c r="AG271" s="20">
        <f>IF(AB271=0,"",'01_Criterios'!$C$8-AE271)</f>
        <v>4</v>
      </c>
      <c r="AH271" s="7">
        <f>IF(P271="Em uso",100,IF(P271="Alta",85,IF(P271="Média",55,30)))</f>
        <v>85</v>
      </c>
      <c r="AI271" s="7">
        <f>ROUND(100*AC271,1)</f>
        <v>63.6</v>
      </c>
      <c r="AJ271" s="7">
        <f>IF(AB271=0,0,ROUND(MAX(0,100*AF271-10*AG271),1))</f>
        <v>60</v>
      </c>
      <c r="AK271" s="7">
        <f>ROUND(('01_Criterios'!$C$19*AH271+'01_Criterios'!$C$20*AI271+'01_Criterios'!$C$21*AJ271)/('01_Criterios'!$C$19+'01_Criterios'!$C$20+'01_Criterios'!$C$21)+N271*'01_Criterios'!$C$22,1)</f>
        <v>71.3</v>
      </c>
      <c r="AL271" s="20">
        <f>IF(AND(AB271&gt;=3,AC271&gt;='01_Criterios'!$C$11,N(AE271)&gt;='01_Criterios'!$C$12,OR(F271="+",F271="-"),ISNUMBER(G271),ISNUMBER(H271)),1,0)</f>
        <v>0</v>
      </c>
      <c r="AM271" s="24" t="str">
        <f>IF(AL271=1,"",TRIM(IF(AB271=0,"sem dados no período; ",IF(AB271&lt;3,"série demasiado curta; ",""))&amp;IF(AND(AB271&gt;0,AC271&lt;'01_Criterios'!$C$11),"cobertura insuficiente; ","")&amp;IF(AND(AB271&gt;0,N(AE271)&lt;'01_Criterios'!$C$12),"desactualizado; ","")&amp;IF(AND(F271&lt;&gt;"+",F271&lt;&gt;"-"),"sentido ambíguo; ","")&amp;IF(OR(NOT(ISNUMBER(G271)),NOT(ISNUMBER(H271))),"sem limites min/max; ","")))</f>
        <v>cobertura insuficiente; desactualizado;</v>
      </c>
      <c r="AN271" s="20">
        <f>IF(OR(AL271=0,$AP271="Excluir"),0,IF(SUMPRODUCT(($O$5:$O$335=$O271)*($AL$5:$AL$335=1)*($AP$5:$AP$335&lt;&gt;"Excluir")*(($AK$5:$AK$335&gt;$AK271)+(($AK$5:$AK$335=$AK271)*(ROW($O$5:$O$335)&lt;ROW()))))=0,1,0))</f>
        <v>0</v>
      </c>
      <c r="AO271" s="20" t="str">
        <f>IF(AN271=0,"",1+SUMPRODUCT(($B$5:$B$335=$B271)*($AN$5:$AN$335=1)*(($AK$5:$AK$335&gt;$AK271)+(($AK$5:$AK$335=$AK271)*(ROW($B$5:$B$335)&lt;ROW())))))</f>
        <v/>
      </c>
      <c r="AP271" s="22" t="s">
        <v>131</v>
      </c>
      <c r="AQ271" s="20">
        <f>IF(INDEX('01_Criterios'!$C$26:$C$36,MATCH($B271,'01_Criterios'!$B$26:$B$36,0))&lt;&gt;1,0,IF($AP271="Excluir",0,IF($AP271="Incluir",IF(AND(OR($F271="+",$F271="-"),ISNUMBER($G271),ISNUMBER($H271),COUNT($Q271:$AA271)&gt;0),1,0),IF('01_Criterios'!$C$18="Automática",IF(AND($AN271=1,$AO271&lt;&gt;"",$AO271&lt;=INDEX('01_Criterios'!$E$26:$E$36,MATCH($B271,'01_Criterios'!$B$26:$B$36,0))),1,0),0))))</f>
        <v>0</v>
      </c>
      <c r="AR271" s="20" t="str">
        <f>IF(AQ271=0,"",IF($AO271&lt;&gt;"",1+SUMPRODUCT(($B$5:$B$335=$B271)*($AQ$5:$AQ$335=1)*($AO$5:$AO$335&lt;$AO271)),1+SUMPRODUCT(($B$5:$B$335=$B271)*($AQ$5:$AQ$335=1)*ISNUMBER($AO$5:$AO$335))+SUMPRODUCT(($B$5:$B$335=$B271)*($AQ$5:$AQ$335=1)*($AO$5:$AO$335="")*(ROW($AO$5:$AO$335)&lt;ROW()))))</f>
        <v/>
      </c>
      <c r="AS271" s="24" t="s">
        <v>1448</v>
      </c>
    </row>
    <row r="272" spans="1:45">
      <c r="A272" s="25" t="s">
        <v>1449</v>
      </c>
      <c r="B272" s="26" t="s">
        <v>84</v>
      </c>
      <c r="C272" s="26" t="s">
        <v>1445</v>
      </c>
      <c r="D272" s="26" t="s">
        <v>1450</v>
      </c>
      <c r="E272" s="25" t="s">
        <v>492</v>
      </c>
      <c r="F272" s="25" t="s">
        <v>158</v>
      </c>
      <c r="G272" s="25">
        <v>0</v>
      </c>
      <c r="H272" s="25">
        <v>60</v>
      </c>
      <c r="I272" s="25">
        <v>10</v>
      </c>
      <c r="J272" s="22">
        <v>1</v>
      </c>
      <c r="K272" s="26" t="s">
        <v>204</v>
      </c>
      <c r="L272" s="25" t="s">
        <v>1451</v>
      </c>
      <c r="M272" s="26" t="s">
        <v>161</v>
      </c>
      <c r="N272" s="25">
        <v>0</v>
      </c>
      <c r="O272" s="26" t="s">
        <v>1452</v>
      </c>
      <c r="P272" s="25" t="s">
        <v>152</v>
      </c>
      <c r="Q272" s="27">
        <v>10.9509823897879</v>
      </c>
      <c r="R272" s="27">
        <v>17.085174696986101</v>
      </c>
      <c r="S272" s="27">
        <v>21.6657819099463</v>
      </c>
      <c r="T272" s="27">
        <v>26.612671202389301</v>
      </c>
      <c r="U272" s="27">
        <v>24.072740115035099</v>
      </c>
      <c r="V272" s="27">
        <v>16.463535823985001</v>
      </c>
      <c r="W272" s="27">
        <v>23.2696829218233</v>
      </c>
      <c r="X272" s="27"/>
      <c r="Y272" s="27"/>
      <c r="Z272" s="27"/>
      <c r="AA272" s="27"/>
      <c r="AB272" s="25">
        <f>COUNT(Q272:AA272)</f>
        <v>7</v>
      </c>
      <c r="AC272" s="28">
        <f>AB272/11</f>
        <v>0.63636363636363635</v>
      </c>
      <c r="AD272" s="25">
        <f>IFERROR(INDEX($Q$4:$AA$4,MATCH(TRUE,INDEX(ISNUMBER(Q272:AA272),0),0)),"")</f>
        <v>2015</v>
      </c>
      <c r="AE272" s="25">
        <f>IFERROR(LOOKUP(2,1/ISNUMBER(Q272:AA272),$Q$4:$AA$4),"")</f>
        <v>2021</v>
      </c>
      <c r="AF272" s="28">
        <f>IF(AB272=0,"",AB272/(AE272-AD272+1))</f>
        <v>1</v>
      </c>
      <c r="AG272" s="25">
        <f>IF(AB272=0,"",'01_Criterios'!$C$8-AE272)</f>
        <v>4</v>
      </c>
      <c r="AH272" s="29">
        <f>IF(P272="Em uso",100,IF(P272="Alta",85,IF(P272="Média",55,30)))</f>
        <v>85</v>
      </c>
      <c r="AI272" s="29">
        <f>ROUND(100*AC272,1)</f>
        <v>63.6</v>
      </c>
      <c r="AJ272" s="29">
        <f>IF(AB272=0,0,ROUND(MAX(0,100*AF272-10*AG272),1))</f>
        <v>60</v>
      </c>
      <c r="AK272" s="29">
        <f>ROUND(('01_Criterios'!$C$19*AH272+'01_Criterios'!$C$20*AI272+'01_Criterios'!$C$21*AJ272)/('01_Criterios'!$C$19+'01_Criterios'!$C$20+'01_Criterios'!$C$21)+N272*'01_Criterios'!$C$22,1)</f>
        <v>71.3</v>
      </c>
      <c r="AL272" s="25">
        <f>IF(AND(AB272&gt;=3,AC272&gt;='01_Criterios'!$C$11,N(AE272)&gt;='01_Criterios'!$C$12,OR(F272="+",F272="-"),ISNUMBER(G272),ISNUMBER(H272)),1,0)</f>
        <v>0</v>
      </c>
      <c r="AM272" s="30" t="str">
        <f>IF(AL272=1,"",TRIM(IF(AB272=0,"sem dados no período; ",IF(AB272&lt;3,"série demasiado curta; ",""))&amp;IF(AND(AB272&gt;0,AC272&lt;'01_Criterios'!$C$11),"cobertura insuficiente; ","")&amp;IF(AND(AB272&gt;0,N(AE272)&lt;'01_Criterios'!$C$12),"desactualizado; ","")&amp;IF(AND(F272&lt;&gt;"+",F272&lt;&gt;"-"),"sentido ambíguo; ","")&amp;IF(OR(NOT(ISNUMBER(G272)),NOT(ISNUMBER(H272))),"sem limites min/max; ","")))</f>
        <v>cobertura insuficiente; desactualizado;</v>
      </c>
      <c r="AN272" s="25">
        <f>IF(OR(AL272=0,$AP272="Excluir"),0,IF(SUMPRODUCT(($O$5:$O$335=$O272)*($AL$5:$AL$335=1)*($AP$5:$AP$335&lt;&gt;"Excluir")*(($AK$5:$AK$335&gt;$AK272)+(($AK$5:$AK$335=$AK272)*(ROW($O$5:$O$335)&lt;ROW()))))=0,1,0))</f>
        <v>0</v>
      </c>
      <c r="AO272" s="25" t="str">
        <f>IF(AN272=0,"",1+SUMPRODUCT(($B$5:$B$335=$B272)*($AN$5:$AN$335=1)*(($AK$5:$AK$335&gt;$AK272)+(($AK$5:$AK$335=$AK272)*(ROW($B$5:$B$335)&lt;ROW())))))</f>
        <v/>
      </c>
      <c r="AP272" s="22" t="s">
        <v>131</v>
      </c>
      <c r="AQ272" s="25">
        <f>IF(INDEX('01_Criterios'!$C$26:$C$36,MATCH($B272,'01_Criterios'!$B$26:$B$36,0))&lt;&gt;1,0,IF($AP272="Excluir",0,IF($AP272="Incluir",IF(AND(OR($F272="+",$F272="-"),ISNUMBER($G272),ISNUMBER($H272),COUNT($Q272:$AA272)&gt;0),1,0),IF('01_Criterios'!$C$18="Automática",IF(AND($AN272=1,$AO272&lt;&gt;"",$AO272&lt;=INDEX('01_Criterios'!$E$26:$E$36,MATCH($B272,'01_Criterios'!$B$26:$B$36,0))),1,0),0))))</f>
        <v>0</v>
      </c>
      <c r="AR272" s="25" t="str">
        <f>IF(AQ272=0,"",IF($AO272&lt;&gt;"",1+SUMPRODUCT(($B$5:$B$335=$B272)*($AQ$5:$AQ$335=1)*($AO$5:$AO$335&lt;$AO272)),1+SUMPRODUCT(($B$5:$B$335=$B272)*($AQ$5:$AQ$335=1)*ISNUMBER($AO$5:$AO$335))+SUMPRODUCT(($B$5:$B$335=$B272)*($AQ$5:$AQ$335=1)*($AO$5:$AO$335="")*(ROW($AO$5:$AO$335)&lt;ROW()))))</f>
        <v/>
      </c>
      <c r="AS272" s="24" t="s">
        <v>1453</v>
      </c>
    </row>
    <row r="273" spans="1:45">
      <c r="A273" s="20" t="s">
        <v>1454</v>
      </c>
      <c r="B273" s="21" t="s">
        <v>84</v>
      </c>
      <c r="C273" s="21" t="s">
        <v>1455</v>
      </c>
      <c r="D273" s="21" t="s">
        <v>1456</v>
      </c>
      <c r="E273" s="20" t="s">
        <v>135</v>
      </c>
      <c r="F273" s="20" t="s">
        <v>126</v>
      </c>
      <c r="G273" s="20">
        <v>0</v>
      </c>
      <c r="H273" s="20">
        <v>100</v>
      </c>
      <c r="I273" s="20">
        <v>55</v>
      </c>
      <c r="J273" s="22">
        <v>1</v>
      </c>
      <c r="K273" s="21" t="s">
        <v>1457</v>
      </c>
      <c r="L273" s="20" t="s">
        <v>1458</v>
      </c>
      <c r="M273" s="21" t="s">
        <v>1457</v>
      </c>
      <c r="N273" s="20">
        <v>0</v>
      </c>
      <c r="O273" s="21" t="s">
        <v>1454</v>
      </c>
      <c r="P273" s="20" t="s">
        <v>180</v>
      </c>
      <c r="Q273" s="6"/>
      <c r="R273" s="6"/>
      <c r="S273" s="6"/>
      <c r="T273" s="6"/>
      <c r="U273" s="6"/>
      <c r="V273" s="6">
        <v>29.7</v>
      </c>
      <c r="W273" s="6"/>
      <c r="X273" s="6">
        <v>30.5</v>
      </c>
      <c r="Y273" s="6"/>
      <c r="Z273" s="6">
        <v>40.1</v>
      </c>
      <c r="AA273" s="6"/>
      <c r="AB273" s="20">
        <f>COUNT(Q273:AA273)</f>
        <v>3</v>
      </c>
      <c r="AC273" s="23">
        <f>AB273/11</f>
        <v>0.27272727272727271</v>
      </c>
      <c r="AD273" s="20">
        <f>IFERROR(INDEX($Q$4:$AA$4,MATCH(TRUE,INDEX(ISNUMBER(Q273:AA273),0),0)),"")</f>
        <v>2020</v>
      </c>
      <c r="AE273" s="20">
        <f>IFERROR(LOOKUP(2,1/ISNUMBER(Q273:AA273),$Q$4:$AA$4),"")</f>
        <v>2024</v>
      </c>
      <c r="AF273" s="23">
        <f>IF(AB273=0,"",AB273/(AE273-AD273+1))</f>
        <v>0.6</v>
      </c>
      <c r="AG273" s="20">
        <f>IF(AB273=0,"",'01_Criterios'!$C$8-AE273)</f>
        <v>1</v>
      </c>
      <c r="AH273" s="7">
        <f>IF(P273="Em uso",100,IF(P273="Alta",85,IF(P273="Média",55,30)))</f>
        <v>55</v>
      </c>
      <c r="AI273" s="7">
        <f>ROUND(100*AC273,1)</f>
        <v>27.3</v>
      </c>
      <c r="AJ273" s="7">
        <f>IF(AB273=0,0,ROUND(MAX(0,100*AF273-10*AG273),1))</f>
        <v>50</v>
      </c>
      <c r="AK273" s="7">
        <f>ROUND(('01_Criterios'!$C$19*AH273+'01_Criterios'!$C$20*AI273+'01_Criterios'!$C$21*AJ273)/('01_Criterios'!$C$19+'01_Criterios'!$C$20+'01_Criterios'!$C$21)+N273*'01_Criterios'!$C$22,1)</f>
        <v>44.1</v>
      </c>
      <c r="AL273" s="20">
        <f>IF(AND(AB273&gt;=3,AC273&gt;='01_Criterios'!$C$11,N(AE273)&gt;='01_Criterios'!$C$12,OR(F273="+",F273="-"),ISNUMBER(G273),ISNUMBER(H273)),1,0)</f>
        <v>0</v>
      </c>
      <c r="AM273" s="24" t="str">
        <f>IF(AL273=1,"",TRIM(IF(AB273=0,"sem dados no período; ",IF(AB273&lt;3,"série demasiado curta; ",""))&amp;IF(AND(AB273&gt;0,AC273&lt;'01_Criterios'!$C$11),"cobertura insuficiente; ","")&amp;IF(AND(AB273&gt;0,N(AE273)&lt;'01_Criterios'!$C$12),"desactualizado; ","")&amp;IF(AND(F273&lt;&gt;"+",F273&lt;&gt;"-"),"sentido ambíguo; ","")&amp;IF(OR(NOT(ISNUMBER(G273)),NOT(ISNUMBER(H273))),"sem limites min/max; ","")))</f>
        <v>cobertura insuficiente;</v>
      </c>
      <c r="AN273" s="20">
        <f>IF(OR(AL273=0,$AP273="Excluir"),0,IF(SUMPRODUCT(($O$5:$O$335=$O273)*($AL$5:$AL$335=1)*($AP$5:$AP$335&lt;&gt;"Excluir")*(($AK$5:$AK$335&gt;$AK273)+(($AK$5:$AK$335=$AK273)*(ROW($O$5:$O$335)&lt;ROW()))))=0,1,0))</f>
        <v>0</v>
      </c>
      <c r="AO273" s="20" t="str">
        <f>IF(AN273=0,"",1+SUMPRODUCT(($B$5:$B$335=$B273)*($AN$5:$AN$335=1)*(($AK$5:$AK$335&gt;$AK273)+(($AK$5:$AK$335=$AK273)*(ROW($B$5:$B$335)&lt;ROW())))))</f>
        <v/>
      </c>
      <c r="AP273" s="22" t="s">
        <v>131</v>
      </c>
      <c r="AQ273" s="20">
        <f>IF(INDEX('01_Criterios'!$C$26:$C$36,MATCH($B273,'01_Criterios'!$B$26:$B$36,0))&lt;&gt;1,0,IF($AP273="Excluir",0,IF($AP273="Incluir",IF(AND(OR($F273="+",$F273="-"),ISNUMBER($G273),ISNUMBER($H273),COUNT($Q273:$AA273)&gt;0),1,0),IF('01_Criterios'!$C$18="Automática",IF(AND($AN273=1,$AO273&lt;&gt;"",$AO273&lt;=INDEX('01_Criterios'!$E$26:$E$36,MATCH($B273,'01_Criterios'!$B$26:$B$36,0))),1,0),0))))</f>
        <v>0</v>
      </c>
      <c r="AR273" s="20" t="str">
        <f>IF(AQ273=0,"",IF($AO273&lt;&gt;"",1+SUMPRODUCT(($B$5:$B$335=$B273)*($AQ$5:$AQ$335=1)*($AO$5:$AO$335&lt;$AO273)),1+SUMPRODUCT(($B$5:$B$335=$B273)*($AQ$5:$AQ$335=1)*ISNUMBER($AO$5:$AO$335))+SUMPRODUCT(($B$5:$B$335=$B273)*($AQ$5:$AQ$335=1)*($AO$5:$AO$335="")*(ROW($AO$5:$AO$335)&lt;ROW()))))</f>
        <v/>
      </c>
      <c r="AS273" s="24" t="s">
        <v>1459</v>
      </c>
    </row>
    <row r="274" spans="1:45">
      <c r="A274" s="25" t="s">
        <v>1460</v>
      </c>
      <c r="B274" s="26" t="s">
        <v>84</v>
      </c>
      <c r="C274" s="26" t="s">
        <v>1461</v>
      </c>
      <c r="D274" s="26" t="s">
        <v>1462</v>
      </c>
      <c r="E274" s="25" t="s">
        <v>1463</v>
      </c>
      <c r="F274" s="25" t="s">
        <v>158</v>
      </c>
      <c r="G274" s="25">
        <v>0</v>
      </c>
      <c r="H274" s="25">
        <v>20</v>
      </c>
      <c r="I274" s="25">
        <v>2</v>
      </c>
      <c r="J274" s="22">
        <v>1</v>
      </c>
      <c r="K274" s="26" t="s">
        <v>204</v>
      </c>
      <c r="L274" s="25" t="s">
        <v>1464</v>
      </c>
      <c r="M274" s="26" t="s">
        <v>161</v>
      </c>
      <c r="N274" s="25">
        <v>0</v>
      </c>
      <c r="O274" s="26" t="s">
        <v>1465</v>
      </c>
      <c r="P274" s="25" t="s">
        <v>180</v>
      </c>
      <c r="Q274" s="27">
        <v>1.1750386163008899</v>
      </c>
      <c r="R274" s="27">
        <v>1.07167614647808</v>
      </c>
      <c r="S274" s="27">
        <v>0.92592191412032998</v>
      </c>
      <c r="T274" s="27">
        <v>0.82480979501171903</v>
      </c>
      <c r="U274" s="27">
        <v>0.833846270553112</v>
      </c>
      <c r="V274" s="27">
        <v>0.61397025368229696</v>
      </c>
      <c r="W274" s="27">
        <v>0.74029255225573598</v>
      </c>
      <c r="X274" s="27">
        <v>0.74881095227956695</v>
      </c>
      <c r="Y274" s="27">
        <v>0.74383863730154798</v>
      </c>
      <c r="Z274" s="27">
        <v>0.741712294740973</v>
      </c>
      <c r="AA274" s="27"/>
      <c r="AB274" s="25">
        <f>COUNT(Q274:AA274)</f>
        <v>10</v>
      </c>
      <c r="AC274" s="28">
        <f>AB274/11</f>
        <v>0.90909090909090906</v>
      </c>
      <c r="AD274" s="25">
        <f>IFERROR(INDEX($Q$4:$AA$4,MATCH(TRUE,INDEX(ISNUMBER(Q274:AA274),0),0)),"")</f>
        <v>2015</v>
      </c>
      <c r="AE274" s="25">
        <f>IFERROR(LOOKUP(2,1/ISNUMBER(Q274:AA274),$Q$4:$AA$4),"")</f>
        <v>2024</v>
      </c>
      <c r="AF274" s="28">
        <f>IF(AB274=0,"",AB274/(AE274-AD274+1))</f>
        <v>1</v>
      </c>
      <c r="AG274" s="25">
        <f>IF(AB274=0,"",'01_Criterios'!$C$8-AE274)</f>
        <v>1</v>
      </c>
      <c r="AH274" s="29">
        <f>IF(P274="Em uso",100,IF(P274="Alta",85,IF(P274="Média",55,30)))</f>
        <v>55</v>
      </c>
      <c r="AI274" s="29">
        <f>ROUND(100*AC274,1)</f>
        <v>90.9</v>
      </c>
      <c r="AJ274" s="29">
        <f>IF(AB274=0,0,ROUND(MAX(0,100*AF274-10*AG274),1))</f>
        <v>90</v>
      </c>
      <c r="AK274" s="29">
        <f>ROUND(('01_Criterios'!$C$19*AH274+'01_Criterios'!$C$20*AI274+'01_Criterios'!$C$21*AJ274)/('01_Criterios'!$C$19+'01_Criterios'!$C$20+'01_Criterios'!$C$21)+N274*'01_Criterios'!$C$22,1)</f>
        <v>76.3</v>
      </c>
      <c r="AL274" s="25">
        <f>IF(AND(AB274&gt;=3,AC274&gt;='01_Criterios'!$C$11,N(AE274)&gt;='01_Criterios'!$C$12,OR(F274="+",F274="-"),ISNUMBER(G274),ISNUMBER(H274)),1,0)</f>
        <v>1</v>
      </c>
      <c r="AM274" s="30" t="str">
        <f>IF(AL274=1,"",TRIM(IF(AB274=0,"sem dados no período; ",IF(AB274&lt;3,"série demasiado curta; ",""))&amp;IF(AND(AB274&gt;0,AC274&lt;'01_Criterios'!$C$11),"cobertura insuficiente; ","")&amp;IF(AND(AB274&gt;0,N(AE274)&lt;'01_Criterios'!$C$12),"desactualizado; ","")&amp;IF(AND(F274&lt;&gt;"+",F274&lt;&gt;"-"),"sentido ambíguo; ","")&amp;IF(OR(NOT(ISNUMBER(G274)),NOT(ISNUMBER(H274))),"sem limites min/max; ","")))</f>
        <v/>
      </c>
      <c r="AN274" s="25">
        <f>IF(OR(AL274=0,$AP274="Excluir"),0,IF(SUMPRODUCT(($O$5:$O$335=$O274)*($AL$5:$AL$335=1)*($AP$5:$AP$335&lt;&gt;"Excluir")*(($AK$5:$AK$335&gt;$AK274)+(($AK$5:$AK$335=$AK274)*(ROW($O$5:$O$335)&lt;ROW()))))=0,1,0))</f>
        <v>1</v>
      </c>
      <c r="AO274" s="25">
        <f>IF(AN274=0,"",1+SUMPRODUCT(($B$5:$B$335=$B274)*($AN$5:$AN$335=1)*(($AK$5:$AK$335&gt;$AK274)+(($AK$5:$AK$335=$AK274)*(ROW($B$5:$B$335)&lt;ROW())))))</f>
        <v>5</v>
      </c>
      <c r="AP274" s="22" t="s">
        <v>131</v>
      </c>
      <c r="AQ274" s="25">
        <f>IF(INDEX('01_Criterios'!$C$26:$C$36,MATCH($B274,'01_Criterios'!$B$26:$B$36,0))&lt;&gt;1,0,IF($AP274="Excluir",0,IF($AP274="Incluir",IF(AND(OR($F274="+",$F274="-"),ISNUMBER($G274),ISNUMBER($H274),COUNT($Q274:$AA274)&gt;0),1,0),IF('01_Criterios'!$C$18="Automática",IF(AND($AN274=1,$AO274&lt;&gt;"",$AO274&lt;=INDEX('01_Criterios'!$E$26:$E$36,MATCH($B274,'01_Criterios'!$B$26:$B$36,0))),1,0),0))))</f>
        <v>0</v>
      </c>
      <c r="AR274" s="25" t="str">
        <f>IF(AQ274=0,"",IF($AO274&lt;&gt;"",1+SUMPRODUCT(($B$5:$B$335=$B274)*($AQ$5:$AQ$335=1)*($AO$5:$AO$335&lt;$AO274)),1+SUMPRODUCT(($B$5:$B$335=$B274)*($AQ$5:$AQ$335=1)*ISNUMBER($AO$5:$AO$335))+SUMPRODUCT(($B$5:$B$335=$B274)*($AQ$5:$AQ$335=1)*($AO$5:$AO$335="")*(ROW($AO$5:$AO$335)&lt;ROW()))))</f>
        <v/>
      </c>
      <c r="AS274" s="24" t="s">
        <v>1466</v>
      </c>
    </row>
    <row r="275" spans="1:45">
      <c r="A275" s="20" t="s">
        <v>1467</v>
      </c>
      <c r="B275" s="21" t="s">
        <v>84</v>
      </c>
      <c r="C275" s="21" t="s">
        <v>1461</v>
      </c>
      <c r="D275" s="21" t="s">
        <v>1468</v>
      </c>
      <c r="E275" s="20" t="s">
        <v>1463</v>
      </c>
      <c r="F275" s="20" t="s">
        <v>316</v>
      </c>
      <c r="G275" s="20">
        <v>0</v>
      </c>
      <c r="H275" s="20">
        <v>25</v>
      </c>
      <c r="I275" s="20">
        <v>4</v>
      </c>
      <c r="J275" s="22">
        <v>1</v>
      </c>
      <c r="K275" s="21" t="s">
        <v>204</v>
      </c>
      <c r="L275" s="20" t="s">
        <v>1469</v>
      </c>
      <c r="M275" s="21" t="s">
        <v>161</v>
      </c>
      <c r="N275" s="20">
        <v>0</v>
      </c>
      <c r="O275" s="21" t="s">
        <v>1465</v>
      </c>
      <c r="P275" s="20" t="s">
        <v>180</v>
      </c>
      <c r="Q275" s="6">
        <v>2.9667412203184398</v>
      </c>
      <c r="R275" s="6">
        <v>2.7627490870562998</v>
      </c>
      <c r="S275" s="6">
        <v>2.4949231580164901</v>
      </c>
      <c r="T275" s="6">
        <v>2.25148579799027</v>
      </c>
      <c r="U275" s="6">
        <v>2.199453589045</v>
      </c>
      <c r="V275" s="6">
        <v>1.88810351769261</v>
      </c>
      <c r="W275" s="6">
        <v>1.9286769546387801</v>
      </c>
      <c r="X275" s="6">
        <v>1.90922252371396</v>
      </c>
      <c r="Y275" s="6">
        <v>1.8579857047797601</v>
      </c>
      <c r="Z275" s="6">
        <v>1.84562051123627</v>
      </c>
      <c r="AA275" s="6"/>
      <c r="AB275" s="20">
        <f>COUNT(Q275:AA275)</f>
        <v>10</v>
      </c>
      <c r="AC275" s="23">
        <f>AB275/11</f>
        <v>0.90909090909090906</v>
      </c>
      <c r="AD275" s="20">
        <f>IFERROR(INDEX($Q$4:$AA$4,MATCH(TRUE,INDEX(ISNUMBER(Q275:AA275),0),0)),"")</f>
        <v>2015</v>
      </c>
      <c r="AE275" s="20">
        <f>IFERROR(LOOKUP(2,1/ISNUMBER(Q275:AA275),$Q$4:$AA$4),"")</f>
        <v>2024</v>
      </c>
      <c r="AF275" s="23">
        <f>IF(AB275=0,"",AB275/(AE275-AD275+1))</f>
        <v>1</v>
      </c>
      <c r="AG275" s="20">
        <f>IF(AB275=0,"",'01_Criterios'!$C$8-AE275)</f>
        <v>1</v>
      </c>
      <c r="AH275" s="7">
        <f>IF(P275="Em uso",100,IF(P275="Alta",85,IF(P275="Média",55,30)))</f>
        <v>55</v>
      </c>
      <c r="AI275" s="7">
        <f>ROUND(100*AC275,1)</f>
        <v>90.9</v>
      </c>
      <c r="AJ275" s="7">
        <f>IF(AB275=0,0,ROUND(MAX(0,100*AF275-10*AG275),1))</f>
        <v>90</v>
      </c>
      <c r="AK275" s="7">
        <f>ROUND(('01_Criterios'!$C$19*AH275+'01_Criterios'!$C$20*AI275+'01_Criterios'!$C$21*AJ275)/('01_Criterios'!$C$19+'01_Criterios'!$C$20+'01_Criterios'!$C$21)+N275*'01_Criterios'!$C$22,1)</f>
        <v>76.3</v>
      </c>
      <c r="AL275" s="20">
        <f>IF(AND(AB275&gt;=3,AC275&gt;='01_Criterios'!$C$11,N(AE275)&gt;='01_Criterios'!$C$12,OR(F275="+",F275="-"),ISNUMBER(G275),ISNUMBER(H275)),1,0)</f>
        <v>0</v>
      </c>
      <c r="AM275" s="24" t="str">
        <f>IF(AL275=1,"",TRIM(IF(AB275=0,"sem dados no período; ",IF(AB275&lt;3,"série demasiado curta; ",""))&amp;IF(AND(AB275&gt;0,AC275&lt;'01_Criterios'!$C$11),"cobertura insuficiente; ","")&amp;IF(AND(AB275&gt;0,N(AE275)&lt;'01_Criterios'!$C$12),"desactualizado; ","")&amp;IF(AND(F275&lt;&gt;"+",F275&lt;&gt;"-"),"sentido ambíguo; ","")&amp;IF(OR(NOT(ISNUMBER(G275)),NOT(ISNUMBER(H275))),"sem limites min/max; ","")))</f>
        <v>sentido ambíguo;</v>
      </c>
      <c r="AN275" s="20">
        <f>IF(OR(AL275=0,$AP275="Excluir"),0,IF(SUMPRODUCT(($O$5:$O$335=$O275)*($AL$5:$AL$335=1)*($AP$5:$AP$335&lt;&gt;"Excluir")*(($AK$5:$AK$335&gt;$AK275)+(($AK$5:$AK$335=$AK275)*(ROW($O$5:$O$335)&lt;ROW()))))=0,1,0))</f>
        <v>0</v>
      </c>
      <c r="AO275" s="20" t="str">
        <f>IF(AN275=0,"",1+SUMPRODUCT(($B$5:$B$335=$B275)*($AN$5:$AN$335=1)*(($AK$5:$AK$335&gt;$AK275)+(($AK$5:$AK$335=$AK275)*(ROW($B$5:$B$335)&lt;ROW())))))</f>
        <v/>
      </c>
      <c r="AP275" s="22" t="s">
        <v>131</v>
      </c>
      <c r="AQ275" s="20">
        <f>IF(INDEX('01_Criterios'!$C$26:$C$36,MATCH($B275,'01_Criterios'!$B$26:$B$36,0))&lt;&gt;1,0,IF($AP275="Excluir",0,IF($AP275="Incluir",IF(AND(OR($F275="+",$F275="-"),ISNUMBER($G275),ISNUMBER($H275),COUNT($Q275:$AA275)&gt;0),1,0),IF('01_Criterios'!$C$18="Automática",IF(AND($AN275=1,$AO275&lt;&gt;"",$AO275&lt;=INDEX('01_Criterios'!$E$26:$E$36,MATCH($B275,'01_Criterios'!$B$26:$B$36,0))),1,0),0))))</f>
        <v>0</v>
      </c>
      <c r="AR275" s="20" t="str">
        <f>IF(AQ275=0,"",IF($AO275&lt;&gt;"",1+SUMPRODUCT(($B$5:$B$335=$B275)*($AQ$5:$AQ$335=1)*($AO$5:$AO$335&lt;$AO275)),1+SUMPRODUCT(($B$5:$B$335=$B275)*($AQ$5:$AQ$335=1)*ISNUMBER($AO$5:$AO$335))+SUMPRODUCT(($B$5:$B$335=$B275)*($AQ$5:$AQ$335=1)*($AO$5:$AO$335="")*(ROW($AO$5:$AO$335)&lt;ROW()))))</f>
        <v/>
      </c>
      <c r="AS275" s="24" t="s">
        <v>1470</v>
      </c>
    </row>
    <row r="276" spans="1:45">
      <c r="A276" s="25" t="s">
        <v>1471</v>
      </c>
      <c r="B276" s="26" t="s">
        <v>84</v>
      </c>
      <c r="C276" s="26" t="s">
        <v>1472</v>
      </c>
      <c r="D276" s="26" t="s">
        <v>1473</v>
      </c>
      <c r="E276" s="25" t="s">
        <v>1474</v>
      </c>
      <c r="F276" s="25" t="s">
        <v>126</v>
      </c>
      <c r="G276" s="25">
        <v>0</v>
      </c>
      <c r="H276" s="25">
        <v>100</v>
      </c>
      <c r="I276" s="25">
        <v>65</v>
      </c>
      <c r="J276" s="22">
        <v>1</v>
      </c>
      <c r="K276" s="26" t="s">
        <v>204</v>
      </c>
      <c r="L276" s="25" t="s">
        <v>1475</v>
      </c>
      <c r="M276" s="26" t="s">
        <v>161</v>
      </c>
      <c r="N276" s="25">
        <v>0</v>
      </c>
      <c r="O276" s="26" t="s">
        <v>1471</v>
      </c>
      <c r="P276" s="25" t="s">
        <v>180</v>
      </c>
      <c r="Q276" s="27">
        <v>47.1</v>
      </c>
      <c r="R276" s="27">
        <v>48.1</v>
      </c>
      <c r="S276" s="27">
        <v>52.5</v>
      </c>
      <c r="T276" s="27">
        <v>52.5</v>
      </c>
      <c r="U276" s="27">
        <v>51</v>
      </c>
      <c r="V276" s="27">
        <v>60.1</v>
      </c>
      <c r="W276" s="27">
        <v>52.9</v>
      </c>
      <c r="X276" s="27"/>
      <c r="Y276" s="27"/>
      <c r="Z276" s="27"/>
      <c r="AA276" s="27"/>
      <c r="AB276" s="25">
        <f>COUNT(Q276:AA276)</f>
        <v>7</v>
      </c>
      <c r="AC276" s="28">
        <f>AB276/11</f>
        <v>0.63636363636363635</v>
      </c>
      <c r="AD276" s="25">
        <f>IFERROR(INDEX($Q$4:$AA$4,MATCH(TRUE,INDEX(ISNUMBER(Q276:AA276),0),0)),"")</f>
        <v>2015</v>
      </c>
      <c r="AE276" s="25">
        <f>IFERROR(LOOKUP(2,1/ISNUMBER(Q276:AA276),$Q$4:$AA$4),"")</f>
        <v>2021</v>
      </c>
      <c r="AF276" s="28">
        <f>IF(AB276=0,"",AB276/(AE276-AD276+1))</f>
        <v>1</v>
      </c>
      <c r="AG276" s="25">
        <f>IF(AB276=0,"",'01_Criterios'!$C$8-AE276)</f>
        <v>4</v>
      </c>
      <c r="AH276" s="29">
        <f>IF(P276="Em uso",100,IF(P276="Alta",85,IF(P276="Média",55,30)))</f>
        <v>55</v>
      </c>
      <c r="AI276" s="29">
        <f>ROUND(100*AC276,1)</f>
        <v>63.6</v>
      </c>
      <c r="AJ276" s="29">
        <f>IF(AB276=0,0,ROUND(MAX(0,100*AF276-10*AG276),1))</f>
        <v>60</v>
      </c>
      <c r="AK276" s="29">
        <f>ROUND(('01_Criterios'!$C$19*AH276+'01_Criterios'!$C$20*AI276+'01_Criterios'!$C$21*AJ276)/('01_Criterios'!$C$19+'01_Criterios'!$C$20+'01_Criterios'!$C$21)+N276*'01_Criterios'!$C$22,1)</f>
        <v>59.3</v>
      </c>
      <c r="AL276" s="25">
        <f>IF(AND(AB276&gt;=3,AC276&gt;='01_Criterios'!$C$11,N(AE276)&gt;='01_Criterios'!$C$12,OR(F276="+",F276="-"),ISNUMBER(G276),ISNUMBER(H276)),1,0)</f>
        <v>0</v>
      </c>
      <c r="AM276" s="30" t="str">
        <f>IF(AL276=1,"",TRIM(IF(AB276=0,"sem dados no período; ",IF(AB276&lt;3,"série demasiado curta; ",""))&amp;IF(AND(AB276&gt;0,AC276&lt;'01_Criterios'!$C$11),"cobertura insuficiente; ","")&amp;IF(AND(AB276&gt;0,N(AE276)&lt;'01_Criterios'!$C$12),"desactualizado; ","")&amp;IF(AND(F276&lt;&gt;"+",F276&lt;&gt;"-"),"sentido ambíguo; ","")&amp;IF(OR(NOT(ISNUMBER(G276)),NOT(ISNUMBER(H276))),"sem limites min/max; ","")))</f>
        <v>cobertura insuficiente; desactualizado;</v>
      </c>
      <c r="AN276" s="25">
        <f>IF(OR(AL276=0,$AP276="Excluir"),0,IF(SUMPRODUCT(($O$5:$O$335=$O276)*($AL$5:$AL$335=1)*($AP$5:$AP$335&lt;&gt;"Excluir")*(($AK$5:$AK$335&gt;$AK276)+(($AK$5:$AK$335=$AK276)*(ROW($O$5:$O$335)&lt;ROW()))))=0,1,0))</f>
        <v>0</v>
      </c>
      <c r="AO276" s="25" t="str">
        <f>IF(AN276=0,"",1+SUMPRODUCT(($B$5:$B$335=$B276)*($AN$5:$AN$335=1)*(($AK$5:$AK$335&gt;$AK276)+(($AK$5:$AK$335=$AK276)*(ROW($B$5:$B$335)&lt;ROW())))))</f>
        <v/>
      </c>
      <c r="AP276" s="22" t="s">
        <v>131</v>
      </c>
      <c r="AQ276" s="25">
        <f>IF(INDEX('01_Criterios'!$C$26:$C$36,MATCH($B276,'01_Criterios'!$B$26:$B$36,0))&lt;&gt;1,0,IF($AP276="Excluir",0,IF($AP276="Incluir",IF(AND(OR($F276="+",$F276="-"),ISNUMBER($G276),ISNUMBER($H276),COUNT($Q276:$AA276)&gt;0),1,0),IF('01_Criterios'!$C$18="Automática",IF(AND($AN276=1,$AO276&lt;&gt;"",$AO276&lt;=INDEX('01_Criterios'!$E$26:$E$36,MATCH($B276,'01_Criterios'!$B$26:$B$36,0))),1,0),0))))</f>
        <v>0</v>
      </c>
      <c r="AR276" s="25" t="str">
        <f>IF(AQ276=0,"",IF($AO276&lt;&gt;"",1+SUMPRODUCT(($B$5:$B$335=$B276)*($AQ$5:$AQ$335=1)*($AO$5:$AO$335&lt;$AO276)),1+SUMPRODUCT(($B$5:$B$335=$B276)*($AQ$5:$AQ$335=1)*ISNUMBER($AO$5:$AO$335))+SUMPRODUCT(($B$5:$B$335=$B276)*($AQ$5:$AQ$335=1)*($AO$5:$AO$335="")*(ROW($AO$5:$AO$335)&lt;ROW()))))</f>
        <v/>
      </c>
      <c r="AS276" s="24" t="s">
        <v>1476</v>
      </c>
    </row>
    <row r="277" spans="1:45">
      <c r="A277" s="20" t="s">
        <v>1477</v>
      </c>
      <c r="B277" s="21" t="s">
        <v>84</v>
      </c>
      <c r="C277" s="21" t="s">
        <v>1478</v>
      </c>
      <c r="D277" s="21" t="s">
        <v>1479</v>
      </c>
      <c r="E277" s="20" t="s">
        <v>1480</v>
      </c>
      <c r="F277" s="20" t="s">
        <v>126</v>
      </c>
      <c r="G277" s="20">
        <v>0</v>
      </c>
      <c r="H277" s="20">
        <v>30</v>
      </c>
      <c r="I277" s="20">
        <v>17</v>
      </c>
      <c r="J277" s="22">
        <v>1</v>
      </c>
      <c r="K277" s="21" t="s">
        <v>204</v>
      </c>
      <c r="L277" s="20" t="s">
        <v>1481</v>
      </c>
      <c r="M277" s="21" t="s">
        <v>161</v>
      </c>
      <c r="N277" s="20">
        <v>0</v>
      </c>
      <c r="O277" s="21" t="s">
        <v>1477</v>
      </c>
      <c r="P277" s="20" t="s">
        <v>180</v>
      </c>
      <c r="Q277" s="6">
        <v>5</v>
      </c>
      <c r="R277" s="6">
        <v>5</v>
      </c>
      <c r="S277" s="6">
        <v>5</v>
      </c>
      <c r="T277" s="6">
        <v>5</v>
      </c>
      <c r="U277" s="6">
        <v>5</v>
      </c>
      <c r="V277" s="6">
        <v>5</v>
      </c>
      <c r="W277" s="6">
        <v>5</v>
      </c>
      <c r="X277" s="6">
        <v>5</v>
      </c>
      <c r="Y277" s="6">
        <v>7.7</v>
      </c>
      <c r="Z277" s="6">
        <v>7.7</v>
      </c>
      <c r="AA277" s="6">
        <v>7.7</v>
      </c>
      <c r="AB277" s="20">
        <f>COUNT(Q277:AA277)</f>
        <v>11</v>
      </c>
      <c r="AC277" s="23">
        <f>AB277/11</f>
        <v>1</v>
      </c>
      <c r="AD277" s="20">
        <f>IFERROR(INDEX($Q$4:$AA$4,MATCH(TRUE,INDEX(ISNUMBER(Q277:AA277),0),0)),"")</f>
        <v>2015</v>
      </c>
      <c r="AE277" s="20">
        <f>IFERROR(LOOKUP(2,1/ISNUMBER(Q277:AA277),$Q$4:$AA$4),"")</f>
        <v>2025</v>
      </c>
      <c r="AF277" s="23">
        <f>IF(AB277=0,"",AB277/(AE277-AD277+1))</f>
        <v>1</v>
      </c>
      <c r="AG277" s="20">
        <f>IF(AB277=0,"",'01_Criterios'!$C$8-AE277)</f>
        <v>0</v>
      </c>
      <c r="AH277" s="7">
        <f>IF(P277="Em uso",100,IF(P277="Alta",85,IF(P277="Média",55,30)))</f>
        <v>55</v>
      </c>
      <c r="AI277" s="7">
        <f>ROUND(100*AC277,1)</f>
        <v>100</v>
      </c>
      <c r="AJ277" s="7">
        <f>IF(AB277=0,0,ROUND(MAX(0,100*AF277-10*AG277),1))</f>
        <v>100</v>
      </c>
      <c r="AK277" s="7">
        <f>ROUND(('01_Criterios'!$C$19*AH277+'01_Criterios'!$C$20*AI277+'01_Criterios'!$C$21*AJ277)/('01_Criterios'!$C$19+'01_Criterios'!$C$20+'01_Criterios'!$C$21)+N277*'01_Criterios'!$C$22,1)</f>
        <v>82</v>
      </c>
      <c r="AL277" s="20">
        <f>IF(AND(AB277&gt;=3,AC277&gt;='01_Criterios'!$C$11,N(AE277)&gt;='01_Criterios'!$C$12,OR(F277="+",F277="-"),ISNUMBER(G277),ISNUMBER(H277)),1,0)</f>
        <v>1</v>
      </c>
      <c r="AM277" s="24" t="str">
        <f>IF(AL277=1,"",TRIM(IF(AB277=0,"sem dados no período; ",IF(AB277&lt;3,"série demasiado curta; ",""))&amp;IF(AND(AB277&gt;0,AC277&lt;'01_Criterios'!$C$11),"cobertura insuficiente; ","")&amp;IF(AND(AB277&gt;0,N(AE277)&lt;'01_Criterios'!$C$12),"desactualizado; ","")&amp;IF(AND(F277&lt;&gt;"+",F277&lt;&gt;"-"),"sentido ambíguo; ","")&amp;IF(OR(NOT(ISNUMBER(G277)),NOT(ISNUMBER(H277))),"sem limites min/max; ","")))</f>
        <v/>
      </c>
      <c r="AN277" s="20">
        <f>IF(OR(AL277=0,$AP277="Excluir"),0,IF(SUMPRODUCT(($O$5:$O$335=$O277)*($AL$5:$AL$335=1)*($AP$5:$AP$335&lt;&gt;"Excluir")*(($AK$5:$AK$335&gt;$AK277)+(($AK$5:$AK$335=$AK277)*(ROW($O$5:$O$335)&lt;ROW()))))=0,1,0))</f>
        <v>1</v>
      </c>
      <c r="AO277" s="20">
        <f>IF(AN277=0,"",1+SUMPRODUCT(($B$5:$B$335=$B277)*($AN$5:$AN$335=1)*(($AK$5:$AK$335&gt;$AK277)+(($AK$5:$AK$335=$AK277)*(ROW($B$5:$B$335)&lt;ROW())))))</f>
        <v>4</v>
      </c>
      <c r="AP277" s="22" t="s">
        <v>131</v>
      </c>
      <c r="AQ277" s="20">
        <f>IF(INDEX('01_Criterios'!$C$26:$C$36,MATCH($B277,'01_Criterios'!$B$26:$B$36,0))&lt;&gt;1,0,IF($AP277="Excluir",0,IF($AP277="Incluir",IF(AND(OR($F277="+",$F277="-"),ISNUMBER($G277),ISNUMBER($H277),COUNT($Q277:$AA277)&gt;0),1,0),IF('01_Criterios'!$C$18="Automática",IF(AND($AN277=1,$AO277&lt;&gt;"",$AO277&lt;=INDEX('01_Criterios'!$E$26:$E$36,MATCH($B277,'01_Criterios'!$B$26:$B$36,0))),1,0),0))))</f>
        <v>0</v>
      </c>
      <c r="AR277" s="20" t="str">
        <f>IF(AQ277=0,"",IF($AO277&lt;&gt;"",1+SUMPRODUCT(($B$5:$B$335=$B277)*($AQ$5:$AQ$335=1)*($AO$5:$AO$335&lt;$AO277)),1+SUMPRODUCT(($B$5:$B$335=$B277)*($AQ$5:$AQ$335=1)*ISNUMBER($AO$5:$AO$335))+SUMPRODUCT(($B$5:$B$335=$B277)*($AQ$5:$AQ$335=1)*($AO$5:$AO$335="")*(ROW($AO$5:$AO$335)&lt;ROW()))))</f>
        <v/>
      </c>
      <c r="AS277" s="24" t="s">
        <v>1482</v>
      </c>
    </row>
    <row r="278" spans="1:45">
      <c r="A278" s="25" t="s">
        <v>1483</v>
      </c>
      <c r="B278" s="26" t="s">
        <v>84</v>
      </c>
      <c r="C278" s="26" t="s">
        <v>1478</v>
      </c>
      <c r="D278" s="26" t="s">
        <v>1484</v>
      </c>
      <c r="E278" s="25" t="s">
        <v>1485</v>
      </c>
      <c r="F278" s="25" t="s">
        <v>126</v>
      </c>
      <c r="G278" s="25">
        <v>0</v>
      </c>
      <c r="H278" s="25">
        <v>80</v>
      </c>
      <c r="I278" s="25">
        <v>45</v>
      </c>
      <c r="J278" s="22">
        <v>1</v>
      </c>
      <c r="K278" s="26" t="s">
        <v>204</v>
      </c>
      <c r="L278" s="25" t="s">
        <v>1486</v>
      </c>
      <c r="M278" s="26" t="s">
        <v>161</v>
      </c>
      <c r="N278" s="25">
        <v>0</v>
      </c>
      <c r="O278" s="26" t="s">
        <v>1487</v>
      </c>
      <c r="P278" s="25" t="s">
        <v>180</v>
      </c>
      <c r="Q278" s="27">
        <v>55.653076120959298</v>
      </c>
      <c r="R278" s="27">
        <v>55.2078447100345</v>
      </c>
      <c r="S278" s="27">
        <v>54.762629341461498</v>
      </c>
      <c r="T278" s="27">
        <v>54.317405951712502</v>
      </c>
      <c r="U278" s="27">
        <v>53.872174540787697</v>
      </c>
      <c r="V278" s="27">
        <v>53.4269511510388</v>
      </c>
      <c r="W278" s="27">
        <v>52.981722387101897</v>
      </c>
      <c r="X278" s="27">
        <v>52.536497232694302</v>
      </c>
      <c r="Y278" s="27">
        <v>52.091269671933901</v>
      </c>
      <c r="Z278" s="27"/>
      <c r="AA278" s="27"/>
      <c r="AB278" s="25">
        <f>COUNT(Q278:AA278)</f>
        <v>9</v>
      </c>
      <c r="AC278" s="28">
        <f>AB278/11</f>
        <v>0.81818181818181823</v>
      </c>
      <c r="AD278" s="25">
        <f>IFERROR(INDEX($Q$4:$AA$4,MATCH(TRUE,INDEX(ISNUMBER(Q278:AA278),0),0)),"")</f>
        <v>2015</v>
      </c>
      <c r="AE278" s="25">
        <f>IFERROR(LOOKUP(2,1/ISNUMBER(Q278:AA278),$Q$4:$AA$4),"")</f>
        <v>2023</v>
      </c>
      <c r="AF278" s="28">
        <f>IF(AB278=0,"",AB278/(AE278-AD278+1))</f>
        <v>1</v>
      </c>
      <c r="AG278" s="25">
        <f>IF(AB278=0,"",'01_Criterios'!$C$8-AE278)</f>
        <v>2</v>
      </c>
      <c r="AH278" s="29">
        <f>IF(P278="Em uso",100,IF(P278="Alta",85,IF(P278="Média",55,30)))</f>
        <v>55</v>
      </c>
      <c r="AI278" s="29">
        <f>ROUND(100*AC278,1)</f>
        <v>81.8</v>
      </c>
      <c r="AJ278" s="29">
        <f>IF(AB278=0,0,ROUND(MAX(0,100*AF278-10*AG278),1))</f>
        <v>80</v>
      </c>
      <c r="AK278" s="29">
        <f>ROUND(('01_Criterios'!$C$19*AH278+'01_Criterios'!$C$20*AI278+'01_Criterios'!$C$21*AJ278)/('01_Criterios'!$C$19+'01_Criterios'!$C$20+'01_Criterios'!$C$21)+N278*'01_Criterios'!$C$22,1)</f>
        <v>70.599999999999994</v>
      </c>
      <c r="AL278" s="25">
        <f>IF(AND(AB278&gt;=3,AC278&gt;='01_Criterios'!$C$11,N(AE278)&gt;='01_Criterios'!$C$12,OR(F278="+",F278="-"),ISNUMBER(G278),ISNUMBER(H278)),1,0)</f>
        <v>1</v>
      </c>
      <c r="AM278" s="30" t="str">
        <f>IF(AL278=1,"",TRIM(IF(AB278=0,"sem dados no período; ",IF(AB278&lt;3,"série demasiado curta; ",""))&amp;IF(AND(AB278&gt;0,AC278&lt;'01_Criterios'!$C$11),"cobertura insuficiente; ","")&amp;IF(AND(AB278&gt;0,N(AE278)&lt;'01_Criterios'!$C$12),"desactualizado; ","")&amp;IF(AND(F278&lt;&gt;"+",F278&lt;&gt;"-"),"sentido ambíguo; ","")&amp;IF(OR(NOT(ISNUMBER(G278)),NOT(ISNUMBER(H278))),"sem limites min/max; ","")))</f>
        <v/>
      </c>
      <c r="AN278" s="25">
        <f>IF(OR(AL278=0,$AP278="Excluir"),0,IF(SUMPRODUCT(($O$5:$O$335=$O278)*($AL$5:$AL$335=1)*($AP$5:$AP$335&lt;&gt;"Excluir")*(($AK$5:$AK$335&gt;$AK278)+(($AK$5:$AK$335=$AK278)*(ROW($O$5:$O$335)&lt;ROW()))))=0,1,0))</f>
        <v>1</v>
      </c>
      <c r="AO278" s="25">
        <f>IF(AN278=0,"",1+SUMPRODUCT(($B$5:$B$335=$B278)*($AN$5:$AN$335=1)*(($AK$5:$AK$335&gt;$AK278)+(($AK$5:$AK$335=$AK278)*(ROW($B$5:$B$335)&lt;ROW())))))</f>
        <v>6</v>
      </c>
      <c r="AP278" s="22" t="s">
        <v>131</v>
      </c>
      <c r="AQ278" s="25">
        <f>IF(INDEX('01_Criterios'!$C$26:$C$36,MATCH($B278,'01_Criterios'!$B$26:$B$36,0))&lt;&gt;1,0,IF($AP278="Excluir",0,IF($AP278="Incluir",IF(AND(OR($F278="+",$F278="-"),ISNUMBER($G278),ISNUMBER($H278),COUNT($Q278:$AA278)&gt;0),1,0),IF('01_Criterios'!$C$18="Automática",IF(AND($AN278=1,$AO278&lt;&gt;"",$AO278&lt;=INDEX('01_Criterios'!$E$26:$E$36,MATCH($B278,'01_Criterios'!$B$26:$B$36,0))),1,0),0))))</f>
        <v>0</v>
      </c>
      <c r="AR278" s="25" t="str">
        <f>IF(AQ278=0,"",IF($AO278&lt;&gt;"",1+SUMPRODUCT(($B$5:$B$335=$B278)*($AQ$5:$AQ$335=1)*($AO$5:$AO$335&lt;$AO278)),1+SUMPRODUCT(($B$5:$B$335=$B278)*($AQ$5:$AQ$335=1)*ISNUMBER($AO$5:$AO$335))+SUMPRODUCT(($B$5:$B$335=$B278)*($AQ$5:$AQ$335=1)*($AO$5:$AO$335="")*(ROW($AO$5:$AO$335)&lt;ROW()))))</f>
        <v/>
      </c>
      <c r="AS278" s="24" t="s">
        <v>1488</v>
      </c>
    </row>
    <row r="279" spans="1:45">
      <c r="A279" s="20" t="s">
        <v>1489</v>
      </c>
      <c r="B279" s="21" t="s">
        <v>84</v>
      </c>
      <c r="C279" s="21" t="s">
        <v>1445</v>
      </c>
      <c r="D279" s="21" t="s">
        <v>1490</v>
      </c>
      <c r="E279" s="20" t="s">
        <v>492</v>
      </c>
      <c r="F279" s="20" t="s">
        <v>158</v>
      </c>
      <c r="G279" s="20">
        <v>0</v>
      </c>
      <c r="H279" s="20">
        <v>60</v>
      </c>
      <c r="I279" s="20">
        <v>8</v>
      </c>
      <c r="J279" s="22">
        <v>1</v>
      </c>
      <c r="K279" s="21" t="s">
        <v>204</v>
      </c>
      <c r="L279" s="20" t="s">
        <v>1491</v>
      </c>
      <c r="M279" s="21" t="s">
        <v>161</v>
      </c>
      <c r="N279" s="20">
        <v>0</v>
      </c>
      <c r="O279" s="21" t="s">
        <v>1452</v>
      </c>
      <c r="P279" s="20" t="s">
        <v>180</v>
      </c>
      <c r="Q279" s="6">
        <v>10.3962758441423</v>
      </c>
      <c r="R279" s="6">
        <v>16.053412064921101</v>
      </c>
      <c r="S279" s="6">
        <v>20.852642698684601</v>
      </c>
      <c r="T279" s="6">
        <v>25.995537182543298</v>
      </c>
      <c r="U279" s="6">
        <v>23.436249106554602</v>
      </c>
      <c r="V279" s="6">
        <v>15.591167122656699</v>
      </c>
      <c r="W279" s="6">
        <v>22.530665606347501</v>
      </c>
      <c r="X279" s="6"/>
      <c r="Y279" s="6"/>
      <c r="Z279" s="6"/>
      <c r="AA279" s="6"/>
      <c r="AB279" s="20">
        <f>COUNT(Q279:AA279)</f>
        <v>7</v>
      </c>
      <c r="AC279" s="23">
        <f>AB279/11</f>
        <v>0.63636363636363635</v>
      </c>
      <c r="AD279" s="20">
        <f>IFERROR(INDEX($Q$4:$AA$4,MATCH(TRUE,INDEX(ISNUMBER(Q279:AA279),0),0)),"")</f>
        <v>2015</v>
      </c>
      <c r="AE279" s="20">
        <f>IFERROR(LOOKUP(2,1/ISNUMBER(Q279:AA279),$Q$4:$AA$4),"")</f>
        <v>2021</v>
      </c>
      <c r="AF279" s="23">
        <f>IF(AB279=0,"",AB279/(AE279-AD279+1))</f>
        <v>1</v>
      </c>
      <c r="AG279" s="20">
        <f>IF(AB279=0,"",'01_Criterios'!$C$8-AE279)</f>
        <v>4</v>
      </c>
      <c r="AH279" s="7">
        <f>IF(P279="Em uso",100,IF(P279="Alta",85,IF(P279="Média",55,30)))</f>
        <v>55</v>
      </c>
      <c r="AI279" s="7">
        <f>ROUND(100*AC279,1)</f>
        <v>63.6</v>
      </c>
      <c r="AJ279" s="7">
        <f>IF(AB279=0,0,ROUND(MAX(0,100*AF279-10*AG279),1))</f>
        <v>60</v>
      </c>
      <c r="AK279" s="7">
        <f>ROUND(('01_Criterios'!$C$19*AH279+'01_Criterios'!$C$20*AI279+'01_Criterios'!$C$21*AJ279)/('01_Criterios'!$C$19+'01_Criterios'!$C$20+'01_Criterios'!$C$21)+N279*'01_Criterios'!$C$22,1)</f>
        <v>59.3</v>
      </c>
      <c r="AL279" s="20">
        <f>IF(AND(AB279&gt;=3,AC279&gt;='01_Criterios'!$C$11,N(AE279)&gt;='01_Criterios'!$C$12,OR(F279="+",F279="-"),ISNUMBER(G279),ISNUMBER(H279)),1,0)</f>
        <v>0</v>
      </c>
      <c r="AM279" s="24" t="str">
        <f>IF(AL279=1,"",TRIM(IF(AB279=0,"sem dados no período; ",IF(AB279&lt;3,"série demasiado curta; ",""))&amp;IF(AND(AB279&gt;0,AC279&lt;'01_Criterios'!$C$11),"cobertura insuficiente; ","")&amp;IF(AND(AB279&gt;0,N(AE279)&lt;'01_Criterios'!$C$12),"desactualizado; ","")&amp;IF(AND(F279&lt;&gt;"+",F279&lt;&gt;"-"),"sentido ambíguo; ","")&amp;IF(OR(NOT(ISNUMBER(G279)),NOT(ISNUMBER(H279))),"sem limites min/max; ","")))</f>
        <v>cobertura insuficiente; desactualizado;</v>
      </c>
      <c r="AN279" s="20">
        <f>IF(OR(AL279=0,$AP279="Excluir"),0,IF(SUMPRODUCT(($O$5:$O$335=$O279)*($AL$5:$AL$335=1)*($AP$5:$AP$335&lt;&gt;"Excluir")*(($AK$5:$AK$335&gt;$AK279)+(($AK$5:$AK$335=$AK279)*(ROW($O$5:$O$335)&lt;ROW()))))=0,1,0))</f>
        <v>0</v>
      </c>
      <c r="AO279" s="20" t="str">
        <f>IF(AN279=0,"",1+SUMPRODUCT(($B$5:$B$335=$B279)*($AN$5:$AN$335=1)*(($AK$5:$AK$335&gt;$AK279)+(($AK$5:$AK$335=$AK279)*(ROW($B$5:$B$335)&lt;ROW())))))</f>
        <v/>
      </c>
      <c r="AP279" s="22" t="s">
        <v>131</v>
      </c>
      <c r="AQ279" s="20">
        <f>IF(INDEX('01_Criterios'!$C$26:$C$36,MATCH($B279,'01_Criterios'!$B$26:$B$36,0))&lt;&gt;1,0,IF($AP279="Excluir",0,IF($AP279="Incluir",IF(AND(OR($F279="+",$F279="-"),ISNUMBER($G279),ISNUMBER($H279),COUNT($Q279:$AA279)&gt;0),1,0),IF('01_Criterios'!$C$18="Automática",IF(AND($AN279=1,$AO279&lt;&gt;"",$AO279&lt;=INDEX('01_Criterios'!$E$26:$E$36,MATCH($B279,'01_Criterios'!$B$26:$B$36,0))),1,0),0))))</f>
        <v>0</v>
      </c>
      <c r="AR279" s="20" t="str">
        <f>IF(AQ279=0,"",IF($AO279&lt;&gt;"",1+SUMPRODUCT(($B$5:$B$335=$B279)*($AQ$5:$AQ$335=1)*($AO$5:$AO$335&lt;$AO279)),1+SUMPRODUCT(($B$5:$B$335=$B279)*($AQ$5:$AQ$335=1)*ISNUMBER($AO$5:$AO$335))+SUMPRODUCT(($B$5:$B$335=$B279)*($AQ$5:$AQ$335=1)*($AO$5:$AO$335="")*(ROW($AO$5:$AO$335)&lt;ROW()))))</f>
        <v/>
      </c>
      <c r="AS279" s="24" t="s">
        <v>1492</v>
      </c>
    </row>
    <row r="280" spans="1:45">
      <c r="A280" s="25" t="s">
        <v>1493</v>
      </c>
      <c r="B280" s="26" t="s">
        <v>84</v>
      </c>
      <c r="C280" s="26" t="s">
        <v>1494</v>
      </c>
      <c r="D280" s="26" t="s">
        <v>1495</v>
      </c>
      <c r="E280" s="25" t="s">
        <v>1496</v>
      </c>
      <c r="F280" s="25" t="s">
        <v>158</v>
      </c>
      <c r="G280" s="25">
        <v>0</v>
      </c>
      <c r="H280" s="25">
        <v>100</v>
      </c>
      <c r="I280" s="25">
        <v>5</v>
      </c>
      <c r="J280" s="22">
        <v>1</v>
      </c>
      <c r="K280" s="26" t="s">
        <v>204</v>
      </c>
      <c r="L280" s="25" t="s">
        <v>1497</v>
      </c>
      <c r="M280" s="26" t="s">
        <v>161</v>
      </c>
      <c r="N280" s="25">
        <v>0</v>
      </c>
      <c r="O280" s="26" t="s">
        <v>1493</v>
      </c>
      <c r="P280" s="25" t="s">
        <v>180</v>
      </c>
      <c r="Q280" s="27"/>
      <c r="R280" s="27"/>
      <c r="S280" s="27"/>
      <c r="T280" s="27"/>
      <c r="U280" s="27"/>
      <c r="V280" s="27"/>
      <c r="W280" s="27"/>
      <c r="X280" s="27"/>
      <c r="Y280" s="27"/>
      <c r="Z280" s="27"/>
      <c r="AA280" s="27"/>
      <c r="AB280" s="25">
        <f>COUNT(Q280:AA280)</f>
        <v>0</v>
      </c>
      <c r="AC280" s="28">
        <f>AB280/11</f>
        <v>0</v>
      </c>
      <c r="AD280" s="25" t="str">
        <f>IFERROR(INDEX($Q$4:$AA$4,MATCH(TRUE,INDEX(ISNUMBER(Q280:AA280),0),0)),"")</f>
        <v/>
      </c>
      <c r="AE280" s="25" t="str">
        <f>IFERROR(LOOKUP(2,1/ISNUMBER(Q280:AA280),$Q$4:$AA$4),"")</f>
        <v/>
      </c>
      <c r="AF280" s="28" t="str">
        <f>IF(AB280=0,"",AB280/(AE280-AD280+1))</f>
        <v/>
      </c>
      <c r="AG280" s="25" t="str">
        <f>IF(AB280=0,"",'01_Criterios'!$C$8-AE280)</f>
        <v/>
      </c>
      <c r="AH280" s="29">
        <f>IF(P280="Em uso",100,IF(P280="Alta",85,IF(P280="Média",55,30)))</f>
        <v>55</v>
      </c>
      <c r="AI280" s="29">
        <f>ROUND(100*AC280,1)</f>
        <v>0</v>
      </c>
      <c r="AJ280" s="29">
        <f>IF(AB280=0,0,ROUND(MAX(0,100*AF280-10*AG280),1))</f>
        <v>0</v>
      </c>
      <c r="AK280" s="29">
        <f>ROUND(('01_Criterios'!$C$19*AH280+'01_Criterios'!$C$20*AI280+'01_Criterios'!$C$21*AJ280)/('01_Criterios'!$C$19+'01_Criterios'!$C$20+'01_Criterios'!$C$21)+N280*'01_Criterios'!$C$22,1)</f>
        <v>22</v>
      </c>
      <c r="AL280" s="25">
        <f>IF(AND(AB280&gt;=3,AC280&gt;='01_Criterios'!$C$11,N(AE280)&gt;='01_Criterios'!$C$12,OR(F280="+",F280="-"),ISNUMBER(G280),ISNUMBER(H280)),1,0)</f>
        <v>0</v>
      </c>
      <c r="AM280" s="30" t="str">
        <f>IF(AL280=1,"",TRIM(IF(AB280=0,"sem dados no período; ",IF(AB280&lt;3,"série demasiado curta; ",""))&amp;IF(AND(AB280&gt;0,AC280&lt;'01_Criterios'!$C$11),"cobertura insuficiente; ","")&amp;IF(AND(AB280&gt;0,N(AE280)&lt;'01_Criterios'!$C$12),"desactualizado; ","")&amp;IF(AND(F280&lt;&gt;"+",F280&lt;&gt;"-"),"sentido ambíguo; ","")&amp;IF(OR(NOT(ISNUMBER(G280)),NOT(ISNUMBER(H280))),"sem limites min/max; ","")))</f>
        <v>sem dados no período;</v>
      </c>
      <c r="AN280" s="25">
        <f>IF(OR(AL280=0,$AP280="Excluir"),0,IF(SUMPRODUCT(($O$5:$O$335=$O280)*($AL$5:$AL$335=1)*($AP$5:$AP$335&lt;&gt;"Excluir")*(($AK$5:$AK$335&gt;$AK280)+(($AK$5:$AK$335=$AK280)*(ROW($O$5:$O$335)&lt;ROW()))))=0,1,0))</f>
        <v>0</v>
      </c>
      <c r="AO280" s="25" t="str">
        <f>IF(AN280=0,"",1+SUMPRODUCT(($B$5:$B$335=$B280)*($AN$5:$AN$335=1)*(($AK$5:$AK$335&gt;$AK280)+(($AK$5:$AK$335=$AK280)*(ROW($B$5:$B$335)&lt;ROW())))))</f>
        <v/>
      </c>
      <c r="AP280" s="22" t="s">
        <v>131</v>
      </c>
      <c r="AQ280" s="25">
        <f>IF(INDEX('01_Criterios'!$C$26:$C$36,MATCH($B280,'01_Criterios'!$B$26:$B$36,0))&lt;&gt;1,0,IF($AP280="Excluir",0,IF($AP280="Incluir",IF(AND(OR($F280="+",$F280="-"),ISNUMBER($G280),ISNUMBER($H280),COUNT($Q280:$AA280)&gt;0),1,0),IF('01_Criterios'!$C$18="Automática",IF(AND($AN280=1,$AO280&lt;&gt;"",$AO280&lt;=INDEX('01_Criterios'!$E$26:$E$36,MATCH($B280,'01_Criterios'!$B$26:$B$36,0))),1,0),0))))</f>
        <v>0</v>
      </c>
      <c r="AR280" s="25" t="str">
        <f>IF(AQ280=0,"",IF($AO280&lt;&gt;"",1+SUMPRODUCT(($B$5:$B$335=$B280)*($AQ$5:$AQ$335=1)*($AO$5:$AO$335&lt;$AO280)),1+SUMPRODUCT(($B$5:$B$335=$B280)*($AQ$5:$AQ$335=1)*ISNUMBER($AO$5:$AO$335))+SUMPRODUCT(($B$5:$B$335=$B280)*($AQ$5:$AQ$335=1)*($AO$5:$AO$335="")*(ROW($AO$5:$AO$335)&lt;ROW()))))</f>
        <v/>
      </c>
      <c r="AS280" s="24" t="s">
        <v>1498</v>
      </c>
    </row>
    <row r="281" spans="1:45">
      <c r="A281" s="20" t="s">
        <v>1499</v>
      </c>
      <c r="B281" s="21" t="s">
        <v>84</v>
      </c>
      <c r="C281" s="21" t="s">
        <v>1500</v>
      </c>
      <c r="D281" s="21" t="s">
        <v>1501</v>
      </c>
      <c r="E281" s="20" t="s">
        <v>203</v>
      </c>
      <c r="F281" s="20" t="s">
        <v>126</v>
      </c>
      <c r="G281" s="20">
        <v>1</v>
      </c>
      <c r="H281" s="20">
        <v>6</v>
      </c>
      <c r="I281" s="20">
        <v>4</v>
      </c>
      <c r="J281" s="22">
        <v>1</v>
      </c>
      <c r="K281" s="21" t="s">
        <v>204</v>
      </c>
      <c r="L281" s="20" t="s">
        <v>1502</v>
      </c>
      <c r="M281" s="21" t="s">
        <v>161</v>
      </c>
      <c r="N281" s="20">
        <v>0</v>
      </c>
      <c r="O281" s="21" t="s">
        <v>1499</v>
      </c>
      <c r="P281" s="20" t="s">
        <v>180</v>
      </c>
      <c r="Q281" s="6"/>
      <c r="R281" s="6"/>
      <c r="S281" s="6"/>
      <c r="T281" s="6"/>
      <c r="U281" s="6"/>
      <c r="V281" s="6"/>
      <c r="W281" s="6"/>
      <c r="X281" s="6"/>
      <c r="Y281" s="6"/>
      <c r="Z281" s="6"/>
      <c r="AA281" s="6"/>
      <c r="AB281" s="20">
        <f>COUNT(Q281:AA281)</f>
        <v>0</v>
      </c>
      <c r="AC281" s="23">
        <f>AB281/11</f>
        <v>0</v>
      </c>
      <c r="AD281" s="20" t="str">
        <f>IFERROR(INDEX($Q$4:$AA$4,MATCH(TRUE,INDEX(ISNUMBER(Q281:AA281),0),0)),"")</f>
        <v/>
      </c>
      <c r="AE281" s="20" t="str">
        <f>IFERROR(LOOKUP(2,1/ISNUMBER(Q281:AA281),$Q$4:$AA$4),"")</f>
        <v/>
      </c>
      <c r="AF281" s="23" t="str">
        <f>IF(AB281=0,"",AB281/(AE281-AD281+1))</f>
        <v/>
      </c>
      <c r="AG281" s="20" t="str">
        <f>IF(AB281=0,"",'01_Criterios'!$C$8-AE281)</f>
        <v/>
      </c>
      <c r="AH281" s="7">
        <f>IF(P281="Em uso",100,IF(P281="Alta",85,IF(P281="Média",55,30)))</f>
        <v>55</v>
      </c>
      <c r="AI281" s="7">
        <f>ROUND(100*AC281,1)</f>
        <v>0</v>
      </c>
      <c r="AJ281" s="7">
        <f>IF(AB281=0,0,ROUND(MAX(0,100*AF281-10*AG281),1))</f>
        <v>0</v>
      </c>
      <c r="AK281" s="7">
        <f>ROUND(('01_Criterios'!$C$19*AH281+'01_Criterios'!$C$20*AI281+'01_Criterios'!$C$21*AJ281)/('01_Criterios'!$C$19+'01_Criterios'!$C$20+'01_Criterios'!$C$21)+N281*'01_Criterios'!$C$22,1)</f>
        <v>22</v>
      </c>
      <c r="AL281" s="20">
        <f>IF(AND(AB281&gt;=3,AC281&gt;='01_Criterios'!$C$11,N(AE281)&gt;='01_Criterios'!$C$12,OR(F281="+",F281="-"),ISNUMBER(G281),ISNUMBER(H281)),1,0)</f>
        <v>0</v>
      </c>
      <c r="AM281" s="24" t="str">
        <f>IF(AL281=1,"",TRIM(IF(AB281=0,"sem dados no período; ",IF(AB281&lt;3,"série demasiado curta; ",""))&amp;IF(AND(AB281&gt;0,AC281&lt;'01_Criterios'!$C$11),"cobertura insuficiente; ","")&amp;IF(AND(AB281&gt;0,N(AE281)&lt;'01_Criterios'!$C$12),"desactualizado; ","")&amp;IF(AND(F281&lt;&gt;"+",F281&lt;&gt;"-"),"sentido ambíguo; ","")&amp;IF(OR(NOT(ISNUMBER(G281)),NOT(ISNUMBER(H281))),"sem limites min/max; ","")))</f>
        <v>sem dados no período;</v>
      </c>
      <c r="AN281" s="20">
        <f>IF(OR(AL281=0,$AP281="Excluir"),0,IF(SUMPRODUCT(($O$5:$O$335=$O281)*($AL$5:$AL$335=1)*($AP$5:$AP$335&lt;&gt;"Excluir")*(($AK$5:$AK$335&gt;$AK281)+(($AK$5:$AK$335=$AK281)*(ROW($O$5:$O$335)&lt;ROW()))))=0,1,0))</f>
        <v>0</v>
      </c>
      <c r="AO281" s="20" t="str">
        <f>IF(AN281=0,"",1+SUMPRODUCT(($B$5:$B$335=$B281)*($AN$5:$AN$335=1)*(($AK$5:$AK$335&gt;$AK281)+(($AK$5:$AK$335=$AK281)*(ROW($B$5:$B$335)&lt;ROW())))))</f>
        <v/>
      </c>
      <c r="AP281" s="22" t="s">
        <v>131</v>
      </c>
      <c r="AQ281" s="20">
        <f>IF(INDEX('01_Criterios'!$C$26:$C$36,MATCH($B281,'01_Criterios'!$B$26:$B$36,0))&lt;&gt;1,0,IF($AP281="Excluir",0,IF($AP281="Incluir",IF(AND(OR($F281="+",$F281="-"),ISNUMBER($G281),ISNUMBER($H281),COUNT($Q281:$AA281)&gt;0),1,0),IF('01_Criterios'!$C$18="Automática",IF(AND($AN281=1,$AO281&lt;&gt;"",$AO281&lt;=INDEX('01_Criterios'!$E$26:$E$36,MATCH($B281,'01_Criterios'!$B$26:$B$36,0))),1,0),0))))</f>
        <v>0</v>
      </c>
      <c r="AR281" s="20" t="str">
        <f>IF(AQ281=0,"",IF($AO281&lt;&gt;"",1+SUMPRODUCT(($B$5:$B$335=$B281)*($AQ$5:$AQ$335=1)*($AO$5:$AO$335&lt;$AO281)),1+SUMPRODUCT(($B$5:$B$335=$B281)*($AQ$5:$AQ$335=1)*ISNUMBER($AO$5:$AO$335))+SUMPRODUCT(($B$5:$B$335=$B281)*($AQ$5:$AQ$335=1)*($AO$5:$AO$335="")*(ROW($AO$5:$AO$335)&lt;ROW()))))</f>
        <v/>
      </c>
      <c r="AS281" s="24" t="s">
        <v>1503</v>
      </c>
    </row>
    <row r="282" spans="1:45">
      <c r="A282" s="25" t="s">
        <v>1504</v>
      </c>
      <c r="B282" s="26" t="s">
        <v>84</v>
      </c>
      <c r="C282" s="26" t="s">
        <v>1421</v>
      </c>
      <c r="D282" s="26" t="s">
        <v>1505</v>
      </c>
      <c r="E282" s="25" t="s">
        <v>579</v>
      </c>
      <c r="F282" s="25" t="s">
        <v>126</v>
      </c>
      <c r="G282" s="25">
        <v>0</v>
      </c>
      <c r="H282" s="25">
        <v>1</v>
      </c>
      <c r="I282" s="25">
        <v>0.5</v>
      </c>
      <c r="J282" s="22">
        <v>1</v>
      </c>
      <c r="K282" s="26" t="s">
        <v>1423</v>
      </c>
      <c r="L282" s="25" t="s">
        <v>1506</v>
      </c>
      <c r="M282" s="26" t="s">
        <v>254</v>
      </c>
      <c r="N282" s="25">
        <v>0</v>
      </c>
      <c r="O282" s="26" t="s">
        <v>1425</v>
      </c>
      <c r="P282" s="25" t="s">
        <v>180</v>
      </c>
      <c r="Q282" s="27">
        <v>0.21199999999999999</v>
      </c>
      <c r="R282" s="27">
        <v>0.24</v>
      </c>
      <c r="S282" s="27">
        <v>0.24199999999999999</v>
      </c>
      <c r="T282" s="27">
        <v>0.254</v>
      </c>
      <c r="U282" s="27">
        <v>0.25800000000000001</v>
      </c>
      <c r="V282" s="27">
        <v>0.26100000000000001</v>
      </c>
      <c r="W282" s="27">
        <v>0.26800000000000002</v>
      </c>
      <c r="X282" s="27">
        <v>0.27200000000000002</v>
      </c>
      <c r="Y282" s="27">
        <v>0.27300000000000002</v>
      </c>
      <c r="Z282" s="27"/>
      <c r="AA282" s="27"/>
      <c r="AB282" s="25">
        <f>COUNT(Q282:AA282)</f>
        <v>9</v>
      </c>
      <c r="AC282" s="28">
        <f>AB282/11</f>
        <v>0.81818181818181823</v>
      </c>
      <c r="AD282" s="25">
        <f>IFERROR(INDEX($Q$4:$AA$4,MATCH(TRUE,INDEX(ISNUMBER(Q282:AA282),0),0)),"")</f>
        <v>2015</v>
      </c>
      <c r="AE282" s="25">
        <f>IFERROR(LOOKUP(2,1/ISNUMBER(Q282:AA282),$Q$4:$AA$4),"")</f>
        <v>2023</v>
      </c>
      <c r="AF282" s="28">
        <f>IF(AB282=0,"",AB282/(AE282-AD282+1))</f>
        <v>1</v>
      </c>
      <c r="AG282" s="25">
        <f>IF(AB282=0,"",'01_Criterios'!$C$8-AE282)</f>
        <v>2</v>
      </c>
      <c r="AH282" s="29">
        <f>IF(P282="Em uso",100,IF(P282="Alta",85,IF(P282="Média",55,30)))</f>
        <v>55</v>
      </c>
      <c r="AI282" s="29">
        <f>ROUND(100*AC282,1)</f>
        <v>81.8</v>
      </c>
      <c r="AJ282" s="29">
        <f>IF(AB282=0,0,ROUND(MAX(0,100*AF282-10*AG282),1))</f>
        <v>80</v>
      </c>
      <c r="AK282" s="29">
        <f>ROUND(('01_Criterios'!$C$19*AH282+'01_Criterios'!$C$20*AI282+'01_Criterios'!$C$21*AJ282)/('01_Criterios'!$C$19+'01_Criterios'!$C$20+'01_Criterios'!$C$21)+N282*'01_Criterios'!$C$22,1)</f>
        <v>70.599999999999994</v>
      </c>
      <c r="AL282" s="25">
        <f>IF(AND(AB282&gt;=3,AC282&gt;='01_Criterios'!$C$11,N(AE282)&gt;='01_Criterios'!$C$12,OR(F282="+",F282="-"),ISNUMBER(G282),ISNUMBER(H282)),1,0)</f>
        <v>1</v>
      </c>
      <c r="AM282" s="30" t="str">
        <f>IF(AL282=1,"",TRIM(IF(AB282=0,"sem dados no período; ",IF(AB282&lt;3,"série demasiado curta; ",""))&amp;IF(AND(AB282&gt;0,AC282&lt;'01_Criterios'!$C$11),"cobertura insuficiente; ","")&amp;IF(AND(AB282&gt;0,N(AE282)&lt;'01_Criterios'!$C$12),"desactualizado; ","")&amp;IF(AND(F282&lt;&gt;"+",F282&lt;&gt;"-"),"sentido ambíguo; ","")&amp;IF(OR(NOT(ISNUMBER(G282)),NOT(ISNUMBER(H282))),"sem limites min/max; ","")))</f>
        <v/>
      </c>
      <c r="AN282" s="25">
        <f>IF(OR(AL282=0,$AP282="Excluir"),0,IF(SUMPRODUCT(($O$5:$O$335=$O282)*($AL$5:$AL$335=1)*($AP$5:$AP$335&lt;&gt;"Excluir")*(($AK$5:$AK$335&gt;$AK282)+(($AK$5:$AK$335=$AK282)*(ROW($O$5:$O$335)&lt;ROW()))))=0,1,0))</f>
        <v>0</v>
      </c>
      <c r="AO282" s="25" t="str">
        <f>IF(AN282=0,"",1+SUMPRODUCT(($B$5:$B$335=$B282)*($AN$5:$AN$335=1)*(($AK$5:$AK$335&gt;$AK282)+(($AK$5:$AK$335=$AK282)*(ROW($B$5:$B$335)&lt;ROW())))))</f>
        <v/>
      </c>
      <c r="AP282" s="22" t="s">
        <v>131</v>
      </c>
      <c r="AQ282" s="25">
        <f>IF(INDEX('01_Criterios'!$C$26:$C$36,MATCH($B282,'01_Criterios'!$B$26:$B$36,0))&lt;&gt;1,0,IF($AP282="Excluir",0,IF($AP282="Incluir",IF(AND(OR($F282="+",$F282="-"),ISNUMBER($G282),ISNUMBER($H282),COUNT($Q282:$AA282)&gt;0),1,0),IF('01_Criterios'!$C$18="Automática",IF(AND($AN282=1,$AO282&lt;&gt;"",$AO282&lt;=INDEX('01_Criterios'!$E$26:$E$36,MATCH($B282,'01_Criterios'!$B$26:$B$36,0))),1,0),0))))</f>
        <v>0</v>
      </c>
      <c r="AR282" s="25" t="str">
        <f>IF(AQ282=0,"",IF($AO282&lt;&gt;"",1+SUMPRODUCT(($B$5:$B$335=$B282)*($AQ$5:$AQ$335=1)*($AO$5:$AO$335&lt;$AO282)),1+SUMPRODUCT(($B$5:$B$335=$B282)*($AQ$5:$AQ$335=1)*ISNUMBER($AO$5:$AO$335))+SUMPRODUCT(($B$5:$B$335=$B282)*($AQ$5:$AQ$335=1)*($AO$5:$AO$335="")*(ROW($AO$5:$AO$335)&lt;ROW()))))</f>
        <v/>
      </c>
      <c r="AS282" s="24" t="s">
        <v>1507</v>
      </c>
    </row>
    <row r="283" spans="1:45">
      <c r="A283" s="20" t="s">
        <v>1508</v>
      </c>
      <c r="B283" s="21" t="s">
        <v>84</v>
      </c>
      <c r="C283" s="21" t="s">
        <v>1438</v>
      </c>
      <c r="D283" s="21" t="s">
        <v>1509</v>
      </c>
      <c r="E283" s="20" t="s">
        <v>1510</v>
      </c>
      <c r="F283" s="20" t="s">
        <v>158</v>
      </c>
      <c r="G283" s="20">
        <v>0</v>
      </c>
      <c r="H283" s="20">
        <v>100</v>
      </c>
      <c r="I283" s="20">
        <v>20</v>
      </c>
      <c r="J283" s="22">
        <v>1</v>
      </c>
      <c r="K283" s="21" t="s">
        <v>1511</v>
      </c>
      <c r="L283" s="20" t="s">
        <v>1512</v>
      </c>
      <c r="M283" s="21" t="s">
        <v>161</v>
      </c>
      <c r="N283" s="20">
        <v>0</v>
      </c>
      <c r="O283" s="21" t="s">
        <v>1442</v>
      </c>
      <c r="P283" s="20" t="s">
        <v>180</v>
      </c>
      <c r="Q283" s="6">
        <v>0.47682432432432398</v>
      </c>
      <c r="R283" s="6">
        <v>0.47682432432432398</v>
      </c>
      <c r="S283" s="6">
        <v>0.47682432432432398</v>
      </c>
      <c r="T283" s="6">
        <v>0.47682432432432398</v>
      </c>
      <c r="U283" s="6">
        <v>0.47682432432432398</v>
      </c>
      <c r="V283" s="6">
        <v>0.47682432432432398</v>
      </c>
      <c r="W283" s="6">
        <v>0.47682432432432398</v>
      </c>
      <c r="X283" s="6">
        <v>0.47682432432432398</v>
      </c>
      <c r="Y283" s="6"/>
      <c r="Z283" s="6"/>
      <c r="AA283" s="6"/>
      <c r="AB283" s="20">
        <f>COUNT(Q283:AA283)</f>
        <v>8</v>
      </c>
      <c r="AC283" s="23">
        <f>AB283/11</f>
        <v>0.72727272727272729</v>
      </c>
      <c r="AD283" s="20">
        <f>IFERROR(INDEX($Q$4:$AA$4,MATCH(TRUE,INDEX(ISNUMBER(Q283:AA283),0),0)),"")</f>
        <v>2015</v>
      </c>
      <c r="AE283" s="20">
        <f>IFERROR(LOOKUP(2,1/ISNUMBER(Q283:AA283),$Q$4:$AA$4),"")</f>
        <v>2022</v>
      </c>
      <c r="AF283" s="23">
        <f>IF(AB283=0,"",AB283/(AE283-AD283+1))</f>
        <v>1</v>
      </c>
      <c r="AG283" s="20">
        <f>IF(AB283=0,"",'01_Criterios'!$C$8-AE283)</f>
        <v>3</v>
      </c>
      <c r="AH283" s="7">
        <f>IF(P283="Em uso",100,IF(P283="Alta",85,IF(P283="Média",55,30)))</f>
        <v>55</v>
      </c>
      <c r="AI283" s="7">
        <f>ROUND(100*AC283,1)</f>
        <v>72.7</v>
      </c>
      <c r="AJ283" s="7">
        <f>IF(AB283=0,0,ROUND(MAX(0,100*AF283-10*AG283),1))</f>
        <v>70</v>
      </c>
      <c r="AK283" s="7">
        <f>ROUND(('01_Criterios'!$C$19*AH283+'01_Criterios'!$C$20*AI283+'01_Criterios'!$C$21*AJ283)/('01_Criterios'!$C$19+'01_Criterios'!$C$20+'01_Criterios'!$C$21)+N283*'01_Criterios'!$C$22,1)</f>
        <v>64.900000000000006</v>
      </c>
      <c r="AL283" s="20">
        <f>IF(AND(AB283&gt;=3,AC283&gt;='01_Criterios'!$C$11,N(AE283)&gt;='01_Criterios'!$C$12,OR(F283="+",F283="-"),ISNUMBER(G283),ISNUMBER(H283)),1,0)</f>
        <v>0</v>
      </c>
      <c r="AM283" s="24" t="str">
        <f>IF(AL283=1,"",TRIM(IF(AB283=0,"sem dados no período; ",IF(AB283&lt;3,"série demasiado curta; ",""))&amp;IF(AND(AB283&gt;0,AC283&lt;'01_Criterios'!$C$11),"cobertura insuficiente; ","")&amp;IF(AND(AB283&gt;0,N(AE283)&lt;'01_Criterios'!$C$12),"desactualizado; ","")&amp;IF(AND(F283&lt;&gt;"+",F283&lt;&gt;"-"),"sentido ambíguo; ","")&amp;IF(OR(NOT(ISNUMBER(G283)),NOT(ISNUMBER(H283))),"sem limites min/max; ","")))</f>
        <v>cobertura insuficiente; desactualizado;</v>
      </c>
      <c r="AN283" s="20">
        <f>IF(OR(AL283=0,$AP283="Excluir"),0,IF(SUMPRODUCT(($O$5:$O$335=$O283)*($AL$5:$AL$335=1)*($AP$5:$AP$335&lt;&gt;"Excluir")*(($AK$5:$AK$335&gt;$AK283)+(($AK$5:$AK$335=$AK283)*(ROW($O$5:$O$335)&lt;ROW()))))=0,1,0))</f>
        <v>0</v>
      </c>
      <c r="AO283" s="20" t="str">
        <f>IF(AN283=0,"",1+SUMPRODUCT(($B$5:$B$335=$B283)*($AN$5:$AN$335=1)*(($AK$5:$AK$335&gt;$AK283)+(($AK$5:$AK$335=$AK283)*(ROW($B$5:$B$335)&lt;ROW())))))</f>
        <v/>
      </c>
      <c r="AP283" s="22" t="s">
        <v>131</v>
      </c>
      <c r="AQ283" s="20">
        <f>IF(INDEX('01_Criterios'!$C$26:$C$36,MATCH($B283,'01_Criterios'!$B$26:$B$36,0))&lt;&gt;1,0,IF($AP283="Excluir",0,IF($AP283="Incluir",IF(AND(OR($F283="+",$F283="-"),ISNUMBER($G283),ISNUMBER($H283),COUNT($Q283:$AA283)&gt;0),1,0),IF('01_Criterios'!$C$18="Automática",IF(AND($AN283=1,$AO283&lt;&gt;"",$AO283&lt;=INDEX('01_Criterios'!$E$26:$E$36,MATCH($B283,'01_Criterios'!$B$26:$B$36,0))),1,0),0))))</f>
        <v>0</v>
      </c>
      <c r="AR283" s="20" t="str">
        <f>IF(AQ283=0,"",IF($AO283&lt;&gt;"",1+SUMPRODUCT(($B$5:$B$335=$B283)*($AQ$5:$AQ$335=1)*($AO$5:$AO$335&lt;$AO283)),1+SUMPRODUCT(($B$5:$B$335=$B283)*($AQ$5:$AQ$335=1)*ISNUMBER($AO$5:$AO$335))+SUMPRODUCT(($B$5:$B$335=$B283)*($AQ$5:$AQ$335=1)*($AO$5:$AO$335="")*(ROW($AO$5:$AO$335)&lt;ROW()))))</f>
        <v/>
      </c>
      <c r="AS283" s="24" t="s">
        <v>1513</v>
      </c>
    </row>
    <row r="284" spans="1:45">
      <c r="A284" s="25" t="s">
        <v>1514</v>
      </c>
      <c r="B284" s="26" t="s">
        <v>84</v>
      </c>
      <c r="C284" s="26" t="s">
        <v>882</v>
      </c>
      <c r="D284" s="26" t="s">
        <v>1515</v>
      </c>
      <c r="E284" s="25" t="s">
        <v>742</v>
      </c>
      <c r="F284" s="25" t="s">
        <v>158</v>
      </c>
      <c r="G284" s="25">
        <v>0</v>
      </c>
      <c r="H284" s="25">
        <v>100</v>
      </c>
      <c r="I284" s="25">
        <v>5</v>
      </c>
      <c r="J284" s="22">
        <v>1</v>
      </c>
      <c r="K284" s="26" t="s">
        <v>952</v>
      </c>
      <c r="L284" s="25" t="s">
        <v>1516</v>
      </c>
      <c r="M284" s="26" t="s">
        <v>161</v>
      </c>
      <c r="N284" s="25">
        <v>0</v>
      </c>
      <c r="O284" s="26" t="s">
        <v>912</v>
      </c>
      <c r="P284" s="25" t="s">
        <v>180</v>
      </c>
      <c r="Q284" s="27">
        <v>28.144462837178398</v>
      </c>
      <c r="R284" s="27">
        <v>27.848771939298</v>
      </c>
      <c r="S284" s="27">
        <v>27.540727187045299</v>
      </c>
      <c r="T284" s="27">
        <v>27.222045112776801</v>
      </c>
      <c r="U284" s="27">
        <v>26.834509735464501</v>
      </c>
      <c r="V284" s="27">
        <v>26.455742206259099</v>
      </c>
      <c r="W284" s="27">
        <v>26.084576486195001</v>
      </c>
      <c r="X284" s="27">
        <v>25.7215935286929</v>
      </c>
      <c r="Y284" s="27"/>
      <c r="Z284" s="27"/>
      <c r="AA284" s="27"/>
      <c r="AB284" s="25">
        <f>COUNT(Q284:AA284)</f>
        <v>8</v>
      </c>
      <c r="AC284" s="28">
        <f>AB284/11</f>
        <v>0.72727272727272729</v>
      </c>
      <c r="AD284" s="25">
        <f>IFERROR(INDEX($Q$4:$AA$4,MATCH(TRUE,INDEX(ISNUMBER(Q284:AA284),0),0)),"")</f>
        <v>2015</v>
      </c>
      <c r="AE284" s="25">
        <f>IFERROR(LOOKUP(2,1/ISNUMBER(Q284:AA284),$Q$4:$AA$4),"")</f>
        <v>2022</v>
      </c>
      <c r="AF284" s="28">
        <f>IF(AB284=0,"",AB284/(AE284-AD284+1))</f>
        <v>1</v>
      </c>
      <c r="AG284" s="25">
        <f>IF(AB284=0,"",'01_Criterios'!$C$8-AE284)</f>
        <v>3</v>
      </c>
      <c r="AH284" s="29">
        <f>IF(P284="Em uso",100,IF(P284="Alta",85,IF(P284="Média",55,30)))</f>
        <v>55</v>
      </c>
      <c r="AI284" s="29">
        <f>ROUND(100*AC284,1)</f>
        <v>72.7</v>
      </c>
      <c r="AJ284" s="29">
        <f>IF(AB284=0,0,ROUND(MAX(0,100*AF284-10*AG284),1))</f>
        <v>70</v>
      </c>
      <c r="AK284" s="29">
        <f>ROUND(('01_Criterios'!$C$19*AH284+'01_Criterios'!$C$20*AI284+'01_Criterios'!$C$21*AJ284)/('01_Criterios'!$C$19+'01_Criterios'!$C$20+'01_Criterios'!$C$21)+N284*'01_Criterios'!$C$22,1)</f>
        <v>64.900000000000006</v>
      </c>
      <c r="AL284" s="25">
        <f>IF(AND(AB284&gt;=3,AC284&gt;='01_Criterios'!$C$11,N(AE284)&gt;='01_Criterios'!$C$12,OR(F284="+",F284="-"),ISNUMBER(G284),ISNUMBER(H284)),1,0)</f>
        <v>0</v>
      </c>
      <c r="AM284" s="30" t="str">
        <f>IF(AL284=1,"",TRIM(IF(AB284=0,"sem dados no período; ",IF(AB284&lt;3,"série demasiado curta; ",""))&amp;IF(AND(AB284&gt;0,AC284&lt;'01_Criterios'!$C$11),"cobertura insuficiente; ","")&amp;IF(AND(AB284&gt;0,N(AE284)&lt;'01_Criterios'!$C$12),"desactualizado; ","")&amp;IF(AND(F284&lt;&gt;"+",F284&lt;&gt;"-"),"sentido ambíguo; ","")&amp;IF(OR(NOT(ISNUMBER(G284)),NOT(ISNUMBER(H284))),"sem limites min/max; ","")))</f>
        <v>cobertura insuficiente; desactualizado;</v>
      </c>
      <c r="AN284" s="25">
        <f>IF(OR(AL284=0,$AP284="Excluir"),0,IF(SUMPRODUCT(($O$5:$O$335=$O284)*($AL$5:$AL$335=1)*($AP$5:$AP$335&lt;&gt;"Excluir")*(($AK$5:$AK$335&gt;$AK284)+(($AK$5:$AK$335=$AK284)*(ROW($O$5:$O$335)&lt;ROW()))))=0,1,0))</f>
        <v>0</v>
      </c>
      <c r="AO284" s="25" t="str">
        <f>IF(AN284=0,"",1+SUMPRODUCT(($B$5:$B$335=$B284)*($AN$5:$AN$335=1)*(($AK$5:$AK$335&gt;$AK284)+(($AK$5:$AK$335=$AK284)*(ROW($B$5:$B$335)&lt;ROW())))))</f>
        <v/>
      </c>
      <c r="AP284" s="22" t="s">
        <v>131</v>
      </c>
      <c r="AQ284" s="25">
        <f>IF(INDEX('01_Criterios'!$C$26:$C$36,MATCH($B284,'01_Criterios'!$B$26:$B$36,0))&lt;&gt;1,0,IF($AP284="Excluir",0,IF($AP284="Incluir",IF(AND(OR($F284="+",$F284="-"),ISNUMBER($G284),ISNUMBER($H284),COUNT($Q284:$AA284)&gt;0),1,0),IF('01_Criterios'!$C$18="Automática",IF(AND($AN284=1,$AO284&lt;&gt;"",$AO284&lt;=INDEX('01_Criterios'!$E$26:$E$36,MATCH($B284,'01_Criterios'!$B$26:$B$36,0))),1,0),0))))</f>
        <v>0</v>
      </c>
      <c r="AR284" s="25" t="str">
        <f>IF(AQ284=0,"",IF($AO284&lt;&gt;"",1+SUMPRODUCT(($B$5:$B$335=$B284)*($AQ$5:$AQ$335=1)*($AO$5:$AO$335&lt;$AO284)),1+SUMPRODUCT(($B$5:$B$335=$B284)*($AQ$5:$AQ$335=1)*ISNUMBER($AO$5:$AO$335))+SUMPRODUCT(($B$5:$B$335=$B284)*($AQ$5:$AQ$335=1)*($AO$5:$AO$335="")*(ROW($AO$5:$AO$335)&lt;ROW()))))</f>
        <v/>
      </c>
      <c r="AS284" s="24" t="s">
        <v>1517</v>
      </c>
    </row>
    <row r="285" spans="1:45">
      <c r="A285" s="20" t="s">
        <v>1518</v>
      </c>
      <c r="B285" s="21" t="s">
        <v>84</v>
      </c>
      <c r="C285" s="21" t="s">
        <v>1461</v>
      </c>
      <c r="D285" s="21" t="s">
        <v>1519</v>
      </c>
      <c r="E285" s="20" t="s">
        <v>1520</v>
      </c>
      <c r="F285" s="20" t="s">
        <v>158</v>
      </c>
      <c r="G285" s="20">
        <v>56.2</v>
      </c>
      <c r="H285" s="20">
        <v>87.1</v>
      </c>
      <c r="I285" s="20"/>
      <c r="J285" s="22">
        <v>1</v>
      </c>
      <c r="K285" s="21" t="s">
        <v>204</v>
      </c>
      <c r="L285" s="20" t="s">
        <v>1521</v>
      </c>
      <c r="M285" s="21" t="s">
        <v>161</v>
      </c>
      <c r="N285" s="20">
        <v>0</v>
      </c>
      <c r="O285" s="21" t="s">
        <v>1465</v>
      </c>
      <c r="P285" s="20" t="s">
        <v>268</v>
      </c>
      <c r="Q285" s="6">
        <v>83.536900000000003</v>
      </c>
      <c r="R285" s="6">
        <v>80.625500000000002</v>
      </c>
      <c r="S285" s="6">
        <v>75.433599999999998</v>
      </c>
      <c r="T285" s="6">
        <v>70.465100000000007</v>
      </c>
      <c r="U285" s="6">
        <v>71.208699999999993</v>
      </c>
      <c r="V285" s="6">
        <v>63.159199999999998</v>
      </c>
      <c r="W285" s="6">
        <v>66.601900000000001</v>
      </c>
      <c r="X285" s="6">
        <v>68.035200000000003</v>
      </c>
      <c r="Y285" s="6">
        <v>68.280799999999999</v>
      </c>
      <c r="Z285" s="6">
        <v>69.922899999999998</v>
      </c>
      <c r="AA285" s="6"/>
      <c r="AB285" s="20">
        <f>COUNT(Q285:AA285)</f>
        <v>10</v>
      </c>
      <c r="AC285" s="23">
        <f>AB285/11</f>
        <v>0.90909090909090906</v>
      </c>
      <c r="AD285" s="20">
        <f>IFERROR(INDEX($Q$4:$AA$4,MATCH(TRUE,INDEX(ISNUMBER(Q285:AA285),0),0)),"")</f>
        <v>2015</v>
      </c>
      <c r="AE285" s="20">
        <f>IFERROR(LOOKUP(2,1/ISNUMBER(Q285:AA285),$Q$4:$AA$4),"")</f>
        <v>2024</v>
      </c>
      <c r="AF285" s="23">
        <f>IF(AB285=0,"",AB285/(AE285-AD285+1))</f>
        <v>1</v>
      </c>
      <c r="AG285" s="20">
        <f>IF(AB285=0,"",'01_Criterios'!$C$8-AE285)</f>
        <v>1</v>
      </c>
      <c r="AH285" s="7">
        <f>IF(P285="Em uso",100,IF(P285="Alta",85,IF(P285="Média",55,30)))</f>
        <v>30</v>
      </c>
      <c r="AI285" s="7">
        <f>ROUND(100*AC285,1)</f>
        <v>90.9</v>
      </c>
      <c r="AJ285" s="7">
        <f>IF(AB285=0,0,ROUND(MAX(0,100*AF285-10*AG285),1))</f>
        <v>90</v>
      </c>
      <c r="AK285" s="7">
        <f>ROUND(('01_Criterios'!$C$19*AH285+'01_Criterios'!$C$20*AI285+'01_Criterios'!$C$21*AJ285)/('01_Criterios'!$C$19+'01_Criterios'!$C$20+'01_Criterios'!$C$21)+N285*'01_Criterios'!$C$22,1)</f>
        <v>66.3</v>
      </c>
      <c r="AL285" s="20">
        <f>IF(AND(AB285&gt;=3,AC285&gt;='01_Criterios'!$C$11,N(AE285)&gt;='01_Criterios'!$C$12,OR(F285="+",F285="-"),ISNUMBER(G285),ISNUMBER(H285)),1,0)</f>
        <v>1</v>
      </c>
      <c r="AM285" s="24" t="str">
        <f>IF(AL285=1,"",TRIM(IF(AB285=0,"sem dados no período; ",IF(AB285&lt;3,"série demasiado curta; ",""))&amp;IF(AND(AB285&gt;0,AC285&lt;'01_Criterios'!$C$11),"cobertura insuficiente; ","")&amp;IF(AND(AB285&gt;0,N(AE285)&lt;'01_Criterios'!$C$12),"desactualizado; ","")&amp;IF(AND(F285&lt;&gt;"+",F285&lt;&gt;"-"),"sentido ambíguo; ","")&amp;IF(OR(NOT(ISNUMBER(G285)),NOT(ISNUMBER(H285))),"sem limites min/max; ","")))</f>
        <v/>
      </c>
      <c r="AN285" s="20">
        <f>IF(OR(AL285=0,$AP285="Excluir"),0,IF(SUMPRODUCT(($O$5:$O$335=$O285)*($AL$5:$AL$335=1)*($AP$5:$AP$335&lt;&gt;"Excluir")*(($AK$5:$AK$335&gt;$AK285)+(($AK$5:$AK$335=$AK285)*(ROW($O$5:$O$335)&lt;ROW()))))=0,1,0))</f>
        <v>0</v>
      </c>
      <c r="AO285" s="20" t="str">
        <f>IF(AN285=0,"",1+SUMPRODUCT(($B$5:$B$335=$B285)*($AN$5:$AN$335=1)*(($AK$5:$AK$335&gt;$AK285)+(($AK$5:$AK$335=$AK285)*(ROW($B$5:$B$335)&lt;ROW())))))</f>
        <v/>
      </c>
      <c r="AP285" s="22" t="s">
        <v>131</v>
      </c>
      <c r="AQ285" s="20">
        <f>IF(INDEX('01_Criterios'!$C$26:$C$36,MATCH($B285,'01_Criterios'!$B$26:$B$36,0))&lt;&gt;1,0,IF($AP285="Excluir",0,IF($AP285="Incluir",IF(AND(OR($F285="+",$F285="-"),ISNUMBER($G285),ISNUMBER($H285),COUNT($Q285:$AA285)&gt;0),1,0),IF('01_Criterios'!$C$18="Automática",IF(AND($AN285=1,$AO285&lt;&gt;"",$AO285&lt;=INDEX('01_Criterios'!$E$26:$E$36,MATCH($B285,'01_Criterios'!$B$26:$B$36,0))),1,0),0))))</f>
        <v>0</v>
      </c>
      <c r="AR285" s="20" t="str">
        <f>IF(AQ285=0,"",IF($AO285&lt;&gt;"",1+SUMPRODUCT(($B$5:$B$335=$B285)*($AQ$5:$AQ$335=1)*($AO$5:$AO$335&lt;$AO285)),1+SUMPRODUCT(($B$5:$B$335=$B285)*($AQ$5:$AQ$335=1)*ISNUMBER($AO$5:$AO$335))+SUMPRODUCT(($B$5:$B$335=$B285)*($AQ$5:$AQ$335=1)*($AO$5:$AO$335="")*(ROW($AO$5:$AO$335)&lt;ROW()))))</f>
        <v/>
      </c>
      <c r="AS285" s="24" t="s">
        <v>1522</v>
      </c>
    </row>
    <row r="286" spans="1:45">
      <c r="A286" s="25" t="s">
        <v>1523</v>
      </c>
      <c r="B286" s="26" t="s">
        <v>84</v>
      </c>
      <c r="C286" s="26" t="s">
        <v>1438</v>
      </c>
      <c r="D286" s="26" t="s">
        <v>1524</v>
      </c>
      <c r="E286" s="25" t="s">
        <v>1525</v>
      </c>
      <c r="F286" s="25" t="s">
        <v>126</v>
      </c>
      <c r="G286" s="25">
        <v>3410</v>
      </c>
      <c r="H286" s="25">
        <v>9890</v>
      </c>
      <c r="I286" s="25"/>
      <c r="J286" s="22">
        <v>1</v>
      </c>
      <c r="K286" s="26" t="s">
        <v>204</v>
      </c>
      <c r="L286" s="25" t="s">
        <v>1526</v>
      </c>
      <c r="M286" s="26" t="s">
        <v>161</v>
      </c>
      <c r="N286" s="25">
        <v>0</v>
      </c>
      <c r="O286" s="26" t="s">
        <v>1523</v>
      </c>
      <c r="P286" s="25" t="s">
        <v>268</v>
      </c>
      <c r="Q286" s="27">
        <v>5256.0928237357202</v>
      </c>
      <c r="R286" s="27">
        <v>5071.4335400627797</v>
      </c>
      <c r="S286" s="27">
        <v>4895.0153166021501</v>
      </c>
      <c r="T286" s="27">
        <v>4728.8643328762601</v>
      </c>
      <c r="U286" s="27">
        <v>4571.3393332367996</v>
      </c>
      <c r="V286" s="27">
        <v>4424.3644729272501</v>
      </c>
      <c r="W286" s="27">
        <v>4285.8265197620503</v>
      </c>
      <c r="X286" s="27">
        <v>4153.2167688147501</v>
      </c>
      <c r="Y286" s="27"/>
      <c r="Z286" s="27"/>
      <c r="AA286" s="27"/>
      <c r="AB286" s="25">
        <f>COUNT(Q286:AA286)</f>
        <v>8</v>
      </c>
      <c r="AC286" s="28">
        <f>AB286/11</f>
        <v>0.72727272727272729</v>
      </c>
      <c r="AD286" s="25">
        <f>IFERROR(INDEX($Q$4:$AA$4,MATCH(TRUE,INDEX(ISNUMBER(Q286:AA286),0),0)),"")</f>
        <v>2015</v>
      </c>
      <c r="AE286" s="25">
        <f>IFERROR(LOOKUP(2,1/ISNUMBER(Q286:AA286),$Q$4:$AA$4),"")</f>
        <v>2022</v>
      </c>
      <c r="AF286" s="28">
        <f>IF(AB286=0,"",AB286/(AE286-AD286+1))</f>
        <v>1</v>
      </c>
      <c r="AG286" s="25">
        <f>IF(AB286=0,"",'01_Criterios'!$C$8-AE286)</f>
        <v>3</v>
      </c>
      <c r="AH286" s="29">
        <f>IF(P286="Em uso",100,IF(P286="Alta",85,IF(P286="Média",55,30)))</f>
        <v>30</v>
      </c>
      <c r="AI286" s="29">
        <f>ROUND(100*AC286,1)</f>
        <v>72.7</v>
      </c>
      <c r="AJ286" s="29">
        <f>IF(AB286=0,0,ROUND(MAX(0,100*AF286-10*AG286),1))</f>
        <v>70</v>
      </c>
      <c r="AK286" s="29">
        <f>ROUND(('01_Criterios'!$C$19*AH286+'01_Criterios'!$C$20*AI286+'01_Criterios'!$C$21*AJ286)/('01_Criterios'!$C$19+'01_Criterios'!$C$20+'01_Criterios'!$C$21)+N286*'01_Criterios'!$C$22,1)</f>
        <v>54.9</v>
      </c>
      <c r="AL286" s="25">
        <f>IF(AND(AB286&gt;=3,AC286&gt;='01_Criterios'!$C$11,N(AE286)&gt;='01_Criterios'!$C$12,OR(F286="+",F286="-"),ISNUMBER(G286),ISNUMBER(H286)),1,0)</f>
        <v>0</v>
      </c>
      <c r="AM286" s="30" t="str">
        <f>IF(AL286=1,"",TRIM(IF(AB286=0,"sem dados no período; ",IF(AB286&lt;3,"série demasiado curta; ",""))&amp;IF(AND(AB286&gt;0,AC286&lt;'01_Criterios'!$C$11),"cobertura insuficiente; ","")&amp;IF(AND(AB286&gt;0,N(AE286)&lt;'01_Criterios'!$C$12),"desactualizado; ","")&amp;IF(AND(F286&lt;&gt;"+",F286&lt;&gt;"-"),"sentido ambíguo; ","")&amp;IF(OR(NOT(ISNUMBER(G286)),NOT(ISNUMBER(H286))),"sem limites min/max; ","")))</f>
        <v>cobertura insuficiente; desactualizado;</v>
      </c>
      <c r="AN286" s="25">
        <f>IF(OR(AL286=0,$AP286="Excluir"),0,IF(SUMPRODUCT(($O$5:$O$335=$O286)*($AL$5:$AL$335=1)*($AP$5:$AP$335&lt;&gt;"Excluir")*(($AK$5:$AK$335&gt;$AK286)+(($AK$5:$AK$335=$AK286)*(ROW($O$5:$O$335)&lt;ROW()))))=0,1,0))</f>
        <v>0</v>
      </c>
      <c r="AO286" s="25" t="str">
        <f>IF(AN286=0,"",1+SUMPRODUCT(($B$5:$B$335=$B286)*($AN$5:$AN$335=1)*(($AK$5:$AK$335&gt;$AK286)+(($AK$5:$AK$335=$AK286)*(ROW($B$5:$B$335)&lt;ROW())))))</f>
        <v/>
      </c>
      <c r="AP286" s="22" t="s">
        <v>131</v>
      </c>
      <c r="AQ286" s="25">
        <f>IF(INDEX('01_Criterios'!$C$26:$C$36,MATCH($B286,'01_Criterios'!$B$26:$B$36,0))&lt;&gt;1,0,IF($AP286="Excluir",0,IF($AP286="Incluir",IF(AND(OR($F286="+",$F286="-"),ISNUMBER($G286),ISNUMBER($H286),COUNT($Q286:$AA286)&gt;0),1,0),IF('01_Criterios'!$C$18="Automática",IF(AND($AN286=1,$AO286&lt;&gt;"",$AO286&lt;=INDEX('01_Criterios'!$E$26:$E$36,MATCH($B286,'01_Criterios'!$B$26:$B$36,0))),1,0),0))))</f>
        <v>0</v>
      </c>
      <c r="AR286" s="25" t="str">
        <f>IF(AQ286=0,"",IF($AO286&lt;&gt;"",1+SUMPRODUCT(($B$5:$B$335=$B286)*($AQ$5:$AQ$335=1)*($AO$5:$AO$335&lt;$AO286)),1+SUMPRODUCT(($B$5:$B$335=$B286)*($AQ$5:$AQ$335=1)*ISNUMBER($AO$5:$AO$335))+SUMPRODUCT(($B$5:$B$335=$B286)*($AQ$5:$AQ$335=1)*($AO$5:$AO$335="")*(ROW($AO$5:$AO$335)&lt;ROW()))))</f>
        <v/>
      </c>
      <c r="AS286" s="24" t="s">
        <v>1527</v>
      </c>
    </row>
    <row r="287" spans="1:45">
      <c r="A287" s="20" t="s">
        <v>1528</v>
      </c>
      <c r="B287" s="21" t="s">
        <v>84</v>
      </c>
      <c r="C287" s="21" t="s">
        <v>1529</v>
      </c>
      <c r="D287" s="21" t="s">
        <v>1484</v>
      </c>
      <c r="E287" s="20" t="s">
        <v>1530</v>
      </c>
      <c r="F287" s="20" t="s">
        <v>126</v>
      </c>
      <c r="G287" s="20">
        <v>630000</v>
      </c>
      <c r="H287" s="20">
        <v>796000</v>
      </c>
      <c r="I287" s="20"/>
      <c r="J287" s="22">
        <v>1</v>
      </c>
      <c r="K287" s="21" t="s">
        <v>1187</v>
      </c>
      <c r="L287" s="20" t="s">
        <v>1531</v>
      </c>
      <c r="M287" s="21" t="s">
        <v>161</v>
      </c>
      <c r="N287" s="20">
        <v>0</v>
      </c>
      <c r="O287" s="21" t="s">
        <v>1487</v>
      </c>
      <c r="P287" s="20" t="s">
        <v>268</v>
      </c>
      <c r="Q287" s="6">
        <v>693826.9</v>
      </c>
      <c r="R287" s="6">
        <v>688276.2</v>
      </c>
      <c r="S287" s="6">
        <v>682725.7</v>
      </c>
      <c r="T287" s="6">
        <v>677175.1</v>
      </c>
      <c r="U287" s="6">
        <v>671624.4</v>
      </c>
      <c r="V287" s="6">
        <v>666073.80000000005</v>
      </c>
      <c r="W287" s="6">
        <v>660523.13300000003</v>
      </c>
      <c r="X287" s="6">
        <v>654972.51100000006</v>
      </c>
      <c r="Y287" s="6">
        <v>649421.85900000005</v>
      </c>
      <c r="Z287" s="6"/>
      <c r="AA287" s="6"/>
      <c r="AB287" s="20">
        <f>COUNT(Q287:AA287)</f>
        <v>9</v>
      </c>
      <c r="AC287" s="23">
        <f>AB287/11</f>
        <v>0.81818181818181823</v>
      </c>
      <c r="AD287" s="20">
        <f>IFERROR(INDEX($Q$4:$AA$4,MATCH(TRUE,INDEX(ISNUMBER(Q287:AA287),0),0)),"")</f>
        <v>2015</v>
      </c>
      <c r="AE287" s="20">
        <f>IFERROR(LOOKUP(2,1/ISNUMBER(Q287:AA287),$Q$4:$AA$4),"")</f>
        <v>2023</v>
      </c>
      <c r="AF287" s="23">
        <f>IF(AB287=0,"",AB287/(AE287-AD287+1))</f>
        <v>1</v>
      </c>
      <c r="AG287" s="20">
        <f>IF(AB287=0,"",'01_Criterios'!$C$8-AE287)</f>
        <v>2</v>
      </c>
      <c r="AH287" s="7">
        <f>IF(P287="Em uso",100,IF(P287="Alta",85,IF(P287="Média",55,30)))</f>
        <v>30</v>
      </c>
      <c r="AI287" s="7">
        <f>ROUND(100*AC287,1)</f>
        <v>81.8</v>
      </c>
      <c r="AJ287" s="7">
        <f>IF(AB287=0,0,ROUND(MAX(0,100*AF287-10*AG287),1))</f>
        <v>80</v>
      </c>
      <c r="AK287" s="7">
        <f>ROUND(('01_Criterios'!$C$19*AH287+'01_Criterios'!$C$20*AI287+'01_Criterios'!$C$21*AJ287)/('01_Criterios'!$C$19+'01_Criterios'!$C$20+'01_Criterios'!$C$21)+N287*'01_Criterios'!$C$22,1)</f>
        <v>60.6</v>
      </c>
      <c r="AL287" s="20">
        <f>IF(AND(AB287&gt;=3,AC287&gt;='01_Criterios'!$C$11,N(AE287)&gt;='01_Criterios'!$C$12,OR(F287="+",F287="-"),ISNUMBER(G287),ISNUMBER(H287)),1,0)</f>
        <v>1</v>
      </c>
      <c r="AM287" s="24" t="str">
        <f>IF(AL287=1,"",TRIM(IF(AB287=0,"sem dados no período; ",IF(AB287&lt;3,"série demasiado curta; ",""))&amp;IF(AND(AB287&gt;0,AC287&lt;'01_Criterios'!$C$11),"cobertura insuficiente; ","")&amp;IF(AND(AB287&gt;0,N(AE287)&lt;'01_Criterios'!$C$12),"desactualizado; ","")&amp;IF(AND(F287&lt;&gt;"+",F287&lt;&gt;"-"),"sentido ambíguo; ","")&amp;IF(OR(NOT(ISNUMBER(G287)),NOT(ISNUMBER(H287))),"sem limites min/max; ","")))</f>
        <v/>
      </c>
      <c r="AN287" s="20">
        <f>IF(OR(AL287=0,$AP287="Excluir"),0,IF(SUMPRODUCT(($O$5:$O$335=$O287)*($AL$5:$AL$335=1)*($AP$5:$AP$335&lt;&gt;"Excluir")*(($AK$5:$AK$335&gt;$AK287)+(($AK$5:$AK$335=$AK287)*(ROW($O$5:$O$335)&lt;ROW()))))=0,1,0))</f>
        <v>0</v>
      </c>
      <c r="AO287" s="20" t="str">
        <f>IF(AN287=0,"",1+SUMPRODUCT(($B$5:$B$335=$B287)*($AN$5:$AN$335=1)*(($AK$5:$AK$335&gt;$AK287)+(($AK$5:$AK$335=$AK287)*(ROW($B$5:$B$335)&lt;ROW())))))</f>
        <v/>
      </c>
      <c r="AP287" s="22" t="s">
        <v>131</v>
      </c>
      <c r="AQ287" s="20">
        <f>IF(INDEX('01_Criterios'!$C$26:$C$36,MATCH($B287,'01_Criterios'!$B$26:$B$36,0))&lt;&gt;1,0,IF($AP287="Excluir",0,IF($AP287="Incluir",IF(AND(OR($F287="+",$F287="-"),ISNUMBER($G287),ISNUMBER($H287),COUNT($Q287:$AA287)&gt;0),1,0),IF('01_Criterios'!$C$18="Automática",IF(AND($AN287=1,$AO287&lt;&gt;"",$AO287&lt;=INDEX('01_Criterios'!$E$26:$E$36,MATCH($B287,'01_Criterios'!$B$26:$B$36,0))),1,0),0))))</f>
        <v>0</v>
      </c>
      <c r="AR287" s="20" t="str">
        <f>IF(AQ287=0,"",IF($AO287&lt;&gt;"",1+SUMPRODUCT(($B$5:$B$335=$B287)*($AQ$5:$AQ$335=1)*($AO$5:$AO$335&lt;$AO287)),1+SUMPRODUCT(($B$5:$B$335=$B287)*($AQ$5:$AQ$335=1)*ISNUMBER($AO$5:$AO$335))+SUMPRODUCT(($B$5:$B$335=$B287)*($AQ$5:$AQ$335=1)*($AO$5:$AO$335="")*(ROW($AO$5:$AO$335)&lt;ROW()))))</f>
        <v/>
      </c>
      <c r="AS287" s="24" t="s">
        <v>1532</v>
      </c>
    </row>
    <row r="288" spans="1:45">
      <c r="A288" s="25" t="s">
        <v>1533</v>
      </c>
      <c r="B288" s="26" t="s">
        <v>84</v>
      </c>
      <c r="C288" s="26" t="s">
        <v>1461</v>
      </c>
      <c r="D288" s="26" t="s">
        <v>1534</v>
      </c>
      <c r="E288" s="25" t="s">
        <v>1520</v>
      </c>
      <c r="F288" s="25" t="s">
        <v>158</v>
      </c>
      <c r="G288" s="25">
        <v>13</v>
      </c>
      <c r="H288" s="25">
        <v>35.700000000000003</v>
      </c>
      <c r="I288" s="25"/>
      <c r="J288" s="22">
        <v>1</v>
      </c>
      <c r="K288" s="26" t="s">
        <v>204</v>
      </c>
      <c r="L288" s="25" t="s">
        <v>1535</v>
      </c>
      <c r="M288" s="26" t="s">
        <v>161</v>
      </c>
      <c r="N288" s="25">
        <v>0</v>
      </c>
      <c r="O288" s="26" t="s">
        <v>1465</v>
      </c>
      <c r="P288" s="25" t="s">
        <v>268</v>
      </c>
      <c r="Q288" s="27">
        <v>33.086500000000001</v>
      </c>
      <c r="R288" s="27">
        <v>31.274799999999999</v>
      </c>
      <c r="S288" s="27">
        <v>27.995100000000001</v>
      </c>
      <c r="T288" s="27">
        <v>25.8142</v>
      </c>
      <c r="U288" s="27">
        <v>26.996300000000002</v>
      </c>
      <c r="V288" s="27">
        <v>20.538</v>
      </c>
      <c r="W288" s="27">
        <v>25.5641</v>
      </c>
      <c r="X288" s="27">
        <v>26.683900000000001</v>
      </c>
      <c r="Y288" s="27">
        <v>27.335999999999999</v>
      </c>
      <c r="Z288" s="27">
        <v>28.1004</v>
      </c>
      <c r="AA288" s="27"/>
      <c r="AB288" s="25">
        <f>COUNT(Q288:AA288)</f>
        <v>10</v>
      </c>
      <c r="AC288" s="28">
        <f>AB288/11</f>
        <v>0.90909090909090906</v>
      </c>
      <c r="AD288" s="25">
        <f>IFERROR(INDEX($Q$4:$AA$4,MATCH(TRUE,INDEX(ISNUMBER(Q288:AA288),0),0)),"")</f>
        <v>2015</v>
      </c>
      <c r="AE288" s="25">
        <f>IFERROR(LOOKUP(2,1/ISNUMBER(Q288:AA288),$Q$4:$AA$4),"")</f>
        <v>2024</v>
      </c>
      <c r="AF288" s="28">
        <f>IF(AB288=0,"",AB288/(AE288-AD288+1))</f>
        <v>1</v>
      </c>
      <c r="AG288" s="25">
        <f>IF(AB288=0,"",'01_Criterios'!$C$8-AE288)</f>
        <v>1</v>
      </c>
      <c r="AH288" s="29">
        <f>IF(P288="Em uso",100,IF(P288="Alta",85,IF(P288="Média",55,30)))</f>
        <v>30</v>
      </c>
      <c r="AI288" s="29">
        <f>ROUND(100*AC288,1)</f>
        <v>90.9</v>
      </c>
      <c r="AJ288" s="29">
        <f>IF(AB288=0,0,ROUND(MAX(0,100*AF288-10*AG288),1))</f>
        <v>90</v>
      </c>
      <c r="AK288" s="29">
        <f>ROUND(('01_Criterios'!$C$19*AH288+'01_Criterios'!$C$20*AI288+'01_Criterios'!$C$21*AJ288)/('01_Criterios'!$C$19+'01_Criterios'!$C$20+'01_Criterios'!$C$21)+N288*'01_Criterios'!$C$22,1)</f>
        <v>66.3</v>
      </c>
      <c r="AL288" s="25">
        <f>IF(AND(AB288&gt;=3,AC288&gt;='01_Criterios'!$C$11,N(AE288)&gt;='01_Criterios'!$C$12,OR(F288="+",F288="-"),ISNUMBER(G288),ISNUMBER(H288)),1,0)</f>
        <v>1</v>
      </c>
      <c r="AM288" s="30" t="str">
        <f>IF(AL288=1,"",TRIM(IF(AB288=0,"sem dados no período; ",IF(AB288&lt;3,"série demasiado curta; ",""))&amp;IF(AND(AB288&gt;0,AC288&lt;'01_Criterios'!$C$11),"cobertura insuficiente; ","")&amp;IF(AND(AB288&gt;0,N(AE288)&lt;'01_Criterios'!$C$12),"desactualizado; ","")&amp;IF(AND(F288&lt;&gt;"+",F288&lt;&gt;"-"),"sentido ambíguo; ","")&amp;IF(OR(NOT(ISNUMBER(G288)),NOT(ISNUMBER(H288))),"sem limites min/max; ","")))</f>
        <v/>
      </c>
      <c r="AN288" s="25">
        <f>IF(OR(AL288=0,$AP288="Excluir"),0,IF(SUMPRODUCT(($O$5:$O$335=$O288)*($AL$5:$AL$335=1)*($AP$5:$AP$335&lt;&gt;"Excluir")*(($AK$5:$AK$335&gt;$AK288)+(($AK$5:$AK$335=$AK288)*(ROW($O$5:$O$335)&lt;ROW()))))=0,1,0))</f>
        <v>0</v>
      </c>
      <c r="AO288" s="25" t="str">
        <f>IF(AN288=0,"",1+SUMPRODUCT(($B$5:$B$335=$B288)*($AN$5:$AN$335=1)*(($AK$5:$AK$335&gt;$AK288)+(($AK$5:$AK$335=$AK288)*(ROW($B$5:$B$335)&lt;ROW())))))</f>
        <v/>
      </c>
      <c r="AP288" s="22" t="s">
        <v>131</v>
      </c>
      <c r="AQ288" s="25">
        <f>IF(INDEX('01_Criterios'!$C$26:$C$36,MATCH($B288,'01_Criterios'!$B$26:$B$36,0))&lt;&gt;1,0,IF($AP288="Excluir",0,IF($AP288="Incluir",IF(AND(OR($F288="+",$F288="-"),ISNUMBER($G288),ISNUMBER($H288),COUNT($Q288:$AA288)&gt;0),1,0),IF('01_Criterios'!$C$18="Automática",IF(AND($AN288=1,$AO288&lt;&gt;"",$AO288&lt;=INDEX('01_Criterios'!$E$26:$E$36,MATCH($B288,'01_Criterios'!$B$26:$B$36,0))),1,0),0))))</f>
        <v>0</v>
      </c>
      <c r="AR288" s="25" t="str">
        <f>IF(AQ288=0,"",IF($AO288&lt;&gt;"",1+SUMPRODUCT(($B$5:$B$335=$B288)*($AQ$5:$AQ$335=1)*($AO$5:$AO$335&lt;$AO288)),1+SUMPRODUCT(($B$5:$B$335=$B288)*($AQ$5:$AQ$335=1)*ISNUMBER($AO$5:$AO$335))+SUMPRODUCT(($B$5:$B$335=$B288)*($AQ$5:$AQ$335=1)*($AO$5:$AO$335="")*(ROW($AO$5:$AO$335)&lt;ROW()))))</f>
        <v/>
      </c>
      <c r="AS288" s="24" t="s">
        <v>1536</v>
      </c>
    </row>
    <row r="289" spans="1:45">
      <c r="A289" s="20" t="s">
        <v>1537</v>
      </c>
      <c r="B289" s="21" t="s">
        <v>84</v>
      </c>
      <c r="C289" s="21" t="s">
        <v>1538</v>
      </c>
      <c r="D289" s="21" t="s">
        <v>1539</v>
      </c>
      <c r="E289" s="20" t="s">
        <v>1485</v>
      </c>
      <c r="F289" s="20" t="s">
        <v>316</v>
      </c>
      <c r="G289" s="20">
        <v>0</v>
      </c>
      <c r="H289" s="20">
        <v>100</v>
      </c>
      <c r="I289" s="20"/>
      <c r="J289" s="22">
        <v>1</v>
      </c>
      <c r="K289" s="21" t="s">
        <v>1187</v>
      </c>
      <c r="L289" s="20" t="s">
        <v>1540</v>
      </c>
      <c r="M289" s="21" t="s">
        <v>161</v>
      </c>
      <c r="N289" s="20">
        <v>0</v>
      </c>
      <c r="O289" s="21" t="s">
        <v>1537</v>
      </c>
      <c r="P289" s="20" t="s">
        <v>268</v>
      </c>
      <c r="Q289" s="6">
        <v>36.7281623486003</v>
      </c>
      <c r="R289" s="6">
        <v>36.756236464265697</v>
      </c>
      <c r="S289" s="6">
        <v>36.708911526429802</v>
      </c>
      <c r="T289" s="6">
        <v>36.7193390551055</v>
      </c>
      <c r="U289" s="6">
        <v>36.7819042271597</v>
      </c>
      <c r="V289" s="6">
        <v>36.788321167883197</v>
      </c>
      <c r="W289" s="6">
        <v>36.830833400176502</v>
      </c>
      <c r="X289" s="6">
        <v>36.947140450790101</v>
      </c>
      <c r="Y289" s="6">
        <v>36.947942568380498</v>
      </c>
      <c r="Z289" s="6"/>
      <c r="AA289" s="6"/>
      <c r="AB289" s="20">
        <f>COUNT(Q289:AA289)</f>
        <v>9</v>
      </c>
      <c r="AC289" s="23">
        <f>AB289/11</f>
        <v>0.81818181818181823</v>
      </c>
      <c r="AD289" s="20">
        <f>IFERROR(INDEX($Q$4:$AA$4,MATCH(TRUE,INDEX(ISNUMBER(Q289:AA289),0),0)),"")</f>
        <v>2015</v>
      </c>
      <c r="AE289" s="20">
        <f>IFERROR(LOOKUP(2,1/ISNUMBER(Q289:AA289),$Q$4:$AA$4),"")</f>
        <v>2023</v>
      </c>
      <c r="AF289" s="23">
        <f>IF(AB289=0,"",AB289/(AE289-AD289+1))</f>
        <v>1</v>
      </c>
      <c r="AG289" s="20">
        <f>IF(AB289=0,"",'01_Criterios'!$C$8-AE289)</f>
        <v>2</v>
      </c>
      <c r="AH289" s="7">
        <f>IF(P289="Em uso",100,IF(P289="Alta",85,IF(P289="Média",55,30)))</f>
        <v>30</v>
      </c>
      <c r="AI289" s="7">
        <f>ROUND(100*AC289,1)</f>
        <v>81.8</v>
      </c>
      <c r="AJ289" s="7">
        <f>IF(AB289=0,0,ROUND(MAX(0,100*AF289-10*AG289),1))</f>
        <v>80</v>
      </c>
      <c r="AK289" s="7">
        <f>ROUND(('01_Criterios'!$C$19*AH289+'01_Criterios'!$C$20*AI289+'01_Criterios'!$C$21*AJ289)/('01_Criterios'!$C$19+'01_Criterios'!$C$20+'01_Criterios'!$C$21)+N289*'01_Criterios'!$C$22,1)</f>
        <v>60.6</v>
      </c>
      <c r="AL289" s="20">
        <f>IF(AND(AB289&gt;=3,AC289&gt;='01_Criterios'!$C$11,N(AE289)&gt;='01_Criterios'!$C$12,OR(F289="+",F289="-"),ISNUMBER(G289),ISNUMBER(H289)),1,0)</f>
        <v>0</v>
      </c>
      <c r="AM289" s="24" t="str">
        <f>IF(AL289=1,"",TRIM(IF(AB289=0,"sem dados no período; ",IF(AB289&lt;3,"série demasiado curta; ",""))&amp;IF(AND(AB289&gt;0,AC289&lt;'01_Criterios'!$C$11),"cobertura insuficiente; ","")&amp;IF(AND(AB289&gt;0,N(AE289)&lt;'01_Criterios'!$C$12),"desactualizado; ","")&amp;IF(AND(F289&lt;&gt;"+",F289&lt;&gt;"-"),"sentido ambíguo; ","")&amp;IF(OR(NOT(ISNUMBER(G289)),NOT(ISNUMBER(H289))),"sem limites min/max; ","")))</f>
        <v>sentido ambíguo;</v>
      </c>
      <c r="AN289" s="20">
        <f>IF(OR(AL289=0,$AP289="Excluir"),0,IF(SUMPRODUCT(($O$5:$O$335=$O289)*($AL$5:$AL$335=1)*($AP$5:$AP$335&lt;&gt;"Excluir")*(($AK$5:$AK$335&gt;$AK289)+(($AK$5:$AK$335=$AK289)*(ROW($O$5:$O$335)&lt;ROW()))))=0,1,0))</f>
        <v>0</v>
      </c>
      <c r="AO289" s="20" t="str">
        <f>IF(AN289=0,"",1+SUMPRODUCT(($B$5:$B$335=$B289)*($AN$5:$AN$335=1)*(($AK$5:$AK$335&gt;$AK289)+(($AK$5:$AK$335=$AK289)*(ROW($B$5:$B$335)&lt;ROW())))))</f>
        <v/>
      </c>
      <c r="AP289" s="22" t="s">
        <v>131</v>
      </c>
      <c r="AQ289" s="20">
        <f>IF(INDEX('01_Criterios'!$C$26:$C$36,MATCH($B289,'01_Criterios'!$B$26:$B$36,0))&lt;&gt;1,0,IF($AP289="Excluir",0,IF($AP289="Incluir",IF(AND(OR($F289="+",$F289="-"),ISNUMBER($G289),ISNUMBER($H289),COUNT($Q289:$AA289)&gt;0),1,0),IF('01_Criterios'!$C$18="Automática",IF(AND($AN289=1,$AO289&lt;&gt;"",$AO289&lt;=INDEX('01_Criterios'!$E$26:$E$36,MATCH($B289,'01_Criterios'!$B$26:$B$36,0))),1,0),0))))</f>
        <v>0</v>
      </c>
      <c r="AR289" s="20" t="str">
        <f>IF(AQ289=0,"",IF($AO289&lt;&gt;"",1+SUMPRODUCT(($B$5:$B$335=$B289)*($AQ$5:$AQ$335=1)*($AO$5:$AO$335&lt;$AO289)),1+SUMPRODUCT(($B$5:$B$335=$B289)*($AQ$5:$AQ$335=1)*ISNUMBER($AO$5:$AO$335))+SUMPRODUCT(($B$5:$B$335=$B289)*($AQ$5:$AQ$335=1)*($AO$5:$AO$335="")*(ROW($AO$5:$AO$335)&lt;ROW()))))</f>
        <v/>
      </c>
      <c r="AS289" s="24" t="s">
        <v>1541</v>
      </c>
    </row>
    <row r="290" spans="1:45">
      <c r="A290" s="25" t="s">
        <v>1542</v>
      </c>
      <c r="B290" s="26" t="s">
        <v>85</v>
      </c>
      <c r="C290" s="26" t="s">
        <v>1543</v>
      </c>
      <c r="D290" s="26" t="s">
        <v>1544</v>
      </c>
      <c r="E290" s="25" t="s">
        <v>1545</v>
      </c>
      <c r="F290" s="25" t="s">
        <v>158</v>
      </c>
      <c r="G290" s="25">
        <v>96.8</v>
      </c>
      <c r="H290" s="25">
        <v>154</v>
      </c>
      <c r="I290" s="25"/>
      <c r="J290" s="22">
        <v>1</v>
      </c>
      <c r="K290" s="26" t="s">
        <v>1546</v>
      </c>
      <c r="L290" s="25" t="s">
        <v>1547</v>
      </c>
      <c r="M290" s="26" t="s">
        <v>1546</v>
      </c>
      <c r="N290" s="25">
        <v>1</v>
      </c>
      <c r="O290" s="26" t="s">
        <v>1542</v>
      </c>
      <c r="P290" s="25" t="s">
        <v>152</v>
      </c>
      <c r="Q290" s="27">
        <v>109.7771</v>
      </c>
      <c r="R290" s="27">
        <v>103.3811</v>
      </c>
      <c r="S290" s="27">
        <v>105.70740000000001</v>
      </c>
      <c r="T290" s="27">
        <v>141.1234</v>
      </c>
      <c r="U290" s="27">
        <v>146.96950000000001</v>
      </c>
      <c r="V290" s="27">
        <v>127.6974</v>
      </c>
      <c r="W290" s="27">
        <v>145.50739999999999</v>
      </c>
      <c r="X290" s="27">
        <v>136.52289999999999</v>
      </c>
      <c r="Y290" s="27">
        <v>131.0685</v>
      </c>
      <c r="Z290" s="27">
        <v>129.38059999999999</v>
      </c>
      <c r="AA290" s="27"/>
      <c r="AB290" s="25">
        <f>COUNT(Q290:AA290)</f>
        <v>10</v>
      </c>
      <c r="AC290" s="28">
        <f>AB290/11</f>
        <v>0.90909090909090906</v>
      </c>
      <c r="AD290" s="25">
        <f>IFERROR(INDEX($Q$4:$AA$4,MATCH(TRUE,INDEX(ISNUMBER(Q290:AA290),0),0)),"")</f>
        <v>2015</v>
      </c>
      <c r="AE290" s="25">
        <f>IFERROR(LOOKUP(2,1/ISNUMBER(Q290:AA290),$Q$4:$AA$4),"")</f>
        <v>2024</v>
      </c>
      <c r="AF290" s="28">
        <f>IF(AB290=0,"",AB290/(AE290-AD290+1))</f>
        <v>1</v>
      </c>
      <c r="AG290" s="25">
        <f>IF(AB290=0,"",'01_Criterios'!$C$8-AE290)</f>
        <v>1</v>
      </c>
      <c r="AH290" s="29">
        <f>IF(P290="Em uso",100,IF(P290="Alta",85,IF(P290="Média",55,30)))</f>
        <v>85</v>
      </c>
      <c r="AI290" s="29">
        <f>ROUND(100*AC290,1)</f>
        <v>90.9</v>
      </c>
      <c r="AJ290" s="29">
        <f>IF(AB290=0,0,ROUND(MAX(0,100*AF290-10*AG290),1))</f>
        <v>90</v>
      </c>
      <c r="AK290" s="29">
        <f>ROUND(('01_Criterios'!$C$19*AH290+'01_Criterios'!$C$20*AI290+'01_Criterios'!$C$21*AJ290)/('01_Criterios'!$C$19+'01_Criterios'!$C$20+'01_Criterios'!$C$21)+N290*'01_Criterios'!$C$22,1)</f>
        <v>100.3</v>
      </c>
      <c r="AL290" s="25">
        <f>IF(AND(AB290&gt;=3,AC290&gt;='01_Criterios'!$C$11,N(AE290)&gt;='01_Criterios'!$C$12,OR(F290="+",F290="-"),ISNUMBER(G290),ISNUMBER(H290)),1,0)</f>
        <v>1</v>
      </c>
      <c r="AM290" s="30" t="str">
        <f>IF(AL290=1,"",TRIM(IF(AB290=0,"sem dados no período; ",IF(AB290&lt;3,"série demasiado curta; ",""))&amp;IF(AND(AB290&gt;0,AC290&lt;'01_Criterios'!$C$11),"cobertura insuficiente; ","")&amp;IF(AND(AB290&gt;0,N(AE290)&lt;'01_Criterios'!$C$12),"desactualizado; ","")&amp;IF(AND(F290&lt;&gt;"+",F290&lt;&gt;"-"),"sentido ambíguo; ","")&amp;IF(OR(NOT(ISNUMBER(G290)),NOT(ISNUMBER(H290))),"sem limites min/max; ","")))</f>
        <v/>
      </c>
      <c r="AN290" s="25">
        <f>IF(OR(AL290=0,$AP290="Excluir"),0,IF(SUMPRODUCT(($O$5:$O$335=$O290)*($AL$5:$AL$335=1)*($AP$5:$AP$335&lt;&gt;"Excluir")*(($AK$5:$AK$335&gt;$AK290)+(($AK$5:$AK$335=$AK290)*(ROW($O$5:$O$335)&lt;ROW()))))=0,1,0))</f>
        <v>1</v>
      </c>
      <c r="AO290" s="25">
        <f>IF(AN290=0,"",1+SUMPRODUCT(($B$5:$B$335=$B290)*($AN$5:$AN$335=1)*(($AK$5:$AK$335&gt;$AK290)+(($AK$5:$AK$335=$AK290)*(ROW($B$5:$B$335)&lt;ROW())))))</f>
        <v>1</v>
      </c>
      <c r="AP290" s="22" t="s">
        <v>131</v>
      </c>
      <c r="AQ290" s="25">
        <f>IF(INDEX('01_Criterios'!$C$26:$C$36,MATCH($B290,'01_Criterios'!$B$26:$B$36,0))&lt;&gt;1,0,IF($AP290="Excluir",0,IF($AP290="Incluir",IF(AND(OR($F290="+",$F290="-"),ISNUMBER($G290),ISNUMBER($H290),COUNT($Q290:$AA290)&gt;0),1,0),IF('01_Criterios'!$C$18="Automática",IF(AND($AN290=1,$AO290&lt;&gt;"",$AO290&lt;=INDEX('01_Criterios'!$E$26:$E$36,MATCH($B290,'01_Criterios'!$B$26:$B$36,0))),1,0),0))))</f>
        <v>0</v>
      </c>
      <c r="AR290" s="25" t="str">
        <f>IF(AQ290=0,"",IF($AO290&lt;&gt;"",1+SUMPRODUCT(($B$5:$B$335=$B290)*($AQ$5:$AQ$335=1)*($AO$5:$AO$335&lt;$AO290)),1+SUMPRODUCT(($B$5:$B$335=$B290)*($AQ$5:$AQ$335=1)*ISNUMBER($AO$5:$AO$335))+SUMPRODUCT(($B$5:$B$335=$B290)*($AQ$5:$AQ$335=1)*($AO$5:$AO$335="")*(ROW($AO$5:$AO$335)&lt;ROW()))))</f>
        <v/>
      </c>
      <c r="AS290" s="24" t="s">
        <v>1548</v>
      </c>
    </row>
    <row r="291" spans="1:45">
      <c r="A291" s="20" t="s">
        <v>1549</v>
      </c>
      <c r="B291" s="21" t="s">
        <v>85</v>
      </c>
      <c r="C291" s="21" t="s">
        <v>1543</v>
      </c>
      <c r="D291" s="21" t="s">
        <v>1550</v>
      </c>
      <c r="E291" s="20" t="s">
        <v>1545</v>
      </c>
      <c r="F291" s="20" t="s">
        <v>158</v>
      </c>
      <c r="G291" s="20">
        <v>0</v>
      </c>
      <c r="H291" s="20">
        <v>1</v>
      </c>
      <c r="I291" s="20"/>
      <c r="J291" s="22">
        <v>1</v>
      </c>
      <c r="K291" s="21" t="s">
        <v>1551</v>
      </c>
      <c r="L291" s="20"/>
      <c r="M291" s="21" t="s">
        <v>879</v>
      </c>
      <c r="N291" s="20">
        <v>1</v>
      </c>
      <c r="O291" s="21" t="s">
        <v>1549</v>
      </c>
      <c r="P291" s="20" t="s">
        <v>152</v>
      </c>
      <c r="Q291" s="6"/>
      <c r="R291" s="6"/>
      <c r="S291" s="6"/>
      <c r="T291" s="6"/>
      <c r="U291" s="6"/>
      <c r="V291" s="6"/>
      <c r="W291" s="6"/>
      <c r="X291" s="6"/>
      <c r="Y291" s="6"/>
      <c r="Z291" s="6"/>
      <c r="AA291" s="6"/>
      <c r="AB291" s="20">
        <f>COUNT(Q291:AA291)</f>
        <v>0</v>
      </c>
      <c r="AC291" s="23">
        <f>AB291/11</f>
        <v>0</v>
      </c>
      <c r="AD291" s="20" t="str">
        <f>IFERROR(INDEX($Q$4:$AA$4,MATCH(TRUE,INDEX(ISNUMBER(Q291:AA291),0),0)),"")</f>
        <v/>
      </c>
      <c r="AE291" s="20" t="str">
        <f>IFERROR(LOOKUP(2,1/ISNUMBER(Q291:AA291),$Q$4:$AA$4),"")</f>
        <v/>
      </c>
      <c r="AF291" s="23" t="str">
        <f>IF(AB291=0,"",AB291/(AE291-AD291+1))</f>
        <v/>
      </c>
      <c r="AG291" s="20" t="str">
        <f>IF(AB291=0,"",'01_Criterios'!$C$8-AE291)</f>
        <v/>
      </c>
      <c r="AH291" s="7">
        <f>IF(P291="Em uso",100,IF(P291="Alta",85,IF(P291="Média",55,30)))</f>
        <v>85</v>
      </c>
      <c r="AI291" s="7">
        <f>ROUND(100*AC291,1)</f>
        <v>0</v>
      </c>
      <c r="AJ291" s="7">
        <f>IF(AB291=0,0,ROUND(MAX(0,100*AF291-10*AG291),1))</f>
        <v>0</v>
      </c>
      <c r="AK291" s="7">
        <f>ROUND(('01_Criterios'!$C$19*AH291+'01_Criterios'!$C$20*AI291+'01_Criterios'!$C$21*AJ291)/('01_Criterios'!$C$19+'01_Criterios'!$C$20+'01_Criterios'!$C$21)+N291*'01_Criterios'!$C$22,1)</f>
        <v>46</v>
      </c>
      <c r="AL291" s="20">
        <f>IF(AND(AB291&gt;=3,AC291&gt;='01_Criterios'!$C$11,N(AE291)&gt;='01_Criterios'!$C$12,OR(F291="+",F291="-"),ISNUMBER(G291),ISNUMBER(H291)),1,0)</f>
        <v>0</v>
      </c>
      <c r="AM291" s="24" t="str">
        <f>IF(AL291=1,"",TRIM(IF(AB291=0,"sem dados no período; ",IF(AB291&lt;3,"série demasiado curta; ",""))&amp;IF(AND(AB291&gt;0,AC291&lt;'01_Criterios'!$C$11),"cobertura insuficiente; ","")&amp;IF(AND(AB291&gt;0,N(AE291)&lt;'01_Criterios'!$C$12),"desactualizado; ","")&amp;IF(AND(F291&lt;&gt;"+",F291&lt;&gt;"-"),"sentido ambíguo; ","")&amp;IF(OR(NOT(ISNUMBER(G291)),NOT(ISNUMBER(H291))),"sem limites min/max; ","")))</f>
        <v>sem dados no período;</v>
      </c>
      <c r="AN291" s="20">
        <f>IF(OR(AL291=0,$AP291="Excluir"),0,IF(SUMPRODUCT(($O$5:$O$335=$O291)*($AL$5:$AL$335=1)*($AP$5:$AP$335&lt;&gt;"Excluir")*(($AK$5:$AK$335&gt;$AK291)+(($AK$5:$AK$335=$AK291)*(ROW($O$5:$O$335)&lt;ROW()))))=0,1,0))</f>
        <v>0</v>
      </c>
      <c r="AO291" s="20" t="str">
        <f>IF(AN291=0,"",1+SUMPRODUCT(($B$5:$B$335=$B291)*($AN$5:$AN$335=1)*(($AK$5:$AK$335&gt;$AK291)+(($AK$5:$AK$335=$AK291)*(ROW($B$5:$B$335)&lt;ROW())))))</f>
        <v/>
      </c>
      <c r="AP291" s="22" t="s">
        <v>131</v>
      </c>
      <c r="AQ291" s="20">
        <f>IF(INDEX('01_Criterios'!$C$26:$C$36,MATCH($B291,'01_Criterios'!$B$26:$B$36,0))&lt;&gt;1,0,IF($AP291="Excluir",0,IF($AP291="Incluir",IF(AND(OR($F291="+",$F291="-"),ISNUMBER($G291),ISNUMBER($H291),COUNT($Q291:$AA291)&gt;0),1,0),IF('01_Criterios'!$C$18="Automática",IF(AND($AN291=1,$AO291&lt;&gt;"",$AO291&lt;=INDEX('01_Criterios'!$E$26:$E$36,MATCH($B291,'01_Criterios'!$B$26:$B$36,0))),1,0),0))))</f>
        <v>0</v>
      </c>
      <c r="AR291" s="20" t="str">
        <f>IF(AQ291=0,"",IF($AO291&lt;&gt;"",1+SUMPRODUCT(($B$5:$B$335=$B291)*($AQ$5:$AQ$335=1)*($AO$5:$AO$335&lt;$AO291)),1+SUMPRODUCT(($B$5:$B$335=$B291)*($AQ$5:$AQ$335=1)*ISNUMBER($AO$5:$AO$335))+SUMPRODUCT(($B$5:$B$335=$B291)*($AQ$5:$AQ$335=1)*($AO$5:$AO$335="")*(ROW($AO$5:$AO$335)&lt;ROW()))))</f>
        <v/>
      </c>
      <c r="AS291" s="24" t="s">
        <v>1552</v>
      </c>
    </row>
    <row r="292" spans="1:45">
      <c r="A292" s="25" t="s">
        <v>1553</v>
      </c>
      <c r="B292" s="26" t="s">
        <v>85</v>
      </c>
      <c r="C292" s="26" t="s">
        <v>1554</v>
      </c>
      <c r="D292" s="26" t="s">
        <v>1555</v>
      </c>
      <c r="E292" s="25" t="s">
        <v>742</v>
      </c>
      <c r="F292" s="25" t="s">
        <v>316</v>
      </c>
      <c r="G292" s="25">
        <v>0</v>
      </c>
      <c r="H292" s="25">
        <v>100</v>
      </c>
      <c r="I292" s="25"/>
      <c r="J292" s="22">
        <v>1</v>
      </c>
      <c r="K292" s="26" t="s">
        <v>1546</v>
      </c>
      <c r="L292" s="25" t="s">
        <v>1556</v>
      </c>
      <c r="M292" s="26" t="s">
        <v>1557</v>
      </c>
      <c r="N292" s="25">
        <v>1</v>
      </c>
      <c r="O292" s="26" t="s">
        <v>1558</v>
      </c>
      <c r="P292" s="25" t="s">
        <v>152</v>
      </c>
      <c r="Q292" s="27">
        <v>62.818899999999999</v>
      </c>
      <c r="R292" s="27">
        <v>62.939100000000003</v>
      </c>
      <c r="S292" s="27">
        <v>63.051900000000003</v>
      </c>
      <c r="T292" s="27">
        <v>63.157600000000002</v>
      </c>
      <c r="U292" s="27">
        <v>63.255899999999997</v>
      </c>
      <c r="V292" s="27">
        <v>63.3401</v>
      </c>
      <c r="W292" s="27">
        <v>63.4041</v>
      </c>
      <c r="X292" s="27">
        <v>63.447499999999998</v>
      </c>
      <c r="Y292" s="27">
        <v>63.469900000000003</v>
      </c>
      <c r="Z292" s="27">
        <v>63.470599999999997</v>
      </c>
      <c r="AA292" s="27">
        <v>63.450099999999999</v>
      </c>
      <c r="AB292" s="25">
        <f>COUNT(Q292:AA292)</f>
        <v>11</v>
      </c>
      <c r="AC292" s="28">
        <f>AB292/11</f>
        <v>1</v>
      </c>
      <c r="AD292" s="25">
        <f>IFERROR(INDEX($Q$4:$AA$4,MATCH(TRUE,INDEX(ISNUMBER(Q292:AA292),0),0)),"")</f>
        <v>2015</v>
      </c>
      <c r="AE292" s="25">
        <f>IFERROR(LOOKUP(2,1/ISNUMBER(Q292:AA292),$Q$4:$AA$4),"")</f>
        <v>2025</v>
      </c>
      <c r="AF292" s="28">
        <f>IF(AB292=0,"",AB292/(AE292-AD292+1))</f>
        <v>1</v>
      </c>
      <c r="AG292" s="25">
        <f>IF(AB292=0,"",'01_Criterios'!$C$8-AE292)</f>
        <v>0</v>
      </c>
      <c r="AH292" s="29">
        <f>IF(P292="Em uso",100,IF(P292="Alta",85,IF(P292="Média",55,30)))</f>
        <v>85</v>
      </c>
      <c r="AI292" s="29">
        <f>ROUND(100*AC292,1)</f>
        <v>100</v>
      </c>
      <c r="AJ292" s="29">
        <f>IF(AB292=0,0,ROUND(MAX(0,100*AF292-10*AG292),1))</f>
        <v>100</v>
      </c>
      <c r="AK292" s="29">
        <f>ROUND(('01_Criterios'!$C$19*AH292+'01_Criterios'!$C$20*AI292+'01_Criterios'!$C$21*AJ292)/('01_Criterios'!$C$19+'01_Criterios'!$C$20+'01_Criterios'!$C$21)+N292*'01_Criterios'!$C$22,1)</f>
        <v>106</v>
      </c>
      <c r="AL292" s="25">
        <f>IF(AND(AB292&gt;=3,AC292&gt;='01_Criterios'!$C$11,N(AE292)&gt;='01_Criterios'!$C$12,OR(F292="+",F292="-"),ISNUMBER(G292),ISNUMBER(H292)),1,0)</f>
        <v>0</v>
      </c>
      <c r="AM292" s="30" t="str">
        <f>IF(AL292=1,"",TRIM(IF(AB292=0,"sem dados no período; ",IF(AB292&lt;3,"série demasiado curta; ",""))&amp;IF(AND(AB292&gt;0,AC292&lt;'01_Criterios'!$C$11),"cobertura insuficiente; ","")&amp;IF(AND(AB292&gt;0,N(AE292)&lt;'01_Criterios'!$C$12),"desactualizado; ","")&amp;IF(AND(F292&lt;&gt;"+",F292&lt;&gt;"-"),"sentido ambíguo; ","")&amp;IF(OR(NOT(ISNUMBER(G292)),NOT(ISNUMBER(H292))),"sem limites min/max; ","")))</f>
        <v>sentido ambíguo;</v>
      </c>
      <c r="AN292" s="25">
        <f>IF(OR(AL292=0,$AP292="Excluir"),0,IF(SUMPRODUCT(($O$5:$O$335=$O292)*($AL$5:$AL$335=1)*($AP$5:$AP$335&lt;&gt;"Excluir")*(($AK$5:$AK$335&gt;$AK292)+(($AK$5:$AK$335=$AK292)*(ROW($O$5:$O$335)&lt;ROW()))))=0,1,0))</f>
        <v>0</v>
      </c>
      <c r="AO292" s="25" t="str">
        <f>IF(AN292=0,"",1+SUMPRODUCT(($B$5:$B$335=$B292)*($AN$5:$AN$335=1)*(($AK$5:$AK$335&gt;$AK292)+(($AK$5:$AK$335=$AK292)*(ROW($B$5:$B$335)&lt;ROW())))))</f>
        <v/>
      </c>
      <c r="AP292" s="22" t="s">
        <v>131</v>
      </c>
      <c r="AQ292" s="25">
        <f>IF(INDEX('01_Criterios'!$C$26:$C$36,MATCH($B292,'01_Criterios'!$B$26:$B$36,0))&lt;&gt;1,0,IF($AP292="Excluir",0,IF($AP292="Incluir",IF(AND(OR($F292="+",$F292="-"),ISNUMBER($G292),ISNUMBER($H292),COUNT($Q292:$AA292)&gt;0),1,0),IF('01_Criterios'!$C$18="Automática",IF(AND($AN292=1,$AO292&lt;&gt;"",$AO292&lt;=INDEX('01_Criterios'!$E$26:$E$36,MATCH($B292,'01_Criterios'!$B$26:$B$36,0))),1,0),0))))</f>
        <v>0</v>
      </c>
      <c r="AR292" s="25" t="str">
        <f>IF(AQ292=0,"",IF($AO292&lt;&gt;"",1+SUMPRODUCT(($B$5:$B$335=$B292)*($AQ$5:$AQ$335=1)*($AO$5:$AO$335&lt;$AO292)),1+SUMPRODUCT(($B$5:$B$335=$B292)*($AQ$5:$AQ$335=1)*ISNUMBER($AO$5:$AO$335))+SUMPRODUCT(($B$5:$B$335=$B292)*($AQ$5:$AQ$335=1)*($AO$5:$AO$335="")*(ROW($AO$5:$AO$335)&lt;ROW()))))</f>
        <v/>
      </c>
      <c r="AS292" s="24" t="s">
        <v>1559</v>
      </c>
    </row>
    <row r="293" spans="1:45">
      <c r="A293" s="20" t="s">
        <v>1560</v>
      </c>
      <c r="B293" s="21" t="s">
        <v>85</v>
      </c>
      <c r="C293" s="21" t="s">
        <v>1561</v>
      </c>
      <c r="D293" s="21" t="s">
        <v>1562</v>
      </c>
      <c r="E293" s="20" t="s">
        <v>237</v>
      </c>
      <c r="F293" s="20" t="s">
        <v>316</v>
      </c>
      <c r="G293" s="20">
        <v>12900000</v>
      </c>
      <c r="H293" s="20">
        <v>41100000</v>
      </c>
      <c r="I293" s="20"/>
      <c r="J293" s="22">
        <v>1</v>
      </c>
      <c r="K293" s="21" t="s">
        <v>204</v>
      </c>
      <c r="L293" s="20" t="s">
        <v>1563</v>
      </c>
      <c r="M293" s="21" t="s">
        <v>161</v>
      </c>
      <c r="N293" s="20">
        <v>0</v>
      </c>
      <c r="O293" s="21" t="s">
        <v>1564</v>
      </c>
      <c r="P293" s="20" t="s">
        <v>152</v>
      </c>
      <c r="Q293" s="6">
        <v>28157798</v>
      </c>
      <c r="R293" s="6">
        <v>29183070</v>
      </c>
      <c r="S293" s="6">
        <v>30234839</v>
      </c>
      <c r="T293" s="6">
        <v>31297155</v>
      </c>
      <c r="U293" s="6">
        <v>32375632</v>
      </c>
      <c r="V293" s="6">
        <v>33451132</v>
      </c>
      <c r="W293" s="6">
        <v>34532429</v>
      </c>
      <c r="X293" s="6">
        <v>35635029</v>
      </c>
      <c r="Y293" s="6">
        <v>36749906</v>
      </c>
      <c r="Z293" s="6">
        <v>37885849</v>
      </c>
      <c r="AA293" s="6">
        <v>39040039</v>
      </c>
      <c r="AB293" s="20">
        <f>COUNT(Q293:AA293)</f>
        <v>11</v>
      </c>
      <c r="AC293" s="23">
        <f>AB293/11</f>
        <v>1</v>
      </c>
      <c r="AD293" s="20">
        <f>IFERROR(INDEX($Q$4:$AA$4,MATCH(TRUE,INDEX(ISNUMBER(Q293:AA293),0),0)),"")</f>
        <v>2015</v>
      </c>
      <c r="AE293" s="20">
        <f>IFERROR(LOOKUP(2,1/ISNUMBER(Q293:AA293),$Q$4:$AA$4),"")</f>
        <v>2025</v>
      </c>
      <c r="AF293" s="23">
        <f>IF(AB293=0,"",AB293/(AE293-AD293+1))</f>
        <v>1</v>
      </c>
      <c r="AG293" s="20">
        <f>IF(AB293=0,"",'01_Criterios'!$C$8-AE293)</f>
        <v>0</v>
      </c>
      <c r="AH293" s="7">
        <f>IF(P293="Em uso",100,IF(P293="Alta",85,IF(P293="Média",55,30)))</f>
        <v>85</v>
      </c>
      <c r="AI293" s="7">
        <f>ROUND(100*AC293,1)</f>
        <v>100</v>
      </c>
      <c r="AJ293" s="7">
        <f>IF(AB293=0,0,ROUND(MAX(0,100*AF293-10*AG293),1))</f>
        <v>100</v>
      </c>
      <c r="AK293" s="7">
        <f>ROUND(('01_Criterios'!$C$19*AH293+'01_Criterios'!$C$20*AI293+'01_Criterios'!$C$21*AJ293)/('01_Criterios'!$C$19+'01_Criterios'!$C$20+'01_Criterios'!$C$21)+N293*'01_Criterios'!$C$22,1)</f>
        <v>94</v>
      </c>
      <c r="AL293" s="20">
        <f>IF(AND(AB293&gt;=3,AC293&gt;='01_Criterios'!$C$11,N(AE293)&gt;='01_Criterios'!$C$12,OR(F293="+",F293="-"),ISNUMBER(G293),ISNUMBER(H293)),1,0)</f>
        <v>0</v>
      </c>
      <c r="AM293" s="24" t="str">
        <f>IF(AL293=1,"",TRIM(IF(AB293=0,"sem dados no período; ",IF(AB293&lt;3,"série demasiado curta; ",""))&amp;IF(AND(AB293&gt;0,AC293&lt;'01_Criterios'!$C$11),"cobertura insuficiente; ","")&amp;IF(AND(AB293&gt;0,N(AE293)&lt;'01_Criterios'!$C$12),"desactualizado; ","")&amp;IF(AND(F293&lt;&gt;"+",F293&lt;&gt;"-"),"sentido ambíguo; ","")&amp;IF(OR(NOT(ISNUMBER(G293)),NOT(ISNUMBER(H293))),"sem limites min/max; ","")))</f>
        <v>sentido ambíguo;</v>
      </c>
      <c r="AN293" s="20">
        <f>IF(OR(AL293=0,$AP293="Excluir"),0,IF(SUMPRODUCT(($O$5:$O$335=$O293)*($AL$5:$AL$335=1)*($AP$5:$AP$335&lt;&gt;"Excluir")*(($AK$5:$AK$335&gt;$AK293)+(($AK$5:$AK$335=$AK293)*(ROW($O$5:$O$335)&lt;ROW()))))=0,1,0))</f>
        <v>0</v>
      </c>
      <c r="AO293" s="20" t="str">
        <f>IF(AN293=0,"",1+SUMPRODUCT(($B$5:$B$335=$B293)*($AN$5:$AN$335=1)*(($AK$5:$AK$335&gt;$AK293)+(($AK$5:$AK$335=$AK293)*(ROW($B$5:$B$335)&lt;ROW())))))</f>
        <v/>
      </c>
      <c r="AP293" s="22" t="s">
        <v>131</v>
      </c>
      <c r="AQ293" s="20">
        <f>IF(INDEX('01_Criterios'!$C$26:$C$36,MATCH($B293,'01_Criterios'!$B$26:$B$36,0))&lt;&gt;1,0,IF($AP293="Excluir",0,IF($AP293="Incluir",IF(AND(OR($F293="+",$F293="-"),ISNUMBER($G293),ISNUMBER($H293),COUNT($Q293:$AA293)&gt;0),1,0),IF('01_Criterios'!$C$18="Automática",IF(AND($AN293=1,$AO293&lt;&gt;"",$AO293&lt;=INDEX('01_Criterios'!$E$26:$E$36,MATCH($B293,'01_Criterios'!$B$26:$B$36,0))),1,0),0))))</f>
        <v>0</v>
      </c>
      <c r="AR293" s="20" t="str">
        <f>IF(AQ293=0,"",IF($AO293&lt;&gt;"",1+SUMPRODUCT(($B$5:$B$335=$B293)*($AQ$5:$AQ$335=1)*($AO$5:$AO$335&lt;$AO293)),1+SUMPRODUCT(($B$5:$B$335=$B293)*($AQ$5:$AQ$335=1)*ISNUMBER($AO$5:$AO$335))+SUMPRODUCT(($B$5:$B$335=$B293)*($AQ$5:$AQ$335=1)*($AO$5:$AO$335="")*(ROW($AO$5:$AO$335)&lt;ROW()))))</f>
        <v/>
      </c>
      <c r="AS293" s="24" t="s">
        <v>1565</v>
      </c>
    </row>
    <row r="294" spans="1:45">
      <c r="A294" s="25" t="s">
        <v>1566</v>
      </c>
      <c r="B294" s="26" t="s">
        <v>85</v>
      </c>
      <c r="C294" s="26" t="s">
        <v>1561</v>
      </c>
      <c r="D294" s="26" t="s">
        <v>1567</v>
      </c>
      <c r="E294" s="25" t="s">
        <v>1568</v>
      </c>
      <c r="F294" s="25" t="s">
        <v>316</v>
      </c>
      <c r="G294" s="25">
        <v>0</v>
      </c>
      <c r="H294" s="25">
        <v>6</v>
      </c>
      <c r="I294" s="25"/>
      <c r="J294" s="22">
        <v>1</v>
      </c>
      <c r="K294" s="26" t="s">
        <v>204</v>
      </c>
      <c r="L294" s="25" t="s">
        <v>1569</v>
      </c>
      <c r="M294" s="26" t="s">
        <v>161</v>
      </c>
      <c r="N294" s="25">
        <v>0</v>
      </c>
      <c r="O294" s="26" t="s">
        <v>1566</v>
      </c>
      <c r="P294" s="25" t="s">
        <v>152</v>
      </c>
      <c r="Q294" s="27">
        <v>3.6050716223363199</v>
      </c>
      <c r="R294" s="27">
        <v>3.5764414398202602</v>
      </c>
      <c r="S294" s="27">
        <v>3.5406122148627199</v>
      </c>
      <c r="T294" s="27">
        <v>3.4532330089780201</v>
      </c>
      <c r="U294" s="27">
        <v>3.3878842218430298</v>
      </c>
      <c r="V294" s="27">
        <v>3.2679586491497798</v>
      </c>
      <c r="W294" s="27">
        <v>3.18132259995095</v>
      </c>
      <c r="X294" s="27">
        <v>3.1430261204460099</v>
      </c>
      <c r="Y294" s="27">
        <v>3.0806553072291498</v>
      </c>
      <c r="Z294" s="27">
        <v>3.04419972245653</v>
      </c>
      <c r="AA294" s="27">
        <v>3.0010095462792199</v>
      </c>
      <c r="AB294" s="25">
        <f>COUNT(Q294:AA294)</f>
        <v>11</v>
      </c>
      <c r="AC294" s="28">
        <f>AB294/11</f>
        <v>1</v>
      </c>
      <c r="AD294" s="25">
        <f>IFERROR(INDEX($Q$4:$AA$4,MATCH(TRUE,INDEX(ISNUMBER(Q294:AA294),0),0)),"")</f>
        <v>2015</v>
      </c>
      <c r="AE294" s="25">
        <f>IFERROR(LOOKUP(2,1/ISNUMBER(Q294:AA294),$Q$4:$AA$4),"")</f>
        <v>2025</v>
      </c>
      <c r="AF294" s="28">
        <f>IF(AB294=0,"",AB294/(AE294-AD294+1))</f>
        <v>1</v>
      </c>
      <c r="AG294" s="25">
        <f>IF(AB294=0,"",'01_Criterios'!$C$8-AE294)</f>
        <v>0</v>
      </c>
      <c r="AH294" s="29">
        <f>IF(P294="Em uso",100,IF(P294="Alta",85,IF(P294="Média",55,30)))</f>
        <v>85</v>
      </c>
      <c r="AI294" s="29">
        <f>ROUND(100*AC294,1)</f>
        <v>100</v>
      </c>
      <c r="AJ294" s="29">
        <f>IF(AB294=0,0,ROUND(MAX(0,100*AF294-10*AG294),1))</f>
        <v>100</v>
      </c>
      <c r="AK294" s="29">
        <f>ROUND(('01_Criterios'!$C$19*AH294+'01_Criterios'!$C$20*AI294+'01_Criterios'!$C$21*AJ294)/('01_Criterios'!$C$19+'01_Criterios'!$C$20+'01_Criterios'!$C$21)+N294*'01_Criterios'!$C$22,1)</f>
        <v>94</v>
      </c>
      <c r="AL294" s="25">
        <f>IF(AND(AB294&gt;=3,AC294&gt;='01_Criterios'!$C$11,N(AE294)&gt;='01_Criterios'!$C$12,OR(F294="+",F294="-"),ISNUMBER(G294),ISNUMBER(H294)),1,0)</f>
        <v>0</v>
      </c>
      <c r="AM294" s="30" t="str">
        <f>IF(AL294=1,"",TRIM(IF(AB294=0,"sem dados no período; ",IF(AB294&lt;3,"série demasiado curta; ",""))&amp;IF(AND(AB294&gt;0,AC294&lt;'01_Criterios'!$C$11),"cobertura insuficiente; ","")&amp;IF(AND(AB294&gt;0,N(AE294)&lt;'01_Criterios'!$C$12),"desactualizado; ","")&amp;IF(AND(F294&lt;&gt;"+",F294&lt;&gt;"-"),"sentido ambíguo; ","")&amp;IF(OR(NOT(ISNUMBER(G294)),NOT(ISNUMBER(H294))),"sem limites min/max; ","")))</f>
        <v>sentido ambíguo;</v>
      </c>
      <c r="AN294" s="25">
        <f>IF(OR(AL294=0,$AP294="Excluir"),0,IF(SUMPRODUCT(($O$5:$O$335=$O294)*($AL$5:$AL$335=1)*($AP$5:$AP$335&lt;&gt;"Excluir")*(($AK$5:$AK$335&gt;$AK294)+(($AK$5:$AK$335=$AK294)*(ROW($O$5:$O$335)&lt;ROW()))))=0,1,0))</f>
        <v>0</v>
      </c>
      <c r="AO294" s="25" t="str">
        <f>IF(AN294=0,"",1+SUMPRODUCT(($B$5:$B$335=$B294)*($AN$5:$AN$335=1)*(($AK$5:$AK$335&gt;$AK294)+(($AK$5:$AK$335=$AK294)*(ROW($B$5:$B$335)&lt;ROW())))))</f>
        <v/>
      </c>
      <c r="AP294" s="22" t="s">
        <v>131</v>
      </c>
      <c r="AQ294" s="25">
        <f>IF(INDEX('01_Criterios'!$C$26:$C$36,MATCH($B294,'01_Criterios'!$B$26:$B$36,0))&lt;&gt;1,0,IF($AP294="Excluir",0,IF($AP294="Incluir",IF(AND(OR($F294="+",$F294="-"),ISNUMBER($G294),ISNUMBER($H294),COUNT($Q294:$AA294)&gt;0),1,0),IF('01_Criterios'!$C$18="Automática",IF(AND($AN294=1,$AO294&lt;&gt;"",$AO294&lt;=INDEX('01_Criterios'!$E$26:$E$36,MATCH($B294,'01_Criterios'!$B$26:$B$36,0))),1,0),0))))</f>
        <v>0</v>
      </c>
      <c r="AR294" s="25" t="str">
        <f>IF(AQ294=0,"",IF($AO294&lt;&gt;"",1+SUMPRODUCT(($B$5:$B$335=$B294)*($AQ$5:$AQ$335=1)*($AO$5:$AO$335&lt;$AO294)),1+SUMPRODUCT(($B$5:$B$335=$B294)*($AQ$5:$AQ$335=1)*ISNUMBER($AO$5:$AO$335))+SUMPRODUCT(($B$5:$B$335=$B294)*($AQ$5:$AQ$335=1)*($AO$5:$AO$335="")*(ROW($AO$5:$AO$335)&lt;ROW()))))</f>
        <v/>
      </c>
      <c r="AS294" s="24" t="s">
        <v>1570</v>
      </c>
    </row>
    <row r="295" spans="1:45">
      <c r="A295" s="20" t="s">
        <v>1571</v>
      </c>
      <c r="B295" s="21" t="s">
        <v>85</v>
      </c>
      <c r="C295" s="21" t="s">
        <v>1554</v>
      </c>
      <c r="D295" s="21" t="s">
        <v>1572</v>
      </c>
      <c r="E295" s="20" t="s">
        <v>742</v>
      </c>
      <c r="F295" s="20" t="s">
        <v>316</v>
      </c>
      <c r="G295" s="20">
        <v>0</v>
      </c>
      <c r="H295" s="20">
        <v>100</v>
      </c>
      <c r="I295" s="20"/>
      <c r="J295" s="22">
        <v>1</v>
      </c>
      <c r="K295" s="21" t="s">
        <v>204</v>
      </c>
      <c r="L295" s="20" t="s">
        <v>1573</v>
      </c>
      <c r="M295" s="21" t="s">
        <v>161</v>
      </c>
      <c r="N295" s="20">
        <v>0</v>
      </c>
      <c r="O295" s="21" t="s">
        <v>1558</v>
      </c>
      <c r="P295" s="20" t="s">
        <v>152</v>
      </c>
      <c r="Q295" s="6">
        <v>63.515678326850001</v>
      </c>
      <c r="R295" s="6">
        <v>64.299230251798903</v>
      </c>
      <c r="S295" s="6">
        <v>65.085052508606793</v>
      </c>
      <c r="T295" s="6">
        <v>65.873213672337201</v>
      </c>
      <c r="U295" s="6">
        <v>66.663782318053293</v>
      </c>
      <c r="V295" s="6">
        <v>67.456827020818693</v>
      </c>
      <c r="W295" s="6">
        <v>68.252416355696894</v>
      </c>
      <c r="X295" s="6">
        <v>69.050618897751306</v>
      </c>
      <c r="Y295" s="6">
        <v>69.851503222045693</v>
      </c>
      <c r="Z295" s="6">
        <v>70.655137903643507</v>
      </c>
      <c r="AA295" s="6">
        <v>71.461591517608497</v>
      </c>
      <c r="AB295" s="20">
        <f>COUNT(Q295:AA295)</f>
        <v>11</v>
      </c>
      <c r="AC295" s="23">
        <f>AB295/11</f>
        <v>1</v>
      </c>
      <c r="AD295" s="20">
        <f>IFERROR(INDEX($Q$4:$AA$4,MATCH(TRUE,INDEX(ISNUMBER(Q295:AA295),0),0)),"")</f>
        <v>2015</v>
      </c>
      <c r="AE295" s="20">
        <f>IFERROR(LOOKUP(2,1/ISNUMBER(Q295:AA295),$Q$4:$AA$4),"")</f>
        <v>2025</v>
      </c>
      <c r="AF295" s="23">
        <f>IF(AB295=0,"",AB295/(AE295-AD295+1))</f>
        <v>1</v>
      </c>
      <c r="AG295" s="20">
        <f>IF(AB295=0,"",'01_Criterios'!$C$8-AE295)</f>
        <v>0</v>
      </c>
      <c r="AH295" s="7">
        <f>IF(P295="Em uso",100,IF(P295="Alta",85,IF(P295="Média",55,30)))</f>
        <v>85</v>
      </c>
      <c r="AI295" s="7">
        <f>ROUND(100*AC295,1)</f>
        <v>100</v>
      </c>
      <c r="AJ295" s="7">
        <f>IF(AB295=0,0,ROUND(MAX(0,100*AF295-10*AG295),1))</f>
        <v>100</v>
      </c>
      <c r="AK295" s="7">
        <f>ROUND(('01_Criterios'!$C$19*AH295+'01_Criterios'!$C$20*AI295+'01_Criterios'!$C$21*AJ295)/('01_Criterios'!$C$19+'01_Criterios'!$C$20+'01_Criterios'!$C$21)+N295*'01_Criterios'!$C$22,1)</f>
        <v>94</v>
      </c>
      <c r="AL295" s="20">
        <f>IF(AND(AB295&gt;=3,AC295&gt;='01_Criterios'!$C$11,N(AE295)&gt;='01_Criterios'!$C$12,OR(F295="+",F295="-"),ISNUMBER(G295),ISNUMBER(H295)),1,0)</f>
        <v>0</v>
      </c>
      <c r="AM295" s="24" t="str">
        <f>IF(AL295=1,"",TRIM(IF(AB295=0,"sem dados no período; ",IF(AB295&lt;3,"série demasiado curta; ",""))&amp;IF(AND(AB295&gt;0,AC295&lt;'01_Criterios'!$C$11),"cobertura insuficiente; ","")&amp;IF(AND(AB295&gt;0,N(AE295)&lt;'01_Criterios'!$C$12),"desactualizado; ","")&amp;IF(AND(F295&lt;&gt;"+",F295&lt;&gt;"-"),"sentido ambíguo; ","")&amp;IF(OR(NOT(ISNUMBER(G295)),NOT(ISNUMBER(H295))),"sem limites min/max; ","")))</f>
        <v>sentido ambíguo;</v>
      </c>
      <c r="AN295" s="20">
        <f>IF(OR(AL295=0,$AP295="Excluir"),0,IF(SUMPRODUCT(($O$5:$O$335=$O295)*($AL$5:$AL$335=1)*($AP$5:$AP$335&lt;&gt;"Excluir")*(($AK$5:$AK$335&gt;$AK295)+(($AK$5:$AK$335=$AK295)*(ROW($O$5:$O$335)&lt;ROW()))))=0,1,0))</f>
        <v>0</v>
      </c>
      <c r="AO295" s="20" t="str">
        <f>IF(AN295=0,"",1+SUMPRODUCT(($B$5:$B$335=$B295)*($AN$5:$AN$335=1)*(($AK$5:$AK$335&gt;$AK295)+(($AK$5:$AK$335=$AK295)*(ROW($B$5:$B$335)&lt;ROW())))))</f>
        <v/>
      </c>
      <c r="AP295" s="22" t="s">
        <v>131</v>
      </c>
      <c r="AQ295" s="20">
        <f>IF(INDEX('01_Criterios'!$C$26:$C$36,MATCH($B295,'01_Criterios'!$B$26:$B$36,0))&lt;&gt;1,0,IF($AP295="Excluir",0,IF($AP295="Incluir",IF(AND(OR($F295="+",$F295="-"),ISNUMBER($G295),ISNUMBER($H295),COUNT($Q295:$AA295)&gt;0),1,0),IF('01_Criterios'!$C$18="Automática",IF(AND($AN295=1,$AO295&lt;&gt;"",$AO295&lt;=INDEX('01_Criterios'!$E$26:$E$36,MATCH($B295,'01_Criterios'!$B$26:$B$36,0))),1,0),0))))</f>
        <v>0</v>
      </c>
      <c r="AR295" s="20" t="str">
        <f>IF(AQ295=0,"",IF($AO295&lt;&gt;"",1+SUMPRODUCT(($B$5:$B$335=$B295)*($AQ$5:$AQ$335=1)*($AO$5:$AO$335&lt;$AO295)),1+SUMPRODUCT(($B$5:$B$335=$B295)*($AQ$5:$AQ$335=1)*ISNUMBER($AO$5:$AO$335))+SUMPRODUCT(($B$5:$B$335=$B295)*($AQ$5:$AQ$335=1)*($AO$5:$AO$335="")*(ROW($AO$5:$AO$335)&lt;ROW()))))</f>
        <v/>
      </c>
      <c r="AS295" s="24" t="s">
        <v>1574</v>
      </c>
    </row>
    <row r="296" spans="1:45">
      <c r="A296" s="25" t="s">
        <v>1575</v>
      </c>
      <c r="B296" s="26" t="s">
        <v>85</v>
      </c>
      <c r="C296" s="26" t="s">
        <v>1576</v>
      </c>
      <c r="D296" s="26" t="s">
        <v>1577</v>
      </c>
      <c r="E296" s="25" t="s">
        <v>1578</v>
      </c>
      <c r="F296" s="25" t="s">
        <v>158</v>
      </c>
      <c r="G296" s="25">
        <v>0</v>
      </c>
      <c r="H296" s="25">
        <v>120</v>
      </c>
      <c r="I296" s="25">
        <v>60</v>
      </c>
      <c r="J296" s="22">
        <v>1</v>
      </c>
      <c r="K296" s="26" t="s">
        <v>204</v>
      </c>
      <c r="L296" s="25" t="s">
        <v>1579</v>
      </c>
      <c r="M296" s="26" t="s">
        <v>161</v>
      </c>
      <c r="N296" s="25">
        <v>0</v>
      </c>
      <c r="O296" s="26" t="s">
        <v>1580</v>
      </c>
      <c r="P296" s="25" t="s">
        <v>152</v>
      </c>
      <c r="Q296" s="27">
        <v>92.180501900592603</v>
      </c>
      <c r="R296" s="27">
        <v>92.188004107043099</v>
      </c>
      <c r="S296" s="27">
        <v>92.071554290501595</v>
      </c>
      <c r="T296" s="27">
        <v>91.902769414906999</v>
      </c>
      <c r="U296" s="27">
        <v>91.647039630472605</v>
      </c>
      <c r="V296" s="27">
        <v>91.369827497237395</v>
      </c>
      <c r="W296" s="27">
        <v>91.036398310478504</v>
      </c>
      <c r="X296" s="27">
        <v>90.589511856974198</v>
      </c>
      <c r="Y296" s="27">
        <v>90.055225275226505</v>
      </c>
      <c r="Z296" s="27">
        <v>89.406080636338203</v>
      </c>
      <c r="AA296" s="27">
        <v>88.655782501749073</v>
      </c>
      <c r="AB296" s="25">
        <f>COUNT(Q296:AA296)</f>
        <v>11</v>
      </c>
      <c r="AC296" s="28">
        <f>AB296/11</f>
        <v>1</v>
      </c>
      <c r="AD296" s="25">
        <f>IFERROR(INDEX($Q$4:$AA$4,MATCH(TRUE,INDEX(ISNUMBER(Q296:AA296),0),0)),"")</f>
        <v>2015</v>
      </c>
      <c r="AE296" s="25">
        <f>IFERROR(LOOKUP(2,1/ISNUMBER(Q296:AA296),$Q$4:$AA$4),"")</f>
        <v>2025</v>
      </c>
      <c r="AF296" s="28">
        <f>IF(AB296=0,"",AB296/(AE296-AD296+1))</f>
        <v>1</v>
      </c>
      <c r="AG296" s="25">
        <f>IF(AB296=0,"",'01_Criterios'!$C$8-AE296)</f>
        <v>0</v>
      </c>
      <c r="AH296" s="29">
        <f>IF(P296="Em uso",100,IF(P296="Alta",85,IF(P296="Média",55,30)))</f>
        <v>85</v>
      </c>
      <c r="AI296" s="29">
        <f>ROUND(100*AC296,1)</f>
        <v>100</v>
      </c>
      <c r="AJ296" s="29">
        <f>IF(AB296=0,0,ROUND(MAX(0,100*AF296-10*AG296),1))</f>
        <v>100</v>
      </c>
      <c r="AK296" s="29">
        <f>ROUND(('01_Criterios'!$C$19*AH296+'01_Criterios'!$C$20*AI296+'01_Criterios'!$C$21*AJ296)/('01_Criterios'!$C$19+'01_Criterios'!$C$20+'01_Criterios'!$C$21)+N296*'01_Criterios'!$C$22,1)</f>
        <v>94</v>
      </c>
      <c r="AL296" s="25">
        <f>IF(AND(AB296&gt;=3,AC296&gt;='01_Criterios'!$C$11,N(AE296)&gt;='01_Criterios'!$C$12,OR(F296="+",F296="-"),ISNUMBER(G296),ISNUMBER(H296)),1,0)</f>
        <v>1</v>
      </c>
      <c r="AM296" s="30" t="str">
        <f>IF(AL296=1,"",TRIM(IF(AB296=0,"sem dados no período; ",IF(AB296&lt;3,"série demasiado curta; ",""))&amp;IF(AND(AB296&gt;0,AC296&lt;'01_Criterios'!$C$11),"cobertura insuficiente; ","")&amp;IF(AND(AB296&gt;0,N(AE296)&lt;'01_Criterios'!$C$12),"desactualizado; ","")&amp;IF(AND(F296&lt;&gt;"+",F296&lt;&gt;"-"),"sentido ambíguo; ","")&amp;IF(OR(NOT(ISNUMBER(G296)),NOT(ISNUMBER(H296))),"sem limites min/max; ","")))</f>
        <v/>
      </c>
      <c r="AN296" s="25">
        <f>IF(OR(AL296=0,$AP296="Excluir"),0,IF(SUMPRODUCT(($O$5:$O$335=$O296)*($AL$5:$AL$335=1)*($AP$5:$AP$335&lt;&gt;"Excluir")*(($AK$5:$AK$335&gt;$AK296)+(($AK$5:$AK$335=$AK296)*(ROW($O$5:$O$335)&lt;ROW()))))=0,1,0))</f>
        <v>1</v>
      </c>
      <c r="AO296" s="25">
        <f>IF(AN296=0,"",1+SUMPRODUCT(($B$5:$B$335=$B296)*($AN$5:$AN$335=1)*(($AK$5:$AK$335&gt;$AK296)+(($AK$5:$AK$335=$AK296)*(ROW($B$5:$B$335)&lt;ROW())))))</f>
        <v>2</v>
      </c>
      <c r="AP296" s="22" t="s">
        <v>131</v>
      </c>
      <c r="AQ296" s="25">
        <f>IF(INDEX('01_Criterios'!$C$26:$C$36,MATCH($B296,'01_Criterios'!$B$26:$B$36,0))&lt;&gt;1,0,IF($AP296="Excluir",0,IF($AP296="Incluir",IF(AND(OR($F296="+",$F296="-"),ISNUMBER($G296),ISNUMBER($H296),COUNT($Q296:$AA296)&gt;0),1,0),IF('01_Criterios'!$C$18="Automática",IF(AND($AN296=1,$AO296&lt;&gt;"",$AO296&lt;=INDEX('01_Criterios'!$E$26:$E$36,MATCH($B296,'01_Criterios'!$B$26:$B$36,0))),1,0),0))))</f>
        <v>0</v>
      </c>
      <c r="AR296" s="25" t="str">
        <f>IF(AQ296=0,"",IF($AO296&lt;&gt;"",1+SUMPRODUCT(($B$5:$B$335=$B296)*($AQ$5:$AQ$335=1)*($AO$5:$AO$335&lt;$AO296)),1+SUMPRODUCT(($B$5:$B$335=$B296)*($AQ$5:$AQ$335=1)*ISNUMBER($AO$5:$AO$335))+SUMPRODUCT(($B$5:$B$335=$B296)*($AQ$5:$AQ$335=1)*($AO$5:$AO$335="")*(ROW($AO$5:$AO$335)&lt;ROW()))))</f>
        <v/>
      </c>
      <c r="AS296" s="24" t="s">
        <v>1581</v>
      </c>
    </row>
    <row r="297" spans="1:45">
      <c r="A297" s="20" t="s">
        <v>1582</v>
      </c>
      <c r="B297" s="21" t="s">
        <v>85</v>
      </c>
      <c r="C297" s="21" t="s">
        <v>1583</v>
      </c>
      <c r="D297" s="21" t="s">
        <v>1584</v>
      </c>
      <c r="E297" s="20" t="s">
        <v>1585</v>
      </c>
      <c r="F297" s="20" t="s">
        <v>158</v>
      </c>
      <c r="G297" s="20">
        <v>1</v>
      </c>
      <c r="H297" s="20">
        <v>8</v>
      </c>
      <c r="I297" s="20">
        <v>3.5</v>
      </c>
      <c r="J297" s="22">
        <v>1</v>
      </c>
      <c r="K297" s="21" t="s">
        <v>204</v>
      </c>
      <c r="L297" s="20" t="s">
        <v>1586</v>
      </c>
      <c r="M297" s="21" t="s">
        <v>161</v>
      </c>
      <c r="N297" s="20">
        <v>0</v>
      </c>
      <c r="O297" s="21" t="s">
        <v>1587</v>
      </c>
      <c r="P297" s="20" t="s">
        <v>152</v>
      </c>
      <c r="Q297" s="6">
        <v>5.774</v>
      </c>
      <c r="R297" s="6">
        <v>5.6859999999999999</v>
      </c>
      <c r="S297" s="6">
        <v>5.6</v>
      </c>
      <c r="T297" s="6">
        <v>5.5190000000000001</v>
      </c>
      <c r="U297" s="6">
        <v>5.4420000000000002</v>
      </c>
      <c r="V297" s="6">
        <v>5.3710000000000004</v>
      </c>
      <c r="W297" s="6">
        <v>5.3040000000000003</v>
      </c>
      <c r="X297" s="6">
        <v>5.2089999999999996</v>
      </c>
      <c r="Y297" s="6">
        <v>5.1239999999999997</v>
      </c>
      <c r="Z297" s="6">
        <v>5.048</v>
      </c>
      <c r="AA297" s="6"/>
      <c r="AB297" s="20">
        <f>COUNT(Q297:AA297)</f>
        <v>10</v>
      </c>
      <c r="AC297" s="23">
        <f>AB297/11</f>
        <v>0.90909090909090906</v>
      </c>
      <c r="AD297" s="20">
        <f>IFERROR(INDEX($Q$4:$AA$4,MATCH(TRUE,INDEX(ISNUMBER(Q297:AA297),0),0)),"")</f>
        <v>2015</v>
      </c>
      <c r="AE297" s="20">
        <f>IFERROR(LOOKUP(2,1/ISNUMBER(Q297:AA297),$Q$4:$AA$4),"")</f>
        <v>2024</v>
      </c>
      <c r="AF297" s="23">
        <f>IF(AB297=0,"",AB297/(AE297-AD297+1))</f>
        <v>1</v>
      </c>
      <c r="AG297" s="20">
        <f>IF(AB297=0,"",'01_Criterios'!$C$8-AE297)</f>
        <v>1</v>
      </c>
      <c r="AH297" s="7">
        <f>IF(P297="Em uso",100,IF(P297="Alta",85,IF(P297="Média",55,30)))</f>
        <v>85</v>
      </c>
      <c r="AI297" s="7">
        <f>ROUND(100*AC297,1)</f>
        <v>90.9</v>
      </c>
      <c r="AJ297" s="7">
        <f>IF(AB297=0,0,ROUND(MAX(0,100*AF297-10*AG297),1))</f>
        <v>90</v>
      </c>
      <c r="AK297" s="7">
        <f>ROUND(('01_Criterios'!$C$19*AH297+'01_Criterios'!$C$20*AI297+'01_Criterios'!$C$21*AJ297)/('01_Criterios'!$C$19+'01_Criterios'!$C$20+'01_Criterios'!$C$21)+N297*'01_Criterios'!$C$22,1)</f>
        <v>88.3</v>
      </c>
      <c r="AL297" s="20">
        <f>IF(AND(AB297&gt;=3,AC297&gt;='01_Criterios'!$C$11,N(AE297)&gt;='01_Criterios'!$C$12,OR(F297="+",F297="-"),ISNUMBER(G297),ISNUMBER(H297)),1,0)</f>
        <v>1</v>
      </c>
      <c r="AM297" s="24" t="str">
        <f>IF(AL297=1,"",TRIM(IF(AB297=0,"sem dados no período; ",IF(AB297&lt;3,"série demasiado curta; ",""))&amp;IF(AND(AB297&gt;0,AC297&lt;'01_Criterios'!$C$11),"cobertura insuficiente; ","")&amp;IF(AND(AB297&gt;0,N(AE297)&lt;'01_Criterios'!$C$12),"desactualizado; ","")&amp;IF(AND(F297&lt;&gt;"+",F297&lt;&gt;"-"),"sentido ambíguo; ","")&amp;IF(OR(NOT(ISNUMBER(G297)),NOT(ISNUMBER(H297))),"sem limites min/max; ","")))</f>
        <v/>
      </c>
      <c r="AN297" s="20">
        <f>IF(OR(AL297=0,$AP297="Excluir"),0,IF(SUMPRODUCT(($O$5:$O$335=$O297)*($AL$5:$AL$335=1)*($AP$5:$AP$335&lt;&gt;"Excluir")*(($AK$5:$AK$335&gt;$AK297)+(($AK$5:$AK$335=$AK297)*(ROW($O$5:$O$335)&lt;ROW()))))=0,1,0))</f>
        <v>1</v>
      </c>
      <c r="AO297" s="20">
        <f>IF(AN297=0,"",1+SUMPRODUCT(($B$5:$B$335=$B297)*($AN$5:$AN$335=1)*(($AK$5:$AK$335&gt;$AK297)+(($AK$5:$AK$335=$AK297)*(ROW($B$5:$B$335)&lt;ROW())))))</f>
        <v>3</v>
      </c>
      <c r="AP297" s="22" t="s">
        <v>131</v>
      </c>
      <c r="AQ297" s="20">
        <f>IF(INDEX('01_Criterios'!$C$26:$C$36,MATCH($B297,'01_Criterios'!$B$26:$B$36,0))&lt;&gt;1,0,IF($AP297="Excluir",0,IF($AP297="Incluir",IF(AND(OR($F297="+",$F297="-"),ISNUMBER($G297),ISNUMBER($H297),COUNT($Q297:$AA297)&gt;0),1,0),IF('01_Criterios'!$C$18="Automática",IF(AND($AN297=1,$AO297&lt;&gt;"",$AO297&lt;=INDEX('01_Criterios'!$E$26:$E$36,MATCH($B297,'01_Criterios'!$B$26:$B$36,0))),1,0),0))))</f>
        <v>0</v>
      </c>
      <c r="AR297" s="20" t="str">
        <f>IF(AQ297=0,"",IF($AO297&lt;&gt;"",1+SUMPRODUCT(($B$5:$B$335=$B297)*($AQ$5:$AQ$335=1)*($AO$5:$AO$335&lt;$AO297)),1+SUMPRODUCT(($B$5:$B$335=$B297)*($AQ$5:$AQ$335=1)*ISNUMBER($AO$5:$AO$335))+SUMPRODUCT(($B$5:$B$335=$B297)*($AQ$5:$AQ$335=1)*($AO$5:$AO$335="")*(ROW($AO$5:$AO$335)&lt;ROW()))))</f>
        <v/>
      </c>
      <c r="AS297" s="24" t="s">
        <v>1588</v>
      </c>
    </row>
    <row r="298" spans="1:45">
      <c r="A298" s="25" t="s">
        <v>1589</v>
      </c>
      <c r="B298" s="26" t="s">
        <v>85</v>
      </c>
      <c r="C298" s="26" t="s">
        <v>1583</v>
      </c>
      <c r="D298" s="26" t="s">
        <v>1590</v>
      </c>
      <c r="E298" s="25" t="s">
        <v>1591</v>
      </c>
      <c r="F298" s="25" t="s">
        <v>158</v>
      </c>
      <c r="G298" s="25">
        <v>0</v>
      </c>
      <c r="H298" s="25">
        <v>250</v>
      </c>
      <c r="I298" s="25">
        <v>60</v>
      </c>
      <c r="J298" s="22">
        <v>1</v>
      </c>
      <c r="K298" s="26" t="s">
        <v>204</v>
      </c>
      <c r="L298" s="25" t="s">
        <v>1592</v>
      </c>
      <c r="M298" s="26" t="s">
        <v>161</v>
      </c>
      <c r="N298" s="25">
        <v>0</v>
      </c>
      <c r="O298" s="26" t="s">
        <v>1589</v>
      </c>
      <c r="P298" s="25" t="s">
        <v>152</v>
      </c>
      <c r="Q298" s="27">
        <v>150.244</v>
      </c>
      <c r="R298" s="27">
        <v>148.905</v>
      </c>
      <c r="S298" s="27">
        <v>147.40700000000001</v>
      </c>
      <c r="T298" s="27">
        <v>146.30500000000001</v>
      </c>
      <c r="U298" s="27">
        <v>145.09399999999999</v>
      </c>
      <c r="V298" s="27">
        <v>144.32900000000001</v>
      </c>
      <c r="W298" s="27">
        <v>143.38300000000001</v>
      </c>
      <c r="X298" s="27">
        <v>141.97800000000001</v>
      </c>
      <c r="Y298" s="27">
        <v>140.84</v>
      </c>
      <c r="Z298" s="27">
        <v>139.38800000000001</v>
      </c>
      <c r="AA298" s="27"/>
      <c r="AB298" s="25">
        <f>COUNT(Q298:AA298)</f>
        <v>10</v>
      </c>
      <c r="AC298" s="28">
        <f>AB298/11</f>
        <v>0.90909090909090906</v>
      </c>
      <c r="AD298" s="25">
        <f>IFERROR(INDEX($Q$4:$AA$4,MATCH(TRUE,INDEX(ISNUMBER(Q298:AA298),0),0)),"")</f>
        <v>2015</v>
      </c>
      <c r="AE298" s="25">
        <f>IFERROR(LOOKUP(2,1/ISNUMBER(Q298:AA298),$Q$4:$AA$4),"")</f>
        <v>2024</v>
      </c>
      <c r="AF298" s="28">
        <f>IF(AB298=0,"",AB298/(AE298-AD298+1))</f>
        <v>1</v>
      </c>
      <c r="AG298" s="25">
        <f>IF(AB298=0,"",'01_Criterios'!$C$8-AE298)</f>
        <v>1</v>
      </c>
      <c r="AH298" s="29">
        <f>IF(P298="Em uso",100,IF(P298="Alta",85,IF(P298="Média",55,30)))</f>
        <v>85</v>
      </c>
      <c r="AI298" s="29">
        <f>ROUND(100*AC298,1)</f>
        <v>90.9</v>
      </c>
      <c r="AJ298" s="29">
        <f>IF(AB298=0,0,ROUND(MAX(0,100*AF298-10*AG298),1))</f>
        <v>90</v>
      </c>
      <c r="AK298" s="29">
        <f>ROUND(('01_Criterios'!$C$19*AH298+'01_Criterios'!$C$20*AI298+'01_Criterios'!$C$21*AJ298)/('01_Criterios'!$C$19+'01_Criterios'!$C$20+'01_Criterios'!$C$21)+N298*'01_Criterios'!$C$22,1)</f>
        <v>88.3</v>
      </c>
      <c r="AL298" s="25">
        <f>IF(AND(AB298&gt;=3,AC298&gt;='01_Criterios'!$C$11,N(AE298)&gt;='01_Criterios'!$C$12,OR(F298="+",F298="-"),ISNUMBER(G298),ISNUMBER(H298)),1,0)</f>
        <v>1</v>
      </c>
      <c r="AM298" s="30" t="str">
        <f>IF(AL298=1,"",TRIM(IF(AB298=0,"sem dados no período; ",IF(AB298&lt;3,"série demasiado curta; ",""))&amp;IF(AND(AB298&gt;0,AC298&lt;'01_Criterios'!$C$11),"cobertura insuficiente; ","")&amp;IF(AND(AB298&gt;0,N(AE298)&lt;'01_Criterios'!$C$12),"desactualizado; ","")&amp;IF(AND(F298&lt;&gt;"+",F298&lt;&gt;"-"),"sentido ambíguo; ","")&amp;IF(OR(NOT(ISNUMBER(G298)),NOT(ISNUMBER(H298))),"sem limites min/max; ","")))</f>
        <v/>
      </c>
      <c r="AN298" s="25">
        <f>IF(OR(AL298=0,$AP298="Excluir"),0,IF(SUMPRODUCT(($O$5:$O$335=$O298)*($AL$5:$AL$335=1)*($AP$5:$AP$335&lt;&gt;"Excluir")*(($AK$5:$AK$335&gt;$AK298)+(($AK$5:$AK$335=$AK298)*(ROW($O$5:$O$335)&lt;ROW()))))=0,1,0))</f>
        <v>1</v>
      </c>
      <c r="AO298" s="25">
        <f>IF(AN298=0,"",1+SUMPRODUCT(($B$5:$B$335=$B298)*($AN$5:$AN$335=1)*(($AK$5:$AK$335&gt;$AK298)+(($AK$5:$AK$335=$AK298)*(ROW($B$5:$B$335)&lt;ROW())))))</f>
        <v>4</v>
      </c>
      <c r="AP298" s="22" t="s">
        <v>131</v>
      </c>
      <c r="AQ298" s="25">
        <f>IF(INDEX('01_Criterios'!$C$26:$C$36,MATCH($B298,'01_Criterios'!$B$26:$B$36,0))&lt;&gt;1,0,IF($AP298="Excluir",0,IF($AP298="Incluir",IF(AND(OR($F298="+",$F298="-"),ISNUMBER($G298),ISNUMBER($H298),COUNT($Q298:$AA298)&gt;0),1,0),IF('01_Criterios'!$C$18="Automática",IF(AND($AN298=1,$AO298&lt;&gt;"",$AO298&lt;=INDEX('01_Criterios'!$E$26:$E$36,MATCH($B298,'01_Criterios'!$B$26:$B$36,0))),1,0),0))))</f>
        <v>0</v>
      </c>
      <c r="AR298" s="25" t="str">
        <f>IF(AQ298=0,"",IF($AO298&lt;&gt;"",1+SUMPRODUCT(($B$5:$B$335=$B298)*($AQ$5:$AQ$335=1)*($AO$5:$AO$335&lt;$AO298)),1+SUMPRODUCT(($B$5:$B$335=$B298)*($AQ$5:$AQ$335=1)*ISNUMBER($AO$5:$AO$335))+SUMPRODUCT(($B$5:$B$335=$B298)*($AQ$5:$AQ$335=1)*($AO$5:$AO$335="")*(ROW($AO$5:$AO$335)&lt;ROW()))))</f>
        <v/>
      </c>
      <c r="AS298" s="24" t="s">
        <v>1593</v>
      </c>
    </row>
    <row r="299" spans="1:45">
      <c r="A299" s="20" t="s">
        <v>1594</v>
      </c>
      <c r="B299" s="21" t="s">
        <v>85</v>
      </c>
      <c r="C299" s="21" t="s">
        <v>1595</v>
      </c>
      <c r="D299" s="21" t="s">
        <v>1596</v>
      </c>
      <c r="E299" s="20" t="s">
        <v>940</v>
      </c>
      <c r="F299" s="20" t="s">
        <v>158</v>
      </c>
      <c r="G299" s="20">
        <v>0</v>
      </c>
      <c r="H299" s="20">
        <v>100</v>
      </c>
      <c r="I299" s="20">
        <v>30</v>
      </c>
      <c r="J299" s="22">
        <v>1</v>
      </c>
      <c r="K299" s="21" t="s">
        <v>1597</v>
      </c>
      <c r="L299" s="20" t="s">
        <v>1598</v>
      </c>
      <c r="M299" s="21" t="s">
        <v>161</v>
      </c>
      <c r="N299" s="20">
        <v>0</v>
      </c>
      <c r="O299" s="21" t="s">
        <v>1594</v>
      </c>
      <c r="P299" s="20" t="s">
        <v>152</v>
      </c>
      <c r="Q299" s="6"/>
      <c r="R299" s="6">
        <v>56.449530000000003</v>
      </c>
      <c r="S299" s="6"/>
      <c r="T299" s="6">
        <v>62.581049999999998</v>
      </c>
      <c r="U299" s="6"/>
      <c r="V299" s="6">
        <v>62.6</v>
      </c>
      <c r="W299" s="6"/>
      <c r="X299" s="6">
        <v>62.7</v>
      </c>
      <c r="Y299" s="6"/>
      <c r="Z299" s="6"/>
      <c r="AA299" s="6"/>
      <c r="AB299" s="20">
        <f>COUNT(Q299:AA299)</f>
        <v>4</v>
      </c>
      <c r="AC299" s="23">
        <f>AB299/11</f>
        <v>0.36363636363636365</v>
      </c>
      <c r="AD299" s="20">
        <f>IFERROR(INDEX($Q$4:$AA$4,MATCH(TRUE,INDEX(ISNUMBER(Q299:AA299),0),0)),"")</f>
        <v>2016</v>
      </c>
      <c r="AE299" s="20">
        <f>IFERROR(LOOKUP(2,1/ISNUMBER(Q299:AA299),$Q$4:$AA$4),"")</f>
        <v>2022</v>
      </c>
      <c r="AF299" s="23">
        <f>IF(AB299=0,"",AB299/(AE299-AD299+1))</f>
        <v>0.5714285714285714</v>
      </c>
      <c r="AG299" s="20">
        <f>IF(AB299=0,"",'01_Criterios'!$C$8-AE299)</f>
        <v>3</v>
      </c>
      <c r="AH299" s="7">
        <f>IF(P299="Em uso",100,IF(P299="Alta",85,IF(P299="Média",55,30)))</f>
        <v>85</v>
      </c>
      <c r="AI299" s="7">
        <f>ROUND(100*AC299,1)</f>
        <v>36.4</v>
      </c>
      <c r="AJ299" s="7">
        <f>IF(AB299=0,0,ROUND(MAX(0,100*AF299-10*AG299),1))</f>
        <v>27.1</v>
      </c>
      <c r="AK299" s="7">
        <f>ROUND(('01_Criterios'!$C$19*AH299+'01_Criterios'!$C$20*AI299+'01_Criterios'!$C$21*AJ299)/('01_Criterios'!$C$19+'01_Criterios'!$C$20+'01_Criterios'!$C$21)+N299*'01_Criterios'!$C$22,1)</f>
        <v>53.5</v>
      </c>
      <c r="AL299" s="20">
        <f>IF(AND(AB299&gt;=3,AC299&gt;='01_Criterios'!$C$11,N(AE299)&gt;='01_Criterios'!$C$12,OR(F299="+",F299="-"),ISNUMBER(G299),ISNUMBER(H299)),1,0)</f>
        <v>0</v>
      </c>
      <c r="AM299" s="24" t="str">
        <f>IF(AL299=1,"",TRIM(IF(AB299=0,"sem dados no período; ",IF(AB299&lt;3,"série demasiado curta; ",""))&amp;IF(AND(AB299&gt;0,AC299&lt;'01_Criterios'!$C$11),"cobertura insuficiente; ","")&amp;IF(AND(AB299&gt;0,N(AE299)&lt;'01_Criterios'!$C$12),"desactualizado; ","")&amp;IF(AND(F299&lt;&gt;"+",F299&lt;&gt;"-"),"sentido ambíguo; ","")&amp;IF(OR(NOT(ISNUMBER(G299)),NOT(ISNUMBER(H299))),"sem limites min/max; ","")))</f>
        <v>cobertura insuficiente; desactualizado;</v>
      </c>
      <c r="AN299" s="20">
        <f>IF(OR(AL299=0,$AP299="Excluir"),0,IF(SUMPRODUCT(($O$5:$O$335=$O299)*($AL$5:$AL$335=1)*($AP$5:$AP$335&lt;&gt;"Excluir")*(($AK$5:$AK$335&gt;$AK299)+(($AK$5:$AK$335=$AK299)*(ROW($O$5:$O$335)&lt;ROW()))))=0,1,0))</f>
        <v>0</v>
      </c>
      <c r="AO299" s="20" t="str">
        <f>IF(AN299=0,"",1+SUMPRODUCT(($B$5:$B$335=$B299)*($AN$5:$AN$335=1)*(($AK$5:$AK$335&gt;$AK299)+(($AK$5:$AK$335=$AK299)*(ROW($B$5:$B$335)&lt;ROW())))))</f>
        <v/>
      </c>
      <c r="AP299" s="22" t="s">
        <v>131</v>
      </c>
      <c r="AQ299" s="20">
        <f>IF(INDEX('01_Criterios'!$C$26:$C$36,MATCH($B299,'01_Criterios'!$B$26:$B$36,0))&lt;&gt;1,0,IF($AP299="Excluir",0,IF($AP299="Incluir",IF(AND(OR($F299="+",$F299="-"),ISNUMBER($G299),ISNUMBER($H299),COUNT($Q299:$AA299)&gt;0),1,0),IF('01_Criterios'!$C$18="Automática",IF(AND($AN299=1,$AO299&lt;&gt;"",$AO299&lt;=INDEX('01_Criterios'!$E$26:$E$36,MATCH($B299,'01_Criterios'!$B$26:$B$36,0))),1,0),0))))</f>
        <v>0</v>
      </c>
      <c r="AR299" s="20" t="str">
        <f>IF(AQ299=0,"",IF($AO299&lt;&gt;"",1+SUMPRODUCT(($B$5:$B$335=$B299)*($AQ$5:$AQ$335=1)*($AO$5:$AO$335&lt;$AO299)),1+SUMPRODUCT(($B$5:$B$335=$B299)*($AQ$5:$AQ$335=1)*ISNUMBER($AO$5:$AO$335))+SUMPRODUCT(($B$5:$B$335=$B299)*($AQ$5:$AQ$335=1)*($AO$5:$AO$335="")*(ROW($AO$5:$AO$335)&lt;ROW()))))</f>
        <v/>
      </c>
      <c r="AS299" s="24" t="s">
        <v>1599</v>
      </c>
    </row>
    <row r="300" spans="1:45">
      <c r="A300" s="25" t="s">
        <v>1600</v>
      </c>
      <c r="B300" s="26" t="s">
        <v>85</v>
      </c>
      <c r="C300" s="26" t="s">
        <v>1601</v>
      </c>
      <c r="D300" s="26" t="s">
        <v>1602</v>
      </c>
      <c r="E300" s="25" t="s">
        <v>742</v>
      </c>
      <c r="F300" s="25" t="s">
        <v>316</v>
      </c>
      <c r="G300" s="25">
        <v>0</v>
      </c>
      <c r="H300" s="25">
        <v>100</v>
      </c>
      <c r="I300" s="25"/>
      <c r="J300" s="22">
        <v>1</v>
      </c>
      <c r="K300" s="26" t="s">
        <v>1546</v>
      </c>
      <c r="L300" s="25" t="s">
        <v>1603</v>
      </c>
      <c r="M300" s="26" t="s">
        <v>1546</v>
      </c>
      <c r="N300" s="25">
        <v>1</v>
      </c>
      <c r="O300" s="26" t="s">
        <v>1604</v>
      </c>
      <c r="P300" s="25" t="s">
        <v>180</v>
      </c>
      <c r="Q300" s="27">
        <v>27.043500000000002</v>
      </c>
      <c r="R300" s="27">
        <v>27.126999999999999</v>
      </c>
      <c r="S300" s="27">
        <v>27.2029</v>
      </c>
      <c r="T300" s="27">
        <v>27.2715</v>
      </c>
      <c r="U300" s="27">
        <v>27.3324</v>
      </c>
      <c r="V300" s="27">
        <v>27.3826</v>
      </c>
      <c r="W300" s="27">
        <v>27.419499999999999</v>
      </c>
      <c r="X300" s="27">
        <v>27.442799999999998</v>
      </c>
      <c r="Y300" s="27">
        <v>27.452100000000002</v>
      </c>
      <c r="Z300" s="27">
        <v>27.447099999999999</v>
      </c>
      <c r="AA300" s="27">
        <v>27.428100000000001</v>
      </c>
      <c r="AB300" s="25">
        <f>COUNT(Q300:AA300)</f>
        <v>11</v>
      </c>
      <c r="AC300" s="28">
        <f>AB300/11</f>
        <v>1</v>
      </c>
      <c r="AD300" s="25">
        <f>IFERROR(INDEX($Q$4:$AA$4,MATCH(TRUE,INDEX(ISNUMBER(Q300:AA300),0),0)),"")</f>
        <v>2015</v>
      </c>
      <c r="AE300" s="25">
        <f>IFERROR(LOOKUP(2,1/ISNUMBER(Q300:AA300),$Q$4:$AA$4),"")</f>
        <v>2025</v>
      </c>
      <c r="AF300" s="28">
        <f>IF(AB300=0,"",AB300/(AE300-AD300+1))</f>
        <v>1</v>
      </c>
      <c r="AG300" s="25">
        <f>IF(AB300=0,"",'01_Criterios'!$C$8-AE300)</f>
        <v>0</v>
      </c>
      <c r="AH300" s="29">
        <f>IF(P300="Em uso",100,IF(P300="Alta",85,IF(P300="Média",55,30)))</f>
        <v>55</v>
      </c>
      <c r="AI300" s="29">
        <f>ROUND(100*AC300,1)</f>
        <v>100</v>
      </c>
      <c r="AJ300" s="29">
        <f>IF(AB300=0,0,ROUND(MAX(0,100*AF300-10*AG300),1))</f>
        <v>100</v>
      </c>
      <c r="AK300" s="29">
        <f>ROUND(('01_Criterios'!$C$19*AH300+'01_Criterios'!$C$20*AI300+'01_Criterios'!$C$21*AJ300)/('01_Criterios'!$C$19+'01_Criterios'!$C$20+'01_Criterios'!$C$21)+N300*'01_Criterios'!$C$22,1)</f>
        <v>94</v>
      </c>
      <c r="AL300" s="25">
        <f>IF(AND(AB300&gt;=3,AC300&gt;='01_Criterios'!$C$11,N(AE300)&gt;='01_Criterios'!$C$12,OR(F300="+",F300="-"),ISNUMBER(G300),ISNUMBER(H300)),1,0)</f>
        <v>0</v>
      </c>
      <c r="AM300" s="30" t="str">
        <f>IF(AL300=1,"",TRIM(IF(AB300=0,"sem dados no período; ",IF(AB300&lt;3,"série demasiado curta; ",""))&amp;IF(AND(AB300&gt;0,AC300&lt;'01_Criterios'!$C$11),"cobertura insuficiente; ","")&amp;IF(AND(AB300&gt;0,N(AE300)&lt;'01_Criterios'!$C$12),"desactualizado; ","")&amp;IF(AND(F300&lt;&gt;"+",F300&lt;&gt;"-"),"sentido ambíguo; ","")&amp;IF(OR(NOT(ISNUMBER(G300)),NOT(ISNUMBER(H300))),"sem limites min/max; ","")))</f>
        <v>sentido ambíguo;</v>
      </c>
      <c r="AN300" s="25">
        <f>IF(OR(AL300=0,$AP300="Excluir"),0,IF(SUMPRODUCT(($O$5:$O$335=$O300)*($AL$5:$AL$335=1)*($AP$5:$AP$335&lt;&gt;"Excluir")*(($AK$5:$AK$335&gt;$AK300)+(($AK$5:$AK$335=$AK300)*(ROW($O$5:$O$335)&lt;ROW()))))=0,1,0))</f>
        <v>0</v>
      </c>
      <c r="AO300" s="25" t="str">
        <f>IF(AN300=0,"",1+SUMPRODUCT(($B$5:$B$335=$B300)*($AN$5:$AN$335=1)*(($AK$5:$AK$335&gt;$AK300)+(($AK$5:$AK$335=$AK300)*(ROW($B$5:$B$335)&lt;ROW())))))</f>
        <v/>
      </c>
      <c r="AP300" s="22" t="s">
        <v>131</v>
      </c>
      <c r="AQ300" s="25">
        <f>IF(INDEX('01_Criterios'!$C$26:$C$36,MATCH($B300,'01_Criterios'!$B$26:$B$36,0))&lt;&gt;1,0,IF($AP300="Excluir",0,IF($AP300="Incluir",IF(AND(OR($F300="+",$F300="-"),ISNUMBER($G300),ISNUMBER($H300),COUNT($Q300:$AA300)&gt;0),1,0),IF('01_Criterios'!$C$18="Automática",IF(AND($AN300=1,$AO300&lt;&gt;"",$AO300&lt;=INDEX('01_Criterios'!$E$26:$E$36,MATCH($B300,'01_Criterios'!$B$26:$B$36,0))),1,0),0))))</f>
        <v>0</v>
      </c>
      <c r="AR300" s="25" t="str">
        <f>IF(AQ300=0,"",IF($AO300&lt;&gt;"",1+SUMPRODUCT(($B$5:$B$335=$B300)*($AQ$5:$AQ$335=1)*($AO$5:$AO$335&lt;$AO300)),1+SUMPRODUCT(($B$5:$B$335=$B300)*($AQ$5:$AQ$335=1)*ISNUMBER($AO$5:$AO$335))+SUMPRODUCT(($B$5:$B$335=$B300)*($AQ$5:$AQ$335=1)*($AO$5:$AO$335="")*(ROW($AO$5:$AO$335)&lt;ROW()))))</f>
        <v/>
      </c>
      <c r="AS300" s="24" t="s">
        <v>1605</v>
      </c>
    </row>
    <row r="301" spans="1:45">
      <c r="A301" s="20" t="s">
        <v>1606</v>
      </c>
      <c r="B301" s="21" t="s">
        <v>85</v>
      </c>
      <c r="C301" s="21" t="s">
        <v>1607</v>
      </c>
      <c r="D301" s="21" t="s">
        <v>1608</v>
      </c>
      <c r="E301" s="20" t="s">
        <v>334</v>
      </c>
      <c r="F301" s="20" t="s">
        <v>316</v>
      </c>
      <c r="G301" s="20">
        <v>0</v>
      </c>
      <c r="H301" s="20">
        <v>100</v>
      </c>
      <c r="I301" s="20"/>
      <c r="J301" s="22">
        <v>1</v>
      </c>
      <c r="K301" s="21" t="s">
        <v>1546</v>
      </c>
      <c r="L301" s="20" t="s">
        <v>1609</v>
      </c>
      <c r="M301" s="21" t="s">
        <v>329</v>
      </c>
      <c r="N301" s="20">
        <v>1</v>
      </c>
      <c r="O301" s="21" t="s">
        <v>1604</v>
      </c>
      <c r="P301" s="20" t="s">
        <v>180</v>
      </c>
      <c r="Q301" s="6">
        <v>36.2819</v>
      </c>
      <c r="R301" s="6">
        <v>35.634300000000003</v>
      </c>
      <c r="S301" s="6">
        <v>35.956600000000002</v>
      </c>
      <c r="T301" s="6">
        <v>34.219000000000001</v>
      </c>
      <c r="U301" s="6">
        <v>32.670099999999998</v>
      </c>
      <c r="V301" s="6">
        <v>32.671100000000003</v>
      </c>
      <c r="W301" s="6">
        <v>30.1007</v>
      </c>
      <c r="X301" s="6">
        <v>31.913799999999998</v>
      </c>
      <c r="Y301" s="6">
        <v>31.256</v>
      </c>
      <c r="Z301" s="6">
        <v>31.0442</v>
      </c>
      <c r="AA301" s="6"/>
      <c r="AB301" s="20">
        <f>COUNT(Q301:AA301)</f>
        <v>10</v>
      </c>
      <c r="AC301" s="23">
        <f>AB301/11</f>
        <v>0.90909090909090906</v>
      </c>
      <c r="AD301" s="20">
        <f>IFERROR(INDEX($Q$4:$AA$4,MATCH(TRUE,INDEX(ISNUMBER(Q301:AA301),0),0)),"")</f>
        <v>2015</v>
      </c>
      <c r="AE301" s="20">
        <f>IFERROR(LOOKUP(2,1/ISNUMBER(Q301:AA301),$Q$4:$AA$4),"")</f>
        <v>2024</v>
      </c>
      <c r="AF301" s="23">
        <f>IF(AB301=0,"",AB301/(AE301-AD301+1))</f>
        <v>1</v>
      </c>
      <c r="AG301" s="20">
        <f>IF(AB301=0,"",'01_Criterios'!$C$8-AE301)</f>
        <v>1</v>
      </c>
      <c r="AH301" s="7">
        <f>IF(P301="Em uso",100,IF(P301="Alta",85,IF(P301="Média",55,30)))</f>
        <v>55</v>
      </c>
      <c r="AI301" s="7">
        <f>ROUND(100*AC301,1)</f>
        <v>90.9</v>
      </c>
      <c r="AJ301" s="7">
        <f>IF(AB301=0,0,ROUND(MAX(0,100*AF301-10*AG301),1))</f>
        <v>90</v>
      </c>
      <c r="AK301" s="7">
        <f>ROUND(('01_Criterios'!$C$19*AH301+'01_Criterios'!$C$20*AI301+'01_Criterios'!$C$21*AJ301)/('01_Criterios'!$C$19+'01_Criterios'!$C$20+'01_Criterios'!$C$21)+N301*'01_Criterios'!$C$22,1)</f>
        <v>88.3</v>
      </c>
      <c r="AL301" s="20">
        <f>IF(AND(AB301&gt;=3,AC301&gt;='01_Criterios'!$C$11,N(AE301)&gt;='01_Criterios'!$C$12,OR(F301="+",F301="-"),ISNUMBER(G301),ISNUMBER(H301)),1,0)</f>
        <v>0</v>
      </c>
      <c r="AM301" s="24" t="str">
        <f>IF(AL301=1,"",TRIM(IF(AB301=0,"sem dados no período; ",IF(AB301&lt;3,"série demasiado curta; ",""))&amp;IF(AND(AB301&gt;0,AC301&lt;'01_Criterios'!$C$11),"cobertura insuficiente; ","")&amp;IF(AND(AB301&gt;0,N(AE301)&lt;'01_Criterios'!$C$12),"desactualizado; ","")&amp;IF(AND(F301&lt;&gt;"+",F301&lt;&gt;"-"),"sentido ambíguo; ","")&amp;IF(OR(NOT(ISNUMBER(G301)),NOT(ISNUMBER(H301))),"sem limites min/max; ","")))</f>
        <v>sentido ambíguo;</v>
      </c>
      <c r="AN301" s="20">
        <f>IF(OR(AL301=0,$AP301="Excluir"),0,IF(SUMPRODUCT(($O$5:$O$335=$O301)*($AL$5:$AL$335=1)*($AP$5:$AP$335&lt;&gt;"Excluir")*(($AK$5:$AK$335&gt;$AK301)+(($AK$5:$AK$335=$AK301)*(ROW($O$5:$O$335)&lt;ROW()))))=0,1,0))</f>
        <v>0</v>
      </c>
      <c r="AO301" s="20" t="str">
        <f>IF(AN301=0,"",1+SUMPRODUCT(($B$5:$B$335=$B301)*($AN$5:$AN$335=1)*(($AK$5:$AK$335&gt;$AK301)+(($AK$5:$AK$335=$AK301)*(ROW($B$5:$B$335)&lt;ROW())))))</f>
        <v/>
      </c>
      <c r="AP301" s="22" t="s">
        <v>131</v>
      </c>
      <c r="AQ301" s="20">
        <f>IF(INDEX('01_Criterios'!$C$26:$C$36,MATCH($B301,'01_Criterios'!$B$26:$B$36,0))&lt;&gt;1,0,IF($AP301="Excluir",0,IF($AP301="Incluir",IF(AND(OR($F301="+",$F301="-"),ISNUMBER($G301),ISNUMBER($H301),COUNT($Q301:$AA301)&gt;0),1,0),IF('01_Criterios'!$C$18="Automática",IF(AND($AN301=1,$AO301&lt;&gt;"",$AO301&lt;=INDEX('01_Criterios'!$E$26:$E$36,MATCH($B301,'01_Criterios'!$B$26:$B$36,0))),1,0),0))))</f>
        <v>0</v>
      </c>
      <c r="AR301" s="20" t="str">
        <f>IF(AQ301=0,"",IF($AO301&lt;&gt;"",1+SUMPRODUCT(($B$5:$B$335=$B301)*($AQ$5:$AQ$335=1)*($AO$5:$AO$335&lt;$AO301)),1+SUMPRODUCT(($B$5:$B$335=$B301)*($AQ$5:$AQ$335=1)*ISNUMBER($AO$5:$AO$335))+SUMPRODUCT(($B$5:$B$335=$B301)*($AQ$5:$AQ$335=1)*($AO$5:$AO$335="")*(ROW($AO$5:$AO$335)&lt;ROW()))))</f>
        <v/>
      </c>
      <c r="AS301" s="24" t="s">
        <v>1610</v>
      </c>
    </row>
    <row r="302" spans="1:45">
      <c r="A302" s="25" t="s">
        <v>1611</v>
      </c>
      <c r="B302" s="26" t="s">
        <v>85</v>
      </c>
      <c r="C302" s="26" t="s">
        <v>1583</v>
      </c>
      <c r="D302" s="26" t="s">
        <v>1612</v>
      </c>
      <c r="E302" s="25" t="s">
        <v>1613</v>
      </c>
      <c r="F302" s="25" t="s">
        <v>158</v>
      </c>
      <c r="G302" s="25">
        <v>1</v>
      </c>
      <c r="H302" s="25">
        <v>8</v>
      </c>
      <c r="I302" s="25">
        <v>3.5</v>
      </c>
      <c r="J302" s="22">
        <v>1</v>
      </c>
      <c r="K302" s="26" t="s">
        <v>586</v>
      </c>
      <c r="L302" s="25" t="s">
        <v>1614</v>
      </c>
      <c r="M302" s="26" t="s">
        <v>588</v>
      </c>
      <c r="N302" s="25">
        <v>1</v>
      </c>
      <c r="O302" s="26" t="s">
        <v>1587</v>
      </c>
      <c r="P302" s="25" t="s">
        <v>180</v>
      </c>
      <c r="Q302" s="27"/>
      <c r="R302" s="27"/>
      <c r="S302" s="27"/>
      <c r="T302" s="27"/>
      <c r="U302" s="27"/>
      <c r="V302" s="27"/>
      <c r="W302" s="27"/>
      <c r="X302" s="27"/>
      <c r="Y302" s="27"/>
      <c r="Z302" s="27">
        <v>5.2</v>
      </c>
      <c r="AA302" s="27"/>
      <c r="AB302" s="25">
        <f>COUNT(Q302:AA302)</f>
        <v>1</v>
      </c>
      <c r="AC302" s="28">
        <f>AB302/11</f>
        <v>9.0909090909090912E-2</v>
      </c>
      <c r="AD302" s="25">
        <f>IFERROR(INDEX($Q$4:$AA$4,MATCH(TRUE,INDEX(ISNUMBER(Q302:AA302),0),0)),"")</f>
        <v>2024</v>
      </c>
      <c r="AE302" s="25">
        <f>IFERROR(LOOKUP(2,1/ISNUMBER(Q302:AA302),$Q$4:$AA$4),"")</f>
        <v>2024</v>
      </c>
      <c r="AF302" s="28">
        <f>IF(AB302=0,"",AB302/(AE302-AD302+1))</f>
        <v>1</v>
      </c>
      <c r="AG302" s="25">
        <f>IF(AB302=0,"",'01_Criterios'!$C$8-AE302)</f>
        <v>1</v>
      </c>
      <c r="AH302" s="29">
        <f>IF(P302="Em uso",100,IF(P302="Alta",85,IF(P302="Média",55,30)))</f>
        <v>55</v>
      </c>
      <c r="AI302" s="29">
        <f>ROUND(100*AC302,1)</f>
        <v>9.1</v>
      </c>
      <c r="AJ302" s="29">
        <f>IF(AB302=0,0,ROUND(MAX(0,100*AF302-10*AG302),1))</f>
        <v>90</v>
      </c>
      <c r="AK302" s="29">
        <f>ROUND(('01_Criterios'!$C$19*AH302+'01_Criterios'!$C$20*AI302+'01_Criterios'!$C$21*AJ302)/('01_Criterios'!$C$19+'01_Criterios'!$C$20+'01_Criterios'!$C$21)+N302*'01_Criterios'!$C$22,1)</f>
        <v>59.7</v>
      </c>
      <c r="AL302" s="25">
        <f>IF(AND(AB302&gt;=3,AC302&gt;='01_Criterios'!$C$11,N(AE302)&gt;='01_Criterios'!$C$12,OR(F302="+",F302="-"),ISNUMBER(G302),ISNUMBER(H302)),1,0)</f>
        <v>0</v>
      </c>
      <c r="AM302" s="30" t="str">
        <f>IF(AL302=1,"",TRIM(IF(AB302=0,"sem dados no período; ",IF(AB302&lt;3,"série demasiado curta; ",""))&amp;IF(AND(AB302&gt;0,AC302&lt;'01_Criterios'!$C$11),"cobertura insuficiente; ","")&amp;IF(AND(AB302&gt;0,N(AE302)&lt;'01_Criterios'!$C$12),"desactualizado; ","")&amp;IF(AND(F302&lt;&gt;"+",F302&lt;&gt;"-"),"sentido ambíguo; ","")&amp;IF(OR(NOT(ISNUMBER(G302)),NOT(ISNUMBER(H302))),"sem limites min/max; ","")))</f>
        <v>série demasiado curta; cobertura insuficiente;</v>
      </c>
      <c r="AN302" s="25">
        <f>IF(OR(AL302=0,$AP302="Excluir"),0,IF(SUMPRODUCT(($O$5:$O$335=$O302)*($AL$5:$AL$335=1)*($AP$5:$AP$335&lt;&gt;"Excluir")*(($AK$5:$AK$335&gt;$AK302)+(($AK$5:$AK$335=$AK302)*(ROW($O$5:$O$335)&lt;ROW()))))=0,1,0))</f>
        <v>0</v>
      </c>
      <c r="AO302" s="25" t="str">
        <f>IF(AN302=0,"",1+SUMPRODUCT(($B$5:$B$335=$B302)*($AN$5:$AN$335=1)*(($AK$5:$AK$335&gt;$AK302)+(($AK$5:$AK$335=$AK302)*(ROW($B$5:$B$335)&lt;ROW())))))</f>
        <v/>
      </c>
      <c r="AP302" s="22" t="s">
        <v>131</v>
      </c>
      <c r="AQ302" s="25">
        <f>IF(INDEX('01_Criterios'!$C$26:$C$36,MATCH($B302,'01_Criterios'!$B$26:$B$36,0))&lt;&gt;1,0,IF($AP302="Excluir",0,IF($AP302="Incluir",IF(AND(OR($F302="+",$F302="-"),ISNUMBER($G302),ISNUMBER($H302),COUNT($Q302:$AA302)&gt;0),1,0),IF('01_Criterios'!$C$18="Automática",IF(AND($AN302=1,$AO302&lt;&gt;"",$AO302&lt;=INDEX('01_Criterios'!$E$26:$E$36,MATCH($B302,'01_Criterios'!$B$26:$B$36,0))),1,0),0))))</f>
        <v>0</v>
      </c>
      <c r="AR302" s="25" t="str">
        <f>IF(AQ302=0,"",IF($AO302&lt;&gt;"",1+SUMPRODUCT(($B$5:$B$335=$B302)*($AQ$5:$AQ$335=1)*($AO$5:$AO$335&lt;$AO302)),1+SUMPRODUCT(($B$5:$B$335=$B302)*($AQ$5:$AQ$335=1)*ISNUMBER($AO$5:$AO$335))+SUMPRODUCT(($B$5:$B$335=$B302)*($AQ$5:$AQ$335=1)*($AO$5:$AO$335="")*(ROW($AO$5:$AO$335)&lt;ROW()))))</f>
        <v/>
      </c>
      <c r="AS302" s="24" t="s">
        <v>1615</v>
      </c>
    </row>
    <row r="303" spans="1:45">
      <c r="A303" s="20" t="s">
        <v>1616</v>
      </c>
      <c r="B303" s="21" t="s">
        <v>85</v>
      </c>
      <c r="C303" s="21" t="s">
        <v>1554</v>
      </c>
      <c r="D303" s="21" t="s">
        <v>1617</v>
      </c>
      <c r="E303" s="20" t="s">
        <v>742</v>
      </c>
      <c r="F303" s="20" t="s">
        <v>316</v>
      </c>
      <c r="G303" s="20">
        <v>0</v>
      </c>
      <c r="H303" s="20">
        <v>100</v>
      </c>
      <c r="I303" s="20"/>
      <c r="J303" s="22">
        <v>1</v>
      </c>
      <c r="K303" s="21" t="s">
        <v>204</v>
      </c>
      <c r="L303" s="20" t="s">
        <v>1618</v>
      </c>
      <c r="M303" s="21" t="s">
        <v>161</v>
      </c>
      <c r="N303" s="20">
        <v>0</v>
      </c>
      <c r="O303" s="21" t="s">
        <v>1558</v>
      </c>
      <c r="P303" s="20" t="s">
        <v>180</v>
      </c>
      <c r="Q303" s="6">
        <v>36.484321673149999</v>
      </c>
      <c r="R303" s="6">
        <v>35.700769748201097</v>
      </c>
      <c r="S303" s="6">
        <v>34.9149474913932</v>
      </c>
      <c r="T303" s="6">
        <v>34.126786327662799</v>
      </c>
      <c r="U303" s="6">
        <v>33.3362176819467</v>
      </c>
      <c r="V303" s="6">
        <v>32.5431729791813</v>
      </c>
      <c r="W303" s="6">
        <v>31.747583644303099</v>
      </c>
      <c r="X303" s="6">
        <v>30.949381102248701</v>
      </c>
      <c r="Y303" s="6">
        <v>30.1484967779543</v>
      </c>
      <c r="Z303" s="6">
        <v>29.344862096356501</v>
      </c>
      <c r="AA303" s="6">
        <v>28.5384084823915</v>
      </c>
      <c r="AB303" s="20">
        <f>COUNT(Q303:AA303)</f>
        <v>11</v>
      </c>
      <c r="AC303" s="23">
        <f>AB303/11</f>
        <v>1</v>
      </c>
      <c r="AD303" s="20">
        <f>IFERROR(INDEX($Q$4:$AA$4,MATCH(TRUE,INDEX(ISNUMBER(Q303:AA303),0),0)),"")</f>
        <v>2015</v>
      </c>
      <c r="AE303" s="20">
        <f>IFERROR(LOOKUP(2,1/ISNUMBER(Q303:AA303),$Q$4:$AA$4),"")</f>
        <v>2025</v>
      </c>
      <c r="AF303" s="23">
        <f>IF(AB303=0,"",AB303/(AE303-AD303+1))</f>
        <v>1</v>
      </c>
      <c r="AG303" s="20">
        <f>IF(AB303=0,"",'01_Criterios'!$C$8-AE303)</f>
        <v>0</v>
      </c>
      <c r="AH303" s="7">
        <f>IF(P303="Em uso",100,IF(P303="Alta",85,IF(P303="Média",55,30)))</f>
        <v>55</v>
      </c>
      <c r="AI303" s="7">
        <f>ROUND(100*AC303,1)</f>
        <v>100</v>
      </c>
      <c r="AJ303" s="7">
        <f>IF(AB303=0,0,ROUND(MAX(0,100*AF303-10*AG303),1))</f>
        <v>100</v>
      </c>
      <c r="AK303" s="7">
        <f>ROUND(('01_Criterios'!$C$19*AH303+'01_Criterios'!$C$20*AI303+'01_Criterios'!$C$21*AJ303)/('01_Criterios'!$C$19+'01_Criterios'!$C$20+'01_Criterios'!$C$21)+N303*'01_Criterios'!$C$22,1)</f>
        <v>82</v>
      </c>
      <c r="AL303" s="20">
        <f>IF(AND(AB303&gt;=3,AC303&gt;='01_Criterios'!$C$11,N(AE303)&gt;='01_Criterios'!$C$12,OR(F303="+",F303="-"),ISNUMBER(G303),ISNUMBER(H303)),1,0)</f>
        <v>0</v>
      </c>
      <c r="AM303" s="24" t="str">
        <f>IF(AL303=1,"",TRIM(IF(AB303=0,"sem dados no período; ",IF(AB303&lt;3,"série demasiado curta; ",""))&amp;IF(AND(AB303&gt;0,AC303&lt;'01_Criterios'!$C$11),"cobertura insuficiente; ","")&amp;IF(AND(AB303&gt;0,N(AE303)&lt;'01_Criterios'!$C$12),"desactualizado; ","")&amp;IF(AND(F303&lt;&gt;"+",F303&lt;&gt;"-"),"sentido ambíguo; ","")&amp;IF(OR(NOT(ISNUMBER(G303)),NOT(ISNUMBER(H303))),"sem limites min/max; ","")))</f>
        <v>sentido ambíguo;</v>
      </c>
      <c r="AN303" s="20">
        <f>IF(OR(AL303=0,$AP303="Excluir"),0,IF(SUMPRODUCT(($O$5:$O$335=$O303)*($AL$5:$AL$335=1)*($AP$5:$AP$335&lt;&gt;"Excluir")*(($AK$5:$AK$335&gt;$AK303)+(($AK$5:$AK$335=$AK303)*(ROW($O$5:$O$335)&lt;ROW()))))=0,1,0))</f>
        <v>0</v>
      </c>
      <c r="AO303" s="20" t="str">
        <f>IF(AN303=0,"",1+SUMPRODUCT(($B$5:$B$335=$B303)*($AN$5:$AN$335=1)*(($AK$5:$AK$335&gt;$AK303)+(($AK$5:$AK$335=$AK303)*(ROW($B$5:$B$335)&lt;ROW())))))</f>
        <v/>
      </c>
      <c r="AP303" s="22" t="s">
        <v>131</v>
      </c>
      <c r="AQ303" s="20">
        <f>IF(INDEX('01_Criterios'!$C$26:$C$36,MATCH($B303,'01_Criterios'!$B$26:$B$36,0))&lt;&gt;1,0,IF($AP303="Excluir",0,IF($AP303="Incluir",IF(AND(OR($F303="+",$F303="-"),ISNUMBER($G303),ISNUMBER($H303),COUNT($Q303:$AA303)&gt;0),1,0),IF('01_Criterios'!$C$18="Automática",IF(AND($AN303=1,$AO303&lt;&gt;"",$AO303&lt;=INDEX('01_Criterios'!$E$26:$E$36,MATCH($B303,'01_Criterios'!$B$26:$B$36,0))),1,0),0))))</f>
        <v>0</v>
      </c>
      <c r="AR303" s="20" t="str">
        <f>IF(AQ303=0,"",IF($AO303&lt;&gt;"",1+SUMPRODUCT(($B$5:$B$335=$B303)*($AQ$5:$AQ$335=1)*($AO$5:$AO$335&lt;$AO303)),1+SUMPRODUCT(($B$5:$B$335=$B303)*($AQ$5:$AQ$335=1)*ISNUMBER($AO$5:$AO$335))+SUMPRODUCT(($B$5:$B$335=$B303)*($AQ$5:$AQ$335=1)*($AO$5:$AO$335="")*(ROW($AO$5:$AO$335)&lt;ROW()))))</f>
        <v/>
      </c>
      <c r="AS303" s="24" t="s">
        <v>1619</v>
      </c>
    </row>
    <row r="304" spans="1:45">
      <c r="A304" s="25" t="s">
        <v>1620</v>
      </c>
      <c r="B304" s="26" t="s">
        <v>85</v>
      </c>
      <c r="C304" s="26" t="s">
        <v>1621</v>
      </c>
      <c r="D304" s="26" t="s">
        <v>1622</v>
      </c>
      <c r="E304" s="25" t="s">
        <v>1623</v>
      </c>
      <c r="F304" s="25" t="s">
        <v>316</v>
      </c>
      <c r="G304" s="25">
        <v>10.5</v>
      </c>
      <c r="H304" s="25">
        <v>32</v>
      </c>
      <c r="I304" s="25"/>
      <c r="J304" s="22">
        <v>1</v>
      </c>
      <c r="K304" s="26" t="s">
        <v>204</v>
      </c>
      <c r="L304" s="25" t="s">
        <v>1624</v>
      </c>
      <c r="M304" s="26" t="s">
        <v>161</v>
      </c>
      <c r="N304" s="25">
        <v>0</v>
      </c>
      <c r="O304" s="26" t="s">
        <v>1564</v>
      </c>
      <c r="P304" s="25" t="s">
        <v>180</v>
      </c>
      <c r="Q304" s="27">
        <v>22.5858650838213</v>
      </c>
      <c r="R304" s="27">
        <v>23.408253790005599</v>
      </c>
      <c r="S304" s="27">
        <v>24.251896205983801</v>
      </c>
      <c r="T304" s="27">
        <v>25.103998556188301</v>
      </c>
      <c r="U304" s="27">
        <v>25.969063928772002</v>
      </c>
      <c r="V304" s="27">
        <v>26.831741397288798</v>
      </c>
      <c r="W304" s="27">
        <v>27.6990687414775</v>
      </c>
      <c r="X304" s="27">
        <v>28.583483596695299</v>
      </c>
      <c r="Y304" s="27">
        <v>29.4777460495709</v>
      </c>
      <c r="Z304" s="27"/>
      <c r="AA304" s="27"/>
      <c r="AB304" s="25">
        <f>COUNT(Q304:AA304)</f>
        <v>9</v>
      </c>
      <c r="AC304" s="28">
        <f>AB304/11</f>
        <v>0.81818181818181823</v>
      </c>
      <c r="AD304" s="25">
        <f>IFERROR(INDEX($Q$4:$AA$4,MATCH(TRUE,INDEX(ISNUMBER(Q304:AA304),0),0)),"")</f>
        <v>2015</v>
      </c>
      <c r="AE304" s="25">
        <f>IFERROR(LOOKUP(2,1/ISNUMBER(Q304:AA304),$Q$4:$AA$4),"")</f>
        <v>2023</v>
      </c>
      <c r="AF304" s="28">
        <f>IF(AB304=0,"",AB304/(AE304-AD304+1))</f>
        <v>1</v>
      </c>
      <c r="AG304" s="25">
        <f>IF(AB304=0,"",'01_Criterios'!$C$8-AE304)</f>
        <v>2</v>
      </c>
      <c r="AH304" s="29">
        <f>IF(P304="Em uso",100,IF(P304="Alta",85,IF(P304="Média",55,30)))</f>
        <v>55</v>
      </c>
      <c r="AI304" s="29">
        <f>ROUND(100*AC304,1)</f>
        <v>81.8</v>
      </c>
      <c r="AJ304" s="29">
        <f>IF(AB304=0,0,ROUND(MAX(0,100*AF304-10*AG304),1))</f>
        <v>80</v>
      </c>
      <c r="AK304" s="29">
        <f>ROUND(('01_Criterios'!$C$19*AH304+'01_Criterios'!$C$20*AI304+'01_Criterios'!$C$21*AJ304)/('01_Criterios'!$C$19+'01_Criterios'!$C$20+'01_Criterios'!$C$21)+N304*'01_Criterios'!$C$22,1)</f>
        <v>70.599999999999994</v>
      </c>
      <c r="AL304" s="25">
        <f>IF(AND(AB304&gt;=3,AC304&gt;='01_Criterios'!$C$11,N(AE304)&gt;='01_Criterios'!$C$12,OR(F304="+",F304="-"),ISNUMBER(G304),ISNUMBER(H304)),1,0)</f>
        <v>0</v>
      </c>
      <c r="AM304" s="30" t="str">
        <f>IF(AL304=1,"",TRIM(IF(AB304=0,"sem dados no período; ",IF(AB304&lt;3,"série demasiado curta; ",""))&amp;IF(AND(AB304&gt;0,AC304&lt;'01_Criterios'!$C$11),"cobertura insuficiente; ","")&amp;IF(AND(AB304&gt;0,N(AE304)&lt;'01_Criterios'!$C$12),"desactualizado; ","")&amp;IF(AND(F304&lt;&gt;"+",F304&lt;&gt;"-"),"sentido ambíguo; ","")&amp;IF(OR(NOT(ISNUMBER(G304)),NOT(ISNUMBER(H304))),"sem limites min/max; ","")))</f>
        <v>sentido ambíguo;</v>
      </c>
      <c r="AN304" s="25">
        <f>IF(OR(AL304=0,$AP304="Excluir"),0,IF(SUMPRODUCT(($O$5:$O$335=$O304)*($AL$5:$AL$335=1)*($AP$5:$AP$335&lt;&gt;"Excluir")*(($AK$5:$AK$335&gt;$AK304)+(($AK$5:$AK$335=$AK304)*(ROW($O$5:$O$335)&lt;ROW()))))=0,1,0))</f>
        <v>0</v>
      </c>
      <c r="AO304" s="25" t="str">
        <f>IF(AN304=0,"",1+SUMPRODUCT(($B$5:$B$335=$B304)*($AN$5:$AN$335=1)*(($AK$5:$AK$335&gt;$AK304)+(($AK$5:$AK$335=$AK304)*(ROW($B$5:$B$335)&lt;ROW())))))</f>
        <v/>
      </c>
      <c r="AP304" s="22" t="s">
        <v>131</v>
      </c>
      <c r="AQ304" s="25">
        <f>IF(INDEX('01_Criterios'!$C$26:$C$36,MATCH($B304,'01_Criterios'!$B$26:$B$36,0))&lt;&gt;1,0,IF($AP304="Excluir",0,IF($AP304="Incluir",IF(AND(OR($F304="+",$F304="-"),ISNUMBER($G304),ISNUMBER($H304),COUNT($Q304:$AA304)&gt;0),1,0),IF('01_Criterios'!$C$18="Automática",IF(AND($AN304=1,$AO304&lt;&gt;"",$AO304&lt;=INDEX('01_Criterios'!$E$26:$E$36,MATCH($B304,'01_Criterios'!$B$26:$B$36,0))),1,0),0))))</f>
        <v>0</v>
      </c>
      <c r="AR304" s="25" t="str">
        <f>IF(AQ304=0,"",IF($AO304&lt;&gt;"",1+SUMPRODUCT(($B$5:$B$335=$B304)*($AQ$5:$AQ$335=1)*($AO$5:$AO$335&lt;$AO304)),1+SUMPRODUCT(($B$5:$B$335=$B304)*($AQ$5:$AQ$335=1)*ISNUMBER($AO$5:$AO$335))+SUMPRODUCT(($B$5:$B$335=$B304)*($AQ$5:$AQ$335=1)*($AO$5:$AO$335="")*(ROW($AO$5:$AO$335)&lt;ROW()))))</f>
        <v/>
      </c>
      <c r="AS304" s="24" t="s">
        <v>1625</v>
      </c>
    </row>
    <row r="305" spans="1:45">
      <c r="A305" s="20" t="s">
        <v>1626</v>
      </c>
      <c r="B305" s="21" t="s">
        <v>85</v>
      </c>
      <c r="C305" s="21" t="s">
        <v>1576</v>
      </c>
      <c r="D305" s="21" t="s">
        <v>1627</v>
      </c>
      <c r="E305" s="20" t="s">
        <v>1578</v>
      </c>
      <c r="F305" s="20" t="s">
        <v>158</v>
      </c>
      <c r="G305" s="20">
        <v>0</v>
      </c>
      <c r="H305" s="20">
        <v>120</v>
      </c>
      <c r="I305" s="20">
        <v>55</v>
      </c>
      <c r="J305" s="22">
        <v>1</v>
      </c>
      <c r="K305" s="21" t="s">
        <v>204</v>
      </c>
      <c r="L305" s="20" t="s">
        <v>1628</v>
      </c>
      <c r="M305" s="21" t="s">
        <v>161</v>
      </c>
      <c r="N305" s="20">
        <v>0</v>
      </c>
      <c r="O305" s="21" t="s">
        <v>1580</v>
      </c>
      <c r="P305" s="20" t="s">
        <v>180</v>
      </c>
      <c r="Q305" s="6">
        <v>87.008381117171993</v>
      </c>
      <c r="R305" s="6">
        <v>87.027726097287598</v>
      </c>
      <c r="S305" s="6">
        <v>86.913965845323204</v>
      </c>
      <c r="T305" s="6">
        <v>86.734756445269596</v>
      </c>
      <c r="U305" s="6">
        <v>86.457279911804406</v>
      </c>
      <c r="V305" s="6">
        <v>86.153834624077703</v>
      </c>
      <c r="W305" s="6">
        <v>85.793014423644195</v>
      </c>
      <c r="X305" s="6">
        <v>85.303819285664503</v>
      </c>
      <c r="Y305" s="6">
        <v>84.711918990655803</v>
      </c>
      <c r="Z305" s="6">
        <v>84.003421381565005</v>
      </c>
      <c r="AA305" s="6">
        <v>83.194338360573227</v>
      </c>
      <c r="AB305" s="20">
        <f>COUNT(Q305:AA305)</f>
        <v>11</v>
      </c>
      <c r="AC305" s="23">
        <f>AB305/11</f>
        <v>1</v>
      </c>
      <c r="AD305" s="20">
        <f>IFERROR(INDEX($Q$4:$AA$4,MATCH(TRUE,INDEX(ISNUMBER(Q305:AA305),0),0)),"")</f>
        <v>2015</v>
      </c>
      <c r="AE305" s="20">
        <f>IFERROR(LOOKUP(2,1/ISNUMBER(Q305:AA305),$Q$4:$AA$4),"")</f>
        <v>2025</v>
      </c>
      <c r="AF305" s="23">
        <f>IF(AB305=0,"",AB305/(AE305-AD305+1))</f>
        <v>1</v>
      </c>
      <c r="AG305" s="20">
        <f>IF(AB305=0,"",'01_Criterios'!$C$8-AE305)</f>
        <v>0</v>
      </c>
      <c r="AH305" s="7">
        <f>IF(P305="Em uso",100,IF(P305="Alta",85,IF(P305="Média",55,30)))</f>
        <v>55</v>
      </c>
      <c r="AI305" s="7">
        <f>ROUND(100*AC305,1)</f>
        <v>100</v>
      </c>
      <c r="AJ305" s="7">
        <f>IF(AB305=0,0,ROUND(MAX(0,100*AF305-10*AG305),1))</f>
        <v>100</v>
      </c>
      <c r="AK305" s="7">
        <f>ROUND(('01_Criterios'!$C$19*AH305+'01_Criterios'!$C$20*AI305+'01_Criterios'!$C$21*AJ305)/('01_Criterios'!$C$19+'01_Criterios'!$C$20+'01_Criterios'!$C$21)+N305*'01_Criterios'!$C$22,1)</f>
        <v>82</v>
      </c>
      <c r="AL305" s="20">
        <f>IF(AND(AB305&gt;=3,AC305&gt;='01_Criterios'!$C$11,N(AE305)&gt;='01_Criterios'!$C$12,OR(F305="+",F305="-"),ISNUMBER(G305),ISNUMBER(H305)),1,0)</f>
        <v>1</v>
      </c>
      <c r="AM305" s="24" t="str">
        <f>IF(AL305=1,"",TRIM(IF(AB305=0,"sem dados no período; ",IF(AB305&lt;3,"série demasiado curta; ",""))&amp;IF(AND(AB305&gt;0,AC305&lt;'01_Criterios'!$C$11),"cobertura insuficiente; ","")&amp;IF(AND(AB305&gt;0,N(AE305)&lt;'01_Criterios'!$C$12),"desactualizado; ","")&amp;IF(AND(F305&lt;&gt;"+",F305&lt;&gt;"-"),"sentido ambíguo; ","")&amp;IF(OR(NOT(ISNUMBER(G305)),NOT(ISNUMBER(H305))),"sem limites min/max; ","")))</f>
        <v/>
      </c>
      <c r="AN305" s="20">
        <f>IF(OR(AL305=0,$AP305="Excluir"),0,IF(SUMPRODUCT(($O$5:$O$335=$O305)*($AL$5:$AL$335=1)*($AP$5:$AP$335&lt;&gt;"Excluir")*(($AK$5:$AK$335&gt;$AK305)+(($AK$5:$AK$335=$AK305)*(ROW($O$5:$O$335)&lt;ROW()))))=0,1,0))</f>
        <v>0</v>
      </c>
      <c r="AO305" s="20" t="str">
        <f>IF(AN305=0,"",1+SUMPRODUCT(($B$5:$B$335=$B305)*($AN$5:$AN$335=1)*(($AK$5:$AK$335&gt;$AK305)+(($AK$5:$AK$335=$AK305)*(ROW($B$5:$B$335)&lt;ROW())))))</f>
        <v/>
      </c>
      <c r="AP305" s="22" t="s">
        <v>131</v>
      </c>
      <c r="AQ305" s="20">
        <f>IF(INDEX('01_Criterios'!$C$26:$C$36,MATCH($B305,'01_Criterios'!$B$26:$B$36,0))&lt;&gt;1,0,IF($AP305="Excluir",0,IF($AP305="Incluir",IF(AND(OR($F305="+",$F305="-"),ISNUMBER($G305),ISNUMBER($H305),COUNT($Q305:$AA305)&gt;0),1,0),IF('01_Criterios'!$C$18="Automática",IF(AND($AN305=1,$AO305&lt;&gt;"",$AO305&lt;=INDEX('01_Criterios'!$E$26:$E$36,MATCH($B305,'01_Criterios'!$B$26:$B$36,0))),1,0),0))))</f>
        <v>0</v>
      </c>
      <c r="AR305" s="20" t="str">
        <f>IF(AQ305=0,"",IF($AO305&lt;&gt;"",1+SUMPRODUCT(($B$5:$B$335=$B305)*($AQ$5:$AQ$335=1)*($AO$5:$AO$335&lt;$AO305)),1+SUMPRODUCT(($B$5:$B$335=$B305)*($AQ$5:$AQ$335=1)*ISNUMBER($AO$5:$AO$335))+SUMPRODUCT(($B$5:$B$335=$B305)*($AQ$5:$AQ$335=1)*($AO$5:$AO$335="")*(ROW($AO$5:$AO$335)&lt;ROW()))))</f>
        <v/>
      </c>
      <c r="AS305" s="24" t="s">
        <v>1629</v>
      </c>
    </row>
    <row r="306" spans="1:45">
      <c r="A306" s="25" t="s">
        <v>1630</v>
      </c>
      <c r="B306" s="26" t="s">
        <v>85</v>
      </c>
      <c r="C306" s="26" t="s">
        <v>1631</v>
      </c>
      <c r="D306" s="26" t="s">
        <v>1632</v>
      </c>
      <c r="E306" s="25" t="s">
        <v>237</v>
      </c>
      <c r="F306" s="25" t="s">
        <v>316</v>
      </c>
      <c r="G306" s="25">
        <v>-23600</v>
      </c>
      <c r="H306" s="25">
        <v>151000</v>
      </c>
      <c r="I306" s="25"/>
      <c r="J306" s="22">
        <v>1</v>
      </c>
      <c r="K306" s="26" t="s">
        <v>204</v>
      </c>
      <c r="L306" s="25" t="s">
        <v>1633</v>
      </c>
      <c r="M306" s="26" t="s">
        <v>161</v>
      </c>
      <c r="N306" s="25">
        <v>0</v>
      </c>
      <c r="O306" s="26" t="s">
        <v>1630</v>
      </c>
      <c r="P306" s="25" t="s">
        <v>180</v>
      </c>
      <c r="Q306" s="27">
        <v>74171</v>
      </c>
      <c r="R306" s="27">
        <v>91614</v>
      </c>
      <c r="S306" s="27">
        <v>77731</v>
      </c>
      <c r="T306" s="27">
        <v>61632</v>
      </c>
      <c r="U306" s="27">
        <v>58984</v>
      </c>
      <c r="V306" s="27">
        <v>7556</v>
      </c>
      <c r="W306" s="27">
        <v>29094</v>
      </c>
      <c r="X306" s="27">
        <v>-995</v>
      </c>
      <c r="Y306" s="27">
        <v>-995</v>
      </c>
      <c r="Z306" s="27">
        <v>-2629</v>
      </c>
      <c r="AA306" s="27">
        <v>-3524</v>
      </c>
      <c r="AB306" s="25">
        <f>COUNT(Q306:AA306)</f>
        <v>11</v>
      </c>
      <c r="AC306" s="28">
        <f>AB306/11</f>
        <v>1</v>
      </c>
      <c r="AD306" s="25">
        <f>IFERROR(INDEX($Q$4:$AA$4,MATCH(TRUE,INDEX(ISNUMBER(Q306:AA306),0),0)),"")</f>
        <v>2015</v>
      </c>
      <c r="AE306" s="25">
        <f>IFERROR(LOOKUP(2,1/ISNUMBER(Q306:AA306),$Q$4:$AA$4),"")</f>
        <v>2025</v>
      </c>
      <c r="AF306" s="28">
        <f>IF(AB306=0,"",AB306/(AE306-AD306+1))</f>
        <v>1</v>
      </c>
      <c r="AG306" s="25">
        <f>IF(AB306=0,"",'01_Criterios'!$C$8-AE306)</f>
        <v>0</v>
      </c>
      <c r="AH306" s="29">
        <f>IF(P306="Em uso",100,IF(P306="Alta",85,IF(P306="Média",55,30)))</f>
        <v>55</v>
      </c>
      <c r="AI306" s="29">
        <f>ROUND(100*AC306,1)</f>
        <v>100</v>
      </c>
      <c r="AJ306" s="29">
        <f>IF(AB306=0,0,ROUND(MAX(0,100*AF306-10*AG306),1))</f>
        <v>100</v>
      </c>
      <c r="AK306" s="29">
        <f>ROUND(('01_Criterios'!$C$19*AH306+'01_Criterios'!$C$20*AI306+'01_Criterios'!$C$21*AJ306)/('01_Criterios'!$C$19+'01_Criterios'!$C$20+'01_Criterios'!$C$21)+N306*'01_Criterios'!$C$22,1)</f>
        <v>82</v>
      </c>
      <c r="AL306" s="25">
        <f>IF(AND(AB306&gt;=3,AC306&gt;='01_Criterios'!$C$11,N(AE306)&gt;='01_Criterios'!$C$12,OR(F306="+",F306="-"),ISNUMBER(G306),ISNUMBER(H306)),1,0)</f>
        <v>0</v>
      </c>
      <c r="AM306" s="30" t="str">
        <f>IF(AL306=1,"",TRIM(IF(AB306=0,"sem dados no período; ",IF(AB306&lt;3,"série demasiado curta; ",""))&amp;IF(AND(AB306&gt;0,AC306&lt;'01_Criterios'!$C$11),"cobertura insuficiente; ","")&amp;IF(AND(AB306&gt;0,N(AE306)&lt;'01_Criterios'!$C$12),"desactualizado; ","")&amp;IF(AND(F306&lt;&gt;"+",F306&lt;&gt;"-"),"sentido ambíguo; ","")&amp;IF(OR(NOT(ISNUMBER(G306)),NOT(ISNUMBER(H306))),"sem limites min/max; ","")))</f>
        <v>sentido ambíguo;</v>
      </c>
      <c r="AN306" s="25">
        <f>IF(OR(AL306=0,$AP306="Excluir"),0,IF(SUMPRODUCT(($O$5:$O$335=$O306)*($AL$5:$AL$335=1)*($AP$5:$AP$335&lt;&gt;"Excluir")*(($AK$5:$AK$335&gt;$AK306)+(($AK$5:$AK$335=$AK306)*(ROW($O$5:$O$335)&lt;ROW()))))=0,1,0))</f>
        <v>0</v>
      </c>
      <c r="AO306" s="25" t="str">
        <f>IF(AN306=0,"",1+SUMPRODUCT(($B$5:$B$335=$B306)*($AN$5:$AN$335=1)*(($AK$5:$AK$335&gt;$AK306)+(($AK$5:$AK$335=$AK306)*(ROW($B$5:$B$335)&lt;ROW())))))</f>
        <v/>
      </c>
      <c r="AP306" s="22" t="s">
        <v>131</v>
      </c>
      <c r="AQ306" s="25">
        <f>IF(INDEX('01_Criterios'!$C$26:$C$36,MATCH($B306,'01_Criterios'!$B$26:$B$36,0))&lt;&gt;1,0,IF($AP306="Excluir",0,IF($AP306="Incluir",IF(AND(OR($F306="+",$F306="-"),ISNUMBER($G306),ISNUMBER($H306),COUNT($Q306:$AA306)&gt;0),1,0),IF('01_Criterios'!$C$18="Automática",IF(AND($AN306=1,$AO306&lt;&gt;"",$AO306&lt;=INDEX('01_Criterios'!$E$26:$E$36,MATCH($B306,'01_Criterios'!$B$26:$B$36,0))),1,0),0))))</f>
        <v>0</v>
      </c>
      <c r="AR306" s="25" t="str">
        <f>IF(AQ306=0,"",IF($AO306&lt;&gt;"",1+SUMPRODUCT(($B$5:$B$335=$B306)*($AQ$5:$AQ$335=1)*($AO$5:$AO$335&lt;$AO306)),1+SUMPRODUCT(($B$5:$B$335=$B306)*($AQ$5:$AQ$335=1)*ISNUMBER($AO$5:$AO$335))+SUMPRODUCT(($B$5:$B$335=$B306)*($AQ$5:$AQ$335=1)*($AO$5:$AO$335="")*(ROW($AO$5:$AO$335)&lt;ROW()))))</f>
        <v/>
      </c>
      <c r="AS306" s="24" t="s">
        <v>1634</v>
      </c>
    </row>
    <row r="307" spans="1:45">
      <c r="A307" s="20" t="s">
        <v>1635</v>
      </c>
      <c r="B307" s="21" t="s">
        <v>85</v>
      </c>
      <c r="C307" s="21" t="s">
        <v>1554</v>
      </c>
      <c r="D307" s="21" t="s">
        <v>1636</v>
      </c>
      <c r="E307" s="20" t="s">
        <v>1568</v>
      </c>
      <c r="F307" s="20" t="s">
        <v>316</v>
      </c>
      <c r="G307" s="20">
        <v>0</v>
      </c>
      <c r="H307" s="20">
        <v>10</v>
      </c>
      <c r="I307" s="20"/>
      <c r="J307" s="22">
        <v>1</v>
      </c>
      <c r="K307" s="21" t="s">
        <v>204</v>
      </c>
      <c r="L307" s="20" t="s">
        <v>1637</v>
      </c>
      <c r="M307" s="21" t="s">
        <v>161</v>
      </c>
      <c r="N307" s="20">
        <v>0</v>
      </c>
      <c r="O307" s="21" t="s">
        <v>1558</v>
      </c>
      <c r="P307" s="20" t="s">
        <v>180</v>
      </c>
      <c r="Q307" s="6">
        <v>4.8607395287573203</v>
      </c>
      <c r="R307" s="6">
        <v>4.8025298693628198</v>
      </c>
      <c r="S307" s="6">
        <v>4.7553404967496604</v>
      </c>
      <c r="T307" s="6">
        <v>4.6569307143155001</v>
      </c>
      <c r="U307" s="6">
        <v>4.5808761399306697</v>
      </c>
      <c r="V307" s="6">
        <v>4.4505549877996602</v>
      </c>
      <c r="W307" s="6">
        <v>4.35382721450146</v>
      </c>
      <c r="X307" s="6">
        <v>4.3057272623966503</v>
      </c>
      <c r="Y307" s="6">
        <v>4.2338328023242697</v>
      </c>
      <c r="Z307" s="6">
        <v>4.1881217387596399</v>
      </c>
      <c r="AA307" s="6">
        <v>4.1359376975306494</v>
      </c>
      <c r="AB307" s="20">
        <f>COUNT(Q307:AA307)</f>
        <v>11</v>
      </c>
      <c r="AC307" s="23">
        <f>AB307/11</f>
        <v>1</v>
      </c>
      <c r="AD307" s="20">
        <f>IFERROR(INDEX($Q$4:$AA$4,MATCH(TRUE,INDEX(ISNUMBER(Q307:AA307),0),0)),"")</f>
        <v>2015</v>
      </c>
      <c r="AE307" s="20">
        <f>IFERROR(LOOKUP(2,1/ISNUMBER(Q307:AA307),$Q$4:$AA$4),"")</f>
        <v>2025</v>
      </c>
      <c r="AF307" s="23">
        <f>IF(AB307=0,"",AB307/(AE307-AD307+1))</f>
        <v>1</v>
      </c>
      <c r="AG307" s="20">
        <f>IF(AB307=0,"",'01_Criterios'!$C$8-AE307)</f>
        <v>0</v>
      </c>
      <c r="AH307" s="7">
        <f>IF(P307="Em uso",100,IF(P307="Alta",85,IF(P307="Média",55,30)))</f>
        <v>55</v>
      </c>
      <c r="AI307" s="7">
        <f>ROUND(100*AC307,1)</f>
        <v>100</v>
      </c>
      <c r="AJ307" s="7">
        <f>IF(AB307=0,0,ROUND(MAX(0,100*AF307-10*AG307),1))</f>
        <v>100</v>
      </c>
      <c r="AK307" s="7">
        <f>ROUND(('01_Criterios'!$C$19*AH307+'01_Criterios'!$C$20*AI307+'01_Criterios'!$C$21*AJ307)/('01_Criterios'!$C$19+'01_Criterios'!$C$20+'01_Criterios'!$C$21)+N307*'01_Criterios'!$C$22,1)</f>
        <v>82</v>
      </c>
      <c r="AL307" s="20">
        <f>IF(AND(AB307&gt;=3,AC307&gt;='01_Criterios'!$C$11,N(AE307)&gt;='01_Criterios'!$C$12,OR(F307="+",F307="-"),ISNUMBER(G307),ISNUMBER(H307)),1,0)</f>
        <v>0</v>
      </c>
      <c r="AM307" s="24" t="str">
        <f>IF(AL307=1,"",TRIM(IF(AB307=0,"sem dados no período; ",IF(AB307&lt;3,"série demasiado curta; ",""))&amp;IF(AND(AB307&gt;0,AC307&lt;'01_Criterios'!$C$11),"cobertura insuficiente; ","")&amp;IF(AND(AB307&gt;0,N(AE307)&lt;'01_Criterios'!$C$12),"desactualizado; ","")&amp;IF(AND(F307&lt;&gt;"+",F307&lt;&gt;"-"),"sentido ambíguo; ","")&amp;IF(OR(NOT(ISNUMBER(G307)),NOT(ISNUMBER(H307))),"sem limites min/max; ","")))</f>
        <v>sentido ambíguo;</v>
      </c>
      <c r="AN307" s="20">
        <f>IF(OR(AL307=0,$AP307="Excluir"),0,IF(SUMPRODUCT(($O$5:$O$335=$O307)*($AL$5:$AL$335=1)*($AP$5:$AP$335&lt;&gt;"Excluir")*(($AK$5:$AK$335&gt;$AK307)+(($AK$5:$AK$335=$AK307)*(ROW($O$5:$O$335)&lt;ROW()))))=0,1,0))</f>
        <v>0</v>
      </c>
      <c r="AO307" s="20" t="str">
        <f>IF(AN307=0,"",1+SUMPRODUCT(($B$5:$B$335=$B307)*($AN$5:$AN$335=1)*(($AK$5:$AK$335&gt;$AK307)+(($AK$5:$AK$335=$AK307)*(ROW($B$5:$B$335)&lt;ROW())))))</f>
        <v/>
      </c>
      <c r="AP307" s="22" t="s">
        <v>131</v>
      </c>
      <c r="AQ307" s="20">
        <f>IF(INDEX('01_Criterios'!$C$26:$C$36,MATCH($B307,'01_Criterios'!$B$26:$B$36,0))&lt;&gt;1,0,IF($AP307="Excluir",0,IF($AP307="Incluir",IF(AND(OR($F307="+",$F307="-"),ISNUMBER($G307),ISNUMBER($H307),COUNT($Q307:$AA307)&gt;0),1,0),IF('01_Criterios'!$C$18="Automática",IF(AND($AN307=1,$AO307&lt;&gt;"",$AO307&lt;=INDEX('01_Criterios'!$E$26:$E$36,MATCH($B307,'01_Criterios'!$B$26:$B$36,0))),1,0),0))))</f>
        <v>0</v>
      </c>
      <c r="AR307" s="20" t="str">
        <f>IF(AQ307=0,"",IF($AO307&lt;&gt;"",1+SUMPRODUCT(($B$5:$B$335=$B307)*($AQ$5:$AQ$335=1)*($AO$5:$AO$335&lt;$AO307)),1+SUMPRODUCT(($B$5:$B$335=$B307)*($AQ$5:$AQ$335=1)*ISNUMBER($AO$5:$AO$335))+SUMPRODUCT(($B$5:$B$335=$B307)*($AQ$5:$AQ$335=1)*($AO$5:$AO$335="")*(ROW($AO$5:$AO$335)&lt;ROW()))))</f>
        <v/>
      </c>
      <c r="AS307" s="24" t="s">
        <v>1638</v>
      </c>
    </row>
    <row r="308" spans="1:45">
      <c r="A308" s="25" t="s">
        <v>1639</v>
      </c>
      <c r="B308" s="26" t="s">
        <v>85</v>
      </c>
      <c r="C308" s="26" t="s">
        <v>1576</v>
      </c>
      <c r="D308" s="26" t="s">
        <v>1640</v>
      </c>
      <c r="E308" s="25" t="s">
        <v>1578</v>
      </c>
      <c r="F308" s="25" t="s">
        <v>316</v>
      </c>
      <c r="G308" s="25">
        <v>0</v>
      </c>
      <c r="H308" s="25">
        <v>50</v>
      </c>
      <c r="I308" s="25"/>
      <c r="J308" s="22">
        <v>1</v>
      </c>
      <c r="K308" s="26" t="s">
        <v>204</v>
      </c>
      <c r="L308" s="25" t="s">
        <v>1641</v>
      </c>
      <c r="M308" s="26" t="s">
        <v>161</v>
      </c>
      <c r="N308" s="25">
        <v>0</v>
      </c>
      <c r="O308" s="26" t="s">
        <v>1580</v>
      </c>
      <c r="P308" s="25" t="s">
        <v>268</v>
      </c>
      <c r="Q308" s="27">
        <v>5.1721207834206204</v>
      </c>
      <c r="R308" s="27">
        <v>5.1602780097555101</v>
      </c>
      <c r="S308" s="27">
        <v>5.15758844517842</v>
      </c>
      <c r="T308" s="27">
        <v>5.1680129696373598</v>
      </c>
      <c r="U308" s="27">
        <v>5.1897597186682303</v>
      </c>
      <c r="V308" s="27">
        <v>5.2159928731596796</v>
      </c>
      <c r="W308" s="27">
        <v>5.2433838868342999</v>
      </c>
      <c r="X308" s="27">
        <v>5.2856925713096201</v>
      </c>
      <c r="Y308" s="27">
        <v>5.3433062845707404</v>
      </c>
      <c r="Z308" s="27">
        <v>5.4026592547731402</v>
      </c>
      <c r="AA308" s="27">
        <v>5.4614441411758534</v>
      </c>
      <c r="AB308" s="25">
        <f>COUNT(Q308:AA308)</f>
        <v>11</v>
      </c>
      <c r="AC308" s="28">
        <f>AB308/11</f>
        <v>1</v>
      </c>
      <c r="AD308" s="25">
        <f>IFERROR(INDEX($Q$4:$AA$4,MATCH(TRUE,INDEX(ISNUMBER(Q308:AA308),0),0)),"")</f>
        <v>2015</v>
      </c>
      <c r="AE308" s="25">
        <f>IFERROR(LOOKUP(2,1/ISNUMBER(Q308:AA308),$Q$4:$AA$4),"")</f>
        <v>2025</v>
      </c>
      <c r="AF308" s="28">
        <f>IF(AB308=0,"",AB308/(AE308-AD308+1))</f>
        <v>1</v>
      </c>
      <c r="AG308" s="25">
        <f>IF(AB308=0,"",'01_Criterios'!$C$8-AE308)</f>
        <v>0</v>
      </c>
      <c r="AH308" s="29">
        <f>IF(P308="Em uso",100,IF(P308="Alta",85,IF(P308="Média",55,30)))</f>
        <v>30</v>
      </c>
      <c r="AI308" s="29">
        <f>ROUND(100*AC308,1)</f>
        <v>100</v>
      </c>
      <c r="AJ308" s="29">
        <f>IF(AB308=0,0,ROUND(MAX(0,100*AF308-10*AG308),1))</f>
        <v>100</v>
      </c>
      <c r="AK308" s="29">
        <f>ROUND(('01_Criterios'!$C$19*AH308+'01_Criterios'!$C$20*AI308+'01_Criterios'!$C$21*AJ308)/('01_Criterios'!$C$19+'01_Criterios'!$C$20+'01_Criterios'!$C$21)+N308*'01_Criterios'!$C$22,1)</f>
        <v>72</v>
      </c>
      <c r="AL308" s="25">
        <f>IF(AND(AB308&gt;=3,AC308&gt;='01_Criterios'!$C$11,N(AE308)&gt;='01_Criterios'!$C$12,OR(F308="+",F308="-"),ISNUMBER(G308),ISNUMBER(H308)),1,0)</f>
        <v>0</v>
      </c>
      <c r="AM308" s="30" t="str">
        <f>IF(AL308=1,"",TRIM(IF(AB308=0,"sem dados no período; ",IF(AB308&lt;3,"série demasiado curta; ",""))&amp;IF(AND(AB308&gt;0,AC308&lt;'01_Criterios'!$C$11),"cobertura insuficiente; ","")&amp;IF(AND(AB308&gt;0,N(AE308)&lt;'01_Criterios'!$C$12),"desactualizado; ","")&amp;IF(AND(F308&lt;&gt;"+",F308&lt;&gt;"-"),"sentido ambíguo; ","")&amp;IF(OR(NOT(ISNUMBER(G308)),NOT(ISNUMBER(H308))),"sem limites min/max; ","")))</f>
        <v>sentido ambíguo;</v>
      </c>
      <c r="AN308" s="25">
        <f>IF(OR(AL308=0,$AP308="Excluir"),0,IF(SUMPRODUCT(($O$5:$O$335=$O308)*($AL$5:$AL$335=1)*($AP$5:$AP$335&lt;&gt;"Excluir")*(($AK$5:$AK$335&gt;$AK308)+(($AK$5:$AK$335=$AK308)*(ROW($O$5:$O$335)&lt;ROW()))))=0,1,0))</f>
        <v>0</v>
      </c>
      <c r="AO308" s="25" t="str">
        <f>IF(AN308=0,"",1+SUMPRODUCT(($B$5:$B$335=$B308)*($AN$5:$AN$335=1)*(($AK$5:$AK$335&gt;$AK308)+(($AK$5:$AK$335=$AK308)*(ROW($B$5:$B$335)&lt;ROW())))))</f>
        <v/>
      </c>
      <c r="AP308" s="22" t="s">
        <v>131</v>
      </c>
      <c r="AQ308" s="25">
        <f>IF(INDEX('01_Criterios'!$C$26:$C$36,MATCH($B308,'01_Criterios'!$B$26:$B$36,0))&lt;&gt;1,0,IF($AP308="Excluir",0,IF($AP308="Incluir",IF(AND(OR($F308="+",$F308="-"),ISNUMBER($G308),ISNUMBER($H308),COUNT($Q308:$AA308)&gt;0),1,0),IF('01_Criterios'!$C$18="Automática",IF(AND($AN308=1,$AO308&lt;&gt;"",$AO308&lt;=INDEX('01_Criterios'!$E$26:$E$36,MATCH($B308,'01_Criterios'!$B$26:$B$36,0))),1,0),0))))</f>
        <v>0</v>
      </c>
      <c r="AR308" s="25" t="str">
        <f>IF(AQ308=0,"",IF($AO308&lt;&gt;"",1+SUMPRODUCT(($B$5:$B$335=$B308)*($AQ$5:$AQ$335=1)*($AO$5:$AO$335&lt;$AO308)),1+SUMPRODUCT(($B$5:$B$335=$B308)*($AQ$5:$AQ$335=1)*ISNUMBER($AO$5:$AO$335))+SUMPRODUCT(($B$5:$B$335=$B308)*($AQ$5:$AQ$335=1)*($AO$5:$AO$335="")*(ROW($AO$5:$AO$335)&lt;ROW()))))</f>
        <v/>
      </c>
      <c r="AS308" s="24" t="s">
        <v>1642</v>
      </c>
    </row>
    <row r="309" spans="1:45">
      <c r="A309" s="20" t="s">
        <v>1643</v>
      </c>
      <c r="B309" s="21" t="s">
        <v>85</v>
      </c>
      <c r="C309" s="21" t="s">
        <v>1631</v>
      </c>
      <c r="D309" s="21" t="s">
        <v>1644</v>
      </c>
      <c r="E309" s="20" t="s">
        <v>237</v>
      </c>
      <c r="F309" s="20" t="s">
        <v>158</v>
      </c>
      <c r="G309" s="20">
        <v>0</v>
      </c>
      <c r="H309" s="20">
        <v>540000</v>
      </c>
      <c r="I309" s="20">
        <v>0</v>
      </c>
      <c r="J309" s="22">
        <v>1</v>
      </c>
      <c r="K309" s="21" t="s">
        <v>1645</v>
      </c>
      <c r="L309" s="20" t="s">
        <v>1646</v>
      </c>
      <c r="M309" s="21" t="s">
        <v>161</v>
      </c>
      <c r="N309" s="20">
        <v>0</v>
      </c>
      <c r="O309" s="21" t="s">
        <v>1647</v>
      </c>
      <c r="P309" s="20" t="s">
        <v>268</v>
      </c>
      <c r="Q309" s="6">
        <v>11855</v>
      </c>
      <c r="R309" s="6">
        <v>8388</v>
      </c>
      <c r="S309" s="6">
        <v>8292</v>
      </c>
      <c r="T309" s="6">
        <v>8243</v>
      </c>
      <c r="U309" s="6">
        <v>8176</v>
      </c>
      <c r="V309" s="6">
        <v>8196</v>
      </c>
      <c r="W309" s="6">
        <v>11403</v>
      </c>
      <c r="X309" s="6">
        <v>12021</v>
      </c>
      <c r="Y309" s="6">
        <v>11506</v>
      </c>
      <c r="Z309" s="6">
        <v>12545</v>
      </c>
      <c r="AA309" s="6">
        <v>13433</v>
      </c>
      <c r="AB309" s="20">
        <f>COUNT(Q309:AA309)</f>
        <v>11</v>
      </c>
      <c r="AC309" s="23">
        <f>AB309/11</f>
        <v>1</v>
      </c>
      <c r="AD309" s="20">
        <f>IFERROR(INDEX($Q$4:$AA$4,MATCH(TRUE,INDEX(ISNUMBER(Q309:AA309),0),0)),"")</f>
        <v>2015</v>
      </c>
      <c r="AE309" s="20">
        <f>IFERROR(LOOKUP(2,1/ISNUMBER(Q309:AA309),$Q$4:$AA$4),"")</f>
        <v>2025</v>
      </c>
      <c r="AF309" s="23">
        <f>IF(AB309=0,"",AB309/(AE309-AD309+1))</f>
        <v>1</v>
      </c>
      <c r="AG309" s="20">
        <f>IF(AB309=0,"",'01_Criterios'!$C$8-AE309)</f>
        <v>0</v>
      </c>
      <c r="AH309" s="7">
        <f>IF(P309="Em uso",100,IF(P309="Alta",85,IF(P309="Média",55,30)))</f>
        <v>30</v>
      </c>
      <c r="AI309" s="7">
        <f>ROUND(100*AC309,1)</f>
        <v>100</v>
      </c>
      <c r="AJ309" s="7">
        <f>IF(AB309=0,0,ROUND(MAX(0,100*AF309-10*AG309),1))</f>
        <v>100</v>
      </c>
      <c r="AK309" s="7">
        <f>ROUND(('01_Criterios'!$C$19*AH309+'01_Criterios'!$C$20*AI309+'01_Criterios'!$C$21*AJ309)/('01_Criterios'!$C$19+'01_Criterios'!$C$20+'01_Criterios'!$C$21)+N309*'01_Criterios'!$C$22,1)</f>
        <v>72</v>
      </c>
      <c r="AL309" s="20">
        <f>IF(AND(AB309&gt;=3,AC309&gt;='01_Criterios'!$C$11,N(AE309)&gt;='01_Criterios'!$C$12,OR(F309="+",F309="-"),ISNUMBER(G309),ISNUMBER(H309)),1,0)</f>
        <v>1</v>
      </c>
      <c r="AM309" s="24" t="str">
        <f>IF(AL309=1,"",TRIM(IF(AB309=0,"sem dados no período; ",IF(AB309&lt;3,"série demasiado curta; ",""))&amp;IF(AND(AB309&gt;0,AC309&lt;'01_Criterios'!$C$11),"cobertura insuficiente; ","")&amp;IF(AND(AB309&gt;0,N(AE309)&lt;'01_Criterios'!$C$12),"desactualizado; ","")&amp;IF(AND(F309&lt;&gt;"+",F309&lt;&gt;"-"),"sentido ambíguo; ","")&amp;IF(OR(NOT(ISNUMBER(G309)),NOT(ISNUMBER(H309))),"sem limites min/max; ","")))</f>
        <v/>
      </c>
      <c r="AN309" s="20">
        <f>IF(OR(AL309=0,$AP309="Excluir"),0,IF(SUMPRODUCT(($O$5:$O$335=$O309)*($AL$5:$AL$335=1)*($AP$5:$AP$335&lt;&gt;"Excluir")*(($AK$5:$AK$335&gt;$AK309)+(($AK$5:$AK$335=$AK309)*(ROW($O$5:$O$335)&lt;ROW()))))=0,1,0))</f>
        <v>1</v>
      </c>
      <c r="AO309" s="20">
        <f>IF(AN309=0,"",1+SUMPRODUCT(($B$5:$B$335=$B309)*($AN$5:$AN$335=1)*(($AK$5:$AK$335&gt;$AK309)+(($AK$5:$AK$335=$AK309)*(ROW($B$5:$B$335)&lt;ROW())))))</f>
        <v>5</v>
      </c>
      <c r="AP309" s="22" t="s">
        <v>131</v>
      </c>
      <c r="AQ309" s="20">
        <f>IF(INDEX('01_Criterios'!$C$26:$C$36,MATCH($B309,'01_Criterios'!$B$26:$B$36,0))&lt;&gt;1,0,IF($AP309="Excluir",0,IF($AP309="Incluir",IF(AND(OR($F309="+",$F309="-"),ISNUMBER($G309),ISNUMBER($H309),COUNT($Q309:$AA309)&gt;0),1,0),IF('01_Criterios'!$C$18="Automática",IF(AND($AN309=1,$AO309&lt;&gt;"",$AO309&lt;=INDEX('01_Criterios'!$E$26:$E$36,MATCH($B309,'01_Criterios'!$B$26:$B$36,0))),1,0),0))))</f>
        <v>0</v>
      </c>
      <c r="AR309" s="20" t="str">
        <f>IF(AQ309=0,"",IF($AO309&lt;&gt;"",1+SUMPRODUCT(($B$5:$B$335=$B309)*($AQ$5:$AQ$335=1)*($AO$5:$AO$335&lt;$AO309)),1+SUMPRODUCT(($B$5:$B$335=$B309)*($AQ$5:$AQ$335=1)*ISNUMBER($AO$5:$AO$335))+SUMPRODUCT(($B$5:$B$335=$B309)*($AQ$5:$AQ$335=1)*($AO$5:$AO$335="")*(ROW($AO$5:$AO$335)&lt;ROW()))))</f>
        <v/>
      </c>
      <c r="AS309" s="24" t="s">
        <v>1648</v>
      </c>
    </row>
    <row r="310" spans="1:45">
      <c r="A310" s="25" t="s">
        <v>1649</v>
      </c>
      <c r="B310" s="26" t="s">
        <v>85</v>
      </c>
      <c r="C310" s="26" t="s">
        <v>1631</v>
      </c>
      <c r="D310" s="26" t="s">
        <v>1650</v>
      </c>
      <c r="E310" s="25" t="s">
        <v>237</v>
      </c>
      <c r="F310" s="25" t="s">
        <v>316</v>
      </c>
      <c r="G310" s="25">
        <v>7710</v>
      </c>
      <c r="H310" s="25">
        <v>45500</v>
      </c>
      <c r="I310" s="25"/>
      <c r="J310" s="22">
        <v>1</v>
      </c>
      <c r="K310" s="26" t="s">
        <v>1645</v>
      </c>
      <c r="L310" s="25" t="s">
        <v>1651</v>
      </c>
      <c r="M310" s="26" t="s">
        <v>161</v>
      </c>
      <c r="N310" s="25">
        <v>0</v>
      </c>
      <c r="O310" s="26" t="s">
        <v>1647</v>
      </c>
      <c r="P310" s="25" t="s">
        <v>268</v>
      </c>
      <c r="Q310" s="27">
        <v>15547</v>
      </c>
      <c r="R310" s="27">
        <v>15547</v>
      </c>
      <c r="S310" s="27">
        <v>41119</v>
      </c>
      <c r="T310" s="27">
        <v>39856</v>
      </c>
      <c r="U310" s="27">
        <v>25793</v>
      </c>
      <c r="V310" s="27">
        <v>25791</v>
      </c>
      <c r="W310" s="27">
        <v>26045</v>
      </c>
      <c r="X310" s="27">
        <v>25514</v>
      </c>
      <c r="Y310" s="27">
        <v>25174</v>
      </c>
      <c r="Z310" s="27">
        <v>25275</v>
      </c>
      <c r="AA310" s="27">
        <v>25396</v>
      </c>
      <c r="AB310" s="25">
        <f>COUNT(Q310:AA310)</f>
        <v>11</v>
      </c>
      <c r="AC310" s="28">
        <f>AB310/11</f>
        <v>1</v>
      </c>
      <c r="AD310" s="25">
        <f>IFERROR(INDEX($Q$4:$AA$4,MATCH(TRUE,INDEX(ISNUMBER(Q310:AA310),0),0)),"")</f>
        <v>2015</v>
      </c>
      <c r="AE310" s="25">
        <f>IFERROR(LOOKUP(2,1/ISNUMBER(Q310:AA310),$Q$4:$AA$4),"")</f>
        <v>2025</v>
      </c>
      <c r="AF310" s="28">
        <f>IF(AB310=0,"",AB310/(AE310-AD310+1))</f>
        <v>1</v>
      </c>
      <c r="AG310" s="25">
        <f>IF(AB310=0,"",'01_Criterios'!$C$8-AE310)</f>
        <v>0</v>
      </c>
      <c r="AH310" s="29">
        <f>IF(P310="Em uso",100,IF(P310="Alta",85,IF(P310="Média",55,30)))</f>
        <v>30</v>
      </c>
      <c r="AI310" s="29">
        <f>ROUND(100*AC310,1)</f>
        <v>100</v>
      </c>
      <c r="AJ310" s="29">
        <f>IF(AB310=0,0,ROUND(MAX(0,100*AF310-10*AG310),1))</f>
        <v>100</v>
      </c>
      <c r="AK310" s="29">
        <f>ROUND(('01_Criterios'!$C$19*AH310+'01_Criterios'!$C$20*AI310+'01_Criterios'!$C$21*AJ310)/('01_Criterios'!$C$19+'01_Criterios'!$C$20+'01_Criterios'!$C$21)+N310*'01_Criterios'!$C$22,1)</f>
        <v>72</v>
      </c>
      <c r="AL310" s="25">
        <f>IF(AND(AB310&gt;=3,AC310&gt;='01_Criterios'!$C$11,N(AE310)&gt;='01_Criterios'!$C$12,OR(F310="+",F310="-"),ISNUMBER(G310),ISNUMBER(H310)),1,0)</f>
        <v>0</v>
      </c>
      <c r="AM310" s="30" t="str">
        <f>IF(AL310=1,"",TRIM(IF(AB310=0,"sem dados no período; ",IF(AB310&lt;3,"série demasiado curta; ",""))&amp;IF(AND(AB310&gt;0,AC310&lt;'01_Criterios'!$C$11),"cobertura insuficiente; ","")&amp;IF(AND(AB310&gt;0,N(AE310)&lt;'01_Criterios'!$C$12),"desactualizado; ","")&amp;IF(AND(F310&lt;&gt;"+",F310&lt;&gt;"-"),"sentido ambíguo; ","")&amp;IF(OR(NOT(ISNUMBER(G310)),NOT(ISNUMBER(H310))),"sem limites min/max; ","")))</f>
        <v>sentido ambíguo;</v>
      </c>
      <c r="AN310" s="25">
        <f>IF(OR(AL310=0,$AP310="Excluir"),0,IF(SUMPRODUCT(($O$5:$O$335=$O310)*($AL$5:$AL$335=1)*($AP$5:$AP$335&lt;&gt;"Excluir")*(($AK$5:$AK$335&gt;$AK310)+(($AK$5:$AK$335=$AK310)*(ROW($O$5:$O$335)&lt;ROW()))))=0,1,0))</f>
        <v>0</v>
      </c>
      <c r="AO310" s="25" t="str">
        <f>IF(AN310=0,"",1+SUMPRODUCT(($B$5:$B$335=$B310)*($AN$5:$AN$335=1)*(($AK$5:$AK$335&gt;$AK310)+(($AK$5:$AK$335=$AK310)*(ROW($B$5:$B$335)&lt;ROW())))))</f>
        <v/>
      </c>
      <c r="AP310" s="22" t="s">
        <v>131</v>
      </c>
      <c r="AQ310" s="25">
        <f>IF(INDEX('01_Criterios'!$C$26:$C$36,MATCH($B310,'01_Criterios'!$B$26:$B$36,0))&lt;&gt;1,0,IF($AP310="Excluir",0,IF($AP310="Incluir",IF(AND(OR($F310="+",$F310="-"),ISNUMBER($G310),ISNUMBER($H310),COUNT($Q310:$AA310)&gt;0),1,0),IF('01_Criterios'!$C$18="Automática",IF(AND($AN310=1,$AO310&lt;&gt;"",$AO310&lt;=INDEX('01_Criterios'!$E$26:$E$36,MATCH($B310,'01_Criterios'!$B$26:$B$36,0))),1,0),0))))</f>
        <v>0</v>
      </c>
      <c r="AR310" s="25" t="str">
        <f>IF(AQ310=0,"",IF($AO310&lt;&gt;"",1+SUMPRODUCT(($B$5:$B$335=$B310)*($AQ$5:$AQ$335=1)*($AO$5:$AO$335&lt;$AO310)),1+SUMPRODUCT(($B$5:$B$335=$B310)*($AQ$5:$AQ$335=1)*ISNUMBER($AO$5:$AO$335))+SUMPRODUCT(($B$5:$B$335=$B310)*($AQ$5:$AQ$335=1)*($AO$5:$AO$335="")*(ROW($AO$5:$AO$335)&lt;ROW()))))</f>
        <v/>
      </c>
      <c r="AS310" s="24" t="s">
        <v>1652</v>
      </c>
    </row>
    <row r="311" spans="1:45">
      <c r="A311" s="20" t="s">
        <v>1653</v>
      </c>
      <c r="B311" s="21" t="s">
        <v>85</v>
      </c>
      <c r="C311" s="21" t="s">
        <v>1654</v>
      </c>
      <c r="D311" s="21" t="s">
        <v>1655</v>
      </c>
      <c r="E311" s="20" t="s">
        <v>1656</v>
      </c>
      <c r="F311" s="20" t="s">
        <v>316</v>
      </c>
      <c r="G311" s="20">
        <v>0</v>
      </c>
      <c r="H311" s="20">
        <v>60</v>
      </c>
      <c r="I311" s="20"/>
      <c r="J311" s="22">
        <v>1</v>
      </c>
      <c r="K311" s="21" t="s">
        <v>204</v>
      </c>
      <c r="L311" s="20" t="s">
        <v>1657</v>
      </c>
      <c r="M311" s="21" t="s">
        <v>161</v>
      </c>
      <c r="N311" s="20">
        <v>0</v>
      </c>
      <c r="O311" s="21" t="s">
        <v>1653</v>
      </c>
      <c r="P311" s="20" t="s">
        <v>268</v>
      </c>
      <c r="Q311" s="6">
        <v>41.847000000000001</v>
      </c>
      <c r="R311" s="6">
        <v>41.183</v>
      </c>
      <c r="S311" s="6">
        <v>40.594999999999999</v>
      </c>
      <c r="T311" s="6">
        <v>40.057000000000002</v>
      </c>
      <c r="U311" s="6">
        <v>39.539000000000001</v>
      </c>
      <c r="V311" s="6">
        <v>39.127000000000002</v>
      </c>
      <c r="W311" s="6">
        <v>38.67</v>
      </c>
      <c r="X311" s="6">
        <v>38.101999999999997</v>
      </c>
      <c r="Y311" s="6">
        <v>37.588000000000001</v>
      </c>
      <c r="Z311" s="6">
        <v>37.158000000000001</v>
      </c>
      <c r="AA311" s="6"/>
      <c r="AB311" s="20">
        <f>COUNT(Q311:AA311)</f>
        <v>10</v>
      </c>
      <c r="AC311" s="23">
        <f>AB311/11</f>
        <v>0.90909090909090906</v>
      </c>
      <c r="AD311" s="20">
        <f>IFERROR(INDEX($Q$4:$AA$4,MATCH(TRUE,INDEX(ISNUMBER(Q311:AA311),0),0)),"")</f>
        <v>2015</v>
      </c>
      <c r="AE311" s="20">
        <f>IFERROR(LOOKUP(2,1/ISNUMBER(Q311:AA311),$Q$4:$AA$4),"")</f>
        <v>2024</v>
      </c>
      <c r="AF311" s="23">
        <f>IF(AB311=0,"",AB311/(AE311-AD311+1))</f>
        <v>1</v>
      </c>
      <c r="AG311" s="20">
        <f>IF(AB311=0,"",'01_Criterios'!$C$8-AE311)</f>
        <v>1</v>
      </c>
      <c r="AH311" s="7">
        <f>IF(P311="Em uso",100,IF(P311="Alta",85,IF(P311="Média",55,30)))</f>
        <v>30</v>
      </c>
      <c r="AI311" s="7">
        <f>ROUND(100*AC311,1)</f>
        <v>90.9</v>
      </c>
      <c r="AJ311" s="7">
        <f>IF(AB311=0,0,ROUND(MAX(0,100*AF311-10*AG311),1))</f>
        <v>90</v>
      </c>
      <c r="AK311" s="7">
        <f>ROUND(('01_Criterios'!$C$19*AH311+'01_Criterios'!$C$20*AI311+'01_Criterios'!$C$21*AJ311)/('01_Criterios'!$C$19+'01_Criterios'!$C$20+'01_Criterios'!$C$21)+N311*'01_Criterios'!$C$22,1)</f>
        <v>66.3</v>
      </c>
      <c r="AL311" s="20">
        <f>IF(AND(AB311&gt;=3,AC311&gt;='01_Criterios'!$C$11,N(AE311)&gt;='01_Criterios'!$C$12,OR(F311="+",F311="-"),ISNUMBER(G311),ISNUMBER(H311)),1,0)</f>
        <v>0</v>
      </c>
      <c r="AM311" s="24" t="str">
        <f>IF(AL311=1,"",TRIM(IF(AB311=0,"sem dados no período; ",IF(AB311&lt;3,"série demasiado curta; ",""))&amp;IF(AND(AB311&gt;0,AC311&lt;'01_Criterios'!$C$11),"cobertura insuficiente; ","")&amp;IF(AND(AB311&gt;0,N(AE311)&lt;'01_Criterios'!$C$12),"desactualizado; ","")&amp;IF(AND(F311&lt;&gt;"+",F311&lt;&gt;"-"),"sentido ambíguo; ","")&amp;IF(OR(NOT(ISNUMBER(G311)),NOT(ISNUMBER(H311))),"sem limites min/max; ","")))</f>
        <v>sentido ambíguo;</v>
      </c>
      <c r="AN311" s="20">
        <f>IF(OR(AL311=0,$AP311="Excluir"),0,IF(SUMPRODUCT(($O$5:$O$335=$O311)*($AL$5:$AL$335=1)*($AP$5:$AP$335&lt;&gt;"Excluir")*(($AK$5:$AK$335&gt;$AK311)+(($AK$5:$AK$335=$AK311)*(ROW($O$5:$O$335)&lt;ROW()))))=0,1,0))</f>
        <v>0</v>
      </c>
      <c r="AO311" s="20" t="str">
        <f>IF(AN311=0,"",1+SUMPRODUCT(($B$5:$B$335=$B311)*($AN$5:$AN$335=1)*(($AK$5:$AK$335&gt;$AK311)+(($AK$5:$AK$335=$AK311)*(ROW($B$5:$B$335)&lt;ROW())))))</f>
        <v/>
      </c>
      <c r="AP311" s="22" t="s">
        <v>131</v>
      </c>
      <c r="AQ311" s="20">
        <f>IF(INDEX('01_Criterios'!$C$26:$C$36,MATCH($B311,'01_Criterios'!$B$26:$B$36,0))&lt;&gt;1,0,IF($AP311="Excluir",0,IF($AP311="Incluir",IF(AND(OR($F311="+",$F311="-"),ISNUMBER($G311),ISNUMBER($H311),COUNT($Q311:$AA311)&gt;0),1,0),IF('01_Criterios'!$C$18="Automática",IF(AND($AN311=1,$AO311&lt;&gt;"",$AO311&lt;=INDEX('01_Criterios'!$E$26:$E$36,MATCH($B311,'01_Criterios'!$B$26:$B$36,0))),1,0),0))))</f>
        <v>0</v>
      </c>
      <c r="AR311" s="20" t="str">
        <f>IF(AQ311=0,"",IF($AO311&lt;&gt;"",1+SUMPRODUCT(($B$5:$B$335=$B311)*($AQ$5:$AQ$335=1)*($AO$5:$AO$335&lt;$AO311)),1+SUMPRODUCT(($B$5:$B$335=$B311)*($AQ$5:$AQ$335=1)*ISNUMBER($AO$5:$AO$335))+SUMPRODUCT(($B$5:$B$335=$B311)*($AQ$5:$AQ$335=1)*($AO$5:$AO$335="")*(ROW($AO$5:$AO$335)&lt;ROW()))))</f>
        <v/>
      </c>
      <c r="AS311" s="24" t="s">
        <v>1658</v>
      </c>
    </row>
    <row r="312" spans="1:45">
      <c r="A312" s="25" t="s">
        <v>1659</v>
      </c>
      <c r="B312" s="26" t="s">
        <v>85</v>
      </c>
      <c r="C312" s="26" t="s">
        <v>1654</v>
      </c>
      <c r="D312" s="26" t="s">
        <v>1660</v>
      </c>
      <c r="E312" s="25" t="s">
        <v>1656</v>
      </c>
      <c r="F312" s="25" t="s">
        <v>158</v>
      </c>
      <c r="G312" s="25">
        <v>0</v>
      </c>
      <c r="H312" s="25">
        <v>30</v>
      </c>
      <c r="I312" s="25"/>
      <c r="J312" s="22">
        <v>1</v>
      </c>
      <c r="K312" s="26" t="s">
        <v>204</v>
      </c>
      <c r="L312" s="25" t="s">
        <v>1661</v>
      </c>
      <c r="M312" s="26" t="s">
        <v>161</v>
      </c>
      <c r="N312" s="25">
        <v>0</v>
      </c>
      <c r="O312" s="26" t="s">
        <v>1659</v>
      </c>
      <c r="P312" s="25" t="s">
        <v>268</v>
      </c>
      <c r="Q312" s="27">
        <v>8.8089999999999993</v>
      </c>
      <c r="R312" s="27">
        <v>8.4760000000000009</v>
      </c>
      <c r="S312" s="27">
        <v>8.1920000000000002</v>
      </c>
      <c r="T312" s="27">
        <v>7.9279999999999999</v>
      </c>
      <c r="U312" s="27">
        <v>7.7009999999999996</v>
      </c>
      <c r="V312" s="27">
        <v>7.6280000000000001</v>
      </c>
      <c r="W312" s="27">
        <v>7.6189999999999998</v>
      </c>
      <c r="X312" s="27">
        <v>7.0970000000000004</v>
      </c>
      <c r="Y312" s="27">
        <v>6.9249999999999998</v>
      </c>
      <c r="Z312" s="27">
        <v>6.84</v>
      </c>
      <c r="AA312" s="27"/>
      <c r="AB312" s="25">
        <f>COUNT(Q312:AA312)</f>
        <v>10</v>
      </c>
      <c r="AC312" s="28">
        <f>AB312/11</f>
        <v>0.90909090909090906</v>
      </c>
      <c r="AD312" s="25">
        <f>IFERROR(INDEX($Q$4:$AA$4,MATCH(TRUE,INDEX(ISNUMBER(Q312:AA312),0),0)),"")</f>
        <v>2015</v>
      </c>
      <c r="AE312" s="25">
        <f>IFERROR(LOOKUP(2,1/ISNUMBER(Q312:AA312),$Q$4:$AA$4),"")</f>
        <v>2024</v>
      </c>
      <c r="AF312" s="28">
        <f>IF(AB312=0,"",AB312/(AE312-AD312+1))</f>
        <v>1</v>
      </c>
      <c r="AG312" s="25">
        <f>IF(AB312=0,"",'01_Criterios'!$C$8-AE312)</f>
        <v>1</v>
      </c>
      <c r="AH312" s="29">
        <f>IF(P312="Em uso",100,IF(P312="Alta",85,IF(P312="Média",55,30)))</f>
        <v>30</v>
      </c>
      <c r="AI312" s="29">
        <f>ROUND(100*AC312,1)</f>
        <v>90.9</v>
      </c>
      <c r="AJ312" s="29">
        <f>IF(AB312=0,0,ROUND(MAX(0,100*AF312-10*AG312),1))</f>
        <v>90</v>
      </c>
      <c r="AK312" s="29">
        <f>ROUND(('01_Criterios'!$C$19*AH312+'01_Criterios'!$C$20*AI312+'01_Criterios'!$C$21*AJ312)/('01_Criterios'!$C$19+'01_Criterios'!$C$20+'01_Criterios'!$C$21)+N312*'01_Criterios'!$C$22,1)</f>
        <v>66.3</v>
      </c>
      <c r="AL312" s="25">
        <f>IF(AND(AB312&gt;=3,AC312&gt;='01_Criterios'!$C$11,N(AE312)&gt;='01_Criterios'!$C$12,OR(F312="+",F312="-"),ISNUMBER(G312),ISNUMBER(H312)),1,0)</f>
        <v>1</v>
      </c>
      <c r="AM312" s="30" t="str">
        <f>IF(AL312=1,"",TRIM(IF(AB312=0,"sem dados no período; ",IF(AB312&lt;3,"série demasiado curta; ",""))&amp;IF(AND(AB312&gt;0,AC312&lt;'01_Criterios'!$C$11),"cobertura insuficiente; ","")&amp;IF(AND(AB312&gt;0,N(AE312)&lt;'01_Criterios'!$C$12),"desactualizado; ","")&amp;IF(AND(F312&lt;&gt;"+",F312&lt;&gt;"-"),"sentido ambíguo; ","")&amp;IF(OR(NOT(ISNUMBER(G312)),NOT(ISNUMBER(H312))),"sem limites min/max; ","")))</f>
        <v/>
      </c>
      <c r="AN312" s="25">
        <f>IF(OR(AL312=0,$AP312="Excluir"),0,IF(SUMPRODUCT(($O$5:$O$335=$O312)*($AL$5:$AL$335=1)*($AP$5:$AP$335&lt;&gt;"Excluir")*(($AK$5:$AK$335&gt;$AK312)+(($AK$5:$AK$335=$AK312)*(ROW($O$5:$O$335)&lt;ROW()))))=0,1,0))</f>
        <v>1</v>
      </c>
      <c r="AO312" s="25">
        <f>IF(AN312=0,"",1+SUMPRODUCT(($B$5:$B$335=$B312)*($AN$5:$AN$335=1)*(($AK$5:$AK$335&gt;$AK312)+(($AK$5:$AK$335=$AK312)*(ROW($B$5:$B$335)&lt;ROW())))))</f>
        <v>6</v>
      </c>
      <c r="AP312" s="22" t="s">
        <v>131</v>
      </c>
      <c r="AQ312" s="25">
        <f>IF(INDEX('01_Criterios'!$C$26:$C$36,MATCH($B312,'01_Criterios'!$B$26:$B$36,0))&lt;&gt;1,0,IF($AP312="Excluir",0,IF($AP312="Incluir",IF(AND(OR($F312="+",$F312="-"),ISNUMBER($G312),ISNUMBER($H312),COUNT($Q312:$AA312)&gt;0),1,0),IF('01_Criterios'!$C$18="Automática",IF(AND($AN312=1,$AO312&lt;&gt;"",$AO312&lt;=INDEX('01_Criterios'!$E$26:$E$36,MATCH($B312,'01_Criterios'!$B$26:$B$36,0))),1,0),0))))</f>
        <v>0</v>
      </c>
      <c r="AR312" s="25" t="str">
        <f>IF(AQ312=0,"",IF($AO312&lt;&gt;"",1+SUMPRODUCT(($B$5:$B$335=$B312)*($AQ$5:$AQ$335=1)*($AO$5:$AO$335&lt;$AO312)),1+SUMPRODUCT(($B$5:$B$335=$B312)*($AQ$5:$AQ$335=1)*ISNUMBER($AO$5:$AO$335))+SUMPRODUCT(($B$5:$B$335=$B312)*($AQ$5:$AQ$335=1)*($AO$5:$AO$335="")*(ROW($AO$5:$AO$335)&lt;ROW()))))</f>
        <v/>
      </c>
      <c r="AS312" s="24" t="s">
        <v>1662</v>
      </c>
    </row>
    <row r="313" spans="1:45">
      <c r="A313" s="20" t="s">
        <v>1663</v>
      </c>
      <c r="B313" s="21" t="s">
        <v>86</v>
      </c>
      <c r="C313" s="21" t="s">
        <v>1664</v>
      </c>
      <c r="D313" s="21" t="s">
        <v>1665</v>
      </c>
      <c r="E313" s="20" t="s">
        <v>742</v>
      </c>
      <c r="F313" s="20" t="s">
        <v>126</v>
      </c>
      <c r="G313" s="20">
        <v>0</v>
      </c>
      <c r="H313" s="20">
        <v>100</v>
      </c>
      <c r="I313" s="20">
        <v>50</v>
      </c>
      <c r="J313" s="22">
        <v>1</v>
      </c>
      <c r="K313" s="21" t="s">
        <v>899</v>
      </c>
      <c r="L313" s="20" t="s">
        <v>893</v>
      </c>
      <c r="M313" s="21" t="s">
        <v>161</v>
      </c>
      <c r="N313" s="20">
        <v>0</v>
      </c>
      <c r="O313" s="21" t="s">
        <v>894</v>
      </c>
      <c r="P313" s="20" t="s">
        <v>130</v>
      </c>
      <c r="Q313" s="6">
        <v>22</v>
      </c>
      <c r="R313" s="6">
        <v>23.200000760000002</v>
      </c>
      <c r="S313" s="6">
        <v>26</v>
      </c>
      <c r="T313" s="6">
        <v>29</v>
      </c>
      <c r="U313" s="6">
        <v>32.129398350000002</v>
      </c>
      <c r="V313" s="6">
        <v>33.320899959999998</v>
      </c>
      <c r="W313" s="6">
        <v>34.556499479999999</v>
      </c>
      <c r="X313" s="6">
        <v>35.838001249999998</v>
      </c>
      <c r="Y313" s="6">
        <v>37.885898589999996</v>
      </c>
      <c r="Z313" s="6">
        <v>40.704799649999998</v>
      </c>
      <c r="AA313" s="6"/>
      <c r="AB313" s="20">
        <f>COUNT(Q313:AA313)</f>
        <v>10</v>
      </c>
      <c r="AC313" s="23">
        <f>AB313/11</f>
        <v>0.90909090909090906</v>
      </c>
      <c r="AD313" s="20">
        <f>IFERROR(INDEX($Q$4:$AA$4,MATCH(TRUE,INDEX(ISNUMBER(Q313:AA313),0),0)),"")</f>
        <v>2015</v>
      </c>
      <c r="AE313" s="20">
        <f>IFERROR(LOOKUP(2,1/ISNUMBER(Q313:AA313),$Q$4:$AA$4),"")</f>
        <v>2024</v>
      </c>
      <c r="AF313" s="23">
        <f>IF(AB313=0,"",AB313/(AE313-AD313+1))</f>
        <v>1</v>
      </c>
      <c r="AG313" s="20">
        <f>IF(AB313=0,"",'01_Criterios'!$C$8-AE313)</f>
        <v>1</v>
      </c>
      <c r="AH313" s="7">
        <f>IF(P313="Em uso",100,IF(P313="Alta",85,IF(P313="Média",55,30)))</f>
        <v>100</v>
      </c>
      <c r="AI313" s="7">
        <f>ROUND(100*AC313,1)</f>
        <v>90.9</v>
      </c>
      <c r="AJ313" s="7">
        <f>IF(AB313=0,0,ROUND(MAX(0,100*AF313-10*AG313),1))</f>
        <v>90</v>
      </c>
      <c r="AK313" s="7">
        <f>ROUND(('01_Criterios'!$C$19*AH313+'01_Criterios'!$C$20*AI313+'01_Criterios'!$C$21*AJ313)/('01_Criterios'!$C$19+'01_Criterios'!$C$20+'01_Criterios'!$C$21)+N313*'01_Criterios'!$C$22,1)</f>
        <v>94.3</v>
      </c>
      <c r="AL313" s="20">
        <f>IF(AND(AB313&gt;=3,AC313&gt;='01_Criterios'!$C$11,N(AE313)&gt;='01_Criterios'!$C$12,OR(F313="+",F313="-"),ISNUMBER(G313),ISNUMBER(H313)),1,0)</f>
        <v>1</v>
      </c>
      <c r="AM313" s="24" t="str">
        <f>IF(AL313=1,"",TRIM(IF(AB313=0,"sem dados no período; ",IF(AB313&lt;3,"série demasiado curta; ",""))&amp;IF(AND(AB313&gt;0,AC313&lt;'01_Criterios'!$C$11),"cobertura insuficiente; ","")&amp;IF(AND(AB313&gt;0,N(AE313)&lt;'01_Criterios'!$C$12),"desactualizado; ","")&amp;IF(AND(F313&lt;&gt;"+",F313&lt;&gt;"-"),"sentido ambíguo; ","")&amp;IF(OR(NOT(ISNUMBER(G313)),NOT(ISNUMBER(H313))),"sem limites min/max; ","")))</f>
        <v/>
      </c>
      <c r="AN313" s="20">
        <f>IF(OR(AL313=0,$AP313="Excluir"),0,IF(SUMPRODUCT(($O$5:$O$335=$O313)*($AL$5:$AL$335=1)*($AP$5:$AP$335&lt;&gt;"Excluir")*(($AK$5:$AK$335&gt;$AK313)+(($AK$5:$AK$335=$AK313)*(ROW($O$5:$O$335)&lt;ROW()))))=0,1,0))</f>
        <v>1</v>
      </c>
      <c r="AO313" s="20">
        <f>IF(AN313=0,"",1+SUMPRODUCT(($B$5:$B$335=$B313)*($AN$5:$AN$335=1)*(($AK$5:$AK$335&gt;$AK313)+(($AK$5:$AK$335=$AK313)*(ROW($B$5:$B$335)&lt;ROW())))))</f>
        <v>1</v>
      </c>
      <c r="AP313" s="22" t="s">
        <v>131</v>
      </c>
      <c r="AQ313" s="20">
        <f>IF(INDEX('01_Criterios'!$C$26:$C$36,MATCH($B313,'01_Criterios'!$B$26:$B$36,0))&lt;&gt;1,0,IF($AP313="Excluir",0,IF($AP313="Incluir",IF(AND(OR($F313="+",$F313="-"),ISNUMBER($G313),ISNUMBER($H313),COUNT($Q313:$AA313)&gt;0),1,0),IF('01_Criterios'!$C$18="Automática",IF(AND($AN313=1,$AO313&lt;&gt;"",$AO313&lt;=INDEX('01_Criterios'!$E$26:$E$36,MATCH($B313,'01_Criterios'!$B$26:$B$36,0))),1,0),0))))</f>
        <v>0</v>
      </c>
      <c r="AR313" s="20" t="str">
        <f>IF(AQ313=0,"",IF($AO313&lt;&gt;"",1+SUMPRODUCT(($B$5:$B$335=$B313)*($AQ$5:$AQ$335=1)*($AO$5:$AO$335&lt;$AO313)),1+SUMPRODUCT(($B$5:$B$335=$B313)*($AQ$5:$AQ$335=1)*ISNUMBER($AO$5:$AO$335))+SUMPRODUCT(($B$5:$B$335=$B313)*($AQ$5:$AQ$335=1)*($AO$5:$AO$335="")*(ROW($AO$5:$AO$335)&lt;ROW()))))</f>
        <v/>
      </c>
      <c r="AS313" s="24" t="s">
        <v>1666</v>
      </c>
    </row>
    <row r="314" spans="1:45">
      <c r="A314" s="25" t="s">
        <v>1667</v>
      </c>
      <c r="B314" s="26" t="s">
        <v>86</v>
      </c>
      <c r="C314" s="26" t="s">
        <v>1668</v>
      </c>
      <c r="D314" s="26" t="s">
        <v>1669</v>
      </c>
      <c r="E314" s="25" t="s">
        <v>1670</v>
      </c>
      <c r="F314" s="25" t="s">
        <v>126</v>
      </c>
      <c r="G314" s="25">
        <v>0</v>
      </c>
      <c r="H314" s="25">
        <v>160</v>
      </c>
      <c r="I314" s="25">
        <v>100</v>
      </c>
      <c r="J314" s="22">
        <v>1</v>
      </c>
      <c r="K314" s="26" t="s">
        <v>899</v>
      </c>
      <c r="L314" s="25" t="s">
        <v>900</v>
      </c>
      <c r="M314" s="26" t="s">
        <v>161</v>
      </c>
      <c r="N314" s="25">
        <v>0</v>
      </c>
      <c r="O314" s="26" t="s">
        <v>901</v>
      </c>
      <c r="P314" s="25" t="s">
        <v>130</v>
      </c>
      <c r="Q314" s="27">
        <v>49.309722301438498</v>
      </c>
      <c r="R314" s="27">
        <v>44.550227237915699</v>
      </c>
      <c r="S314" s="27">
        <v>44.068208863291801</v>
      </c>
      <c r="T314" s="27">
        <v>42.4588784507729</v>
      </c>
      <c r="U314" s="27">
        <v>45.8065312825399</v>
      </c>
      <c r="V314" s="27">
        <v>43.780431705569796</v>
      </c>
      <c r="W314" s="27">
        <v>44.386868934125701</v>
      </c>
      <c r="X314" s="27">
        <v>66.600807312377896</v>
      </c>
      <c r="Y314" s="27">
        <v>70.051958772357096</v>
      </c>
      <c r="Z314" s="27">
        <v>69.703946716358402</v>
      </c>
      <c r="AA314" s="27"/>
      <c r="AB314" s="25">
        <f>COUNT(Q314:AA314)</f>
        <v>10</v>
      </c>
      <c r="AC314" s="28">
        <f>AB314/11</f>
        <v>0.90909090909090906</v>
      </c>
      <c r="AD314" s="25">
        <f>IFERROR(INDEX($Q$4:$AA$4,MATCH(TRUE,INDEX(ISNUMBER(Q314:AA314),0),0)),"")</f>
        <v>2015</v>
      </c>
      <c r="AE314" s="25">
        <f>IFERROR(LOOKUP(2,1/ISNUMBER(Q314:AA314),$Q$4:$AA$4),"")</f>
        <v>2024</v>
      </c>
      <c r="AF314" s="28">
        <f>IF(AB314=0,"",AB314/(AE314-AD314+1))</f>
        <v>1</v>
      </c>
      <c r="AG314" s="25">
        <f>IF(AB314=0,"",'01_Criterios'!$C$8-AE314)</f>
        <v>1</v>
      </c>
      <c r="AH314" s="29">
        <f>IF(P314="Em uso",100,IF(P314="Alta",85,IF(P314="Média",55,30)))</f>
        <v>100</v>
      </c>
      <c r="AI314" s="29">
        <f>ROUND(100*AC314,1)</f>
        <v>90.9</v>
      </c>
      <c r="AJ314" s="29">
        <f>IF(AB314=0,0,ROUND(MAX(0,100*AF314-10*AG314),1))</f>
        <v>90</v>
      </c>
      <c r="AK314" s="29">
        <f>ROUND(('01_Criterios'!$C$19*AH314+'01_Criterios'!$C$20*AI314+'01_Criterios'!$C$21*AJ314)/('01_Criterios'!$C$19+'01_Criterios'!$C$20+'01_Criterios'!$C$21)+N314*'01_Criterios'!$C$22,1)</f>
        <v>94.3</v>
      </c>
      <c r="AL314" s="25">
        <f>IF(AND(AB314&gt;=3,AC314&gt;='01_Criterios'!$C$11,N(AE314)&gt;='01_Criterios'!$C$12,OR(F314="+",F314="-"),ISNUMBER(G314),ISNUMBER(H314)),1,0)</f>
        <v>1</v>
      </c>
      <c r="AM314" s="30" t="str">
        <f>IF(AL314=1,"",TRIM(IF(AB314=0,"sem dados no período; ",IF(AB314&lt;3,"série demasiado curta; ",""))&amp;IF(AND(AB314&gt;0,AC314&lt;'01_Criterios'!$C$11),"cobertura insuficiente; ","")&amp;IF(AND(AB314&gt;0,N(AE314)&lt;'01_Criterios'!$C$12),"desactualizado; ","")&amp;IF(AND(F314&lt;&gt;"+",F314&lt;&gt;"-"),"sentido ambíguo; ","")&amp;IF(OR(NOT(ISNUMBER(G314)),NOT(ISNUMBER(H314))),"sem limites min/max; ","")))</f>
        <v/>
      </c>
      <c r="AN314" s="25">
        <f>IF(OR(AL314=0,$AP314="Excluir"),0,IF(SUMPRODUCT(($O$5:$O$335=$O314)*($AL$5:$AL$335=1)*($AP$5:$AP$335&lt;&gt;"Excluir")*(($AK$5:$AK$335&gt;$AK314)+(($AK$5:$AK$335=$AK314)*(ROW($O$5:$O$335)&lt;ROW()))))=0,1,0))</f>
        <v>1</v>
      </c>
      <c r="AO314" s="25">
        <f>IF(AN314=0,"",1+SUMPRODUCT(($B$5:$B$335=$B314)*($AN$5:$AN$335=1)*(($AK$5:$AK$335&gt;$AK314)+(($AK$5:$AK$335=$AK314)*(ROW($B$5:$B$335)&lt;ROW())))))</f>
        <v>2</v>
      </c>
      <c r="AP314" s="22" t="s">
        <v>131</v>
      </c>
      <c r="AQ314" s="25">
        <f>IF(INDEX('01_Criterios'!$C$26:$C$36,MATCH($B314,'01_Criterios'!$B$26:$B$36,0))&lt;&gt;1,0,IF($AP314="Excluir",0,IF($AP314="Incluir",IF(AND(OR($F314="+",$F314="-"),ISNUMBER($G314),ISNUMBER($H314),COUNT($Q314:$AA314)&gt;0),1,0),IF('01_Criterios'!$C$18="Automática",IF(AND($AN314=1,$AO314&lt;&gt;"",$AO314&lt;=INDEX('01_Criterios'!$E$26:$E$36,MATCH($B314,'01_Criterios'!$B$26:$B$36,0))),1,0),0))))</f>
        <v>0</v>
      </c>
      <c r="AR314" s="25" t="str">
        <f>IF(AQ314=0,"",IF($AO314&lt;&gt;"",1+SUMPRODUCT(($B$5:$B$335=$B314)*($AQ$5:$AQ$335=1)*($AO$5:$AO$335&lt;$AO314)),1+SUMPRODUCT(($B$5:$B$335=$B314)*($AQ$5:$AQ$335=1)*ISNUMBER($AO$5:$AO$335))+SUMPRODUCT(($B$5:$B$335=$B314)*($AQ$5:$AQ$335=1)*($AO$5:$AO$335="")*(ROW($AO$5:$AO$335)&lt;ROW()))))</f>
        <v/>
      </c>
      <c r="AS314" s="24" t="s">
        <v>1671</v>
      </c>
    </row>
    <row r="315" spans="1:45">
      <c r="A315" s="20" t="s">
        <v>1672</v>
      </c>
      <c r="B315" s="21" t="s">
        <v>86</v>
      </c>
      <c r="C315" s="21" t="s">
        <v>1668</v>
      </c>
      <c r="D315" s="21" t="s">
        <v>1673</v>
      </c>
      <c r="E315" s="20" t="s">
        <v>1670</v>
      </c>
      <c r="F315" s="20" t="s">
        <v>126</v>
      </c>
      <c r="G315" s="20">
        <v>0</v>
      </c>
      <c r="H315" s="20">
        <v>50</v>
      </c>
      <c r="I315" s="20">
        <v>8</v>
      </c>
      <c r="J315" s="22">
        <v>1</v>
      </c>
      <c r="K315" s="21" t="s">
        <v>899</v>
      </c>
      <c r="L315" s="20" t="s">
        <v>925</v>
      </c>
      <c r="M315" s="21" t="s">
        <v>161</v>
      </c>
      <c r="N315" s="20">
        <v>0</v>
      </c>
      <c r="O315" s="21" t="s">
        <v>926</v>
      </c>
      <c r="P315" s="20" t="s">
        <v>130</v>
      </c>
      <c r="Q315" s="6">
        <v>0.54539421015805301</v>
      </c>
      <c r="R315" s="6">
        <v>0.29031901030289098</v>
      </c>
      <c r="S315" s="6">
        <v>0.32055404693903</v>
      </c>
      <c r="T315" s="6">
        <v>0.35006696295557899</v>
      </c>
      <c r="U315" s="6">
        <v>0.36777042684448602</v>
      </c>
      <c r="V315" s="6">
        <v>0.36326423871096503</v>
      </c>
      <c r="W315" s="6">
        <v>0.39092529517689001</v>
      </c>
      <c r="X315" s="6">
        <v>0.38669815590721102</v>
      </c>
      <c r="Y315" s="6">
        <v>0.37366898299005202</v>
      </c>
      <c r="Z315" s="6">
        <v>0.36284524071243601</v>
      </c>
      <c r="AA315" s="6"/>
      <c r="AB315" s="20">
        <f>COUNT(Q315:AA315)</f>
        <v>10</v>
      </c>
      <c r="AC315" s="23">
        <f>AB315/11</f>
        <v>0.90909090909090906</v>
      </c>
      <c r="AD315" s="20">
        <f>IFERROR(INDEX($Q$4:$AA$4,MATCH(TRUE,INDEX(ISNUMBER(Q315:AA315),0),0)),"")</f>
        <v>2015</v>
      </c>
      <c r="AE315" s="20">
        <f>IFERROR(LOOKUP(2,1/ISNUMBER(Q315:AA315),$Q$4:$AA$4),"")</f>
        <v>2024</v>
      </c>
      <c r="AF315" s="23">
        <f>IF(AB315=0,"",AB315/(AE315-AD315+1))</f>
        <v>1</v>
      </c>
      <c r="AG315" s="20">
        <f>IF(AB315=0,"",'01_Criterios'!$C$8-AE315)</f>
        <v>1</v>
      </c>
      <c r="AH315" s="7">
        <f>IF(P315="Em uso",100,IF(P315="Alta",85,IF(P315="Média",55,30)))</f>
        <v>100</v>
      </c>
      <c r="AI315" s="7">
        <f>ROUND(100*AC315,1)</f>
        <v>90.9</v>
      </c>
      <c r="AJ315" s="7">
        <f>IF(AB315=0,0,ROUND(MAX(0,100*AF315-10*AG315),1))</f>
        <v>90</v>
      </c>
      <c r="AK315" s="7">
        <f>ROUND(('01_Criterios'!$C$19*AH315+'01_Criterios'!$C$20*AI315+'01_Criterios'!$C$21*AJ315)/('01_Criterios'!$C$19+'01_Criterios'!$C$20+'01_Criterios'!$C$21)+N315*'01_Criterios'!$C$22,1)</f>
        <v>94.3</v>
      </c>
      <c r="AL315" s="20">
        <f>IF(AND(AB315&gt;=3,AC315&gt;='01_Criterios'!$C$11,N(AE315)&gt;='01_Criterios'!$C$12,OR(F315="+",F315="-"),ISNUMBER(G315),ISNUMBER(H315)),1,0)</f>
        <v>1</v>
      </c>
      <c r="AM315" s="24" t="str">
        <f>IF(AL315=1,"",TRIM(IF(AB315=0,"sem dados no período; ",IF(AB315&lt;3,"série demasiado curta; ",""))&amp;IF(AND(AB315&gt;0,AC315&lt;'01_Criterios'!$C$11),"cobertura insuficiente; ","")&amp;IF(AND(AB315&gt;0,N(AE315)&lt;'01_Criterios'!$C$12),"desactualizado; ","")&amp;IF(AND(F315&lt;&gt;"+",F315&lt;&gt;"-"),"sentido ambíguo; ","")&amp;IF(OR(NOT(ISNUMBER(G315)),NOT(ISNUMBER(H315))),"sem limites min/max; ","")))</f>
        <v/>
      </c>
      <c r="AN315" s="20">
        <f>IF(OR(AL315=0,$AP315="Excluir"),0,IF(SUMPRODUCT(($O$5:$O$335=$O315)*($AL$5:$AL$335=1)*($AP$5:$AP$335&lt;&gt;"Excluir")*(($AK$5:$AK$335&gt;$AK315)+(($AK$5:$AK$335=$AK315)*(ROW($O$5:$O$335)&lt;ROW()))))=0,1,0))</f>
        <v>1</v>
      </c>
      <c r="AO315" s="20">
        <f>IF(AN315=0,"",1+SUMPRODUCT(($B$5:$B$335=$B315)*($AN$5:$AN$335=1)*(($AK$5:$AK$335&gt;$AK315)+(($AK$5:$AK$335=$AK315)*(ROW($B$5:$B$335)&lt;ROW())))))</f>
        <v>3</v>
      </c>
      <c r="AP315" s="22" t="s">
        <v>131</v>
      </c>
      <c r="AQ315" s="20">
        <f>IF(INDEX('01_Criterios'!$C$26:$C$36,MATCH($B315,'01_Criterios'!$B$26:$B$36,0))&lt;&gt;1,0,IF($AP315="Excluir",0,IF($AP315="Incluir",IF(AND(OR($F315="+",$F315="-"),ISNUMBER($G315),ISNUMBER($H315),COUNT($Q315:$AA315)&gt;0),1,0),IF('01_Criterios'!$C$18="Automática",IF(AND($AN315=1,$AO315&lt;&gt;"",$AO315&lt;=INDEX('01_Criterios'!$E$26:$E$36,MATCH($B315,'01_Criterios'!$B$26:$B$36,0))),1,0),0))))</f>
        <v>0</v>
      </c>
      <c r="AR315" s="20" t="str">
        <f>IF(AQ315=0,"",IF($AO315&lt;&gt;"",1+SUMPRODUCT(($B$5:$B$335=$B315)*($AQ$5:$AQ$335=1)*($AO$5:$AO$335&lt;$AO315)),1+SUMPRODUCT(($B$5:$B$335=$B315)*($AQ$5:$AQ$335=1)*ISNUMBER($AO$5:$AO$335))+SUMPRODUCT(($B$5:$B$335=$B315)*($AQ$5:$AQ$335=1)*($AO$5:$AO$335="")*(ROW($AO$5:$AO$335)&lt;ROW()))))</f>
        <v/>
      </c>
      <c r="AS315" s="24" t="s">
        <v>1674</v>
      </c>
    </row>
    <row r="316" spans="1:45">
      <c r="A316" s="25" t="s">
        <v>1675</v>
      </c>
      <c r="B316" s="26" t="s">
        <v>86</v>
      </c>
      <c r="C316" s="26" t="s">
        <v>1676</v>
      </c>
      <c r="D316" s="26" t="s">
        <v>1677</v>
      </c>
      <c r="E316" s="25" t="s">
        <v>1678</v>
      </c>
      <c r="F316" s="25" t="s">
        <v>126</v>
      </c>
      <c r="G316" s="25">
        <v>0</v>
      </c>
      <c r="H316" s="25">
        <v>100</v>
      </c>
      <c r="I316" s="25"/>
      <c r="J316" s="22">
        <v>1</v>
      </c>
      <c r="K316" s="26" t="s">
        <v>1679</v>
      </c>
      <c r="L316" s="25"/>
      <c r="M316" s="26" t="s">
        <v>879</v>
      </c>
      <c r="N316" s="25">
        <v>1</v>
      </c>
      <c r="O316" s="26" t="s">
        <v>1675</v>
      </c>
      <c r="P316" s="25" t="s">
        <v>152</v>
      </c>
      <c r="Q316" s="27"/>
      <c r="R316" s="27"/>
      <c r="S316" s="27"/>
      <c r="T316" s="27"/>
      <c r="U316" s="27"/>
      <c r="V316" s="27"/>
      <c r="W316" s="27"/>
      <c r="X316" s="27"/>
      <c r="Y316" s="27"/>
      <c r="Z316" s="27"/>
      <c r="AA316" s="27"/>
      <c r="AB316" s="25">
        <f>COUNT(Q316:AA316)</f>
        <v>0</v>
      </c>
      <c r="AC316" s="28">
        <f>AB316/11</f>
        <v>0</v>
      </c>
      <c r="AD316" s="25" t="str">
        <f>IFERROR(INDEX($Q$4:$AA$4,MATCH(TRUE,INDEX(ISNUMBER(Q316:AA316),0),0)),"")</f>
        <v/>
      </c>
      <c r="AE316" s="25" t="str">
        <f>IFERROR(LOOKUP(2,1/ISNUMBER(Q316:AA316),$Q$4:$AA$4),"")</f>
        <v/>
      </c>
      <c r="AF316" s="28" t="str">
        <f>IF(AB316=0,"",AB316/(AE316-AD316+1))</f>
        <v/>
      </c>
      <c r="AG316" s="25" t="str">
        <f>IF(AB316=0,"",'01_Criterios'!$C$8-AE316)</f>
        <v/>
      </c>
      <c r="AH316" s="29">
        <f>IF(P316="Em uso",100,IF(P316="Alta",85,IF(P316="Média",55,30)))</f>
        <v>85</v>
      </c>
      <c r="AI316" s="29">
        <f>ROUND(100*AC316,1)</f>
        <v>0</v>
      </c>
      <c r="AJ316" s="29">
        <f>IF(AB316=0,0,ROUND(MAX(0,100*AF316-10*AG316),1))</f>
        <v>0</v>
      </c>
      <c r="AK316" s="29">
        <f>ROUND(('01_Criterios'!$C$19*AH316+'01_Criterios'!$C$20*AI316+'01_Criterios'!$C$21*AJ316)/('01_Criterios'!$C$19+'01_Criterios'!$C$20+'01_Criterios'!$C$21)+N316*'01_Criterios'!$C$22,1)</f>
        <v>46</v>
      </c>
      <c r="AL316" s="25">
        <f>IF(AND(AB316&gt;=3,AC316&gt;='01_Criterios'!$C$11,N(AE316)&gt;='01_Criterios'!$C$12,OR(F316="+",F316="-"),ISNUMBER(G316),ISNUMBER(H316)),1,0)</f>
        <v>0</v>
      </c>
      <c r="AM316" s="30" t="str">
        <f>IF(AL316=1,"",TRIM(IF(AB316=0,"sem dados no período; ",IF(AB316&lt;3,"série demasiado curta; ",""))&amp;IF(AND(AB316&gt;0,AC316&lt;'01_Criterios'!$C$11),"cobertura insuficiente; ","")&amp;IF(AND(AB316&gt;0,N(AE316)&lt;'01_Criterios'!$C$12),"desactualizado; ","")&amp;IF(AND(F316&lt;&gt;"+",F316&lt;&gt;"-"),"sentido ambíguo; ","")&amp;IF(OR(NOT(ISNUMBER(G316)),NOT(ISNUMBER(H316))),"sem limites min/max; ","")))</f>
        <v>sem dados no período;</v>
      </c>
      <c r="AN316" s="25">
        <f>IF(OR(AL316=0,$AP316="Excluir"),0,IF(SUMPRODUCT(($O$5:$O$335=$O316)*($AL$5:$AL$335=1)*($AP$5:$AP$335&lt;&gt;"Excluir")*(($AK$5:$AK$335&gt;$AK316)+(($AK$5:$AK$335=$AK316)*(ROW($O$5:$O$335)&lt;ROW()))))=0,1,0))</f>
        <v>0</v>
      </c>
      <c r="AO316" s="25" t="str">
        <f>IF(AN316=0,"",1+SUMPRODUCT(($B$5:$B$335=$B316)*($AN$5:$AN$335=1)*(($AK$5:$AK$335&gt;$AK316)+(($AK$5:$AK$335=$AK316)*(ROW($B$5:$B$335)&lt;ROW())))))</f>
        <v/>
      </c>
      <c r="AP316" s="22" t="s">
        <v>131</v>
      </c>
      <c r="AQ316" s="25">
        <f>IF(INDEX('01_Criterios'!$C$26:$C$36,MATCH($B316,'01_Criterios'!$B$26:$B$36,0))&lt;&gt;1,0,IF($AP316="Excluir",0,IF($AP316="Incluir",IF(AND(OR($F316="+",$F316="-"),ISNUMBER($G316),ISNUMBER($H316),COUNT($Q316:$AA316)&gt;0),1,0),IF('01_Criterios'!$C$18="Automática",IF(AND($AN316=1,$AO316&lt;&gt;"",$AO316&lt;=INDEX('01_Criterios'!$E$26:$E$36,MATCH($B316,'01_Criterios'!$B$26:$B$36,0))),1,0),0))))</f>
        <v>0</v>
      </c>
      <c r="AR316" s="25" t="str">
        <f>IF(AQ316=0,"",IF($AO316&lt;&gt;"",1+SUMPRODUCT(($B$5:$B$335=$B316)*($AQ$5:$AQ$335=1)*($AO$5:$AO$335&lt;$AO316)),1+SUMPRODUCT(($B$5:$B$335=$B316)*($AQ$5:$AQ$335=1)*ISNUMBER($AO$5:$AO$335))+SUMPRODUCT(($B$5:$B$335=$B316)*($AQ$5:$AQ$335=1)*($AO$5:$AO$335="")*(ROW($AO$5:$AO$335)&lt;ROW()))))</f>
        <v/>
      </c>
      <c r="AS316" s="24" t="s">
        <v>1680</v>
      </c>
    </row>
    <row r="317" spans="1:45">
      <c r="A317" s="20" t="s">
        <v>1681</v>
      </c>
      <c r="B317" s="21" t="s">
        <v>86</v>
      </c>
      <c r="C317" s="21" t="s">
        <v>1682</v>
      </c>
      <c r="D317" s="21" t="s">
        <v>1683</v>
      </c>
      <c r="E317" s="20" t="s">
        <v>135</v>
      </c>
      <c r="F317" s="20" t="s">
        <v>126</v>
      </c>
      <c r="G317" s="20">
        <v>0</v>
      </c>
      <c r="H317" s="20">
        <v>100</v>
      </c>
      <c r="I317" s="20">
        <v>45</v>
      </c>
      <c r="J317" s="22">
        <v>1</v>
      </c>
      <c r="K317" s="21" t="s">
        <v>1684</v>
      </c>
      <c r="L317" s="20" t="s">
        <v>1685</v>
      </c>
      <c r="M317" s="21" t="s">
        <v>1684</v>
      </c>
      <c r="N317" s="20">
        <v>0</v>
      </c>
      <c r="O317" s="21" t="s">
        <v>1681</v>
      </c>
      <c r="P317" s="20" t="s">
        <v>152</v>
      </c>
      <c r="Q317" s="6"/>
      <c r="R317" s="6"/>
      <c r="S317" s="6"/>
      <c r="T317" s="6"/>
      <c r="U317" s="6"/>
      <c r="V317" s="6"/>
      <c r="W317" s="6"/>
      <c r="X317" s="6">
        <v>27.4</v>
      </c>
      <c r="Y317" s="6">
        <v>27.2</v>
      </c>
      <c r="Z317" s="6">
        <v>25.25</v>
      </c>
      <c r="AA317" s="6">
        <v>23.17</v>
      </c>
      <c r="AB317" s="20">
        <f>COUNT(Q317:AA317)</f>
        <v>4</v>
      </c>
      <c r="AC317" s="23">
        <f>AB317/11</f>
        <v>0.36363636363636365</v>
      </c>
      <c r="AD317" s="20">
        <f>IFERROR(INDEX($Q$4:$AA$4,MATCH(TRUE,INDEX(ISNUMBER(Q317:AA317),0),0)),"")</f>
        <v>2022</v>
      </c>
      <c r="AE317" s="20">
        <f>IFERROR(LOOKUP(2,1/ISNUMBER(Q317:AA317),$Q$4:$AA$4),"")</f>
        <v>2025</v>
      </c>
      <c r="AF317" s="23">
        <f>IF(AB317=0,"",AB317/(AE317-AD317+1))</f>
        <v>1</v>
      </c>
      <c r="AG317" s="20">
        <f>IF(AB317=0,"",'01_Criterios'!$C$8-AE317)</f>
        <v>0</v>
      </c>
      <c r="AH317" s="7">
        <f>IF(P317="Em uso",100,IF(P317="Alta",85,IF(P317="Média",55,30)))</f>
        <v>85</v>
      </c>
      <c r="AI317" s="7">
        <f>ROUND(100*AC317,1)</f>
        <v>36.4</v>
      </c>
      <c r="AJ317" s="7">
        <f>IF(AB317=0,0,ROUND(MAX(0,100*AF317-10*AG317),1))</f>
        <v>100</v>
      </c>
      <c r="AK317" s="7">
        <f>ROUND(('01_Criterios'!$C$19*AH317+'01_Criterios'!$C$20*AI317+'01_Criterios'!$C$21*AJ317)/('01_Criterios'!$C$19+'01_Criterios'!$C$20+'01_Criterios'!$C$21)+N317*'01_Criterios'!$C$22,1)</f>
        <v>71.7</v>
      </c>
      <c r="AL317" s="20">
        <f>IF(AND(AB317&gt;=3,AC317&gt;='01_Criterios'!$C$11,N(AE317)&gt;='01_Criterios'!$C$12,OR(F317="+",F317="-"),ISNUMBER(G317),ISNUMBER(H317)),1,0)</f>
        <v>0</v>
      </c>
      <c r="AM317" s="24" t="str">
        <f>IF(AL317=1,"",TRIM(IF(AB317=0,"sem dados no período; ",IF(AB317&lt;3,"série demasiado curta; ",""))&amp;IF(AND(AB317&gt;0,AC317&lt;'01_Criterios'!$C$11),"cobertura insuficiente; ","")&amp;IF(AND(AB317&gt;0,N(AE317)&lt;'01_Criterios'!$C$12),"desactualizado; ","")&amp;IF(AND(F317&lt;&gt;"+",F317&lt;&gt;"-"),"sentido ambíguo; ","")&amp;IF(OR(NOT(ISNUMBER(G317)),NOT(ISNUMBER(H317))),"sem limites min/max; ","")))</f>
        <v>cobertura insuficiente;</v>
      </c>
      <c r="AN317" s="20">
        <f>IF(OR(AL317=0,$AP317="Excluir"),0,IF(SUMPRODUCT(($O$5:$O$335=$O317)*($AL$5:$AL$335=1)*($AP$5:$AP$335&lt;&gt;"Excluir")*(($AK$5:$AK$335&gt;$AK317)+(($AK$5:$AK$335=$AK317)*(ROW($O$5:$O$335)&lt;ROW()))))=0,1,0))</f>
        <v>0</v>
      </c>
      <c r="AO317" s="20" t="str">
        <f>IF(AN317=0,"",1+SUMPRODUCT(($B$5:$B$335=$B317)*($AN$5:$AN$335=1)*(($AK$5:$AK$335&gt;$AK317)+(($AK$5:$AK$335=$AK317)*(ROW($B$5:$B$335)&lt;ROW())))))</f>
        <v/>
      </c>
      <c r="AP317" s="22" t="s">
        <v>131</v>
      </c>
      <c r="AQ317" s="20">
        <f>IF(INDEX('01_Criterios'!$C$26:$C$36,MATCH($B317,'01_Criterios'!$B$26:$B$36,0))&lt;&gt;1,0,IF($AP317="Excluir",0,IF($AP317="Incluir",IF(AND(OR($F317="+",$F317="-"),ISNUMBER($G317),ISNUMBER($H317),COUNT($Q317:$AA317)&gt;0),1,0),IF('01_Criterios'!$C$18="Automática",IF(AND($AN317=1,$AO317&lt;&gt;"",$AO317&lt;=INDEX('01_Criterios'!$E$26:$E$36,MATCH($B317,'01_Criterios'!$B$26:$B$36,0))),1,0),0))))</f>
        <v>0</v>
      </c>
      <c r="AR317" s="20" t="str">
        <f>IF(AQ317=0,"",IF($AO317&lt;&gt;"",1+SUMPRODUCT(($B$5:$B$335=$B317)*($AQ$5:$AQ$335=1)*($AO$5:$AO$335&lt;$AO317)),1+SUMPRODUCT(($B$5:$B$335=$B317)*($AQ$5:$AQ$335=1)*ISNUMBER($AO$5:$AO$335))+SUMPRODUCT(($B$5:$B$335=$B317)*($AQ$5:$AQ$335=1)*($AO$5:$AO$335="")*(ROW($AO$5:$AO$335)&lt;ROW()))))</f>
        <v/>
      </c>
      <c r="AS317" s="24" t="s">
        <v>1686</v>
      </c>
    </row>
    <row r="318" spans="1:45">
      <c r="A318" s="25" t="s">
        <v>1687</v>
      </c>
      <c r="B318" s="26" t="s">
        <v>86</v>
      </c>
      <c r="C318" s="26" t="s">
        <v>1688</v>
      </c>
      <c r="D318" s="26" t="s">
        <v>1689</v>
      </c>
      <c r="E318" s="25" t="s">
        <v>579</v>
      </c>
      <c r="F318" s="25" t="s">
        <v>126</v>
      </c>
      <c r="G318" s="25">
        <v>0</v>
      </c>
      <c r="H318" s="25">
        <v>1</v>
      </c>
      <c r="I318" s="25">
        <v>0.55000000000000004</v>
      </c>
      <c r="J318" s="22">
        <v>1</v>
      </c>
      <c r="K318" s="26" t="s">
        <v>1690</v>
      </c>
      <c r="L318" s="25" t="s">
        <v>1691</v>
      </c>
      <c r="M318" s="26" t="s">
        <v>1690</v>
      </c>
      <c r="N318" s="25">
        <v>0</v>
      </c>
      <c r="O318" s="26" t="s">
        <v>1687</v>
      </c>
      <c r="P318" s="25" t="s">
        <v>152</v>
      </c>
      <c r="Q318" s="27"/>
      <c r="R318" s="27">
        <v>0.33113999999999999</v>
      </c>
      <c r="S318" s="27"/>
      <c r="T318" s="27">
        <v>0.33760000000000001</v>
      </c>
      <c r="U318" s="27"/>
      <c r="V318" s="27">
        <v>0.38469999999999999</v>
      </c>
      <c r="W318" s="27"/>
      <c r="X318" s="27">
        <v>0.37890000000000001</v>
      </c>
      <c r="Y318" s="27"/>
      <c r="Z318" s="27">
        <v>0.41487000000000002</v>
      </c>
      <c r="AA318" s="27"/>
      <c r="AB318" s="25">
        <f>COUNT(Q318:AA318)</f>
        <v>5</v>
      </c>
      <c r="AC318" s="28">
        <f>AB318/11</f>
        <v>0.45454545454545453</v>
      </c>
      <c r="AD318" s="25">
        <f>IFERROR(INDEX($Q$4:$AA$4,MATCH(TRUE,INDEX(ISNUMBER(Q318:AA318),0),0)),"")</f>
        <v>2016</v>
      </c>
      <c r="AE318" s="25">
        <f>IFERROR(LOOKUP(2,1/ISNUMBER(Q318:AA318),$Q$4:$AA$4),"")</f>
        <v>2024</v>
      </c>
      <c r="AF318" s="28">
        <f>IF(AB318=0,"",AB318/(AE318-AD318+1))</f>
        <v>0.55555555555555558</v>
      </c>
      <c r="AG318" s="25">
        <f>IF(AB318=0,"",'01_Criterios'!$C$8-AE318)</f>
        <v>1</v>
      </c>
      <c r="AH318" s="29">
        <f>IF(P318="Em uso",100,IF(P318="Alta",85,IF(P318="Média",55,30)))</f>
        <v>85</v>
      </c>
      <c r="AI318" s="29">
        <f>ROUND(100*AC318,1)</f>
        <v>45.5</v>
      </c>
      <c r="AJ318" s="29">
        <f>IF(AB318=0,0,ROUND(MAX(0,100*AF318-10*AG318),1))</f>
        <v>45.6</v>
      </c>
      <c r="AK318" s="29">
        <f>ROUND(('01_Criterios'!$C$19*AH318+'01_Criterios'!$C$20*AI318+'01_Criterios'!$C$21*AJ318)/('01_Criterios'!$C$19+'01_Criterios'!$C$20+'01_Criterios'!$C$21)+N318*'01_Criterios'!$C$22,1)</f>
        <v>61.3</v>
      </c>
      <c r="AL318" s="25">
        <f>IF(AND(AB318&gt;=3,AC318&gt;='01_Criterios'!$C$11,N(AE318)&gt;='01_Criterios'!$C$12,OR(F318="+",F318="-"),ISNUMBER(G318),ISNUMBER(H318)),1,0)</f>
        <v>0</v>
      </c>
      <c r="AM318" s="30" t="str">
        <f>IF(AL318=1,"",TRIM(IF(AB318=0,"sem dados no período; ",IF(AB318&lt;3,"série demasiado curta; ",""))&amp;IF(AND(AB318&gt;0,AC318&lt;'01_Criterios'!$C$11),"cobertura insuficiente; ","")&amp;IF(AND(AB318&gt;0,N(AE318)&lt;'01_Criterios'!$C$12),"desactualizado; ","")&amp;IF(AND(F318&lt;&gt;"+",F318&lt;&gt;"-"),"sentido ambíguo; ","")&amp;IF(OR(NOT(ISNUMBER(G318)),NOT(ISNUMBER(H318))),"sem limites min/max; ","")))</f>
        <v>cobertura insuficiente;</v>
      </c>
      <c r="AN318" s="25">
        <f>IF(OR(AL318=0,$AP318="Excluir"),0,IF(SUMPRODUCT(($O$5:$O$335=$O318)*($AL$5:$AL$335=1)*($AP$5:$AP$335&lt;&gt;"Excluir")*(($AK$5:$AK$335&gt;$AK318)+(($AK$5:$AK$335=$AK318)*(ROW($O$5:$O$335)&lt;ROW()))))=0,1,0))</f>
        <v>0</v>
      </c>
      <c r="AO318" s="25" t="str">
        <f>IF(AN318=0,"",1+SUMPRODUCT(($B$5:$B$335=$B318)*($AN$5:$AN$335=1)*(($AK$5:$AK$335&gt;$AK318)+(($AK$5:$AK$335=$AK318)*(ROW($B$5:$B$335)&lt;ROW())))))</f>
        <v/>
      </c>
      <c r="AP318" s="22" t="s">
        <v>131</v>
      </c>
      <c r="AQ318" s="25">
        <f>IF(INDEX('01_Criterios'!$C$26:$C$36,MATCH($B318,'01_Criterios'!$B$26:$B$36,0))&lt;&gt;1,0,IF($AP318="Excluir",0,IF($AP318="Incluir",IF(AND(OR($F318="+",$F318="-"),ISNUMBER($G318),ISNUMBER($H318),COUNT($Q318:$AA318)&gt;0),1,0),IF('01_Criterios'!$C$18="Automática",IF(AND($AN318=1,$AO318&lt;&gt;"",$AO318&lt;=INDEX('01_Criterios'!$E$26:$E$36,MATCH($B318,'01_Criterios'!$B$26:$B$36,0))),1,0),0))))</f>
        <v>0</v>
      </c>
      <c r="AR318" s="25" t="str">
        <f>IF(AQ318=0,"",IF($AO318&lt;&gt;"",1+SUMPRODUCT(($B$5:$B$335=$B318)*($AQ$5:$AQ$335=1)*($AO$5:$AO$335&lt;$AO318)),1+SUMPRODUCT(($B$5:$B$335=$B318)*($AQ$5:$AQ$335=1)*ISNUMBER($AO$5:$AO$335))+SUMPRODUCT(($B$5:$B$335=$B318)*($AQ$5:$AQ$335=1)*($AO$5:$AO$335="")*(ROW($AO$5:$AO$335)&lt;ROW()))))</f>
        <v/>
      </c>
      <c r="AS318" s="24" t="s">
        <v>1692</v>
      </c>
    </row>
    <row r="319" spans="1:45">
      <c r="A319" s="20" t="s">
        <v>1693</v>
      </c>
      <c r="B319" s="21" t="s">
        <v>86</v>
      </c>
      <c r="C319" s="21" t="s">
        <v>1664</v>
      </c>
      <c r="D319" s="21" t="s">
        <v>1694</v>
      </c>
      <c r="E319" s="20" t="s">
        <v>1695</v>
      </c>
      <c r="F319" s="20" t="s">
        <v>126</v>
      </c>
      <c r="G319" s="20">
        <v>0</v>
      </c>
      <c r="H319" s="20">
        <v>100</v>
      </c>
      <c r="I319" s="20">
        <v>45</v>
      </c>
      <c r="J319" s="22">
        <v>1</v>
      </c>
      <c r="K319" s="21" t="s">
        <v>899</v>
      </c>
      <c r="L319" s="20" t="s">
        <v>1696</v>
      </c>
      <c r="M319" s="21" t="s">
        <v>161</v>
      </c>
      <c r="N319" s="20">
        <v>0</v>
      </c>
      <c r="O319" s="21" t="s">
        <v>1693</v>
      </c>
      <c r="P319" s="20" t="s">
        <v>152</v>
      </c>
      <c r="Q319" s="6"/>
      <c r="R319" s="6"/>
      <c r="S319" s="6"/>
      <c r="T319" s="6"/>
      <c r="U319" s="6"/>
      <c r="V319" s="6"/>
      <c r="W319" s="6"/>
      <c r="X319" s="6"/>
      <c r="Y319" s="6"/>
      <c r="Z319" s="6"/>
      <c r="AA319" s="6"/>
      <c r="AB319" s="20">
        <f>COUNT(Q319:AA319)</f>
        <v>0</v>
      </c>
      <c r="AC319" s="23">
        <f>AB319/11</f>
        <v>0</v>
      </c>
      <c r="AD319" s="20" t="str">
        <f>IFERROR(INDEX($Q$4:$AA$4,MATCH(TRUE,INDEX(ISNUMBER(Q319:AA319),0),0)),"")</f>
        <v/>
      </c>
      <c r="AE319" s="20" t="str">
        <f>IFERROR(LOOKUP(2,1/ISNUMBER(Q319:AA319),$Q$4:$AA$4),"")</f>
        <v/>
      </c>
      <c r="AF319" s="23" t="str">
        <f>IF(AB319=0,"",AB319/(AE319-AD319+1))</f>
        <v/>
      </c>
      <c r="AG319" s="20" t="str">
        <f>IF(AB319=0,"",'01_Criterios'!$C$8-AE319)</f>
        <v/>
      </c>
      <c r="AH319" s="7">
        <f>IF(P319="Em uso",100,IF(P319="Alta",85,IF(P319="Média",55,30)))</f>
        <v>85</v>
      </c>
      <c r="AI319" s="7">
        <f>ROUND(100*AC319,1)</f>
        <v>0</v>
      </c>
      <c r="AJ319" s="7">
        <f>IF(AB319=0,0,ROUND(MAX(0,100*AF319-10*AG319),1))</f>
        <v>0</v>
      </c>
      <c r="AK319" s="7">
        <f>ROUND(('01_Criterios'!$C$19*AH319+'01_Criterios'!$C$20*AI319+'01_Criterios'!$C$21*AJ319)/('01_Criterios'!$C$19+'01_Criterios'!$C$20+'01_Criterios'!$C$21)+N319*'01_Criterios'!$C$22,1)</f>
        <v>34</v>
      </c>
      <c r="AL319" s="20">
        <f>IF(AND(AB319&gt;=3,AC319&gt;='01_Criterios'!$C$11,N(AE319)&gt;='01_Criterios'!$C$12,OR(F319="+",F319="-"),ISNUMBER(G319),ISNUMBER(H319)),1,0)</f>
        <v>0</v>
      </c>
      <c r="AM319" s="24" t="str">
        <f>IF(AL319=1,"",TRIM(IF(AB319=0,"sem dados no período; ",IF(AB319&lt;3,"série demasiado curta; ",""))&amp;IF(AND(AB319&gt;0,AC319&lt;'01_Criterios'!$C$11),"cobertura insuficiente; ","")&amp;IF(AND(AB319&gt;0,N(AE319)&lt;'01_Criterios'!$C$12),"desactualizado; ","")&amp;IF(AND(F319&lt;&gt;"+",F319&lt;&gt;"-"),"sentido ambíguo; ","")&amp;IF(OR(NOT(ISNUMBER(G319)),NOT(ISNUMBER(H319))),"sem limites min/max; ","")))</f>
        <v>sem dados no período;</v>
      </c>
      <c r="AN319" s="20">
        <f>IF(OR(AL319=0,$AP319="Excluir"),0,IF(SUMPRODUCT(($O$5:$O$335=$O319)*($AL$5:$AL$335=1)*($AP$5:$AP$335&lt;&gt;"Excluir")*(($AK$5:$AK$335&gt;$AK319)+(($AK$5:$AK$335=$AK319)*(ROW($O$5:$O$335)&lt;ROW()))))=0,1,0))</f>
        <v>0</v>
      </c>
      <c r="AO319" s="20" t="str">
        <f>IF(AN319=0,"",1+SUMPRODUCT(($B$5:$B$335=$B319)*($AN$5:$AN$335=1)*(($AK$5:$AK$335&gt;$AK319)+(($AK$5:$AK$335=$AK319)*(ROW($B$5:$B$335)&lt;ROW())))))</f>
        <v/>
      </c>
      <c r="AP319" s="22" t="s">
        <v>131</v>
      </c>
      <c r="AQ319" s="20">
        <f>IF(INDEX('01_Criterios'!$C$26:$C$36,MATCH($B319,'01_Criterios'!$B$26:$B$36,0))&lt;&gt;1,0,IF($AP319="Excluir",0,IF($AP319="Incluir",IF(AND(OR($F319="+",$F319="-"),ISNUMBER($G319),ISNUMBER($H319),COUNT($Q319:$AA319)&gt;0),1,0),IF('01_Criterios'!$C$18="Automática",IF(AND($AN319=1,$AO319&lt;&gt;"",$AO319&lt;=INDEX('01_Criterios'!$E$26:$E$36,MATCH($B319,'01_Criterios'!$B$26:$B$36,0))),1,0),0))))</f>
        <v>0</v>
      </c>
      <c r="AR319" s="20" t="str">
        <f>IF(AQ319=0,"",IF($AO319&lt;&gt;"",1+SUMPRODUCT(($B$5:$B$335=$B319)*($AQ$5:$AQ$335=1)*($AO$5:$AO$335&lt;$AO319)),1+SUMPRODUCT(($B$5:$B$335=$B319)*($AQ$5:$AQ$335=1)*ISNUMBER($AO$5:$AO$335))+SUMPRODUCT(($B$5:$B$335=$B319)*($AQ$5:$AQ$335=1)*($AO$5:$AO$335="")*(ROW($AO$5:$AO$335)&lt;ROW()))))</f>
        <v/>
      </c>
      <c r="AS319" s="24" t="s">
        <v>1697</v>
      </c>
    </row>
    <row r="320" spans="1:45">
      <c r="A320" s="25" t="s">
        <v>1698</v>
      </c>
      <c r="B320" s="26" t="s">
        <v>86</v>
      </c>
      <c r="C320" s="26" t="s">
        <v>1699</v>
      </c>
      <c r="D320" s="26" t="s">
        <v>1700</v>
      </c>
      <c r="E320" s="25" t="s">
        <v>767</v>
      </c>
      <c r="F320" s="25" t="s">
        <v>126</v>
      </c>
      <c r="G320" s="25">
        <v>0</v>
      </c>
      <c r="H320" s="25">
        <v>100</v>
      </c>
      <c r="I320" s="25">
        <v>60</v>
      </c>
      <c r="J320" s="22">
        <v>1</v>
      </c>
      <c r="K320" s="26" t="s">
        <v>768</v>
      </c>
      <c r="L320" s="25" t="s">
        <v>769</v>
      </c>
      <c r="M320" s="26" t="s">
        <v>161</v>
      </c>
      <c r="N320" s="25">
        <v>0</v>
      </c>
      <c r="O320" s="26" t="s">
        <v>770</v>
      </c>
      <c r="P320" s="25" t="s">
        <v>152</v>
      </c>
      <c r="Q320" s="27"/>
      <c r="R320" s="27"/>
      <c r="S320" s="27"/>
      <c r="T320" s="27"/>
      <c r="U320" s="27"/>
      <c r="V320" s="27"/>
      <c r="W320" s="27"/>
      <c r="X320" s="27"/>
      <c r="Y320" s="27"/>
      <c r="Z320" s="27"/>
      <c r="AA320" s="27"/>
      <c r="AB320" s="25">
        <f>COUNT(Q320:AA320)</f>
        <v>0</v>
      </c>
      <c r="AC320" s="28">
        <f>AB320/11</f>
        <v>0</v>
      </c>
      <c r="AD320" s="25" t="str">
        <f>IFERROR(INDEX($Q$4:$AA$4,MATCH(TRUE,INDEX(ISNUMBER(Q320:AA320),0),0)),"")</f>
        <v/>
      </c>
      <c r="AE320" s="25" t="str">
        <f>IFERROR(LOOKUP(2,1/ISNUMBER(Q320:AA320),$Q$4:$AA$4),"")</f>
        <v/>
      </c>
      <c r="AF320" s="28" t="str">
        <f>IF(AB320=0,"",AB320/(AE320-AD320+1))</f>
        <v/>
      </c>
      <c r="AG320" s="25" t="str">
        <f>IF(AB320=0,"",'01_Criterios'!$C$8-AE320)</f>
        <v/>
      </c>
      <c r="AH320" s="29">
        <f>IF(P320="Em uso",100,IF(P320="Alta",85,IF(P320="Média",55,30)))</f>
        <v>85</v>
      </c>
      <c r="AI320" s="29">
        <f>ROUND(100*AC320,1)</f>
        <v>0</v>
      </c>
      <c r="AJ320" s="29">
        <f>IF(AB320=0,0,ROUND(MAX(0,100*AF320-10*AG320),1))</f>
        <v>0</v>
      </c>
      <c r="AK320" s="29">
        <f>ROUND(('01_Criterios'!$C$19*AH320+'01_Criterios'!$C$20*AI320+'01_Criterios'!$C$21*AJ320)/('01_Criterios'!$C$19+'01_Criterios'!$C$20+'01_Criterios'!$C$21)+N320*'01_Criterios'!$C$22,1)</f>
        <v>34</v>
      </c>
      <c r="AL320" s="25">
        <f>IF(AND(AB320&gt;=3,AC320&gt;='01_Criterios'!$C$11,N(AE320)&gt;='01_Criterios'!$C$12,OR(F320="+",F320="-"),ISNUMBER(G320),ISNUMBER(H320)),1,0)</f>
        <v>0</v>
      </c>
      <c r="AM320" s="30" t="str">
        <f>IF(AL320=1,"",TRIM(IF(AB320=0,"sem dados no período; ",IF(AB320&lt;3,"série demasiado curta; ",""))&amp;IF(AND(AB320&gt;0,AC320&lt;'01_Criterios'!$C$11),"cobertura insuficiente; ","")&amp;IF(AND(AB320&gt;0,N(AE320)&lt;'01_Criterios'!$C$12),"desactualizado; ","")&amp;IF(AND(F320&lt;&gt;"+",F320&lt;&gt;"-"),"sentido ambíguo; ","")&amp;IF(OR(NOT(ISNUMBER(G320)),NOT(ISNUMBER(H320))),"sem limites min/max; ","")))</f>
        <v>sem dados no período;</v>
      </c>
      <c r="AN320" s="25">
        <f>IF(OR(AL320=0,$AP320="Excluir"),0,IF(SUMPRODUCT(($O$5:$O$335=$O320)*($AL$5:$AL$335=1)*($AP$5:$AP$335&lt;&gt;"Excluir")*(($AK$5:$AK$335&gt;$AK320)+(($AK$5:$AK$335=$AK320)*(ROW($O$5:$O$335)&lt;ROW()))))=0,1,0))</f>
        <v>0</v>
      </c>
      <c r="AO320" s="25" t="str">
        <f>IF(AN320=0,"",1+SUMPRODUCT(($B$5:$B$335=$B320)*($AN$5:$AN$335=1)*(($AK$5:$AK$335&gt;$AK320)+(($AK$5:$AK$335=$AK320)*(ROW($B$5:$B$335)&lt;ROW())))))</f>
        <v/>
      </c>
      <c r="AP320" s="22" t="s">
        <v>131</v>
      </c>
      <c r="AQ320" s="25">
        <f>IF(INDEX('01_Criterios'!$C$26:$C$36,MATCH($B320,'01_Criterios'!$B$26:$B$36,0))&lt;&gt;1,0,IF($AP320="Excluir",0,IF($AP320="Incluir",IF(AND(OR($F320="+",$F320="-"),ISNUMBER($G320),ISNUMBER($H320),COUNT($Q320:$AA320)&gt;0),1,0),IF('01_Criterios'!$C$18="Automática",IF(AND($AN320=1,$AO320&lt;&gt;"",$AO320&lt;=INDEX('01_Criterios'!$E$26:$E$36,MATCH($B320,'01_Criterios'!$B$26:$B$36,0))),1,0),0))))</f>
        <v>0</v>
      </c>
      <c r="AR320" s="25" t="str">
        <f>IF(AQ320=0,"",IF($AO320&lt;&gt;"",1+SUMPRODUCT(($B$5:$B$335=$B320)*($AQ$5:$AQ$335=1)*($AO$5:$AO$335&lt;$AO320)),1+SUMPRODUCT(($B$5:$B$335=$B320)*($AQ$5:$AQ$335=1)*ISNUMBER($AO$5:$AO$335))+SUMPRODUCT(($B$5:$B$335=$B320)*($AQ$5:$AQ$335=1)*($AO$5:$AO$335="")*(ROW($AO$5:$AO$335)&lt;ROW()))))</f>
        <v/>
      </c>
      <c r="AS320" s="24" t="s">
        <v>1701</v>
      </c>
    </row>
    <row r="321" spans="1:45">
      <c r="A321" s="20" t="s">
        <v>1702</v>
      </c>
      <c r="B321" s="21" t="s">
        <v>86</v>
      </c>
      <c r="C321" s="21" t="s">
        <v>1699</v>
      </c>
      <c r="D321" s="21" t="s">
        <v>778</v>
      </c>
      <c r="E321" s="20" t="s">
        <v>767</v>
      </c>
      <c r="F321" s="20" t="s">
        <v>126</v>
      </c>
      <c r="G321" s="20">
        <v>0</v>
      </c>
      <c r="H321" s="20">
        <v>100</v>
      </c>
      <c r="I321" s="20">
        <v>45</v>
      </c>
      <c r="J321" s="22">
        <v>1</v>
      </c>
      <c r="K321" s="21" t="s">
        <v>768</v>
      </c>
      <c r="L321" s="20" t="s">
        <v>779</v>
      </c>
      <c r="M321" s="21" t="s">
        <v>161</v>
      </c>
      <c r="N321" s="20">
        <v>0</v>
      </c>
      <c r="O321" s="21" t="s">
        <v>770</v>
      </c>
      <c r="P321" s="20" t="s">
        <v>152</v>
      </c>
      <c r="Q321" s="6"/>
      <c r="R321" s="6"/>
      <c r="S321" s="6"/>
      <c r="T321" s="6"/>
      <c r="U321" s="6"/>
      <c r="V321" s="6"/>
      <c r="W321" s="6"/>
      <c r="X321" s="6"/>
      <c r="Y321" s="6"/>
      <c r="Z321" s="6"/>
      <c r="AA321" s="6"/>
      <c r="AB321" s="20">
        <f>COUNT(Q321:AA321)</f>
        <v>0</v>
      </c>
      <c r="AC321" s="23">
        <f>AB321/11</f>
        <v>0</v>
      </c>
      <c r="AD321" s="20" t="str">
        <f>IFERROR(INDEX($Q$4:$AA$4,MATCH(TRUE,INDEX(ISNUMBER(Q321:AA321),0),0)),"")</f>
        <v/>
      </c>
      <c r="AE321" s="20" t="str">
        <f>IFERROR(LOOKUP(2,1/ISNUMBER(Q321:AA321),$Q$4:$AA$4),"")</f>
        <v/>
      </c>
      <c r="AF321" s="23" t="str">
        <f>IF(AB321=0,"",AB321/(AE321-AD321+1))</f>
        <v/>
      </c>
      <c r="AG321" s="20" t="str">
        <f>IF(AB321=0,"",'01_Criterios'!$C$8-AE321)</f>
        <v/>
      </c>
      <c r="AH321" s="7">
        <f>IF(P321="Em uso",100,IF(P321="Alta",85,IF(P321="Média",55,30)))</f>
        <v>85</v>
      </c>
      <c r="AI321" s="7">
        <f>ROUND(100*AC321,1)</f>
        <v>0</v>
      </c>
      <c r="AJ321" s="7">
        <f>IF(AB321=0,0,ROUND(MAX(0,100*AF321-10*AG321),1))</f>
        <v>0</v>
      </c>
      <c r="AK321" s="7">
        <f>ROUND(('01_Criterios'!$C$19*AH321+'01_Criterios'!$C$20*AI321+'01_Criterios'!$C$21*AJ321)/('01_Criterios'!$C$19+'01_Criterios'!$C$20+'01_Criterios'!$C$21)+N321*'01_Criterios'!$C$22,1)</f>
        <v>34</v>
      </c>
      <c r="AL321" s="20">
        <f>IF(AND(AB321&gt;=3,AC321&gt;='01_Criterios'!$C$11,N(AE321)&gt;='01_Criterios'!$C$12,OR(F321="+",F321="-"),ISNUMBER(G321),ISNUMBER(H321)),1,0)</f>
        <v>0</v>
      </c>
      <c r="AM321" s="24" t="str">
        <f>IF(AL321=1,"",TRIM(IF(AB321=0,"sem dados no período; ",IF(AB321&lt;3,"série demasiado curta; ",""))&amp;IF(AND(AB321&gt;0,AC321&lt;'01_Criterios'!$C$11),"cobertura insuficiente; ","")&amp;IF(AND(AB321&gt;0,N(AE321)&lt;'01_Criterios'!$C$12),"desactualizado; ","")&amp;IF(AND(F321&lt;&gt;"+",F321&lt;&gt;"-"),"sentido ambíguo; ","")&amp;IF(OR(NOT(ISNUMBER(G321)),NOT(ISNUMBER(H321))),"sem limites min/max; ","")))</f>
        <v>sem dados no período;</v>
      </c>
      <c r="AN321" s="20">
        <f>IF(OR(AL321=0,$AP321="Excluir"),0,IF(SUMPRODUCT(($O$5:$O$335=$O321)*($AL$5:$AL$335=1)*($AP$5:$AP$335&lt;&gt;"Excluir")*(($AK$5:$AK$335&gt;$AK321)+(($AK$5:$AK$335=$AK321)*(ROW($O$5:$O$335)&lt;ROW()))))=0,1,0))</f>
        <v>0</v>
      </c>
      <c r="AO321" s="20" t="str">
        <f>IF(AN321=0,"",1+SUMPRODUCT(($B$5:$B$335=$B321)*($AN$5:$AN$335=1)*(($AK$5:$AK$335&gt;$AK321)+(($AK$5:$AK$335=$AK321)*(ROW($B$5:$B$335)&lt;ROW())))))</f>
        <v/>
      </c>
      <c r="AP321" s="22" t="s">
        <v>131</v>
      </c>
      <c r="AQ321" s="20">
        <f>IF(INDEX('01_Criterios'!$C$26:$C$36,MATCH($B321,'01_Criterios'!$B$26:$B$36,0))&lt;&gt;1,0,IF($AP321="Excluir",0,IF($AP321="Incluir",IF(AND(OR($F321="+",$F321="-"),ISNUMBER($G321),ISNUMBER($H321),COUNT($Q321:$AA321)&gt;0),1,0),IF('01_Criterios'!$C$18="Automática",IF(AND($AN321=1,$AO321&lt;&gt;"",$AO321&lt;=INDEX('01_Criterios'!$E$26:$E$36,MATCH($B321,'01_Criterios'!$B$26:$B$36,0))),1,0),0))))</f>
        <v>0</v>
      </c>
      <c r="AR321" s="20" t="str">
        <f>IF(AQ321=0,"",IF($AO321&lt;&gt;"",1+SUMPRODUCT(($B$5:$B$335=$B321)*($AQ$5:$AQ$335=1)*($AO$5:$AO$335&lt;$AO321)),1+SUMPRODUCT(($B$5:$B$335=$B321)*($AQ$5:$AQ$335=1)*ISNUMBER($AO$5:$AO$335))+SUMPRODUCT(($B$5:$B$335=$B321)*($AQ$5:$AQ$335=1)*($AO$5:$AO$335="")*(ROW($AO$5:$AO$335)&lt;ROW()))))</f>
        <v/>
      </c>
      <c r="AS321" s="24" t="s">
        <v>1703</v>
      </c>
    </row>
    <row r="322" spans="1:45">
      <c r="A322" s="25" t="s">
        <v>1704</v>
      </c>
      <c r="B322" s="26" t="s">
        <v>86</v>
      </c>
      <c r="C322" s="26" t="s">
        <v>1705</v>
      </c>
      <c r="D322" s="26" t="s">
        <v>1706</v>
      </c>
      <c r="E322" s="25" t="s">
        <v>1336</v>
      </c>
      <c r="F322" s="25" t="s">
        <v>126</v>
      </c>
      <c r="G322" s="25">
        <v>0</v>
      </c>
      <c r="H322" s="25">
        <v>100</v>
      </c>
      <c r="I322" s="25">
        <v>45</v>
      </c>
      <c r="J322" s="22">
        <v>1</v>
      </c>
      <c r="K322" s="26" t="s">
        <v>1337</v>
      </c>
      <c r="L322" s="25" t="s">
        <v>1707</v>
      </c>
      <c r="M322" s="26" t="s">
        <v>1339</v>
      </c>
      <c r="N322" s="25">
        <v>0</v>
      </c>
      <c r="O322" s="26" t="s">
        <v>1704</v>
      </c>
      <c r="P322" s="25" t="s">
        <v>152</v>
      </c>
      <c r="Q322" s="27">
        <v>21.81</v>
      </c>
      <c r="R322" s="27">
        <v>21.16</v>
      </c>
      <c r="S322" s="27">
        <v>21.48</v>
      </c>
      <c r="T322" s="27">
        <v>21.88</v>
      </c>
      <c r="U322" s="27">
        <v>22.89</v>
      </c>
      <c r="V322" s="27">
        <v>23.73</v>
      </c>
      <c r="W322" s="27">
        <v>24.62</v>
      </c>
      <c r="X322" s="27">
        <v>27.51</v>
      </c>
      <c r="Y322" s="27">
        <v>27.92</v>
      </c>
      <c r="Z322" s="27">
        <v>27.64</v>
      </c>
      <c r="AA322" s="27"/>
      <c r="AB322" s="25">
        <f>COUNT(Q322:AA322)</f>
        <v>10</v>
      </c>
      <c r="AC322" s="28">
        <f>AB322/11</f>
        <v>0.90909090909090906</v>
      </c>
      <c r="AD322" s="25">
        <f>IFERROR(INDEX($Q$4:$AA$4,MATCH(TRUE,INDEX(ISNUMBER(Q322:AA322),0),0)),"")</f>
        <v>2015</v>
      </c>
      <c r="AE322" s="25">
        <f>IFERROR(LOOKUP(2,1/ISNUMBER(Q322:AA322),$Q$4:$AA$4),"")</f>
        <v>2024</v>
      </c>
      <c r="AF322" s="28">
        <f>IF(AB322=0,"",AB322/(AE322-AD322+1))</f>
        <v>1</v>
      </c>
      <c r="AG322" s="25">
        <f>IF(AB322=0,"",'01_Criterios'!$C$8-AE322)</f>
        <v>1</v>
      </c>
      <c r="AH322" s="29">
        <f>IF(P322="Em uso",100,IF(P322="Alta",85,IF(P322="Média",55,30)))</f>
        <v>85</v>
      </c>
      <c r="AI322" s="29">
        <f>ROUND(100*AC322,1)</f>
        <v>90.9</v>
      </c>
      <c r="AJ322" s="29">
        <f>IF(AB322=0,0,ROUND(MAX(0,100*AF322-10*AG322),1))</f>
        <v>90</v>
      </c>
      <c r="AK322" s="29">
        <f>ROUND(('01_Criterios'!$C$19*AH322+'01_Criterios'!$C$20*AI322+'01_Criterios'!$C$21*AJ322)/('01_Criterios'!$C$19+'01_Criterios'!$C$20+'01_Criterios'!$C$21)+N322*'01_Criterios'!$C$22,1)</f>
        <v>88.3</v>
      </c>
      <c r="AL322" s="25">
        <f>IF(AND(AB322&gt;=3,AC322&gt;='01_Criterios'!$C$11,N(AE322)&gt;='01_Criterios'!$C$12,OR(F322="+",F322="-"),ISNUMBER(G322),ISNUMBER(H322)),1,0)</f>
        <v>1</v>
      </c>
      <c r="AM322" s="30" t="str">
        <f>IF(AL322=1,"",TRIM(IF(AB322=0,"sem dados no período; ",IF(AB322&lt;3,"série demasiado curta; ",""))&amp;IF(AND(AB322&gt;0,AC322&lt;'01_Criterios'!$C$11),"cobertura insuficiente; ","")&amp;IF(AND(AB322&gt;0,N(AE322)&lt;'01_Criterios'!$C$12),"desactualizado; ","")&amp;IF(AND(F322&lt;&gt;"+",F322&lt;&gt;"-"),"sentido ambíguo; ","")&amp;IF(OR(NOT(ISNUMBER(G322)),NOT(ISNUMBER(H322))),"sem limites min/max; ","")))</f>
        <v/>
      </c>
      <c r="AN322" s="25">
        <f>IF(OR(AL322=0,$AP322="Excluir"),0,IF(SUMPRODUCT(($O$5:$O$335=$O322)*($AL$5:$AL$335=1)*($AP$5:$AP$335&lt;&gt;"Excluir")*(($AK$5:$AK$335&gt;$AK322)+(($AK$5:$AK$335=$AK322)*(ROW($O$5:$O$335)&lt;ROW()))))=0,1,0))</f>
        <v>1</v>
      </c>
      <c r="AO322" s="25">
        <f>IF(AN322=0,"",1+SUMPRODUCT(($B$5:$B$335=$B322)*($AN$5:$AN$335=1)*(($AK$5:$AK$335&gt;$AK322)+(($AK$5:$AK$335=$AK322)*(ROW($B$5:$B$335)&lt;ROW())))))</f>
        <v>4</v>
      </c>
      <c r="AP322" s="22" t="s">
        <v>131</v>
      </c>
      <c r="AQ322" s="25">
        <f>IF(INDEX('01_Criterios'!$C$26:$C$36,MATCH($B322,'01_Criterios'!$B$26:$B$36,0))&lt;&gt;1,0,IF($AP322="Excluir",0,IF($AP322="Incluir",IF(AND(OR($F322="+",$F322="-"),ISNUMBER($G322),ISNUMBER($H322),COUNT($Q322:$AA322)&gt;0),1,0),IF('01_Criterios'!$C$18="Automática",IF(AND($AN322=1,$AO322&lt;&gt;"",$AO322&lt;=INDEX('01_Criterios'!$E$26:$E$36,MATCH($B322,'01_Criterios'!$B$26:$B$36,0))),1,0),0))))</f>
        <v>0</v>
      </c>
      <c r="AR322" s="25" t="str">
        <f>IF(AQ322=0,"",IF($AO322&lt;&gt;"",1+SUMPRODUCT(($B$5:$B$335=$B322)*($AQ$5:$AQ$335=1)*($AO$5:$AO$335&lt;$AO322)),1+SUMPRODUCT(($B$5:$B$335=$B322)*($AQ$5:$AQ$335=1)*ISNUMBER($AO$5:$AO$335))+SUMPRODUCT(($B$5:$B$335=$B322)*($AQ$5:$AQ$335=1)*($AO$5:$AO$335="")*(ROW($AO$5:$AO$335)&lt;ROW()))))</f>
        <v/>
      </c>
      <c r="AS322" s="24" t="s">
        <v>1708</v>
      </c>
    </row>
    <row r="323" spans="1:45">
      <c r="A323" s="20" t="s">
        <v>1709</v>
      </c>
      <c r="B323" s="21" t="s">
        <v>86</v>
      </c>
      <c r="C323" s="21" t="s">
        <v>1688</v>
      </c>
      <c r="D323" s="21" t="s">
        <v>1710</v>
      </c>
      <c r="E323" s="20" t="s">
        <v>1711</v>
      </c>
      <c r="F323" s="20" t="s">
        <v>126</v>
      </c>
      <c r="G323" s="20">
        <v>0</v>
      </c>
      <c r="H323" s="20">
        <v>1</v>
      </c>
      <c r="I323" s="20">
        <v>0.55000000000000004</v>
      </c>
      <c r="J323" s="22">
        <v>1</v>
      </c>
      <c r="K323" s="21" t="s">
        <v>1712</v>
      </c>
      <c r="L323" s="20" t="s">
        <v>1713</v>
      </c>
      <c r="M323" s="21" t="s">
        <v>1712</v>
      </c>
      <c r="N323" s="20">
        <v>0</v>
      </c>
      <c r="O323" s="21" t="s">
        <v>1709</v>
      </c>
      <c r="P323" s="20" t="s">
        <v>180</v>
      </c>
      <c r="Q323" s="6"/>
      <c r="R323" s="6"/>
      <c r="S323" s="6"/>
      <c r="T323" s="6"/>
      <c r="U323" s="6"/>
      <c r="V323" s="6"/>
      <c r="W323" s="6"/>
      <c r="X323" s="6">
        <v>0.45</v>
      </c>
      <c r="Y323" s="6"/>
      <c r="Z323" s="6"/>
      <c r="AA323" s="6"/>
      <c r="AB323" s="20">
        <f>COUNT(Q323:AA323)</f>
        <v>1</v>
      </c>
      <c r="AC323" s="23">
        <f>AB323/11</f>
        <v>9.0909090909090912E-2</v>
      </c>
      <c r="AD323" s="20">
        <f>IFERROR(INDEX($Q$4:$AA$4,MATCH(TRUE,INDEX(ISNUMBER(Q323:AA323),0),0)),"")</f>
        <v>2022</v>
      </c>
      <c r="AE323" s="20">
        <f>IFERROR(LOOKUP(2,1/ISNUMBER(Q323:AA323),$Q$4:$AA$4),"")</f>
        <v>2022</v>
      </c>
      <c r="AF323" s="23">
        <f>IF(AB323=0,"",AB323/(AE323-AD323+1))</f>
        <v>1</v>
      </c>
      <c r="AG323" s="20">
        <f>IF(AB323=0,"",'01_Criterios'!$C$8-AE323)</f>
        <v>3</v>
      </c>
      <c r="AH323" s="7">
        <f>IF(P323="Em uso",100,IF(P323="Alta",85,IF(P323="Média",55,30)))</f>
        <v>55</v>
      </c>
      <c r="AI323" s="7">
        <f>ROUND(100*AC323,1)</f>
        <v>9.1</v>
      </c>
      <c r="AJ323" s="7">
        <f>IF(AB323=0,0,ROUND(MAX(0,100*AF323-10*AG323),1))</f>
        <v>70</v>
      </c>
      <c r="AK323" s="7">
        <f>ROUND(('01_Criterios'!$C$19*AH323+'01_Criterios'!$C$20*AI323+'01_Criterios'!$C$21*AJ323)/('01_Criterios'!$C$19+'01_Criterios'!$C$20+'01_Criterios'!$C$21)+N323*'01_Criterios'!$C$22,1)</f>
        <v>42.7</v>
      </c>
      <c r="AL323" s="20">
        <f>IF(AND(AB323&gt;=3,AC323&gt;='01_Criterios'!$C$11,N(AE323)&gt;='01_Criterios'!$C$12,OR(F323="+",F323="-"),ISNUMBER(G323),ISNUMBER(H323)),1,0)</f>
        <v>0</v>
      </c>
      <c r="AM323" s="24" t="str">
        <f>IF(AL323=1,"",TRIM(IF(AB323=0,"sem dados no período; ",IF(AB323&lt;3,"série demasiado curta; ",""))&amp;IF(AND(AB323&gt;0,AC323&lt;'01_Criterios'!$C$11),"cobertura insuficiente; ","")&amp;IF(AND(AB323&gt;0,N(AE323)&lt;'01_Criterios'!$C$12),"desactualizado; ","")&amp;IF(AND(F323&lt;&gt;"+",F323&lt;&gt;"-"),"sentido ambíguo; ","")&amp;IF(OR(NOT(ISNUMBER(G323)),NOT(ISNUMBER(H323))),"sem limites min/max; ","")))</f>
        <v>série demasiado curta; cobertura insuficiente; desactualizado;</v>
      </c>
      <c r="AN323" s="20">
        <f>IF(OR(AL323=0,$AP323="Excluir"),0,IF(SUMPRODUCT(($O$5:$O$335=$O323)*($AL$5:$AL$335=1)*($AP$5:$AP$335&lt;&gt;"Excluir")*(($AK$5:$AK$335&gt;$AK323)+(($AK$5:$AK$335=$AK323)*(ROW($O$5:$O$335)&lt;ROW()))))=0,1,0))</f>
        <v>0</v>
      </c>
      <c r="AO323" s="20" t="str">
        <f>IF(AN323=0,"",1+SUMPRODUCT(($B$5:$B$335=$B323)*($AN$5:$AN$335=1)*(($AK$5:$AK$335&gt;$AK323)+(($AK$5:$AK$335=$AK323)*(ROW($B$5:$B$335)&lt;ROW())))))</f>
        <v/>
      </c>
      <c r="AP323" s="22" t="s">
        <v>131</v>
      </c>
      <c r="AQ323" s="20">
        <f>IF(INDEX('01_Criterios'!$C$26:$C$36,MATCH($B323,'01_Criterios'!$B$26:$B$36,0))&lt;&gt;1,0,IF($AP323="Excluir",0,IF($AP323="Incluir",IF(AND(OR($F323="+",$F323="-"),ISNUMBER($G323),ISNUMBER($H323),COUNT($Q323:$AA323)&gt;0),1,0),IF('01_Criterios'!$C$18="Automática",IF(AND($AN323=1,$AO323&lt;&gt;"",$AO323&lt;=INDEX('01_Criterios'!$E$26:$E$36,MATCH($B323,'01_Criterios'!$B$26:$B$36,0))),1,0),0))))</f>
        <v>0</v>
      </c>
      <c r="AR323" s="20" t="str">
        <f>IF(AQ323=0,"",IF($AO323&lt;&gt;"",1+SUMPRODUCT(($B$5:$B$335=$B323)*($AQ$5:$AQ$335=1)*($AO$5:$AO$335&lt;$AO323)),1+SUMPRODUCT(($B$5:$B$335=$B323)*($AQ$5:$AQ$335=1)*ISNUMBER($AO$5:$AO$335))+SUMPRODUCT(($B$5:$B$335=$B323)*($AQ$5:$AQ$335=1)*($AO$5:$AO$335="")*(ROW($AO$5:$AO$335)&lt;ROW()))))</f>
        <v/>
      </c>
      <c r="AS323" s="24" t="s">
        <v>1714</v>
      </c>
    </row>
    <row r="324" spans="1:45">
      <c r="A324" s="25" t="s">
        <v>1715</v>
      </c>
      <c r="B324" s="26" t="s">
        <v>86</v>
      </c>
      <c r="C324" s="26" t="s">
        <v>1664</v>
      </c>
      <c r="D324" s="26" t="s">
        <v>1716</v>
      </c>
      <c r="E324" s="25" t="s">
        <v>1717</v>
      </c>
      <c r="F324" s="25" t="s">
        <v>126</v>
      </c>
      <c r="G324" s="25">
        <v>0</v>
      </c>
      <c r="H324" s="25">
        <v>100</v>
      </c>
      <c r="I324" s="25">
        <v>55</v>
      </c>
      <c r="J324" s="22">
        <v>1</v>
      </c>
      <c r="K324" s="26" t="s">
        <v>899</v>
      </c>
      <c r="L324" s="25" t="s">
        <v>1718</v>
      </c>
      <c r="M324" s="26" t="s">
        <v>161</v>
      </c>
      <c r="N324" s="25">
        <v>0</v>
      </c>
      <c r="O324" s="26" t="s">
        <v>1715</v>
      </c>
      <c r="P324" s="25" t="s">
        <v>180</v>
      </c>
      <c r="Q324" s="27"/>
      <c r="R324" s="27"/>
      <c r="S324" s="27"/>
      <c r="T324" s="27"/>
      <c r="U324" s="27"/>
      <c r="V324" s="27"/>
      <c r="W324" s="27"/>
      <c r="X324" s="27"/>
      <c r="Y324" s="27"/>
      <c r="Z324" s="27"/>
      <c r="AA324" s="27"/>
      <c r="AB324" s="25">
        <f>COUNT(Q324:AA324)</f>
        <v>0</v>
      </c>
      <c r="AC324" s="28">
        <f>AB324/11</f>
        <v>0</v>
      </c>
      <c r="AD324" s="25" t="str">
        <f>IFERROR(INDEX($Q$4:$AA$4,MATCH(TRUE,INDEX(ISNUMBER(Q324:AA324),0),0)),"")</f>
        <v/>
      </c>
      <c r="AE324" s="25" t="str">
        <f>IFERROR(LOOKUP(2,1/ISNUMBER(Q324:AA324),$Q$4:$AA$4),"")</f>
        <v/>
      </c>
      <c r="AF324" s="28" t="str">
        <f>IF(AB324=0,"",AB324/(AE324-AD324+1))</f>
        <v/>
      </c>
      <c r="AG324" s="25" t="str">
        <f>IF(AB324=0,"",'01_Criterios'!$C$8-AE324)</f>
        <v/>
      </c>
      <c r="AH324" s="29">
        <f>IF(P324="Em uso",100,IF(P324="Alta",85,IF(P324="Média",55,30)))</f>
        <v>55</v>
      </c>
      <c r="AI324" s="29">
        <f>ROUND(100*AC324,1)</f>
        <v>0</v>
      </c>
      <c r="AJ324" s="29">
        <f>IF(AB324=0,0,ROUND(MAX(0,100*AF324-10*AG324),1))</f>
        <v>0</v>
      </c>
      <c r="AK324" s="29">
        <f>ROUND(('01_Criterios'!$C$19*AH324+'01_Criterios'!$C$20*AI324+'01_Criterios'!$C$21*AJ324)/('01_Criterios'!$C$19+'01_Criterios'!$C$20+'01_Criterios'!$C$21)+N324*'01_Criterios'!$C$22,1)</f>
        <v>22</v>
      </c>
      <c r="AL324" s="25">
        <f>IF(AND(AB324&gt;=3,AC324&gt;='01_Criterios'!$C$11,N(AE324)&gt;='01_Criterios'!$C$12,OR(F324="+",F324="-"),ISNUMBER(G324),ISNUMBER(H324)),1,0)</f>
        <v>0</v>
      </c>
      <c r="AM324" s="30" t="str">
        <f>IF(AL324=1,"",TRIM(IF(AB324=0,"sem dados no período; ",IF(AB324&lt;3,"série demasiado curta; ",""))&amp;IF(AND(AB324&gt;0,AC324&lt;'01_Criterios'!$C$11),"cobertura insuficiente; ","")&amp;IF(AND(AB324&gt;0,N(AE324)&lt;'01_Criterios'!$C$12),"desactualizado; ","")&amp;IF(AND(F324&lt;&gt;"+",F324&lt;&gt;"-"),"sentido ambíguo; ","")&amp;IF(OR(NOT(ISNUMBER(G324)),NOT(ISNUMBER(H324))),"sem limites min/max; ","")))</f>
        <v>sem dados no período;</v>
      </c>
      <c r="AN324" s="25">
        <f>IF(OR(AL324=0,$AP324="Excluir"),0,IF(SUMPRODUCT(($O$5:$O$335=$O324)*($AL$5:$AL$335=1)*($AP$5:$AP$335&lt;&gt;"Excluir")*(($AK$5:$AK$335&gt;$AK324)+(($AK$5:$AK$335=$AK324)*(ROW($O$5:$O$335)&lt;ROW()))))=0,1,0))</f>
        <v>0</v>
      </c>
      <c r="AO324" s="25" t="str">
        <f>IF(AN324=0,"",1+SUMPRODUCT(($B$5:$B$335=$B324)*($AN$5:$AN$335=1)*(($AK$5:$AK$335&gt;$AK324)+(($AK$5:$AK$335=$AK324)*(ROW($B$5:$B$335)&lt;ROW())))))</f>
        <v/>
      </c>
      <c r="AP324" s="22" t="s">
        <v>131</v>
      </c>
      <c r="AQ324" s="25">
        <f>IF(INDEX('01_Criterios'!$C$26:$C$36,MATCH($B324,'01_Criterios'!$B$26:$B$36,0))&lt;&gt;1,0,IF($AP324="Excluir",0,IF($AP324="Incluir",IF(AND(OR($F324="+",$F324="-"),ISNUMBER($G324),ISNUMBER($H324),COUNT($Q324:$AA324)&gt;0),1,0),IF('01_Criterios'!$C$18="Automática",IF(AND($AN324=1,$AO324&lt;&gt;"",$AO324&lt;=INDEX('01_Criterios'!$E$26:$E$36,MATCH($B324,'01_Criterios'!$B$26:$B$36,0))),1,0),0))))</f>
        <v>0</v>
      </c>
      <c r="AR324" s="25" t="str">
        <f>IF(AQ324=0,"",IF($AO324&lt;&gt;"",1+SUMPRODUCT(($B$5:$B$335=$B324)*($AQ$5:$AQ$335=1)*($AO$5:$AO$335&lt;$AO324)),1+SUMPRODUCT(($B$5:$B$335=$B324)*($AQ$5:$AQ$335=1)*ISNUMBER($AO$5:$AO$335))+SUMPRODUCT(($B$5:$B$335=$B324)*($AQ$5:$AQ$335=1)*($AO$5:$AO$335="")*(ROW($AO$5:$AO$335)&lt;ROW()))))</f>
        <v/>
      </c>
      <c r="AS324" s="24" t="s">
        <v>1719</v>
      </c>
    </row>
    <row r="325" spans="1:45">
      <c r="A325" s="20" t="s">
        <v>1720</v>
      </c>
      <c r="B325" s="21" t="s">
        <v>86</v>
      </c>
      <c r="C325" s="21" t="s">
        <v>1721</v>
      </c>
      <c r="D325" s="21" t="s">
        <v>1722</v>
      </c>
      <c r="E325" s="20" t="s">
        <v>1723</v>
      </c>
      <c r="F325" s="20" t="s">
        <v>126</v>
      </c>
      <c r="G325" s="20">
        <v>0</v>
      </c>
      <c r="H325" s="20">
        <v>55.6</v>
      </c>
      <c r="I325" s="20"/>
      <c r="J325" s="22">
        <v>1</v>
      </c>
      <c r="K325" s="21" t="s">
        <v>1724</v>
      </c>
      <c r="L325" s="20" t="s">
        <v>1725</v>
      </c>
      <c r="M325" s="21" t="s">
        <v>161</v>
      </c>
      <c r="N325" s="20">
        <v>0</v>
      </c>
      <c r="O325" s="21" t="s">
        <v>1720</v>
      </c>
      <c r="P325" s="20" t="s">
        <v>180</v>
      </c>
      <c r="Q325" s="6">
        <v>8.0617099391081695</v>
      </c>
      <c r="R325" s="6">
        <v>8.2239462811828901</v>
      </c>
      <c r="S325" s="6">
        <v>10.6499657563912</v>
      </c>
      <c r="T325" s="6">
        <v>11.023366181367001</v>
      </c>
      <c r="U325" s="6">
        <v>14.4862036978923</v>
      </c>
      <c r="V325" s="6">
        <v>19.7302740008918</v>
      </c>
      <c r="W325" s="6">
        <v>26.178291715303299</v>
      </c>
      <c r="X325" s="6">
        <v>36.537082655383799</v>
      </c>
      <c r="Y325" s="6">
        <v>40.217789944823302</v>
      </c>
      <c r="Z325" s="6">
        <v>48.514156301472902</v>
      </c>
      <c r="AA325" s="6"/>
      <c r="AB325" s="20">
        <f>COUNT(Q325:AA325)</f>
        <v>10</v>
      </c>
      <c r="AC325" s="23">
        <f>AB325/11</f>
        <v>0.90909090909090906</v>
      </c>
      <c r="AD325" s="20">
        <f>IFERROR(INDEX($Q$4:$AA$4,MATCH(TRUE,INDEX(ISNUMBER(Q325:AA325),0),0)),"")</f>
        <v>2015</v>
      </c>
      <c r="AE325" s="20">
        <f>IFERROR(LOOKUP(2,1/ISNUMBER(Q325:AA325),$Q$4:$AA$4),"")</f>
        <v>2024</v>
      </c>
      <c r="AF325" s="23">
        <f>IF(AB325=0,"",AB325/(AE325-AD325+1))</f>
        <v>1</v>
      </c>
      <c r="AG325" s="20">
        <f>IF(AB325=0,"",'01_Criterios'!$C$8-AE325)</f>
        <v>1</v>
      </c>
      <c r="AH325" s="7">
        <f>IF(P325="Em uso",100,IF(P325="Alta",85,IF(P325="Média",55,30)))</f>
        <v>55</v>
      </c>
      <c r="AI325" s="7">
        <f>ROUND(100*AC325,1)</f>
        <v>90.9</v>
      </c>
      <c r="AJ325" s="7">
        <f>IF(AB325=0,0,ROUND(MAX(0,100*AF325-10*AG325),1))</f>
        <v>90</v>
      </c>
      <c r="AK325" s="7">
        <f>ROUND(('01_Criterios'!$C$19*AH325+'01_Criterios'!$C$20*AI325+'01_Criterios'!$C$21*AJ325)/('01_Criterios'!$C$19+'01_Criterios'!$C$20+'01_Criterios'!$C$21)+N325*'01_Criterios'!$C$22,1)</f>
        <v>76.3</v>
      </c>
      <c r="AL325" s="20">
        <f>IF(AND(AB325&gt;=3,AC325&gt;='01_Criterios'!$C$11,N(AE325)&gt;='01_Criterios'!$C$12,OR(F325="+",F325="-"),ISNUMBER(G325),ISNUMBER(H325)),1,0)</f>
        <v>1</v>
      </c>
      <c r="AM325" s="24" t="str">
        <f>IF(AL325=1,"",TRIM(IF(AB325=0,"sem dados no período; ",IF(AB325&lt;3,"série demasiado curta; ",""))&amp;IF(AND(AB325&gt;0,AC325&lt;'01_Criterios'!$C$11),"cobertura insuficiente; ","")&amp;IF(AND(AB325&gt;0,N(AE325)&lt;'01_Criterios'!$C$12),"desactualizado; ","")&amp;IF(AND(F325&lt;&gt;"+",F325&lt;&gt;"-"),"sentido ambíguo; ","")&amp;IF(OR(NOT(ISNUMBER(G325)),NOT(ISNUMBER(H325))),"sem limites min/max; ","")))</f>
        <v/>
      </c>
      <c r="AN325" s="20">
        <f>IF(OR(AL325=0,$AP325="Excluir"),0,IF(SUMPRODUCT(($O$5:$O$335=$O325)*($AL$5:$AL$335=1)*($AP$5:$AP$335&lt;&gt;"Excluir")*(($AK$5:$AK$335&gt;$AK325)+(($AK$5:$AK$335=$AK325)*(ROW($O$5:$O$335)&lt;ROW()))))=0,1,0))</f>
        <v>1</v>
      </c>
      <c r="AO325" s="20">
        <f>IF(AN325=0,"",1+SUMPRODUCT(($B$5:$B$335=$B325)*($AN$5:$AN$335=1)*(($AK$5:$AK$335&gt;$AK325)+(($AK$5:$AK$335=$AK325)*(ROW($B$5:$B$335)&lt;ROW())))))</f>
        <v>6</v>
      </c>
      <c r="AP325" s="22" t="s">
        <v>131</v>
      </c>
      <c r="AQ325" s="20">
        <f>IF(INDEX('01_Criterios'!$C$26:$C$36,MATCH($B325,'01_Criterios'!$B$26:$B$36,0))&lt;&gt;1,0,IF($AP325="Excluir",0,IF($AP325="Incluir",IF(AND(OR($F325="+",$F325="-"),ISNUMBER($G325),ISNUMBER($H325),COUNT($Q325:$AA325)&gt;0),1,0),IF('01_Criterios'!$C$18="Automática",IF(AND($AN325=1,$AO325&lt;&gt;"",$AO325&lt;=INDEX('01_Criterios'!$E$26:$E$36,MATCH($B325,'01_Criterios'!$B$26:$B$36,0))),1,0),0))))</f>
        <v>0</v>
      </c>
      <c r="AR325" s="20" t="str">
        <f>IF(AQ325=0,"",IF($AO325&lt;&gt;"",1+SUMPRODUCT(($B$5:$B$335=$B325)*($AQ$5:$AQ$335=1)*($AO$5:$AO$335&lt;$AO325)),1+SUMPRODUCT(($B$5:$B$335=$B325)*($AQ$5:$AQ$335=1)*ISNUMBER($AO$5:$AO$335))+SUMPRODUCT(($B$5:$B$335=$B325)*($AQ$5:$AQ$335=1)*($AO$5:$AO$335="")*(ROW($AO$5:$AO$335)&lt;ROW()))))</f>
        <v/>
      </c>
      <c r="AS325" s="24" t="s">
        <v>1726</v>
      </c>
    </row>
    <row r="326" spans="1:45">
      <c r="A326" s="25" t="s">
        <v>1727</v>
      </c>
      <c r="B326" s="26" t="s">
        <v>86</v>
      </c>
      <c r="C326" s="26" t="s">
        <v>1699</v>
      </c>
      <c r="D326" s="26" t="s">
        <v>1728</v>
      </c>
      <c r="E326" s="25" t="s">
        <v>1729</v>
      </c>
      <c r="F326" s="25" t="s">
        <v>126</v>
      </c>
      <c r="G326" s="25">
        <v>0</v>
      </c>
      <c r="H326" s="25">
        <v>100</v>
      </c>
      <c r="I326" s="25">
        <v>50</v>
      </c>
      <c r="J326" s="22">
        <v>1</v>
      </c>
      <c r="K326" s="26" t="s">
        <v>768</v>
      </c>
      <c r="L326" s="25" t="s">
        <v>1730</v>
      </c>
      <c r="M326" s="26" t="s">
        <v>161</v>
      </c>
      <c r="N326" s="25">
        <v>0</v>
      </c>
      <c r="O326" s="26" t="s">
        <v>770</v>
      </c>
      <c r="P326" s="25" t="s">
        <v>180</v>
      </c>
      <c r="Q326" s="27"/>
      <c r="R326" s="27"/>
      <c r="S326" s="27"/>
      <c r="T326" s="27"/>
      <c r="U326" s="27"/>
      <c r="V326" s="27"/>
      <c r="W326" s="27"/>
      <c r="X326" s="27"/>
      <c r="Y326" s="27"/>
      <c r="Z326" s="27"/>
      <c r="AA326" s="27"/>
      <c r="AB326" s="25">
        <f>COUNT(Q326:AA326)</f>
        <v>0</v>
      </c>
      <c r="AC326" s="28">
        <f>AB326/11</f>
        <v>0</v>
      </c>
      <c r="AD326" s="25" t="str">
        <f>IFERROR(INDEX($Q$4:$AA$4,MATCH(TRUE,INDEX(ISNUMBER(Q326:AA326),0),0)),"")</f>
        <v/>
      </c>
      <c r="AE326" s="25" t="str">
        <f>IFERROR(LOOKUP(2,1/ISNUMBER(Q326:AA326),$Q$4:$AA$4),"")</f>
        <v/>
      </c>
      <c r="AF326" s="28" t="str">
        <f>IF(AB326=0,"",AB326/(AE326-AD326+1))</f>
        <v/>
      </c>
      <c r="AG326" s="25" t="str">
        <f>IF(AB326=0,"",'01_Criterios'!$C$8-AE326)</f>
        <v/>
      </c>
      <c r="AH326" s="29">
        <f>IF(P326="Em uso",100,IF(P326="Alta",85,IF(P326="Média",55,30)))</f>
        <v>55</v>
      </c>
      <c r="AI326" s="29">
        <f>ROUND(100*AC326,1)</f>
        <v>0</v>
      </c>
      <c r="AJ326" s="29">
        <f>IF(AB326=0,0,ROUND(MAX(0,100*AF326-10*AG326),1))</f>
        <v>0</v>
      </c>
      <c r="AK326" s="29">
        <f>ROUND(('01_Criterios'!$C$19*AH326+'01_Criterios'!$C$20*AI326+'01_Criterios'!$C$21*AJ326)/('01_Criterios'!$C$19+'01_Criterios'!$C$20+'01_Criterios'!$C$21)+N326*'01_Criterios'!$C$22,1)</f>
        <v>22</v>
      </c>
      <c r="AL326" s="25">
        <f>IF(AND(AB326&gt;=3,AC326&gt;='01_Criterios'!$C$11,N(AE326)&gt;='01_Criterios'!$C$12,OR(F326="+",F326="-"),ISNUMBER(G326),ISNUMBER(H326)),1,0)</f>
        <v>0</v>
      </c>
      <c r="AM326" s="30" t="str">
        <f>IF(AL326=1,"",TRIM(IF(AB326=0,"sem dados no período; ",IF(AB326&lt;3,"série demasiado curta; ",""))&amp;IF(AND(AB326&gt;0,AC326&lt;'01_Criterios'!$C$11),"cobertura insuficiente; ","")&amp;IF(AND(AB326&gt;0,N(AE326)&lt;'01_Criterios'!$C$12),"desactualizado; ","")&amp;IF(AND(F326&lt;&gt;"+",F326&lt;&gt;"-"),"sentido ambíguo; ","")&amp;IF(OR(NOT(ISNUMBER(G326)),NOT(ISNUMBER(H326))),"sem limites min/max; ","")))</f>
        <v>sem dados no período;</v>
      </c>
      <c r="AN326" s="25">
        <f>IF(OR(AL326=0,$AP326="Excluir"),0,IF(SUMPRODUCT(($O$5:$O$335=$O326)*($AL$5:$AL$335=1)*($AP$5:$AP$335&lt;&gt;"Excluir")*(($AK$5:$AK$335&gt;$AK326)+(($AK$5:$AK$335=$AK326)*(ROW($O$5:$O$335)&lt;ROW()))))=0,1,0))</f>
        <v>0</v>
      </c>
      <c r="AO326" s="25" t="str">
        <f>IF(AN326=0,"",1+SUMPRODUCT(($B$5:$B$335=$B326)*($AN$5:$AN$335=1)*(($AK$5:$AK$335&gt;$AK326)+(($AK$5:$AK$335=$AK326)*(ROW($B$5:$B$335)&lt;ROW())))))</f>
        <v/>
      </c>
      <c r="AP326" s="22" t="s">
        <v>131</v>
      </c>
      <c r="AQ326" s="25">
        <f>IF(INDEX('01_Criterios'!$C$26:$C$36,MATCH($B326,'01_Criterios'!$B$26:$B$36,0))&lt;&gt;1,0,IF($AP326="Excluir",0,IF($AP326="Incluir",IF(AND(OR($F326="+",$F326="-"),ISNUMBER($G326),ISNUMBER($H326),COUNT($Q326:$AA326)&gt;0),1,0),IF('01_Criterios'!$C$18="Automática",IF(AND($AN326=1,$AO326&lt;&gt;"",$AO326&lt;=INDEX('01_Criterios'!$E$26:$E$36,MATCH($B326,'01_Criterios'!$B$26:$B$36,0))),1,0),0))))</f>
        <v>0</v>
      </c>
      <c r="AR326" s="25" t="str">
        <f>IF(AQ326=0,"",IF($AO326&lt;&gt;"",1+SUMPRODUCT(($B$5:$B$335=$B326)*($AQ$5:$AQ$335=1)*($AO$5:$AO$335&lt;$AO326)),1+SUMPRODUCT(($B$5:$B$335=$B326)*($AQ$5:$AQ$335=1)*ISNUMBER($AO$5:$AO$335))+SUMPRODUCT(($B$5:$B$335=$B326)*($AQ$5:$AQ$335=1)*($AO$5:$AO$335="")*(ROW($AO$5:$AO$335)&lt;ROW()))))</f>
        <v/>
      </c>
      <c r="AS326" s="24" t="s">
        <v>1731</v>
      </c>
    </row>
    <row r="327" spans="1:45">
      <c r="A327" s="20" t="s">
        <v>1732</v>
      </c>
      <c r="B327" s="21" t="s">
        <v>86</v>
      </c>
      <c r="C327" s="21" t="s">
        <v>1733</v>
      </c>
      <c r="D327" s="21" t="s">
        <v>1734</v>
      </c>
      <c r="E327" s="20" t="s">
        <v>1735</v>
      </c>
      <c r="F327" s="20" t="s">
        <v>126</v>
      </c>
      <c r="G327" s="20">
        <v>0</v>
      </c>
      <c r="H327" s="20">
        <v>100</v>
      </c>
      <c r="I327" s="20">
        <v>10</v>
      </c>
      <c r="J327" s="22">
        <v>1</v>
      </c>
      <c r="K327" s="21" t="s">
        <v>204</v>
      </c>
      <c r="L327" s="20" t="s">
        <v>1736</v>
      </c>
      <c r="M327" s="21" t="s">
        <v>161</v>
      </c>
      <c r="N327" s="20">
        <v>0</v>
      </c>
      <c r="O327" s="21" t="s">
        <v>1732</v>
      </c>
      <c r="P327" s="20" t="s">
        <v>180</v>
      </c>
      <c r="Q327" s="6">
        <v>2.4019169777529701</v>
      </c>
      <c r="R327" s="6">
        <v>3.0466703538675501</v>
      </c>
      <c r="S327" s="6">
        <v>2.4853582856340299</v>
      </c>
      <c r="T327" s="6">
        <v>4.89911877603347</v>
      </c>
      <c r="U327" s="6">
        <v>4.5492789703829297</v>
      </c>
      <c r="V327" s="6">
        <v>18.435198785045301</v>
      </c>
      <c r="W327" s="6">
        <v>33.960173343061101</v>
      </c>
      <c r="X327" s="6">
        <v>27.167557291245799</v>
      </c>
      <c r="Y327" s="6">
        <v>45.414760133451601</v>
      </c>
      <c r="Z327" s="6">
        <v>22.3087695729056</v>
      </c>
      <c r="AA327" s="6">
        <v>17.44074089859728</v>
      </c>
      <c r="AB327" s="20">
        <f>COUNT(Q327:AA327)</f>
        <v>11</v>
      </c>
      <c r="AC327" s="23">
        <f>AB327/11</f>
        <v>1</v>
      </c>
      <c r="AD327" s="20">
        <f>IFERROR(INDEX($Q$4:$AA$4,MATCH(TRUE,INDEX(ISNUMBER(Q327:AA327),0),0)),"")</f>
        <v>2015</v>
      </c>
      <c r="AE327" s="20">
        <f>IFERROR(LOOKUP(2,1/ISNUMBER(Q327:AA327),$Q$4:$AA$4),"")</f>
        <v>2025</v>
      </c>
      <c r="AF327" s="23">
        <f>IF(AB327=0,"",AB327/(AE327-AD327+1))</f>
        <v>1</v>
      </c>
      <c r="AG327" s="20">
        <f>IF(AB327=0,"",'01_Criterios'!$C$8-AE327)</f>
        <v>0</v>
      </c>
      <c r="AH327" s="7">
        <f>IF(P327="Em uso",100,IF(P327="Alta",85,IF(P327="Média",55,30)))</f>
        <v>55</v>
      </c>
      <c r="AI327" s="7">
        <f>ROUND(100*AC327,1)</f>
        <v>100</v>
      </c>
      <c r="AJ327" s="7">
        <f>IF(AB327=0,0,ROUND(MAX(0,100*AF327-10*AG327),1))</f>
        <v>100</v>
      </c>
      <c r="AK327" s="7">
        <f>ROUND(('01_Criterios'!$C$19*AH327+'01_Criterios'!$C$20*AI327+'01_Criterios'!$C$21*AJ327)/('01_Criterios'!$C$19+'01_Criterios'!$C$20+'01_Criterios'!$C$21)+N327*'01_Criterios'!$C$22,1)</f>
        <v>82</v>
      </c>
      <c r="AL327" s="20">
        <f>IF(AND(AB327&gt;=3,AC327&gt;='01_Criterios'!$C$11,N(AE327)&gt;='01_Criterios'!$C$12,OR(F327="+",F327="-"),ISNUMBER(G327),ISNUMBER(H327)),1,0)</f>
        <v>1</v>
      </c>
      <c r="AM327" s="24" t="str">
        <f>IF(AL327=1,"",TRIM(IF(AB327=0,"sem dados no período; ",IF(AB327&lt;3,"série demasiado curta; ",""))&amp;IF(AND(AB327&gt;0,AC327&lt;'01_Criterios'!$C$11),"cobertura insuficiente; ","")&amp;IF(AND(AB327&gt;0,N(AE327)&lt;'01_Criterios'!$C$12),"desactualizado; ","")&amp;IF(AND(F327&lt;&gt;"+",F327&lt;&gt;"-"),"sentido ambíguo; ","")&amp;IF(OR(NOT(ISNUMBER(G327)),NOT(ISNUMBER(H327))),"sem limites min/max; ","")))</f>
        <v/>
      </c>
      <c r="AN327" s="20">
        <f>IF(OR(AL327=0,$AP327="Excluir"),0,IF(SUMPRODUCT(($O$5:$O$335=$O327)*($AL$5:$AL$335=1)*($AP$5:$AP$335&lt;&gt;"Excluir")*(($AK$5:$AK$335&gt;$AK327)+(($AK$5:$AK$335=$AK327)*(ROW($O$5:$O$335)&lt;ROW()))))=0,1,0))</f>
        <v>1</v>
      </c>
      <c r="AO327" s="20">
        <f>IF(AN327=0,"",1+SUMPRODUCT(($B$5:$B$335=$B327)*($AN$5:$AN$335=1)*(($AK$5:$AK$335&gt;$AK327)+(($AK$5:$AK$335=$AK327)*(ROW($B$5:$B$335)&lt;ROW())))))</f>
        <v>5</v>
      </c>
      <c r="AP327" s="22" t="s">
        <v>131</v>
      </c>
      <c r="AQ327" s="20">
        <f>IF(INDEX('01_Criterios'!$C$26:$C$36,MATCH($B327,'01_Criterios'!$B$26:$B$36,0))&lt;&gt;1,0,IF($AP327="Excluir",0,IF($AP327="Incluir",IF(AND(OR($F327="+",$F327="-"),ISNUMBER($G327),ISNUMBER($H327),COUNT($Q327:$AA327)&gt;0),1,0),IF('01_Criterios'!$C$18="Automática",IF(AND($AN327=1,$AO327&lt;&gt;"",$AO327&lt;=INDEX('01_Criterios'!$E$26:$E$36,MATCH($B327,'01_Criterios'!$B$26:$B$36,0))),1,0),0))))</f>
        <v>0</v>
      </c>
      <c r="AR327" s="20" t="str">
        <f>IF(AQ327=0,"",IF($AO327&lt;&gt;"",1+SUMPRODUCT(($B$5:$B$335=$B327)*($AQ$5:$AQ$335=1)*($AO$5:$AO$335&lt;$AO327)),1+SUMPRODUCT(($B$5:$B$335=$B327)*($AQ$5:$AQ$335=1)*ISNUMBER($AO$5:$AO$335))+SUMPRODUCT(($B$5:$B$335=$B327)*($AQ$5:$AQ$335=1)*($AO$5:$AO$335="")*(ROW($AO$5:$AO$335)&lt;ROW()))))</f>
        <v/>
      </c>
      <c r="AS327" s="24" t="s">
        <v>1737</v>
      </c>
    </row>
    <row r="328" spans="1:45">
      <c r="A328" s="25" t="s">
        <v>1738</v>
      </c>
      <c r="B328" s="26" t="s">
        <v>86</v>
      </c>
      <c r="C328" s="26" t="s">
        <v>1739</v>
      </c>
      <c r="D328" s="26" t="s">
        <v>1740</v>
      </c>
      <c r="E328" s="25" t="s">
        <v>334</v>
      </c>
      <c r="F328" s="25" t="s">
        <v>126</v>
      </c>
      <c r="G328" s="25">
        <v>0</v>
      </c>
      <c r="H328" s="25">
        <v>5</v>
      </c>
      <c r="I328" s="25">
        <v>1</v>
      </c>
      <c r="J328" s="22">
        <v>1</v>
      </c>
      <c r="K328" s="26" t="s">
        <v>593</v>
      </c>
      <c r="L328" s="25" t="s">
        <v>1741</v>
      </c>
      <c r="M328" s="26" t="s">
        <v>161</v>
      </c>
      <c r="N328" s="25">
        <v>0</v>
      </c>
      <c r="O328" s="26" t="s">
        <v>1738</v>
      </c>
      <c r="P328" s="25" t="s">
        <v>180</v>
      </c>
      <c r="Q328" s="27"/>
      <c r="R328" s="27">
        <v>3.2289999999999999E-2</v>
      </c>
      <c r="S328" s="27"/>
      <c r="T328" s="27"/>
      <c r="U328" s="27"/>
      <c r="V328" s="27"/>
      <c r="W328" s="27"/>
      <c r="X328" s="27"/>
      <c r="Y328" s="27"/>
      <c r="Z328" s="27"/>
      <c r="AA328" s="27"/>
      <c r="AB328" s="25">
        <f>COUNT(Q328:AA328)</f>
        <v>1</v>
      </c>
      <c r="AC328" s="28">
        <f>AB328/11</f>
        <v>9.0909090909090912E-2</v>
      </c>
      <c r="AD328" s="25">
        <f>IFERROR(INDEX($Q$4:$AA$4,MATCH(TRUE,INDEX(ISNUMBER(Q328:AA328),0),0)),"")</f>
        <v>2016</v>
      </c>
      <c r="AE328" s="25">
        <f>IFERROR(LOOKUP(2,1/ISNUMBER(Q328:AA328),$Q$4:$AA$4),"")</f>
        <v>2016</v>
      </c>
      <c r="AF328" s="28">
        <f>IF(AB328=0,"",AB328/(AE328-AD328+1))</f>
        <v>1</v>
      </c>
      <c r="AG328" s="25">
        <f>IF(AB328=0,"",'01_Criterios'!$C$8-AE328)</f>
        <v>9</v>
      </c>
      <c r="AH328" s="29">
        <f>IF(P328="Em uso",100,IF(P328="Alta",85,IF(P328="Média",55,30)))</f>
        <v>55</v>
      </c>
      <c r="AI328" s="29">
        <f>ROUND(100*AC328,1)</f>
        <v>9.1</v>
      </c>
      <c r="AJ328" s="29">
        <f>IF(AB328=0,0,ROUND(MAX(0,100*AF328-10*AG328),1))</f>
        <v>10</v>
      </c>
      <c r="AK328" s="29">
        <f>ROUND(('01_Criterios'!$C$19*AH328+'01_Criterios'!$C$20*AI328+'01_Criterios'!$C$21*AJ328)/('01_Criterios'!$C$19+'01_Criterios'!$C$20+'01_Criterios'!$C$21)+N328*'01_Criterios'!$C$22,1)</f>
        <v>27.7</v>
      </c>
      <c r="AL328" s="25">
        <f>IF(AND(AB328&gt;=3,AC328&gt;='01_Criterios'!$C$11,N(AE328)&gt;='01_Criterios'!$C$12,OR(F328="+",F328="-"),ISNUMBER(G328),ISNUMBER(H328)),1,0)</f>
        <v>0</v>
      </c>
      <c r="AM328" s="30" t="str">
        <f>IF(AL328=1,"",TRIM(IF(AB328=0,"sem dados no período; ",IF(AB328&lt;3,"série demasiado curta; ",""))&amp;IF(AND(AB328&gt;0,AC328&lt;'01_Criterios'!$C$11),"cobertura insuficiente; ","")&amp;IF(AND(AB328&gt;0,N(AE328)&lt;'01_Criterios'!$C$12),"desactualizado; ","")&amp;IF(AND(F328&lt;&gt;"+",F328&lt;&gt;"-"),"sentido ambíguo; ","")&amp;IF(OR(NOT(ISNUMBER(G328)),NOT(ISNUMBER(H328))),"sem limites min/max; ","")))</f>
        <v>série demasiado curta; cobertura insuficiente; desactualizado;</v>
      </c>
      <c r="AN328" s="25">
        <f>IF(OR(AL328=0,$AP328="Excluir"),0,IF(SUMPRODUCT(($O$5:$O$335=$O328)*($AL$5:$AL$335=1)*($AP$5:$AP$335&lt;&gt;"Excluir")*(($AK$5:$AK$335&gt;$AK328)+(($AK$5:$AK$335=$AK328)*(ROW($O$5:$O$335)&lt;ROW()))))=0,1,0))</f>
        <v>0</v>
      </c>
      <c r="AO328" s="25" t="str">
        <f>IF(AN328=0,"",1+SUMPRODUCT(($B$5:$B$335=$B328)*($AN$5:$AN$335=1)*(($AK$5:$AK$335&gt;$AK328)+(($AK$5:$AK$335=$AK328)*(ROW($B$5:$B$335)&lt;ROW())))))</f>
        <v/>
      </c>
      <c r="AP328" s="22" t="s">
        <v>131</v>
      </c>
      <c r="AQ328" s="25">
        <f>IF(INDEX('01_Criterios'!$C$26:$C$36,MATCH($B328,'01_Criterios'!$B$26:$B$36,0))&lt;&gt;1,0,IF($AP328="Excluir",0,IF($AP328="Incluir",IF(AND(OR($F328="+",$F328="-"),ISNUMBER($G328),ISNUMBER($H328),COUNT($Q328:$AA328)&gt;0),1,0),IF('01_Criterios'!$C$18="Automática",IF(AND($AN328=1,$AO328&lt;&gt;"",$AO328&lt;=INDEX('01_Criterios'!$E$26:$E$36,MATCH($B328,'01_Criterios'!$B$26:$B$36,0))),1,0),0))))</f>
        <v>0</v>
      </c>
      <c r="AR328" s="25" t="str">
        <f>IF(AQ328=0,"",IF($AO328&lt;&gt;"",1+SUMPRODUCT(($B$5:$B$335=$B328)*($AQ$5:$AQ$335=1)*($AO$5:$AO$335&lt;$AO328)),1+SUMPRODUCT(($B$5:$B$335=$B328)*($AQ$5:$AQ$335=1)*ISNUMBER($AO$5:$AO$335))+SUMPRODUCT(($B$5:$B$335=$B328)*($AQ$5:$AQ$335=1)*($AO$5:$AO$335="")*(ROW($AO$5:$AO$335)&lt;ROW()))))</f>
        <v/>
      </c>
      <c r="AS328" s="24" t="s">
        <v>1742</v>
      </c>
    </row>
    <row r="329" spans="1:45">
      <c r="A329" s="20" t="s">
        <v>1743</v>
      </c>
      <c r="B329" s="21" t="s">
        <v>86</v>
      </c>
      <c r="C329" s="21" t="s">
        <v>1739</v>
      </c>
      <c r="D329" s="21" t="s">
        <v>1744</v>
      </c>
      <c r="E329" s="20" t="s">
        <v>1745</v>
      </c>
      <c r="F329" s="20" t="s">
        <v>126</v>
      </c>
      <c r="G329" s="20">
        <v>14.5</v>
      </c>
      <c r="H329" s="20">
        <v>52.9</v>
      </c>
      <c r="I329" s="20"/>
      <c r="J329" s="22">
        <v>1</v>
      </c>
      <c r="K329" s="21" t="s">
        <v>593</v>
      </c>
      <c r="L329" s="20" t="s">
        <v>1746</v>
      </c>
      <c r="M329" s="21" t="s">
        <v>161</v>
      </c>
      <c r="N329" s="20">
        <v>0</v>
      </c>
      <c r="O329" s="21" t="s">
        <v>1743</v>
      </c>
      <c r="P329" s="20" t="s">
        <v>180</v>
      </c>
      <c r="Q329" s="6"/>
      <c r="R329" s="6">
        <v>18.935790000000001</v>
      </c>
      <c r="S329" s="6"/>
      <c r="T329" s="6"/>
      <c r="U329" s="6"/>
      <c r="V329" s="6"/>
      <c r="W329" s="6"/>
      <c r="X329" s="6"/>
      <c r="Y329" s="6"/>
      <c r="Z329" s="6"/>
      <c r="AA329" s="6"/>
      <c r="AB329" s="20">
        <f>COUNT(Q329:AA329)</f>
        <v>1</v>
      </c>
      <c r="AC329" s="23">
        <f>AB329/11</f>
        <v>9.0909090909090912E-2</v>
      </c>
      <c r="AD329" s="20">
        <f>IFERROR(INDEX($Q$4:$AA$4,MATCH(TRUE,INDEX(ISNUMBER(Q329:AA329),0),0)),"")</f>
        <v>2016</v>
      </c>
      <c r="AE329" s="20">
        <f>IFERROR(LOOKUP(2,1/ISNUMBER(Q329:AA329),$Q$4:$AA$4),"")</f>
        <v>2016</v>
      </c>
      <c r="AF329" s="23">
        <f>IF(AB329=0,"",AB329/(AE329-AD329+1))</f>
        <v>1</v>
      </c>
      <c r="AG329" s="20">
        <f>IF(AB329=0,"",'01_Criterios'!$C$8-AE329)</f>
        <v>9</v>
      </c>
      <c r="AH329" s="7">
        <f>IF(P329="Em uso",100,IF(P329="Alta",85,IF(P329="Média",55,30)))</f>
        <v>55</v>
      </c>
      <c r="AI329" s="7">
        <f>ROUND(100*AC329,1)</f>
        <v>9.1</v>
      </c>
      <c r="AJ329" s="7">
        <f>IF(AB329=0,0,ROUND(MAX(0,100*AF329-10*AG329),1))</f>
        <v>10</v>
      </c>
      <c r="AK329" s="7">
        <f>ROUND(('01_Criterios'!$C$19*AH329+'01_Criterios'!$C$20*AI329+'01_Criterios'!$C$21*AJ329)/('01_Criterios'!$C$19+'01_Criterios'!$C$20+'01_Criterios'!$C$21)+N329*'01_Criterios'!$C$22,1)</f>
        <v>27.7</v>
      </c>
      <c r="AL329" s="20">
        <f>IF(AND(AB329&gt;=3,AC329&gt;='01_Criterios'!$C$11,N(AE329)&gt;='01_Criterios'!$C$12,OR(F329="+",F329="-"),ISNUMBER(G329),ISNUMBER(H329)),1,0)</f>
        <v>0</v>
      </c>
      <c r="AM329" s="24" t="str">
        <f>IF(AL329=1,"",TRIM(IF(AB329=0,"sem dados no período; ",IF(AB329&lt;3,"série demasiado curta; ",""))&amp;IF(AND(AB329&gt;0,AC329&lt;'01_Criterios'!$C$11),"cobertura insuficiente; ","")&amp;IF(AND(AB329&gt;0,N(AE329)&lt;'01_Criterios'!$C$12),"desactualizado; ","")&amp;IF(AND(F329&lt;&gt;"+",F329&lt;&gt;"-"),"sentido ambíguo; ","")&amp;IF(OR(NOT(ISNUMBER(G329)),NOT(ISNUMBER(H329))),"sem limites min/max; ","")))</f>
        <v>série demasiado curta; cobertura insuficiente; desactualizado;</v>
      </c>
      <c r="AN329" s="20">
        <f>IF(OR(AL329=0,$AP329="Excluir"),0,IF(SUMPRODUCT(($O$5:$O$335=$O329)*($AL$5:$AL$335=1)*($AP$5:$AP$335&lt;&gt;"Excluir")*(($AK$5:$AK$335&gt;$AK329)+(($AK$5:$AK$335=$AK329)*(ROW($O$5:$O$335)&lt;ROW()))))=0,1,0))</f>
        <v>0</v>
      </c>
      <c r="AO329" s="20" t="str">
        <f>IF(AN329=0,"",1+SUMPRODUCT(($B$5:$B$335=$B329)*($AN$5:$AN$335=1)*(($AK$5:$AK$335&gt;$AK329)+(($AK$5:$AK$335=$AK329)*(ROW($B$5:$B$335)&lt;ROW())))))</f>
        <v/>
      </c>
      <c r="AP329" s="22" t="s">
        <v>131</v>
      </c>
      <c r="AQ329" s="20">
        <f>IF(INDEX('01_Criterios'!$C$26:$C$36,MATCH($B329,'01_Criterios'!$B$26:$B$36,0))&lt;&gt;1,0,IF($AP329="Excluir",0,IF($AP329="Incluir",IF(AND(OR($F329="+",$F329="-"),ISNUMBER($G329),ISNUMBER($H329),COUNT($Q329:$AA329)&gt;0),1,0),IF('01_Criterios'!$C$18="Automática",IF(AND($AN329=1,$AO329&lt;&gt;"",$AO329&lt;=INDEX('01_Criterios'!$E$26:$E$36,MATCH($B329,'01_Criterios'!$B$26:$B$36,0))),1,0),0))))</f>
        <v>0</v>
      </c>
      <c r="AR329" s="20" t="str">
        <f>IF(AQ329=0,"",IF($AO329&lt;&gt;"",1+SUMPRODUCT(($B$5:$B$335=$B329)*($AQ$5:$AQ$335=1)*($AO$5:$AO$335&lt;$AO329)),1+SUMPRODUCT(($B$5:$B$335=$B329)*($AQ$5:$AQ$335=1)*ISNUMBER($AO$5:$AO$335))+SUMPRODUCT(($B$5:$B$335=$B329)*($AQ$5:$AQ$335=1)*($AO$5:$AO$335="")*(ROW($AO$5:$AO$335)&lt;ROW()))))</f>
        <v/>
      </c>
      <c r="AS329" s="24" t="s">
        <v>1747</v>
      </c>
    </row>
    <row r="330" spans="1:45">
      <c r="A330" s="25" t="s">
        <v>1748</v>
      </c>
      <c r="B330" s="26" t="s">
        <v>86</v>
      </c>
      <c r="C330" s="26" t="s">
        <v>1688</v>
      </c>
      <c r="D330" s="26" t="s">
        <v>1749</v>
      </c>
      <c r="E330" s="25" t="s">
        <v>579</v>
      </c>
      <c r="F330" s="25" t="s">
        <v>126</v>
      </c>
      <c r="G330" s="25">
        <v>0</v>
      </c>
      <c r="H330" s="25">
        <v>1</v>
      </c>
      <c r="I330" s="25">
        <v>0.4</v>
      </c>
      <c r="J330" s="22">
        <v>1</v>
      </c>
      <c r="K330" s="26" t="s">
        <v>1690</v>
      </c>
      <c r="L330" s="25" t="s">
        <v>1750</v>
      </c>
      <c r="M330" s="26" t="s">
        <v>254</v>
      </c>
      <c r="N330" s="25">
        <v>0</v>
      </c>
      <c r="O330" s="26" t="s">
        <v>1748</v>
      </c>
      <c r="P330" s="25" t="s">
        <v>180</v>
      </c>
      <c r="Q330" s="27"/>
      <c r="R330" s="27"/>
      <c r="S330" s="27"/>
      <c r="T330" s="27"/>
      <c r="U330" s="27"/>
      <c r="V330" s="27"/>
      <c r="W330" s="27"/>
      <c r="X330" s="27"/>
      <c r="Y330" s="27"/>
      <c r="Z330" s="27">
        <v>0.21920000000000001</v>
      </c>
      <c r="AA330" s="27"/>
      <c r="AB330" s="25">
        <f>COUNT(Q330:AA330)</f>
        <v>1</v>
      </c>
      <c r="AC330" s="28">
        <f>AB330/11</f>
        <v>9.0909090909090912E-2</v>
      </c>
      <c r="AD330" s="25">
        <f>IFERROR(INDEX($Q$4:$AA$4,MATCH(TRUE,INDEX(ISNUMBER(Q330:AA330),0),0)),"")</f>
        <v>2024</v>
      </c>
      <c r="AE330" s="25">
        <f>IFERROR(LOOKUP(2,1/ISNUMBER(Q330:AA330),$Q$4:$AA$4),"")</f>
        <v>2024</v>
      </c>
      <c r="AF330" s="28">
        <f>IF(AB330=0,"",AB330/(AE330-AD330+1))</f>
        <v>1</v>
      </c>
      <c r="AG330" s="25">
        <f>IF(AB330=0,"",'01_Criterios'!$C$8-AE330)</f>
        <v>1</v>
      </c>
      <c r="AH330" s="29">
        <f>IF(P330="Em uso",100,IF(P330="Alta",85,IF(P330="Média",55,30)))</f>
        <v>55</v>
      </c>
      <c r="AI330" s="29">
        <f>ROUND(100*AC330,1)</f>
        <v>9.1</v>
      </c>
      <c r="AJ330" s="29">
        <f>IF(AB330=0,0,ROUND(MAX(0,100*AF330-10*AG330),1))</f>
        <v>90</v>
      </c>
      <c r="AK330" s="29">
        <f>ROUND(('01_Criterios'!$C$19*AH330+'01_Criterios'!$C$20*AI330+'01_Criterios'!$C$21*AJ330)/('01_Criterios'!$C$19+'01_Criterios'!$C$20+'01_Criterios'!$C$21)+N330*'01_Criterios'!$C$22,1)</f>
        <v>47.7</v>
      </c>
      <c r="AL330" s="25">
        <f>IF(AND(AB330&gt;=3,AC330&gt;='01_Criterios'!$C$11,N(AE330)&gt;='01_Criterios'!$C$12,OR(F330="+",F330="-"),ISNUMBER(G330),ISNUMBER(H330)),1,0)</f>
        <v>0</v>
      </c>
      <c r="AM330" s="30" t="str">
        <f>IF(AL330=1,"",TRIM(IF(AB330=0,"sem dados no período; ",IF(AB330&lt;3,"série demasiado curta; ",""))&amp;IF(AND(AB330&gt;0,AC330&lt;'01_Criterios'!$C$11),"cobertura insuficiente; ","")&amp;IF(AND(AB330&gt;0,N(AE330)&lt;'01_Criterios'!$C$12),"desactualizado; ","")&amp;IF(AND(F330&lt;&gt;"+",F330&lt;&gt;"-"),"sentido ambíguo; ","")&amp;IF(OR(NOT(ISNUMBER(G330)),NOT(ISNUMBER(H330))),"sem limites min/max; ","")))</f>
        <v>série demasiado curta; cobertura insuficiente;</v>
      </c>
      <c r="AN330" s="25">
        <f>IF(OR(AL330=0,$AP330="Excluir"),0,IF(SUMPRODUCT(($O$5:$O$335=$O330)*($AL$5:$AL$335=1)*($AP$5:$AP$335&lt;&gt;"Excluir")*(($AK$5:$AK$335&gt;$AK330)+(($AK$5:$AK$335=$AK330)*(ROW($O$5:$O$335)&lt;ROW()))))=0,1,0))</f>
        <v>0</v>
      </c>
      <c r="AO330" s="25" t="str">
        <f>IF(AN330=0,"",1+SUMPRODUCT(($B$5:$B$335=$B330)*($AN$5:$AN$335=1)*(($AK$5:$AK$335&gt;$AK330)+(($AK$5:$AK$335=$AK330)*(ROW($B$5:$B$335)&lt;ROW())))))</f>
        <v/>
      </c>
      <c r="AP330" s="22" t="s">
        <v>131</v>
      </c>
      <c r="AQ330" s="25">
        <f>IF(INDEX('01_Criterios'!$C$26:$C$36,MATCH($B330,'01_Criterios'!$B$26:$B$36,0))&lt;&gt;1,0,IF($AP330="Excluir",0,IF($AP330="Incluir",IF(AND(OR($F330="+",$F330="-"),ISNUMBER($G330),ISNUMBER($H330),COUNT($Q330:$AA330)&gt;0),1,0),IF('01_Criterios'!$C$18="Automática",IF(AND($AN330=1,$AO330&lt;&gt;"",$AO330&lt;=INDEX('01_Criterios'!$E$26:$E$36,MATCH($B330,'01_Criterios'!$B$26:$B$36,0))),1,0),0))))</f>
        <v>0</v>
      </c>
      <c r="AR330" s="25" t="str">
        <f>IF(AQ330=0,"",IF($AO330&lt;&gt;"",1+SUMPRODUCT(($B$5:$B$335=$B330)*($AQ$5:$AQ$335=1)*($AO$5:$AO$335&lt;$AO330)),1+SUMPRODUCT(($B$5:$B$335=$B330)*($AQ$5:$AQ$335=1)*ISNUMBER($AO$5:$AO$335))+SUMPRODUCT(($B$5:$B$335=$B330)*($AQ$5:$AQ$335=1)*($AO$5:$AO$335="")*(ROW($AO$5:$AO$335)&lt;ROW()))))</f>
        <v/>
      </c>
      <c r="AS330" s="24" t="s">
        <v>1751</v>
      </c>
    </row>
    <row r="331" spans="1:45">
      <c r="A331" s="20" t="s">
        <v>1752</v>
      </c>
      <c r="B331" s="21" t="s">
        <v>86</v>
      </c>
      <c r="C331" s="21" t="s">
        <v>1733</v>
      </c>
      <c r="D331" s="21" t="s">
        <v>1753</v>
      </c>
      <c r="E331" s="20" t="s">
        <v>1754</v>
      </c>
      <c r="F331" s="20" t="s">
        <v>126</v>
      </c>
      <c r="G331" s="20">
        <v>0</v>
      </c>
      <c r="H331" s="20">
        <v>30</v>
      </c>
      <c r="I331" s="20">
        <v>3</v>
      </c>
      <c r="J331" s="22">
        <v>1</v>
      </c>
      <c r="K331" s="21" t="s">
        <v>204</v>
      </c>
      <c r="L331" s="20" t="s">
        <v>1755</v>
      </c>
      <c r="M331" s="21" t="s">
        <v>161</v>
      </c>
      <c r="N331" s="20">
        <v>0</v>
      </c>
      <c r="O331" s="21" t="s">
        <v>1397</v>
      </c>
      <c r="P331" s="20" t="s">
        <v>268</v>
      </c>
      <c r="Q331" s="6">
        <v>0.02</v>
      </c>
      <c r="R331" s="6">
        <v>0.03</v>
      </c>
      <c r="S331" s="6">
        <v>0.02</v>
      </c>
      <c r="T331" s="6">
        <v>0.01</v>
      </c>
      <c r="U331" s="6">
        <v>0.01</v>
      </c>
      <c r="V331" s="6">
        <v>0.01</v>
      </c>
      <c r="W331" s="6">
        <v>0.01</v>
      </c>
      <c r="X331" s="6">
        <v>0.02</v>
      </c>
      <c r="Y331" s="6">
        <v>0.01</v>
      </c>
      <c r="Z331" s="6">
        <v>0.05</v>
      </c>
      <c r="AA331" s="6"/>
      <c r="AB331" s="20">
        <f>COUNT(Q331:AA331)</f>
        <v>10</v>
      </c>
      <c r="AC331" s="23">
        <f>AB331/11</f>
        <v>0.90909090909090906</v>
      </c>
      <c r="AD331" s="20">
        <f>IFERROR(INDEX($Q$4:$AA$4,MATCH(TRUE,INDEX(ISNUMBER(Q331:AA331),0),0)),"")</f>
        <v>2015</v>
      </c>
      <c r="AE331" s="20">
        <f>IFERROR(LOOKUP(2,1/ISNUMBER(Q331:AA331),$Q$4:$AA$4),"")</f>
        <v>2024</v>
      </c>
      <c r="AF331" s="23">
        <f>IF(AB331=0,"",AB331/(AE331-AD331+1))</f>
        <v>1</v>
      </c>
      <c r="AG331" s="20">
        <f>IF(AB331=0,"",'01_Criterios'!$C$8-AE331)</f>
        <v>1</v>
      </c>
      <c r="AH331" s="7">
        <f>IF(P331="Em uso",100,IF(P331="Alta",85,IF(P331="Média",55,30)))</f>
        <v>30</v>
      </c>
      <c r="AI331" s="7">
        <f>ROUND(100*AC331,1)</f>
        <v>90.9</v>
      </c>
      <c r="AJ331" s="7">
        <f>IF(AB331=0,0,ROUND(MAX(0,100*AF331-10*AG331),1))</f>
        <v>90</v>
      </c>
      <c r="AK331" s="7">
        <f>ROUND(('01_Criterios'!$C$19*AH331+'01_Criterios'!$C$20*AI331+'01_Criterios'!$C$21*AJ331)/('01_Criterios'!$C$19+'01_Criterios'!$C$20+'01_Criterios'!$C$21)+N331*'01_Criterios'!$C$22,1)</f>
        <v>66.3</v>
      </c>
      <c r="AL331" s="20">
        <f>IF(AND(AB331&gt;=3,AC331&gt;='01_Criterios'!$C$11,N(AE331)&gt;='01_Criterios'!$C$12,OR(F331="+",F331="-"),ISNUMBER(G331),ISNUMBER(H331)),1,0)</f>
        <v>1</v>
      </c>
      <c r="AM331" s="24" t="str">
        <f>IF(AL331=1,"",TRIM(IF(AB331=0,"sem dados no período; ",IF(AB331&lt;3,"série demasiado curta; ",""))&amp;IF(AND(AB331&gt;0,AC331&lt;'01_Criterios'!$C$11),"cobertura insuficiente; ","")&amp;IF(AND(AB331&gt;0,N(AE331)&lt;'01_Criterios'!$C$12),"desactualizado; ","")&amp;IF(AND(F331&lt;&gt;"+",F331&lt;&gt;"-"),"sentido ambíguo; ","")&amp;IF(OR(NOT(ISNUMBER(G331)),NOT(ISNUMBER(H331))),"sem limites min/max; ","")))</f>
        <v/>
      </c>
      <c r="AN331" s="20">
        <f>IF(OR(AL331=0,$AP331="Excluir"),0,IF(SUMPRODUCT(($O$5:$O$335=$O331)*($AL$5:$AL$335=1)*($AP$5:$AP$335&lt;&gt;"Excluir")*(($AK$5:$AK$335&gt;$AK331)+(($AK$5:$AK$335=$AK331)*(ROW($O$5:$O$335)&lt;ROW()))))=0,1,0))</f>
        <v>0</v>
      </c>
      <c r="AO331" s="20" t="str">
        <f>IF(AN331=0,"",1+SUMPRODUCT(($B$5:$B$335=$B331)*($AN$5:$AN$335=1)*(($AK$5:$AK$335&gt;$AK331)+(($AK$5:$AK$335=$AK331)*(ROW($B$5:$B$335)&lt;ROW())))))</f>
        <v/>
      </c>
      <c r="AP331" s="22" t="s">
        <v>131</v>
      </c>
      <c r="AQ331" s="20">
        <f>IF(INDEX('01_Criterios'!$C$26:$C$36,MATCH($B331,'01_Criterios'!$B$26:$B$36,0))&lt;&gt;1,0,IF($AP331="Excluir",0,IF($AP331="Incluir",IF(AND(OR($F331="+",$F331="-"),ISNUMBER($G331),ISNUMBER($H331),COUNT($Q331:$AA331)&gt;0),1,0),IF('01_Criterios'!$C$18="Automática",IF(AND($AN331=1,$AO331&lt;&gt;"",$AO331&lt;=INDEX('01_Criterios'!$E$26:$E$36,MATCH($B331,'01_Criterios'!$B$26:$B$36,0))),1,0),0))))</f>
        <v>0</v>
      </c>
      <c r="AR331" s="20" t="str">
        <f>IF(AQ331=0,"",IF($AO331&lt;&gt;"",1+SUMPRODUCT(($B$5:$B$335=$B331)*($AQ$5:$AQ$335=1)*($AO$5:$AO$335&lt;$AO331)),1+SUMPRODUCT(($B$5:$B$335=$B331)*($AQ$5:$AQ$335=1)*ISNUMBER($AO$5:$AO$335))+SUMPRODUCT(($B$5:$B$335=$B331)*($AQ$5:$AQ$335=1)*($AO$5:$AO$335="")*(ROW($AO$5:$AO$335)&lt;ROW()))))</f>
        <v/>
      </c>
      <c r="AS331" s="24" t="s">
        <v>1756</v>
      </c>
    </row>
    <row r="332" spans="1:45">
      <c r="A332" s="25" t="s">
        <v>1757</v>
      </c>
      <c r="B332" s="26" t="s">
        <v>86</v>
      </c>
      <c r="C332" s="26" t="s">
        <v>1739</v>
      </c>
      <c r="D332" s="26" t="s">
        <v>1758</v>
      </c>
      <c r="E332" s="25" t="s">
        <v>237</v>
      </c>
      <c r="F332" s="25" t="s">
        <v>126</v>
      </c>
      <c r="G332" s="25">
        <v>1.4</v>
      </c>
      <c r="H332" s="25">
        <v>6.6</v>
      </c>
      <c r="I332" s="25"/>
      <c r="J332" s="22">
        <v>1</v>
      </c>
      <c r="K332" s="26" t="s">
        <v>1759</v>
      </c>
      <c r="L332" s="25" t="s">
        <v>1760</v>
      </c>
      <c r="M332" s="26" t="s">
        <v>161</v>
      </c>
      <c r="N332" s="25">
        <v>0</v>
      </c>
      <c r="O332" s="26" t="s">
        <v>1757</v>
      </c>
      <c r="P332" s="25" t="s">
        <v>268</v>
      </c>
      <c r="Q332" s="27"/>
      <c r="R332" s="27"/>
      <c r="S332" s="27"/>
      <c r="T332" s="27">
        <v>6</v>
      </c>
      <c r="U332" s="27">
        <v>2</v>
      </c>
      <c r="V332" s="27"/>
      <c r="W332" s="27"/>
      <c r="X332" s="27"/>
      <c r="Y332" s="27"/>
      <c r="Z332" s="27"/>
      <c r="AA332" s="27"/>
      <c r="AB332" s="25">
        <f>COUNT(Q332:AA332)</f>
        <v>2</v>
      </c>
      <c r="AC332" s="28">
        <f>AB332/11</f>
        <v>0.18181818181818182</v>
      </c>
      <c r="AD332" s="25">
        <f>IFERROR(INDEX($Q$4:$AA$4,MATCH(TRUE,INDEX(ISNUMBER(Q332:AA332),0),0)),"")</f>
        <v>2018</v>
      </c>
      <c r="AE332" s="25">
        <f>IFERROR(LOOKUP(2,1/ISNUMBER(Q332:AA332),$Q$4:$AA$4),"")</f>
        <v>2019</v>
      </c>
      <c r="AF332" s="28">
        <f>IF(AB332=0,"",AB332/(AE332-AD332+1))</f>
        <v>1</v>
      </c>
      <c r="AG332" s="25">
        <f>IF(AB332=0,"",'01_Criterios'!$C$8-AE332)</f>
        <v>6</v>
      </c>
      <c r="AH332" s="29">
        <f>IF(P332="Em uso",100,IF(P332="Alta",85,IF(P332="Média",55,30)))</f>
        <v>30</v>
      </c>
      <c r="AI332" s="29">
        <f>ROUND(100*AC332,1)</f>
        <v>18.2</v>
      </c>
      <c r="AJ332" s="29">
        <f>IF(AB332=0,0,ROUND(MAX(0,100*AF332-10*AG332),1))</f>
        <v>40</v>
      </c>
      <c r="AK332" s="29">
        <f>ROUND(('01_Criterios'!$C$19*AH332+'01_Criterios'!$C$20*AI332+'01_Criterios'!$C$21*AJ332)/('01_Criterios'!$C$19+'01_Criterios'!$C$20+'01_Criterios'!$C$21)+N332*'01_Criterios'!$C$22,1)</f>
        <v>28.4</v>
      </c>
      <c r="AL332" s="25">
        <f>IF(AND(AB332&gt;=3,AC332&gt;='01_Criterios'!$C$11,N(AE332)&gt;='01_Criterios'!$C$12,OR(F332="+",F332="-"),ISNUMBER(G332),ISNUMBER(H332)),1,0)</f>
        <v>0</v>
      </c>
      <c r="AM332" s="30" t="str">
        <f>IF(AL332=1,"",TRIM(IF(AB332=0,"sem dados no período; ",IF(AB332&lt;3,"série demasiado curta; ",""))&amp;IF(AND(AB332&gt;0,AC332&lt;'01_Criterios'!$C$11),"cobertura insuficiente; ","")&amp;IF(AND(AB332&gt;0,N(AE332)&lt;'01_Criterios'!$C$12),"desactualizado; ","")&amp;IF(AND(F332&lt;&gt;"+",F332&lt;&gt;"-"),"sentido ambíguo; ","")&amp;IF(OR(NOT(ISNUMBER(G332)),NOT(ISNUMBER(H332))),"sem limites min/max; ","")))</f>
        <v>série demasiado curta; cobertura insuficiente; desactualizado;</v>
      </c>
      <c r="AN332" s="25">
        <f>IF(OR(AL332=0,$AP332="Excluir"),0,IF(SUMPRODUCT(($O$5:$O$335=$O332)*($AL$5:$AL$335=1)*($AP$5:$AP$335&lt;&gt;"Excluir")*(($AK$5:$AK$335&gt;$AK332)+(($AK$5:$AK$335=$AK332)*(ROW($O$5:$O$335)&lt;ROW()))))=0,1,0))</f>
        <v>0</v>
      </c>
      <c r="AO332" s="25" t="str">
        <f>IF(AN332=0,"",1+SUMPRODUCT(($B$5:$B$335=$B332)*($AN$5:$AN$335=1)*(($AK$5:$AK$335&gt;$AK332)+(($AK$5:$AK$335=$AK332)*(ROW($B$5:$B$335)&lt;ROW())))))</f>
        <v/>
      </c>
      <c r="AP332" s="22" t="s">
        <v>131</v>
      </c>
      <c r="AQ332" s="25">
        <f>IF(INDEX('01_Criterios'!$C$26:$C$36,MATCH($B332,'01_Criterios'!$B$26:$B$36,0))&lt;&gt;1,0,IF($AP332="Excluir",0,IF($AP332="Incluir",IF(AND(OR($F332="+",$F332="-"),ISNUMBER($G332),ISNUMBER($H332),COUNT($Q332:$AA332)&gt;0),1,0),IF('01_Criterios'!$C$18="Automática",IF(AND($AN332=1,$AO332&lt;&gt;"",$AO332&lt;=INDEX('01_Criterios'!$E$26:$E$36,MATCH($B332,'01_Criterios'!$B$26:$B$36,0))),1,0),0))))</f>
        <v>0</v>
      </c>
      <c r="AR332" s="25" t="str">
        <f>IF(AQ332=0,"",IF($AO332&lt;&gt;"",1+SUMPRODUCT(($B$5:$B$335=$B332)*($AQ$5:$AQ$335=1)*($AO$5:$AO$335&lt;$AO332)),1+SUMPRODUCT(($B$5:$B$335=$B332)*($AQ$5:$AQ$335=1)*ISNUMBER($AO$5:$AO$335))+SUMPRODUCT(($B$5:$B$335=$B332)*($AQ$5:$AQ$335=1)*($AO$5:$AO$335="")*(ROW($AO$5:$AO$335)&lt;ROW()))))</f>
        <v/>
      </c>
      <c r="AS332" s="24" t="s">
        <v>1761</v>
      </c>
    </row>
    <row r="333" spans="1:45">
      <c r="A333" s="20" t="s">
        <v>1762</v>
      </c>
      <c r="B333" s="21" t="s">
        <v>86</v>
      </c>
      <c r="C333" s="21" t="s">
        <v>1739</v>
      </c>
      <c r="D333" s="21" t="s">
        <v>1763</v>
      </c>
      <c r="E333" s="20" t="s">
        <v>237</v>
      </c>
      <c r="F333" s="20" t="s">
        <v>126</v>
      </c>
      <c r="G333" s="20">
        <v>1430</v>
      </c>
      <c r="H333" s="20">
        <v>2760</v>
      </c>
      <c r="I333" s="20"/>
      <c r="J333" s="22">
        <v>1</v>
      </c>
      <c r="K333" s="21" t="s">
        <v>1759</v>
      </c>
      <c r="L333" s="20" t="s">
        <v>1764</v>
      </c>
      <c r="M333" s="21" t="s">
        <v>161</v>
      </c>
      <c r="N333" s="20">
        <v>0</v>
      </c>
      <c r="O333" s="21" t="s">
        <v>1762</v>
      </c>
      <c r="P333" s="20" t="s">
        <v>268</v>
      </c>
      <c r="Q333" s="6"/>
      <c r="R333" s="6">
        <v>1585</v>
      </c>
      <c r="S333" s="6">
        <v>1724</v>
      </c>
      <c r="T333" s="6">
        <v>2354</v>
      </c>
      <c r="U333" s="6">
        <v>2604</v>
      </c>
      <c r="V333" s="6">
        <v>2546</v>
      </c>
      <c r="W333" s="6"/>
      <c r="X333" s="6"/>
      <c r="Y333" s="6"/>
      <c r="Z333" s="6"/>
      <c r="AA333" s="6"/>
      <c r="AB333" s="20">
        <f>COUNT(Q333:AA333)</f>
        <v>5</v>
      </c>
      <c r="AC333" s="23">
        <f>AB333/11</f>
        <v>0.45454545454545453</v>
      </c>
      <c r="AD333" s="20">
        <f>IFERROR(INDEX($Q$4:$AA$4,MATCH(TRUE,INDEX(ISNUMBER(Q333:AA333),0),0)),"")</f>
        <v>2016</v>
      </c>
      <c r="AE333" s="20">
        <f>IFERROR(LOOKUP(2,1/ISNUMBER(Q333:AA333),$Q$4:$AA$4),"")</f>
        <v>2020</v>
      </c>
      <c r="AF333" s="23">
        <f>IF(AB333=0,"",AB333/(AE333-AD333+1))</f>
        <v>1</v>
      </c>
      <c r="AG333" s="20">
        <f>IF(AB333=0,"",'01_Criterios'!$C$8-AE333)</f>
        <v>5</v>
      </c>
      <c r="AH333" s="7">
        <f>IF(P333="Em uso",100,IF(P333="Alta",85,IF(P333="Média",55,30)))</f>
        <v>30</v>
      </c>
      <c r="AI333" s="7">
        <f>ROUND(100*AC333,1)</f>
        <v>45.5</v>
      </c>
      <c r="AJ333" s="7">
        <f>IF(AB333=0,0,ROUND(MAX(0,100*AF333-10*AG333),1))</f>
        <v>50</v>
      </c>
      <c r="AK333" s="7">
        <f>ROUND(('01_Criterios'!$C$19*AH333+'01_Criterios'!$C$20*AI333+'01_Criterios'!$C$21*AJ333)/('01_Criterios'!$C$19+'01_Criterios'!$C$20+'01_Criterios'!$C$21)+N333*'01_Criterios'!$C$22,1)</f>
        <v>40.4</v>
      </c>
      <c r="AL333" s="20">
        <f>IF(AND(AB333&gt;=3,AC333&gt;='01_Criterios'!$C$11,N(AE333)&gt;='01_Criterios'!$C$12,OR(F333="+",F333="-"),ISNUMBER(G333),ISNUMBER(H333)),1,0)</f>
        <v>0</v>
      </c>
      <c r="AM333" s="24" t="str">
        <f>IF(AL333=1,"",TRIM(IF(AB333=0,"sem dados no período; ",IF(AB333&lt;3,"série demasiado curta; ",""))&amp;IF(AND(AB333&gt;0,AC333&lt;'01_Criterios'!$C$11),"cobertura insuficiente; ","")&amp;IF(AND(AB333&gt;0,N(AE333)&lt;'01_Criterios'!$C$12),"desactualizado; ","")&amp;IF(AND(F333&lt;&gt;"+",F333&lt;&gt;"-"),"sentido ambíguo; ","")&amp;IF(OR(NOT(ISNUMBER(G333)),NOT(ISNUMBER(H333))),"sem limites min/max; ","")))</f>
        <v>cobertura insuficiente; desactualizado;</v>
      </c>
      <c r="AN333" s="20">
        <f>IF(OR(AL333=0,$AP333="Excluir"),0,IF(SUMPRODUCT(($O$5:$O$335=$O333)*($AL$5:$AL$335=1)*($AP$5:$AP$335&lt;&gt;"Excluir")*(($AK$5:$AK$335&gt;$AK333)+(($AK$5:$AK$335=$AK333)*(ROW($O$5:$O$335)&lt;ROW()))))=0,1,0))</f>
        <v>0</v>
      </c>
      <c r="AO333" s="20" t="str">
        <f>IF(AN333=0,"",1+SUMPRODUCT(($B$5:$B$335=$B333)*($AN$5:$AN$335=1)*(($AK$5:$AK$335&gt;$AK333)+(($AK$5:$AK$335=$AK333)*(ROW($B$5:$B$335)&lt;ROW())))))</f>
        <v/>
      </c>
      <c r="AP333" s="22" t="s">
        <v>131</v>
      </c>
      <c r="AQ333" s="20">
        <f>IF(INDEX('01_Criterios'!$C$26:$C$36,MATCH($B333,'01_Criterios'!$B$26:$B$36,0))&lt;&gt;1,0,IF($AP333="Excluir",0,IF($AP333="Incluir",IF(AND(OR($F333="+",$F333="-"),ISNUMBER($G333),ISNUMBER($H333),COUNT($Q333:$AA333)&gt;0),1,0),IF('01_Criterios'!$C$18="Automática",IF(AND($AN333=1,$AO333&lt;&gt;"",$AO333&lt;=INDEX('01_Criterios'!$E$26:$E$36,MATCH($B333,'01_Criterios'!$B$26:$B$36,0))),1,0),0))))</f>
        <v>0</v>
      </c>
      <c r="AR333" s="20" t="str">
        <f>IF(AQ333=0,"",IF($AO333&lt;&gt;"",1+SUMPRODUCT(($B$5:$B$335=$B333)*($AQ$5:$AQ$335=1)*($AO$5:$AO$335&lt;$AO333)),1+SUMPRODUCT(($B$5:$B$335=$B333)*($AQ$5:$AQ$335=1)*ISNUMBER($AO$5:$AO$335))+SUMPRODUCT(($B$5:$B$335=$B333)*($AQ$5:$AQ$335=1)*($AO$5:$AO$335="")*(ROW($AO$5:$AO$335)&lt;ROW()))))</f>
        <v/>
      </c>
      <c r="AS333" s="24" t="s">
        <v>1765</v>
      </c>
    </row>
    <row r="334" spans="1:45">
      <c r="A334" s="25" t="s">
        <v>1766</v>
      </c>
      <c r="B334" s="26" t="s">
        <v>86</v>
      </c>
      <c r="C334" s="26" t="s">
        <v>1733</v>
      </c>
      <c r="D334" s="26" t="s">
        <v>1767</v>
      </c>
      <c r="E334" s="25" t="s">
        <v>542</v>
      </c>
      <c r="F334" s="25" t="s">
        <v>126</v>
      </c>
      <c r="G334" s="25">
        <v>34800000</v>
      </c>
      <c r="H334" s="25">
        <v>111000000</v>
      </c>
      <c r="I334" s="25"/>
      <c r="J334" s="22">
        <v>1</v>
      </c>
      <c r="K334" s="26" t="s">
        <v>204</v>
      </c>
      <c r="L334" s="25" t="s">
        <v>1768</v>
      </c>
      <c r="M334" s="26" t="s">
        <v>161</v>
      </c>
      <c r="N334" s="25">
        <v>0</v>
      </c>
      <c r="O334" s="26" t="s">
        <v>1397</v>
      </c>
      <c r="P334" s="25" t="s">
        <v>268</v>
      </c>
      <c r="Q334" s="27">
        <v>102003479</v>
      </c>
      <c r="R334" s="27">
        <v>101168422</v>
      </c>
      <c r="S334" s="27">
        <v>90114520</v>
      </c>
      <c r="T334" s="27">
        <v>62390526</v>
      </c>
      <c r="U334" s="27">
        <v>79264147</v>
      </c>
      <c r="V334" s="27">
        <v>46120730</v>
      </c>
      <c r="W334" s="27">
        <v>43596708</v>
      </c>
      <c r="X334" s="27">
        <v>77204455</v>
      </c>
      <c r="Y334" s="27">
        <v>89918197</v>
      </c>
      <c r="Z334" s="27">
        <v>64121494</v>
      </c>
      <c r="AA334" s="27"/>
      <c r="AB334" s="25">
        <f>COUNT(Q334:AA334)</f>
        <v>10</v>
      </c>
      <c r="AC334" s="28">
        <f>AB334/11</f>
        <v>0.90909090909090906</v>
      </c>
      <c r="AD334" s="25">
        <f>IFERROR(INDEX($Q$4:$AA$4,MATCH(TRUE,INDEX(ISNUMBER(Q334:AA334),0),0)),"")</f>
        <v>2015</v>
      </c>
      <c r="AE334" s="25">
        <f>IFERROR(LOOKUP(2,1/ISNUMBER(Q334:AA334),$Q$4:$AA$4),"")</f>
        <v>2024</v>
      </c>
      <c r="AF334" s="28">
        <f>IF(AB334=0,"",AB334/(AE334-AD334+1))</f>
        <v>1</v>
      </c>
      <c r="AG334" s="25">
        <f>IF(AB334=0,"",'01_Criterios'!$C$8-AE334)</f>
        <v>1</v>
      </c>
      <c r="AH334" s="29">
        <f>IF(P334="Em uso",100,IF(P334="Alta",85,IF(P334="Média",55,30)))</f>
        <v>30</v>
      </c>
      <c r="AI334" s="29">
        <f>ROUND(100*AC334,1)</f>
        <v>90.9</v>
      </c>
      <c r="AJ334" s="29">
        <f>IF(AB334=0,0,ROUND(MAX(0,100*AF334-10*AG334),1))</f>
        <v>90</v>
      </c>
      <c r="AK334" s="29">
        <f>ROUND(('01_Criterios'!$C$19*AH334+'01_Criterios'!$C$20*AI334+'01_Criterios'!$C$21*AJ334)/('01_Criterios'!$C$19+'01_Criterios'!$C$20+'01_Criterios'!$C$21)+N334*'01_Criterios'!$C$22,1)</f>
        <v>66.3</v>
      </c>
      <c r="AL334" s="25">
        <f>IF(AND(AB334&gt;=3,AC334&gt;='01_Criterios'!$C$11,N(AE334)&gt;='01_Criterios'!$C$12,OR(F334="+",F334="-"),ISNUMBER(G334),ISNUMBER(H334)),1,0)</f>
        <v>1</v>
      </c>
      <c r="AM334" s="30" t="str">
        <f>IF(AL334=1,"",TRIM(IF(AB334=0,"sem dados no período; ",IF(AB334&lt;3,"série demasiado curta; ",""))&amp;IF(AND(AB334&gt;0,AC334&lt;'01_Criterios'!$C$11),"cobertura insuficiente; ","")&amp;IF(AND(AB334&gt;0,N(AE334)&lt;'01_Criterios'!$C$12),"desactualizado; ","")&amp;IF(AND(F334&lt;&gt;"+",F334&lt;&gt;"-"),"sentido ambíguo; ","")&amp;IF(OR(NOT(ISNUMBER(G334)),NOT(ISNUMBER(H334))),"sem limites min/max; ","")))</f>
        <v/>
      </c>
      <c r="AN334" s="25">
        <f>IF(OR(AL334=0,$AP334="Excluir"),0,IF(SUMPRODUCT(($O$5:$O$335=$O334)*($AL$5:$AL$335=1)*($AP$5:$AP$335&lt;&gt;"Excluir")*(($AK$5:$AK$335&gt;$AK334)+(($AK$5:$AK$335=$AK334)*(ROW($O$5:$O$335)&lt;ROW()))))=0,1,0))</f>
        <v>0</v>
      </c>
      <c r="AO334" s="25" t="str">
        <f>IF(AN334=0,"",1+SUMPRODUCT(($B$5:$B$335=$B334)*($AN$5:$AN$335=1)*(($AK$5:$AK$335&gt;$AK334)+(($AK$5:$AK$335=$AK334)*(ROW($B$5:$B$335)&lt;ROW())))))</f>
        <v/>
      </c>
      <c r="AP334" s="22" t="s">
        <v>131</v>
      </c>
      <c r="AQ334" s="25">
        <f>IF(INDEX('01_Criterios'!$C$26:$C$36,MATCH($B334,'01_Criterios'!$B$26:$B$36,0))&lt;&gt;1,0,IF($AP334="Excluir",0,IF($AP334="Incluir",IF(AND(OR($F334="+",$F334="-"),ISNUMBER($G334),ISNUMBER($H334),COUNT($Q334:$AA334)&gt;0),1,0),IF('01_Criterios'!$C$18="Automática",IF(AND($AN334=1,$AO334&lt;&gt;"",$AO334&lt;=INDEX('01_Criterios'!$E$26:$E$36,MATCH($B334,'01_Criterios'!$B$26:$B$36,0))),1,0),0))))</f>
        <v>0</v>
      </c>
      <c r="AR334" s="25" t="str">
        <f>IF(AQ334=0,"",IF($AO334&lt;&gt;"",1+SUMPRODUCT(($B$5:$B$335=$B334)*($AQ$5:$AQ$335=1)*($AO$5:$AO$335&lt;$AO334)),1+SUMPRODUCT(($B$5:$B$335=$B334)*($AQ$5:$AQ$335=1)*ISNUMBER($AO$5:$AO$335))+SUMPRODUCT(($B$5:$B$335=$B334)*($AQ$5:$AQ$335=1)*($AO$5:$AO$335="")*(ROW($AO$5:$AO$335)&lt;ROW()))))</f>
        <v/>
      </c>
      <c r="AS334" s="24" t="s">
        <v>1769</v>
      </c>
    </row>
    <row r="335" spans="1:45">
      <c r="A335" s="20" t="s">
        <v>1770</v>
      </c>
      <c r="B335" s="21" t="s">
        <v>86</v>
      </c>
      <c r="C335" s="21" t="s">
        <v>1739</v>
      </c>
      <c r="D335" s="21" t="s">
        <v>1771</v>
      </c>
      <c r="E335" s="20" t="s">
        <v>237</v>
      </c>
      <c r="F335" s="20" t="s">
        <v>126</v>
      </c>
      <c r="G335" s="20">
        <v>0</v>
      </c>
      <c r="H335" s="20">
        <v>62.5</v>
      </c>
      <c r="I335" s="20"/>
      <c r="J335" s="22">
        <v>1</v>
      </c>
      <c r="K335" s="21" t="s">
        <v>1772</v>
      </c>
      <c r="L335" s="20" t="s">
        <v>1773</v>
      </c>
      <c r="M335" s="21" t="s">
        <v>161</v>
      </c>
      <c r="N335" s="20">
        <v>0</v>
      </c>
      <c r="O335" s="21" t="s">
        <v>1770</v>
      </c>
      <c r="P335" s="20" t="s">
        <v>268</v>
      </c>
      <c r="Q335" s="6">
        <v>29.16</v>
      </c>
      <c r="R335" s="6">
        <v>36.450000000000003</v>
      </c>
      <c r="S335" s="6">
        <v>52.43</v>
      </c>
      <c r="T335" s="6">
        <v>29.71</v>
      </c>
      <c r="U335" s="6">
        <v>35.26</v>
      </c>
      <c r="V335" s="6">
        <v>46.17</v>
      </c>
      <c r="W335" s="6">
        <v>40.17</v>
      </c>
      <c r="X335" s="6">
        <v>45.14</v>
      </c>
      <c r="Y335" s="6">
        <v>50.27</v>
      </c>
      <c r="Z335" s="6"/>
      <c r="AA335" s="6"/>
      <c r="AB335" s="20">
        <f>COUNT(Q335:AA335)</f>
        <v>9</v>
      </c>
      <c r="AC335" s="23">
        <f>AB335/11</f>
        <v>0.81818181818181823</v>
      </c>
      <c r="AD335" s="20">
        <f>IFERROR(INDEX($Q$4:$AA$4,MATCH(TRUE,INDEX(ISNUMBER(Q335:AA335),0),0)),"")</f>
        <v>2015</v>
      </c>
      <c r="AE335" s="20">
        <f>IFERROR(LOOKUP(2,1/ISNUMBER(Q335:AA335),$Q$4:$AA$4),"")</f>
        <v>2023</v>
      </c>
      <c r="AF335" s="23">
        <f>IF(AB335=0,"",AB335/(AE335-AD335+1))</f>
        <v>1</v>
      </c>
      <c r="AG335" s="20">
        <f>IF(AB335=0,"",'01_Criterios'!$C$8-AE335)</f>
        <v>2</v>
      </c>
      <c r="AH335" s="7">
        <f>IF(P335="Em uso",100,IF(P335="Alta",85,IF(P335="Média",55,30)))</f>
        <v>30</v>
      </c>
      <c r="AI335" s="7">
        <f>ROUND(100*AC335,1)</f>
        <v>81.8</v>
      </c>
      <c r="AJ335" s="7">
        <f>IF(AB335=0,0,ROUND(MAX(0,100*AF335-10*AG335),1))</f>
        <v>80</v>
      </c>
      <c r="AK335" s="7">
        <f>ROUND(('01_Criterios'!$C$19*AH335+'01_Criterios'!$C$20*AI335+'01_Criterios'!$C$21*AJ335)/('01_Criterios'!$C$19+'01_Criterios'!$C$20+'01_Criterios'!$C$21)+N335*'01_Criterios'!$C$22,1)</f>
        <v>60.6</v>
      </c>
      <c r="AL335" s="20">
        <f>IF(AND(AB335&gt;=3,AC335&gt;='01_Criterios'!$C$11,N(AE335)&gt;='01_Criterios'!$C$12,OR(F335="+",F335="-"),ISNUMBER(G335),ISNUMBER(H335)),1,0)</f>
        <v>1</v>
      </c>
      <c r="AM335" s="24" t="str">
        <f>IF(AL335=1,"",TRIM(IF(AB335=0,"sem dados no período; ",IF(AB335&lt;3,"série demasiado curta; ",""))&amp;IF(AND(AB335&gt;0,AC335&lt;'01_Criterios'!$C$11),"cobertura insuficiente; ","")&amp;IF(AND(AB335&gt;0,N(AE335)&lt;'01_Criterios'!$C$12),"desactualizado; ","")&amp;IF(AND(F335&lt;&gt;"+",F335&lt;&gt;"-"),"sentido ambíguo; ","")&amp;IF(OR(NOT(ISNUMBER(G335)),NOT(ISNUMBER(H335))),"sem limites min/max; ","")))</f>
        <v/>
      </c>
      <c r="AN335" s="20">
        <f>IF(OR(AL335=0,$AP335="Excluir"),0,IF(SUMPRODUCT(($O$5:$O$335=$O335)*($AL$5:$AL$335=1)*($AP$5:$AP$335&lt;&gt;"Excluir")*(($AK$5:$AK$335&gt;$AK335)+(($AK$5:$AK$335=$AK335)*(ROW($O$5:$O$335)&lt;ROW()))))=0,1,0))</f>
        <v>1</v>
      </c>
      <c r="AO335" s="20">
        <f>IF(AN335=0,"",1+SUMPRODUCT(($B$5:$B$335=$B335)*($AN$5:$AN$335=1)*(($AK$5:$AK$335&gt;$AK335)+(($AK$5:$AK$335=$AK335)*(ROW($B$5:$B$335)&lt;ROW())))))</f>
        <v>7</v>
      </c>
      <c r="AP335" s="22" t="s">
        <v>131</v>
      </c>
      <c r="AQ335" s="20">
        <f>IF(INDEX('01_Criterios'!$C$26:$C$36,MATCH($B335,'01_Criterios'!$B$26:$B$36,0))&lt;&gt;1,0,IF($AP335="Excluir",0,IF($AP335="Incluir",IF(AND(OR($F335="+",$F335="-"),ISNUMBER($G335),ISNUMBER($H335),COUNT($Q335:$AA335)&gt;0),1,0),IF('01_Criterios'!$C$18="Automática",IF(AND($AN335=1,$AO335&lt;&gt;"",$AO335&lt;=INDEX('01_Criterios'!$E$26:$E$36,MATCH($B335,'01_Criterios'!$B$26:$B$36,0))),1,0),0))))</f>
        <v>0</v>
      </c>
      <c r="AR335" s="20" t="str">
        <f>IF(AQ335=0,"",IF($AO335&lt;&gt;"",1+SUMPRODUCT(($B$5:$B$335=$B335)*($AQ$5:$AQ$335=1)*($AO$5:$AO$335&lt;$AO335)),1+SUMPRODUCT(($B$5:$B$335=$B335)*($AQ$5:$AQ$335=1)*ISNUMBER($AO$5:$AO$335))+SUMPRODUCT(($B$5:$B$335=$B335)*($AQ$5:$AQ$335=1)*($AO$5:$AO$335="")*(ROW($AO$5:$AO$335)&lt;ROW()))))</f>
        <v/>
      </c>
      <c r="AS335" s="24" t="s">
        <v>1774</v>
      </c>
    </row>
  </sheetData>
  <autoFilter ref="A4:AS335" xr:uid="{00000000-0009-0000-0000-000002000000}"/>
  <conditionalFormatting sqref="AK5:AK335">
    <cfRule type="dataBar" priority="2">
      <dataBar>
        <cfvo type="num" val="0"/>
        <cfvo type="num" val="115"/>
        <color rgb="FF2E6E81"/>
      </dataBar>
    </cfRule>
  </conditionalFormatting>
  <conditionalFormatting sqref="AL5:AL335">
    <cfRule type="cellIs" dxfId="3" priority="3" operator="equal">
      <formula>0</formula>
    </cfRule>
  </conditionalFormatting>
  <conditionalFormatting sqref="AQ5:AQ335">
    <cfRule type="cellIs" dxfId="2" priority="1" operator="equal">
      <formula>1</formula>
    </cfRule>
  </conditionalFormatting>
  <dataValidations count="1">
    <dataValidation type="list" sqref="AP5 AP6 AP7 AP8 AP9 AP10 AP11 AP12 AP13 AP14 AP15 AP16 AP17 AP18 AP19 AP20 AP21 AP22 AP23 AP24 AP25 AP26 AP27 AP28 AP29 AP30 AP31 AP32 AP33 AP34 AP35 AP36 AP37 AP38 AP39 AP40 AP41 AP42 AP43 AP44 AP45 AP46 AP47 AP48 AP49 AP50 AP51 AP52 AP53 AP54 AP55 AP56 AP57 AP58 AP59 AP60 AP61 AP62 AP63 AP64 AP65 AP66 AP67 AP68 AP69 AP70 AP71 AP72 AP73 AP74 AP75 AP76 AP77 AP78 AP79 AP80 AP81 AP82 AP83 AP84 AP85 AP86 AP87 AP88 AP89 AP90 AP91 AP92 AP93 AP94 AP95 AP96 AP97 AP98 AP99 AP100 AP101 AP102 AP103 AP104 AP105 AP106 AP107 AP108 AP109 AP110 AP111 AP112 AP113 AP114 AP115 AP116 AP117 AP118 AP119 AP120 AP121 AP122 AP123 AP124 AP125 AP126 AP127 AP128 AP129 AP130 AP131 AP132 AP133 AP134 AP135 AP136 AP137 AP138 AP139 AP140 AP141 AP142 AP143 AP144 AP145 AP146 AP147 AP148 AP149 AP150 AP151 AP152 AP153 AP154 AP155 AP156 AP157 AP158 AP159 AP160 AP161 AP162 AP163 AP164 AP165 AP166 AP167 AP168 AP169 AP170 AP171 AP172 AP173 AP174 AP175 AP176 AP177 AP178 AP179 AP180 AP181 AP182 AP183 AP184 AP185 AP186 AP187 AP188 AP189 AP190 AP191 AP192 AP193 AP194 AP195 AP196 AP197 AP198 AP199 AP200 AP201 AP202 AP203 AP204 AP205 AP206 AP207 AP208 AP209 AP210 AP211 AP212 AP213 AP214 AP215 AP216 AP217 AP218 AP219 AP220 AP221 AP222 AP223 AP224 AP225 AP226 AP227 AP228 AP229 AP230 AP231 AP232 AP233 AP234 AP235 AP236 AP237 AP238 AP239 AP240 AP241 AP242 AP243 AP244 AP245 AP246 AP247 AP248 AP249 AP250 AP251 AP252 AP253 AP254 AP255 AP256 AP257 AP258 AP259 AP260 AP261 AP262 AP263 AP264 AP265 AP266 AP267 AP268 AP269 AP270 AP271 AP272 AP273 AP274 AP275 AP276 AP277 AP278 AP279 AP280 AP281 AP282 AP283 AP284 AP285 AP286 AP287 AP288 AP289 AP290 AP291 AP292 AP293 AP294 AP295 AP296 AP297 AP298 AP299 AP300 AP301 AP302 AP303 AP304 AP305 AP306 AP307 AP308 AP309 AP310 AP311 AP312 AP313 AP314 AP315 AP316 AP317 AP318 AP319 AP320 AP321 AP322 AP323 AP324 AP325 AP326 AP327 AP328 AP329 AP330 AP331 AP332 AP333 AP334 AP335" xr:uid="{00000000-0002-0000-0200-000000000000}">
      <formula1>"Auto,Incluir,Excluir"</formula1>
    </dataValidation>
  </dataValidations>
  <hyperlinks>
    <hyperlink ref="A1" location="'00_Painel'!A1" display="← Painel" xr:uid="{00000000-0004-0000-0200-000000000000}"/>
  </hyperlink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497B0"/>
  </sheetPr>
  <dimension ref="A1:W114"/>
  <sheetViews>
    <sheetView workbookViewId="0">
      <pane xSplit="5" ySplit="4" topLeftCell="F5" activePane="bottomRight" state="frozen"/>
      <selection pane="bottomRight" activeCell="E5" sqref="E5:E10"/>
      <selection pane="bottomLeft"/>
      <selection pane="topRight"/>
    </sheetView>
  </sheetViews>
  <sheetFormatPr defaultRowHeight="14.45"/>
  <cols>
    <col min="1" max="1" width="30" customWidth="1"/>
    <col min="2" max="2" width="5" customWidth="1"/>
    <col min="3" max="3" width="11" customWidth="1"/>
    <col min="4" max="4" width="9" customWidth="1"/>
    <col min="5" max="5" width="44" customWidth="1"/>
    <col min="6" max="6" width="15" customWidth="1"/>
    <col min="7" max="7" width="8" customWidth="1"/>
    <col min="8" max="9" width="9" customWidth="1"/>
    <col min="10" max="10" width="6" customWidth="1"/>
    <col min="11" max="21" width="9" customWidth="1"/>
    <col min="22" max="22" width="26" customWidth="1"/>
    <col min="23" max="23" width="12" customWidth="1"/>
  </cols>
  <sheetData>
    <row r="1" spans="1:23">
      <c r="A1" s="3" t="s">
        <v>27</v>
      </c>
    </row>
    <row r="2" spans="1:23" ht="23.45" customHeight="1">
      <c r="B2" s="1" t="s">
        <v>1775</v>
      </c>
    </row>
    <row r="3" spans="1:23">
      <c r="B3" s="2" t="s">
        <v>1776</v>
      </c>
    </row>
    <row r="4" spans="1:23" ht="26.1" customHeight="1">
      <c r="A4" s="11" t="s">
        <v>24</v>
      </c>
      <c r="B4" s="11" t="s">
        <v>120</v>
      </c>
      <c r="C4" s="11" t="s">
        <v>1777</v>
      </c>
      <c r="D4" s="11" t="s">
        <v>90</v>
      </c>
      <c r="E4" s="11" t="s">
        <v>92</v>
      </c>
      <c r="F4" s="11" t="s">
        <v>93</v>
      </c>
      <c r="G4" s="11" t="s">
        <v>94</v>
      </c>
      <c r="H4" s="11" t="s">
        <v>95</v>
      </c>
      <c r="I4" s="11" t="s">
        <v>96</v>
      </c>
      <c r="J4" s="11" t="s">
        <v>69</v>
      </c>
      <c r="K4" s="11" t="s">
        <v>1778</v>
      </c>
      <c r="L4" s="11" t="s">
        <v>1779</v>
      </c>
      <c r="M4" s="11" t="s">
        <v>1780</v>
      </c>
      <c r="N4" s="11" t="s">
        <v>1781</v>
      </c>
      <c r="O4" s="11" t="s">
        <v>1782</v>
      </c>
      <c r="P4" s="11" t="s">
        <v>1783</v>
      </c>
      <c r="Q4" s="11" t="s">
        <v>1784</v>
      </c>
      <c r="R4" s="11" t="s">
        <v>1785</v>
      </c>
      <c r="S4" s="11" t="s">
        <v>1786</v>
      </c>
      <c r="T4" s="11" t="s">
        <v>1787</v>
      </c>
      <c r="U4" s="11" t="s">
        <v>1788</v>
      </c>
      <c r="V4" s="11" t="s">
        <v>98</v>
      </c>
      <c r="W4" s="11" t="s">
        <v>1789</v>
      </c>
    </row>
    <row r="5" spans="1:23">
      <c r="A5" s="6" t="s">
        <v>76</v>
      </c>
      <c r="B5" s="20">
        <v>1</v>
      </c>
      <c r="C5" s="6">
        <f>IF(SUMPRODUCT(('02_Base_Potencial'!$B$5:$B$335=$A5)*('02_Base_Potencial'!$AR$5:$AR$335=$B5)*ROW('02_Base_Potencial'!$A$5:$A$335))=0,"",SUMPRODUCT(('02_Base_Potencial'!$B$5:$B$335=$A5)*('02_Base_Potencial'!$AR$5:$AR$335=$B5)*ROW('02_Base_Potencial'!$A$5:$A$335)))</f>
        <v>7</v>
      </c>
      <c r="D5" s="20" t="str">
        <f>IF($C5="","",INDEX('02_Base_Potencial'!$A$5:$A$335,$C5-4)&amp;"")</f>
        <v>GOV01</v>
      </c>
      <c r="E5" s="6" t="str">
        <f>IF($C5="","",INDEX('02_Base_Potencial'!$D$5:$D$335,$C5-4)&amp;"")</f>
        <v>Índice de Percepção da Corrupção</v>
      </c>
      <c r="F5" s="6" t="str">
        <f>IF($C5="","",INDEX('02_Base_Potencial'!$E$5:$E$335,$C5-4)&amp;"")</f>
        <v>0-100</v>
      </c>
      <c r="G5" s="20" t="str">
        <f>IF($C5="","",INDEX('02_Base_Potencial'!$F$5:$F$335,$C5-4)&amp;"")</f>
        <v>+</v>
      </c>
      <c r="H5" s="20">
        <f>IF($C5="","",INDEX('02_Base_Potencial'!$G$5:$G$335,$C5-4))</f>
        <v>0</v>
      </c>
      <c r="I5" s="20">
        <f>IF($C5="","",INDEX('02_Base_Potencial'!$H$5:$H$335,$C5-4))</f>
        <v>100</v>
      </c>
      <c r="J5" s="20">
        <f>IF($C5="",0,IF(INDEX('02_Base_Potencial'!$J$5:$J$335,$C5-4)="",0,INDEX('02_Base_Potencial'!$J$5:$J$335,$C5-4)))</f>
        <v>1</v>
      </c>
      <c r="K5" s="6">
        <f>IF($C5="","",IF(INDEX('02_Base_Potencial'!$Q$5:$Q$335,$C5-4)="","",INDEX('02_Base_Potencial'!$Q$5:$Q$335,$C5-4)))</f>
        <v>15</v>
      </c>
      <c r="L5" s="6">
        <f>IF($C5="","",IF(INDEX('02_Base_Potencial'!$R$5:$R$335,$C5-4)="","",INDEX('02_Base_Potencial'!$R$5:$R$335,$C5-4)))</f>
        <v>18</v>
      </c>
      <c r="M5" s="6">
        <f>IF($C5="","",IF(INDEX('02_Base_Potencial'!$S$5:$S$335,$C5-4)="","",INDEX('02_Base_Potencial'!$S$5:$S$335,$C5-4)))</f>
        <v>19</v>
      </c>
      <c r="N5" s="6">
        <f>IF($C5="","",IF(INDEX('02_Base_Potencial'!$T$5:$T$335,$C5-4)="","",INDEX('02_Base_Potencial'!$T$5:$T$335,$C5-4)))</f>
        <v>19</v>
      </c>
      <c r="O5" s="6">
        <f>IF($C5="","",IF(INDEX('02_Base_Potencial'!$U$5:$U$335,$C5-4)="","",INDEX('02_Base_Potencial'!$U$5:$U$335,$C5-4)))</f>
        <v>26</v>
      </c>
      <c r="P5" s="6">
        <f>IF($C5="","",IF(INDEX('02_Base_Potencial'!$V$5:$V$335,$C5-4)="","",INDEX('02_Base_Potencial'!$V$5:$V$335,$C5-4)))</f>
        <v>27</v>
      </c>
      <c r="Q5" s="6">
        <f>IF($C5="","",IF(INDEX('02_Base_Potencial'!$W$5:$W$335,$C5-4)="","",INDEX('02_Base_Potencial'!$W$5:$W$335,$C5-4)))</f>
        <v>29</v>
      </c>
      <c r="R5" s="6">
        <f>IF($C5="","",IF(INDEX('02_Base_Potencial'!$X$5:$X$335,$C5-4)="","",INDEX('02_Base_Potencial'!$X$5:$X$335,$C5-4)))</f>
        <v>33</v>
      </c>
      <c r="S5" s="6">
        <f>IF($C5="","",IF(INDEX('02_Base_Potencial'!$Y$5:$Y$335,$C5-4)="","",INDEX('02_Base_Potencial'!$Y$5:$Y$335,$C5-4)))</f>
        <v>33</v>
      </c>
      <c r="T5" s="6">
        <f>IF($C5="","",IF(INDEX('02_Base_Potencial'!$Z$5:$Z$335,$C5-4)="","",INDEX('02_Base_Potencial'!$Z$5:$Z$335,$C5-4)))</f>
        <v>32</v>
      </c>
      <c r="U5" s="6">
        <f>IF($C5="","",IF(INDEX('02_Base_Potencial'!$AA$5:$AA$335,$C5-4)="","",INDEX('02_Base_Potencial'!$AA$5:$AA$335,$C5-4)))</f>
        <v>32</v>
      </c>
      <c r="V5" s="6" t="str">
        <f>IF($C5="","",INDEX('02_Base_Potencial'!$K$5:$K$335,$C5-4)&amp;"")</f>
        <v>Transparency Int.</v>
      </c>
      <c r="W5" s="6" t="str">
        <f>IF($C5="","",COUNT(K5:U5)&amp;"/11")</f>
        <v>11/11</v>
      </c>
    </row>
    <row r="6" spans="1:23">
      <c r="A6" s="6" t="s">
        <v>76</v>
      </c>
      <c r="B6" s="20">
        <v>2</v>
      </c>
      <c r="C6" s="6">
        <f>IF(SUMPRODUCT(('02_Base_Potencial'!$B$5:$B$335=$A6)*('02_Base_Potencial'!$AR$5:$AR$335=$B6)*ROW('02_Base_Potencial'!$A$5:$A$335))=0,"",SUMPRODUCT(('02_Base_Potencial'!$B$5:$B$335=$A6)*('02_Base_Potencial'!$AR$5:$AR$335=$B6)*ROW('02_Base_Potencial'!$A$5:$A$335)))</f>
        <v>5</v>
      </c>
      <c r="D6" s="20" t="str">
        <f>IF($C6="","",INDEX('02_Base_Potencial'!$A$5:$A$335,$C6-4)&amp;"")</f>
        <v>GOV004</v>
      </c>
      <c r="E6" s="6" t="str">
        <f>IF($C6="","",INDEX('02_Base_Potencial'!$D$5:$D$335,$C6-4)&amp;"")</f>
        <v>Estabilidade Política (WGI)</v>
      </c>
      <c r="F6" s="6" t="str">
        <f>IF($C6="","",INDEX('02_Base_Potencial'!$E$5:$E$335,$C6-4)&amp;"")</f>
        <v>-2.5 a 2.5</v>
      </c>
      <c r="G6" s="20" t="str">
        <f>IF($C6="","",INDEX('02_Base_Potencial'!$F$5:$F$335,$C6-4)&amp;"")</f>
        <v>+</v>
      </c>
      <c r="H6" s="20">
        <f>IF($C6="","",INDEX('02_Base_Potencial'!$G$5:$G$335,$C6-4))</f>
        <v>-2.5</v>
      </c>
      <c r="I6" s="20">
        <f>IF($C6="","",INDEX('02_Base_Potencial'!$H$5:$H$335,$C6-4))</f>
        <v>2.5</v>
      </c>
      <c r="J6" s="20">
        <f>IF($C6="",0,IF(INDEX('02_Base_Potencial'!$J$5:$J$335,$C6-4)="",0,INDEX('02_Base_Potencial'!$J$5:$J$335,$C6-4)))</f>
        <v>1</v>
      </c>
      <c r="K6" s="6">
        <f>IF($C6="","",IF(INDEX('02_Base_Potencial'!$Q$5:$Q$335,$C6-4)="","",INDEX('02_Base_Potencial'!$Q$5:$Q$335,$C6-4)))</f>
        <v>-0.55910260000000001</v>
      </c>
      <c r="L6" s="6">
        <f>IF($C6="","",IF(INDEX('02_Base_Potencial'!$R$5:$R$335,$C6-4)="","",INDEX('02_Base_Potencial'!$R$5:$R$335,$C6-4)))</f>
        <v>-0.43462800000000001</v>
      </c>
      <c r="M6" s="6">
        <f>IF($C6="","",IF(INDEX('02_Base_Potencial'!$S$5:$S$335,$C6-4)="","",INDEX('02_Base_Potencial'!$S$5:$S$335,$C6-4)))</f>
        <v>-0.53721450000000004</v>
      </c>
      <c r="N6" s="6">
        <f>IF($C6="","",IF(INDEX('02_Base_Potencial'!$T$5:$T$335,$C6-4)="","",INDEX('02_Base_Potencial'!$T$5:$T$335,$C6-4)))</f>
        <v>-0.4058117</v>
      </c>
      <c r="O6" s="6">
        <f>IF($C6="","",IF(INDEX('02_Base_Potencial'!$U$5:$U$335,$C6-4)="","",INDEX('02_Base_Potencial'!$U$5:$U$335,$C6-4)))</f>
        <v>-0.42070390000000002</v>
      </c>
      <c r="P6" s="6">
        <f>IF($C6="","",IF(INDEX('02_Base_Potencial'!$V$5:$V$335,$C6-4)="","",INDEX('02_Base_Potencial'!$V$5:$V$335,$C6-4)))</f>
        <v>-0.64276339999999998</v>
      </c>
      <c r="Q6" s="6">
        <f>IF($C6="","",IF(INDEX('02_Base_Potencial'!$W$5:$W$335,$C6-4)="","",INDEX('02_Base_Potencial'!$W$5:$W$335,$C6-4)))</f>
        <v>-0.79360679999999995</v>
      </c>
      <c r="R6" s="6">
        <f>IF($C6="","",IF(INDEX('02_Base_Potencial'!$X$5:$X$335,$C6-4)="","",INDEX('02_Base_Potencial'!$X$5:$X$335,$C6-4)))</f>
        <v>-0.54140679999999997</v>
      </c>
      <c r="S6" s="6">
        <f>IF($C6="","",IF(INDEX('02_Base_Potencial'!$Y$5:$Y$335,$C6-4)="","",INDEX('02_Base_Potencial'!$Y$5:$Y$335,$C6-4)))</f>
        <v>-0.31316539999999998</v>
      </c>
      <c r="T6" s="6">
        <f>IF($C6="","",IF(INDEX('02_Base_Potencial'!$Z$5:$Z$335,$C6-4)="","",INDEX('02_Base_Potencial'!$Z$5:$Z$335,$C6-4)))</f>
        <v>-0.57359640000000001</v>
      </c>
      <c r="U6" s="6" t="str">
        <f>IF($C6="","",IF(INDEX('02_Base_Potencial'!$AA$5:$AA$335,$C6-4)="","",INDEX('02_Base_Potencial'!$AA$5:$AA$335,$C6-4)))</f>
        <v/>
      </c>
      <c r="V6" s="6" t="str">
        <f>IF($C6="","",INDEX('02_Base_Potencial'!$K$5:$K$335,$C6-4)&amp;"")</f>
        <v>Banco Mundial</v>
      </c>
      <c r="W6" s="6" t="str">
        <f>IF($C6="","",COUNT(K6:U6)&amp;"/11")</f>
        <v>10/11</v>
      </c>
    </row>
    <row r="7" spans="1:23">
      <c r="A7" s="6" t="s">
        <v>76</v>
      </c>
      <c r="B7" s="20">
        <v>3</v>
      </c>
      <c r="C7" s="6">
        <f>IF(SUMPRODUCT(('02_Base_Potencial'!$B$5:$B$335=$A7)*('02_Base_Potencial'!$AR$5:$AR$335=$B7)*ROW('02_Base_Potencial'!$A$5:$A$335))=0,"",SUMPRODUCT(('02_Base_Potencial'!$B$5:$B$335=$A7)*('02_Base_Potencial'!$AR$5:$AR$335=$B7)*ROW('02_Base_Potencial'!$A$5:$A$335)))</f>
        <v>8</v>
      </c>
      <c r="D7" s="20" t="str">
        <f>IF($C7="","",INDEX('02_Base_Potencial'!$A$5:$A$335,$C7-4)&amp;"")</f>
        <v>GOV02</v>
      </c>
      <c r="E7" s="6" t="str">
        <f>IF($C7="","",INDEX('02_Base_Potencial'!$D$5:$D$335,$C7-4)&amp;"")</f>
        <v>WGI - Estado de Direito</v>
      </c>
      <c r="F7" s="6" t="str">
        <f>IF($C7="","",INDEX('02_Base_Potencial'!$E$5:$E$335,$C7-4)&amp;"")</f>
        <v>-2.5 a 2.5</v>
      </c>
      <c r="G7" s="20" t="str">
        <f>IF($C7="","",INDEX('02_Base_Potencial'!$F$5:$F$335,$C7-4)&amp;"")</f>
        <v>+</v>
      </c>
      <c r="H7" s="20">
        <f>IF($C7="","",INDEX('02_Base_Potencial'!$G$5:$G$335,$C7-4))</f>
        <v>-2.5</v>
      </c>
      <c r="I7" s="20">
        <f>IF($C7="","",INDEX('02_Base_Potencial'!$H$5:$H$335,$C7-4))</f>
        <v>2.5</v>
      </c>
      <c r="J7" s="20">
        <f>IF($C7="",0,IF(INDEX('02_Base_Potencial'!$J$5:$J$335,$C7-4)="",0,INDEX('02_Base_Potencial'!$J$5:$J$335,$C7-4)))</f>
        <v>1</v>
      </c>
      <c r="K7" s="6">
        <f>IF($C7="","",IF(INDEX('02_Base_Potencial'!$Q$5:$Q$335,$C7-4)="","",INDEX('02_Base_Potencial'!$Q$5:$Q$335,$C7-4)))</f>
        <v>-1.3086297</v>
      </c>
      <c r="L7" s="6">
        <f>IF($C7="","",IF(INDEX('02_Base_Potencial'!$R$5:$R$335,$C7-4)="","",INDEX('02_Base_Potencial'!$R$5:$R$335,$C7-4)))</f>
        <v>-1.3287764</v>
      </c>
      <c r="M7" s="6">
        <f>IF($C7="","",IF(INDEX('02_Base_Potencial'!$S$5:$S$335,$C7-4)="","",INDEX('02_Base_Potencial'!$S$5:$S$335,$C7-4)))</f>
        <v>-1.3317055</v>
      </c>
      <c r="N7" s="6">
        <f>IF($C7="","",IF(INDEX('02_Base_Potencial'!$T$5:$T$335,$C7-4)="","",INDEX('02_Base_Potencial'!$T$5:$T$335,$C7-4)))</f>
        <v>-1.1105522000000001</v>
      </c>
      <c r="O7" s="6">
        <f>IF($C7="","",IF(INDEX('02_Base_Potencial'!$U$5:$U$335,$C7-4)="","",INDEX('02_Base_Potencial'!$U$5:$U$335,$C7-4)))</f>
        <v>-1.0519681999999999</v>
      </c>
      <c r="P7" s="6">
        <f>IF($C7="","",IF(INDEX('02_Base_Potencial'!$V$5:$V$335,$C7-4)="","",INDEX('02_Base_Potencial'!$V$5:$V$335,$C7-4)))</f>
        <v>-0.94750380000000001</v>
      </c>
      <c r="Q7" s="6">
        <f>IF($C7="","",IF(INDEX('02_Base_Potencial'!$W$5:$W$335,$C7-4)="","",INDEX('02_Base_Potencial'!$W$5:$W$335,$C7-4)))</f>
        <v>-1.0980135</v>
      </c>
      <c r="R7" s="6">
        <f>IF($C7="","",IF(INDEX('02_Base_Potencial'!$X$5:$X$335,$C7-4)="","",INDEX('02_Base_Potencial'!$X$5:$X$335,$C7-4)))</f>
        <v>-1.1625439</v>
      </c>
      <c r="S7" s="6">
        <f>IF($C7="","",IF(INDEX('02_Base_Potencial'!$Y$5:$Y$335,$C7-4)="","",INDEX('02_Base_Potencial'!$Y$5:$Y$335,$C7-4)))</f>
        <v>-1.1944432</v>
      </c>
      <c r="T7" s="6">
        <f>IF($C7="","",IF(INDEX('02_Base_Potencial'!$Z$5:$Z$335,$C7-4)="","",INDEX('02_Base_Potencial'!$Z$5:$Z$335,$C7-4)))</f>
        <v>-1.1697408</v>
      </c>
      <c r="U7" s="6" t="str">
        <f>IF($C7="","",IF(INDEX('02_Base_Potencial'!$AA$5:$AA$335,$C7-4)="","",INDEX('02_Base_Potencial'!$AA$5:$AA$335,$C7-4)))</f>
        <v/>
      </c>
      <c r="V7" s="6" t="str">
        <f>IF($C7="","",INDEX('02_Base_Potencial'!$K$5:$K$335,$C7-4)&amp;"")</f>
        <v>Banco Mundial</v>
      </c>
      <c r="W7" s="6" t="str">
        <f>IF($C7="","",COUNT(K7:U7)&amp;"/11")</f>
        <v>10/11</v>
      </c>
    </row>
    <row r="8" spans="1:23">
      <c r="A8" s="6" t="s">
        <v>76</v>
      </c>
      <c r="B8" s="20">
        <v>4</v>
      </c>
      <c r="C8" s="6">
        <f>IF(SUMPRODUCT(('02_Base_Potencial'!$B$5:$B$335=$A8)*('02_Base_Potencial'!$AR$5:$AR$335=$B8)*ROW('02_Base_Potencial'!$A$5:$A$335))=0,"",SUMPRODUCT(('02_Base_Potencial'!$B$5:$B$335=$A8)*('02_Base_Potencial'!$AR$5:$AR$335=$B8)*ROW('02_Base_Potencial'!$A$5:$A$335)))</f>
        <v>9</v>
      </c>
      <c r="D8" s="20" t="str">
        <f>IF($C8="","",INDEX('02_Base_Potencial'!$A$5:$A$335,$C8-4)&amp;"")</f>
        <v>GOV03</v>
      </c>
      <c r="E8" s="6" t="str">
        <f>IF($C8="","",INDEX('02_Base_Potencial'!$D$5:$D$335,$C8-4)&amp;"")</f>
        <v>WGI - Eficiência do Governo</v>
      </c>
      <c r="F8" s="6" t="str">
        <f>IF($C8="","",INDEX('02_Base_Potencial'!$E$5:$E$335,$C8-4)&amp;"")</f>
        <v>-2.5 a 2.5</v>
      </c>
      <c r="G8" s="20" t="str">
        <f>IF($C8="","",INDEX('02_Base_Potencial'!$F$5:$F$335,$C8-4)&amp;"")</f>
        <v>+</v>
      </c>
      <c r="H8" s="20">
        <f>IF($C8="","",INDEX('02_Base_Potencial'!$G$5:$G$335,$C8-4))</f>
        <v>-2.5</v>
      </c>
      <c r="I8" s="20">
        <f>IF($C8="","",INDEX('02_Base_Potencial'!$H$5:$H$335,$C8-4))</f>
        <v>2.5</v>
      </c>
      <c r="J8" s="20">
        <f>IF($C8="",0,IF(INDEX('02_Base_Potencial'!$J$5:$J$335,$C8-4)="",0,INDEX('02_Base_Potencial'!$J$5:$J$335,$C8-4)))</f>
        <v>1</v>
      </c>
      <c r="K8" s="6">
        <f>IF($C8="","",IF(INDEX('02_Base_Potencial'!$Q$5:$Q$335,$C8-4)="","",INDEX('02_Base_Potencial'!$Q$5:$Q$335,$C8-4)))</f>
        <v>-0.93782370000000004</v>
      </c>
      <c r="L8" s="6">
        <f>IF($C8="","",IF(INDEX('02_Base_Potencial'!$R$5:$R$335,$C8-4)="","",INDEX('02_Base_Potencial'!$R$5:$R$335,$C8-4)))</f>
        <v>-0.94938469999999997</v>
      </c>
      <c r="M8" s="6">
        <f>IF($C8="","",IF(INDEX('02_Base_Potencial'!$S$5:$S$335,$C8-4)="","",INDEX('02_Base_Potencial'!$S$5:$S$335,$C8-4)))</f>
        <v>-0.96811570000000002</v>
      </c>
      <c r="N8" s="6">
        <f>IF($C8="","",IF(INDEX('02_Base_Potencial'!$T$5:$T$335,$C8-4)="","",INDEX('02_Base_Potencial'!$T$5:$T$335,$C8-4)))</f>
        <v>-0.9784602</v>
      </c>
      <c r="O8" s="6">
        <f>IF($C8="","",IF(INDEX('02_Base_Potencial'!$U$5:$U$335,$C8-4)="","",INDEX('02_Base_Potencial'!$U$5:$U$335,$C8-4)))</f>
        <v>-0.91169650000000002</v>
      </c>
      <c r="P8" s="6">
        <f>IF($C8="","",IF(INDEX('02_Base_Potencial'!$V$5:$V$335,$C8-4)="","",INDEX('02_Base_Potencial'!$V$5:$V$335,$C8-4)))</f>
        <v>-1.0163603999999999</v>
      </c>
      <c r="Q8" s="6">
        <f>IF($C8="","",IF(INDEX('02_Base_Potencial'!$W$5:$W$335,$C8-4)="","",INDEX('02_Base_Potencial'!$W$5:$W$335,$C8-4)))</f>
        <v>-0.9347008</v>
      </c>
      <c r="R8" s="6">
        <f>IF($C8="","",IF(INDEX('02_Base_Potencial'!$X$5:$X$335,$C8-4)="","",INDEX('02_Base_Potencial'!$X$5:$X$335,$C8-4)))</f>
        <v>-0.83257179999999997</v>
      </c>
      <c r="S8" s="6">
        <f>IF($C8="","",IF(INDEX('02_Base_Potencial'!$Y$5:$Y$335,$C8-4)="","",INDEX('02_Base_Potencial'!$Y$5:$Y$335,$C8-4)))</f>
        <v>-0.82870259999999996</v>
      </c>
      <c r="T8" s="6">
        <f>IF($C8="","",IF(INDEX('02_Base_Potencial'!$Z$5:$Z$335,$C8-4)="","",INDEX('02_Base_Potencial'!$Z$5:$Z$335,$C8-4)))</f>
        <v>-0.78519090000000002</v>
      </c>
      <c r="U8" s="6" t="str">
        <f>IF($C8="","",IF(INDEX('02_Base_Potencial'!$AA$5:$AA$335,$C8-4)="","",INDEX('02_Base_Potencial'!$AA$5:$AA$335,$C8-4)))</f>
        <v/>
      </c>
      <c r="V8" s="6" t="str">
        <f>IF($C8="","",INDEX('02_Base_Potencial'!$K$5:$K$335,$C8-4)&amp;"")</f>
        <v>Banco Mundial</v>
      </c>
      <c r="W8" s="6" t="str">
        <f>IF($C8="","",COUNT(K8:U8)&amp;"/11")</f>
        <v>10/11</v>
      </c>
    </row>
    <row r="9" spans="1:23">
      <c r="A9" s="6" t="s">
        <v>76</v>
      </c>
      <c r="B9" s="20">
        <v>5</v>
      </c>
      <c r="C9" s="6">
        <f>IF(SUMPRODUCT(('02_Base_Potencial'!$B$5:$B$335=$A9)*('02_Base_Potencial'!$AR$5:$AR$335=$B9)*ROW('02_Base_Potencial'!$A$5:$A$335))=0,"",SUMPRODUCT(('02_Base_Potencial'!$B$5:$B$335=$A9)*('02_Base_Potencial'!$AR$5:$AR$335=$B9)*ROW('02_Base_Potencial'!$A$5:$A$335)))</f>
        <v>13</v>
      </c>
      <c r="D9" s="20" t="str">
        <f>IF($C9="","",INDEX('02_Base_Potencial'!$A$5:$A$335,$C9-4)&amp;"")</f>
        <v>GOV05</v>
      </c>
      <c r="E9" s="6" t="str">
        <f>IF($C9="","",INDEX('02_Base_Potencial'!$D$5:$D$335,$C9-4)&amp;"")</f>
        <v>WGI - Qualidade Regulatória</v>
      </c>
      <c r="F9" s="6" t="str">
        <f>IF($C9="","",INDEX('02_Base_Potencial'!$E$5:$E$335,$C9-4)&amp;"")</f>
        <v>-2.5 a 2.5</v>
      </c>
      <c r="G9" s="20" t="str">
        <f>IF($C9="","",INDEX('02_Base_Potencial'!$F$5:$F$335,$C9-4)&amp;"")</f>
        <v>+</v>
      </c>
      <c r="H9" s="20">
        <f>IF($C9="","",INDEX('02_Base_Potencial'!$G$5:$G$335,$C9-4))</f>
        <v>-2.5</v>
      </c>
      <c r="I9" s="20">
        <f>IF($C9="","",INDEX('02_Base_Potencial'!$H$5:$H$335,$C9-4))</f>
        <v>2.5</v>
      </c>
      <c r="J9" s="20">
        <f>IF($C9="",0,IF(INDEX('02_Base_Potencial'!$J$5:$J$335,$C9-4)="",0,INDEX('02_Base_Potencial'!$J$5:$J$335,$C9-4)))</f>
        <v>1</v>
      </c>
      <c r="K9" s="6">
        <f>IF($C9="","",IF(INDEX('02_Base_Potencial'!$Q$5:$Q$335,$C9-4)="","",INDEX('02_Base_Potencial'!$Q$5:$Q$335,$C9-4)))</f>
        <v>-1.0904944999999999</v>
      </c>
      <c r="L9" s="6">
        <f>IF($C9="","",IF(INDEX('02_Base_Potencial'!$R$5:$R$335,$C9-4)="","",INDEX('02_Base_Potencial'!$R$5:$R$335,$C9-4)))</f>
        <v>-1.1804235000000001</v>
      </c>
      <c r="M9" s="6">
        <f>IF($C9="","",IF(INDEX('02_Base_Potencial'!$S$5:$S$335,$C9-4)="","",INDEX('02_Base_Potencial'!$S$5:$S$335,$C9-4)))</f>
        <v>-1.1799885000000001</v>
      </c>
      <c r="N9" s="6">
        <f>IF($C9="","",IF(INDEX('02_Base_Potencial'!$T$5:$T$335,$C9-4)="","",INDEX('02_Base_Potencial'!$T$5:$T$335,$C9-4)))</f>
        <v>-1.0624393000000001</v>
      </c>
      <c r="O9" s="6">
        <f>IF($C9="","",IF(INDEX('02_Base_Potencial'!$U$5:$U$335,$C9-4)="","",INDEX('02_Base_Potencial'!$U$5:$U$335,$C9-4)))</f>
        <v>-0.99608540000000001</v>
      </c>
      <c r="P9" s="6">
        <f>IF($C9="","",IF(INDEX('02_Base_Potencial'!$V$5:$V$335,$C9-4)="","",INDEX('02_Base_Potencial'!$V$5:$V$335,$C9-4)))</f>
        <v>-1.0388818</v>
      </c>
      <c r="Q9" s="6">
        <f>IF($C9="","",IF(INDEX('02_Base_Potencial'!$W$5:$W$335,$C9-4)="","",INDEX('02_Base_Potencial'!$W$5:$W$335,$C9-4)))</f>
        <v>-0.84861839999999999</v>
      </c>
      <c r="R9" s="6">
        <f>IF($C9="","",IF(INDEX('02_Base_Potencial'!$X$5:$X$335,$C9-4)="","",INDEX('02_Base_Potencial'!$X$5:$X$335,$C9-4)))</f>
        <v>-0.86188209999999998</v>
      </c>
      <c r="S9" s="6">
        <f>IF($C9="","",IF(INDEX('02_Base_Potencial'!$Y$5:$Y$335,$C9-4)="","",INDEX('02_Base_Potencial'!$Y$5:$Y$335,$C9-4)))</f>
        <v>-0.90434199999999998</v>
      </c>
      <c r="T9" s="6">
        <f>IF($C9="","",IF(INDEX('02_Base_Potencial'!$Z$5:$Z$335,$C9-4)="","",INDEX('02_Base_Potencial'!$Z$5:$Z$335,$C9-4)))</f>
        <v>-0.77301999999999993</v>
      </c>
      <c r="U9" s="6" t="str">
        <f>IF($C9="","",IF(INDEX('02_Base_Potencial'!$AA$5:$AA$335,$C9-4)="","",INDEX('02_Base_Potencial'!$AA$5:$AA$335,$C9-4)))</f>
        <v/>
      </c>
      <c r="V9" s="6" t="str">
        <f>IF($C9="","",INDEX('02_Base_Potencial'!$K$5:$K$335,$C9-4)&amp;"")</f>
        <v>WGI/Banco Mundial</v>
      </c>
      <c r="W9" s="6" t="str">
        <f>IF($C9="","",COUNT(K9:U9)&amp;"/11")</f>
        <v>10/11</v>
      </c>
    </row>
    <row r="10" spans="1:23">
      <c r="A10" s="6" t="s">
        <v>76</v>
      </c>
      <c r="B10" s="20">
        <v>6</v>
      </c>
      <c r="C10" s="6" t="str">
        <f>IF(SUMPRODUCT(('02_Base_Potencial'!$B$5:$B$335=$A10)*('02_Base_Potencial'!$AR$5:$AR$335=$B10)*ROW('02_Base_Potencial'!$A$5:$A$335))=0,"",SUMPRODUCT(('02_Base_Potencial'!$B$5:$B$335=$A10)*('02_Base_Potencial'!$AR$5:$AR$335=$B10)*ROW('02_Base_Potencial'!$A$5:$A$335)))</f>
        <v/>
      </c>
      <c r="D10" s="20" t="str">
        <f>IF($C10="","",INDEX('02_Base_Potencial'!$A$5:$A$335,$C10-4)&amp;"")</f>
        <v/>
      </c>
      <c r="E10" s="6" t="str">
        <f>IF($C10="","",INDEX('02_Base_Potencial'!$D$5:$D$335,$C10-4)&amp;"")</f>
        <v/>
      </c>
      <c r="F10" s="6" t="str">
        <f>IF($C10="","",INDEX('02_Base_Potencial'!$E$5:$E$335,$C10-4)&amp;"")</f>
        <v/>
      </c>
      <c r="G10" s="20" t="str">
        <f>IF($C10="","",INDEX('02_Base_Potencial'!$F$5:$F$335,$C10-4)&amp;"")</f>
        <v/>
      </c>
      <c r="H10" s="20" t="str">
        <f>IF($C10="","",INDEX('02_Base_Potencial'!$G$5:$G$335,$C10-4))</f>
        <v/>
      </c>
      <c r="I10" s="20" t="str">
        <f>IF($C10="","",INDEX('02_Base_Potencial'!$H$5:$H$335,$C10-4))</f>
        <v/>
      </c>
      <c r="J10" s="20">
        <f>IF($C10="",0,IF(INDEX('02_Base_Potencial'!$J$5:$J$335,$C10-4)="",0,INDEX('02_Base_Potencial'!$J$5:$J$335,$C10-4)))</f>
        <v>0</v>
      </c>
      <c r="K10" s="6" t="str">
        <f>IF($C10="","",IF(INDEX('02_Base_Potencial'!$Q$5:$Q$335,$C10-4)="","",INDEX('02_Base_Potencial'!$Q$5:$Q$335,$C10-4)))</f>
        <v/>
      </c>
      <c r="L10" s="6" t="str">
        <f>IF($C10="","",IF(INDEX('02_Base_Potencial'!$R$5:$R$335,$C10-4)="","",INDEX('02_Base_Potencial'!$R$5:$R$335,$C10-4)))</f>
        <v/>
      </c>
      <c r="M10" s="6" t="str">
        <f>IF($C10="","",IF(INDEX('02_Base_Potencial'!$S$5:$S$335,$C10-4)="","",INDEX('02_Base_Potencial'!$S$5:$S$335,$C10-4)))</f>
        <v/>
      </c>
      <c r="N10" s="6" t="str">
        <f>IF($C10="","",IF(INDEX('02_Base_Potencial'!$T$5:$T$335,$C10-4)="","",INDEX('02_Base_Potencial'!$T$5:$T$335,$C10-4)))</f>
        <v/>
      </c>
      <c r="O10" s="6" t="str">
        <f>IF($C10="","",IF(INDEX('02_Base_Potencial'!$U$5:$U$335,$C10-4)="","",INDEX('02_Base_Potencial'!$U$5:$U$335,$C10-4)))</f>
        <v/>
      </c>
      <c r="P10" s="6" t="str">
        <f>IF($C10="","",IF(INDEX('02_Base_Potencial'!$V$5:$V$335,$C10-4)="","",INDEX('02_Base_Potencial'!$V$5:$V$335,$C10-4)))</f>
        <v/>
      </c>
      <c r="Q10" s="6" t="str">
        <f>IF($C10="","",IF(INDEX('02_Base_Potencial'!$W$5:$W$335,$C10-4)="","",INDEX('02_Base_Potencial'!$W$5:$W$335,$C10-4)))</f>
        <v/>
      </c>
      <c r="R10" s="6" t="str">
        <f>IF($C10="","",IF(INDEX('02_Base_Potencial'!$X$5:$X$335,$C10-4)="","",INDEX('02_Base_Potencial'!$X$5:$X$335,$C10-4)))</f>
        <v/>
      </c>
      <c r="S10" s="6" t="str">
        <f>IF($C10="","",IF(INDEX('02_Base_Potencial'!$Y$5:$Y$335,$C10-4)="","",INDEX('02_Base_Potencial'!$Y$5:$Y$335,$C10-4)))</f>
        <v/>
      </c>
      <c r="T10" s="6" t="str">
        <f>IF($C10="","",IF(INDEX('02_Base_Potencial'!$Z$5:$Z$335,$C10-4)="","",INDEX('02_Base_Potencial'!$Z$5:$Z$335,$C10-4)))</f>
        <v/>
      </c>
      <c r="U10" s="6" t="str">
        <f>IF($C10="","",IF(INDEX('02_Base_Potencial'!$AA$5:$AA$335,$C10-4)="","",INDEX('02_Base_Potencial'!$AA$5:$AA$335,$C10-4)))</f>
        <v/>
      </c>
      <c r="V10" s="6" t="str">
        <f>IF($C10="","",INDEX('02_Base_Potencial'!$K$5:$K$335,$C10-4)&amp;"")</f>
        <v/>
      </c>
      <c r="W10" s="6" t="str">
        <f>IF($C10="","",COUNT(K10:U10)&amp;"/11")</f>
        <v/>
      </c>
    </row>
    <row r="11" spans="1:23">
      <c r="A11" s="6" t="s">
        <v>76</v>
      </c>
      <c r="B11" s="20">
        <v>7</v>
      </c>
      <c r="C11" s="6" t="str">
        <f>IF(SUMPRODUCT(('02_Base_Potencial'!$B$5:$B$335=$A11)*('02_Base_Potencial'!$AR$5:$AR$335=$B11)*ROW('02_Base_Potencial'!$A$5:$A$335))=0,"",SUMPRODUCT(('02_Base_Potencial'!$B$5:$B$335=$A11)*('02_Base_Potencial'!$AR$5:$AR$335=$B11)*ROW('02_Base_Potencial'!$A$5:$A$335)))</f>
        <v/>
      </c>
      <c r="D11" s="20" t="str">
        <f>IF($C11="","",INDEX('02_Base_Potencial'!$A$5:$A$335,$C11-4)&amp;"")</f>
        <v/>
      </c>
      <c r="E11" s="6" t="str">
        <f>IF($C11="","",INDEX('02_Base_Potencial'!$D$5:$D$335,$C11-4)&amp;"")</f>
        <v/>
      </c>
      <c r="F11" s="6" t="str">
        <f>IF($C11="","",INDEX('02_Base_Potencial'!$E$5:$E$335,$C11-4)&amp;"")</f>
        <v/>
      </c>
      <c r="G11" s="20" t="str">
        <f>IF($C11="","",INDEX('02_Base_Potencial'!$F$5:$F$335,$C11-4)&amp;"")</f>
        <v/>
      </c>
      <c r="H11" s="20" t="str">
        <f>IF($C11="","",INDEX('02_Base_Potencial'!$G$5:$G$335,$C11-4))</f>
        <v/>
      </c>
      <c r="I11" s="20" t="str">
        <f>IF($C11="","",INDEX('02_Base_Potencial'!$H$5:$H$335,$C11-4))</f>
        <v/>
      </c>
      <c r="J11" s="20">
        <f>IF($C11="",0,IF(INDEX('02_Base_Potencial'!$J$5:$J$335,$C11-4)="",0,INDEX('02_Base_Potencial'!$J$5:$J$335,$C11-4)))</f>
        <v>0</v>
      </c>
      <c r="K11" s="6" t="str">
        <f>IF($C11="","",IF(INDEX('02_Base_Potencial'!$Q$5:$Q$335,$C11-4)="","",INDEX('02_Base_Potencial'!$Q$5:$Q$335,$C11-4)))</f>
        <v/>
      </c>
      <c r="L11" s="6" t="str">
        <f>IF($C11="","",IF(INDEX('02_Base_Potencial'!$R$5:$R$335,$C11-4)="","",INDEX('02_Base_Potencial'!$R$5:$R$335,$C11-4)))</f>
        <v/>
      </c>
      <c r="M11" s="6" t="str">
        <f>IF($C11="","",IF(INDEX('02_Base_Potencial'!$S$5:$S$335,$C11-4)="","",INDEX('02_Base_Potencial'!$S$5:$S$335,$C11-4)))</f>
        <v/>
      </c>
      <c r="N11" s="6" t="str">
        <f>IF($C11="","",IF(INDEX('02_Base_Potencial'!$T$5:$T$335,$C11-4)="","",INDEX('02_Base_Potencial'!$T$5:$T$335,$C11-4)))</f>
        <v/>
      </c>
      <c r="O11" s="6" t="str">
        <f>IF($C11="","",IF(INDEX('02_Base_Potencial'!$U$5:$U$335,$C11-4)="","",INDEX('02_Base_Potencial'!$U$5:$U$335,$C11-4)))</f>
        <v/>
      </c>
      <c r="P11" s="6" t="str">
        <f>IF($C11="","",IF(INDEX('02_Base_Potencial'!$V$5:$V$335,$C11-4)="","",INDEX('02_Base_Potencial'!$V$5:$V$335,$C11-4)))</f>
        <v/>
      </c>
      <c r="Q11" s="6" t="str">
        <f>IF($C11="","",IF(INDEX('02_Base_Potencial'!$W$5:$W$335,$C11-4)="","",INDEX('02_Base_Potencial'!$W$5:$W$335,$C11-4)))</f>
        <v/>
      </c>
      <c r="R11" s="6" t="str">
        <f>IF($C11="","",IF(INDEX('02_Base_Potencial'!$X$5:$X$335,$C11-4)="","",INDEX('02_Base_Potencial'!$X$5:$X$335,$C11-4)))</f>
        <v/>
      </c>
      <c r="S11" s="6" t="str">
        <f>IF($C11="","",IF(INDEX('02_Base_Potencial'!$Y$5:$Y$335,$C11-4)="","",INDEX('02_Base_Potencial'!$Y$5:$Y$335,$C11-4)))</f>
        <v/>
      </c>
      <c r="T11" s="6" t="str">
        <f>IF($C11="","",IF(INDEX('02_Base_Potencial'!$Z$5:$Z$335,$C11-4)="","",INDEX('02_Base_Potencial'!$Z$5:$Z$335,$C11-4)))</f>
        <v/>
      </c>
      <c r="U11" s="6" t="str">
        <f>IF($C11="","",IF(INDEX('02_Base_Potencial'!$AA$5:$AA$335,$C11-4)="","",INDEX('02_Base_Potencial'!$AA$5:$AA$335,$C11-4)))</f>
        <v/>
      </c>
      <c r="V11" s="6" t="str">
        <f>IF($C11="","",INDEX('02_Base_Potencial'!$K$5:$K$335,$C11-4)&amp;"")</f>
        <v/>
      </c>
      <c r="W11" s="6" t="str">
        <f>IF($C11="","",COUNT(K11:U11)&amp;"/11")</f>
        <v/>
      </c>
    </row>
    <row r="12" spans="1:23">
      <c r="A12" s="6" t="s">
        <v>76</v>
      </c>
      <c r="B12" s="20">
        <v>8</v>
      </c>
      <c r="C12" s="6" t="str">
        <f>IF(SUMPRODUCT(('02_Base_Potencial'!$B$5:$B$335=$A12)*('02_Base_Potencial'!$AR$5:$AR$335=$B12)*ROW('02_Base_Potencial'!$A$5:$A$335))=0,"",SUMPRODUCT(('02_Base_Potencial'!$B$5:$B$335=$A12)*('02_Base_Potencial'!$AR$5:$AR$335=$B12)*ROW('02_Base_Potencial'!$A$5:$A$335)))</f>
        <v/>
      </c>
      <c r="D12" s="20" t="str">
        <f>IF($C12="","",INDEX('02_Base_Potencial'!$A$5:$A$335,$C12-4)&amp;"")</f>
        <v/>
      </c>
      <c r="E12" s="6" t="str">
        <f>IF($C12="","",INDEX('02_Base_Potencial'!$D$5:$D$335,$C12-4)&amp;"")</f>
        <v/>
      </c>
      <c r="F12" s="6" t="str">
        <f>IF($C12="","",INDEX('02_Base_Potencial'!$E$5:$E$335,$C12-4)&amp;"")</f>
        <v/>
      </c>
      <c r="G12" s="20" t="str">
        <f>IF($C12="","",INDEX('02_Base_Potencial'!$F$5:$F$335,$C12-4)&amp;"")</f>
        <v/>
      </c>
      <c r="H12" s="20" t="str">
        <f>IF($C12="","",INDEX('02_Base_Potencial'!$G$5:$G$335,$C12-4))</f>
        <v/>
      </c>
      <c r="I12" s="20" t="str">
        <f>IF($C12="","",INDEX('02_Base_Potencial'!$H$5:$H$335,$C12-4))</f>
        <v/>
      </c>
      <c r="J12" s="20">
        <f>IF($C12="",0,IF(INDEX('02_Base_Potencial'!$J$5:$J$335,$C12-4)="",0,INDEX('02_Base_Potencial'!$J$5:$J$335,$C12-4)))</f>
        <v>0</v>
      </c>
      <c r="K12" s="6" t="str">
        <f>IF($C12="","",IF(INDEX('02_Base_Potencial'!$Q$5:$Q$335,$C12-4)="","",INDEX('02_Base_Potencial'!$Q$5:$Q$335,$C12-4)))</f>
        <v/>
      </c>
      <c r="L12" s="6" t="str">
        <f>IF($C12="","",IF(INDEX('02_Base_Potencial'!$R$5:$R$335,$C12-4)="","",INDEX('02_Base_Potencial'!$R$5:$R$335,$C12-4)))</f>
        <v/>
      </c>
      <c r="M12" s="6" t="str">
        <f>IF($C12="","",IF(INDEX('02_Base_Potencial'!$S$5:$S$335,$C12-4)="","",INDEX('02_Base_Potencial'!$S$5:$S$335,$C12-4)))</f>
        <v/>
      </c>
      <c r="N12" s="6" t="str">
        <f>IF($C12="","",IF(INDEX('02_Base_Potencial'!$T$5:$T$335,$C12-4)="","",INDEX('02_Base_Potencial'!$T$5:$T$335,$C12-4)))</f>
        <v/>
      </c>
      <c r="O12" s="6" t="str">
        <f>IF($C12="","",IF(INDEX('02_Base_Potencial'!$U$5:$U$335,$C12-4)="","",INDEX('02_Base_Potencial'!$U$5:$U$335,$C12-4)))</f>
        <v/>
      </c>
      <c r="P12" s="6" t="str">
        <f>IF($C12="","",IF(INDEX('02_Base_Potencial'!$V$5:$V$335,$C12-4)="","",INDEX('02_Base_Potencial'!$V$5:$V$335,$C12-4)))</f>
        <v/>
      </c>
      <c r="Q12" s="6" t="str">
        <f>IF($C12="","",IF(INDEX('02_Base_Potencial'!$W$5:$W$335,$C12-4)="","",INDEX('02_Base_Potencial'!$W$5:$W$335,$C12-4)))</f>
        <v/>
      </c>
      <c r="R12" s="6" t="str">
        <f>IF($C12="","",IF(INDEX('02_Base_Potencial'!$X$5:$X$335,$C12-4)="","",INDEX('02_Base_Potencial'!$X$5:$X$335,$C12-4)))</f>
        <v/>
      </c>
      <c r="S12" s="6" t="str">
        <f>IF($C12="","",IF(INDEX('02_Base_Potencial'!$Y$5:$Y$335,$C12-4)="","",INDEX('02_Base_Potencial'!$Y$5:$Y$335,$C12-4)))</f>
        <v/>
      </c>
      <c r="T12" s="6" t="str">
        <f>IF($C12="","",IF(INDEX('02_Base_Potencial'!$Z$5:$Z$335,$C12-4)="","",INDEX('02_Base_Potencial'!$Z$5:$Z$335,$C12-4)))</f>
        <v/>
      </c>
      <c r="U12" s="6" t="str">
        <f>IF($C12="","",IF(INDEX('02_Base_Potencial'!$AA$5:$AA$335,$C12-4)="","",INDEX('02_Base_Potencial'!$AA$5:$AA$335,$C12-4)))</f>
        <v/>
      </c>
      <c r="V12" s="6" t="str">
        <f>IF($C12="","",INDEX('02_Base_Potencial'!$K$5:$K$335,$C12-4)&amp;"")</f>
        <v/>
      </c>
      <c r="W12" s="6" t="str">
        <f>IF($C12="","",COUNT(K12:U12)&amp;"/11")</f>
        <v/>
      </c>
    </row>
    <row r="13" spans="1:23">
      <c r="A13" s="6" t="s">
        <v>76</v>
      </c>
      <c r="B13" s="20">
        <v>9</v>
      </c>
      <c r="C13" s="6" t="str">
        <f>IF(SUMPRODUCT(('02_Base_Potencial'!$B$5:$B$335=$A13)*('02_Base_Potencial'!$AR$5:$AR$335=$B13)*ROW('02_Base_Potencial'!$A$5:$A$335))=0,"",SUMPRODUCT(('02_Base_Potencial'!$B$5:$B$335=$A13)*('02_Base_Potencial'!$AR$5:$AR$335=$B13)*ROW('02_Base_Potencial'!$A$5:$A$335)))</f>
        <v/>
      </c>
      <c r="D13" s="20" t="str">
        <f>IF($C13="","",INDEX('02_Base_Potencial'!$A$5:$A$335,$C13-4)&amp;"")</f>
        <v/>
      </c>
      <c r="E13" s="6" t="str">
        <f>IF($C13="","",INDEX('02_Base_Potencial'!$D$5:$D$335,$C13-4)&amp;"")</f>
        <v/>
      </c>
      <c r="F13" s="6" t="str">
        <f>IF($C13="","",INDEX('02_Base_Potencial'!$E$5:$E$335,$C13-4)&amp;"")</f>
        <v/>
      </c>
      <c r="G13" s="20" t="str">
        <f>IF($C13="","",INDEX('02_Base_Potencial'!$F$5:$F$335,$C13-4)&amp;"")</f>
        <v/>
      </c>
      <c r="H13" s="20" t="str">
        <f>IF($C13="","",INDEX('02_Base_Potencial'!$G$5:$G$335,$C13-4))</f>
        <v/>
      </c>
      <c r="I13" s="20" t="str">
        <f>IF($C13="","",INDEX('02_Base_Potencial'!$H$5:$H$335,$C13-4))</f>
        <v/>
      </c>
      <c r="J13" s="20">
        <f>IF($C13="",0,IF(INDEX('02_Base_Potencial'!$J$5:$J$335,$C13-4)="",0,INDEX('02_Base_Potencial'!$J$5:$J$335,$C13-4)))</f>
        <v>0</v>
      </c>
      <c r="K13" s="6" t="str">
        <f>IF($C13="","",IF(INDEX('02_Base_Potencial'!$Q$5:$Q$335,$C13-4)="","",INDEX('02_Base_Potencial'!$Q$5:$Q$335,$C13-4)))</f>
        <v/>
      </c>
      <c r="L13" s="6" t="str">
        <f>IF($C13="","",IF(INDEX('02_Base_Potencial'!$R$5:$R$335,$C13-4)="","",INDEX('02_Base_Potencial'!$R$5:$R$335,$C13-4)))</f>
        <v/>
      </c>
      <c r="M13" s="6" t="str">
        <f>IF($C13="","",IF(INDEX('02_Base_Potencial'!$S$5:$S$335,$C13-4)="","",INDEX('02_Base_Potencial'!$S$5:$S$335,$C13-4)))</f>
        <v/>
      </c>
      <c r="N13" s="6" t="str">
        <f>IF($C13="","",IF(INDEX('02_Base_Potencial'!$T$5:$T$335,$C13-4)="","",INDEX('02_Base_Potencial'!$T$5:$T$335,$C13-4)))</f>
        <v/>
      </c>
      <c r="O13" s="6" t="str">
        <f>IF($C13="","",IF(INDEX('02_Base_Potencial'!$U$5:$U$335,$C13-4)="","",INDEX('02_Base_Potencial'!$U$5:$U$335,$C13-4)))</f>
        <v/>
      </c>
      <c r="P13" s="6" t="str">
        <f>IF($C13="","",IF(INDEX('02_Base_Potencial'!$V$5:$V$335,$C13-4)="","",INDEX('02_Base_Potencial'!$V$5:$V$335,$C13-4)))</f>
        <v/>
      </c>
      <c r="Q13" s="6" t="str">
        <f>IF($C13="","",IF(INDEX('02_Base_Potencial'!$W$5:$W$335,$C13-4)="","",INDEX('02_Base_Potencial'!$W$5:$W$335,$C13-4)))</f>
        <v/>
      </c>
      <c r="R13" s="6" t="str">
        <f>IF($C13="","",IF(INDEX('02_Base_Potencial'!$X$5:$X$335,$C13-4)="","",INDEX('02_Base_Potencial'!$X$5:$X$335,$C13-4)))</f>
        <v/>
      </c>
      <c r="S13" s="6" t="str">
        <f>IF($C13="","",IF(INDEX('02_Base_Potencial'!$Y$5:$Y$335,$C13-4)="","",INDEX('02_Base_Potencial'!$Y$5:$Y$335,$C13-4)))</f>
        <v/>
      </c>
      <c r="T13" s="6" t="str">
        <f>IF($C13="","",IF(INDEX('02_Base_Potencial'!$Z$5:$Z$335,$C13-4)="","",INDEX('02_Base_Potencial'!$Z$5:$Z$335,$C13-4)))</f>
        <v/>
      </c>
      <c r="U13" s="6" t="str">
        <f>IF($C13="","",IF(INDEX('02_Base_Potencial'!$AA$5:$AA$335,$C13-4)="","",INDEX('02_Base_Potencial'!$AA$5:$AA$335,$C13-4)))</f>
        <v/>
      </c>
      <c r="V13" s="6" t="str">
        <f>IF($C13="","",INDEX('02_Base_Potencial'!$K$5:$K$335,$C13-4)&amp;"")</f>
        <v/>
      </c>
      <c r="W13" s="6" t="str">
        <f>IF($C13="","",COUNT(K13:U13)&amp;"/11")</f>
        <v/>
      </c>
    </row>
    <row r="14" spans="1:23">
      <c r="A14" s="6" t="s">
        <v>76</v>
      </c>
      <c r="B14" s="20">
        <v>10</v>
      </c>
      <c r="C14" s="6" t="str">
        <f>IF(SUMPRODUCT(('02_Base_Potencial'!$B$5:$B$335=$A14)*('02_Base_Potencial'!$AR$5:$AR$335=$B14)*ROW('02_Base_Potencial'!$A$5:$A$335))=0,"",SUMPRODUCT(('02_Base_Potencial'!$B$5:$B$335=$A14)*('02_Base_Potencial'!$AR$5:$AR$335=$B14)*ROW('02_Base_Potencial'!$A$5:$A$335)))</f>
        <v/>
      </c>
      <c r="D14" s="20" t="str">
        <f>IF($C14="","",INDEX('02_Base_Potencial'!$A$5:$A$335,$C14-4)&amp;"")</f>
        <v/>
      </c>
      <c r="E14" s="6" t="str">
        <f>IF($C14="","",INDEX('02_Base_Potencial'!$D$5:$D$335,$C14-4)&amp;"")</f>
        <v/>
      </c>
      <c r="F14" s="6" t="str">
        <f>IF($C14="","",INDEX('02_Base_Potencial'!$E$5:$E$335,$C14-4)&amp;"")</f>
        <v/>
      </c>
      <c r="G14" s="20" t="str">
        <f>IF($C14="","",INDEX('02_Base_Potencial'!$F$5:$F$335,$C14-4)&amp;"")</f>
        <v/>
      </c>
      <c r="H14" s="20" t="str">
        <f>IF($C14="","",INDEX('02_Base_Potencial'!$G$5:$G$335,$C14-4))</f>
        <v/>
      </c>
      <c r="I14" s="20" t="str">
        <f>IF($C14="","",INDEX('02_Base_Potencial'!$H$5:$H$335,$C14-4))</f>
        <v/>
      </c>
      <c r="J14" s="20">
        <f>IF($C14="",0,IF(INDEX('02_Base_Potencial'!$J$5:$J$335,$C14-4)="",0,INDEX('02_Base_Potencial'!$J$5:$J$335,$C14-4)))</f>
        <v>0</v>
      </c>
      <c r="K14" s="6" t="str">
        <f>IF($C14="","",IF(INDEX('02_Base_Potencial'!$Q$5:$Q$335,$C14-4)="","",INDEX('02_Base_Potencial'!$Q$5:$Q$335,$C14-4)))</f>
        <v/>
      </c>
      <c r="L14" s="6" t="str">
        <f>IF($C14="","",IF(INDEX('02_Base_Potencial'!$R$5:$R$335,$C14-4)="","",INDEX('02_Base_Potencial'!$R$5:$R$335,$C14-4)))</f>
        <v/>
      </c>
      <c r="M14" s="6" t="str">
        <f>IF($C14="","",IF(INDEX('02_Base_Potencial'!$S$5:$S$335,$C14-4)="","",INDEX('02_Base_Potencial'!$S$5:$S$335,$C14-4)))</f>
        <v/>
      </c>
      <c r="N14" s="6" t="str">
        <f>IF($C14="","",IF(INDEX('02_Base_Potencial'!$T$5:$T$335,$C14-4)="","",INDEX('02_Base_Potencial'!$T$5:$T$335,$C14-4)))</f>
        <v/>
      </c>
      <c r="O14" s="6" t="str">
        <f>IF($C14="","",IF(INDEX('02_Base_Potencial'!$U$5:$U$335,$C14-4)="","",INDEX('02_Base_Potencial'!$U$5:$U$335,$C14-4)))</f>
        <v/>
      </c>
      <c r="P14" s="6" t="str">
        <f>IF($C14="","",IF(INDEX('02_Base_Potencial'!$V$5:$V$335,$C14-4)="","",INDEX('02_Base_Potencial'!$V$5:$V$335,$C14-4)))</f>
        <v/>
      </c>
      <c r="Q14" s="6" t="str">
        <f>IF($C14="","",IF(INDEX('02_Base_Potencial'!$W$5:$W$335,$C14-4)="","",INDEX('02_Base_Potencial'!$W$5:$W$335,$C14-4)))</f>
        <v/>
      </c>
      <c r="R14" s="6" t="str">
        <f>IF($C14="","",IF(INDEX('02_Base_Potencial'!$X$5:$X$335,$C14-4)="","",INDEX('02_Base_Potencial'!$X$5:$X$335,$C14-4)))</f>
        <v/>
      </c>
      <c r="S14" s="6" t="str">
        <f>IF($C14="","",IF(INDEX('02_Base_Potencial'!$Y$5:$Y$335,$C14-4)="","",INDEX('02_Base_Potencial'!$Y$5:$Y$335,$C14-4)))</f>
        <v/>
      </c>
      <c r="T14" s="6" t="str">
        <f>IF($C14="","",IF(INDEX('02_Base_Potencial'!$Z$5:$Z$335,$C14-4)="","",INDEX('02_Base_Potencial'!$Z$5:$Z$335,$C14-4)))</f>
        <v/>
      </c>
      <c r="U14" s="6" t="str">
        <f>IF($C14="","",IF(INDEX('02_Base_Potencial'!$AA$5:$AA$335,$C14-4)="","",INDEX('02_Base_Potencial'!$AA$5:$AA$335,$C14-4)))</f>
        <v/>
      </c>
      <c r="V14" s="6" t="str">
        <f>IF($C14="","",INDEX('02_Base_Potencial'!$K$5:$K$335,$C14-4)&amp;"")</f>
        <v/>
      </c>
      <c r="W14" s="6" t="str">
        <f>IF($C14="","",COUNT(K14:U14)&amp;"/11")</f>
        <v/>
      </c>
    </row>
    <row r="15" spans="1:23">
      <c r="A15" s="27" t="s">
        <v>77</v>
      </c>
      <c r="B15" s="25">
        <v>1</v>
      </c>
      <c r="C15" s="27">
        <f>IF(SUMPRODUCT(('02_Base_Potencial'!$B$5:$B$335=$A15)*('02_Base_Potencial'!$AR$5:$AR$335=$B15)*ROW('02_Base_Potencial'!$A$5:$A$335))=0,"",SUMPRODUCT(('02_Base_Potencial'!$B$5:$B$335=$A15)*('02_Base_Potencial'!$AR$5:$AR$335=$B15)*ROW('02_Base_Potencial'!$A$5:$A$335)))</f>
        <v>33</v>
      </c>
      <c r="D15" s="25" t="str">
        <f>IF($C15="","",INDEX('02_Base_Potencial'!$A$5:$A$335,$C15-4)&amp;"")</f>
        <v>MAC001</v>
      </c>
      <c r="E15" s="27" t="str">
        <f>IF($C15="","",INDEX('02_Base_Potencial'!$D$5:$D$335,$C15-4)&amp;"")</f>
        <v>Taxa de Crescimento do PIB</v>
      </c>
      <c r="F15" s="27" t="str">
        <f>IF($C15="","",INDEX('02_Base_Potencial'!$E$5:$E$335,$C15-4)&amp;"")</f>
        <v>%</v>
      </c>
      <c r="G15" s="25" t="str">
        <f>IF($C15="","",INDEX('02_Base_Potencial'!$F$5:$F$335,$C15-4)&amp;"")</f>
        <v>+</v>
      </c>
      <c r="H15" s="25">
        <f>IF($C15="","",INDEX('02_Base_Potencial'!$G$5:$G$335,$C15-4))</f>
        <v>-10</v>
      </c>
      <c r="I15" s="25">
        <f>IF($C15="","",INDEX('02_Base_Potencial'!$H$5:$H$335,$C15-4))</f>
        <v>15</v>
      </c>
      <c r="J15" s="25">
        <f>IF($C15="",0,IF(INDEX('02_Base_Potencial'!$J$5:$J$335,$C15-4)="",0,INDEX('02_Base_Potencial'!$J$5:$J$335,$C15-4)))</f>
        <v>1</v>
      </c>
      <c r="K15" s="27">
        <f>IF($C15="","",IF(INDEX('02_Base_Potencial'!$Q$5:$Q$335,$C15-4)="","",INDEX('02_Base_Potencial'!$Q$5:$Q$335,$C15-4)))</f>
        <v>0.76317771091500197</v>
      </c>
      <c r="L15" s="27">
        <f>IF($C15="","",IF(INDEX('02_Base_Potencial'!$R$5:$R$335,$C15-4)="","",INDEX('02_Base_Potencial'!$R$5:$R$335,$C15-4)))</f>
        <v>-0.2330769548052842</v>
      </c>
      <c r="M15" s="27">
        <f>IF($C15="","",IF(INDEX('02_Base_Potencial'!$S$5:$S$335,$C15-4)="","",INDEX('02_Base_Potencial'!$S$5:$S$335,$C15-4)))</f>
        <v>-0.16468865696107571</v>
      </c>
      <c r="N15" s="27">
        <f>IF($C15="","",IF(INDEX('02_Base_Potencial'!$T$5:$T$335,$C15-4)="","",INDEX('02_Base_Potencial'!$T$5:$T$335,$C15-4)))</f>
        <v>-0.5066975436161556</v>
      </c>
      <c r="O15" s="27">
        <f>IF($C15="","",IF(INDEX('02_Base_Potencial'!$U$5:$U$335,$C15-4)="","",INDEX('02_Base_Potencial'!$U$5:$U$335,$C15-4)))</f>
        <v>-1.05523414494337</v>
      </c>
      <c r="P15" s="27">
        <f>IF($C15="","",IF(INDEX('02_Base_Potencial'!$V$5:$V$335,$C15-4)="","",INDEX('02_Base_Potencial'!$V$5:$V$335,$C15-4)))</f>
        <v>-5.2734912830000704</v>
      </c>
      <c r="Q15" s="27">
        <f>IF($C15="","",IF(INDEX('02_Base_Potencial'!$W$5:$W$335,$C15-4)="","",INDEX('02_Base_Potencial'!$W$5:$W$335,$C15-4)))</f>
        <v>1.0905836994481459</v>
      </c>
      <c r="R15" s="27">
        <f>IF($C15="","",IF(INDEX('02_Base_Potencial'!$X$5:$X$335,$C15-4)="","",INDEX('02_Base_Potencial'!$X$5:$X$335,$C15-4)))</f>
        <v>3.5574920667566658</v>
      </c>
      <c r="S15" s="27">
        <f>IF($C15="","",IF(INDEX('02_Base_Potencial'!$Y$5:$Y$335,$C15-4)="","",INDEX('02_Base_Potencial'!$Y$5:$Y$335,$C15-4)))</f>
        <v>1.3201658708103139</v>
      </c>
      <c r="T15" s="27">
        <f>IF($C15="","",IF(INDEX('02_Base_Potencial'!$Z$5:$Z$335,$C15-4)="","",INDEX('02_Base_Potencial'!$Z$5:$Z$335,$C15-4)))</f>
        <v>4.9526786042595603</v>
      </c>
      <c r="U15" s="27">
        <f>IF($C15="","",IF(INDEX('02_Base_Potencial'!$AA$5:$AA$335,$C15-4)="","",INDEX('02_Base_Potencial'!$AA$5:$AA$335,$C15-4)))</f>
        <v>3.133535424500081</v>
      </c>
      <c r="V15" s="6" t="str">
        <f>IF($C15="","",INDEX('02_Base_Potencial'!$K$5:$K$335,$C15-4)&amp;"")</f>
        <v>INE/MEP</v>
      </c>
      <c r="W15" s="6" t="str">
        <f>IF($C15="","",COUNT(K15:U15)&amp;"/11")</f>
        <v>11/11</v>
      </c>
    </row>
    <row r="16" spans="1:23">
      <c r="A16" s="27" t="s">
        <v>77</v>
      </c>
      <c r="B16" s="25">
        <v>2</v>
      </c>
      <c r="C16" s="27">
        <f>IF(SUMPRODUCT(('02_Base_Potencial'!$B$5:$B$335=$A16)*('02_Base_Potencial'!$AR$5:$AR$335=$B16)*ROW('02_Base_Potencial'!$A$5:$A$335))=0,"",SUMPRODUCT(('02_Base_Potencial'!$B$5:$B$335=$A16)*('02_Base_Potencial'!$AR$5:$AR$335=$B16)*ROW('02_Base_Potencial'!$A$5:$A$335)))</f>
        <v>34</v>
      </c>
      <c r="D16" s="25" t="str">
        <f>IF($C16="","",INDEX('02_Base_Potencial'!$A$5:$A$335,$C16-4)&amp;"")</f>
        <v>MAC002</v>
      </c>
      <c r="E16" s="27" t="str">
        <f>IF($C16="","",INDEX('02_Base_Potencial'!$D$5:$D$335,$C16-4)&amp;"")</f>
        <v>PIB per Capita (USD)</v>
      </c>
      <c r="F16" s="27" t="str">
        <f>IF($C16="","",INDEX('02_Base_Potencial'!$E$5:$E$335,$C16-4)&amp;"")</f>
        <v>USD</v>
      </c>
      <c r="G16" s="25" t="str">
        <f>IF($C16="","",INDEX('02_Base_Potencial'!$F$5:$F$335,$C16-4)&amp;"")</f>
        <v>+</v>
      </c>
      <c r="H16" s="25">
        <f>IF($C16="","",INDEX('02_Base_Potencial'!$G$5:$G$335,$C16-4))</f>
        <v>500</v>
      </c>
      <c r="I16" s="25">
        <f>IF($C16="","",INDEX('02_Base_Potencial'!$H$5:$H$335,$C16-4))</f>
        <v>15000</v>
      </c>
      <c r="J16" s="25">
        <f>IF($C16="",0,IF(INDEX('02_Base_Potencial'!$J$5:$J$335,$C16-4)="",0,INDEX('02_Base_Potencial'!$J$5:$J$335,$C16-4)))</f>
        <v>1</v>
      </c>
      <c r="K16" s="27">
        <f>IF($C16="","",IF(INDEX('02_Base_Potencial'!$Q$5:$Q$335,$C16-4)="","",INDEX('02_Base_Potencial'!$Q$5:$Q$335,$C16-4)))</f>
        <v>3641.7289392025282</v>
      </c>
      <c r="L16" s="27">
        <f>IF($C16="","",IF(INDEX('02_Base_Potencial'!$R$5:$R$335,$C16-4)="","",INDEX('02_Base_Potencial'!$R$5:$R$335,$C16-4)))</f>
        <v>2082.3734359470459</v>
      </c>
      <c r="M16" s="27">
        <f>IF($C16="","",IF(INDEX('02_Base_Potencial'!$S$5:$S$335,$C16-4)="","",INDEX('02_Base_Potencial'!$S$5:$S$335,$C16-4)))</f>
        <v>2832.1499795051191</v>
      </c>
      <c r="N16" s="27">
        <f>IF($C16="","",IF(INDEX('02_Base_Potencial'!$T$5:$T$335,$C16-4)="","",INDEX('02_Base_Potencial'!$T$5:$T$335,$C16-4)))</f>
        <v>2891.8303237874661</v>
      </c>
      <c r="O16" s="27">
        <f>IF($C16="","",IF(INDEX('02_Base_Potencial'!$U$5:$U$335,$C16-4)="","",INDEX('02_Base_Potencial'!$U$5:$U$335,$C16-4)))</f>
        <v>2507.8680721364221</v>
      </c>
      <c r="P16" s="27">
        <f>IF($C16="","",IF(INDEX('02_Base_Potencial'!$V$5:$V$335,$C16-4)="","",INDEX('02_Base_Potencial'!$V$5:$V$335,$C16-4)))</f>
        <v>1749.179483848204</v>
      </c>
      <c r="Q16" s="27">
        <f>IF($C16="","",IF(INDEX('02_Base_Potencial'!$W$5:$W$335,$C16-4)="","",INDEX('02_Base_Potencial'!$W$5:$W$335,$C16-4)))</f>
        <v>2266.9683486158378</v>
      </c>
      <c r="R16" s="27">
        <f>IF($C16="","",IF(INDEX('02_Base_Potencial'!$X$5:$X$335,$C16-4)="","",INDEX('02_Base_Potencial'!$X$5:$X$335,$C16-4)))</f>
        <v>3598.5366907734119</v>
      </c>
      <c r="S16" s="27">
        <f>IF($C16="","",IF(INDEX('02_Base_Potencial'!$Y$5:$Y$335,$C16-4)="","",INDEX('02_Base_Potencial'!$Y$5:$Y$335,$C16-4)))</f>
        <v>2885.5134913080642</v>
      </c>
      <c r="T16" s="27">
        <f>IF($C16="","",IF(INDEX('02_Base_Potencial'!$Z$5:$Z$335,$C16-4)="","",INDEX('02_Base_Potencial'!$Z$5:$Z$335,$C16-4)))</f>
        <v>2720.8190066971538</v>
      </c>
      <c r="U16" s="27">
        <f>IF($C16="","",IF(INDEX('02_Base_Potencial'!$AA$5:$AA$335,$C16-4)="","",INDEX('02_Base_Potencial'!$AA$5:$AA$335,$C16-4)))</f>
        <v>3129.4766233106252</v>
      </c>
      <c r="V16" s="6" t="str">
        <f>IF($C16="","",INDEX('02_Base_Potencial'!$K$5:$K$335,$C16-4)&amp;"")</f>
        <v>INE/MEP</v>
      </c>
      <c r="W16" s="6" t="str">
        <f>IF($C16="","",COUNT(K16:U16)&amp;"/11")</f>
        <v>11/11</v>
      </c>
    </row>
    <row r="17" spans="1:23">
      <c r="A17" s="27" t="s">
        <v>77</v>
      </c>
      <c r="B17" s="25">
        <v>3</v>
      </c>
      <c r="C17" s="27">
        <f>IF(SUMPRODUCT(('02_Base_Potencial'!$B$5:$B$335=$A17)*('02_Base_Potencial'!$AR$5:$AR$335=$B17)*ROW('02_Base_Potencial'!$A$5:$A$335))=0,"",SUMPRODUCT(('02_Base_Potencial'!$B$5:$B$335=$A17)*('02_Base_Potencial'!$AR$5:$AR$335=$B17)*ROW('02_Base_Potencial'!$A$5:$A$335)))</f>
        <v>35</v>
      </c>
      <c r="D17" s="25" t="str">
        <f>IF($C17="","",INDEX('02_Base_Potencial'!$A$5:$A$335,$C17-4)&amp;"")</f>
        <v>MAC003</v>
      </c>
      <c r="E17" s="27" t="str">
        <f>IF($C17="","",INDEX('02_Base_Potencial'!$D$5:$D$335,$C17-4)&amp;"")</f>
        <v>Inflação (IPC)</v>
      </c>
      <c r="F17" s="27" t="str">
        <f>IF($C17="","",INDEX('02_Base_Potencial'!$E$5:$E$335,$C17-4)&amp;"")</f>
        <v>%</v>
      </c>
      <c r="G17" s="25" t="str">
        <f>IF($C17="","",INDEX('02_Base_Potencial'!$F$5:$F$335,$C17-4)&amp;"")</f>
        <v>-</v>
      </c>
      <c r="H17" s="25">
        <f>IF($C17="","",INDEX('02_Base_Potencial'!$G$5:$G$335,$C17-4))</f>
        <v>0</v>
      </c>
      <c r="I17" s="25">
        <f>IF($C17="","",INDEX('02_Base_Potencial'!$H$5:$H$335,$C17-4))</f>
        <v>50</v>
      </c>
      <c r="J17" s="25">
        <f>IF($C17="",0,IF(INDEX('02_Base_Potencial'!$J$5:$J$335,$C17-4)="",0,INDEX('02_Base_Potencial'!$J$5:$J$335,$C17-4)))</f>
        <v>1</v>
      </c>
      <c r="K17" s="27">
        <f>IF($C17="","",IF(INDEX('02_Base_Potencial'!$Q$5:$Q$335,$C17-4)="","",INDEX('02_Base_Potencial'!$Q$5:$Q$335,$C17-4)))</f>
        <v>9.3559721553378399</v>
      </c>
      <c r="L17" s="27">
        <f>IF($C17="","",IF(INDEX('02_Base_Potencial'!$R$5:$R$335,$C17-4)="","",INDEX('02_Base_Potencial'!$R$5:$R$335,$C17-4)))</f>
        <v>30.694415080671909</v>
      </c>
      <c r="M17" s="27">
        <f>IF($C17="","",IF(INDEX('02_Base_Potencial'!$S$5:$S$335,$C17-4)="","",INDEX('02_Base_Potencial'!$S$5:$S$335,$C17-4)))</f>
        <v>29.844479901567929</v>
      </c>
      <c r="N17" s="27">
        <f>IF($C17="","",IF(INDEX('02_Base_Potencial'!$T$5:$T$335,$C17-4)="","",INDEX('02_Base_Potencial'!$T$5:$T$335,$C17-4)))</f>
        <v>19.62893797015208</v>
      </c>
      <c r="O17" s="27">
        <f>IF($C17="","",IF(INDEX('02_Base_Potencial'!$U$5:$U$335,$C17-4)="","",INDEX('02_Base_Potencial'!$U$5:$U$335,$C17-4)))</f>
        <v>17.080954143438031</v>
      </c>
      <c r="P17" s="27">
        <f>IF($C17="","",IF(INDEX('02_Base_Potencial'!$V$5:$V$335,$C17-4)="","",INDEX('02_Base_Potencial'!$V$5:$V$335,$C17-4)))</f>
        <v>22.271539247050971</v>
      </c>
      <c r="Q17" s="27">
        <f>IF($C17="","",IF(INDEX('02_Base_Potencial'!$W$5:$W$335,$C17-4)="","",INDEX('02_Base_Potencial'!$W$5:$W$335,$C17-4)))</f>
        <v>25.754294884189061</v>
      </c>
      <c r="R17" s="27">
        <f>IF($C17="","",IF(INDEX('02_Base_Potencial'!$X$5:$X$335,$C17-4)="","",INDEX('02_Base_Potencial'!$X$5:$X$335,$C17-4)))</f>
        <v>21.355290132082221</v>
      </c>
      <c r="S17" s="27">
        <f>IF($C17="","",IF(INDEX('02_Base_Potencial'!$Y$5:$Y$335,$C17-4)="","",INDEX('02_Base_Potencial'!$Y$5:$Y$335,$C17-4)))</f>
        <v>13.64410177677148</v>
      </c>
      <c r="T17" s="27">
        <f>IF($C17="","",IF(INDEX('02_Base_Potencial'!$Z$5:$Z$335,$C17-4)="","",INDEX('02_Base_Potencial'!$Z$5:$Z$335,$C17-4)))</f>
        <v>28.240494891577239</v>
      </c>
      <c r="U17" s="27">
        <f>IF($C17="","",IF(INDEX('02_Base_Potencial'!$AA$5:$AA$335,$C17-4)="","",INDEX('02_Base_Potencial'!$AA$5:$AA$335,$C17-4)))</f>
        <v>20.162019757233121</v>
      </c>
      <c r="V17" s="6" t="str">
        <f>IF($C17="","",INDEX('02_Base_Potencial'!$K$5:$K$335,$C17-4)&amp;"")</f>
        <v>INE/BNA</v>
      </c>
      <c r="W17" s="6" t="str">
        <f>IF($C17="","",COUNT(K17:U17)&amp;"/11")</f>
        <v>11/11</v>
      </c>
    </row>
    <row r="18" spans="1:23">
      <c r="A18" s="27" t="s">
        <v>77</v>
      </c>
      <c r="B18" s="25">
        <v>4</v>
      </c>
      <c r="C18" s="27">
        <f>IF(SUMPRODUCT(('02_Base_Potencial'!$B$5:$B$335=$A18)*('02_Base_Potencial'!$AR$5:$AR$335=$B18)*ROW('02_Base_Potencial'!$A$5:$A$335))=0,"",SUMPRODUCT(('02_Base_Potencial'!$B$5:$B$335=$A18)*('02_Base_Potencial'!$AR$5:$AR$335=$B18)*ROW('02_Base_Potencial'!$A$5:$A$335)))</f>
        <v>36</v>
      </c>
      <c r="D18" s="25" t="str">
        <f>IF($C18="","",INDEX('02_Base_Potencial'!$A$5:$A$335,$C18-4)&amp;"")</f>
        <v>MAC004</v>
      </c>
      <c r="E18" s="27" t="str">
        <f>IF($C18="","",INDEX('02_Base_Potencial'!$D$5:$D$335,$C18-4)&amp;"")</f>
        <v>Dívida Pública (% do PIB)</v>
      </c>
      <c r="F18" s="27" t="str">
        <f>IF($C18="","",INDEX('02_Base_Potencial'!$E$5:$E$335,$C18-4)&amp;"")</f>
        <v>%</v>
      </c>
      <c r="G18" s="25" t="str">
        <f>IF($C18="","",INDEX('02_Base_Potencial'!$F$5:$F$335,$C18-4)&amp;"")</f>
        <v>-</v>
      </c>
      <c r="H18" s="25">
        <f>IF($C18="","",INDEX('02_Base_Potencial'!$G$5:$G$335,$C18-4))</f>
        <v>0</v>
      </c>
      <c r="I18" s="25">
        <f>IF($C18="","",INDEX('02_Base_Potencial'!$H$5:$H$335,$C18-4))</f>
        <v>150</v>
      </c>
      <c r="J18" s="25">
        <f>IF($C18="",0,IF(INDEX('02_Base_Potencial'!$J$5:$J$335,$C18-4)="",0,INDEX('02_Base_Potencial'!$J$5:$J$335,$C18-4)))</f>
        <v>1</v>
      </c>
      <c r="K18" s="27">
        <f>IF($C18="","",IF(INDEX('02_Base_Potencial'!$Q$5:$Q$335,$C18-4)="","",INDEX('02_Base_Potencial'!$Q$5:$Q$335,$C18-4)))</f>
        <v>50</v>
      </c>
      <c r="L18" s="27">
        <f>IF($C18="","",IF(INDEX('02_Base_Potencial'!$R$5:$R$335,$C18-4)="","",INDEX('02_Base_Potencial'!$R$5:$R$335,$C18-4)))</f>
        <v>67</v>
      </c>
      <c r="M18" s="27">
        <f>IF($C18="","",IF(INDEX('02_Base_Potencial'!$S$5:$S$335,$C18-4)="","",INDEX('02_Base_Potencial'!$S$5:$S$335,$C18-4)))</f>
        <v>60</v>
      </c>
      <c r="N18" s="27">
        <f>IF($C18="","",IF(INDEX('02_Base_Potencial'!$T$5:$T$335,$C18-4)="","",INDEX('02_Base_Potencial'!$T$5:$T$335,$C18-4)))</f>
        <v>83</v>
      </c>
      <c r="O18" s="27">
        <f>IF($C18="","",IF(INDEX('02_Base_Potencial'!$U$5:$U$335,$C18-4)="","",INDEX('02_Base_Potencial'!$U$5:$U$335,$C18-4)))</f>
        <v>101</v>
      </c>
      <c r="P18" s="27">
        <f>IF($C18="","",IF(INDEX('02_Base_Potencial'!$V$5:$V$335,$C18-4)="","",INDEX('02_Base_Potencial'!$V$5:$V$335,$C18-4)))</f>
        <v>119</v>
      </c>
      <c r="Q18" s="27">
        <f>IF($C18="","",IF(INDEX('02_Base_Potencial'!$W$5:$W$335,$C18-4)="","",INDEX('02_Base_Potencial'!$W$5:$W$335,$C18-4)))</f>
        <v>74</v>
      </c>
      <c r="R18" s="27">
        <f>IF($C18="","",IF(INDEX('02_Base_Potencial'!$X$5:$X$335,$C18-4)="","",INDEX('02_Base_Potencial'!$X$5:$X$335,$C18-4)))</f>
        <v>56</v>
      </c>
      <c r="S18" s="27">
        <f>IF($C18="","",IF(INDEX('02_Base_Potencial'!$Y$5:$Y$335,$C18-4)="","",INDEX('02_Base_Potencial'!$Y$5:$Y$335,$C18-4)))</f>
        <v>72</v>
      </c>
      <c r="T18" s="27">
        <f>IF($C18="","",IF(INDEX('02_Base_Potencial'!$Z$5:$Z$335,$C18-4)="","",INDEX('02_Base_Potencial'!$Z$5:$Z$335,$C18-4)))</f>
        <v>60</v>
      </c>
      <c r="U18" s="27">
        <f>IF($C18="","",IF(INDEX('02_Base_Potencial'!$AA$5:$AA$335,$C18-4)="","",INDEX('02_Base_Potencial'!$AA$5:$AA$335,$C18-4)))</f>
        <v>63</v>
      </c>
      <c r="V18" s="6" t="str">
        <f>IF($C18="","",INDEX('02_Base_Potencial'!$K$5:$K$335,$C18-4)&amp;"")</f>
        <v>MINFIN</v>
      </c>
      <c r="W18" s="6" t="str">
        <f>IF($C18="","",COUNT(K18:U18)&amp;"/11")</f>
        <v>11/11</v>
      </c>
    </row>
    <row r="19" spans="1:23">
      <c r="A19" s="27" t="s">
        <v>77</v>
      </c>
      <c r="B19" s="25">
        <v>5</v>
      </c>
      <c r="C19" s="27">
        <f>IF(SUMPRODUCT(('02_Base_Potencial'!$B$5:$B$335=$A19)*('02_Base_Potencial'!$AR$5:$AR$335=$B19)*ROW('02_Base_Potencial'!$A$5:$A$335))=0,"",SUMPRODUCT(('02_Base_Potencial'!$B$5:$B$335=$A19)*('02_Base_Potencial'!$AR$5:$AR$335=$B19)*ROW('02_Base_Potencial'!$A$5:$A$335)))</f>
        <v>37</v>
      </c>
      <c r="D19" s="25" t="str">
        <f>IF($C19="","",INDEX('02_Base_Potencial'!$A$5:$A$335,$C19-4)&amp;"")</f>
        <v>MAC005</v>
      </c>
      <c r="E19" s="27" t="str">
        <f>IF($C19="","",INDEX('02_Base_Potencial'!$D$5:$D$335,$C19-4)&amp;"")</f>
        <v>Saldo Orçamental (% do PIB)</v>
      </c>
      <c r="F19" s="27" t="str">
        <f>IF($C19="","",INDEX('02_Base_Potencial'!$E$5:$E$335,$C19-4)&amp;"")</f>
        <v>%</v>
      </c>
      <c r="G19" s="25" t="str">
        <f>IF($C19="","",INDEX('02_Base_Potencial'!$F$5:$F$335,$C19-4)&amp;"")</f>
        <v>+</v>
      </c>
      <c r="H19" s="25">
        <f>IF($C19="","",INDEX('02_Base_Potencial'!$G$5:$G$335,$C19-4))</f>
        <v>-15</v>
      </c>
      <c r="I19" s="25">
        <f>IF($C19="","",INDEX('02_Base_Potencial'!$H$5:$H$335,$C19-4))</f>
        <v>10</v>
      </c>
      <c r="J19" s="25">
        <f>IF($C19="",0,IF(INDEX('02_Base_Potencial'!$J$5:$J$335,$C19-4)="",0,INDEX('02_Base_Potencial'!$J$5:$J$335,$C19-4)))</f>
        <v>1</v>
      </c>
      <c r="K19" s="27">
        <f>IF($C19="","",IF(INDEX('02_Base_Potencial'!$Q$5:$Q$335,$C19-4)="","",INDEX('02_Base_Potencial'!$Q$5:$Q$335,$C19-4)))</f>
        <v>-2</v>
      </c>
      <c r="L19" s="27">
        <f>IF($C19="","",IF(INDEX('02_Base_Potencial'!$R$5:$R$335,$C19-4)="","",INDEX('02_Base_Potencial'!$R$5:$R$335,$C19-4)))</f>
        <v>-3</v>
      </c>
      <c r="M19" s="27">
        <f>IF($C19="","",IF(INDEX('02_Base_Potencial'!$S$5:$S$335,$C19-4)="","",INDEX('02_Base_Potencial'!$S$5:$S$335,$C19-4)))</f>
        <v>1.5</v>
      </c>
      <c r="N19" s="27">
        <f>IF($C19="","",IF(INDEX('02_Base_Potencial'!$T$5:$T$335,$C19-4)="","",INDEX('02_Base_Potencial'!$T$5:$T$335,$C19-4)))</f>
        <v>-0.5</v>
      </c>
      <c r="O19" s="27">
        <f>IF($C19="","",IF(INDEX('02_Base_Potencial'!$U$5:$U$335,$C19-4)="","",INDEX('02_Base_Potencial'!$U$5:$U$335,$C19-4)))</f>
        <v>0.5</v>
      </c>
      <c r="P19" s="27">
        <f>IF($C19="","",IF(INDEX('02_Base_Potencial'!$V$5:$V$335,$C19-4)="","",INDEX('02_Base_Potencial'!$V$5:$V$335,$C19-4)))</f>
        <v>-5</v>
      </c>
      <c r="Q19" s="27">
        <f>IF($C19="","",IF(INDEX('02_Base_Potencial'!$W$5:$W$335,$C19-4)="","",INDEX('02_Base_Potencial'!$W$5:$W$335,$C19-4)))</f>
        <v>1.5</v>
      </c>
      <c r="R19" s="27">
        <f>IF($C19="","",IF(INDEX('02_Base_Potencial'!$X$5:$X$335,$C19-4)="","",INDEX('02_Base_Potencial'!$X$5:$X$335,$C19-4)))</f>
        <v>0.7</v>
      </c>
      <c r="S19" s="27">
        <f>IF($C19="","",IF(INDEX('02_Base_Potencial'!$Y$5:$Y$335,$C19-4)="","",INDEX('02_Base_Potencial'!$Y$5:$Y$335,$C19-4)))</f>
        <v>-1.9</v>
      </c>
      <c r="T19" s="27">
        <f>IF($C19="","",IF(INDEX('02_Base_Potencial'!$Z$5:$Z$335,$C19-4)="","",INDEX('02_Base_Potencial'!$Z$5:$Z$335,$C19-4)))</f>
        <v>-1.5</v>
      </c>
      <c r="U19" s="27">
        <f>IF($C19="","",IF(INDEX('02_Base_Potencial'!$AA$5:$AA$335,$C19-4)="","",INDEX('02_Base_Potencial'!$AA$5:$AA$335,$C19-4)))</f>
        <v>-1.65</v>
      </c>
      <c r="V19" s="6" t="str">
        <f>IF($C19="","",INDEX('02_Base_Potencial'!$K$5:$K$335,$C19-4)&amp;"")</f>
        <v>MINFIN</v>
      </c>
      <c r="W19" s="6" t="str">
        <f>IF($C19="","",COUNT(K19:U19)&amp;"/11")</f>
        <v>11/11</v>
      </c>
    </row>
    <row r="20" spans="1:23">
      <c r="A20" s="27" t="s">
        <v>77</v>
      </c>
      <c r="B20" s="25">
        <v>6</v>
      </c>
      <c r="C20" s="27">
        <f>IF(SUMPRODUCT(('02_Base_Potencial'!$B$5:$B$335=$A20)*('02_Base_Potencial'!$AR$5:$AR$335=$B20)*ROW('02_Base_Potencial'!$A$5:$A$335))=0,"",SUMPRODUCT(('02_Base_Potencial'!$B$5:$B$335=$A20)*('02_Base_Potencial'!$AR$5:$AR$335=$B20)*ROW('02_Base_Potencial'!$A$5:$A$335)))</f>
        <v>39</v>
      </c>
      <c r="D20" s="25" t="str">
        <f>IF($C20="","",INDEX('02_Base_Potencial'!$A$5:$A$335,$C20-4)&amp;"")</f>
        <v>MAC007</v>
      </c>
      <c r="E20" s="27" t="str">
        <f>IF($C20="","",INDEX('02_Base_Potencial'!$D$5:$D$335,$C20-4)&amp;"")</f>
        <v>Reservas Internacionais (meses)</v>
      </c>
      <c r="F20" s="27" t="str">
        <f>IF($C20="","",INDEX('02_Base_Potencial'!$E$5:$E$335,$C20-4)&amp;"")</f>
        <v>Meses</v>
      </c>
      <c r="G20" s="25" t="str">
        <f>IF($C20="","",INDEX('02_Base_Potencial'!$F$5:$F$335,$C20-4)&amp;"")</f>
        <v>+</v>
      </c>
      <c r="H20" s="25">
        <f>IF($C20="","",INDEX('02_Base_Potencial'!$G$5:$G$335,$C20-4))</f>
        <v>0</v>
      </c>
      <c r="I20" s="25">
        <f>IF($C20="","",INDEX('02_Base_Potencial'!$H$5:$H$335,$C20-4))</f>
        <v>12</v>
      </c>
      <c r="J20" s="25">
        <f>IF($C20="",0,IF(INDEX('02_Base_Potencial'!$J$5:$J$335,$C20-4)="",0,INDEX('02_Base_Potencial'!$J$5:$J$335,$C20-4)))</f>
        <v>1</v>
      </c>
      <c r="K20" s="27">
        <f>IF($C20="","",IF(INDEX('02_Base_Potencial'!$Q$5:$Q$335,$C20-4)="","",INDEX('02_Base_Potencial'!$Q$5:$Q$335,$C20-4)))</f>
        <v>6.4820456906484099</v>
      </c>
      <c r="L20" s="27">
        <f>IF($C20="","",IF(INDEX('02_Base_Potencial'!$R$5:$R$335,$C20-4)="","",INDEX('02_Base_Potencial'!$R$5:$R$335,$C20-4)))</f>
        <v>9.0838712049007402</v>
      </c>
      <c r="M20" s="27">
        <f>IF($C20="","",IF(INDEX('02_Base_Potencial'!$S$5:$S$335,$C20-4)="","",INDEX('02_Base_Potencial'!$S$5:$S$335,$C20-4)))</f>
        <v>5.8181869184485802</v>
      </c>
      <c r="N20" s="27">
        <f>IF($C20="","",IF(INDEX('02_Base_Potencial'!$T$5:$T$335,$C20-4)="","",INDEX('02_Base_Potencial'!$T$5:$T$335,$C20-4)))</f>
        <v>5.4126401540864002</v>
      </c>
      <c r="O20" s="27">
        <f>IF($C20="","",IF(INDEX('02_Base_Potencial'!$U$5:$U$335,$C20-4)="","",INDEX('02_Base_Potencial'!$U$5:$U$335,$C20-4)))</f>
        <v>6.4250942899666397</v>
      </c>
      <c r="P20" s="27">
        <f>IF($C20="","",IF(INDEX('02_Base_Potencial'!$V$5:$V$335,$C20-4)="","",INDEX('02_Base_Potencial'!$V$5:$V$335,$C20-4)))</f>
        <v>8.0261477231075897</v>
      </c>
      <c r="Q20" s="27">
        <f>IF($C20="","",IF(INDEX('02_Base_Potencial'!$W$5:$W$335,$C20-4)="","",INDEX('02_Base_Potencial'!$W$5:$W$335,$C20-4)))</f>
        <v>6.9491541464897404</v>
      </c>
      <c r="R20" s="27">
        <f>IF($C20="","",IF(INDEX('02_Base_Potencial'!$X$5:$X$335,$C20-4)="","",INDEX('02_Base_Potencial'!$X$5:$X$335,$C20-4)))</f>
        <v>4.3768328674862804</v>
      </c>
      <c r="S20" s="27">
        <f>IF($C20="","",IF(INDEX('02_Base_Potencial'!$Y$5:$Y$335,$C20-4)="","",INDEX('02_Base_Potencial'!$Y$5:$Y$335,$C20-4)))</f>
        <v>5.0892711356043199</v>
      </c>
      <c r="T20" s="27">
        <f>IF($C20="","",IF(INDEX('02_Base_Potencial'!$Z$5:$Z$335,$C20-4)="","",INDEX('02_Base_Potencial'!$Z$5:$Z$335,$C20-4)))</f>
        <v>5.5137491057931198</v>
      </c>
      <c r="U20" s="27">
        <f>IF($C20="","",IF(INDEX('02_Base_Potencial'!$AA$5:$AA$335,$C20-4)="","",INDEX('02_Base_Potencial'!$AA$5:$AA$335,$C20-4)))</f>
        <v>5.3228022877449641</v>
      </c>
      <c r="V20" s="6" t="str">
        <f>IF($C20="","",INDEX('02_Base_Potencial'!$K$5:$K$335,$C20-4)&amp;"")</f>
        <v>BNA</v>
      </c>
      <c r="W20" s="6" t="str">
        <f>IF($C20="","",COUNT(K20:U20)&amp;"/11")</f>
        <v>11/11</v>
      </c>
    </row>
    <row r="21" spans="1:23">
      <c r="A21" s="27" t="s">
        <v>77</v>
      </c>
      <c r="B21" s="25">
        <v>7</v>
      </c>
      <c r="C21" s="27">
        <f>IF(SUMPRODUCT(('02_Base_Potencial'!$B$5:$B$335=$A21)*('02_Base_Potencial'!$AR$5:$AR$335=$B21)*ROW('02_Base_Potencial'!$A$5:$A$335))=0,"",SUMPRODUCT(('02_Base_Potencial'!$B$5:$B$335=$A21)*('02_Base_Potencial'!$AR$5:$AR$335=$B21)*ROW('02_Base_Potencial'!$A$5:$A$335)))</f>
        <v>40</v>
      </c>
      <c r="D21" s="25" t="str">
        <f>IF($C21="","",INDEX('02_Base_Potencial'!$A$5:$A$335,$C21-4)&amp;"")</f>
        <v>MAC014</v>
      </c>
      <c r="E21" s="27" t="str">
        <f>IF($C21="","",INDEX('02_Base_Potencial'!$D$5:$D$335,$C21-4)&amp;"")</f>
        <v>Crescimento do PIB não petrolífero</v>
      </c>
      <c r="F21" s="27" t="str">
        <f>IF($C21="","",INDEX('02_Base_Potencial'!$E$5:$E$335,$C21-4)&amp;"")</f>
        <v>%</v>
      </c>
      <c r="G21" s="25" t="str">
        <f>IF($C21="","",INDEX('02_Base_Potencial'!$F$5:$F$335,$C21-4)&amp;"")</f>
        <v>+</v>
      </c>
      <c r="H21" s="25">
        <f>IF($C21="","",INDEX('02_Base_Potencial'!$G$5:$G$335,$C21-4))</f>
        <v>-10</v>
      </c>
      <c r="I21" s="25">
        <f>IF($C21="","",INDEX('02_Base_Potencial'!$H$5:$H$335,$C21-4))</f>
        <v>15</v>
      </c>
      <c r="J21" s="25">
        <f>IF($C21="",0,IF(INDEX('02_Base_Potencial'!$J$5:$J$335,$C21-4)="",0,INDEX('02_Base_Potencial'!$J$5:$J$335,$C21-4)))</f>
        <v>1</v>
      </c>
      <c r="K21" s="27">
        <f>IF($C21="","",IF(INDEX('02_Base_Potencial'!$Q$5:$Q$335,$C21-4)="","",INDEX('02_Base_Potencial'!$Q$5:$Q$335,$C21-4)))</f>
        <v>-3.6888000000000001</v>
      </c>
      <c r="L21" s="27">
        <f>IF($C21="","",IF(INDEX('02_Base_Potencial'!$R$5:$R$335,$C21-4)="","",INDEX('02_Base_Potencial'!$R$5:$R$335,$C21-4)))</f>
        <v>0.92749999999999999</v>
      </c>
      <c r="M21" s="27">
        <f>IF($C21="","",IF(INDEX('02_Base_Potencial'!$S$5:$S$335,$C21-4)="","",INDEX('02_Base_Potencial'!$S$5:$S$335,$C21-4)))</f>
        <v>3.9201000000000001</v>
      </c>
      <c r="N21" s="27">
        <f>IF($C21="","",IF(INDEX('02_Base_Potencial'!$T$5:$T$335,$C21-4)="","",INDEX('02_Base_Potencial'!$T$5:$T$335,$C21-4)))</f>
        <v>3.1939000000000002</v>
      </c>
      <c r="O21" s="27">
        <f>IF($C21="","",IF(INDEX('02_Base_Potencial'!$U$5:$U$335,$C21-4)="","",INDEX('02_Base_Potencial'!$U$5:$U$335,$C21-4)))</f>
        <v>1.2479</v>
      </c>
      <c r="P21" s="27">
        <f>IF($C21="","",IF(INDEX('02_Base_Potencial'!$V$5:$V$335,$C21-4)="","",INDEX('02_Base_Potencial'!$V$5:$V$335,$C21-4)))</f>
        <v>-4.7728000000000002</v>
      </c>
      <c r="Q21" s="27">
        <f>IF($C21="","",IF(INDEX('02_Base_Potencial'!$W$5:$W$335,$C21-4)="","",INDEX('02_Base_Potencial'!$W$5:$W$335,$C21-4)))</f>
        <v>5.3132999999999999</v>
      </c>
      <c r="R21" s="27">
        <f>IF($C21="","",IF(INDEX('02_Base_Potencial'!$X$5:$X$335,$C21-4)="","",INDEX('02_Base_Potencial'!$X$5:$X$335,$C21-4)))</f>
        <v>3.1457000000000002</v>
      </c>
      <c r="S21" s="27">
        <f>IF($C21="","",IF(INDEX('02_Base_Potencial'!$Y$5:$Y$335,$C21-4)="","",INDEX('02_Base_Potencial'!$Y$5:$Y$335,$C21-4)))</f>
        <v>2.3972000000000002</v>
      </c>
      <c r="T21" s="27">
        <f>IF($C21="","",IF(INDEX('02_Base_Potencial'!$Z$5:$Z$335,$C21-4)="","",INDEX('02_Base_Potencial'!$Z$5:$Z$335,$C21-4)))</f>
        <v>5.3951000000000002</v>
      </c>
      <c r="U21" s="27">
        <f>IF($C21="","",IF(INDEX('02_Base_Potencial'!$AA$5:$AA$335,$C21-4)="","",INDEX('02_Base_Potencial'!$AA$5:$AA$335,$C21-4)))</f>
        <v>5.3792999999999997</v>
      </c>
      <c r="V21" s="6" t="str">
        <f>IF($C21="","",INDEX('02_Base_Potencial'!$K$5:$K$335,$C21-4)&amp;"")</f>
        <v>INE - Contas Nacionais Trimestrais</v>
      </c>
      <c r="W21" s="6" t="str">
        <f>IF($C21="","",COUNT(K21:U21)&amp;"/11")</f>
        <v>11/11</v>
      </c>
    </row>
    <row r="22" spans="1:23">
      <c r="A22" s="27" t="s">
        <v>77</v>
      </c>
      <c r="B22" s="25">
        <v>8</v>
      </c>
      <c r="C22" s="27" t="str">
        <f>IF(SUMPRODUCT(('02_Base_Potencial'!$B$5:$B$335=$A22)*('02_Base_Potencial'!$AR$5:$AR$335=$B22)*ROW('02_Base_Potencial'!$A$5:$A$335))=0,"",SUMPRODUCT(('02_Base_Potencial'!$B$5:$B$335=$A22)*('02_Base_Potencial'!$AR$5:$AR$335=$B22)*ROW('02_Base_Potencial'!$A$5:$A$335)))</f>
        <v/>
      </c>
      <c r="D22" s="25" t="str">
        <f>IF($C22="","",INDEX('02_Base_Potencial'!$A$5:$A$335,$C22-4)&amp;"")</f>
        <v/>
      </c>
      <c r="E22" s="27" t="str">
        <f>IF($C22="","",INDEX('02_Base_Potencial'!$D$5:$D$335,$C22-4)&amp;"")</f>
        <v/>
      </c>
      <c r="F22" s="27" t="str">
        <f>IF($C22="","",INDEX('02_Base_Potencial'!$E$5:$E$335,$C22-4)&amp;"")</f>
        <v/>
      </c>
      <c r="G22" s="25" t="str">
        <f>IF($C22="","",INDEX('02_Base_Potencial'!$F$5:$F$335,$C22-4)&amp;"")</f>
        <v/>
      </c>
      <c r="H22" s="25" t="str">
        <f>IF($C22="","",INDEX('02_Base_Potencial'!$G$5:$G$335,$C22-4))</f>
        <v/>
      </c>
      <c r="I22" s="25" t="str">
        <f>IF($C22="","",INDEX('02_Base_Potencial'!$H$5:$H$335,$C22-4))</f>
        <v/>
      </c>
      <c r="J22" s="25">
        <f>IF($C22="",0,IF(INDEX('02_Base_Potencial'!$J$5:$J$335,$C22-4)="",0,INDEX('02_Base_Potencial'!$J$5:$J$335,$C22-4)))</f>
        <v>0</v>
      </c>
      <c r="K22" s="27" t="str">
        <f>IF($C22="","",IF(INDEX('02_Base_Potencial'!$Q$5:$Q$335,$C22-4)="","",INDEX('02_Base_Potencial'!$Q$5:$Q$335,$C22-4)))</f>
        <v/>
      </c>
      <c r="L22" s="27" t="str">
        <f>IF($C22="","",IF(INDEX('02_Base_Potencial'!$R$5:$R$335,$C22-4)="","",INDEX('02_Base_Potencial'!$R$5:$R$335,$C22-4)))</f>
        <v/>
      </c>
      <c r="M22" s="27" t="str">
        <f>IF($C22="","",IF(INDEX('02_Base_Potencial'!$S$5:$S$335,$C22-4)="","",INDEX('02_Base_Potencial'!$S$5:$S$335,$C22-4)))</f>
        <v/>
      </c>
      <c r="N22" s="27" t="str">
        <f>IF($C22="","",IF(INDEX('02_Base_Potencial'!$T$5:$T$335,$C22-4)="","",INDEX('02_Base_Potencial'!$T$5:$T$335,$C22-4)))</f>
        <v/>
      </c>
      <c r="O22" s="27" t="str">
        <f>IF($C22="","",IF(INDEX('02_Base_Potencial'!$U$5:$U$335,$C22-4)="","",INDEX('02_Base_Potencial'!$U$5:$U$335,$C22-4)))</f>
        <v/>
      </c>
      <c r="P22" s="27" t="str">
        <f>IF($C22="","",IF(INDEX('02_Base_Potencial'!$V$5:$V$335,$C22-4)="","",INDEX('02_Base_Potencial'!$V$5:$V$335,$C22-4)))</f>
        <v/>
      </c>
      <c r="Q22" s="27" t="str">
        <f>IF($C22="","",IF(INDEX('02_Base_Potencial'!$W$5:$W$335,$C22-4)="","",INDEX('02_Base_Potencial'!$W$5:$W$335,$C22-4)))</f>
        <v/>
      </c>
      <c r="R22" s="27" t="str">
        <f>IF($C22="","",IF(INDEX('02_Base_Potencial'!$X$5:$X$335,$C22-4)="","",INDEX('02_Base_Potencial'!$X$5:$X$335,$C22-4)))</f>
        <v/>
      </c>
      <c r="S22" s="27" t="str">
        <f>IF($C22="","",IF(INDEX('02_Base_Potencial'!$Y$5:$Y$335,$C22-4)="","",INDEX('02_Base_Potencial'!$Y$5:$Y$335,$C22-4)))</f>
        <v/>
      </c>
      <c r="T22" s="27" t="str">
        <f>IF($C22="","",IF(INDEX('02_Base_Potencial'!$Z$5:$Z$335,$C22-4)="","",INDEX('02_Base_Potencial'!$Z$5:$Z$335,$C22-4)))</f>
        <v/>
      </c>
      <c r="U22" s="27" t="str">
        <f>IF($C22="","",IF(INDEX('02_Base_Potencial'!$AA$5:$AA$335,$C22-4)="","",INDEX('02_Base_Potencial'!$AA$5:$AA$335,$C22-4)))</f>
        <v/>
      </c>
      <c r="V22" s="6" t="str">
        <f>IF($C22="","",INDEX('02_Base_Potencial'!$K$5:$K$335,$C22-4)&amp;"")</f>
        <v/>
      </c>
      <c r="W22" s="6" t="str">
        <f>IF($C22="","",COUNT(K22:U22)&amp;"/11")</f>
        <v/>
      </c>
    </row>
    <row r="23" spans="1:23">
      <c r="A23" s="27" t="s">
        <v>77</v>
      </c>
      <c r="B23" s="25">
        <v>9</v>
      </c>
      <c r="C23" s="27" t="str">
        <f>IF(SUMPRODUCT(('02_Base_Potencial'!$B$5:$B$335=$A23)*('02_Base_Potencial'!$AR$5:$AR$335=$B23)*ROW('02_Base_Potencial'!$A$5:$A$335))=0,"",SUMPRODUCT(('02_Base_Potencial'!$B$5:$B$335=$A23)*('02_Base_Potencial'!$AR$5:$AR$335=$B23)*ROW('02_Base_Potencial'!$A$5:$A$335)))</f>
        <v/>
      </c>
      <c r="D23" s="25" t="str">
        <f>IF($C23="","",INDEX('02_Base_Potencial'!$A$5:$A$335,$C23-4)&amp;"")</f>
        <v/>
      </c>
      <c r="E23" s="27" t="str">
        <f>IF($C23="","",INDEX('02_Base_Potencial'!$D$5:$D$335,$C23-4)&amp;"")</f>
        <v/>
      </c>
      <c r="F23" s="27" t="str">
        <f>IF($C23="","",INDEX('02_Base_Potencial'!$E$5:$E$335,$C23-4)&amp;"")</f>
        <v/>
      </c>
      <c r="G23" s="25" t="str">
        <f>IF($C23="","",INDEX('02_Base_Potencial'!$F$5:$F$335,$C23-4)&amp;"")</f>
        <v/>
      </c>
      <c r="H23" s="25" t="str">
        <f>IF($C23="","",INDEX('02_Base_Potencial'!$G$5:$G$335,$C23-4))</f>
        <v/>
      </c>
      <c r="I23" s="25" t="str">
        <f>IF($C23="","",INDEX('02_Base_Potencial'!$H$5:$H$335,$C23-4))</f>
        <v/>
      </c>
      <c r="J23" s="25">
        <f>IF($C23="",0,IF(INDEX('02_Base_Potencial'!$J$5:$J$335,$C23-4)="",0,INDEX('02_Base_Potencial'!$J$5:$J$335,$C23-4)))</f>
        <v>0</v>
      </c>
      <c r="K23" s="27" t="str">
        <f>IF($C23="","",IF(INDEX('02_Base_Potencial'!$Q$5:$Q$335,$C23-4)="","",INDEX('02_Base_Potencial'!$Q$5:$Q$335,$C23-4)))</f>
        <v/>
      </c>
      <c r="L23" s="27" t="str">
        <f>IF($C23="","",IF(INDEX('02_Base_Potencial'!$R$5:$R$335,$C23-4)="","",INDEX('02_Base_Potencial'!$R$5:$R$335,$C23-4)))</f>
        <v/>
      </c>
      <c r="M23" s="27" t="str">
        <f>IF($C23="","",IF(INDEX('02_Base_Potencial'!$S$5:$S$335,$C23-4)="","",INDEX('02_Base_Potencial'!$S$5:$S$335,$C23-4)))</f>
        <v/>
      </c>
      <c r="N23" s="27" t="str">
        <f>IF($C23="","",IF(INDEX('02_Base_Potencial'!$T$5:$T$335,$C23-4)="","",INDEX('02_Base_Potencial'!$T$5:$T$335,$C23-4)))</f>
        <v/>
      </c>
      <c r="O23" s="27" t="str">
        <f>IF($C23="","",IF(INDEX('02_Base_Potencial'!$U$5:$U$335,$C23-4)="","",INDEX('02_Base_Potencial'!$U$5:$U$335,$C23-4)))</f>
        <v/>
      </c>
      <c r="P23" s="27" t="str">
        <f>IF($C23="","",IF(INDEX('02_Base_Potencial'!$V$5:$V$335,$C23-4)="","",INDEX('02_Base_Potencial'!$V$5:$V$335,$C23-4)))</f>
        <v/>
      </c>
      <c r="Q23" s="27" t="str">
        <f>IF($C23="","",IF(INDEX('02_Base_Potencial'!$W$5:$W$335,$C23-4)="","",INDEX('02_Base_Potencial'!$W$5:$W$335,$C23-4)))</f>
        <v/>
      </c>
      <c r="R23" s="27" t="str">
        <f>IF($C23="","",IF(INDEX('02_Base_Potencial'!$X$5:$X$335,$C23-4)="","",INDEX('02_Base_Potencial'!$X$5:$X$335,$C23-4)))</f>
        <v/>
      </c>
      <c r="S23" s="27" t="str">
        <f>IF($C23="","",IF(INDEX('02_Base_Potencial'!$Y$5:$Y$335,$C23-4)="","",INDEX('02_Base_Potencial'!$Y$5:$Y$335,$C23-4)))</f>
        <v/>
      </c>
      <c r="T23" s="27" t="str">
        <f>IF($C23="","",IF(INDEX('02_Base_Potencial'!$Z$5:$Z$335,$C23-4)="","",INDEX('02_Base_Potencial'!$Z$5:$Z$335,$C23-4)))</f>
        <v/>
      </c>
      <c r="U23" s="27" t="str">
        <f>IF($C23="","",IF(INDEX('02_Base_Potencial'!$AA$5:$AA$335,$C23-4)="","",INDEX('02_Base_Potencial'!$AA$5:$AA$335,$C23-4)))</f>
        <v/>
      </c>
      <c r="V23" s="6" t="str">
        <f>IF($C23="","",INDEX('02_Base_Potencial'!$K$5:$K$335,$C23-4)&amp;"")</f>
        <v/>
      </c>
      <c r="W23" s="6" t="str">
        <f>IF($C23="","",COUNT(K23:U23)&amp;"/11")</f>
        <v/>
      </c>
    </row>
    <row r="24" spans="1:23">
      <c r="A24" s="27" t="s">
        <v>77</v>
      </c>
      <c r="B24" s="25">
        <v>10</v>
      </c>
      <c r="C24" s="27" t="str">
        <f>IF(SUMPRODUCT(('02_Base_Potencial'!$B$5:$B$335=$A24)*('02_Base_Potencial'!$AR$5:$AR$335=$B24)*ROW('02_Base_Potencial'!$A$5:$A$335))=0,"",SUMPRODUCT(('02_Base_Potencial'!$B$5:$B$335=$A24)*('02_Base_Potencial'!$AR$5:$AR$335=$B24)*ROW('02_Base_Potencial'!$A$5:$A$335)))</f>
        <v/>
      </c>
      <c r="D24" s="25" t="str">
        <f>IF($C24="","",INDEX('02_Base_Potencial'!$A$5:$A$335,$C24-4)&amp;"")</f>
        <v/>
      </c>
      <c r="E24" s="27" t="str">
        <f>IF($C24="","",INDEX('02_Base_Potencial'!$D$5:$D$335,$C24-4)&amp;"")</f>
        <v/>
      </c>
      <c r="F24" s="27" t="str">
        <f>IF($C24="","",INDEX('02_Base_Potencial'!$E$5:$E$335,$C24-4)&amp;"")</f>
        <v/>
      </c>
      <c r="G24" s="25" t="str">
        <f>IF($C24="","",INDEX('02_Base_Potencial'!$F$5:$F$335,$C24-4)&amp;"")</f>
        <v/>
      </c>
      <c r="H24" s="25" t="str">
        <f>IF($C24="","",INDEX('02_Base_Potencial'!$G$5:$G$335,$C24-4))</f>
        <v/>
      </c>
      <c r="I24" s="25" t="str">
        <f>IF($C24="","",INDEX('02_Base_Potencial'!$H$5:$H$335,$C24-4))</f>
        <v/>
      </c>
      <c r="J24" s="25">
        <f>IF($C24="",0,IF(INDEX('02_Base_Potencial'!$J$5:$J$335,$C24-4)="",0,INDEX('02_Base_Potencial'!$J$5:$J$335,$C24-4)))</f>
        <v>0</v>
      </c>
      <c r="K24" s="27" t="str">
        <f>IF($C24="","",IF(INDEX('02_Base_Potencial'!$Q$5:$Q$335,$C24-4)="","",INDEX('02_Base_Potencial'!$Q$5:$Q$335,$C24-4)))</f>
        <v/>
      </c>
      <c r="L24" s="27" t="str">
        <f>IF($C24="","",IF(INDEX('02_Base_Potencial'!$R$5:$R$335,$C24-4)="","",INDEX('02_Base_Potencial'!$R$5:$R$335,$C24-4)))</f>
        <v/>
      </c>
      <c r="M24" s="27" t="str">
        <f>IF($C24="","",IF(INDEX('02_Base_Potencial'!$S$5:$S$335,$C24-4)="","",INDEX('02_Base_Potencial'!$S$5:$S$335,$C24-4)))</f>
        <v/>
      </c>
      <c r="N24" s="27" t="str">
        <f>IF($C24="","",IF(INDEX('02_Base_Potencial'!$T$5:$T$335,$C24-4)="","",INDEX('02_Base_Potencial'!$T$5:$T$335,$C24-4)))</f>
        <v/>
      </c>
      <c r="O24" s="27" t="str">
        <f>IF($C24="","",IF(INDEX('02_Base_Potencial'!$U$5:$U$335,$C24-4)="","",INDEX('02_Base_Potencial'!$U$5:$U$335,$C24-4)))</f>
        <v/>
      </c>
      <c r="P24" s="27" t="str">
        <f>IF($C24="","",IF(INDEX('02_Base_Potencial'!$V$5:$V$335,$C24-4)="","",INDEX('02_Base_Potencial'!$V$5:$V$335,$C24-4)))</f>
        <v/>
      </c>
      <c r="Q24" s="27" t="str">
        <f>IF($C24="","",IF(INDEX('02_Base_Potencial'!$W$5:$W$335,$C24-4)="","",INDEX('02_Base_Potencial'!$W$5:$W$335,$C24-4)))</f>
        <v/>
      </c>
      <c r="R24" s="27" t="str">
        <f>IF($C24="","",IF(INDEX('02_Base_Potencial'!$X$5:$X$335,$C24-4)="","",INDEX('02_Base_Potencial'!$X$5:$X$335,$C24-4)))</f>
        <v/>
      </c>
      <c r="S24" s="27" t="str">
        <f>IF($C24="","",IF(INDEX('02_Base_Potencial'!$Y$5:$Y$335,$C24-4)="","",INDEX('02_Base_Potencial'!$Y$5:$Y$335,$C24-4)))</f>
        <v/>
      </c>
      <c r="T24" s="27" t="str">
        <f>IF($C24="","",IF(INDEX('02_Base_Potencial'!$Z$5:$Z$335,$C24-4)="","",INDEX('02_Base_Potencial'!$Z$5:$Z$335,$C24-4)))</f>
        <v/>
      </c>
      <c r="U24" s="27" t="str">
        <f>IF($C24="","",IF(INDEX('02_Base_Potencial'!$AA$5:$AA$335,$C24-4)="","",INDEX('02_Base_Potencial'!$AA$5:$AA$335,$C24-4)))</f>
        <v/>
      </c>
      <c r="V24" s="6" t="str">
        <f>IF($C24="","",INDEX('02_Base_Potencial'!$K$5:$K$335,$C24-4)&amp;"")</f>
        <v/>
      </c>
      <c r="W24" s="6" t="str">
        <f>IF($C24="","",COUNT(K24:U24)&amp;"/11")</f>
        <v/>
      </c>
    </row>
    <row r="25" spans="1:23">
      <c r="A25" s="6" t="s">
        <v>78</v>
      </c>
      <c r="B25" s="20">
        <v>1</v>
      </c>
      <c r="C25" s="6">
        <f>IF(SUMPRODUCT(('02_Base_Potencial'!$B$5:$B$335=$A25)*('02_Base_Potencial'!$AR$5:$AR$335=$B25)*ROW('02_Base_Potencial'!$A$5:$A$335))=0,"",SUMPRODUCT(('02_Base_Potencial'!$B$5:$B$335=$A25)*('02_Base_Potencial'!$AR$5:$AR$335=$B25)*ROW('02_Base_Potencial'!$A$5:$A$335)))</f>
        <v>90</v>
      </c>
      <c r="D25" s="20" t="str">
        <f>IF($C25="","",INDEX('02_Base_Potencial'!$A$5:$A$335,$C25-4)&amp;"")</f>
        <v>HUM002</v>
      </c>
      <c r="E25" s="6" t="str">
        <f>IF($C25="","",INDEX('02_Base_Potencial'!$D$5:$D$335,$C25-4)&amp;"")</f>
        <v>Esperança Média de Vida</v>
      </c>
      <c r="F25" s="6" t="str">
        <f>IF($C25="","",INDEX('02_Base_Potencial'!$E$5:$E$335,$C25-4)&amp;"")</f>
        <v>Anos</v>
      </c>
      <c r="G25" s="20" t="str">
        <f>IF($C25="","",INDEX('02_Base_Potencial'!$F$5:$F$335,$C25-4)&amp;"")</f>
        <v>+</v>
      </c>
      <c r="H25" s="20">
        <f>IF($C25="","",INDEX('02_Base_Potencial'!$G$5:$G$335,$C25-4))</f>
        <v>40</v>
      </c>
      <c r="I25" s="20">
        <f>IF($C25="","",INDEX('02_Base_Potencial'!$H$5:$H$335,$C25-4))</f>
        <v>85</v>
      </c>
      <c r="J25" s="20">
        <f>IF($C25="",0,IF(INDEX('02_Base_Potencial'!$J$5:$J$335,$C25-4)="",0,INDEX('02_Base_Potencial'!$J$5:$J$335,$C25-4)))</f>
        <v>1</v>
      </c>
      <c r="K25" s="6">
        <f>IF($C25="","",IF(INDEX('02_Base_Potencial'!$Q$5:$Q$335,$C25-4)="","",INDEX('02_Base_Potencial'!$Q$5:$Q$335,$C25-4)))</f>
        <v>61.042000000000002</v>
      </c>
      <c r="L25" s="6">
        <f>IF($C25="","",IF(INDEX('02_Base_Potencial'!$R$5:$R$335,$C25-4)="","",INDEX('02_Base_Potencial'!$R$5:$R$335,$C25-4)))</f>
        <v>61.619</v>
      </c>
      <c r="M25" s="6">
        <f>IF($C25="","",IF(INDEX('02_Base_Potencial'!$S$5:$S$335,$C25-4)="","",INDEX('02_Base_Potencial'!$S$5:$S$335,$C25-4)))</f>
        <v>62.122</v>
      </c>
      <c r="N25" s="6">
        <f>IF($C25="","",IF(INDEX('02_Base_Potencial'!$T$5:$T$335,$C25-4)="","",INDEX('02_Base_Potencial'!$T$5:$T$335,$C25-4)))</f>
        <v>62.622</v>
      </c>
      <c r="O25" s="6">
        <f>IF($C25="","",IF(INDEX('02_Base_Potencial'!$U$5:$U$335,$C25-4)="","",INDEX('02_Base_Potencial'!$U$5:$U$335,$C25-4)))</f>
        <v>63.051000000000002</v>
      </c>
      <c r="P25" s="6">
        <f>IF($C25="","",IF(INDEX('02_Base_Potencial'!$V$5:$V$335,$C25-4)="","",INDEX('02_Base_Potencial'!$V$5:$V$335,$C25-4)))</f>
        <v>63.116</v>
      </c>
      <c r="Q25" s="6">
        <f>IF($C25="","",IF(INDEX('02_Base_Potencial'!$W$5:$W$335,$C25-4)="","",INDEX('02_Base_Potencial'!$W$5:$W$335,$C25-4)))</f>
        <v>62.957999999999998</v>
      </c>
      <c r="R25" s="6">
        <f>IF($C25="","",IF(INDEX('02_Base_Potencial'!$X$5:$X$335,$C25-4)="","",INDEX('02_Base_Potencial'!$X$5:$X$335,$C25-4)))</f>
        <v>64.245999999999995</v>
      </c>
      <c r="S25" s="6">
        <f>IF($C25="","",IF(INDEX('02_Base_Potencial'!$Y$5:$Y$335,$C25-4)="","",INDEX('02_Base_Potencial'!$Y$5:$Y$335,$C25-4)))</f>
        <v>64.617000000000004</v>
      </c>
      <c r="T25" s="6">
        <f>IF($C25="","",IF(INDEX('02_Base_Potencial'!$Z$5:$Z$335,$C25-4)="","",INDEX('02_Base_Potencial'!$Z$5:$Z$335,$C25-4)))</f>
        <v>64.805000000000007</v>
      </c>
      <c r="U25" s="6">
        <f>IF($C25="","",IF(INDEX('02_Base_Potencial'!$AA$5:$AA$335,$C25-4)="","",INDEX('02_Base_Potencial'!$AA$5:$AA$335,$C25-4)))</f>
        <v>65</v>
      </c>
      <c r="V25" s="6" t="str">
        <f>IF($C25="","",INDEX('02_Base_Potencial'!$K$5:$K$335,$C25-4)&amp;"")</f>
        <v>INE/OMS</v>
      </c>
      <c r="W25" s="6" t="str">
        <f>IF($C25="","",COUNT(K25:U25)&amp;"/11")</f>
        <v>11/11</v>
      </c>
    </row>
    <row r="26" spans="1:23">
      <c r="A26" s="6" t="s">
        <v>78</v>
      </c>
      <c r="B26" s="20">
        <v>2</v>
      </c>
      <c r="C26" s="6">
        <f>IF(SUMPRODUCT(('02_Base_Potencial'!$B$5:$B$335=$A26)*('02_Base_Potencial'!$AR$5:$AR$335=$B26)*ROW('02_Base_Potencial'!$A$5:$A$335))=0,"",SUMPRODUCT(('02_Base_Potencial'!$B$5:$B$335=$A26)*('02_Base_Potencial'!$AR$5:$AR$335=$B26)*ROW('02_Base_Potencial'!$A$5:$A$335)))</f>
        <v>92</v>
      </c>
      <c r="D26" s="20" t="str">
        <f>IF($C26="","",INDEX('02_Base_Potencial'!$A$5:$A$335,$C26-4)&amp;"")</f>
        <v>HUM006</v>
      </c>
      <c r="E26" s="6" t="str">
        <f>IF($C26="","",INDEX('02_Base_Potencial'!$D$5:$D$335,$C26-4)&amp;"")</f>
        <v>Mortalidade Infantil (por 1000)</v>
      </c>
      <c r="F26" s="6" t="str">
        <f>IF($C26="","",INDEX('02_Base_Potencial'!$E$5:$E$335,$C26-4)&amp;"")</f>
        <v>‰</v>
      </c>
      <c r="G26" s="20" t="str">
        <f>IF($C26="","",INDEX('02_Base_Potencial'!$F$5:$F$335,$C26-4)&amp;"")</f>
        <v>-</v>
      </c>
      <c r="H26" s="20">
        <f>IF($C26="","",INDEX('02_Base_Potencial'!$G$5:$G$335,$C26-4))</f>
        <v>0</v>
      </c>
      <c r="I26" s="20">
        <f>IF($C26="","",INDEX('02_Base_Potencial'!$H$5:$H$335,$C26-4))</f>
        <v>150</v>
      </c>
      <c r="J26" s="20">
        <f>IF($C26="",0,IF(INDEX('02_Base_Potencial'!$J$5:$J$335,$C26-4)="",0,INDEX('02_Base_Potencial'!$J$5:$J$335,$C26-4)))</f>
        <v>1</v>
      </c>
      <c r="K26" s="6">
        <f>IF($C26="","",IF(INDEX('02_Base_Potencial'!$Q$5:$Q$335,$C26-4)="","",INDEX('02_Base_Potencial'!$Q$5:$Q$335,$C26-4)))</f>
        <v>38.799999999999997</v>
      </c>
      <c r="L26" s="6">
        <f>IF($C26="","",IF(INDEX('02_Base_Potencial'!$R$5:$R$335,$C26-4)="","",INDEX('02_Base_Potencial'!$R$5:$R$335,$C26-4)))</f>
        <v>37.6</v>
      </c>
      <c r="M26" s="6">
        <f>IF($C26="","",IF(INDEX('02_Base_Potencial'!$S$5:$S$335,$C26-4)="","",INDEX('02_Base_Potencial'!$S$5:$S$335,$C26-4)))</f>
        <v>36.700000000000003</v>
      </c>
      <c r="N26" s="6">
        <f>IF($C26="","",IF(INDEX('02_Base_Potencial'!$T$5:$T$335,$C26-4)="","",INDEX('02_Base_Potencial'!$T$5:$T$335,$C26-4)))</f>
        <v>36</v>
      </c>
      <c r="O26" s="6">
        <f>IF($C26="","",IF(INDEX('02_Base_Potencial'!$U$5:$U$335,$C26-4)="","",INDEX('02_Base_Potencial'!$U$5:$U$335,$C26-4)))</f>
        <v>35.5</v>
      </c>
      <c r="P26" s="6">
        <f>IF($C26="","",IF(INDEX('02_Base_Potencial'!$V$5:$V$335,$C26-4)="","",INDEX('02_Base_Potencial'!$V$5:$V$335,$C26-4)))</f>
        <v>34.9</v>
      </c>
      <c r="Q26" s="6">
        <f>IF($C26="","",IF(INDEX('02_Base_Potencial'!$W$5:$W$335,$C26-4)="","",INDEX('02_Base_Potencial'!$W$5:$W$335,$C26-4)))</f>
        <v>34.4</v>
      </c>
      <c r="R26" s="6">
        <f>IF($C26="","",IF(INDEX('02_Base_Potencial'!$X$5:$X$335,$C26-4)="","",INDEX('02_Base_Potencial'!$X$5:$X$335,$C26-4)))</f>
        <v>33.700000000000003</v>
      </c>
      <c r="S26" s="6">
        <f>IF($C26="","",IF(INDEX('02_Base_Potencial'!$Y$5:$Y$335,$C26-4)="","",INDEX('02_Base_Potencial'!$Y$5:$Y$335,$C26-4)))</f>
        <v>33</v>
      </c>
      <c r="T26" s="6">
        <f>IF($C26="","",IF(INDEX('02_Base_Potencial'!$Z$5:$Z$335,$C26-4)="","",INDEX('02_Base_Potencial'!$Z$5:$Z$335,$C26-4)))</f>
        <v>32.1</v>
      </c>
      <c r="U26" s="6" t="str">
        <f>IF($C26="","",IF(INDEX('02_Base_Potencial'!$AA$5:$AA$335,$C26-4)="","",INDEX('02_Base_Potencial'!$AA$5:$AA$335,$C26-4)))</f>
        <v/>
      </c>
      <c r="V26" s="6" t="str">
        <f>IF($C26="","",INDEX('02_Base_Potencial'!$K$5:$K$335,$C26-4)&amp;"")</f>
        <v>INE/MINSA</v>
      </c>
      <c r="W26" s="6" t="str">
        <f>IF($C26="","",COUNT(K26:U26)&amp;"/11")</f>
        <v>10/11</v>
      </c>
    </row>
    <row r="27" spans="1:23">
      <c r="A27" s="6" t="s">
        <v>78</v>
      </c>
      <c r="B27" s="20">
        <v>3</v>
      </c>
      <c r="C27" s="6">
        <f>IF(SUMPRODUCT(('02_Base_Potencial'!$B$5:$B$335=$A27)*('02_Base_Potencial'!$AR$5:$AR$335=$B27)*ROW('02_Base_Potencial'!$A$5:$A$335))=0,"",SUMPRODUCT(('02_Base_Potencial'!$B$5:$B$335=$A27)*('02_Base_Potencial'!$AR$5:$AR$335=$B27)*ROW('02_Base_Potencial'!$A$5:$A$335)))</f>
        <v>119</v>
      </c>
      <c r="D27" s="20" t="str">
        <f>IF($C27="","",INDEX('02_Base_Potencial'!$A$5:$A$335,$C27-4)&amp;"")</f>
        <v>HUM030</v>
      </c>
      <c r="E27" s="6" t="str">
        <f>IF($C27="","",INDEX('02_Base_Potencial'!$D$5:$D$335,$C27-4)&amp;"")</f>
        <v>Anos de escolaridade obrigatória</v>
      </c>
      <c r="F27" s="6" t="str">
        <f>IF($C27="","",INDEX('02_Base_Potencial'!$E$5:$E$335,$C27-4)&amp;"")</f>
        <v>anos</v>
      </c>
      <c r="G27" s="20" t="str">
        <f>IF($C27="","",INDEX('02_Base_Potencial'!$F$5:$F$335,$C27-4)&amp;"")</f>
        <v>+</v>
      </c>
      <c r="H27" s="20">
        <f>IF($C27="","",INDEX('02_Base_Potencial'!$G$5:$G$335,$C27-4))</f>
        <v>0</v>
      </c>
      <c r="I27" s="20">
        <f>IF($C27="","",INDEX('02_Base_Potencial'!$H$5:$H$335,$C27-4))</f>
        <v>13</v>
      </c>
      <c r="J27" s="20">
        <f>IF($C27="",0,IF(INDEX('02_Base_Potencial'!$J$5:$J$335,$C27-4)="",0,INDEX('02_Base_Potencial'!$J$5:$J$335,$C27-4)))</f>
        <v>1</v>
      </c>
      <c r="K27" s="6">
        <f>IF($C27="","",IF(INDEX('02_Base_Potencial'!$Q$5:$Q$335,$C27-4)="","",INDEX('02_Base_Potencial'!$Q$5:$Q$335,$C27-4)))</f>
        <v>6</v>
      </c>
      <c r="L27" s="6">
        <f>IF($C27="","",IF(INDEX('02_Base_Potencial'!$R$5:$R$335,$C27-4)="","",INDEX('02_Base_Potencial'!$R$5:$R$335,$C27-4)))</f>
        <v>10</v>
      </c>
      <c r="M27" s="6">
        <f>IF($C27="","",IF(INDEX('02_Base_Potencial'!$S$5:$S$335,$C27-4)="","",INDEX('02_Base_Potencial'!$S$5:$S$335,$C27-4)))</f>
        <v>10</v>
      </c>
      <c r="N27" s="6">
        <f>IF($C27="","",IF(INDEX('02_Base_Potencial'!$T$5:$T$335,$C27-4)="","",INDEX('02_Base_Potencial'!$T$5:$T$335,$C27-4)))</f>
        <v>10</v>
      </c>
      <c r="O27" s="6">
        <f>IF($C27="","",IF(INDEX('02_Base_Potencial'!$U$5:$U$335,$C27-4)="","",INDEX('02_Base_Potencial'!$U$5:$U$335,$C27-4)))</f>
        <v>10</v>
      </c>
      <c r="P27" s="6">
        <f>IF($C27="","",IF(INDEX('02_Base_Potencial'!$V$5:$V$335,$C27-4)="","",INDEX('02_Base_Potencial'!$V$5:$V$335,$C27-4)))</f>
        <v>10</v>
      </c>
      <c r="Q27" s="6">
        <f>IF($C27="","",IF(INDEX('02_Base_Potencial'!$W$5:$W$335,$C27-4)="","",INDEX('02_Base_Potencial'!$W$5:$W$335,$C27-4)))</f>
        <v>10</v>
      </c>
      <c r="R27" s="6">
        <f>IF($C27="","",IF(INDEX('02_Base_Potencial'!$X$5:$X$335,$C27-4)="","",INDEX('02_Base_Potencial'!$X$5:$X$335,$C27-4)))</f>
        <v>10</v>
      </c>
      <c r="S27" s="6">
        <f>IF($C27="","",IF(INDEX('02_Base_Potencial'!$Y$5:$Y$335,$C27-4)="","",INDEX('02_Base_Potencial'!$Y$5:$Y$335,$C27-4)))</f>
        <v>10</v>
      </c>
      <c r="T27" s="6">
        <f>IF($C27="","",IF(INDEX('02_Base_Potencial'!$Z$5:$Z$335,$C27-4)="","",INDEX('02_Base_Potencial'!$Z$5:$Z$335,$C27-4)))</f>
        <v>10</v>
      </c>
      <c r="U27" s="6">
        <f>IF($C27="","",IF(INDEX('02_Base_Potencial'!$AA$5:$AA$335,$C27-4)="","",INDEX('02_Base_Potencial'!$AA$5:$AA$335,$C27-4)))</f>
        <v>10</v>
      </c>
      <c r="V27" s="6" t="str">
        <f>IF($C27="","",INDEX('02_Base_Potencial'!$K$5:$K$335,$C27-4)&amp;"")</f>
        <v>Banco Mundial/UNESCO</v>
      </c>
      <c r="W27" s="6" t="str">
        <f>IF($C27="","",COUNT(K27:U27)&amp;"/11")</f>
        <v>11/11</v>
      </c>
    </row>
    <row r="28" spans="1:23">
      <c r="A28" s="6" t="s">
        <v>78</v>
      </c>
      <c r="B28" s="20">
        <v>4</v>
      </c>
      <c r="C28" s="6">
        <f>IF(SUMPRODUCT(('02_Base_Potencial'!$B$5:$B$335=$A28)*('02_Base_Potencial'!$AR$5:$AR$335=$B28)*ROW('02_Base_Potencial'!$A$5:$A$335))=0,"",SUMPRODUCT(('02_Base_Potencial'!$B$5:$B$335=$A28)*('02_Base_Potencial'!$AR$5:$AR$335=$B28)*ROW('02_Base_Potencial'!$A$5:$A$335)))</f>
        <v>105</v>
      </c>
      <c r="D28" s="20" t="str">
        <f>IF($C28="","",INDEX('02_Base_Potencial'!$A$5:$A$335,$C28-4)&amp;"")</f>
        <v>HUM010</v>
      </c>
      <c r="E28" s="6" t="str">
        <f>IF($C28="","",INDEX('02_Base_Potencial'!$D$5:$D$335,$C28-4)&amp;"")</f>
        <v>Despesa pública em educação (% PIB)</v>
      </c>
      <c r="F28" s="6" t="str">
        <f>IF($C28="","",INDEX('02_Base_Potencial'!$E$5:$E$335,$C28-4)&amp;"")</f>
        <v>%</v>
      </c>
      <c r="G28" s="20" t="str">
        <f>IF($C28="","",INDEX('02_Base_Potencial'!$F$5:$F$335,$C28-4)&amp;"")</f>
        <v>+</v>
      </c>
      <c r="H28" s="20">
        <f>IF($C28="","",INDEX('02_Base_Potencial'!$G$5:$G$335,$C28-4))</f>
        <v>0</v>
      </c>
      <c r="I28" s="20">
        <f>IF($C28="","",INDEX('02_Base_Potencial'!$H$5:$H$335,$C28-4))</f>
        <v>10</v>
      </c>
      <c r="J28" s="20">
        <f>IF($C28="",0,IF(INDEX('02_Base_Potencial'!$J$5:$J$335,$C28-4)="",0,INDEX('02_Base_Potencial'!$J$5:$J$335,$C28-4)))</f>
        <v>1</v>
      </c>
      <c r="K28" s="6">
        <f>IF($C28="","",IF(INDEX('02_Base_Potencial'!$Q$5:$Q$335,$C28-4)="","",INDEX('02_Base_Potencial'!$Q$5:$Q$335,$C28-4)))</f>
        <v>3.48689580393413</v>
      </c>
      <c r="L28" s="6">
        <f>IF($C28="","",IF(INDEX('02_Base_Potencial'!$R$5:$R$335,$C28-4)="","",INDEX('02_Base_Potencial'!$R$5:$R$335,$C28-4)))</f>
        <v>2.7549366458272502</v>
      </c>
      <c r="M28" s="6">
        <f>IF($C28="","",IF(INDEX('02_Base_Potencial'!$S$5:$S$335,$C28-4)="","",INDEX('02_Base_Potencial'!$S$5:$S$335,$C28-4)))</f>
        <v>2.46687881104886</v>
      </c>
      <c r="N28" s="6">
        <f>IF($C28="","",IF(INDEX('02_Base_Potencial'!$T$5:$T$335,$C28-4)="","",INDEX('02_Base_Potencial'!$T$5:$T$335,$C28-4)))</f>
        <v>2.1835129894627499</v>
      </c>
      <c r="O28" s="6">
        <f>IF($C28="","",IF(INDEX('02_Base_Potencial'!$U$5:$U$335,$C28-4)="","",INDEX('02_Base_Potencial'!$U$5:$U$335,$C28-4)))</f>
        <v>2.0730643818160299</v>
      </c>
      <c r="P28" s="6">
        <f>IF($C28="","",IF(INDEX('02_Base_Potencial'!$V$5:$V$335,$C28-4)="","",INDEX('02_Base_Potencial'!$V$5:$V$335,$C28-4)))</f>
        <v>2.6674473368928502</v>
      </c>
      <c r="Q28" s="6">
        <f>IF($C28="","",IF(INDEX('02_Base_Potencial'!$W$5:$W$335,$C28-4)="","",INDEX('02_Base_Potencial'!$W$5:$W$335,$C28-4)))</f>
        <v>2.29719689513241</v>
      </c>
      <c r="R28" s="6">
        <f>IF($C28="","",IF(INDEX('02_Base_Potencial'!$X$5:$X$335,$C28-4)="","",INDEX('02_Base_Potencial'!$X$5:$X$335,$C28-4)))</f>
        <v>2.3853589841663299</v>
      </c>
      <c r="S28" s="6">
        <f>IF($C28="","",IF(INDEX('02_Base_Potencial'!$Y$5:$Y$335,$C28-4)="","",INDEX('02_Base_Potencial'!$Y$5:$Y$335,$C28-4)))</f>
        <v>2.51273663315785</v>
      </c>
      <c r="T28" s="6" t="str">
        <f>IF($C28="","",IF(INDEX('02_Base_Potencial'!$Z$5:$Z$335,$C28-4)="","",INDEX('02_Base_Potencial'!$Z$5:$Z$335,$C28-4)))</f>
        <v/>
      </c>
      <c r="U28" s="6" t="str">
        <f>IF($C28="","",IF(INDEX('02_Base_Potencial'!$AA$5:$AA$335,$C28-4)="","",INDEX('02_Base_Potencial'!$AA$5:$AA$335,$C28-4)))</f>
        <v/>
      </c>
      <c r="V28" s="6" t="str">
        <f>IF($C28="","",INDEX('02_Base_Potencial'!$K$5:$K$335,$C28-4)&amp;"")</f>
        <v>Banco Mundial/UNESCO</v>
      </c>
      <c r="W28" s="6" t="str">
        <f>IF($C28="","",COUNT(K28:U28)&amp;"/11")</f>
        <v>9/11</v>
      </c>
    </row>
    <row r="29" spans="1:23">
      <c r="A29" s="6" t="s">
        <v>78</v>
      </c>
      <c r="B29" s="20">
        <v>5</v>
      </c>
      <c r="C29" s="6" t="str">
        <f>IF(SUMPRODUCT(('02_Base_Potencial'!$B$5:$B$335=$A29)*('02_Base_Potencial'!$AR$5:$AR$335=$B29)*ROW('02_Base_Potencial'!$A$5:$A$335))=0,"",SUMPRODUCT(('02_Base_Potencial'!$B$5:$B$335=$A29)*('02_Base_Potencial'!$AR$5:$AR$335=$B29)*ROW('02_Base_Potencial'!$A$5:$A$335)))</f>
        <v/>
      </c>
      <c r="D29" s="20" t="str">
        <f>IF($C29="","",INDEX('02_Base_Potencial'!$A$5:$A$335,$C29-4)&amp;"")</f>
        <v/>
      </c>
      <c r="E29" s="6" t="str">
        <f>IF($C29="","",INDEX('02_Base_Potencial'!$D$5:$D$335,$C29-4)&amp;"")</f>
        <v/>
      </c>
      <c r="F29" s="6" t="str">
        <f>IF($C29="","",INDEX('02_Base_Potencial'!$E$5:$E$335,$C29-4)&amp;"")</f>
        <v/>
      </c>
      <c r="G29" s="20" t="str">
        <f>IF($C29="","",INDEX('02_Base_Potencial'!$F$5:$F$335,$C29-4)&amp;"")</f>
        <v/>
      </c>
      <c r="H29" s="20" t="str">
        <f>IF($C29="","",INDEX('02_Base_Potencial'!$G$5:$G$335,$C29-4))</f>
        <v/>
      </c>
      <c r="I29" s="20" t="str">
        <f>IF($C29="","",INDEX('02_Base_Potencial'!$H$5:$H$335,$C29-4))</f>
        <v/>
      </c>
      <c r="J29" s="20">
        <f>IF($C29="",0,IF(INDEX('02_Base_Potencial'!$J$5:$J$335,$C29-4)="",0,INDEX('02_Base_Potencial'!$J$5:$J$335,$C29-4)))</f>
        <v>0</v>
      </c>
      <c r="K29" s="6" t="str">
        <f>IF($C29="","",IF(INDEX('02_Base_Potencial'!$Q$5:$Q$335,$C29-4)="","",INDEX('02_Base_Potencial'!$Q$5:$Q$335,$C29-4)))</f>
        <v/>
      </c>
      <c r="L29" s="6" t="str">
        <f>IF($C29="","",IF(INDEX('02_Base_Potencial'!$R$5:$R$335,$C29-4)="","",INDEX('02_Base_Potencial'!$R$5:$R$335,$C29-4)))</f>
        <v/>
      </c>
      <c r="M29" s="6" t="str">
        <f>IF($C29="","",IF(INDEX('02_Base_Potencial'!$S$5:$S$335,$C29-4)="","",INDEX('02_Base_Potencial'!$S$5:$S$335,$C29-4)))</f>
        <v/>
      </c>
      <c r="N29" s="6" t="str">
        <f>IF($C29="","",IF(INDEX('02_Base_Potencial'!$T$5:$T$335,$C29-4)="","",INDEX('02_Base_Potencial'!$T$5:$T$335,$C29-4)))</f>
        <v/>
      </c>
      <c r="O29" s="6" t="str">
        <f>IF($C29="","",IF(INDEX('02_Base_Potencial'!$U$5:$U$335,$C29-4)="","",INDEX('02_Base_Potencial'!$U$5:$U$335,$C29-4)))</f>
        <v/>
      </c>
      <c r="P29" s="6" t="str">
        <f>IF($C29="","",IF(INDEX('02_Base_Potencial'!$V$5:$V$335,$C29-4)="","",INDEX('02_Base_Potencial'!$V$5:$V$335,$C29-4)))</f>
        <v/>
      </c>
      <c r="Q29" s="6" t="str">
        <f>IF($C29="","",IF(INDEX('02_Base_Potencial'!$W$5:$W$335,$C29-4)="","",INDEX('02_Base_Potencial'!$W$5:$W$335,$C29-4)))</f>
        <v/>
      </c>
      <c r="R29" s="6" t="str">
        <f>IF($C29="","",IF(INDEX('02_Base_Potencial'!$X$5:$X$335,$C29-4)="","",INDEX('02_Base_Potencial'!$X$5:$X$335,$C29-4)))</f>
        <v/>
      </c>
      <c r="S29" s="6" t="str">
        <f>IF($C29="","",IF(INDEX('02_Base_Potencial'!$Y$5:$Y$335,$C29-4)="","",INDEX('02_Base_Potencial'!$Y$5:$Y$335,$C29-4)))</f>
        <v/>
      </c>
      <c r="T29" s="6" t="str">
        <f>IF($C29="","",IF(INDEX('02_Base_Potencial'!$Z$5:$Z$335,$C29-4)="","",INDEX('02_Base_Potencial'!$Z$5:$Z$335,$C29-4)))</f>
        <v/>
      </c>
      <c r="U29" s="6" t="str">
        <f>IF($C29="","",IF(INDEX('02_Base_Potencial'!$AA$5:$AA$335,$C29-4)="","",INDEX('02_Base_Potencial'!$AA$5:$AA$335,$C29-4)))</f>
        <v/>
      </c>
      <c r="V29" s="6" t="str">
        <f>IF($C29="","",INDEX('02_Base_Potencial'!$K$5:$K$335,$C29-4)&amp;"")</f>
        <v/>
      </c>
      <c r="W29" s="6" t="str">
        <f>IF($C29="","",COUNT(K29:U29)&amp;"/11")</f>
        <v/>
      </c>
    </row>
    <row r="30" spans="1:23">
      <c r="A30" s="6" t="s">
        <v>78</v>
      </c>
      <c r="B30" s="20">
        <v>6</v>
      </c>
      <c r="C30" s="6" t="str">
        <f>IF(SUMPRODUCT(('02_Base_Potencial'!$B$5:$B$335=$A30)*('02_Base_Potencial'!$AR$5:$AR$335=$B30)*ROW('02_Base_Potencial'!$A$5:$A$335))=0,"",SUMPRODUCT(('02_Base_Potencial'!$B$5:$B$335=$A30)*('02_Base_Potencial'!$AR$5:$AR$335=$B30)*ROW('02_Base_Potencial'!$A$5:$A$335)))</f>
        <v/>
      </c>
      <c r="D30" s="20" t="str">
        <f>IF($C30="","",INDEX('02_Base_Potencial'!$A$5:$A$335,$C30-4)&amp;"")</f>
        <v/>
      </c>
      <c r="E30" s="6" t="str">
        <f>IF($C30="","",INDEX('02_Base_Potencial'!$D$5:$D$335,$C30-4)&amp;"")</f>
        <v/>
      </c>
      <c r="F30" s="6" t="str">
        <f>IF($C30="","",INDEX('02_Base_Potencial'!$E$5:$E$335,$C30-4)&amp;"")</f>
        <v/>
      </c>
      <c r="G30" s="20" t="str">
        <f>IF($C30="","",INDEX('02_Base_Potencial'!$F$5:$F$335,$C30-4)&amp;"")</f>
        <v/>
      </c>
      <c r="H30" s="20" t="str">
        <f>IF($C30="","",INDEX('02_Base_Potencial'!$G$5:$G$335,$C30-4))</f>
        <v/>
      </c>
      <c r="I30" s="20" t="str">
        <f>IF($C30="","",INDEX('02_Base_Potencial'!$H$5:$H$335,$C30-4))</f>
        <v/>
      </c>
      <c r="J30" s="20">
        <f>IF($C30="",0,IF(INDEX('02_Base_Potencial'!$J$5:$J$335,$C30-4)="",0,INDEX('02_Base_Potencial'!$J$5:$J$335,$C30-4)))</f>
        <v>0</v>
      </c>
      <c r="K30" s="6" t="str">
        <f>IF($C30="","",IF(INDEX('02_Base_Potencial'!$Q$5:$Q$335,$C30-4)="","",INDEX('02_Base_Potencial'!$Q$5:$Q$335,$C30-4)))</f>
        <v/>
      </c>
      <c r="L30" s="6" t="str">
        <f>IF($C30="","",IF(INDEX('02_Base_Potencial'!$R$5:$R$335,$C30-4)="","",INDEX('02_Base_Potencial'!$R$5:$R$335,$C30-4)))</f>
        <v/>
      </c>
      <c r="M30" s="6" t="str">
        <f>IF($C30="","",IF(INDEX('02_Base_Potencial'!$S$5:$S$335,$C30-4)="","",INDEX('02_Base_Potencial'!$S$5:$S$335,$C30-4)))</f>
        <v/>
      </c>
      <c r="N30" s="6" t="str">
        <f>IF($C30="","",IF(INDEX('02_Base_Potencial'!$T$5:$T$335,$C30-4)="","",INDEX('02_Base_Potencial'!$T$5:$T$335,$C30-4)))</f>
        <v/>
      </c>
      <c r="O30" s="6" t="str">
        <f>IF($C30="","",IF(INDEX('02_Base_Potencial'!$U$5:$U$335,$C30-4)="","",INDEX('02_Base_Potencial'!$U$5:$U$335,$C30-4)))</f>
        <v/>
      </c>
      <c r="P30" s="6" t="str">
        <f>IF($C30="","",IF(INDEX('02_Base_Potencial'!$V$5:$V$335,$C30-4)="","",INDEX('02_Base_Potencial'!$V$5:$V$335,$C30-4)))</f>
        <v/>
      </c>
      <c r="Q30" s="6" t="str">
        <f>IF($C30="","",IF(INDEX('02_Base_Potencial'!$W$5:$W$335,$C30-4)="","",INDEX('02_Base_Potencial'!$W$5:$W$335,$C30-4)))</f>
        <v/>
      </c>
      <c r="R30" s="6" t="str">
        <f>IF($C30="","",IF(INDEX('02_Base_Potencial'!$X$5:$X$335,$C30-4)="","",INDEX('02_Base_Potencial'!$X$5:$X$335,$C30-4)))</f>
        <v/>
      </c>
      <c r="S30" s="6" t="str">
        <f>IF($C30="","",IF(INDEX('02_Base_Potencial'!$Y$5:$Y$335,$C30-4)="","",INDEX('02_Base_Potencial'!$Y$5:$Y$335,$C30-4)))</f>
        <v/>
      </c>
      <c r="T30" s="6" t="str">
        <f>IF($C30="","",IF(INDEX('02_Base_Potencial'!$Z$5:$Z$335,$C30-4)="","",INDEX('02_Base_Potencial'!$Z$5:$Z$335,$C30-4)))</f>
        <v/>
      </c>
      <c r="U30" s="6" t="str">
        <f>IF($C30="","",IF(INDEX('02_Base_Potencial'!$AA$5:$AA$335,$C30-4)="","",INDEX('02_Base_Potencial'!$AA$5:$AA$335,$C30-4)))</f>
        <v/>
      </c>
      <c r="V30" s="6" t="str">
        <f>IF($C30="","",INDEX('02_Base_Potencial'!$K$5:$K$335,$C30-4)&amp;"")</f>
        <v/>
      </c>
      <c r="W30" s="6" t="str">
        <f>IF($C30="","",COUNT(K30:U30)&amp;"/11")</f>
        <v/>
      </c>
    </row>
    <row r="31" spans="1:23">
      <c r="A31" s="6" t="s">
        <v>78</v>
      </c>
      <c r="B31" s="20">
        <v>7</v>
      </c>
      <c r="C31" s="6" t="str">
        <f>IF(SUMPRODUCT(('02_Base_Potencial'!$B$5:$B$335=$A31)*('02_Base_Potencial'!$AR$5:$AR$335=$B31)*ROW('02_Base_Potencial'!$A$5:$A$335))=0,"",SUMPRODUCT(('02_Base_Potencial'!$B$5:$B$335=$A31)*('02_Base_Potencial'!$AR$5:$AR$335=$B31)*ROW('02_Base_Potencial'!$A$5:$A$335)))</f>
        <v/>
      </c>
      <c r="D31" s="20" t="str">
        <f>IF($C31="","",INDEX('02_Base_Potencial'!$A$5:$A$335,$C31-4)&amp;"")</f>
        <v/>
      </c>
      <c r="E31" s="6" t="str">
        <f>IF($C31="","",INDEX('02_Base_Potencial'!$D$5:$D$335,$C31-4)&amp;"")</f>
        <v/>
      </c>
      <c r="F31" s="6" t="str">
        <f>IF($C31="","",INDEX('02_Base_Potencial'!$E$5:$E$335,$C31-4)&amp;"")</f>
        <v/>
      </c>
      <c r="G31" s="20" t="str">
        <f>IF($C31="","",INDEX('02_Base_Potencial'!$F$5:$F$335,$C31-4)&amp;"")</f>
        <v/>
      </c>
      <c r="H31" s="20" t="str">
        <f>IF($C31="","",INDEX('02_Base_Potencial'!$G$5:$G$335,$C31-4))</f>
        <v/>
      </c>
      <c r="I31" s="20" t="str">
        <f>IF($C31="","",INDEX('02_Base_Potencial'!$H$5:$H$335,$C31-4))</f>
        <v/>
      </c>
      <c r="J31" s="20">
        <f>IF($C31="",0,IF(INDEX('02_Base_Potencial'!$J$5:$J$335,$C31-4)="",0,INDEX('02_Base_Potencial'!$J$5:$J$335,$C31-4)))</f>
        <v>0</v>
      </c>
      <c r="K31" s="6" t="str">
        <f>IF($C31="","",IF(INDEX('02_Base_Potencial'!$Q$5:$Q$335,$C31-4)="","",INDEX('02_Base_Potencial'!$Q$5:$Q$335,$C31-4)))</f>
        <v/>
      </c>
      <c r="L31" s="6" t="str">
        <f>IF($C31="","",IF(INDEX('02_Base_Potencial'!$R$5:$R$335,$C31-4)="","",INDEX('02_Base_Potencial'!$R$5:$R$335,$C31-4)))</f>
        <v/>
      </c>
      <c r="M31" s="6" t="str">
        <f>IF($C31="","",IF(INDEX('02_Base_Potencial'!$S$5:$S$335,$C31-4)="","",INDEX('02_Base_Potencial'!$S$5:$S$335,$C31-4)))</f>
        <v/>
      </c>
      <c r="N31" s="6" t="str">
        <f>IF($C31="","",IF(INDEX('02_Base_Potencial'!$T$5:$T$335,$C31-4)="","",INDEX('02_Base_Potencial'!$T$5:$T$335,$C31-4)))</f>
        <v/>
      </c>
      <c r="O31" s="6" t="str">
        <f>IF($C31="","",IF(INDEX('02_Base_Potencial'!$U$5:$U$335,$C31-4)="","",INDEX('02_Base_Potencial'!$U$5:$U$335,$C31-4)))</f>
        <v/>
      </c>
      <c r="P31" s="6" t="str">
        <f>IF($C31="","",IF(INDEX('02_Base_Potencial'!$V$5:$V$335,$C31-4)="","",INDEX('02_Base_Potencial'!$V$5:$V$335,$C31-4)))</f>
        <v/>
      </c>
      <c r="Q31" s="6" t="str">
        <f>IF($C31="","",IF(INDEX('02_Base_Potencial'!$W$5:$W$335,$C31-4)="","",INDEX('02_Base_Potencial'!$W$5:$W$335,$C31-4)))</f>
        <v/>
      </c>
      <c r="R31" s="6" t="str">
        <f>IF($C31="","",IF(INDEX('02_Base_Potencial'!$X$5:$X$335,$C31-4)="","",INDEX('02_Base_Potencial'!$X$5:$X$335,$C31-4)))</f>
        <v/>
      </c>
      <c r="S31" s="6" t="str">
        <f>IF($C31="","",IF(INDEX('02_Base_Potencial'!$Y$5:$Y$335,$C31-4)="","",INDEX('02_Base_Potencial'!$Y$5:$Y$335,$C31-4)))</f>
        <v/>
      </c>
      <c r="T31" s="6" t="str">
        <f>IF($C31="","",IF(INDEX('02_Base_Potencial'!$Z$5:$Z$335,$C31-4)="","",INDEX('02_Base_Potencial'!$Z$5:$Z$335,$C31-4)))</f>
        <v/>
      </c>
      <c r="U31" s="6" t="str">
        <f>IF($C31="","",IF(INDEX('02_Base_Potencial'!$AA$5:$AA$335,$C31-4)="","",INDEX('02_Base_Potencial'!$AA$5:$AA$335,$C31-4)))</f>
        <v/>
      </c>
      <c r="V31" s="6" t="str">
        <f>IF($C31="","",INDEX('02_Base_Potencial'!$K$5:$K$335,$C31-4)&amp;"")</f>
        <v/>
      </c>
      <c r="W31" s="6" t="str">
        <f>IF($C31="","",COUNT(K31:U31)&amp;"/11")</f>
        <v/>
      </c>
    </row>
    <row r="32" spans="1:23">
      <c r="A32" s="6" t="s">
        <v>78</v>
      </c>
      <c r="B32" s="20">
        <v>8</v>
      </c>
      <c r="C32" s="6" t="str">
        <f>IF(SUMPRODUCT(('02_Base_Potencial'!$B$5:$B$335=$A32)*('02_Base_Potencial'!$AR$5:$AR$335=$B32)*ROW('02_Base_Potencial'!$A$5:$A$335))=0,"",SUMPRODUCT(('02_Base_Potencial'!$B$5:$B$335=$A32)*('02_Base_Potencial'!$AR$5:$AR$335=$B32)*ROW('02_Base_Potencial'!$A$5:$A$335)))</f>
        <v/>
      </c>
      <c r="D32" s="20" t="str">
        <f>IF($C32="","",INDEX('02_Base_Potencial'!$A$5:$A$335,$C32-4)&amp;"")</f>
        <v/>
      </c>
      <c r="E32" s="6" t="str">
        <f>IF($C32="","",INDEX('02_Base_Potencial'!$D$5:$D$335,$C32-4)&amp;"")</f>
        <v/>
      </c>
      <c r="F32" s="6" t="str">
        <f>IF($C32="","",INDEX('02_Base_Potencial'!$E$5:$E$335,$C32-4)&amp;"")</f>
        <v/>
      </c>
      <c r="G32" s="20" t="str">
        <f>IF($C32="","",INDEX('02_Base_Potencial'!$F$5:$F$335,$C32-4)&amp;"")</f>
        <v/>
      </c>
      <c r="H32" s="20" t="str">
        <f>IF($C32="","",INDEX('02_Base_Potencial'!$G$5:$G$335,$C32-4))</f>
        <v/>
      </c>
      <c r="I32" s="20" t="str">
        <f>IF($C32="","",INDEX('02_Base_Potencial'!$H$5:$H$335,$C32-4))</f>
        <v/>
      </c>
      <c r="J32" s="20">
        <f>IF($C32="",0,IF(INDEX('02_Base_Potencial'!$J$5:$J$335,$C32-4)="",0,INDEX('02_Base_Potencial'!$J$5:$J$335,$C32-4)))</f>
        <v>0</v>
      </c>
      <c r="K32" s="6" t="str">
        <f>IF($C32="","",IF(INDEX('02_Base_Potencial'!$Q$5:$Q$335,$C32-4)="","",INDEX('02_Base_Potencial'!$Q$5:$Q$335,$C32-4)))</f>
        <v/>
      </c>
      <c r="L32" s="6" t="str">
        <f>IF($C32="","",IF(INDEX('02_Base_Potencial'!$R$5:$R$335,$C32-4)="","",INDEX('02_Base_Potencial'!$R$5:$R$335,$C32-4)))</f>
        <v/>
      </c>
      <c r="M32" s="6" t="str">
        <f>IF($C32="","",IF(INDEX('02_Base_Potencial'!$S$5:$S$335,$C32-4)="","",INDEX('02_Base_Potencial'!$S$5:$S$335,$C32-4)))</f>
        <v/>
      </c>
      <c r="N32" s="6" t="str">
        <f>IF($C32="","",IF(INDEX('02_Base_Potencial'!$T$5:$T$335,$C32-4)="","",INDEX('02_Base_Potencial'!$T$5:$T$335,$C32-4)))</f>
        <v/>
      </c>
      <c r="O32" s="6" t="str">
        <f>IF($C32="","",IF(INDEX('02_Base_Potencial'!$U$5:$U$335,$C32-4)="","",INDEX('02_Base_Potencial'!$U$5:$U$335,$C32-4)))</f>
        <v/>
      </c>
      <c r="P32" s="6" t="str">
        <f>IF($C32="","",IF(INDEX('02_Base_Potencial'!$V$5:$V$335,$C32-4)="","",INDEX('02_Base_Potencial'!$V$5:$V$335,$C32-4)))</f>
        <v/>
      </c>
      <c r="Q32" s="6" t="str">
        <f>IF($C32="","",IF(INDEX('02_Base_Potencial'!$W$5:$W$335,$C32-4)="","",INDEX('02_Base_Potencial'!$W$5:$W$335,$C32-4)))</f>
        <v/>
      </c>
      <c r="R32" s="6" t="str">
        <f>IF($C32="","",IF(INDEX('02_Base_Potencial'!$X$5:$X$335,$C32-4)="","",INDEX('02_Base_Potencial'!$X$5:$X$335,$C32-4)))</f>
        <v/>
      </c>
      <c r="S32" s="6" t="str">
        <f>IF($C32="","",IF(INDEX('02_Base_Potencial'!$Y$5:$Y$335,$C32-4)="","",INDEX('02_Base_Potencial'!$Y$5:$Y$335,$C32-4)))</f>
        <v/>
      </c>
      <c r="T32" s="6" t="str">
        <f>IF($C32="","",IF(INDEX('02_Base_Potencial'!$Z$5:$Z$335,$C32-4)="","",INDEX('02_Base_Potencial'!$Z$5:$Z$335,$C32-4)))</f>
        <v/>
      </c>
      <c r="U32" s="6" t="str">
        <f>IF($C32="","",IF(INDEX('02_Base_Potencial'!$AA$5:$AA$335,$C32-4)="","",INDEX('02_Base_Potencial'!$AA$5:$AA$335,$C32-4)))</f>
        <v/>
      </c>
      <c r="V32" s="6" t="str">
        <f>IF($C32="","",INDEX('02_Base_Potencial'!$K$5:$K$335,$C32-4)&amp;"")</f>
        <v/>
      </c>
      <c r="W32" s="6" t="str">
        <f>IF($C32="","",COUNT(K32:U32)&amp;"/11")</f>
        <v/>
      </c>
    </row>
    <row r="33" spans="1:23">
      <c r="A33" s="6" t="s">
        <v>78</v>
      </c>
      <c r="B33" s="20">
        <v>9</v>
      </c>
      <c r="C33" s="6" t="str">
        <f>IF(SUMPRODUCT(('02_Base_Potencial'!$B$5:$B$335=$A33)*('02_Base_Potencial'!$AR$5:$AR$335=$B33)*ROW('02_Base_Potencial'!$A$5:$A$335))=0,"",SUMPRODUCT(('02_Base_Potencial'!$B$5:$B$335=$A33)*('02_Base_Potencial'!$AR$5:$AR$335=$B33)*ROW('02_Base_Potencial'!$A$5:$A$335)))</f>
        <v/>
      </c>
      <c r="D33" s="20" t="str">
        <f>IF($C33="","",INDEX('02_Base_Potencial'!$A$5:$A$335,$C33-4)&amp;"")</f>
        <v/>
      </c>
      <c r="E33" s="6" t="str">
        <f>IF($C33="","",INDEX('02_Base_Potencial'!$D$5:$D$335,$C33-4)&amp;"")</f>
        <v/>
      </c>
      <c r="F33" s="6" t="str">
        <f>IF($C33="","",INDEX('02_Base_Potencial'!$E$5:$E$335,$C33-4)&amp;"")</f>
        <v/>
      </c>
      <c r="G33" s="20" t="str">
        <f>IF($C33="","",INDEX('02_Base_Potencial'!$F$5:$F$335,$C33-4)&amp;"")</f>
        <v/>
      </c>
      <c r="H33" s="20" t="str">
        <f>IF($C33="","",INDEX('02_Base_Potencial'!$G$5:$G$335,$C33-4))</f>
        <v/>
      </c>
      <c r="I33" s="20" t="str">
        <f>IF($C33="","",INDEX('02_Base_Potencial'!$H$5:$H$335,$C33-4))</f>
        <v/>
      </c>
      <c r="J33" s="20">
        <f>IF($C33="",0,IF(INDEX('02_Base_Potencial'!$J$5:$J$335,$C33-4)="",0,INDEX('02_Base_Potencial'!$J$5:$J$335,$C33-4)))</f>
        <v>0</v>
      </c>
      <c r="K33" s="6" t="str">
        <f>IF($C33="","",IF(INDEX('02_Base_Potencial'!$Q$5:$Q$335,$C33-4)="","",INDEX('02_Base_Potencial'!$Q$5:$Q$335,$C33-4)))</f>
        <v/>
      </c>
      <c r="L33" s="6" t="str">
        <f>IF($C33="","",IF(INDEX('02_Base_Potencial'!$R$5:$R$335,$C33-4)="","",INDEX('02_Base_Potencial'!$R$5:$R$335,$C33-4)))</f>
        <v/>
      </c>
      <c r="M33" s="6" t="str">
        <f>IF($C33="","",IF(INDEX('02_Base_Potencial'!$S$5:$S$335,$C33-4)="","",INDEX('02_Base_Potencial'!$S$5:$S$335,$C33-4)))</f>
        <v/>
      </c>
      <c r="N33" s="6" t="str">
        <f>IF($C33="","",IF(INDEX('02_Base_Potencial'!$T$5:$T$335,$C33-4)="","",INDEX('02_Base_Potencial'!$T$5:$T$335,$C33-4)))</f>
        <v/>
      </c>
      <c r="O33" s="6" t="str">
        <f>IF($C33="","",IF(INDEX('02_Base_Potencial'!$U$5:$U$335,$C33-4)="","",INDEX('02_Base_Potencial'!$U$5:$U$335,$C33-4)))</f>
        <v/>
      </c>
      <c r="P33" s="6" t="str">
        <f>IF($C33="","",IF(INDEX('02_Base_Potencial'!$V$5:$V$335,$C33-4)="","",INDEX('02_Base_Potencial'!$V$5:$V$335,$C33-4)))</f>
        <v/>
      </c>
      <c r="Q33" s="6" t="str">
        <f>IF($C33="","",IF(INDEX('02_Base_Potencial'!$W$5:$W$335,$C33-4)="","",INDEX('02_Base_Potencial'!$W$5:$W$335,$C33-4)))</f>
        <v/>
      </c>
      <c r="R33" s="6" t="str">
        <f>IF($C33="","",IF(INDEX('02_Base_Potencial'!$X$5:$X$335,$C33-4)="","",INDEX('02_Base_Potencial'!$X$5:$X$335,$C33-4)))</f>
        <v/>
      </c>
      <c r="S33" s="6" t="str">
        <f>IF($C33="","",IF(INDEX('02_Base_Potencial'!$Y$5:$Y$335,$C33-4)="","",INDEX('02_Base_Potencial'!$Y$5:$Y$335,$C33-4)))</f>
        <v/>
      </c>
      <c r="T33" s="6" t="str">
        <f>IF($C33="","",IF(INDEX('02_Base_Potencial'!$Z$5:$Z$335,$C33-4)="","",INDEX('02_Base_Potencial'!$Z$5:$Z$335,$C33-4)))</f>
        <v/>
      </c>
      <c r="U33" s="6" t="str">
        <f>IF($C33="","",IF(INDEX('02_Base_Potencial'!$AA$5:$AA$335,$C33-4)="","",INDEX('02_Base_Potencial'!$AA$5:$AA$335,$C33-4)))</f>
        <v/>
      </c>
      <c r="V33" s="6" t="str">
        <f>IF($C33="","",INDEX('02_Base_Potencial'!$K$5:$K$335,$C33-4)&amp;"")</f>
        <v/>
      </c>
      <c r="W33" s="6" t="str">
        <f>IF($C33="","",COUNT(K33:U33)&amp;"/11")</f>
        <v/>
      </c>
    </row>
    <row r="34" spans="1:23">
      <c r="A34" s="6" t="s">
        <v>78</v>
      </c>
      <c r="B34" s="20">
        <v>10</v>
      </c>
      <c r="C34" s="6" t="str">
        <f>IF(SUMPRODUCT(('02_Base_Potencial'!$B$5:$B$335=$A34)*('02_Base_Potencial'!$AR$5:$AR$335=$B34)*ROW('02_Base_Potencial'!$A$5:$A$335))=0,"",SUMPRODUCT(('02_Base_Potencial'!$B$5:$B$335=$A34)*('02_Base_Potencial'!$AR$5:$AR$335=$B34)*ROW('02_Base_Potencial'!$A$5:$A$335)))</f>
        <v/>
      </c>
      <c r="D34" s="20" t="str">
        <f>IF($C34="","",INDEX('02_Base_Potencial'!$A$5:$A$335,$C34-4)&amp;"")</f>
        <v/>
      </c>
      <c r="E34" s="6" t="str">
        <f>IF($C34="","",INDEX('02_Base_Potencial'!$D$5:$D$335,$C34-4)&amp;"")</f>
        <v/>
      </c>
      <c r="F34" s="6" t="str">
        <f>IF($C34="","",INDEX('02_Base_Potencial'!$E$5:$E$335,$C34-4)&amp;"")</f>
        <v/>
      </c>
      <c r="G34" s="20" t="str">
        <f>IF($C34="","",INDEX('02_Base_Potencial'!$F$5:$F$335,$C34-4)&amp;"")</f>
        <v/>
      </c>
      <c r="H34" s="20" t="str">
        <f>IF($C34="","",INDEX('02_Base_Potencial'!$G$5:$G$335,$C34-4))</f>
        <v/>
      </c>
      <c r="I34" s="20" t="str">
        <f>IF($C34="","",INDEX('02_Base_Potencial'!$H$5:$H$335,$C34-4))</f>
        <v/>
      </c>
      <c r="J34" s="20">
        <f>IF($C34="",0,IF(INDEX('02_Base_Potencial'!$J$5:$J$335,$C34-4)="",0,INDEX('02_Base_Potencial'!$J$5:$J$335,$C34-4)))</f>
        <v>0</v>
      </c>
      <c r="K34" s="6" t="str">
        <f>IF($C34="","",IF(INDEX('02_Base_Potencial'!$Q$5:$Q$335,$C34-4)="","",INDEX('02_Base_Potencial'!$Q$5:$Q$335,$C34-4)))</f>
        <v/>
      </c>
      <c r="L34" s="6" t="str">
        <f>IF($C34="","",IF(INDEX('02_Base_Potencial'!$R$5:$R$335,$C34-4)="","",INDEX('02_Base_Potencial'!$R$5:$R$335,$C34-4)))</f>
        <v/>
      </c>
      <c r="M34" s="6" t="str">
        <f>IF($C34="","",IF(INDEX('02_Base_Potencial'!$S$5:$S$335,$C34-4)="","",INDEX('02_Base_Potencial'!$S$5:$S$335,$C34-4)))</f>
        <v/>
      </c>
      <c r="N34" s="6" t="str">
        <f>IF($C34="","",IF(INDEX('02_Base_Potencial'!$T$5:$T$335,$C34-4)="","",INDEX('02_Base_Potencial'!$T$5:$T$335,$C34-4)))</f>
        <v/>
      </c>
      <c r="O34" s="6" t="str">
        <f>IF($C34="","",IF(INDEX('02_Base_Potencial'!$U$5:$U$335,$C34-4)="","",INDEX('02_Base_Potencial'!$U$5:$U$335,$C34-4)))</f>
        <v/>
      </c>
      <c r="P34" s="6" t="str">
        <f>IF($C34="","",IF(INDEX('02_Base_Potencial'!$V$5:$V$335,$C34-4)="","",INDEX('02_Base_Potencial'!$V$5:$V$335,$C34-4)))</f>
        <v/>
      </c>
      <c r="Q34" s="6" t="str">
        <f>IF($C34="","",IF(INDEX('02_Base_Potencial'!$W$5:$W$335,$C34-4)="","",INDEX('02_Base_Potencial'!$W$5:$W$335,$C34-4)))</f>
        <v/>
      </c>
      <c r="R34" s="6" t="str">
        <f>IF($C34="","",IF(INDEX('02_Base_Potencial'!$X$5:$X$335,$C34-4)="","",INDEX('02_Base_Potencial'!$X$5:$X$335,$C34-4)))</f>
        <v/>
      </c>
      <c r="S34" s="6" t="str">
        <f>IF($C34="","",IF(INDEX('02_Base_Potencial'!$Y$5:$Y$335,$C34-4)="","",INDEX('02_Base_Potencial'!$Y$5:$Y$335,$C34-4)))</f>
        <v/>
      </c>
      <c r="T34" s="6" t="str">
        <f>IF($C34="","",IF(INDEX('02_Base_Potencial'!$Z$5:$Z$335,$C34-4)="","",INDEX('02_Base_Potencial'!$Z$5:$Z$335,$C34-4)))</f>
        <v/>
      </c>
      <c r="U34" s="6" t="str">
        <f>IF($C34="","",IF(INDEX('02_Base_Potencial'!$AA$5:$AA$335,$C34-4)="","",INDEX('02_Base_Potencial'!$AA$5:$AA$335,$C34-4)))</f>
        <v/>
      </c>
      <c r="V34" s="6" t="str">
        <f>IF($C34="","",INDEX('02_Base_Potencial'!$K$5:$K$335,$C34-4)&amp;"")</f>
        <v/>
      </c>
      <c r="W34" s="6" t="str">
        <f>IF($C34="","",COUNT(K34:U34)&amp;"/11")</f>
        <v/>
      </c>
    </row>
    <row r="35" spans="1:23">
      <c r="A35" s="27" t="s">
        <v>79</v>
      </c>
      <c r="B35" s="25">
        <v>1</v>
      </c>
      <c r="C35" s="27">
        <f>IF(SUMPRODUCT(('02_Base_Potencial'!$B$5:$B$335=$A35)*('02_Base_Potencial'!$AR$5:$AR$335=$B35)*ROW('02_Base_Potencial'!$A$5:$A$335))=0,"",SUMPRODUCT(('02_Base_Potencial'!$B$5:$B$335=$A35)*('02_Base_Potencial'!$AR$5:$AR$335=$B35)*ROW('02_Base_Potencial'!$A$5:$A$335)))</f>
        <v>122</v>
      </c>
      <c r="D35" s="25" t="str">
        <f>IF($C35="","",INDEX('02_Base_Potencial'!$A$5:$A$335,$C35-4)&amp;"")</f>
        <v>INC005</v>
      </c>
      <c r="E35" s="27" t="str">
        <f>IF($C35="","",INDEX('02_Base_Potencial'!$D$5:$D$335,$C35-4)&amp;"")</f>
        <v>RNB per Capita (USD)</v>
      </c>
      <c r="F35" s="27" t="str">
        <f>IF($C35="","",INDEX('02_Base_Potencial'!$E$5:$E$335,$C35-4)&amp;"")</f>
        <v>USD</v>
      </c>
      <c r="G35" s="25" t="str">
        <f>IF($C35="","",INDEX('02_Base_Potencial'!$F$5:$F$335,$C35-4)&amp;"")</f>
        <v>+</v>
      </c>
      <c r="H35" s="25">
        <f>IF($C35="","",INDEX('02_Base_Potencial'!$G$5:$G$335,$C35-4))</f>
        <v>500</v>
      </c>
      <c r="I35" s="25">
        <f>IF($C35="","",INDEX('02_Base_Potencial'!$H$5:$H$335,$C35-4))</f>
        <v>15000</v>
      </c>
      <c r="J35" s="25">
        <f>IF($C35="",0,IF(INDEX('02_Base_Potencial'!$J$5:$J$335,$C35-4)="",0,INDEX('02_Base_Potencial'!$J$5:$J$335,$C35-4)))</f>
        <v>1</v>
      </c>
      <c r="K35" s="27">
        <f>IF($C35="","",IF(INDEX('02_Base_Potencial'!$Q$5:$Q$335,$C35-4)="","",INDEX('02_Base_Potencial'!$Q$5:$Q$335,$C35-4)))</f>
        <v>4450</v>
      </c>
      <c r="L35" s="27">
        <f>IF($C35="","",IF(INDEX('02_Base_Potencial'!$R$5:$R$335,$C35-4)="","",INDEX('02_Base_Potencial'!$R$5:$R$335,$C35-4)))</f>
        <v>2960</v>
      </c>
      <c r="M35" s="27">
        <f>IF($C35="","",IF(INDEX('02_Base_Potencial'!$S$5:$S$335,$C35-4)="","",INDEX('02_Base_Potencial'!$S$5:$S$335,$C35-4)))</f>
        <v>2440</v>
      </c>
      <c r="N35" s="27">
        <f>IF($C35="","",IF(INDEX('02_Base_Potencial'!$T$5:$T$335,$C35-4)="","",INDEX('02_Base_Potencial'!$T$5:$T$335,$C35-4)))</f>
        <v>2300</v>
      </c>
      <c r="O35" s="27">
        <f>IF($C35="","",IF(INDEX('02_Base_Potencial'!$U$5:$U$335,$C35-4)="","",INDEX('02_Base_Potencial'!$U$5:$U$335,$C35-4)))</f>
        <v>2460</v>
      </c>
      <c r="P35" s="27">
        <f>IF($C35="","",IF(INDEX('02_Base_Potencial'!$V$5:$V$335,$C35-4)="","",INDEX('02_Base_Potencial'!$V$5:$V$335,$C35-4)))</f>
        <v>2000</v>
      </c>
      <c r="Q35" s="27">
        <f>IF($C35="","",IF(INDEX('02_Base_Potencial'!$W$5:$W$335,$C35-4)="","",INDEX('02_Base_Potencial'!$W$5:$W$335,$C35-4)))</f>
        <v>1960</v>
      </c>
      <c r="R35" s="27">
        <f>IF($C35="","",IF(INDEX('02_Base_Potencial'!$X$5:$X$335,$C35-4)="","",INDEX('02_Base_Potencial'!$X$5:$X$335,$C35-4)))</f>
        <v>2290</v>
      </c>
      <c r="S35" s="27">
        <f>IF($C35="","",IF(INDEX('02_Base_Potencial'!$Y$5:$Y$335,$C35-4)="","",INDEX('02_Base_Potencial'!$Y$5:$Y$335,$C35-4)))</f>
        <v>2650</v>
      </c>
      <c r="T35" s="27">
        <f>IF($C35="","",IF(INDEX('02_Base_Potencial'!$Z$5:$Z$335,$C35-4)="","",INDEX('02_Base_Potencial'!$Z$5:$Z$335,$C35-4)))</f>
        <v>2850</v>
      </c>
      <c r="U35" s="27">
        <f>IF($C35="","",IF(INDEX('02_Base_Potencial'!$AA$5:$AA$335,$C35-4)="","",INDEX('02_Base_Potencial'!$AA$5:$AA$335,$C35-4)))</f>
        <v>2860</v>
      </c>
      <c r="V35" s="6" t="str">
        <f>IF($C35="","",INDEX('02_Base_Potencial'!$K$5:$K$335,$C35-4)&amp;"")</f>
        <v>INE</v>
      </c>
      <c r="W35" s="6" t="str">
        <f>IF($C35="","",COUNT(K35:U35)&amp;"/11")</f>
        <v>11/11</v>
      </c>
    </row>
    <row r="36" spans="1:23">
      <c r="A36" s="27" t="s">
        <v>79</v>
      </c>
      <c r="B36" s="25">
        <v>2</v>
      </c>
      <c r="C36" s="27">
        <f>IF(SUMPRODUCT(('02_Base_Potencial'!$B$5:$B$335=$A36)*('02_Base_Potencial'!$AR$5:$AR$335=$B36)*ROW('02_Base_Potencial'!$A$5:$A$335))=0,"",SUMPRODUCT(('02_Base_Potencial'!$B$5:$B$335=$A36)*('02_Base_Potencial'!$AR$5:$AR$335=$B36)*ROW('02_Base_Potencial'!$A$5:$A$335)))</f>
        <v>124</v>
      </c>
      <c r="D36" s="25" t="str">
        <f>IF($C36="","",INDEX('02_Base_Potencial'!$A$5:$A$335,$C36-4)&amp;"")</f>
        <v>INC04</v>
      </c>
      <c r="E36" s="27" t="str">
        <f>IF($C36="","",INDEX('02_Base_Potencial'!$D$5:$D$335,$C36-4)&amp;"")</f>
        <v>Global Gender Gap Index</v>
      </c>
      <c r="F36" s="27" t="str">
        <f>IF($C36="","",INDEX('02_Base_Potencial'!$E$5:$E$335,$C36-4)&amp;"")</f>
        <v>0-1</v>
      </c>
      <c r="G36" s="25" t="str">
        <f>IF($C36="","",INDEX('02_Base_Potencial'!$F$5:$F$335,$C36-4)&amp;"")</f>
        <v>+</v>
      </c>
      <c r="H36" s="25">
        <f>IF($C36="","",INDEX('02_Base_Potencial'!$G$5:$G$335,$C36-4))</f>
        <v>0</v>
      </c>
      <c r="I36" s="25">
        <f>IF($C36="","",INDEX('02_Base_Potencial'!$H$5:$H$335,$C36-4))</f>
        <v>1</v>
      </c>
      <c r="J36" s="25">
        <f>IF($C36="",0,IF(INDEX('02_Base_Potencial'!$J$5:$J$335,$C36-4)="",0,INDEX('02_Base_Potencial'!$J$5:$J$335,$C36-4)))</f>
        <v>1</v>
      </c>
      <c r="K36" s="27">
        <f>IF($C36="","",IF(INDEX('02_Base_Potencial'!$Q$5:$Q$335,$C36-4)="","",INDEX('02_Base_Potencial'!$Q$5:$Q$335,$C36-4)))</f>
        <v>0.63700000000000001</v>
      </c>
      <c r="L36" s="27">
        <f>IF($C36="","",IF(INDEX('02_Base_Potencial'!$R$5:$R$335,$C36-4)="","",INDEX('02_Base_Potencial'!$R$5:$R$335,$C36-4)))</f>
        <v>0.64300000000000002</v>
      </c>
      <c r="M36" s="27">
        <f>IF($C36="","",IF(INDEX('02_Base_Potencial'!$S$5:$S$335,$C36-4)="","",INDEX('02_Base_Potencial'!$S$5:$S$335,$C36-4)))</f>
        <v>0.64</v>
      </c>
      <c r="N36" s="27">
        <f>IF($C36="","",IF(INDEX('02_Base_Potencial'!$T$5:$T$335,$C36-4)="","",INDEX('02_Base_Potencial'!$T$5:$T$335,$C36-4)))</f>
        <v>0.63300000000000001</v>
      </c>
      <c r="O36" s="27" t="str">
        <f>IF($C36="","",IF(INDEX('02_Base_Potencial'!$U$5:$U$335,$C36-4)="","",INDEX('02_Base_Potencial'!$U$5:$U$335,$C36-4)))</f>
        <v/>
      </c>
      <c r="P36" s="27">
        <f>IF($C36="","",IF(INDEX('02_Base_Potencial'!$V$5:$V$335,$C36-4)="","",INDEX('02_Base_Potencial'!$V$5:$V$335,$C36-4)))</f>
        <v>0.66</v>
      </c>
      <c r="Q36" s="27">
        <f>IF($C36="","",IF(INDEX('02_Base_Potencial'!$W$5:$W$335,$C36-4)="","",INDEX('02_Base_Potencial'!$W$5:$W$335,$C36-4)))</f>
        <v>0.65700000000000003</v>
      </c>
      <c r="R36" s="27">
        <f>IF($C36="","",IF(INDEX('02_Base_Potencial'!$X$5:$X$335,$C36-4)="","",INDEX('02_Base_Potencial'!$X$5:$X$335,$C36-4)))</f>
        <v>0.63800000000000001</v>
      </c>
      <c r="S36" s="27">
        <f>IF($C36="","",IF(INDEX('02_Base_Potencial'!$Y$5:$Y$335,$C36-4)="","",INDEX('02_Base_Potencial'!$Y$5:$Y$335,$C36-4)))</f>
        <v>0.65600000000000003</v>
      </c>
      <c r="T36" s="27">
        <f>IF($C36="","",IF(INDEX('02_Base_Potencial'!$Z$5:$Z$335,$C36-4)="","",INDEX('02_Base_Potencial'!$Z$5:$Z$335,$C36-4)))</f>
        <v>0.66800000000000004</v>
      </c>
      <c r="U36" s="27">
        <f>IF($C36="","",IF(INDEX('02_Base_Potencial'!$AA$5:$AA$335,$C36-4)="","",INDEX('02_Base_Potencial'!$AA$5:$AA$335,$C36-4)))</f>
        <v>0.66800000000000004</v>
      </c>
      <c r="V36" s="6" t="str">
        <f>IF($C36="","",INDEX('02_Base_Potencial'!$K$5:$K$335,$C36-4)&amp;"")</f>
        <v>WEF</v>
      </c>
      <c r="W36" s="6" t="str">
        <f>IF($C36="","",COUNT(K36:U36)&amp;"/11")</f>
        <v>10/11</v>
      </c>
    </row>
    <row r="37" spans="1:23">
      <c r="A37" s="27" t="s">
        <v>79</v>
      </c>
      <c r="B37" s="25">
        <v>3</v>
      </c>
      <c r="C37" s="27">
        <f>IF(SUMPRODUCT(('02_Base_Potencial'!$B$5:$B$335=$A37)*('02_Base_Potencial'!$AR$5:$AR$335=$B37)*ROW('02_Base_Potencial'!$A$5:$A$335))=0,"",SUMPRODUCT(('02_Base_Potencial'!$B$5:$B$335=$A37)*('02_Base_Potencial'!$AR$5:$AR$335=$B37)*ROW('02_Base_Potencial'!$A$5:$A$335)))</f>
        <v>149</v>
      </c>
      <c r="D37" s="25" t="str">
        <f>IF($C37="","",INDEX('02_Base_Potencial'!$A$5:$A$335,$C37-4)&amp;"")</f>
        <v>INC06</v>
      </c>
      <c r="E37" s="27" t="str">
        <f>IF($C37="","",INDEX('02_Base_Potencial'!$D$5:$D$335,$C37-4)&amp;"")</f>
        <v>Mulheres no parlamento</v>
      </c>
      <c r="F37" s="27" t="str">
        <f>IF($C37="","",INDEX('02_Base_Potencial'!$E$5:$E$335,$C37-4)&amp;"")</f>
        <v>%</v>
      </c>
      <c r="G37" s="25" t="str">
        <f>IF($C37="","",INDEX('02_Base_Potencial'!$F$5:$F$335,$C37-4)&amp;"")</f>
        <v>+</v>
      </c>
      <c r="H37" s="25">
        <f>IF($C37="","",INDEX('02_Base_Potencial'!$G$5:$G$335,$C37-4))</f>
        <v>0</v>
      </c>
      <c r="I37" s="25">
        <f>IF($C37="","",INDEX('02_Base_Potencial'!$H$5:$H$335,$C37-4))</f>
        <v>60</v>
      </c>
      <c r="J37" s="25">
        <f>IF($C37="",0,IF(INDEX('02_Base_Potencial'!$J$5:$J$335,$C37-4)="",0,INDEX('02_Base_Potencial'!$J$5:$J$335,$C37-4)))</f>
        <v>1</v>
      </c>
      <c r="K37" s="27">
        <f>IF($C37="","",IF(INDEX('02_Base_Potencial'!$Q$5:$Q$335,$C37-4)="","",INDEX('02_Base_Potencial'!$Q$5:$Q$335,$C37-4)))</f>
        <v>36.818181818181799</v>
      </c>
      <c r="L37" s="27">
        <f>IF($C37="","",IF(INDEX('02_Base_Potencial'!$R$5:$R$335,$C37-4)="","",INDEX('02_Base_Potencial'!$R$5:$R$335,$C37-4)))</f>
        <v>36.818181818181799</v>
      </c>
      <c r="M37" s="27">
        <f>IF($C37="","",IF(INDEX('02_Base_Potencial'!$S$5:$S$335,$C37-4)="","",INDEX('02_Base_Potencial'!$S$5:$S$335,$C37-4)))</f>
        <v>30.454545454545499</v>
      </c>
      <c r="N37" s="27">
        <f>IF($C37="","",IF(INDEX('02_Base_Potencial'!$T$5:$T$335,$C37-4)="","",INDEX('02_Base_Potencial'!$T$5:$T$335,$C37-4)))</f>
        <v>30.454545454545499</v>
      </c>
      <c r="O37" s="27">
        <f>IF($C37="","",IF(INDEX('02_Base_Potencial'!$U$5:$U$335,$C37-4)="","",INDEX('02_Base_Potencial'!$U$5:$U$335,$C37-4)))</f>
        <v>30</v>
      </c>
      <c r="P37" s="27">
        <f>IF($C37="","",IF(INDEX('02_Base_Potencial'!$V$5:$V$335,$C37-4)="","",INDEX('02_Base_Potencial'!$V$5:$V$335,$C37-4)))</f>
        <v>30</v>
      </c>
      <c r="Q37" s="27">
        <f>IF($C37="","",IF(INDEX('02_Base_Potencial'!$W$5:$W$335,$C37-4)="","",INDEX('02_Base_Potencial'!$W$5:$W$335,$C37-4)))</f>
        <v>29.545454545454501</v>
      </c>
      <c r="R37" s="27">
        <f>IF($C37="","",IF(INDEX('02_Base_Potencial'!$X$5:$X$335,$C37-4)="","",INDEX('02_Base_Potencial'!$X$5:$X$335,$C37-4)))</f>
        <v>33.636363636363598</v>
      </c>
      <c r="S37" s="27">
        <f>IF($C37="","",IF(INDEX('02_Base_Potencial'!$Y$5:$Y$335,$C37-4)="","",INDEX('02_Base_Potencial'!$Y$5:$Y$335,$C37-4)))</f>
        <v>33.636363636363598</v>
      </c>
      <c r="T37" s="27">
        <f>IF($C37="","",IF(INDEX('02_Base_Potencial'!$Z$5:$Z$335,$C37-4)="","",INDEX('02_Base_Potencial'!$Z$5:$Z$335,$C37-4)))</f>
        <v>39.545454545454497</v>
      </c>
      <c r="U37" s="27">
        <f>IF($C37="","",IF(INDEX('02_Base_Potencial'!$AA$5:$AA$335,$C37-4)="","",INDEX('02_Base_Potencial'!$AA$5:$AA$335,$C37-4)))</f>
        <v>39.090909090909101</v>
      </c>
      <c r="V37" s="6" t="str">
        <f>IF($C37="","",INDEX('02_Base_Potencial'!$K$5:$K$335,$C37-4)&amp;"")</f>
        <v>Banco Mundial/IPU</v>
      </c>
      <c r="W37" s="6" t="str">
        <f>IF($C37="","",COUNT(K37:U37)&amp;"/11")</f>
        <v>11/11</v>
      </c>
    </row>
    <row r="38" spans="1:23">
      <c r="A38" s="27" t="s">
        <v>79</v>
      </c>
      <c r="B38" s="25">
        <v>4</v>
      </c>
      <c r="C38" s="27" t="str">
        <f>IF(SUMPRODUCT(('02_Base_Potencial'!$B$5:$B$335=$A38)*('02_Base_Potencial'!$AR$5:$AR$335=$B38)*ROW('02_Base_Potencial'!$A$5:$A$335))=0,"",SUMPRODUCT(('02_Base_Potencial'!$B$5:$B$335=$A38)*('02_Base_Potencial'!$AR$5:$AR$335=$B38)*ROW('02_Base_Potencial'!$A$5:$A$335)))</f>
        <v/>
      </c>
      <c r="D38" s="25" t="str">
        <f>IF($C38="","",INDEX('02_Base_Potencial'!$A$5:$A$335,$C38-4)&amp;"")</f>
        <v/>
      </c>
      <c r="E38" s="27" t="str">
        <f>IF($C38="","",INDEX('02_Base_Potencial'!$D$5:$D$335,$C38-4)&amp;"")</f>
        <v/>
      </c>
      <c r="F38" s="27" t="str">
        <f>IF($C38="","",INDEX('02_Base_Potencial'!$E$5:$E$335,$C38-4)&amp;"")</f>
        <v/>
      </c>
      <c r="G38" s="25" t="str">
        <f>IF($C38="","",INDEX('02_Base_Potencial'!$F$5:$F$335,$C38-4)&amp;"")</f>
        <v/>
      </c>
      <c r="H38" s="25" t="str">
        <f>IF($C38="","",INDEX('02_Base_Potencial'!$G$5:$G$335,$C38-4))</f>
        <v/>
      </c>
      <c r="I38" s="25" t="str">
        <f>IF($C38="","",INDEX('02_Base_Potencial'!$H$5:$H$335,$C38-4))</f>
        <v/>
      </c>
      <c r="J38" s="25">
        <f>IF($C38="",0,IF(INDEX('02_Base_Potencial'!$J$5:$J$335,$C38-4)="",0,INDEX('02_Base_Potencial'!$J$5:$J$335,$C38-4)))</f>
        <v>0</v>
      </c>
      <c r="K38" s="27" t="str">
        <f>IF($C38="","",IF(INDEX('02_Base_Potencial'!$Q$5:$Q$335,$C38-4)="","",INDEX('02_Base_Potencial'!$Q$5:$Q$335,$C38-4)))</f>
        <v/>
      </c>
      <c r="L38" s="27" t="str">
        <f>IF($C38="","",IF(INDEX('02_Base_Potencial'!$R$5:$R$335,$C38-4)="","",INDEX('02_Base_Potencial'!$R$5:$R$335,$C38-4)))</f>
        <v/>
      </c>
      <c r="M38" s="27" t="str">
        <f>IF($C38="","",IF(INDEX('02_Base_Potencial'!$S$5:$S$335,$C38-4)="","",INDEX('02_Base_Potencial'!$S$5:$S$335,$C38-4)))</f>
        <v/>
      </c>
      <c r="N38" s="27" t="str">
        <f>IF($C38="","",IF(INDEX('02_Base_Potencial'!$T$5:$T$335,$C38-4)="","",INDEX('02_Base_Potencial'!$T$5:$T$335,$C38-4)))</f>
        <v/>
      </c>
      <c r="O38" s="27" t="str">
        <f>IF($C38="","",IF(INDEX('02_Base_Potencial'!$U$5:$U$335,$C38-4)="","",INDEX('02_Base_Potencial'!$U$5:$U$335,$C38-4)))</f>
        <v/>
      </c>
      <c r="P38" s="27" t="str">
        <f>IF($C38="","",IF(INDEX('02_Base_Potencial'!$V$5:$V$335,$C38-4)="","",INDEX('02_Base_Potencial'!$V$5:$V$335,$C38-4)))</f>
        <v/>
      </c>
      <c r="Q38" s="27" t="str">
        <f>IF($C38="","",IF(INDEX('02_Base_Potencial'!$W$5:$W$335,$C38-4)="","",INDEX('02_Base_Potencial'!$W$5:$W$335,$C38-4)))</f>
        <v/>
      </c>
      <c r="R38" s="27" t="str">
        <f>IF($C38="","",IF(INDEX('02_Base_Potencial'!$X$5:$X$335,$C38-4)="","",INDEX('02_Base_Potencial'!$X$5:$X$335,$C38-4)))</f>
        <v/>
      </c>
      <c r="S38" s="27" t="str">
        <f>IF($C38="","",IF(INDEX('02_Base_Potencial'!$Y$5:$Y$335,$C38-4)="","",INDEX('02_Base_Potencial'!$Y$5:$Y$335,$C38-4)))</f>
        <v/>
      </c>
      <c r="T38" s="27" t="str">
        <f>IF($C38="","",IF(INDEX('02_Base_Potencial'!$Z$5:$Z$335,$C38-4)="","",INDEX('02_Base_Potencial'!$Z$5:$Z$335,$C38-4)))</f>
        <v/>
      </c>
      <c r="U38" s="27" t="str">
        <f>IF($C38="","",IF(INDEX('02_Base_Potencial'!$AA$5:$AA$335,$C38-4)="","",INDEX('02_Base_Potencial'!$AA$5:$AA$335,$C38-4)))</f>
        <v/>
      </c>
      <c r="V38" s="6" t="str">
        <f>IF($C38="","",INDEX('02_Base_Potencial'!$K$5:$K$335,$C38-4)&amp;"")</f>
        <v/>
      </c>
      <c r="W38" s="6" t="str">
        <f>IF($C38="","",COUNT(K38:U38)&amp;"/11")</f>
        <v/>
      </c>
    </row>
    <row r="39" spans="1:23">
      <c r="A39" s="27" t="s">
        <v>79</v>
      </c>
      <c r="B39" s="25">
        <v>5</v>
      </c>
      <c r="C39" s="27" t="str">
        <f>IF(SUMPRODUCT(('02_Base_Potencial'!$B$5:$B$335=$A39)*('02_Base_Potencial'!$AR$5:$AR$335=$B39)*ROW('02_Base_Potencial'!$A$5:$A$335))=0,"",SUMPRODUCT(('02_Base_Potencial'!$B$5:$B$335=$A39)*('02_Base_Potencial'!$AR$5:$AR$335=$B39)*ROW('02_Base_Potencial'!$A$5:$A$335)))</f>
        <v/>
      </c>
      <c r="D39" s="25" t="str">
        <f>IF($C39="","",INDEX('02_Base_Potencial'!$A$5:$A$335,$C39-4)&amp;"")</f>
        <v/>
      </c>
      <c r="E39" s="27" t="str">
        <f>IF($C39="","",INDEX('02_Base_Potencial'!$D$5:$D$335,$C39-4)&amp;"")</f>
        <v/>
      </c>
      <c r="F39" s="27" t="str">
        <f>IF($C39="","",INDEX('02_Base_Potencial'!$E$5:$E$335,$C39-4)&amp;"")</f>
        <v/>
      </c>
      <c r="G39" s="25" t="str">
        <f>IF($C39="","",INDEX('02_Base_Potencial'!$F$5:$F$335,$C39-4)&amp;"")</f>
        <v/>
      </c>
      <c r="H39" s="25" t="str">
        <f>IF($C39="","",INDEX('02_Base_Potencial'!$G$5:$G$335,$C39-4))</f>
        <v/>
      </c>
      <c r="I39" s="25" t="str">
        <f>IF($C39="","",INDEX('02_Base_Potencial'!$H$5:$H$335,$C39-4))</f>
        <v/>
      </c>
      <c r="J39" s="25">
        <f>IF($C39="",0,IF(INDEX('02_Base_Potencial'!$J$5:$J$335,$C39-4)="",0,INDEX('02_Base_Potencial'!$J$5:$J$335,$C39-4)))</f>
        <v>0</v>
      </c>
      <c r="K39" s="27" t="str">
        <f>IF($C39="","",IF(INDEX('02_Base_Potencial'!$Q$5:$Q$335,$C39-4)="","",INDEX('02_Base_Potencial'!$Q$5:$Q$335,$C39-4)))</f>
        <v/>
      </c>
      <c r="L39" s="27" t="str">
        <f>IF($C39="","",IF(INDEX('02_Base_Potencial'!$R$5:$R$335,$C39-4)="","",INDEX('02_Base_Potencial'!$R$5:$R$335,$C39-4)))</f>
        <v/>
      </c>
      <c r="M39" s="27" t="str">
        <f>IF($C39="","",IF(INDEX('02_Base_Potencial'!$S$5:$S$335,$C39-4)="","",INDEX('02_Base_Potencial'!$S$5:$S$335,$C39-4)))</f>
        <v/>
      </c>
      <c r="N39" s="27" t="str">
        <f>IF($C39="","",IF(INDEX('02_Base_Potencial'!$T$5:$T$335,$C39-4)="","",INDEX('02_Base_Potencial'!$T$5:$T$335,$C39-4)))</f>
        <v/>
      </c>
      <c r="O39" s="27" t="str">
        <f>IF($C39="","",IF(INDEX('02_Base_Potencial'!$U$5:$U$335,$C39-4)="","",INDEX('02_Base_Potencial'!$U$5:$U$335,$C39-4)))</f>
        <v/>
      </c>
      <c r="P39" s="27" t="str">
        <f>IF($C39="","",IF(INDEX('02_Base_Potencial'!$V$5:$V$335,$C39-4)="","",INDEX('02_Base_Potencial'!$V$5:$V$335,$C39-4)))</f>
        <v/>
      </c>
      <c r="Q39" s="27" t="str">
        <f>IF($C39="","",IF(INDEX('02_Base_Potencial'!$W$5:$W$335,$C39-4)="","",INDEX('02_Base_Potencial'!$W$5:$W$335,$C39-4)))</f>
        <v/>
      </c>
      <c r="R39" s="27" t="str">
        <f>IF($C39="","",IF(INDEX('02_Base_Potencial'!$X$5:$X$335,$C39-4)="","",INDEX('02_Base_Potencial'!$X$5:$X$335,$C39-4)))</f>
        <v/>
      </c>
      <c r="S39" s="27" t="str">
        <f>IF($C39="","",IF(INDEX('02_Base_Potencial'!$Y$5:$Y$335,$C39-4)="","",INDEX('02_Base_Potencial'!$Y$5:$Y$335,$C39-4)))</f>
        <v/>
      </c>
      <c r="T39" s="27" t="str">
        <f>IF($C39="","",IF(INDEX('02_Base_Potencial'!$Z$5:$Z$335,$C39-4)="","",INDEX('02_Base_Potencial'!$Z$5:$Z$335,$C39-4)))</f>
        <v/>
      </c>
      <c r="U39" s="27" t="str">
        <f>IF($C39="","",IF(INDEX('02_Base_Potencial'!$AA$5:$AA$335,$C39-4)="","",INDEX('02_Base_Potencial'!$AA$5:$AA$335,$C39-4)))</f>
        <v/>
      </c>
      <c r="V39" s="6" t="str">
        <f>IF($C39="","",INDEX('02_Base_Potencial'!$K$5:$K$335,$C39-4)&amp;"")</f>
        <v/>
      </c>
      <c r="W39" s="6" t="str">
        <f>IF($C39="","",COUNT(K39:U39)&amp;"/11")</f>
        <v/>
      </c>
    </row>
    <row r="40" spans="1:23">
      <c r="A40" s="27" t="s">
        <v>79</v>
      </c>
      <c r="B40" s="25">
        <v>6</v>
      </c>
      <c r="C40" s="27" t="str">
        <f>IF(SUMPRODUCT(('02_Base_Potencial'!$B$5:$B$335=$A40)*('02_Base_Potencial'!$AR$5:$AR$335=$B40)*ROW('02_Base_Potencial'!$A$5:$A$335))=0,"",SUMPRODUCT(('02_Base_Potencial'!$B$5:$B$335=$A40)*('02_Base_Potencial'!$AR$5:$AR$335=$B40)*ROW('02_Base_Potencial'!$A$5:$A$335)))</f>
        <v/>
      </c>
      <c r="D40" s="25" t="str">
        <f>IF($C40="","",INDEX('02_Base_Potencial'!$A$5:$A$335,$C40-4)&amp;"")</f>
        <v/>
      </c>
      <c r="E40" s="27" t="str">
        <f>IF($C40="","",INDEX('02_Base_Potencial'!$D$5:$D$335,$C40-4)&amp;"")</f>
        <v/>
      </c>
      <c r="F40" s="27" t="str">
        <f>IF($C40="","",INDEX('02_Base_Potencial'!$E$5:$E$335,$C40-4)&amp;"")</f>
        <v/>
      </c>
      <c r="G40" s="25" t="str">
        <f>IF($C40="","",INDEX('02_Base_Potencial'!$F$5:$F$335,$C40-4)&amp;"")</f>
        <v/>
      </c>
      <c r="H40" s="25" t="str">
        <f>IF($C40="","",INDEX('02_Base_Potencial'!$G$5:$G$335,$C40-4))</f>
        <v/>
      </c>
      <c r="I40" s="25" t="str">
        <f>IF($C40="","",INDEX('02_Base_Potencial'!$H$5:$H$335,$C40-4))</f>
        <v/>
      </c>
      <c r="J40" s="25">
        <f>IF($C40="",0,IF(INDEX('02_Base_Potencial'!$J$5:$J$335,$C40-4)="",0,INDEX('02_Base_Potencial'!$J$5:$J$335,$C40-4)))</f>
        <v>0</v>
      </c>
      <c r="K40" s="27" t="str">
        <f>IF($C40="","",IF(INDEX('02_Base_Potencial'!$Q$5:$Q$335,$C40-4)="","",INDEX('02_Base_Potencial'!$Q$5:$Q$335,$C40-4)))</f>
        <v/>
      </c>
      <c r="L40" s="27" t="str">
        <f>IF($C40="","",IF(INDEX('02_Base_Potencial'!$R$5:$R$335,$C40-4)="","",INDEX('02_Base_Potencial'!$R$5:$R$335,$C40-4)))</f>
        <v/>
      </c>
      <c r="M40" s="27" t="str">
        <f>IF($C40="","",IF(INDEX('02_Base_Potencial'!$S$5:$S$335,$C40-4)="","",INDEX('02_Base_Potencial'!$S$5:$S$335,$C40-4)))</f>
        <v/>
      </c>
      <c r="N40" s="27" t="str">
        <f>IF($C40="","",IF(INDEX('02_Base_Potencial'!$T$5:$T$335,$C40-4)="","",INDEX('02_Base_Potencial'!$T$5:$T$335,$C40-4)))</f>
        <v/>
      </c>
      <c r="O40" s="27" t="str">
        <f>IF($C40="","",IF(INDEX('02_Base_Potencial'!$U$5:$U$335,$C40-4)="","",INDEX('02_Base_Potencial'!$U$5:$U$335,$C40-4)))</f>
        <v/>
      </c>
      <c r="P40" s="27" t="str">
        <f>IF($C40="","",IF(INDEX('02_Base_Potencial'!$V$5:$V$335,$C40-4)="","",INDEX('02_Base_Potencial'!$V$5:$V$335,$C40-4)))</f>
        <v/>
      </c>
      <c r="Q40" s="27" t="str">
        <f>IF($C40="","",IF(INDEX('02_Base_Potencial'!$W$5:$W$335,$C40-4)="","",INDEX('02_Base_Potencial'!$W$5:$W$335,$C40-4)))</f>
        <v/>
      </c>
      <c r="R40" s="27" t="str">
        <f>IF($C40="","",IF(INDEX('02_Base_Potencial'!$X$5:$X$335,$C40-4)="","",INDEX('02_Base_Potencial'!$X$5:$X$335,$C40-4)))</f>
        <v/>
      </c>
      <c r="S40" s="27" t="str">
        <f>IF($C40="","",IF(INDEX('02_Base_Potencial'!$Y$5:$Y$335,$C40-4)="","",INDEX('02_Base_Potencial'!$Y$5:$Y$335,$C40-4)))</f>
        <v/>
      </c>
      <c r="T40" s="27" t="str">
        <f>IF($C40="","",IF(INDEX('02_Base_Potencial'!$Z$5:$Z$335,$C40-4)="","",INDEX('02_Base_Potencial'!$Z$5:$Z$335,$C40-4)))</f>
        <v/>
      </c>
      <c r="U40" s="27" t="str">
        <f>IF($C40="","",IF(INDEX('02_Base_Potencial'!$AA$5:$AA$335,$C40-4)="","",INDEX('02_Base_Potencial'!$AA$5:$AA$335,$C40-4)))</f>
        <v/>
      </c>
      <c r="V40" s="6" t="str">
        <f>IF($C40="","",INDEX('02_Base_Potencial'!$K$5:$K$335,$C40-4)&amp;"")</f>
        <v/>
      </c>
      <c r="W40" s="6" t="str">
        <f>IF($C40="","",COUNT(K40:U40)&amp;"/11")</f>
        <v/>
      </c>
    </row>
    <row r="41" spans="1:23">
      <c r="A41" s="27" t="s">
        <v>79</v>
      </c>
      <c r="B41" s="25">
        <v>7</v>
      </c>
      <c r="C41" s="27" t="str">
        <f>IF(SUMPRODUCT(('02_Base_Potencial'!$B$5:$B$335=$A41)*('02_Base_Potencial'!$AR$5:$AR$335=$B41)*ROW('02_Base_Potencial'!$A$5:$A$335))=0,"",SUMPRODUCT(('02_Base_Potencial'!$B$5:$B$335=$A41)*('02_Base_Potencial'!$AR$5:$AR$335=$B41)*ROW('02_Base_Potencial'!$A$5:$A$335)))</f>
        <v/>
      </c>
      <c r="D41" s="25" t="str">
        <f>IF($C41="","",INDEX('02_Base_Potencial'!$A$5:$A$335,$C41-4)&amp;"")</f>
        <v/>
      </c>
      <c r="E41" s="27" t="str">
        <f>IF($C41="","",INDEX('02_Base_Potencial'!$D$5:$D$335,$C41-4)&amp;"")</f>
        <v/>
      </c>
      <c r="F41" s="27" t="str">
        <f>IF($C41="","",INDEX('02_Base_Potencial'!$E$5:$E$335,$C41-4)&amp;"")</f>
        <v/>
      </c>
      <c r="G41" s="25" t="str">
        <f>IF($C41="","",INDEX('02_Base_Potencial'!$F$5:$F$335,$C41-4)&amp;"")</f>
        <v/>
      </c>
      <c r="H41" s="25" t="str">
        <f>IF($C41="","",INDEX('02_Base_Potencial'!$G$5:$G$335,$C41-4))</f>
        <v/>
      </c>
      <c r="I41" s="25" t="str">
        <f>IF($C41="","",INDEX('02_Base_Potencial'!$H$5:$H$335,$C41-4))</f>
        <v/>
      </c>
      <c r="J41" s="25">
        <f>IF($C41="",0,IF(INDEX('02_Base_Potencial'!$J$5:$J$335,$C41-4)="",0,INDEX('02_Base_Potencial'!$J$5:$J$335,$C41-4)))</f>
        <v>0</v>
      </c>
      <c r="K41" s="27" t="str">
        <f>IF($C41="","",IF(INDEX('02_Base_Potencial'!$Q$5:$Q$335,$C41-4)="","",INDEX('02_Base_Potencial'!$Q$5:$Q$335,$C41-4)))</f>
        <v/>
      </c>
      <c r="L41" s="27" t="str">
        <f>IF($C41="","",IF(INDEX('02_Base_Potencial'!$R$5:$R$335,$C41-4)="","",INDEX('02_Base_Potencial'!$R$5:$R$335,$C41-4)))</f>
        <v/>
      </c>
      <c r="M41" s="27" t="str">
        <f>IF($C41="","",IF(INDEX('02_Base_Potencial'!$S$5:$S$335,$C41-4)="","",INDEX('02_Base_Potencial'!$S$5:$S$335,$C41-4)))</f>
        <v/>
      </c>
      <c r="N41" s="27" t="str">
        <f>IF($C41="","",IF(INDEX('02_Base_Potencial'!$T$5:$T$335,$C41-4)="","",INDEX('02_Base_Potencial'!$T$5:$T$335,$C41-4)))</f>
        <v/>
      </c>
      <c r="O41" s="27" t="str">
        <f>IF($C41="","",IF(INDEX('02_Base_Potencial'!$U$5:$U$335,$C41-4)="","",INDEX('02_Base_Potencial'!$U$5:$U$335,$C41-4)))</f>
        <v/>
      </c>
      <c r="P41" s="27" t="str">
        <f>IF($C41="","",IF(INDEX('02_Base_Potencial'!$V$5:$V$335,$C41-4)="","",INDEX('02_Base_Potencial'!$V$5:$V$335,$C41-4)))</f>
        <v/>
      </c>
      <c r="Q41" s="27" t="str">
        <f>IF($C41="","",IF(INDEX('02_Base_Potencial'!$W$5:$W$335,$C41-4)="","",INDEX('02_Base_Potencial'!$W$5:$W$335,$C41-4)))</f>
        <v/>
      </c>
      <c r="R41" s="27" t="str">
        <f>IF($C41="","",IF(INDEX('02_Base_Potencial'!$X$5:$X$335,$C41-4)="","",INDEX('02_Base_Potencial'!$X$5:$X$335,$C41-4)))</f>
        <v/>
      </c>
      <c r="S41" s="27" t="str">
        <f>IF($C41="","",IF(INDEX('02_Base_Potencial'!$Y$5:$Y$335,$C41-4)="","",INDEX('02_Base_Potencial'!$Y$5:$Y$335,$C41-4)))</f>
        <v/>
      </c>
      <c r="T41" s="27" t="str">
        <f>IF($C41="","",IF(INDEX('02_Base_Potencial'!$Z$5:$Z$335,$C41-4)="","",INDEX('02_Base_Potencial'!$Z$5:$Z$335,$C41-4)))</f>
        <v/>
      </c>
      <c r="U41" s="27" t="str">
        <f>IF($C41="","",IF(INDEX('02_Base_Potencial'!$AA$5:$AA$335,$C41-4)="","",INDEX('02_Base_Potencial'!$AA$5:$AA$335,$C41-4)))</f>
        <v/>
      </c>
      <c r="V41" s="6" t="str">
        <f>IF($C41="","",INDEX('02_Base_Potencial'!$K$5:$K$335,$C41-4)&amp;"")</f>
        <v/>
      </c>
      <c r="W41" s="6" t="str">
        <f>IF($C41="","",COUNT(K41:U41)&amp;"/11")</f>
        <v/>
      </c>
    </row>
    <row r="42" spans="1:23">
      <c r="A42" s="27" t="s">
        <v>79</v>
      </c>
      <c r="B42" s="25">
        <v>8</v>
      </c>
      <c r="C42" s="27" t="str">
        <f>IF(SUMPRODUCT(('02_Base_Potencial'!$B$5:$B$335=$A42)*('02_Base_Potencial'!$AR$5:$AR$335=$B42)*ROW('02_Base_Potencial'!$A$5:$A$335))=0,"",SUMPRODUCT(('02_Base_Potencial'!$B$5:$B$335=$A42)*('02_Base_Potencial'!$AR$5:$AR$335=$B42)*ROW('02_Base_Potencial'!$A$5:$A$335)))</f>
        <v/>
      </c>
      <c r="D42" s="25" t="str">
        <f>IF($C42="","",INDEX('02_Base_Potencial'!$A$5:$A$335,$C42-4)&amp;"")</f>
        <v/>
      </c>
      <c r="E42" s="27" t="str">
        <f>IF($C42="","",INDEX('02_Base_Potencial'!$D$5:$D$335,$C42-4)&amp;"")</f>
        <v/>
      </c>
      <c r="F42" s="27" t="str">
        <f>IF($C42="","",INDEX('02_Base_Potencial'!$E$5:$E$335,$C42-4)&amp;"")</f>
        <v/>
      </c>
      <c r="G42" s="25" t="str">
        <f>IF($C42="","",INDEX('02_Base_Potencial'!$F$5:$F$335,$C42-4)&amp;"")</f>
        <v/>
      </c>
      <c r="H42" s="25" t="str">
        <f>IF($C42="","",INDEX('02_Base_Potencial'!$G$5:$G$335,$C42-4))</f>
        <v/>
      </c>
      <c r="I42" s="25" t="str">
        <f>IF($C42="","",INDEX('02_Base_Potencial'!$H$5:$H$335,$C42-4))</f>
        <v/>
      </c>
      <c r="J42" s="25">
        <f>IF($C42="",0,IF(INDEX('02_Base_Potencial'!$J$5:$J$335,$C42-4)="",0,INDEX('02_Base_Potencial'!$J$5:$J$335,$C42-4)))</f>
        <v>0</v>
      </c>
      <c r="K42" s="27" t="str">
        <f>IF($C42="","",IF(INDEX('02_Base_Potencial'!$Q$5:$Q$335,$C42-4)="","",INDEX('02_Base_Potencial'!$Q$5:$Q$335,$C42-4)))</f>
        <v/>
      </c>
      <c r="L42" s="27" t="str">
        <f>IF($C42="","",IF(INDEX('02_Base_Potencial'!$R$5:$R$335,$C42-4)="","",INDEX('02_Base_Potencial'!$R$5:$R$335,$C42-4)))</f>
        <v/>
      </c>
      <c r="M42" s="27" t="str">
        <f>IF($C42="","",IF(INDEX('02_Base_Potencial'!$S$5:$S$335,$C42-4)="","",INDEX('02_Base_Potencial'!$S$5:$S$335,$C42-4)))</f>
        <v/>
      </c>
      <c r="N42" s="27" t="str">
        <f>IF($C42="","",IF(INDEX('02_Base_Potencial'!$T$5:$T$335,$C42-4)="","",INDEX('02_Base_Potencial'!$T$5:$T$335,$C42-4)))</f>
        <v/>
      </c>
      <c r="O42" s="27" t="str">
        <f>IF($C42="","",IF(INDEX('02_Base_Potencial'!$U$5:$U$335,$C42-4)="","",INDEX('02_Base_Potencial'!$U$5:$U$335,$C42-4)))</f>
        <v/>
      </c>
      <c r="P42" s="27" t="str">
        <f>IF($C42="","",IF(INDEX('02_Base_Potencial'!$V$5:$V$335,$C42-4)="","",INDEX('02_Base_Potencial'!$V$5:$V$335,$C42-4)))</f>
        <v/>
      </c>
      <c r="Q42" s="27" t="str">
        <f>IF($C42="","",IF(INDEX('02_Base_Potencial'!$W$5:$W$335,$C42-4)="","",INDEX('02_Base_Potencial'!$W$5:$W$335,$C42-4)))</f>
        <v/>
      </c>
      <c r="R42" s="27" t="str">
        <f>IF($C42="","",IF(INDEX('02_Base_Potencial'!$X$5:$X$335,$C42-4)="","",INDEX('02_Base_Potencial'!$X$5:$X$335,$C42-4)))</f>
        <v/>
      </c>
      <c r="S42" s="27" t="str">
        <f>IF($C42="","",IF(INDEX('02_Base_Potencial'!$Y$5:$Y$335,$C42-4)="","",INDEX('02_Base_Potencial'!$Y$5:$Y$335,$C42-4)))</f>
        <v/>
      </c>
      <c r="T42" s="27" t="str">
        <f>IF($C42="","",IF(INDEX('02_Base_Potencial'!$Z$5:$Z$335,$C42-4)="","",INDEX('02_Base_Potencial'!$Z$5:$Z$335,$C42-4)))</f>
        <v/>
      </c>
      <c r="U42" s="27" t="str">
        <f>IF($C42="","",IF(INDEX('02_Base_Potencial'!$AA$5:$AA$335,$C42-4)="","",INDEX('02_Base_Potencial'!$AA$5:$AA$335,$C42-4)))</f>
        <v/>
      </c>
      <c r="V42" s="6" t="str">
        <f>IF($C42="","",INDEX('02_Base_Potencial'!$K$5:$K$335,$C42-4)&amp;"")</f>
        <v/>
      </c>
      <c r="W42" s="6" t="str">
        <f>IF($C42="","",COUNT(K42:U42)&amp;"/11")</f>
        <v/>
      </c>
    </row>
    <row r="43" spans="1:23">
      <c r="A43" s="27" t="s">
        <v>79</v>
      </c>
      <c r="B43" s="25">
        <v>9</v>
      </c>
      <c r="C43" s="27" t="str">
        <f>IF(SUMPRODUCT(('02_Base_Potencial'!$B$5:$B$335=$A43)*('02_Base_Potencial'!$AR$5:$AR$335=$B43)*ROW('02_Base_Potencial'!$A$5:$A$335))=0,"",SUMPRODUCT(('02_Base_Potencial'!$B$5:$B$335=$A43)*('02_Base_Potencial'!$AR$5:$AR$335=$B43)*ROW('02_Base_Potencial'!$A$5:$A$335)))</f>
        <v/>
      </c>
      <c r="D43" s="25" t="str">
        <f>IF($C43="","",INDEX('02_Base_Potencial'!$A$5:$A$335,$C43-4)&amp;"")</f>
        <v/>
      </c>
      <c r="E43" s="27" t="str">
        <f>IF($C43="","",INDEX('02_Base_Potencial'!$D$5:$D$335,$C43-4)&amp;"")</f>
        <v/>
      </c>
      <c r="F43" s="27" t="str">
        <f>IF($C43="","",INDEX('02_Base_Potencial'!$E$5:$E$335,$C43-4)&amp;"")</f>
        <v/>
      </c>
      <c r="G43" s="25" t="str">
        <f>IF($C43="","",INDEX('02_Base_Potencial'!$F$5:$F$335,$C43-4)&amp;"")</f>
        <v/>
      </c>
      <c r="H43" s="25" t="str">
        <f>IF($C43="","",INDEX('02_Base_Potencial'!$G$5:$G$335,$C43-4))</f>
        <v/>
      </c>
      <c r="I43" s="25" t="str">
        <f>IF($C43="","",INDEX('02_Base_Potencial'!$H$5:$H$335,$C43-4))</f>
        <v/>
      </c>
      <c r="J43" s="25">
        <f>IF($C43="",0,IF(INDEX('02_Base_Potencial'!$J$5:$J$335,$C43-4)="",0,INDEX('02_Base_Potencial'!$J$5:$J$335,$C43-4)))</f>
        <v>0</v>
      </c>
      <c r="K43" s="27" t="str">
        <f>IF($C43="","",IF(INDEX('02_Base_Potencial'!$Q$5:$Q$335,$C43-4)="","",INDEX('02_Base_Potencial'!$Q$5:$Q$335,$C43-4)))</f>
        <v/>
      </c>
      <c r="L43" s="27" t="str">
        <f>IF($C43="","",IF(INDEX('02_Base_Potencial'!$R$5:$R$335,$C43-4)="","",INDEX('02_Base_Potencial'!$R$5:$R$335,$C43-4)))</f>
        <v/>
      </c>
      <c r="M43" s="27" t="str">
        <f>IF($C43="","",IF(INDEX('02_Base_Potencial'!$S$5:$S$335,$C43-4)="","",INDEX('02_Base_Potencial'!$S$5:$S$335,$C43-4)))</f>
        <v/>
      </c>
      <c r="N43" s="27" t="str">
        <f>IF($C43="","",IF(INDEX('02_Base_Potencial'!$T$5:$T$335,$C43-4)="","",INDEX('02_Base_Potencial'!$T$5:$T$335,$C43-4)))</f>
        <v/>
      </c>
      <c r="O43" s="27" t="str">
        <f>IF($C43="","",IF(INDEX('02_Base_Potencial'!$U$5:$U$335,$C43-4)="","",INDEX('02_Base_Potencial'!$U$5:$U$335,$C43-4)))</f>
        <v/>
      </c>
      <c r="P43" s="27" t="str">
        <f>IF($C43="","",IF(INDEX('02_Base_Potencial'!$V$5:$V$335,$C43-4)="","",INDEX('02_Base_Potencial'!$V$5:$V$335,$C43-4)))</f>
        <v/>
      </c>
      <c r="Q43" s="27" t="str">
        <f>IF($C43="","",IF(INDEX('02_Base_Potencial'!$W$5:$W$335,$C43-4)="","",INDEX('02_Base_Potencial'!$W$5:$W$335,$C43-4)))</f>
        <v/>
      </c>
      <c r="R43" s="27" t="str">
        <f>IF($C43="","",IF(INDEX('02_Base_Potencial'!$X$5:$X$335,$C43-4)="","",INDEX('02_Base_Potencial'!$X$5:$X$335,$C43-4)))</f>
        <v/>
      </c>
      <c r="S43" s="27" t="str">
        <f>IF($C43="","",IF(INDEX('02_Base_Potencial'!$Y$5:$Y$335,$C43-4)="","",INDEX('02_Base_Potencial'!$Y$5:$Y$335,$C43-4)))</f>
        <v/>
      </c>
      <c r="T43" s="27" t="str">
        <f>IF($C43="","",IF(INDEX('02_Base_Potencial'!$Z$5:$Z$335,$C43-4)="","",INDEX('02_Base_Potencial'!$Z$5:$Z$335,$C43-4)))</f>
        <v/>
      </c>
      <c r="U43" s="27" t="str">
        <f>IF($C43="","",IF(INDEX('02_Base_Potencial'!$AA$5:$AA$335,$C43-4)="","",INDEX('02_Base_Potencial'!$AA$5:$AA$335,$C43-4)))</f>
        <v/>
      </c>
      <c r="V43" s="6" t="str">
        <f>IF($C43="","",INDEX('02_Base_Potencial'!$K$5:$K$335,$C43-4)&amp;"")</f>
        <v/>
      </c>
      <c r="W43" s="6" t="str">
        <f>IF($C43="","",COUNT(K43:U43)&amp;"/11")</f>
        <v/>
      </c>
    </row>
    <row r="44" spans="1:23">
      <c r="A44" s="27" t="s">
        <v>79</v>
      </c>
      <c r="B44" s="25">
        <v>10</v>
      </c>
      <c r="C44" s="27" t="str">
        <f>IF(SUMPRODUCT(('02_Base_Potencial'!$B$5:$B$335=$A44)*('02_Base_Potencial'!$AR$5:$AR$335=$B44)*ROW('02_Base_Potencial'!$A$5:$A$335))=0,"",SUMPRODUCT(('02_Base_Potencial'!$B$5:$B$335=$A44)*('02_Base_Potencial'!$AR$5:$AR$335=$B44)*ROW('02_Base_Potencial'!$A$5:$A$335)))</f>
        <v/>
      </c>
      <c r="D44" s="25" t="str">
        <f>IF($C44="","",INDEX('02_Base_Potencial'!$A$5:$A$335,$C44-4)&amp;"")</f>
        <v/>
      </c>
      <c r="E44" s="27" t="str">
        <f>IF($C44="","",INDEX('02_Base_Potencial'!$D$5:$D$335,$C44-4)&amp;"")</f>
        <v/>
      </c>
      <c r="F44" s="27" t="str">
        <f>IF($C44="","",INDEX('02_Base_Potencial'!$E$5:$E$335,$C44-4)&amp;"")</f>
        <v/>
      </c>
      <c r="G44" s="25" t="str">
        <f>IF($C44="","",INDEX('02_Base_Potencial'!$F$5:$F$335,$C44-4)&amp;"")</f>
        <v/>
      </c>
      <c r="H44" s="25" t="str">
        <f>IF($C44="","",INDEX('02_Base_Potencial'!$G$5:$G$335,$C44-4))</f>
        <v/>
      </c>
      <c r="I44" s="25" t="str">
        <f>IF($C44="","",INDEX('02_Base_Potencial'!$H$5:$H$335,$C44-4))</f>
        <v/>
      </c>
      <c r="J44" s="25">
        <f>IF($C44="",0,IF(INDEX('02_Base_Potencial'!$J$5:$J$335,$C44-4)="",0,INDEX('02_Base_Potencial'!$J$5:$J$335,$C44-4)))</f>
        <v>0</v>
      </c>
      <c r="K44" s="27" t="str">
        <f>IF($C44="","",IF(INDEX('02_Base_Potencial'!$Q$5:$Q$335,$C44-4)="","",INDEX('02_Base_Potencial'!$Q$5:$Q$335,$C44-4)))</f>
        <v/>
      </c>
      <c r="L44" s="27" t="str">
        <f>IF($C44="","",IF(INDEX('02_Base_Potencial'!$R$5:$R$335,$C44-4)="","",INDEX('02_Base_Potencial'!$R$5:$R$335,$C44-4)))</f>
        <v/>
      </c>
      <c r="M44" s="27" t="str">
        <f>IF($C44="","",IF(INDEX('02_Base_Potencial'!$S$5:$S$335,$C44-4)="","",INDEX('02_Base_Potencial'!$S$5:$S$335,$C44-4)))</f>
        <v/>
      </c>
      <c r="N44" s="27" t="str">
        <f>IF($C44="","",IF(INDEX('02_Base_Potencial'!$T$5:$T$335,$C44-4)="","",INDEX('02_Base_Potencial'!$T$5:$T$335,$C44-4)))</f>
        <v/>
      </c>
      <c r="O44" s="27" t="str">
        <f>IF($C44="","",IF(INDEX('02_Base_Potencial'!$U$5:$U$335,$C44-4)="","",INDEX('02_Base_Potencial'!$U$5:$U$335,$C44-4)))</f>
        <v/>
      </c>
      <c r="P44" s="27" t="str">
        <f>IF($C44="","",IF(INDEX('02_Base_Potencial'!$V$5:$V$335,$C44-4)="","",INDEX('02_Base_Potencial'!$V$5:$V$335,$C44-4)))</f>
        <v/>
      </c>
      <c r="Q44" s="27" t="str">
        <f>IF($C44="","",IF(INDEX('02_Base_Potencial'!$W$5:$W$335,$C44-4)="","",INDEX('02_Base_Potencial'!$W$5:$W$335,$C44-4)))</f>
        <v/>
      </c>
      <c r="R44" s="27" t="str">
        <f>IF($C44="","",IF(INDEX('02_Base_Potencial'!$X$5:$X$335,$C44-4)="","",INDEX('02_Base_Potencial'!$X$5:$X$335,$C44-4)))</f>
        <v/>
      </c>
      <c r="S44" s="27" t="str">
        <f>IF($C44="","",IF(INDEX('02_Base_Potencial'!$Y$5:$Y$335,$C44-4)="","",INDEX('02_Base_Potencial'!$Y$5:$Y$335,$C44-4)))</f>
        <v/>
      </c>
      <c r="T44" s="27" t="str">
        <f>IF($C44="","",IF(INDEX('02_Base_Potencial'!$Z$5:$Z$335,$C44-4)="","",INDEX('02_Base_Potencial'!$Z$5:$Z$335,$C44-4)))</f>
        <v/>
      </c>
      <c r="U44" s="27" t="str">
        <f>IF($C44="","",IF(INDEX('02_Base_Potencial'!$AA$5:$AA$335,$C44-4)="","",INDEX('02_Base_Potencial'!$AA$5:$AA$335,$C44-4)))</f>
        <v/>
      </c>
      <c r="V44" s="6" t="str">
        <f>IF($C44="","",INDEX('02_Base_Potencial'!$K$5:$K$335,$C44-4)&amp;"")</f>
        <v/>
      </c>
      <c r="W44" s="6" t="str">
        <f>IF($C44="","",COUNT(K44:U44)&amp;"/11")</f>
        <v/>
      </c>
    </row>
    <row r="45" spans="1:23">
      <c r="A45" s="6" t="s">
        <v>80</v>
      </c>
      <c r="B45" s="20">
        <v>1</v>
      </c>
      <c r="C45" s="6">
        <f>IF(SUMPRODUCT(('02_Base_Potencial'!$B$5:$B$335=$A45)*('02_Base_Potencial'!$AR$5:$AR$335=$B45)*ROW('02_Base_Potencial'!$A$5:$A$335))=0,"",SUMPRODUCT(('02_Base_Potencial'!$B$5:$B$335=$A45)*('02_Base_Potencial'!$AR$5:$AR$335=$B45)*ROW('02_Base_Potencial'!$A$5:$A$335)))</f>
        <v>150</v>
      </c>
      <c r="D45" s="20" t="str">
        <f>IF($C45="","",INDEX('02_Base_Potencial'!$A$5:$A$335,$C45-4)&amp;"")</f>
        <v>INF002</v>
      </c>
      <c r="E45" s="6" t="str">
        <f>IF($C45="","",INDEX('02_Base_Potencial'!$D$5:$D$335,$C45-4)&amp;"")</f>
        <v>Acesso a Água Potável</v>
      </c>
      <c r="F45" s="6" t="str">
        <f>IF($C45="","",INDEX('02_Base_Potencial'!$E$5:$E$335,$C45-4)&amp;"")</f>
        <v>%</v>
      </c>
      <c r="G45" s="20" t="str">
        <f>IF($C45="","",INDEX('02_Base_Potencial'!$F$5:$F$335,$C45-4)&amp;"")</f>
        <v>+</v>
      </c>
      <c r="H45" s="20">
        <f>IF($C45="","",INDEX('02_Base_Potencial'!$G$5:$G$335,$C45-4))</f>
        <v>0</v>
      </c>
      <c r="I45" s="20">
        <f>IF($C45="","",INDEX('02_Base_Potencial'!$H$5:$H$335,$C45-4))</f>
        <v>100</v>
      </c>
      <c r="J45" s="20">
        <f>IF($C45="",0,IF(INDEX('02_Base_Potencial'!$J$5:$J$335,$C45-4)="",0,INDEX('02_Base_Potencial'!$J$5:$J$335,$C45-4)))</f>
        <v>1</v>
      </c>
      <c r="K45" s="6">
        <f>IF($C45="","",IF(INDEX('02_Base_Potencial'!$Q$5:$Q$335,$C45-4)="","",INDEX('02_Base_Potencial'!$Q$5:$Q$335,$C45-4)))</f>
        <v>58.619631200767699</v>
      </c>
      <c r="L45" s="6">
        <f>IF($C45="","",IF(INDEX('02_Base_Potencial'!$R$5:$R$335,$C45-4)="","",INDEX('02_Base_Potencial'!$R$5:$R$335,$C45-4)))</f>
        <v>60.192062018551901</v>
      </c>
      <c r="M45" s="6">
        <f>IF($C45="","",IF(INDEX('02_Base_Potencial'!$S$5:$S$335,$C45-4)="","",INDEX('02_Base_Potencial'!$S$5:$S$335,$C45-4)))</f>
        <v>61.773512210454101</v>
      </c>
      <c r="N45" s="6">
        <f>IF($C45="","",IF(INDEX('02_Base_Potencial'!$T$5:$T$335,$C45-4)="","",INDEX('02_Base_Potencial'!$T$5:$T$335,$C45-4)))</f>
        <v>63.362790738802097</v>
      </c>
      <c r="O45" s="6">
        <f>IF($C45="","",IF(INDEX('02_Base_Potencial'!$U$5:$U$335,$C45-4)="","",INDEX('02_Base_Potencial'!$U$5:$U$335,$C45-4)))</f>
        <v>64.159911037306699</v>
      </c>
      <c r="P45" s="6">
        <f>IF($C45="","",IF(INDEX('02_Base_Potencial'!$V$5:$V$335,$C45-4)="","",INDEX('02_Base_Potencial'!$V$5:$V$335,$C45-4)))</f>
        <v>64.944030543653795</v>
      </c>
      <c r="Q45" s="6">
        <f>IF($C45="","",IF(INDEX('02_Base_Potencial'!$W$5:$W$335,$C45-4)="","",INDEX('02_Base_Potencial'!$W$5:$W$335,$C45-4)))</f>
        <v>65.716257719435006</v>
      </c>
      <c r="R45" s="6">
        <f>IF($C45="","",IF(INDEX('02_Base_Potencial'!$X$5:$X$335,$C45-4)="","",INDEX('02_Base_Potencial'!$X$5:$X$335,$C45-4)))</f>
        <v>66.476327319779998</v>
      </c>
      <c r="S45" s="6">
        <f>IF($C45="","",IF(INDEX('02_Base_Potencial'!$Y$5:$Y$335,$C45-4)="","",INDEX('02_Base_Potencial'!$Y$5:$Y$335,$C45-4)))</f>
        <v>67.224425258849706</v>
      </c>
      <c r="T45" s="6">
        <f>IF($C45="","",IF(INDEX('02_Base_Potencial'!$Z$5:$Z$335,$C45-4)="","",INDEX('02_Base_Potencial'!$Z$5:$Z$335,$C45-4)))</f>
        <v>67.960742224211202</v>
      </c>
      <c r="U45" s="6" t="str">
        <f>IF($C45="","",IF(INDEX('02_Base_Potencial'!$AA$5:$AA$335,$C45-4)="","",INDEX('02_Base_Potencial'!$AA$5:$AA$335,$C45-4)))</f>
        <v/>
      </c>
      <c r="V45" s="6" t="str">
        <f>IF($C45="","",INDEX('02_Base_Potencial'!$K$5:$K$335,$C45-4)&amp;"")</f>
        <v>MINEA/INE</v>
      </c>
      <c r="W45" s="6" t="str">
        <f>IF($C45="","",COUNT(K45:U45)&amp;"/11")</f>
        <v>10/11</v>
      </c>
    </row>
    <row r="46" spans="1:23">
      <c r="A46" s="6" t="s">
        <v>80</v>
      </c>
      <c r="B46" s="20">
        <v>2</v>
      </c>
      <c r="C46" s="6">
        <f>IF(SUMPRODUCT(('02_Base_Potencial'!$B$5:$B$335=$A46)*('02_Base_Potencial'!$AR$5:$AR$335=$B46)*ROW('02_Base_Potencial'!$A$5:$A$335))=0,"",SUMPRODUCT(('02_Base_Potencial'!$B$5:$B$335=$A46)*('02_Base_Potencial'!$AR$5:$AR$335=$B46)*ROW('02_Base_Potencial'!$A$5:$A$335)))</f>
        <v>154</v>
      </c>
      <c r="D46" s="20" t="str">
        <f>IF($C46="","",INDEX('02_Base_Potencial'!$A$5:$A$335,$C46-4)&amp;"")</f>
        <v>INF006</v>
      </c>
      <c r="E46" s="6" t="str">
        <f>IF($C46="","",INDEX('02_Base_Potencial'!$D$5:$D$335,$C46-4)&amp;"")</f>
        <v>Densidade Rodoviária (km/1000km²)</v>
      </c>
      <c r="F46" s="6" t="str">
        <f>IF($C46="","",INDEX('02_Base_Potencial'!$E$5:$E$335,$C46-4)&amp;"")</f>
        <v>km</v>
      </c>
      <c r="G46" s="20" t="str">
        <f>IF($C46="","",INDEX('02_Base_Potencial'!$F$5:$F$335,$C46-4)&amp;"")</f>
        <v>+</v>
      </c>
      <c r="H46" s="20">
        <f>IF($C46="","",INDEX('02_Base_Potencial'!$G$5:$G$335,$C46-4))</f>
        <v>0</v>
      </c>
      <c r="I46" s="20">
        <f>IF($C46="","",INDEX('02_Base_Potencial'!$H$5:$H$335,$C46-4))</f>
        <v>100</v>
      </c>
      <c r="J46" s="20">
        <f>IF($C46="",0,IF(INDEX('02_Base_Potencial'!$J$5:$J$335,$C46-4)="",0,INDEX('02_Base_Potencial'!$J$5:$J$335,$C46-4)))</f>
        <v>1</v>
      </c>
      <c r="K46" s="6">
        <f>IF($C46="","",IF(INDEX('02_Base_Potencial'!$Q$5:$Q$335,$C46-4)="","",INDEX('02_Base_Potencial'!$Q$5:$Q$335,$C46-4)))</f>
        <v>29</v>
      </c>
      <c r="L46" s="6">
        <f>IF($C46="","",IF(INDEX('02_Base_Potencial'!$R$5:$R$335,$C46-4)="","",INDEX('02_Base_Potencial'!$R$5:$R$335,$C46-4)))</f>
        <v>29</v>
      </c>
      <c r="M46" s="6">
        <f>IF($C46="","",IF(INDEX('02_Base_Potencial'!$S$5:$S$335,$C46-4)="","",INDEX('02_Base_Potencial'!$S$5:$S$335,$C46-4)))</f>
        <v>29</v>
      </c>
      <c r="N46" s="6">
        <f>IF($C46="","",IF(INDEX('02_Base_Potencial'!$T$5:$T$335,$C46-4)="","",INDEX('02_Base_Potencial'!$T$5:$T$335,$C46-4)))</f>
        <v>29</v>
      </c>
      <c r="O46" s="6">
        <f>IF($C46="","",IF(INDEX('02_Base_Potencial'!$U$5:$U$335,$C46-4)="","",INDEX('02_Base_Potencial'!$U$5:$U$335,$C46-4)))</f>
        <v>29</v>
      </c>
      <c r="P46" s="6">
        <f>IF($C46="","",IF(INDEX('02_Base_Potencial'!$V$5:$V$335,$C46-4)="","",INDEX('02_Base_Potencial'!$V$5:$V$335,$C46-4)))</f>
        <v>30</v>
      </c>
      <c r="Q46" s="6">
        <f>IF($C46="","",IF(INDEX('02_Base_Potencial'!$W$5:$W$335,$C46-4)="","",INDEX('02_Base_Potencial'!$W$5:$W$335,$C46-4)))</f>
        <v>31</v>
      </c>
      <c r="R46" s="6">
        <f>IF($C46="","",IF(INDEX('02_Base_Potencial'!$X$5:$X$335,$C46-4)="","",INDEX('02_Base_Potencial'!$X$5:$X$335,$C46-4)))</f>
        <v>31</v>
      </c>
      <c r="S46" s="6">
        <f>IF($C46="","",IF(INDEX('02_Base_Potencial'!$Y$5:$Y$335,$C46-4)="","",INDEX('02_Base_Potencial'!$Y$5:$Y$335,$C46-4)))</f>
        <v>32</v>
      </c>
      <c r="T46" s="6">
        <f>IF($C46="","",IF(INDEX('02_Base_Potencial'!$Z$5:$Z$335,$C46-4)="","",INDEX('02_Base_Potencial'!$Z$5:$Z$335,$C46-4)))</f>
        <v>33</v>
      </c>
      <c r="U46" s="6" t="str">
        <f>IF($C46="","",IF(INDEX('02_Base_Potencial'!$AA$5:$AA$335,$C46-4)="","",INDEX('02_Base_Potencial'!$AA$5:$AA$335,$C46-4)))</f>
        <v/>
      </c>
      <c r="V46" s="6" t="str">
        <f>IF($C46="","",INDEX('02_Base_Potencial'!$K$5:$K$335,$C46-4)&amp;"")</f>
        <v>MINTRANS</v>
      </c>
      <c r="W46" s="6" t="str">
        <f>IF($C46="","",COUNT(K46:U46)&amp;"/11")</f>
        <v>10/11</v>
      </c>
    </row>
    <row r="47" spans="1:23">
      <c r="A47" s="6" t="s">
        <v>80</v>
      </c>
      <c r="B47" s="20">
        <v>3</v>
      </c>
      <c r="C47" s="6">
        <f>IF(SUMPRODUCT(('02_Base_Potencial'!$B$5:$B$335=$A47)*('02_Base_Potencial'!$AR$5:$AR$335=$B47)*ROW('02_Base_Potencial'!$A$5:$A$335))=0,"",SUMPRODUCT(('02_Base_Potencial'!$B$5:$B$335=$A47)*('02_Base_Potencial'!$AR$5:$AR$335=$B47)*ROW('02_Base_Potencial'!$A$5:$A$335)))</f>
        <v>152</v>
      </c>
      <c r="D47" s="20" t="str">
        <f>IF($C47="","",INDEX('02_Base_Potencial'!$A$5:$A$335,$C47-4)&amp;"")</f>
        <v>INF001</v>
      </c>
      <c r="E47" s="6" t="str">
        <f>IF($C47="","",INDEX('02_Base_Potencial'!$D$5:$D$335,$C47-4)&amp;"")</f>
        <v>Taxa de Electrificação</v>
      </c>
      <c r="F47" s="6" t="str">
        <f>IF($C47="","",INDEX('02_Base_Potencial'!$E$5:$E$335,$C47-4)&amp;"")</f>
        <v>%</v>
      </c>
      <c r="G47" s="20" t="str">
        <f>IF($C47="","",INDEX('02_Base_Potencial'!$F$5:$F$335,$C47-4)&amp;"")</f>
        <v>+</v>
      </c>
      <c r="H47" s="20">
        <f>IF($C47="","",INDEX('02_Base_Potencial'!$G$5:$G$335,$C47-4))</f>
        <v>0</v>
      </c>
      <c r="I47" s="20">
        <f>IF($C47="","",INDEX('02_Base_Potencial'!$H$5:$H$335,$C47-4))</f>
        <v>100</v>
      </c>
      <c r="J47" s="20">
        <f>IF($C47="",0,IF(INDEX('02_Base_Potencial'!$J$5:$J$335,$C47-4)="",0,INDEX('02_Base_Potencial'!$J$5:$J$335,$C47-4)))</f>
        <v>1</v>
      </c>
      <c r="K47" s="6">
        <f>IF($C47="","",IF(INDEX('02_Base_Potencial'!$Q$5:$Q$335,$C47-4)="","",INDEX('02_Base_Potencial'!$Q$5:$Q$335,$C47-4)))</f>
        <v>42</v>
      </c>
      <c r="L47" s="6">
        <f>IF($C47="","",IF(INDEX('02_Base_Potencial'!$R$5:$R$335,$C47-4)="","",INDEX('02_Base_Potencial'!$R$5:$R$335,$C47-4)))</f>
        <v>41.8</v>
      </c>
      <c r="M47" s="6">
        <f>IF($C47="","",IF(INDEX('02_Base_Potencial'!$S$5:$S$335,$C47-4)="","",INDEX('02_Base_Potencial'!$S$5:$S$335,$C47-4)))</f>
        <v>42.9</v>
      </c>
      <c r="N47" s="6">
        <f>IF($C47="","",IF(INDEX('02_Base_Potencial'!$T$5:$T$335,$C47-4)="","",INDEX('02_Base_Potencial'!$T$5:$T$335,$C47-4)))</f>
        <v>45.3</v>
      </c>
      <c r="O47" s="6">
        <f>IF($C47="","",IF(INDEX('02_Base_Potencial'!$U$5:$U$335,$C47-4)="","",INDEX('02_Base_Potencial'!$U$5:$U$335,$C47-4)))</f>
        <v>45.6</v>
      </c>
      <c r="P47" s="6">
        <f>IF($C47="","",IF(INDEX('02_Base_Potencial'!$V$5:$V$335,$C47-4)="","",INDEX('02_Base_Potencial'!$V$5:$V$335,$C47-4)))</f>
        <v>47</v>
      </c>
      <c r="Q47" s="6">
        <f>IF($C47="","",IF(INDEX('02_Base_Potencial'!$W$5:$W$335,$C47-4)="","",INDEX('02_Base_Potencial'!$W$5:$W$335,$C47-4)))</f>
        <v>48.2</v>
      </c>
      <c r="R47" s="6">
        <f>IF($C47="","",IF(INDEX('02_Base_Potencial'!$X$5:$X$335,$C47-4)="","",INDEX('02_Base_Potencial'!$X$5:$X$335,$C47-4)))</f>
        <v>48.5</v>
      </c>
      <c r="S47" s="6">
        <f>IF($C47="","",IF(INDEX('02_Base_Potencial'!$Y$5:$Y$335,$C47-4)="","",INDEX('02_Base_Potencial'!$Y$5:$Y$335,$C47-4)))</f>
        <v>51.1</v>
      </c>
      <c r="T47" s="6" t="str">
        <f>IF($C47="","",IF(INDEX('02_Base_Potencial'!$Z$5:$Z$335,$C47-4)="","",INDEX('02_Base_Potencial'!$Z$5:$Z$335,$C47-4)))</f>
        <v/>
      </c>
      <c r="U47" s="6" t="str">
        <f>IF($C47="","",IF(INDEX('02_Base_Potencial'!$AA$5:$AA$335,$C47-4)="","",INDEX('02_Base_Potencial'!$AA$5:$AA$335,$C47-4)))</f>
        <v/>
      </c>
      <c r="V47" s="6" t="str">
        <f>IF($C47="","",INDEX('02_Base_Potencial'!$K$5:$K$335,$C47-4)&amp;"")</f>
        <v>MINEA</v>
      </c>
      <c r="W47" s="6" t="str">
        <f>IF($C47="","",COUNT(K47:U47)&amp;"/11")</f>
        <v>9/11</v>
      </c>
    </row>
    <row r="48" spans="1:23">
      <c r="A48" s="6" t="s">
        <v>80</v>
      </c>
      <c r="B48" s="20">
        <v>4</v>
      </c>
      <c r="C48" s="6">
        <f>IF(SUMPRODUCT(('02_Base_Potencial'!$B$5:$B$335=$A48)*('02_Base_Potencial'!$AR$5:$AR$335=$B48)*ROW('02_Base_Potencial'!$A$5:$A$335))=0,"",SUMPRODUCT(('02_Base_Potencial'!$B$5:$B$335=$A48)*('02_Base_Potencial'!$AR$5:$AR$335=$B48)*ROW('02_Base_Potencial'!$A$5:$A$335)))</f>
        <v>160</v>
      </c>
      <c r="D48" s="20" t="str">
        <f>IF($C48="","",INDEX('02_Base_Potencial'!$A$5:$A$335,$C48-4)&amp;"")</f>
        <v>INF05</v>
      </c>
      <c r="E48" s="6" t="str">
        <f>IF($C48="","",INDEX('02_Base_Potencial'!$D$5:$D$335,$C48-4)&amp;"")</f>
        <v>Acesso a energia limpa para cozinhar</v>
      </c>
      <c r="F48" s="6" t="str">
        <f>IF($C48="","",INDEX('02_Base_Potencial'!$E$5:$E$335,$C48-4)&amp;"")</f>
        <v>%</v>
      </c>
      <c r="G48" s="20" t="str">
        <f>IF($C48="","",INDEX('02_Base_Potencial'!$F$5:$F$335,$C48-4)&amp;"")</f>
        <v>+</v>
      </c>
      <c r="H48" s="20">
        <f>IF($C48="","",INDEX('02_Base_Potencial'!$G$5:$G$335,$C48-4))</f>
        <v>0</v>
      </c>
      <c r="I48" s="20">
        <f>IF($C48="","",INDEX('02_Base_Potencial'!$H$5:$H$335,$C48-4))</f>
        <v>100</v>
      </c>
      <c r="J48" s="20">
        <f>IF($C48="",0,IF(INDEX('02_Base_Potencial'!$J$5:$J$335,$C48-4)="",0,INDEX('02_Base_Potencial'!$J$5:$J$335,$C48-4)))</f>
        <v>1</v>
      </c>
      <c r="K48" s="6">
        <f>IF($C48="","",IF(INDEX('02_Base_Potencial'!$Q$5:$Q$335,$C48-4)="","",INDEX('02_Base_Potencial'!$Q$5:$Q$335,$C48-4)))</f>
        <v>47</v>
      </c>
      <c r="L48" s="6">
        <f>IF($C48="","",IF(INDEX('02_Base_Potencial'!$R$5:$R$335,$C48-4)="","",INDEX('02_Base_Potencial'!$R$5:$R$335,$C48-4)))</f>
        <v>48</v>
      </c>
      <c r="M48" s="6">
        <f>IF($C48="","",IF(INDEX('02_Base_Potencial'!$S$5:$S$335,$C48-4)="","",INDEX('02_Base_Potencial'!$S$5:$S$335,$C48-4)))</f>
        <v>48.2</v>
      </c>
      <c r="N48" s="6">
        <f>IF($C48="","",IF(INDEX('02_Base_Potencial'!$T$5:$T$335,$C48-4)="","",INDEX('02_Base_Potencial'!$T$5:$T$335,$C48-4)))</f>
        <v>48.8</v>
      </c>
      <c r="O48" s="6">
        <f>IF($C48="","",IF(INDEX('02_Base_Potencial'!$U$5:$U$335,$C48-4)="","",INDEX('02_Base_Potencial'!$U$5:$U$335,$C48-4)))</f>
        <v>49.2</v>
      </c>
      <c r="P48" s="6">
        <f>IF($C48="","",IF(INDEX('02_Base_Potencial'!$V$5:$V$335,$C48-4)="","",INDEX('02_Base_Potencial'!$V$5:$V$335,$C48-4)))</f>
        <v>49.4</v>
      </c>
      <c r="Q48" s="6">
        <f>IF($C48="","",IF(INDEX('02_Base_Potencial'!$W$5:$W$335,$C48-4)="","",INDEX('02_Base_Potencial'!$W$5:$W$335,$C48-4)))</f>
        <v>49.8</v>
      </c>
      <c r="R48" s="6">
        <f>IF($C48="","",IF(INDEX('02_Base_Potencial'!$X$5:$X$335,$C48-4)="","",INDEX('02_Base_Potencial'!$X$5:$X$335,$C48-4)))</f>
        <v>50</v>
      </c>
      <c r="S48" s="6">
        <f>IF($C48="","",IF(INDEX('02_Base_Potencial'!$Y$5:$Y$335,$C48-4)="","",INDEX('02_Base_Potencial'!$Y$5:$Y$335,$C48-4)))</f>
        <v>50.2</v>
      </c>
      <c r="T48" s="6" t="str">
        <f>IF($C48="","",IF(INDEX('02_Base_Potencial'!$Z$5:$Z$335,$C48-4)="","",INDEX('02_Base_Potencial'!$Z$5:$Z$335,$C48-4)))</f>
        <v/>
      </c>
      <c r="U48" s="6" t="str">
        <f>IF($C48="","",IF(INDEX('02_Base_Potencial'!$AA$5:$AA$335,$C48-4)="","",INDEX('02_Base_Potencial'!$AA$5:$AA$335,$C48-4)))</f>
        <v/>
      </c>
      <c r="V48" s="6" t="str">
        <f>IF($C48="","",INDEX('02_Base_Potencial'!$K$5:$K$335,$C48-4)&amp;"")</f>
        <v>Banco Mundial/OMS</v>
      </c>
      <c r="W48" s="6" t="str">
        <f>IF($C48="","",COUNT(K48:U48)&amp;"/11")</f>
        <v>9/11</v>
      </c>
    </row>
    <row r="49" spans="1:23">
      <c r="A49" s="6" t="s">
        <v>80</v>
      </c>
      <c r="B49" s="20">
        <v>5</v>
      </c>
      <c r="C49" s="6">
        <f>IF(SUMPRODUCT(('02_Base_Potencial'!$B$5:$B$335=$A49)*('02_Base_Potencial'!$AR$5:$AR$335=$B49)*ROW('02_Base_Potencial'!$A$5:$A$335))=0,"",SUMPRODUCT(('02_Base_Potencial'!$B$5:$B$335=$A49)*('02_Base_Potencial'!$AR$5:$AR$335=$B49)*ROW('02_Base_Potencial'!$A$5:$A$335)))</f>
        <v>175</v>
      </c>
      <c r="D49" s="20" t="str">
        <f>IF($C49="","",INDEX('02_Base_Potencial'!$A$5:$A$335,$C49-4)&amp;"")</f>
        <v>INF024</v>
      </c>
      <c r="E49" s="6" t="str">
        <f>IF($C49="","",INDEX('02_Base_Potencial'!$D$5:$D$335,$C49-4)&amp;"")</f>
        <v>Tráfego portuário de contentores</v>
      </c>
      <c r="F49" s="6" t="str">
        <f>IF($C49="","",INDEX('02_Base_Potencial'!$E$5:$E$335,$C49-4)&amp;"")</f>
        <v>TEU</v>
      </c>
      <c r="G49" s="20" t="str">
        <f>IF($C49="","",INDEX('02_Base_Potencial'!$F$5:$F$335,$C49-4)&amp;"")</f>
        <v>+</v>
      </c>
      <c r="H49" s="20">
        <f>IF($C49="","",INDEX('02_Base_Potencial'!$G$5:$G$335,$C49-4))</f>
        <v>455000</v>
      </c>
      <c r="I49" s="20">
        <f>IF($C49="","",INDEX('02_Base_Potencial'!$H$5:$H$335,$C49-4))</f>
        <v>1130000</v>
      </c>
      <c r="J49" s="20">
        <f>IF($C49="",0,IF(INDEX('02_Base_Potencial'!$J$5:$J$335,$C49-4)="",0,INDEX('02_Base_Potencial'!$J$5:$J$335,$C49-4)))</f>
        <v>1</v>
      </c>
      <c r="K49" s="6">
        <f>IF($C49="","",IF(INDEX('02_Base_Potencial'!$Q$5:$Q$335,$C49-4)="","",INDEX('02_Base_Potencial'!$Q$5:$Q$335,$C49-4)))</f>
        <v>814965</v>
      </c>
      <c r="L49" s="6">
        <f>IF($C49="","",IF(INDEX('02_Base_Potencial'!$R$5:$R$335,$C49-4)="","",INDEX('02_Base_Potencial'!$R$5:$R$335,$C49-4)))</f>
        <v>572298</v>
      </c>
      <c r="M49" s="6">
        <f>IF($C49="","",IF(INDEX('02_Base_Potencial'!$S$5:$S$335,$C49-4)="","",INDEX('02_Base_Potencial'!$S$5:$S$335,$C49-4)))</f>
        <v>735431</v>
      </c>
      <c r="N49" s="6">
        <f>IF($C49="","",IF(INDEX('02_Base_Potencial'!$T$5:$T$335,$C49-4)="","",INDEX('02_Base_Potencial'!$T$5:$T$335,$C49-4)))</f>
        <v>618238</v>
      </c>
      <c r="O49" s="6">
        <f>IF($C49="","",IF(INDEX('02_Base_Potencial'!$U$5:$U$335,$C49-4)="","",INDEX('02_Base_Potencial'!$U$5:$U$335,$C49-4)))</f>
        <v>700123</v>
      </c>
      <c r="P49" s="6">
        <f>IF($C49="","",IF(INDEX('02_Base_Potencial'!$V$5:$V$335,$C49-4)="","",INDEX('02_Base_Potencial'!$V$5:$V$335,$C49-4)))</f>
        <v>590128</v>
      </c>
      <c r="Q49" s="6">
        <f>IF($C49="","",IF(INDEX('02_Base_Potencial'!$W$5:$W$335,$C49-4)="","",INDEX('02_Base_Potencial'!$W$5:$W$335,$C49-4)))</f>
        <v>628348</v>
      </c>
      <c r="R49" s="6">
        <f>IF($C49="","",IF(INDEX('02_Base_Potencial'!$X$5:$X$335,$C49-4)="","",INDEX('02_Base_Potencial'!$X$5:$X$335,$C49-4)))</f>
        <v>678333</v>
      </c>
      <c r="S49" s="6">
        <f>IF($C49="","",IF(INDEX('02_Base_Potencial'!$Y$5:$Y$335,$C49-4)="","",INDEX('02_Base_Potencial'!$Y$5:$Y$335,$C49-4)))</f>
        <v>662054</v>
      </c>
      <c r="T49" s="6">
        <f>IF($C49="","",IF(INDEX('02_Base_Potencial'!$Z$5:$Z$335,$C49-4)="","",INDEX('02_Base_Potencial'!$Z$5:$Z$335,$C49-4)))</f>
        <v>709221</v>
      </c>
      <c r="U49" s="6" t="str">
        <f>IF($C49="","",IF(INDEX('02_Base_Potencial'!$AA$5:$AA$335,$C49-4)="","",INDEX('02_Base_Potencial'!$AA$5:$AA$335,$C49-4)))</f>
        <v/>
      </c>
      <c r="V49" s="6" t="str">
        <f>IF($C49="","",INDEX('02_Base_Potencial'!$K$5:$K$335,$C49-4)&amp;"")</f>
        <v>Banco Mundial/WDI</v>
      </c>
      <c r="W49" s="6" t="str">
        <f>IF($C49="","",COUNT(K49:U49)&amp;"/11")</f>
        <v>10/11</v>
      </c>
    </row>
    <row r="50" spans="1:23">
      <c r="A50" s="6" t="s">
        <v>80</v>
      </c>
      <c r="B50" s="20">
        <v>6</v>
      </c>
      <c r="C50" s="6" t="str">
        <f>IF(SUMPRODUCT(('02_Base_Potencial'!$B$5:$B$335=$A50)*('02_Base_Potencial'!$AR$5:$AR$335=$B50)*ROW('02_Base_Potencial'!$A$5:$A$335))=0,"",SUMPRODUCT(('02_Base_Potencial'!$B$5:$B$335=$A50)*('02_Base_Potencial'!$AR$5:$AR$335=$B50)*ROW('02_Base_Potencial'!$A$5:$A$335)))</f>
        <v/>
      </c>
      <c r="D50" s="20" t="str">
        <f>IF($C50="","",INDEX('02_Base_Potencial'!$A$5:$A$335,$C50-4)&amp;"")</f>
        <v/>
      </c>
      <c r="E50" s="6" t="str">
        <f>IF($C50="","",INDEX('02_Base_Potencial'!$D$5:$D$335,$C50-4)&amp;"")</f>
        <v/>
      </c>
      <c r="F50" s="6" t="str">
        <f>IF($C50="","",INDEX('02_Base_Potencial'!$E$5:$E$335,$C50-4)&amp;"")</f>
        <v/>
      </c>
      <c r="G50" s="20" t="str">
        <f>IF($C50="","",INDEX('02_Base_Potencial'!$F$5:$F$335,$C50-4)&amp;"")</f>
        <v/>
      </c>
      <c r="H50" s="20" t="str">
        <f>IF($C50="","",INDEX('02_Base_Potencial'!$G$5:$G$335,$C50-4))</f>
        <v/>
      </c>
      <c r="I50" s="20" t="str">
        <f>IF($C50="","",INDEX('02_Base_Potencial'!$H$5:$H$335,$C50-4))</f>
        <v/>
      </c>
      <c r="J50" s="20">
        <f>IF($C50="",0,IF(INDEX('02_Base_Potencial'!$J$5:$J$335,$C50-4)="",0,INDEX('02_Base_Potencial'!$J$5:$J$335,$C50-4)))</f>
        <v>0</v>
      </c>
      <c r="K50" s="6" t="str">
        <f>IF($C50="","",IF(INDEX('02_Base_Potencial'!$Q$5:$Q$335,$C50-4)="","",INDEX('02_Base_Potencial'!$Q$5:$Q$335,$C50-4)))</f>
        <v/>
      </c>
      <c r="L50" s="6" t="str">
        <f>IF($C50="","",IF(INDEX('02_Base_Potencial'!$R$5:$R$335,$C50-4)="","",INDEX('02_Base_Potencial'!$R$5:$R$335,$C50-4)))</f>
        <v/>
      </c>
      <c r="M50" s="6" t="str">
        <f>IF($C50="","",IF(INDEX('02_Base_Potencial'!$S$5:$S$335,$C50-4)="","",INDEX('02_Base_Potencial'!$S$5:$S$335,$C50-4)))</f>
        <v/>
      </c>
      <c r="N50" s="6" t="str">
        <f>IF($C50="","",IF(INDEX('02_Base_Potencial'!$T$5:$T$335,$C50-4)="","",INDEX('02_Base_Potencial'!$T$5:$T$335,$C50-4)))</f>
        <v/>
      </c>
      <c r="O50" s="6" t="str">
        <f>IF($C50="","",IF(INDEX('02_Base_Potencial'!$U$5:$U$335,$C50-4)="","",INDEX('02_Base_Potencial'!$U$5:$U$335,$C50-4)))</f>
        <v/>
      </c>
      <c r="P50" s="6" t="str">
        <f>IF($C50="","",IF(INDEX('02_Base_Potencial'!$V$5:$V$335,$C50-4)="","",INDEX('02_Base_Potencial'!$V$5:$V$335,$C50-4)))</f>
        <v/>
      </c>
      <c r="Q50" s="6" t="str">
        <f>IF($C50="","",IF(INDEX('02_Base_Potencial'!$W$5:$W$335,$C50-4)="","",INDEX('02_Base_Potencial'!$W$5:$W$335,$C50-4)))</f>
        <v/>
      </c>
      <c r="R50" s="6" t="str">
        <f>IF($C50="","",IF(INDEX('02_Base_Potencial'!$X$5:$X$335,$C50-4)="","",INDEX('02_Base_Potencial'!$X$5:$X$335,$C50-4)))</f>
        <v/>
      </c>
      <c r="S50" s="6" t="str">
        <f>IF($C50="","",IF(INDEX('02_Base_Potencial'!$Y$5:$Y$335,$C50-4)="","",INDEX('02_Base_Potencial'!$Y$5:$Y$335,$C50-4)))</f>
        <v/>
      </c>
      <c r="T50" s="6" t="str">
        <f>IF($C50="","",IF(INDEX('02_Base_Potencial'!$Z$5:$Z$335,$C50-4)="","",INDEX('02_Base_Potencial'!$Z$5:$Z$335,$C50-4)))</f>
        <v/>
      </c>
      <c r="U50" s="6" t="str">
        <f>IF($C50="","",IF(INDEX('02_Base_Potencial'!$AA$5:$AA$335,$C50-4)="","",INDEX('02_Base_Potencial'!$AA$5:$AA$335,$C50-4)))</f>
        <v/>
      </c>
      <c r="V50" s="6" t="str">
        <f>IF($C50="","",INDEX('02_Base_Potencial'!$K$5:$K$335,$C50-4)&amp;"")</f>
        <v/>
      </c>
      <c r="W50" s="6" t="str">
        <f>IF($C50="","",COUNT(K50:U50)&amp;"/11")</f>
        <v/>
      </c>
    </row>
    <row r="51" spans="1:23">
      <c r="A51" s="6" t="s">
        <v>80</v>
      </c>
      <c r="B51" s="20">
        <v>7</v>
      </c>
      <c r="C51" s="6" t="str">
        <f>IF(SUMPRODUCT(('02_Base_Potencial'!$B$5:$B$335=$A51)*('02_Base_Potencial'!$AR$5:$AR$335=$B51)*ROW('02_Base_Potencial'!$A$5:$A$335))=0,"",SUMPRODUCT(('02_Base_Potencial'!$B$5:$B$335=$A51)*('02_Base_Potencial'!$AR$5:$AR$335=$B51)*ROW('02_Base_Potencial'!$A$5:$A$335)))</f>
        <v/>
      </c>
      <c r="D51" s="20" t="str">
        <f>IF($C51="","",INDEX('02_Base_Potencial'!$A$5:$A$335,$C51-4)&amp;"")</f>
        <v/>
      </c>
      <c r="E51" s="6" t="str">
        <f>IF($C51="","",INDEX('02_Base_Potencial'!$D$5:$D$335,$C51-4)&amp;"")</f>
        <v/>
      </c>
      <c r="F51" s="6" t="str">
        <f>IF($C51="","",INDEX('02_Base_Potencial'!$E$5:$E$335,$C51-4)&amp;"")</f>
        <v/>
      </c>
      <c r="G51" s="20" t="str">
        <f>IF($C51="","",INDEX('02_Base_Potencial'!$F$5:$F$335,$C51-4)&amp;"")</f>
        <v/>
      </c>
      <c r="H51" s="20" t="str">
        <f>IF($C51="","",INDEX('02_Base_Potencial'!$G$5:$G$335,$C51-4))</f>
        <v/>
      </c>
      <c r="I51" s="20" t="str">
        <f>IF($C51="","",INDEX('02_Base_Potencial'!$H$5:$H$335,$C51-4))</f>
        <v/>
      </c>
      <c r="J51" s="20">
        <f>IF($C51="",0,IF(INDEX('02_Base_Potencial'!$J$5:$J$335,$C51-4)="",0,INDEX('02_Base_Potencial'!$J$5:$J$335,$C51-4)))</f>
        <v>0</v>
      </c>
      <c r="K51" s="6" t="str">
        <f>IF($C51="","",IF(INDEX('02_Base_Potencial'!$Q$5:$Q$335,$C51-4)="","",INDEX('02_Base_Potencial'!$Q$5:$Q$335,$C51-4)))</f>
        <v/>
      </c>
      <c r="L51" s="6" t="str">
        <f>IF($C51="","",IF(INDEX('02_Base_Potencial'!$R$5:$R$335,$C51-4)="","",INDEX('02_Base_Potencial'!$R$5:$R$335,$C51-4)))</f>
        <v/>
      </c>
      <c r="M51" s="6" t="str">
        <f>IF($C51="","",IF(INDEX('02_Base_Potencial'!$S$5:$S$335,$C51-4)="","",INDEX('02_Base_Potencial'!$S$5:$S$335,$C51-4)))</f>
        <v/>
      </c>
      <c r="N51" s="6" t="str">
        <f>IF($C51="","",IF(INDEX('02_Base_Potencial'!$T$5:$T$335,$C51-4)="","",INDEX('02_Base_Potencial'!$T$5:$T$335,$C51-4)))</f>
        <v/>
      </c>
      <c r="O51" s="6" t="str">
        <f>IF($C51="","",IF(INDEX('02_Base_Potencial'!$U$5:$U$335,$C51-4)="","",INDEX('02_Base_Potencial'!$U$5:$U$335,$C51-4)))</f>
        <v/>
      </c>
      <c r="P51" s="6" t="str">
        <f>IF($C51="","",IF(INDEX('02_Base_Potencial'!$V$5:$V$335,$C51-4)="","",INDEX('02_Base_Potencial'!$V$5:$V$335,$C51-4)))</f>
        <v/>
      </c>
      <c r="Q51" s="6" t="str">
        <f>IF($C51="","",IF(INDEX('02_Base_Potencial'!$W$5:$W$335,$C51-4)="","",INDEX('02_Base_Potencial'!$W$5:$W$335,$C51-4)))</f>
        <v/>
      </c>
      <c r="R51" s="6" t="str">
        <f>IF($C51="","",IF(INDEX('02_Base_Potencial'!$X$5:$X$335,$C51-4)="","",INDEX('02_Base_Potencial'!$X$5:$X$335,$C51-4)))</f>
        <v/>
      </c>
      <c r="S51" s="6" t="str">
        <f>IF($C51="","",IF(INDEX('02_Base_Potencial'!$Y$5:$Y$335,$C51-4)="","",INDEX('02_Base_Potencial'!$Y$5:$Y$335,$C51-4)))</f>
        <v/>
      </c>
      <c r="T51" s="6" t="str">
        <f>IF($C51="","",IF(INDEX('02_Base_Potencial'!$Z$5:$Z$335,$C51-4)="","",INDEX('02_Base_Potencial'!$Z$5:$Z$335,$C51-4)))</f>
        <v/>
      </c>
      <c r="U51" s="6" t="str">
        <f>IF($C51="","",IF(INDEX('02_Base_Potencial'!$AA$5:$AA$335,$C51-4)="","",INDEX('02_Base_Potencial'!$AA$5:$AA$335,$C51-4)))</f>
        <v/>
      </c>
      <c r="V51" s="6" t="str">
        <f>IF($C51="","",INDEX('02_Base_Potencial'!$K$5:$K$335,$C51-4)&amp;"")</f>
        <v/>
      </c>
      <c r="W51" s="6" t="str">
        <f>IF($C51="","",COUNT(K51:U51)&amp;"/11")</f>
        <v/>
      </c>
    </row>
    <row r="52" spans="1:23">
      <c r="A52" s="6" t="s">
        <v>80</v>
      </c>
      <c r="B52" s="20">
        <v>8</v>
      </c>
      <c r="C52" s="6" t="str">
        <f>IF(SUMPRODUCT(('02_Base_Potencial'!$B$5:$B$335=$A52)*('02_Base_Potencial'!$AR$5:$AR$335=$B52)*ROW('02_Base_Potencial'!$A$5:$A$335))=0,"",SUMPRODUCT(('02_Base_Potencial'!$B$5:$B$335=$A52)*('02_Base_Potencial'!$AR$5:$AR$335=$B52)*ROW('02_Base_Potencial'!$A$5:$A$335)))</f>
        <v/>
      </c>
      <c r="D52" s="20" t="str">
        <f>IF($C52="","",INDEX('02_Base_Potencial'!$A$5:$A$335,$C52-4)&amp;"")</f>
        <v/>
      </c>
      <c r="E52" s="6" t="str">
        <f>IF($C52="","",INDEX('02_Base_Potencial'!$D$5:$D$335,$C52-4)&amp;"")</f>
        <v/>
      </c>
      <c r="F52" s="6" t="str">
        <f>IF($C52="","",INDEX('02_Base_Potencial'!$E$5:$E$335,$C52-4)&amp;"")</f>
        <v/>
      </c>
      <c r="G52" s="20" t="str">
        <f>IF($C52="","",INDEX('02_Base_Potencial'!$F$5:$F$335,$C52-4)&amp;"")</f>
        <v/>
      </c>
      <c r="H52" s="20" t="str">
        <f>IF($C52="","",INDEX('02_Base_Potencial'!$G$5:$G$335,$C52-4))</f>
        <v/>
      </c>
      <c r="I52" s="20" t="str">
        <f>IF($C52="","",INDEX('02_Base_Potencial'!$H$5:$H$335,$C52-4))</f>
        <v/>
      </c>
      <c r="J52" s="20">
        <f>IF($C52="",0,IF(INDEX('02_Base_Potencial'!$J$5:$J$335,$C52-4)="",0,INDEX('02_Base_Potencial'!$J$5:$J$335,$C52-4)))</f>
        <v>0</v>
      </c>
      <c r="K52" s="6" t="str">
        <f>IF($C52="","",IF(INDEX('02_Base_Potencial'!$Q$5:$Q$335,$C52-4)="","",INDEX('02_Base_Potencial'!$Q$5:$Q$335,$C52-4)))</f>
        <v/>
      </c>
      <c r="L52" s="6" t="str">
        <f>IF($C52="","",IF(INDEX('02_Base_Potencial'!$R$5:$R$335,$C52-4)="","",INDEX('02_Base_Potencial'!$R$5:$R$335,$C52-4)))</f>
        <v/>
      </c>
      <c r="M52" s="6" t="str">
        <f>IF($C52="","",IF(INDEX('02_Base_Potencial'!$S$5:$S$335,$C52-4)="","",INDEX('02_Base_Potencial'!$S$5:$S$335,$C52-4)))</f>
        <v/>
      </c>
      <c r="N52" s="6" t="str">
        <f>IF($C52="","",IF(INDEX('02_Base_Potencial'!$T$5:$T$335,$C52-4)="","",INDEX('02_Base_Potencial'!$T$5:$T$335,$C52-4)))</f>
        <v/>
      </c>
      <c r="O52" s="6" t="str">
        <f>IF($C52="","",IF(INDEX('02_Base_Potencial'!$U$5:$U$335,$C52-4)="","",INDEX('02_Base_Potencial'!$U$5:$U$335,$C52-4)))</f>
        <v/>
      </c>
      <c r="P52" s="6" t="str">
        <f>IF($C52="","",IF(INDEX('02_Base_Potencial'!$V$5:$V$335,$C52-4)="","",INDEX('02_Base_Potencial'!$V$5:$V$335,$C52-4)))</f>
        <v/>
      </c>
      <c r="Q52" s="6" t="str">
        <f>IF($C52="","",IF(INDEX('02_Base_Potencial'!$W$5:$W$335,$C52-4)="","",INDEX('02_Base_Potencial'!$W$5:$W$335,$C52-4)))</f>
        <v/>
      </c>
      <c r="R52" s="6" t="str">
        <f>IF($C52="","",IF(INDEX('02_Base_Potencial'!$X$5:$X$335,$C52-4)="","",INDEX('02_Base_Potencial'!$X$5:$X$335,$C52-4)))</f>
        <v/>
      </c>
      <c r="S52" s="6" t="str">
        <f>IF($C52="","",IF(INDEX('02_Base_Potencial'!$Y$5:$Y$335,$C52-4)="","",INDEX('02_Base_Potencial'!$Y$5:$Y$335,$C52-4)))</f>
        <v/>
      </c>
      <c r="T52" s="6" t="str">
        <f>IF($C52="","",IF(INDEX('02_Base_Potencial'!$Z$5:$Z$335,$C52-4)="","",INDEX('02_Base_Potencial'!$Z$5:$Z$335,$C52-4)))</f>
        <v/>
      </c>
      <c r="U52" s="6" t="str">
        <f>IF($C52="","",IF(INDEX('02_Base_Potencial'!$AA$5:$AA$335,$C52-4)="","",INDEX('02_Base_Potencial'!$AA$5:$AA$335,$C52-4)))</f>
        <v/>
      </c>
      <c r="V52" s="6" t="str">
        <f>IF($C52="","",INDEX('02_Base_Potencial'!$K$5:$K$335,$C52-4)&amp;"")</f>
        <v/>
      </c>
      <c r="W52" s="6" t="str">
        <f>IF($C52="","",COUNT(K52:U52)&amp;"/11")</f>
        <v/>
      </c>
    </row>
    <row r="53" spans="1:23">
      <c r="A53" s="6" t="s">
        <v>80</v>
      </c>
      <c r="B53" s="20">
        <v>9</v>
      </c>
      <c r="C53" s="6" t="str">
        <f>IF(SUMPRODUCT(('02_Base_Potencial'!$B$5:$B$335=$A53)*('02_Base_Potencial'!$AR$5:$AR$335=$B53)*ROW('02_Base_Potencial'!$A$5:$A$335))=0,"",SUMPRODUCT(('02_Base_Potencial'!$B$5:$B$335=$A53)*('02_Base_Potencial'!$AR$5:$AR$335=$B53)*ROW('02_Base_Potencial'!$A$5:$A$335)))</f>
        <v/>
      </c>
      <c r="D53" s="20" t="str">
        <f>IF($C53="","",INDEX('02_Base_Potencial'!$A$5:$A$335,$C53-4)&amp;"")</f>
        <v/>
      </c>
      <c r="E53" s="6" t="str">
        <f>IF($C53="","",INDEX('02_Base_Potencial'!$D$5:$D$335,$C53-4)&amp;"")</f>
        <v/>
      </c>
      <c r="F53" s="6" t="str">
        <f>IF($C53="","",INDEX('02_Base_Potencial'!$E$5:$E$335,$C53-4)&amp;"")</f>
        <v/>
      </c>
      <c r="G53" s="20" t="str">
        <f>IF($C53="","",INDEX('02_Base_Potencial'!$F$5:$F$335,$C53-4)&amp;"")</f>
        <v/>
      </c>
      <c r="H53" s="20" t="str">
        <f>IF($C53="","",INDEX('02_Base_Potencial'!$G$5:$G$335,$C53-4))</f>
        <v/>
      </c>
      <c r="I53" s="20" t="str">
        <f>IF($C53="","",INDEX('02_Base_Potencial'!$H$5:$H$335,$C53-4))</f>
        <v/>
      </c>
      <c r="J53" s="20">
        <f>IF($C53="",0,IF(INDEX('02_Base_Potencial'!$J$5:$J$335,$C53-4)="",0,INDEX('02_Base_Potencial'!$J$5:$J$335,$C53-4)))</f>
        <v>0</v>
      </c>
      <c r="K53" s="6" t="str">
        <f>IF($C53="","",IF(INDEX('02_Base_Potencial'!$Q$5:$Q$335,$C53-4)="","",INDEX('02_Base_Potencial'!$Q$5:$Q$335,$C53-4)))</f>
        <v/>
      </c>
      <c r="L53" s="6" t="str">
        <f>IF($C53="","",IF(INDEX('02_Base_Potencial'!$R$5:$R$335,$C53-4)="","",INDEX('02_Base_Potencial'!$R$5:$R$335,$C53-4)))</f>
        <v/>
      </c>
      <c r="M53" s="6" t="str">
        <f>IF($C53="","",IF(INDEX('02_Base_Potencial'!$S$5:$S$335,$C53-4)="","",INDEX('02_Base_Potencial'!$S$5:$S$335,$C53-4)))</f>
        <v/>
      </c>
      <c r="N53" s="6" t="str">
        <f>IF($C53="","",IF(INDEX('02_Base_Potencial'!$T$5:$T$335,$C53-4)="","",INDEX('02_Base_Potencial'!$T$5:$T$335,$C53-4)))</f>
        <v/>
      </c>
      <c r="O53" s="6" t="str">
        <f>IF($C53="","",IF(INDEX('02_Base_Potencial'!$U$5:$U$335,$C53-4)="","",INDEX('02_Base_Potencial'!$U$5:$U$335,$C53-4)))</f>
        <v/>
      </c>
      <c r="P53" s="6" t="str">
        <f>IF($C53="","",IF(INDEX('02_Base_Potencial'!$V$5:$V$335,$C53-4)="","",INDEX('02_Base_Potencial'!$V$5:$V$335,$C53-4)))</f>
        <v/>
      </c>
      <c r="Q53" s="6" t="str">
        <f>IF($C53="","",IF(INDEX('02_Base_Potencial'!$W$5:$W$335,$C53-4)="","",INDEX('02_Base_Potencial'!$W$5:$W$335,$C53-4)))</f>
        <v/>
      </c>
      <c r="R53" s="6" t="str">
        <f>IF($C53="","",IF(INDEX('02_Base_Potencial'!$X$5:$X$335,$C53-4)="","",INDEX('02_Base_Potencial'!$X$5:$X$335,$C53-4)))</f>
        <v/>
      </c>
      <c r="S53" s="6" t="str">
        <f>IF($C53="","",IF(INDEX('02_Base_Potencial'!$Y$5:$Y$335,$C53-4)="","",INDEX('02_Base_Potencial'!$Y$5:$Y$335,$C53-4)))</f>
        <v/>
      </c>
      <c r="T53" s="6" t="str">
        <f>IF($C53="","",IF(INDEX('02_Base_Potencial'!$Z$5:$Z$335,$C53-4)="","",INDEX('02_Base_Potencial'!$Z$5:$Z$335,$C53-4)))</f>
        <v/>
      </c>
      <c r="U53" s="6" t="str">
        <f>IF($C53="","",IF(INDEX('02_Base_Potencial'!$AA$5:$AA$335,$C53-4)="","",INDEX('02_Base_Potencial'!$AA$5:$AA$335,$C53-4)))</f>
        <v/>
      </c>
      <c r="V53" s="6" t="str">
        <f>IF($C53="","",INDEX('02_Base_Potencial'!$K$5:$K$335,$C53-4)&amp;"")</f>
        <v/>
      </c>
      <c r="W53" s="6" t="str">
        <f>IF($C53="","",COUNT(K53:U53)&amp;"/11")</f>
        <v/>
      </c>
    </row>
    <row r="54" spans="1:23">
      <c r="A54" s="6" t="s">
        <v>80</v>
      </c>
      <c r="B54" s="20">
        <v>10</v>
      </c>
      <c r="C54" s="6" t="str">
        <f>IF(SUMPRODUCT(('02_Base_Potencial'!$B$5:$B$335=$A54)*('02_Base_Potencial'!$AR$5:$AR$335=$B54)*ROW('02_Base_Potencial'!$A$5:$A$335))=0,"",SUMPRODUCT(('02_Base_Potencial'!$B$5:$B$335=$A54)*('02_Base_Potencial'!$AR$5:$AR$335=$B54)*ROW('02_Base_Potencial'!$A$5:$A$335)))</f>
        <v/>
      </c>
      <c r="D54" s="20" t="str">
        <f>IF($C54="","",INDEX('02_Base_Potencial'!$A$5:$A$335,$C54-4)&amp;"")</f>
        <v/>
      </c>
      <c r="E54" s="6" t="str">
        <f>IF($C54="","",INDEX('02_Base_Potencial'!$D$5:$D$335,$C54-4)&amp;"")</f>
        <v/>
      </c>
      <c r="F54" s="6" t="str">
        <f>IF($C54="","",INDEX('02_Base_Potencial'!$E$5:$E$335,$C54-4)&amp;"")</f>
        <v/>
      </c>
      <c r="G54" s="20" t="str">
        <f>IF($C54="","",INDEX('02_Base_Potencial'!$F$5:$F$335,$C54-4)&amp;"")</f>
        <v/>
      </c>
      <c r="H54" s="20" t="str">
        <f>IF($C54="","",INDEX('02_Base_Potencial'!$G$5:$G$335,$C54-4))</f>
        <v/>
      </c>
      <c r="I54" s="20" t="str">
        <f>IF($C54="","",INDEX('02_Base_Potencial'!$H$5:$H$335,$C54-4))</f>
        <v/>
      </c>
      <c r="J54" s="20">
        <f>IF($C54="",0,IF(INDEX('02_Base_Potencial'!$J$5:$J$335,$C54-4)="",0,INDEX('02_Base_Potencial'!$J$5:$J$335,$C54-4)))</f>
        <v>0</v>
      </c>
      <c r="K54" s="6" t="str">
        <f>IF($C54="","",IF(INDEX('02_Base_Potencial'!$Q$5:$Q$335,$C54-4)="","",INDEX('02_Base_Potencial'!$Q$5:$Q$335,$C54-4)))</f>
        <v/>
      </c>
      <c r="L54" s="6" t="str">
        <f>IF($C54="","",IF(INDEX('02_Base_Potencial'!$R$5:$R$335,$C54-4)="","",INDEX('02_Base_Potencial'!$R$5:$R$335,$C54-4)))</f>
        <v/>
      </c>
      <c r="M54" s="6" t="str">
        <f>IF($C54="","",IF(INDEX('02_Base_Potencial'!$S$5:$S$335,$C54-4)="","",INDEX('02_Base_Potencial'!$S$5:$S$335,$C54-4)))</f>
        <v/>
      </c>
      <c r="N54" s="6" t="str">
        <f>IF($C54="","",IF(INDEX('02_Base_Potencial'!$T$5:$T$335,$C54-4)="","",INDEX('02_Base_Potencial'!$T$5:$T$335,$C54-4)))</f>
        <v/>
      </c>
      <c r="O54" s="6" t="str">
        <f>IF($C54="","",IF(INDEX('02_Base_Potencial'!$U$5:$U$335,$C54-4)="","",INDEX('02_Base_Potencial'!$U$5:$U$335,$C54-4)))</f>
        <v/>
      </c>
      <c r="P54" s="6" t="str">
        <f>IF($C54="","",IF(INDEX('02_Base_Potencial'!$V$5:$V$335,$C54-4)="","",INDEX('02_Base_Potencial'!$V$5:$V$335,$C54-4)))</f>
        <v/>
      </c>
      <c r="Q54" s="6" t="str">
        <f>IF($C54="","",IF(INDEX('02_Base_Potencial'!$W$5:$W$335,$C54-4)="","",INDEX('02_Base_Potencial'!$W$5:$W$335,$C54-4)))</f>
        <v/>
      </c>
      <c r="R54" s="6" t="str">
        <f>IF($C54="","",IF(INDEX('02_Base_Potencial'!$X$5:$X$335,$C54-4)="","",INDEX('02_Base_Potencial'!$X$5:$X$335,$C54-4)))</f>
        <v/>
      </c>
      <c r="S54" s="6" t="str">
        <f>IF($C54="","",IF(INDEX('02_Base_Potencial'!$Y$5:$Y$335,$C54-4)="","",INDEX('02_Base_Potencial'!$Y$5:$Y$335,$C54-4)))</f>
        <v/>
      </c>
      <c r="T54" s="6" t="str">
        <f>IF($C54="","",IF(INDEX('02_Base_Potencial'!$Z$5:$Z$335,$C54-4)="","",INDEX('02_Base_Potencial'!$Z$5:$Z$335,$C54-4)))</f>
        <v/>
      </c>
      <c r="U54" s="6" t="str">
        <f>IF($C54="","",IF(INDEX('02_Base_Potencial'!$AA$5:$AA$335,$C54-4)="","",INDEX('02_Base_Potencial'!$AA$5:$AA$335,$C54-4)))</f>
        <v/>
      </c>
      <c r="V54" s="6" t="str">
        <f>IF($C54="","",INDEX('02_Base_Potencial'!$K$5:$K$335,$C54-4)&amp;"")</f>
        <v/>
      </c>
      <c r="W54" s="6" t="str">
        <f>IF($C54="","",COUNT(K54:U54)&amp;"/11")</f>
        <v/>
      </c>
    </row>
    <row r="55" spans="1:23">
      <c r="A55" s="27" t="s">
        <v>81</v>
      </c>
      <c r="B55" s="25">
        <v>1</v>
      </c>
      <c r="C55" s="27">
        <f>IF(SUMPRODUCT(('02_Base_Potencial'!$B$5:$B$335=$A55)*('02_Base_Potencial'!$AR$5:$AR$335=$B55)*ROW('02_Base_Potencial'!$A$5:$A$335))=0,"",SUMPRODUCT(('02_Base_Potencial'!$B$5:$B$335=$A55)*('02_Base_Potencial'!$AR$5:$AR$335=$B55)*ROW('02_Base_Potencial'!$A$5:$A$335)))</f>
        <v>183</v>
      </c>
      <c r="D55" s="25" t="str">
        <f>IF($C55="","",INDEX('02_Base_Potencial'!$A$5:$A$335,$C55-4)&amp;"")</f>
        <v>LAB001</v>
      </c>
      <c r="E55" s="27" t="str">
        <f>IF($C55="","",INDEX('02_Base_Potencial'!$D$5:$D$335,$C55-4)&amp;"")</f>
        <v>Taxa de Emprego</v>
      </c>
      <c r="F55" s="27" t="str">
        <f>IF($C55="","",INDEX('02_Base_Potencial'!$E$5:$E$335,$C55-4)&amp;"")</f>
        <v>%</v>
      </c>
      <c r="G55" s="25" t="str">
        <f>IF($C55="","",INDEX('02_Base_Potencial'!$F$5:$F$335,$C55-4)&amp;"")</f>
        <v>+</v>
      </c>
      <c r="H55" s="25">
        <f>IF($C55="","",INDEX('02_Base_Potencial'!$G$5:$G$335,$C55-4))</f>
        <v>0</v>
      </c>
      <c r="I55" s="25">
        <f>IF($C55="","",INDEX('02_Base_Potencial'!$H$5:$H$335,$C55-4))</f>
        <v>100</v>
      </c>
      <c r="J55" s="25">
        <f>IF($C55="",0,IF(INDEX('02_Base_Potencial'!$J$5:$J$335,$C55-4)="",0,INDEX('02_Base_Potencial'!$J$5:$J$335,$C55-4)))</f>
        <v>1</v>
      </c>
      <c r="K55" s="27">
        <f>IF($C55="","",IF(INDEX('02_Base_Potencial'!$Q$5:$Q$335,$C55-4)="","",INDEX('02_Base_Potencial'!$Q$5:$Q$335,$C55-4)))</f>
        <v>63.637999999999998</v>
      </c>
      <c r="L55" s="27">
        <f>IF($C55="","",IF(INDEX('02_Base_Potencial'!$R$5:$R$335,$C55-4)="","",INDEX('02_Base_Potencial'!$R$5:$R$335,$C55-4)))</f>
        <v>63.320999999999998</v>
      </c>
      <c r="M55" s="27">
        <f>IF($C55="","",IF(INDEX('02_Base_Potencial'!$S$5:$S$335,$C55-4)="","",INDEX('02_Base_Potencial'!$S$5:$S$335,$C55-4)))</f>
        <v>63.045000000000002</v>
      </c>
      <c r="N55" s="27">
        <f>IF($C55="","",IF(INDEX('02_Base_Potencial'!$T$5:$T$335,$C55-4)="","",INDEX('02_Base_Potencial'!$T$5:$T$335,$C55-4)))</f>
        <v>62.811999999999998</v>
      </c>
      <c r="O55" s="27">
        <f>IF($C55="","",IF(INDEX('02_Base_Potencial'!$U$5:$U$335,$C55-4)="","",INDEX('02_Base_Potencial'!$U$5:$U$335,$C55-4)))</f>
        <v>62.643999999999998</v>
      </c>
      <c r="P55" s="27">
        <f>IF($C55="","",IF(INDEX('02_Base_Potencial'!$V$5:$V$335,$C55-4)="","",INDEX('02_Base_Potencial'!$V$5:$V$335,$C55-4)))</f>
        <v>61.078000000000003</v>
      </c>
      <c r="Q55" s="27">
        <f>IF($C55="","",IF(INDEX('02_Base_Potencial'!$W$5:$W$335,$C55-4)="","",INDEX('02_Base_Potencial'!$W$5:$W$335,$C55-4)))</f>
        <v>64.305999999999997</v>
      </c>
      <c r="R55" s="27">
        <f>IF($C55="","",IF(INDEX('02_Base_Potencial'!$X$5:$X$335,$C55-4)="","",INDEX('02_Base_Potencial'!$X$5:$X$335,$C55-4)))</f>
        <v>64.619</v>
      </c>
      <c r="S55" s="27">
        <f>IF($C55="","",IF(INDEX('02_Base_Potencial'!$Y$5:$Y$335,$C55-4)="","",INDEX('02_Base_Potencial'!$Y$5:$Y$335,$C55-4)))</f>
        <v>64.369</v>
      </c>
      <c r="T55" s="27">
        <f>IF($C55="","",IF(INDEX('02_Base_Potencial'!$Z$5:$Z$335,$C55-4)="","",INDEX('02_Base_Potencial'!$Z$5:$Z$335,$C55-4)))</f>
        <v>64.382999999999996</v>
      </c>
      <c r="U55" s="27">
        <f>IF($C55="","",IF(INDEX('02_Base_Potencial'!$AA$5:$AA$335,$C55-4)="","",INDEX('02_Base_Potencial'!$AA$5:$AA$335,$C55-4)))</f>
        <v>64.236000000000004</v>
      </c>
      <c r="V55" s="6" t="str">
        <f>IF($C55="","",INDEX('02_Base_Potencial'!$K$5:$K$335,$C55-4)&amp;"")</f>
        <v>INE</v>
      </c>
      <c r="W55" s="6" t="str">
        <f>IF($C55="","",COUNT(K55:U55)&amp;"/11")</f>
        <v>11/11</v>
      </c>
    </row>
    <row r="56" spans="1:23">
      <c r="A56" s="27" t="s">
        <v>81</v>
      </c>
      <c r="B56" s="25">
        <v>2</v>
      </c>
      <c r="C56" s="27">
        <f>IF(SUMPRODUCT(('02_Base_Potencial'!$B$5:$B$335=$A56)*('02_Base_Potencial'!$AR$5:$AR$335=$B56)*ROW('02_Base_Potencial'!$A$5:$A$335))=0,"",SUMPRODUCT(('02_Base_Potencial'!$B$5:$B$335=$A56)*('02_Base_Potencial'!$AR$5:$AR$335=$B56)*ROW('02_Base_Potencial'!$A$5:$A$335)))</f>
        <v>184</v>
      </c>
      <c r="D56" s="25" t="str">
        <f>IF($C56="","",INDEX('02_Base_Potencial'!$A$5:$A$335,$C56-4)&amp;"")</f>
        <v>LAB002</v>
      </c>
      <c r="E56" s="27" t="str">
        <f>IF($C56="","",INDEX('02_Base_Potencial'!$D$5:$D$335,$C56-4)&amp;"")</f>
        <v>Taxa de Desemprego</v>
      </c>
      <c r="F56" s="27" t="str">
        <f>IF($C56="","",INDEX('02_Base_Potencial'!$E$5:$E$335,$C56-4)&amp;"")</f>
        <v>%</v>
      </c>
      <c r="G56" s="25" t="str">
        <f>IF($C56="","",INDEX('02_Base_Potencial'!$F$5:$F$335,$C56-4)&amp;"")</f>
        <v>-</v>
      </c>
      <c r="H56" s="25">
        <f>IF($C56="","",INDEX('02_Base_Potencial'!$G$5:$G$335,$C56-4))</f>
        <v>0</v>
      </c>
      <c r="I56" s="25">
        <f>IF($C56="","",INDEX('02_Base_Potencial'!$H$5:$H$335,$C56-4))</f>
        <v>50</v>
      </c>
      <c r="J56" s="25">
        <f>IF($C56="",0,IF(INDEX('02_Base_Potencial'!$J$5:$J$335,$C56-4)="",0,INDEX('02_Base_Potencial'!$J$5:$J$335,$C56-4)))</f>
        <v>1</v>
      </c>
      <c r="K56" s="27">
        <f>IF($C56="","",IF(INDEX('02_Base_Potencial'!$Q$5:$Q$335,$C56-4)="","",INDEX('02_Base_Potencial'!$Q$5:$Q$335,$C56-4)))</f>
        <v>16.472000000000001</v>
      </c>
      <c r="L56" s="27">
        <f>IF($C56="","",IF(INDEX('02_Base_Potencial'!$R$5:$R$335,$C56-4)="","",INDEX('02_Base_Potencial'!$R$5:$R$335,$C56-4)))</f>
        <v>16.571999999999999</v>
      </c>
      <c r="M56" s="27">
        <f>IF($C56="","",IF(INDEX('02_Base_Potencial'!$S$5:$S$335,$C56-4)="","",INDEX('02_Base_Potencial'!$S$5:$S$335,$C56-4)))</f>
        <v>16.617000000000001</v>
      </c>
      <c r="N56" s="27">
        <f>IF($C56="","",IF(INDEX('02_Base_Potencial'!$T$5:$T$335,$C56-4)="","",INDEX('02_Base_Potencial'!$T$5:$T$335,$C56-4)))</f>
        <v>16.602</v>
      </c>
      <c r="O56" s="27">
        <f>IF($C56="","",IF(INDEX('02_Base_Potencial'!$U$5:$U$335,$C56-4)="","",INDEX('02_Base_Potencial'!$U$5:$U$335,$C56-4)))</f>
        <v>16.497</v>
      </c>
      <c r="P56" s="27">
        <f>IF($C56="","",IF(INDEX('02_Base_Potencial'!$V$5:$V$335,$C56-4)="","",INDEX('02_Base_Potencial'!$V$5:$V$335,$C56-4)))</f>
        <v>16.696000000000002</v>
      </c>
      <c r="Q56" s="27">
        <f>IF($C56="","",IF(INDEX('02_Base_Potencial'!$W$5:$W$335,$C56-4)="","",INDEX('02_Base_Potencial'!$W$5:$W$335,$C56-4)))</f>
        <v>15.798999999999999</v>
      </c>
      <c r="R56" s="27">
        <f>IF($C56="","",IF(INDEX('02_Base_Potencial'!$X$5:$X$335,$C56-4)="","",INDEX('02_Base_Potencial'!$X$5:$X$335,$C56-4)))</f>
        <v>14.124000000000001</v>
      </c>
      <c r="S56" s="27">
        <f>IF($C56="","",IF(INDEX('02_Base_Potencial'!$Y$5:$Y$335,$C56-4)="","",INDEX('02_Base_Potencial'!$Y$5:$Y$335,$C56-4)))</f>
        <v>14.051</v>
      </c>
      <c r="T56" s="27">
        <f>IF($C56="","",IF(INDEX('02_Base_Potencial'!$Z$5:$Z$335,$C56-4)="","",INDEX('02_Base_Potencial'!$Z$5:$Z$335,$C56-4)))</f>
        <v>14.02</v>
      </c>
      <c r="U56" s="27">
        <f>IF($C56="","",IF(INDEX('02_Base_Potencial'!$AA$5:$AA$335,$C56-4)="","",INDEX('02_Base_Potencial'!$AA$5:$AA$335,$C56-4)))</f>
        <v>14.108000000000001</v>
      </c>
      <c r="V56" s="6" t="str">
        <f>IF($C56="","",INDEX('02_Base_Potencial'!$K$5:$K$335,$C56-4)&amp;"")</f>
        <v>INE</v>
      </c>
      <c r="W56" s="6" t="str">
        <f>IF($C56="","",COUNT(K56:U56)&amp;"/11")</f>
        <v>11/11</v>
      </c>
    </row>
    <row r="57" spans="1:23">
      <c r="A57" s="27" t="s">
        <v>81</v>
      </c>
      <c r="B57" s="25">
        <v>3</v>
      </c>
      <c r="C57" s="27">
        <f>IF(SUMPRODUCT(('02_Base_Potencial'!$B$5:$B$335=$A57)*('02_Base_Potencial'!$AR$5:$AR$335=$B57)*ROW('02_Base_Potencial'!$A$5:$A$335))=0,"",SUMPRODUCT(('02_Base_Potencial'!$B$5:$B$335=$A57)*('02_Base_Potencial'!$AR$5:$AR$335=$B57)*ROW('02_Base_Potencial'!$A$5:$A$335)))</f>
        <v>185</v>
      </c>
      <c r="D57" s="25" t="str">
        <f>IF($C57="","",INDEX('02_Base_Potencial'!$A$5:$A$335,$C57-4)&amp;"")</f>
        <v>LAB003</v>
      </c>
      <c r="E57" s="27" t="str">
        <f>IF($C57="","",INDEX('02_Base_Potencial'!$D$5:$D$335,$C57-4)&amp;"")</f>
        <v>Desemprego Juvenil (15-25)</v>
      </c>
      <c r="F57" s="27" t="str">
        <f>IF($C57="","",INDEX('02_Base_Potencial'!$E$5:$E$335,$C57-4)&amp;"")</f>
        <v>%</v>
      </c>
      <c r="G57" s="25" t="str">
        <f>IF($C57="","",INDEX('02_Base_Potencial'!$F$5:$F$335,$C57-4)&amp;"")</f>
        <v>-</v>
      </c>
      <c r="H57" s="25">
        <f>IF($C57="","",INDEX('02_Base_Potencial'!$G$5:$G$335,$C57-4))</f>
        <v>24.9</v>
      </c>
      <c r="I57" s="25">
        <f>IF($C57="","",INDEX('02_Base_Potencial'!$H$5:$H$335,$C57-4))</f>
        <v>40.9</v>
      </c>
      <c r="J57" s="25">
        <f>IF($C57="",0,IF(INDEX('02_Base_Potencial'!$J$5:$J$335,$C57-4)="",0,INDEX('02_Base_Potencial'!$J$5:$J$335,$C57-4)))</f>
        <v>1</v>
      </c>
      <c r="K57" s="27">
        <f>IF($C57="","",IF(INDEX('02_Base_Potencial'!$Q$5:$Q$335,$C57-4)="","",INDEX('02_Base_Potencial'!$Q$5:$Q$335,$C57-4)))</f>
        <v>35.122</v>
      </c>
      <c r="L57" s="27">
        <f>IF($C57="","",IF(INDEX('02_Base_Potencial'!$R$5:$R$335,$C57-4)="","",INDEX('02_Base_Potencial'!$R$5:$R$335,$C57-4)))</f>
        <v>34.482999999999997</v>
      </c>
      <c r="M57" s="27">
        <f>IF($C57="","",IF(INDEX('02_Base_Potencial'!$S$5:$S$335,$C57-4)="","",INDEX('02_Base_Potencial'!$S$5:$S$335,$C57-4)))</f>
        <v>33.725000000000001</v>
      </c>
      <c r="N57" s="27">
        <f>IF($C57="","",IF(INDEX('02_Base_Potencial'!$T$5:$T$335,$C57-4)="","",INDEX('02_Base_Potencial'!$T$5:$T$335,$C57-4)))</f>
        <v>32.854999999999997</v>
      </c>
      <c r="O57" s="27">
        <f>IF($C57="","",IF(INDEX('02_Base_Potencial'!$U$5:$U$335,$C57-4)="","",INDEX('02_Base_Potencial'!$U$5:$U$335,$C57-4)))</f>
        <v>31.832000000000001</v>
      </c>
      <c r="P57" s="27">
        <f>IF($C57="","",IF(INDEX('02_Base_Potencial'!$V$5:$V$335,$C57-4)="","",INDEX('02_Base_Potencial'!$V$5:$V$335,$C57-4)))</f>
        <v>33.076000000000001</v>
      </c>
      <c r="Q57" s="27">
        <f>IF($C57="","",IF(INDEX('02_Base_Potencial'!$W$5:$W$335,$C57-4)="","",INDEX('02_Base_Potencial'!$W$5:$W$335,$C57-4)))</f>
        <v>30.170999999999999</v>
      </c>
      <c r="R57" s="27">
        <f>IF($C57="","",IF(INDEX('02_Base_Potencial'!$X$5:$X$335,$C57-4)="","",INDEX('02_Base_Potencial'!$X$5:$X$335,$C57-4)))</f>
        <v>27.143000000000001</v>
      </c>
      <c r="S57" s="27">
        <f>IF($C57="","",IF(INDEX('02_Base_Potencial'!$Y$5:$Y$335,$C57-4)="","",INDEX('02_Base_Potencial'!$Y$5:$Y$335,$C57-4)))</f>
        <v>26.834</v>
      </c>
      <c r="T57" s="27">
        <f>IF($C57="","",IF(INDEX('02_Base_Potencial'!$Z$5:$Z$335,$C57-4)="","",INDEX('02_Base_Potencial'!$Z$5:$Z$335,$C57-4)))</f>
        <v>26.74</v>
      </c>
      <c r="U57" s="27">
        <f>IF($C57="","",IF(INDEX('02_Base_Potencial'!$AA$5:$AA$335,$C57-4)="","",INDEX('02_Base_Potencial'!$AA$5:$AA$335,$C57-4)))</f>
        <v>27.228999999999999</v>
      </c>
      <c r="V57" s="6" t="str">
        <f>IF($C57="","",INDEX('02_Base_Potencial'!$K$5:$K$335,$C57-4)&amp;"")</f>
        <v>INE</v>
      </c>
      <c r="W57" s="6" t="str">
        <f>IF($C57="","",COUNT(K57:U57)&amp;"/11")</f>
        <v>11/11</v>
      </c>
    </row>
    <row r="58" spans="1:23">
      <c r="A58" s="27" t="s">
        <v>81</v>
      </c>
      <c r="B58" s="25">
        <v>4</v>
      </c>
      <c r="C58" s="27">
        <f>IF(SUMPRODUCT(('02_Base_Potencial'!$B$5:$B$335=$A58)*('02_Base_Potencial'!$AR$5:$AR$335=$B58)*ROW('02_Base_Potencial'!$A$5:$A$335))=0,"",SUMPRODUCT(('02_Base_Potencial'!$B$5:$B$335=$A58)*('02_Base_Potencial'!$AR$5:$AR$335=$B58)*ROW('02_Base_Potencial'!$A$5:$A$335)))</f>
        <v>192</v>
      </c>
      <c r="D58" s="25" t="str">
        <f>IF($C58="","",INDEX('02_Base_Potencial'!$A$5:$A$335,$C58-4)&amp;"")</f>
        <v>LAB016</v>
      </c>
      <c r="E58" s="27" t="str">
        <f>IF($C58="","",INDEX('02_Base_Potencial'!$D$5:$D$335,$C58-4)&amp;"")</f>
        <v>Participação feminina na força de trabalho - OIT modelada</v>
      </c>
      <c r="F58" s="27" t="str">
        <f>IF($C58="","",INDEX('02_Base_Potencial'!$E$5:$E$335,$C58-4)&amp;"")</f>
        <v>%</v>
      </c>
      <c r="G58" s="25" t="str">
        <f>IF($C58="","",INDEX('02_Base_Potencial'!$F$5:$F$335,$C58-4)&amp;"")</f>
        <v>+</v>
      </c>
      <c r="H58" s="25">
        <f>IF($C58="","",INDEX('02_Base_Potencial'!$G$5:$G$335,$C58-4))</f>
        <v>0</v>
      </c>
      <c r="I58" s="25">
        <f>IF($C58="","",INDEX('02_Base_Potencial'!$H$5:$H$335,$C58-4))</f>
        <v>100</v>
      </c>
      <c r="J58" s="25">
        <f>IF($C58="",0,IF(INDEX('02_Base_Potencial'!$J$5:$J$335,$C58-4)="",0,INDEX('02_Base_Potencial'!$J$5:$J$335,$C58-4)))</f>
        <v>1</v>
      </c>
      <c r="K58" s="27">
        <f>IF($C58="","",IF(INDEX('02_Base_Potencial'!$Q$5:$Q$335,$C58-4)="","",INDEX('02_Base_Potencial'!$Q$5:$Q$335,$C58-4)))</f>
        <v>73.933000000000007</v>
      </c>
      <c r="L58" s="27">
        <f>IF($C58="","",IF(INDEX('02_Base_Potencial'!$R$5:$R$335,$C58-4)="","",INDEX('02_Base_Potencial'!$R$5:$R$335,$C58-4)))</f>
        <v>73.697000000000003</v>
      </c>
      <c r="M58" s="27">
        <f>IF($C58="","",IF(INDEX('02_Base_Potencial'!$S$5:$S$335,$C58-4)="","",INDEX('02_Base_Potencial'!$S$5:$S$335,$C58-4)))</f>
        <v>73.460999999999999</v>
      </c>
      <c r="N58" s="27">
        <f>IF($C58="","",IF(INDEX('02_Base_Potencial'!$T$5:$T$335,$C58-4)="","",INDEX('02_Base_Potencial'!$T$5:$T$335,$C58-4)))</f>
        <v>73.224000000000004</v>
      </c>
      <c r="O58" s="27">
        <f>IF($C58="","",IF(INDEX('02_Base_Potencial'!$U$5:$U$335,$C58-4)="","",INDEX('02_Base_Potencial'!$U$5:$U$335,$C58-4)))</f>
        <v>72.984999999999999</v>
      </c>
      <c r="P58" s="27">
        <f>IF($C58="","",IF(INDEX('02_Base_Potencial'!$V$5:$V$335,$C58-4)="","",INDEX('02_Base_Potencial'!$V$5:$V$335,$C58-4)))</f>
        <v>71.341999999999999</v>
      </c>
      <c r="Q58" s="27">
        <f>IF($C58="","",IF(INDEX('02_Base_Potencial'!$W$5:$W$335,$C58-4)="","",INDEX('02_Base_Potencial'!$W$5:$W$335,$C58-4)))</f>
        <v>74.694999999999993</v>
      </c>
      <c r="R58" s="27">
        <f>IF($C58="","",IF(INDEX('02_Base_Potencial'!$X$5:$X$335,$C58-4)="","",INDEX('02_Base_Potencial'!$X$5:$X$335,$C58-4)))</f>
        <v>74.018000000000001</v>
      </c>
      <c r="S58" s="27">
        <f>IF($C58="","",IF(INDEX('02_Base_Potencial'!$Y$5:$Y$335,$C58-4)="","",INDEX('02_Base_Potencial'!$Y$5:$Y$335,$C58-4)))</f>
        <v>72.317999999999998</v>
      </c>
      <c r="T58" s="27">
        <f>IF($C58="","",IF(INDEX('02_Base_Potencial'!$Z$5:$Z$335,$C58-4)="","",INDEX('02_Base_Potencial'!$Z$5:$Z$335,$C58-4)))</f>
        <v>72.358999999999995</v>
      </c>
      <c r="U58" s="27">
        <f>IF($C58="","",IF(INDEX('02_Base_Potencial'!$AA$5:$AA$335,$C58-4)="","",INDEX('02_Base_Potencial'!$AA$5:$AA$335,$C58-4)))</f>
        <v>72.224000000000004</v>
      </c>
      <c r="V58" s="6" t="str">
        <f>IF($C58="","",INDEX('02_Base_Potencial'!$K$5:$K$335,$C58-4)&amp;"")</f>
        <v>Banco Mundial/OIT</v>
      </c>
      <c r="W58" s="6" t="str">
        <f>IF($C58="","",COUNT(K58:U58)&amp;"/11")</f>
        <v>11/11</v>
      </c>
    </row>
    <row r="59" spans="1:23">
      <c r="A59" s="27" t="s">
        <v>81</v>
      </c>
      <c r="B59" s="25">
        <v>5</v>
      </c>
      <c r="C59" s="27">
        <f>IF(SUMPRODUCT(('02_Base_Potencial'!$B$5:$B$335=$A59)*('02_Base_Potencial'!$AR$5:$AR$335=$B59)*ROW('02_Base_Potencial'!$A$5:$A$335))=0,"",SUMPRODUCT(('02_Base_Potencial'!$B$5:$B$335=$A59)*('02_Base_Potencial'!$AR$5:$AR$335=$B59)*ROW('02_Base_Potencial'!$A$5:$A$335)))</f>
        <v>194</v>
      </c>
      <c r="D59" s="25" t="str">
        <f>IF($C59="","",INDEX('02_Base_Potencial'!$A$5:$A$335,$C59-4)&amp;"")</f>
        <v>LAB025</v>
      </c>
      <c r="E59" s="27" t="str">
        <f>IF($C59="","",INDEX('02_Base_Potencial'!$D$5:$D$335,$C59-4)&amp;"")</f>
        <v>Produto por trabalhador - OIT</v>
      </c>
      <c r="F59" s="27" t="str">
        <f>IF($C59="","",INDEX('02_Base_Potencial'!$E$5:$E$335,$C59-4)&amp;"")</f>
        <v>USD constantes 2015</v>
      </c>
      <c r="G59" s="25" t="str">
        <f>IF($C59="","",INDEX('02_Base_Potencial'!$F$5:$F$335,$C59-4)&amp;"")</f>
        <v>+</v>
      </c>
      <c r="H59" s="25">
        <f>IF($C59="","",INDEX('02_Base_Potencial'!$G$5:$G$335,$C59-4))</f>
        <v>4930</v>
      </c>
      <c r="I59" s="25">
        <f>IF($C59="","",INDEX('02_Base_Potencial'!$H$5:$H$335,$C59-4))</f>
        <v>10000</v>
      </c>
      <c r="J59" s="25">
        <f>IF($C59="",0,IF(INDEX('02_Base_Potencial'!$J$5:$J$335,$C59-4)="",0,INDEX('02_Base_Potencial'!$J$5:$J$335,$C59-4)))</f>
        <v>1</v>
      </c>
      <c r="K59" s="27">
        <f>IF($C59="","",IF(INDEX('02_Base_Potencial'!$Q$5:$Q$335,$C59-4)="","",INDEX('02_Base_Potencial'!$Q$5:$Q$335,$C59-4)))</f>
        <v>9228.44</v>
      </c>
      <c r="L59" s="27">
        <f>IF($C59="","",IF(INDEX('02_Base_Potencial'!$R$5:$R$335,$C59-4)="","",INDEX('02_Base_Potencial'!$R$5:$R$335,$C59-4)))</f>
        <v>8719.17</v>
      </c>
      <c r="M59" s="27">
        <f>IF($C59="","",IF(INDEX('02_Base_Potencial'!$S$5:$S$335,$C59-4)="","",INDEX('02_Base_Potencial'!$S$5:$S$335,$C59-4)))</f>
        <v>8435.4</v>
      </c>
      <c r="N59" s="27">
        <f>IF($C59="","",IF(INDEX('02_Base_Potencial'!$T$5:$T$335,$C59-4)="","",INDEX('02_Base_Potencial'!$T$5:$T$335,$C59-4)))</f>
        <v>8063.77</v>
      </c>
      <c r="O59" s="27">
        <f>IF($C59="","",IF(INDEX('02_Base_Potencial'!$U$5:$U$335,$C59-4)="","",INDEX('02_Base_Potencial'!$U$5:$U$335,$C59-4)))</f>
        <v>7749.11</v>
      </c>
      <c r="P59" s="27">
        <f>IF($C59="","",IF(INDEX('02_Base_Potencial'!$V$5:$V$335,$C59-4)="","",INDEX('02_Base_Potencial'!$V$5:$V$335,$C59-4)))</f>
        <v>7369.04</v>
      </c>
      <c r="Q59" s="27">
        <f>IF($C59="","",IF(INDEX('02_Base_Potencial'!$W$5:$W$335,$C59-4)="","",INDEX('02_Base_Potencial'!$W$5:$W$335,$C59-4)))</f>
        <v>6908.52</v>
      </c>
      <c r="R59" s="27">
        <f>IF($C59="","",IF(INDEX('02_Base_Potencial'!$X$5:$X$335,$C59-4)="","",INDEX('02_Base_Potencial'!$X$5:$X$335,$C59-4)))</f>
        <v>6924.37</v>
      </c>
      <c r="S59" s="27">
        <f>IF($C59="","",IF(INDEX('02_Base_Potencial'!$Y$5:$Y$335,$C59-4)="","",INDEX('02_Base_Potencial'!$Y$5:$Y$335,$C59-4)))</f>
        <v>6802.66</v>
      </c>
      <c r="T59" s="27">
        <f>IF($C59="","",IF(INDEX('02_Base_Potencial'!$Z$5:$Z$335,$C59-4)="","",INDEX('02_Base_Potencial'!$Z$5:$Z$335,$C59-4)))</f>
        <v>6861.8</v>
      </c>
      <c r="U59" s="27">
        <f>IF($C59="","",IF(INDEX('02_Base_Potencial'!$AA$5:$AA$335,$C59-4)="","",INDEX('02_Base_Potencial'!$AA$5:$AA$335,$C59-4)))</f>
        <v>6782.91</v>
      </c>
      <c r="V59" s="6" t="str">
        <f>IF($C59="","",INDEX('02_Base_Potencial'!$K$5:$K$335,$C59-4)&amp;"")</f>
        <v>OIT/ILOSTAT</v>
      </c>
      <c r="W59" s="6" t="str">
        <f>IF($C59="","",COUNT(K59:U59)&amp;"/11")</f>
        <v>11/11</v>
      </c>
    </row>
    <row r="60" spans="1:23">
      <c r="A60" s="27" t="s">
        <v>81</v>
      </c>
      <c r="B60" s="25">
        <v>6</v>
      </c>
      <c r="C60" s="27" t="str">
        <f>IF(SUMPRODUCT(('02_Base_Potencial'!$B$5:$B$335=$A60)*('02_Base_Potencial'!$AR$5:$AR$335=$B60)*ROW('02_Base_Potencial'!$A$5:$A$335))=0,"",SUMPRODUCT(('02_Base_Potencial'!$B$5:$B$335=$A60)*('02_Base_Potencial'!$AR$5:$AR$335=$B60)*ROW('02_Base_Potencial'!$A$5:$A$335)))</f>
        <v/>
      </c>
      <c r="D60" s="25" t="str">
        <f>IF($C60="","",INDEX('02_Base_Potencial'!$A$5:$A$335,$C60-4)&amp;"")</f>
        <v/>
      </c>
      <c r="E60" s="27" t="str">
        <f>IF($C60="","",INDEX('02_Base_Potencial'!$D$5:$D$335,$C60-4)&amp;"")</f>
        <v/>
      </c>
      <c r="F60" s="27" t="str">
        <f>IF($C60="","",INDEX('02_Base_Potencial'!$E$5:$E$335,$C60-4)&amp;"")</f>
        <v/>
      </c>
      <c r="G60" s="25" t="str">
        <f>IF($C60="","",INDEX('02_Base_Potencial'!$F$5:$F$335,$C60-4)&amp;"")</f>
        <v/>
      </c>
      <c r="H60" s="25" t="str">
        <f>IF($C60="","",INDEX('02_Base_Potencial'!$G$5:$G$335,$C60-4))</f>
        <v/>
      </c>
      <c r="I60" s="25" t="str">
        <f>IF($C60="","",INDEX('02_Base_Potencial'!$H$5:$H$335,$C60-4))</f>
        <v/>
      </c>
      <c r="J60" s="25">
        <f>IF($C60="",0,IF(INDEX('02_Base_Potencial'!$J$5:$J$335,$C60-4)="",0,INDEX('02_Base_Potencial'!$J$5:$J$335,$C60-4)))</f>
        <v>0</v>
      </c>
      <c r="K60" s="27" t="str">
        <f>IF($C60="","",IF(INDEX('02_Base_Potencial'!$Q$5:$Q$335,$C60-4)="","",INDEX('02_Base_Potencial'!$Q$5:$Q$335,$C60-4)))</f>
        <v/>
      </c>
      <c r="L60" s="27" t="str">
        <f>IF($C60="","",IF(INDEX('02_Base_Potencial'!$R$5:$R$335,$C60-4)="","",INDEX('02_Base_Potencial'!$R$5:$R$335,$C60-4)))</f>
        <v/>
      </c>
      <c r="M60" s="27" t="str">
        <f>IF($C60="","",IF(INDEX('02_Base_Potencial'!$S$5:$S$335,$C60-4)="","",INDEX('02_Base_Potencial'!$S$5:$S$335,$C60-4)))</f>
        <v/>
      </c>
      <c r="N60" s="27" t="str">
        <f>IF($C60="","",IF(INDEX('02_Base_Potencial'!$T$5:$T$335,$C60-4)="","",INDEX('02_Base_Potencial'!$T$5:$T$335,$C60-4)))</f>
        <v/>
      </c>
      <c r="O60" s="27" t="str">
        <f>IF($C60="","",IF(INDEX('02_Base_Potencial'!$U$5:$U$335,$C60-4)="","",INDEX('02_Base_Potencial'!$U$5:$U$335,$C60-4)))</f>
        <v/>
      </c>
      <c r="P60" s="27" t="str">
        <f>IF($C60="","",IF(INDEX('02_Base_Potencial'!$V$5:$V$335,$C60-4)="","",INDEX('02_Base_Potencial'!$V$5:$V$335,$C60-4)))</f>
        <v/>
      </c>
      <c r="Q60" s="27" t="str">
        <f>IF($C60="","",IF(INDEX('02_Base_Potencial'!$W$5:$W$335,$C60-4)="","",INDEX('02_Base_Potencial'!$W$5:$W$335,$C60-4)))</f>
        <v/>
      </c>
      <c r="R60" s="27" t="str">
        <f>IF($C60="","",IF(INDEX('02_Base_Potencial'!$X$5:$X$335,$C60-4)="","",INDEX('02_Base_Potencial'!$X$5:$X$335,$C60-4)))</f>
        <v/>
      </c>
      <c r="S60" s="27" t="str">
        <f>IF($C60="","",IF(INDEX('02_Base_Potencial'!$Y$5:$Y$335,$C60-4)="","",INDEX('02_Base_Potencial'!$Y$5:$Y$335,$C60-4)))</f>
        <v/>
      </c>
      <c r="T60" s="27" t="str">
        <f>IF($C60="","",IF(INDEX('02_Base_Potencial'!$Z$5:$Z$335,$C60-4)="","",INDEX('02_Base_Potencial'!$Z$5:$Z$335,$C60-4)))</f>
        <v/>
      </c>
      <c r="U60" s="27" t="str">
        <f>IF($C60="","",IF(INDEX('02_Base_Potencial'!$AA$5:$AA$335,$C60-4)="","",INDEX('02_Base_Potencial'!$AA$5:$AA$335,$C60-4)))</f>
        <v/>
      </c>
      <c r="V60" s="6" t="str">
        <f>IF($C60="","",INDEX('02_Base_Potencial'!$K$5:$K$335,$C60-4)&amp;"")</f>
        <v/>
      </c>
      <c r="W60" s="6" t="str">
        <f>IF($C60="","",COUNT(K60:U60)&amp;"/11")</f>
        <v/>
      </c>
    </row>
    <row r="61" spans="1:23">
      <c r="A61" s="27" t="s">
        <v>81</v>
      </c>
      <c r="B61" s="25">
        <v>7</v>
      </c>
      <c r="C61" s="27" t="str">
        <f>IF(SUMPRODUCT(('02_Base_Potencial'!$B$5:$B$335=$A61)*('02_Base_Potencial'!$AR$5:$AR$335=$B61)*ROW('02_Base_Potencial'!$A$5:$A$335))=0,"",SUMPRODUCT(('02_Base_Potencial'!$B$5:$B$335=$A61)*('02_Base_Potencial'!$AR$5:$AR$335=$B61)*ROW('02_Base_Potencial'!$A$5:$A$335)))</f>
        <v/>
      </c>
      <c r="D61" s="25" t="str">
        <f>IF($C61="","",INDEX('02_Base_Potencial'!$A$5:$A$335,$C61-4)&amp;"")</f>
        <v/>
      </c>
      <c r="E61" s="27" t="str">
        <f>IF($C61="","",INDEX('02_Base_Potencial'!$D$5:$D$335,$C61-4)&amp;"")</f>
        <v/>
      </c>
      <c r="F61" s="27" t="str">
        <f>IF($C61="","",INDEX('02_Base_Potencial'!$E$5:$E$335,$C61-4)&amp;"")</f>
        <v/>
      </c>
      <c r="G61" s="25" t="str">
        <f>IF($C61="","",INDEX('02_Base_Potencial'!$F$5:$F$335,$C61-4)&amp;"")</f>
        <v/>
      </c>
      <c r="H61" s="25" t="str">
        <f>IF($C61="","",INDEX('02_Base_Potencial'!$G$5:$G$335,$C61-4))</f>
        <v/>
      </c>
      <c r="I61" s="25" t="str">
        <f>IF($C61="","",INDEX('02_Base_Potencial'!$H$5:$H$335,$C61-4))</f>
        <v/>
      </c>
      <c r="J61" s="25">
        <f>IF($C61="",0,IF(INDEX('02_Base_Potencial'!$J$5:$J$335,$C61-4)="",0,INDEX('02_Base_Potencial'!$J$5:$J$335,$C61-4)))</f>
        <v>0</v>
      </c>
      <c r="K61" s="27" t="str">
        <f>IF($C61="","",IF(INDEX('02_Base_Potencial'!$Q$5:$Q$335,$C61-4)="","",INDEX('02_Base_Potencial'!$Q$5:$Q$335,$C61-4)))</f>
        <v/>
      </c>
      <c r="L61" s="27" t="str">
        <f>IF($C61="","",IF(INDEX('02_Base_Potencial'!$R$5:$R$335,$C61-4)="","",INDEX('02_Base_Potencial'!$R$5:$R$335,$C61-4)))</f>
        <v/>
      </c>
      <c r="M61" s="27" t="str">
        <f>IF($C61="","",IF(INDEX('02_Base_Potencial'!$S$5:$S$335,$C61-4)="","",INDEX('02_Base_Potencial'!$S$5:$S$335,$C61-4)))</f>
        <v/>
      </c>
      <c r="N61" s="27" t="str">
        <f>IF($C61="","",IF(INDEX('02_Base_Potencial'!$T$5:$T$335,$C61-4)="","",INDEX('02_Base_Potencial'!$T$5:$T$335,$C61-4)))</f>
        <v/>
      </c>
      <c r="O61" s="27" t="str">
        <f>IF($C61="","",IF(INDEX('02_Base_Potencial'!$U$5:$U$335,$C61-4)="","",INDEX('02_Base_Potencial'!$U$5:$U$335,$C61-4)))</f>
        <v/>
      </c>
      <c r="P61" s="27" t="str">
        <f>IF($C61="","",IF(INDEX('02_Base_Potencial'!$V$5:$V$335,$C61-4)="","",INDEX('02_Base_Potencial'!$V$5:$V$335,$C61-4)))</f>
        <v/>
      </c>
      <c r="Q61" s="27" t="str">
        <f>IF($C61="","",IF(INDEX('02_Base_Potencial'!$W$5:$W$335,$C61-4)="","",INDEX('02_Base_Potencial'!$W$5:$W$335,$C61-4)))</f>
        <v/>
      </c>
      <c r="R61" s="27" t="str">
        <f>IF($C61="","",IF(INDEX('02_Base_Potencial'!$X$5:$X$335,$C61-4)="","",INDEX('02_Base_Potencial'!$X$5:$X$335,$C61-4)))</f>
        <v/>
      </c>
      <c r="S61" s="27" t="str">
        <f>IF($C61="","",IF(INDEX('02_Base_Potencial'!$Y$5:$Y$335,$C61-4)="","",INDEX('02_Base_Potencial'!$Y$5:$Y$335,$C61-4)))</f>
        <v/>
      </c>
      <c r="T61" s="27" t="str">
        <f>IF($C61="","",IF(INDEX('02_Base_Potencial'!$Z$5:$Z$335,$C61-4)="","",INDEX('02_Base_Potencial'!$Z$5:$Z$335,$C61-4)))</f>
        <v/>
      </c>
      <c r="U61" s="27" t="str">
        <f>IF($C61="","",IF(INDEX('02_Base_Potencial'!$AA$5:$AA$335,$C61-4)="","",INDEX('02_Base_Potencial'!$AA$5:$AA$335,$C61-4)))</f>
        <v/>
      </c>
      <c r="V61" s="6" t="str">
        <f>IF($C61="","",INDEX('02_Base_Potencial'!$K$5:$K$335,$C61-4)&amp;"")</f>
        <v/>
      </c>
      <c r="W61" s="6" t="str">
        <f>IF($C61="","",COUNT(K61:U61)&amp;"/11")</f>
        <v/>
      </c>
    </row>
    <row r="62" spans="1:23">
      <c r="A62" s="27" t="s">
        <v>81</v>
      </c>
      <c r="B62" s="25">
        <v>8</v>
      </c>
      <c r="C62" s="27" t="str">
        <f>IF(SUMPRODUCT(('02_Base_Potencial'!$B$5:$B$335=$A62)*('02_Base_Potencial'!$AR$5:$AR$335=$B62)*ROW('02_Base_Potencial'!$A$5:$A$335))=0,"",SUMPRODUCT(('02_Base_Potencial'!$B$5:$B$335=$A62)*('02_Base_Potencial'!$AR$5:$AR$335=$B62)*ROW('02_Base_Potencial'!$A$5:$A$335)))</f>
        <v/>
      </c>
      <c r="D62" s="25" t="str">
        <f>IF($C62="","",INDEX('02_Base_Potencial'!$A$5:$A$335,$C62-4)&amp;"")</f>
        <v/>
      </c>
      <c r="E62" s="27" t="str">
        <f>IF($C62="","",INDEX('02_Base_Potencial'!$D$5:$D$335,$C62-4)&amp;"")</f>
        <v/>
      </c>
      <c r="F62" s="27" t="str">
        <f>IF($C62="","",INDEX('02_Base_Potencial'!$E$5:$E$335,$C62-4)&amp;"")</f>
        <v/>
      </c>
      <c r="G62" s="25" t="str">
        <f>IF($C62="","",INDEX('02_Base_Potencial'!$F$5:$F$335,$C62-4)&amp;"")</f>
        <v/>
      </c>
      <c r="H62" s="25" t="str">
        <f>IF($C62="","",INDEX('02_Base_Potencial'!$G$5:$G$335,$C62-4))</f>
        <v/>
      </c>
      <c r="I62" s="25" t="str">
        <f>IF($C62="","",INDEX('02_Base_Potencial'!$H$5:$H$335,$C62-4))</f>
        <v/>
      </c>
      <c r="J62" s="25">
        <f>IF($C62="",0,IF(INDEX('02_Base_Potencial'!$J$5:$J$335,$C62-4)="",0,INDEX('02_Base_Potencial'!$J$5:$J$335,$C62-4)))</f>
        <v>0</v>
      </c>
      <c r="K62" s="27" t="str">
        <f>IF($C62="","",IF(INDEX('02_Base_Potencial'!$Q$5:$Q$335,$C62-4)="","",INDEX('02_Base_Potencial'!$Q$5:$Q$335,$C62-4)))</f>
        <v/>
      </c>
      <c r="L62" s="27" t="str">
        <f>IF($C62="","",IF(INDEX('02_Base_Potencial'!$R$5:$R$335,$C62-4)="","",INDEX('02_Base_Potencial'!$R$5:$R$335,$C62-4)))</f>
        <v/>
      </c>
      <c r="M62" s="27" t="str">
        <f>IF($C62="","",IF(INDEX('02_Base_Potencial'!$S$5:$S$335,$C62-4)="","",INDEX('02_Base_Potencial'!$S$5:$S$335,$C62-4)))</f>
        <v/>
      </c>
      <c r="N62" s="27" t="str">
        <f>IF($C62="","",IF(INDEX('02_Base_Potencial'!$T$5:$T$335,$C62-4)="","",INDEX('02_Base_Potencial'!$T$5:$T$335,$C62-4)))</f>
        <v/>
      </c>
      <c r="O62" s="27" t="str">
        <f>IF($C62="","",IF(INDEX('02_Base_Potencial'!$U$5:$U$335,$C62-4)="","",INDEX('02_Base_Potencial'!$U$5:$U$335,$C62-4)))</f>
        <v/>
      </c>
      <c r="P62" s="27" t="str">
        <f>IF($C62="","",IF(INDEX('02_Base_Potencial'!$V$5:$V$335,$C62-4)="","",INDEX('02_Base_Potencial'!$V$5:$V$335,$C62-4)))</f>
        <v/>
      </c>
      <c r="Q62" s="27" t="str">
        <f>IF($C62="","",IF(INDEX('02_Base_Potencial'!$W$5:$W$335,$C62-4)="","",INDEX('02_Base_Potencial'!$W$5:$W$335,$C62-4)))</f>
        <v/>
      </c>
      <c r="R62" s="27" t="str">
        <f>IF($C62="","",IF(INDEX('02_Base_Potencial'!$X$5:$X$335,$C62-4)="","",INDEX('02_Base_Potencial'!$X$5:$X$335,$C62-4)))</f>
        <v/>
      </c>
      <c r="S62" s="27" t="str">
        <f>IF($C62="","",IF(INDEX('02_Base_Potencial'!$Y$5:$Y$335,$C62-4)="","",INDEX('02_Base_Potencial'!$Y$5:$Y$335,$C62-4)))</f>
        <v/>
      </c>
      <c r="T62" s="27" t="str">
        <f>IF($C62="","",IF(INDEX('02_Base_Potencial'!$Z$5:$Z$335,$C62-4)="","",INDEX('02_Base_Potencial'!$Z$5:$Z$335,$C62-4)))</f>
        <v/>
      </c>
      <c r="U62" s="27" t="str">
        <f>IF($C62="","",IF(INDEX('02_Base_Potencial'!$AA$5:$AA$335,$C62-4)="","",INDEX('02_Base_Potencial'!$AA$5:$AA$335,$C62-4)))</f>
        <v/>
      </c>
      <c r="V62" s="6" t="str">
        <f>IF($C62="","",INDEX('02_Base_Potencial'!$K$5:$K$335,$C62-4)&amp;"")</f>
        <v/>
      </c>
      <c r="W62" s="6" t="str">
        <f>IF($C62="","",COUNT(K62:U62)&amp;"/11")</f>
        <v/>
      </c>
    </row>
    <row r="63" spans="1:23">
      <c r="A63" s="27" t="s">
        <v>81</v>
      </c>
      <c r="B63" s="25">
        <v>9</v>
      </c>
      <c r="C63" s="27" t="str">
        <f>IF(SUMPRODUCT(('02_Base_Potencial'!$B$5:$B$335=$A63)*('02_Base_Potencial'!$AR$5:$AR$335=$B63)*ROW('02_Base_Potencial'!$A$5:$A$335))=0,"",SUMPRODUCT(('02_Base_Potencial'!$B$5:$B$335=$A63)*('02_Base_Potencial'!$AR$5:$AR$335=$B63)*ROW('02_Base_Potencial'!$A$5:$A$335)))</f>
        <v/>
      </c>
      <c r="D63" s="25" t="str">
        <f>IF($C63="","",INDEX('02_Base_Potencial'!$A$5:$A$335,$C63-4)&amp;"")</f>
        <v/>
      </c>
      <c r="E63" s="27" t="str">
        <f>IF($C63="","",INDEX('02_Base_Potencial'!$D$5:$D$335,$C63-4)&amp;"")</f>
        <v/>
      </c>
      <c r="F63" s="27" t="str">
        <f>IF($C63="","",INDEX('02_Base_Potencial'!$E$5:$E$335,$C63-4)&amp;"")</f>
        <v/>
      </c>
      <c r="G63" s="25" t="str">
        <f>IF($C63="","",INDEX('02_Base_Potencial'!$F$5:$F$335,$C63-4)&amp;"")</f>
        <v/>
      </c>
      <c r="H63" s="25" t="str">
        <f>IF($C63="","",INDEX('02_Base_Potencial'!$G$5:$G$335,$C63-4))</f>
        <v/>
      </c>
      <c r="I63" s="25" t="str">
        <f>IF($C63="","",INDEX('02_Base_Potencial'!$H$5:$H$335,$C63-4))</f>
        <v/>
      </c>
      <c r="J63" s="25">
        <f>IF($C63="",0,IF(INDEX('02_Base_Potencial'!$J$5:$J$335,$C63-4)="",0,INDEX('02_Base_Potencial'!$J$5:$J$335,$C63-4)))</f>
        <v>0</v>
      </c>
      <c r="K63" s="27" t="str">
        <f>IF($C63="","",IF(INDEX('02_Base_Potencial'!$Q$5:$Q$335,$C63-4)="","",INDEX('02_Base_Potencial'!$Q$5:$Q$335,$C63-4)))</f>
        <v/>
      </c>
      <c r="L63" s="27" t="str">
        <f>IF($C63="","",IF(INDEX('02_Base_Potencial'!$R$5:$R$335,$C63-4)="","",INDEX('02_Base_Potencial'!$R$5:$R$335,$C63-4)))</f>
        <v/>
      </c>
      <c r="M63" s="27" t="str">
        <f>IF($C63="","",IF(INDEX('02_Base_Potencial'!$S$5:$S$335,$C63-4)="","",INDEX('02_Base_Potencial'!$S$5:$S$335,$C63-4)))</f>
        <v/>
      </c>
      <c r="N63" s="27" t="str">
        <f>IF($C63="","",IF(INDEX('02_Base_Potencial'!$T$5:$T$335,$C63-4)="","",INDEX('02_Base_Potencial'!$T$5:$T$335,$C63-4)))</f>
        <v/>
      </c>
      <c r="O63" s="27" t="str">
        <f>IF($C63="","",IF(INDEX('02_Base_Potencial'!$U$5:$U$335,$C63-4)="","",INDEX('02_Base_Potencial'!$U$5:$U$335,$C63-4)))</f>
        <v/>
      </c>
      <c r="P63" s="27" t="str">
        <f>IF($C63="","",IF(INDEX('02_Base_Potencial'!$V$5:$V$335,$C63-4)="","",INDEX('02_Base_Potencial'!$V$5:$V$335,$C63-4)))</f>
        <v/>
      </c>
      <c r="Q63" s="27" t="str">
        <f>IF($C63="","",IF(INDEX('02_Base_Potencial'!$W$5:$W$335,$C63-4)="","",INDEX('02_Base_Potencial'!$W$5:$W$335,$C63-4)))</f>
        <v/>
      </c>
      <c r="R63" s="27" t="str">
        <f>IF($C63="","",IF(INDEX('02_Base_Potencial'!$X$5:$X$335,$C63-4)="","",INDEX('02_Base_Potencial'!$X$5:$X$335,$C63-4)))</f>
        <v/>
      </c>
      <c r="S63" s="27" t="str">
        <f>IF($C63="","",IF(INDEX('02_Base_Potencial'!$Y$5:$Y$335,$C63-4)="","",INDEX('02_Base_Potencial'!$Y$5:$Y$335,$C63-4)))</f>
        <v/>
      </c>
      <c r="T63" s="27" t="str">
        <f>IF($C63="","",IF(INDEX('02_Base_Potencial'!$Z$5:$Z$335,$C63-4)="","",INDEX('02_Base_Potencial'!$Z$5:$Z$335,$C63-4)))</f>
        <v/>
      </c>
      <c r="U63" s="27" t="str">
        <f>IF($C63="","",IF(INDEX('02_Base_Potencial'!$AA$5:$AA$335,$C63-4)="","",INDEX('02_Base_Potencial'!$AA$5:$AA$335,$C63-4)))</f>
        <v/>
      </c>
      <c r="V63" s="6" t="str">
        <f>IF($C63="","",INDEX('02_Base_Potencial'!$K$5:$K$335,$C63-4)&amp;"")</f>
        <v/>
      </c>
      <c r="W63" s="6" t="str">
        <f>IF($C63="","",COUNT(K63:U63)&amp;"/11")</f>
        <v/>
      </c>
    </row>
    <row r="64" spans="1:23">
      <c r="A64" s="27" t="s">
        <v>81</v>
      </c>
      <c r="B64" s="25">
        <v>10</v>
      </c>
      <c r="C64" s="27" t="str">
        <f>IF(SUMPRODUCT(('02_Base_Potencial'!$B$5:$B$335=$A64)*('02_Base_Potencial'!$AR$5:$AR$335=$B64)*ROW('02_Base_Potencial'!$A$5:$A$335))=0,"",SUMPRODUCT(('02_Base_Potencial'!$B$5:$B$335=$A64)*('02_Base_Potencial'!$AR$5:$AR$335=$B64)*ROW('02_Base_Potencial'!$A$5:$A$335)))</f>
        <v/>
      </c>
      <c r="D64" s="25" t="str">
        <f>IF($C64="","",INDEX('02_Base_Potencial'!$A$5:$A$335,$C64-4)&amp;"")</f>
        <v/>
      </c>
      <c r="E64" s="27" t="str">
        <f>IF($C64="","",INDEX('02_Base_Potencial'!$D$5:$D$335,$C64-4)&amp;"")</f>
        <v/>
      </c>
      <c r="F64" s="27" t="str">
        <f>IF($C64="","",INDEX('02_Base_Potencial'!$E$5:$E$335,$C64-4)&amp;"")</f>
        <v/>
      </c>
      <c r="G64" s="25" t="str">
        <f>IF($C64="","",INDEX('02_Base_Potencial'!$F$5:$F$335,$C64-4)&amp;"")</f>
        <v/>
      </c>
      <c r="H64" s="25" t="str">
        <f>IF($C64="","",INDEX('02_Base_Potencial'!$G$5:$G$335,$C64-4))</f>
        <v/>
      </c>
      <c r="I64" s="25" t="str">
        <f>IF($C64="","",INDEX('02_Base_Potencial'!$H$5:$H$335,$C64-4))</f>
        <v/>
      </c>
      <c r="J64" s="25">
        <f>IF($C64="",0,IF(INDEX('02_Base_Potencial'!$J$5:$J$335,$C64-4)="",0,INDEX('02_Base_Potencial'!$J$5:$J$335,$C64-4)))</f>
        <v>0</v>
      </c>
      <c r="K64" s="27" t="str">
        <f>IF($C64="","",IF(INDEX('02_Base_Potencial'!$Q$5:$Q$335,$C64-4)="","",INDEX('02_Base_Potencial'!$Q$5:$Q$335,$C64-4)))</f>
        <v/>
      </c>
      <c r="L64" s="27" t="str">
        <f>IF($C64="","",IF(INDEX('02_Base_Potencial'!$R$5:$R$335,$C64-4)="","",INDEX('02_Base_Potencial'!$R$5:$R$335,$C64-4)))</f>
        <v/>
      </c>
      <c r="M64" s="27" t="str">
        <f>IF($C64="","",IF(INDEX('02_Base_Potencial'!$S$5:$S$335,$C64-4)="","",INDEX('02_Base_Potencial'!$S$5:$S$335,$C64-4)))</f>
        <v/>
      </c>
      <c r="N64" s="27" t="str">
        <f>IF($C64="","",IF(INDEX('02_Base_Potencial'!$T$5:$T$335,$C64-4)="","",INDEX('02_Base_Potencial'!$T$5:$T$335,$C64-4)))</f>
        <v/>
      </c>
      <c r="O64" s="27" t="str">
        <f>IF($C64="","",IF(INDEX('02_Base_Potencial'!$U$5:$U$335,$C64-4)="","",INDEX('02_Base_Potencial'!$U$5:$U$335,$C64-4)))</f>
        <v/>
      </c>
      <c r="P64" s="27" t="str">
        <f>IF($C64="","",IF(INDEX('02_Base_Potencial'!$V$5:$V$335,$C64-4)="","",INDEX('02_Base_Potencial'!$V$5:$V$335,$C64-4)))</f>
        <v/>
      </c>
      <c r="Q64" s="27" t="str">
        <f>IF($C64="","",IF(INDEX('02_Base_Potencial'!$W$5:$W$335,$C64-4)="","",INDEX('02_Base_Potencial'!$W$5:$W$335,$C64-4)))</f>
        <v/>
      </c>
      <c r="R64" s="27" t="str">
        <f>IF($C64="","",IF(INDEX('02_Base_Potencial'!$X$5:$X$335,$C64-4)="","",INDEX('02_Base_Potencial'!$X$5:$X$335,$C64-4)))</f>
        <v/>
      </c>
      <c r="S64" s="27" t="str">
        <f>IF($C64="","",IF(INDEX('02_Base_Potencial'!$Y$5:$Y$335,$C64-4)="","",INDEX('02_Base_Potencial'!$Y$5:$Y$335,$C64-4)))</f>
        <v/>
      </c>
      <c r="T64" s="27" t="str">
        <f>IF($C64="","",IF(INDEX('02_Base_Potencial'!$Z$5:$Z$335,$C64-4)="","",INDEX('02_Base_Potencial'!$Z$5:$Z$335,$C64-4)))</f>
        <v/>
      </c>
      <c r="U64" s="27" t="str">
        <f>IF($C64="","",IF(INDEX('02_Base_Potencial'!$AA$5:$AA$335,$C64-4)="","",INDEX('02_Base_Potencial'!$AA$5:$AA$335,$C64-4)))</f>
        <v/>
      </c>
      <c r="V64" s="6" t="str">
        <f>IF($C64="","",INDEX('02_Base_Potencial'!$K$5:$K$335,$C64-4)&amp;"")</f>
        <v/>
      </c>
      <c r="W64" s="6" t="str">
        <f>IF($C64="","",COUNT(K64:U64)&amp;"/11")</f>
        <v/>
      </c>
    </row>
    <row r="65" spans="1:23">
      <c r="A65" s="6" t="s">
        <v>82</v>
      </c>
      <c r="B65" s="20">
        <v>1</v>
      </c>
      <c r="C65" s="6">
        <f>IF(SUMPRODUCT(('02_Base_Potencial'!$B$5:$B$335=$A65)*('02_Base_Potencial'!$AR$5:$AR$335=$B65)*ROW('02_Base_Potencial'!$A$5:$A$335))=0,"",SUMPRODUCT(('02_Base_Potencial'!$B$5:$B$335=$A65)*('02_Base_Potencial'!$AR$5:$AR$335=$B65)*ROW('02_Base_Potencial'!$A$5:$A$335)))</f>
        <v>211</v>
      </c>
      <c r="D65" s="20" t="str">
        <f>IF($C65="","",INDEX('02_Base_Potencial'!$A$5:$A$335,$C65-4)&amp;"")</f>
        <v>SAU003</v>
      </c>
      <c r="E65" s="6" t="str">
        <f>IF($C65="","",INDEX('02_Base_Potencial'!$D$5:$D$335,$C65-4)&amp;"")</f>
        <v>Mortalidade Materna (por 100k)</v>
      </c>
      <c r="F65" s="6" t="str">
        <f>IF($C65="","",INDEX('02_Base_Potencial'!$E$5:$E$335,$C65-4)&amp;"")</f>
        <v>por 100k</v>
      </c>
      <c r="G65" s="20" t="str">
        <f>IF($C65="","",INDEX('02_Base_Potencial'!$F$5:$F$335,$C65-4)&amp;"")</f>
        <v>-</v>
      </c>
      <c r="H65" s="20">
        <f>IF($C65="","",INDEX('02_Base_Potencial'!$G$5:$G$335,$C65-4))</f>
        <v>0</v>
      </c>
      <c r="I65" s="20">
        <f>IF($C65="","",INDEX('02_Base_Potencial'!$H$5:$H$335,$C65-4))</f>
        <v>1000</v>
      </c>
      <c r="J65" s="20">
        <f>IF($C65="",0,IF(INDEX('02_Base_Potencial'!$J$5:$J$335,$C65-4)="",0,INDEX('02_Base_Potencial'!$J$5:$J$335,$C65-4)))</f>
        <v>1</v>
      </c>
      <c r="K65" s="6">
        <f>IF($C65="","",IF(INDEX('02_Base_Potencial'!$Q$5:$Q$335,$C65-4)="","",INDEX('02_Base_Potencial'!$Q$5:$Q$335,$C65-4)))</f>
        <v>249</v>
      </c>
      <c r="L65" s="6">
        <f>IF($C65="","",IF(INDEX('02_Base_Potencial'!$R$5:$R$335,$C65-4)="","",INDEX('02_Base_Potencial'!$R$5:$R$335,$C65-4)))</f>
        <v>236</v>
      </c>
      <c r="M65" s="6">
        <f>IF($C65="","",IF(INDEX('02_Base_Potencial'!$S$5:$S$335,$C65-4)="","",INDEX('02_Base_Potencial'!$S$5:$S$335,$C65-4)))</f>
        <v>220</v>
      </c>
      <c r="N65" s="6">
        <f>IF($C65="","",IF(INDEX('02_Base_Potencial'!$T$5:$T$335,$C65-4)="","",INDEX('02_Base_Potencial'!$T$5:$T$335,$C65-4)))</f>
        <v>208</v>
      </c>
      <c r="O65" s="6">
        <f>IF($C65="","",IF(INDEX('02_Base_Potencial'!$U$5:$U$335,$C65-4)="","",INDEX('02_Base_Potencial'!$U$5:$U$335,$C65-4)))</f>
        <v>202</v>
      </c>
      <c r="P65" s="6">
        <f>IF($C65="","",IF(INDEX('02_Base_Potencial'!$V$5:$V$335,$C65-4)="","",INDEX('02_Base_Potencial'!$V$5:$V$335,$C65-4)))</f>
        <v>195</v>
      </c>
      <c r="Q65" s="6">
        <f>IF($C65="","",IF(INDEX('02_Base_Potencial'!$W$5:$W$335,$C65-4)="","",INDEX('02_Base_Potencial'!$W$5:$W$335,$C65-4)))</f>
        <v>211</v>
      </c>
      <c r="R65" s="6">
        <f>IF($C65="","",IF(INDEX('02_Base_Potencial'!$X$5:$X$335,$C65-4)="","",INDEX('02_Base_Potencial'!$X$5:$X$335,$C65-4)))</f>
        <v>185</v>
      </c>
      <c r="S65" s="6">
        <f>IF($C65="","",IF(INDEX('02_Base_Potencial'!$Y$5:$Y$335,$C65-4)="","",INDEX('02_Base_Potencial'!$Y$5:$Y$335,$C65-4)))</f>
        <v>183</v>
      </c>
      <c r="T65" s="6">
        <f>IF($C65="","",IF(INDEX('02_Base_Potencial'!$Z$5:$Z$335,$C65-4)="","",INDEX('02_Base_Potencial'!$Z$5:$Z$335,$C65-4)))</f>
        <v>185</v>
      </c>
      <c r="U65" s="6">
        <f>IF($C65="","",IF(INDEX('02_Base_Potencial'!$AA$5:$AA$335,$C65-4)="","",INDEX('02_Base_Potencial'!$AA$5:$AA$335,$C65-4)))</f>
        <v>170</v>
      </c>
      <c r="V65" s="6" t="str">
        <f>IF($C65="","",INDEX('02_Base_Potencial'!$K$5:$K$335,$C65-4)&amp;"")</f>
        <v>MINSA/OMS</v>
      </c>
      <c r="W65" s="6" t="str">
        <f>IF($C65="","",COUNT(K65:U65)&amp;"/11")</f>
        <v>11/11</v>
      </c>
    </row>
    <row r="66" spans="1:23">
      <c r="A66" s="6" t="s">
        <v>82</v>
      </c>
      <c r="B66" s="20">
        <v>2</v>
      </c>
      <c r="C66" s="6">
        <f>IF(SUMPRODUCT(('02_Base_Potencial'!$B$5:$B$335=$A66)*('02_Base_Potencial'!$AR$5:$AR$335=$B66)*ROW('02_Base_Potencial'!$A$5:$A$335))=0,"",SUMPRODUCT(('02_Base_Potencial'!$B$5:$B$335=$A66)*('02_Base_Potencial'!$AR$5:$AR$335=$B66)*ROW('02_Base_Potencial'!$A$5:$A$335)))</f>
        <v>214</v>
      </c>
      <c r="D66" s="20" t="str">
        <f>IF($C66="","",INDEX('02_Base_Potencial'!$A$5:$A$335,$C66-4)&amp;"")</f>
        <v>SAU006</v>
      </c>
      <c r="E66" s="6" t="str">
        <f>IF($C66="","",INDEX('02_Base_Potencial'!$D$5:$D$335,$C66-4)&amp;"")</f>
        <v>Cobertura Vacinal (%)</v>
      </c>
      <c r="F66" s="6" t="str">
        <f>IF($C66="","",INDEX('02_Base_Potencial'!$E$5:$E$335,$C66-4)&amp;"")</f>
        <v>%</v>
      </c>
      <c r="G66" s="20" t="str">
        <f>IF($C66="","",INDEX('02_Base_Potencial'!$F$5:$F$335,$C66-4)&amp;"")</f>
        <v>+</v>
      </c>
      <c r="H66" s="20">
        <f>IF($C66="","",INDEX('02_Base_Potencial'!$G$5:$G$335,$C66-4))</f>
        <v>0</v>
      </c>
      <c r="I66" s="20">
        <f>IF($C66="","",INDEX('02_Base_Potencial'!$H$5:$H$335,$C66-4))</f>
        <v>100</v>
      </c>
      <c r="J66" s="20">
        <f>IF($C66="",0,IF(INDEX('02_Base_Potencial'!$J$5:$J$335,$C66-4)="",0,INDEX('02_Base_Potencial'!$J$5:$J$335,$C66-4)))</f>
        <v>1</v>
      </c>
      <c r="K66" s="6">
        <f>IF($C66="","",IF(INDEX('02_Base_Potencial'!$Q$5:$Q$335,$C66-4)="","",INDEX('02_Base_Potencial'!$Q$5:$Q$335,$C66-4)))</f>
        <v>52</v>
      </c>
      <c r="L66" s="6">
        <f>IF($C66="","",IF(INDEX('02_Base_Potencial'!$R$5:$R$335,$C66-4)="","",INDEX('02_Base_Potencial'!$R$5:$R$335,$C66-4)))</f>
        <v>49</v>
      </c>
      <c r="M66" s="6">
        <f>IF($C66="","",IF(INDEX('02_Base_Potencial'!$S$5:$S$335,$C66-4)="","",INDEX('02_Base_Potencial'!$S$5:$S$335,$C66-4)))</f>
        <v>47</v>
      </c>
      <c r="N66" s="6">
        <f>IF($C66="","",IF(INDEX('02_Base_Potencial'!$T$5:$T$335,$C66-4)="","",INDEX('02_Base_Potencial'!$T$5:$T$335,$C66-4)))</f>
        <v>56</v>
      </c>
      <c r="O66" s="6">
        <f>IF($C66="","",IF(INDEX('02_Base_Potencial'!$U$5:$U$335,$C66-4)="","",INDEX('02_Base_Potencial'!$U$5:$U$335,$C66-4)))</f>
        <v>59</v>
      </c>
      <c r="P66" s="6">
        <f>IF($C66="","",IF(INDEX('02_Base_Potencial'!$V$5:$V$335,$C66-4)="","",INDEX('02_Base_Potencial'!$V$5:$V$335,$C66-4)))</f>
        <v>54</v>
      </c>
      <c r="Q66" s="6">
        <f>IF($C66="","",IF(INDEX('02_Base_Potencial'!$W$5:$W$335,$C66-4)="","",INDEX('02_Base_Potencial'!$W$5:$W$335,$C66-4)))</f>
        <v>48</v>
      </c>
      <c r="R66" s="6">
        <f>IF($C66="","",IF(INDEX('02_Base_Potencial'!$X$5:$X$335,$C66-4)="","",INDEX('02_Base_Potencial'!$X$5:$X$335,$C66-4)))</f>
        <v>50</v>
      </c>
      <c r="S66" s="6">
        <f>IF($C66="","",IF(INDEX('02_Base_Potencial'!$Y$5:$Y$335,$C66-4)="","",INDEX('02_Base_Potencial'!$Y$5:$Y$335,$C66-4)))</f>
        <v>63</v>
      </c>
      <c r="T66" s="6">
        <f>IF($C66="","",IF(INDEX('02_Base_Potencial'!$Z$5:$Z$335,$C66-4)="","",INDEX('02_Base_Potencial'!$Z$5:$Z$335,$C66-4)))</f>
        <v>53</v>
      </c>
      <c r="U66" s="6" t="str">
        <f>IF($C66="","",IF(INDEX('02_Base_Potencial'!$AA$5:$AA$335,$C66-4)="","",INDEX('02_Base_Potencial'!$AA$5:$AA$335,$C66-4)))</f>
        <v/>
      </c>
      <c r="V66" s="6" t="str">
        <f>IF($C66="","",INDEX('02_Base_Potencial'!$K$5:$K$335,$C66-4)&amp;"")</f>
        <v>MINSA/OMS</v>
      </c>
      <c r="W66" s="6" t="str">
        <f>IF($C66="","",COUNT(K66:U66)&amp;"/11")</f>
        <v>10/11</v>
      </c>
    </row>
    <row r="67" spans="1:23">
      <c r="A67" s="6" t="s">
        <v>82</v>
      </c>
      <c r="B67" s="20">
        <v>3</v>
      </c>
      <c r="C67" s="6">
        <f>IF(SUMPRODUCT(('02_Base_Potencial'!$B$5:$B$335=$A67)*('02_Base_Potencial'!$AR$5:$AR$335=$B67)*ROW('02_Base_Potencial'!$A$5:$A$335))=0,"",SUMPRODUCT(('02_Base_Potencial'!$B$5:$B$335=$A67)*('02_Base_Potencial'!$AR$5:$AR$335=$B67)*ROW('02_Base_Potencial'!$A$5:$A$335)))</f>
        <v>210</v>
      </c>
      <c r="D67" s="20" t="str">
        <f>IF($C67="","",INDEX('02_Base_Potencial'!$A$5:$A$335,$C67-4)&amp;"")</f>
        <v>SAU002</v>
      </c>
      <c r="E67" s="6" t="str">
        <f>IF($C67="","",INDEX('02_Base_Potencial'!$D$5:$D$335,$C67-4)&amp;"")</f>
        <v>Prevalência de Desnutrição</v>
      </c>
      <c r="F67" s="6" t="str">
        <f>IF($C67="","",INDEX('02_Base_Potencial'!$E$5:$E$335,$C67-4)&amp;"")</f>
        <v>%</v>
      </c>
      <c r="G67" s="20" t="str">
        <f>IF($C67="","",INDEX('02_Base_Potencial'!$F$5:$F$335,$C67-4)&amp;"")</f>
        <v>-</v>
      </c>
      <c r="H67" s="20">
        <f>IF($C67="","",INDEX('02_Base_Potencial'!$G$5:$G$335,$C67-4))</f>
        <v>0</v>
      </c>
      <c r="I67" s="20">
        <f>IF($C67="","",INDEX('02_Base_Potencial'!$H$5:$H$335,$C67-4))</f>
        <v>50</v>
      </c>
      <c r="J67" s="20">
        <f>IF($C67="",0,IF(INDEX('02_Base_Potencial'!$J$5:$J$335,$C67-4)="",0,INDEX('02_Base_Potencial'!$J$5:$J$335,$C67-4)))</f>
        <v>1</v>
      </c>
      <c r="K67" s="6">
        <f>IF($C67="","",IF(INDEX('02_Base_Potencial'!$Q$5:$Q$335,$C67-4)="","",INDEX('02_Base_Potencial'!$Q$5:$Q$335,$C67-4)))</f>
        <v>14.2</v>
      </c>
      <c r="L67" s="6">
        <f>IF($C67="","",IF(INDEX('02_Base_Potencial'!$R$5:$R$335,$C67-4)="","",INDEX('02_Base_Potencial'!$R$5:$R$335,$C67-4)))</f>
        <v>15.2</v>
      </c>
      <c r="M67" s="6">
        <f>IF($C67="","",IF(INDEX('02_Base_Potencial'!$S$5:$S$335,$C67-4)="","",INDEX('02_Base_Potencial'!$S$5:$S$335,$C67-4)))</f>
        <v>15.4</v>
      </c>
      <c r="N67" s="6">
        <f>IF($C67="","",IF(INDEX('02_Base_Potencial'!$T$5:$T$335,$C67-4)="","",INDEX('02_Base_Potencial'!$T$5:$T$335,$C67-4)))</f>
        <v>15.9</v>
      </c>
      <c r="O67" s="6">
        <f>IF($C67="","",IF(INDEX('02_Base_Potencial'!$U$5:$U$335,$C67-4)="","",INDEX('02_Base_Potencial'!$U$5:$U$335,$C67-4)))</f>
        <v>18.2</v>
      </c>
      <c r="P67" s="6">
        <f>IF($C67="","",IF(INDEX('02_Base_Potencial'!$V$5:$V$335,$C67-4)="","",INDEX('02_Base_Potencial'!$V$5:$V$335,$C67-4)))</f>
        <v>20.8</v>
      </c>
      <c r="Q67" s="6">
        <f>IF($C67="","",IF(INDEX('02_Base_Potencial'!$W$5:$W$335,$C67-4)="","",INDEX('02_Base_Potencial'!$W$5:$W$335,$C67-4)))</f>
        <v>22.6</v>
      </c>
      <c r="R67" s="6">
        <f>IF($C67="","",IF(INDEX('02_Base_Potencial'!$X$5:$X$335,$C67-4)="","",INDEX('02_Base_Potencial'!$X$5:$X$335,$C67-4)))</f>
        <v>23.1</v>
      </c>
      <c r="S67" s="6">
        <f>IF($C67="","",IF(INDEX('02_Base_Potencial'!$Y$5:$Y$335,$C67-4)="","",INDEX('02_Base_Potencial'!$Y$5:$Y$335,$C67-4)))</f>
        <v>22.5</v>
      </c>
      <c r="T67" s="6" t="str">
        <f>IF($C67="","",IF(INDEX('02_Base_Potencial'!$Z$5:$Z$335,$C67-4)="","",INDEX('02_Base_Potencial'!$Z$5:$Z$335,$C67-4)))</f>
        <v/>
      </c>
      <c r="U67" s="6" t="str">
        <f>IF($C67="","",IF(INDEX('02_Base_Potencial'!$AA$5:$AA$335,$C67-4)="","",INDEX('02_Base_Potencial'!$AA$5:$AA$335,$C67-4)))</f>
        <v/>
      </c>
      <c r="V67" s="6" t="str">
        <f>IF($C67="","",INDEX('02_Base_Potencial'!$K$5:$K$335,$C67-4)&amp;"")</f>
        <v>MINSA/FAO</v>
      </c>
      <c r="W67" s="6" t="str">
        <f>IF($C67="","",COUNT(K67:U67)&amp;"/11")</f>
        <v>9/11</v>
      </c>
    </row>
    <row r="68" spans="1:23">
      <c r="A68" s="6" t="s">
        <v>82</v>
      </c>
      <c r="B68" s="20">
        <v>4</v>
      </c>
      <c r="C68" s="6">
        <f>IF(SUMPRODUCT(('02_Base_Potencial'!$B$5:$B$335=$A68)*('02_Base_Potencial'!$AR$5:$AR$335=$B68)*ROW('02_Base_Potencial'!$A$5:$A$335))=0,"",SUMPRODUCT(('02_Base_Potencial'!$B$5:$B$335=$A68)*('02_Base_Potencial'!$AR$5:$AR$335=$B68)*ROW('02_Base_Potencial'!$A$5:$A$335)))</f>
        <v>212</v>
      </c>
      <c r="D68" s="20" t="str">
        <f>IF($C68="","",INDEX('02_Base_Potencial'!$A$5:$A$335,$C68-4)&amp;"")</f>
        <v>SAU004</v>
      </c>
      <c r="E68" s="6" t="str">
        <f>IF($C68="","",INDEX('02_Base_Potencial'!$D$5:$D$335,$C68-4)&amp;"")</f>
        <v>Despesas Saúde (% PIB)</v>
      </c>
      <c r="F68" s="6" t="str">
        <f>IF($C68="","",INDEX('02_Base_Potencial'!$E$5:$E$335,$C68-4)&amp;"")</f>
        <v>%</v>
      </c>
      <c r="G68" s="20" t="str">
        <f>IF($C68="","",INDEX('02_Base_Potencial'!$F$5:$F$335,$C68-4)&amp;"")</f>
        <v>+</v>
      </c>
      <c r="H68" s="20">
        <f>IF($C68="","",INDEX('02_Base_Potencial'!$G$5:$G$335,$C68-4))</f>
        <v>0</v>
      </c>
      <c r="I68" s="20">
        <f>IF($C68="","",INDEX('02_Base_Potencial'!$H$5:$H$335,$C68-4))</f>
        <v>15</v>
      </c>
      <c r="J68" s="20">
        <f>IF($C68="",0,IF(INDEX('02_Base_Potencial'!$J$5:$J$335,$C68-4)="",0,INDEX('02_Base_Potencial'!$J$5:$J$335,$C68-4)))</f>
        <v>1</v>
      </c>
      <c r="K68" s="6">
        <f>IF($C68="","",IF(INDEX('02_Base_Potencial'!$Q$5:$Q$335,$C68-4)="","",INDEX('02_Base_Potencial'!$Q$5:$Q$335,$C68-4)))</f>
        <v>2.2996687900000001</v>
      </c>
      <c r="L68" s="6">
        <f>IF($C68="","",IF(INDEX('02_Base_Potencial'!$R$5:$R$335,$C68-4)="","",INDEX('02_Base_Potencial'!$R$5:$R$335,$C68-4)))</f>
        <v>2.3906872300000002</v>
      </c>
      <c r="M68" s="6">
        <f>IF($C68="","",IF(INDEX('02_Base_Potencial'!$S$5:$S$335,$C68-4)="","",INDEX('02_Base_Potencial'!$S$5:$S$335,$C68-4)))</f>
        <v>2.4379425000000001</v>
      </c>
      <c r="N68" s="6">
        <f>IF($C68="","",IF(INDEX('02_Base_Potencial'!$T$5:$T$335,$C68-4)="","",INDEX('02_Base_Potencial'!$T$5:$T$335,$C68-4)))</f>
        <v>2.2988748600000002</v>
      </c>
      <c r="O68" s="6">
        <f>IF($C68="","",IF(INDEX('02_Base_Potencial'!$U$5:$U$335,$C68-4)="","",INDEX('02_Base_Potencial'!$U$5:$U$335,$C68-4)))</f>
        <v>2.2039427800000002</v>
      </c>
      <c r="P68" s="6">
        <f>IF($C68="","",IF(INDEX('02_Base_Potencial'!$V$5:$V$335,$C68-4)="","",INDEX('02_Base_Potencial'!$V$5:$V$335,$C68-4)))</f>
        <v>2.8168890499999999</v>
      </c>
      <c r="Q68" s="6">
        <f>IF($C68="","",IF(INDEX('02_Base_Potencial'!$W$5:$W$335,$C68-4)="","",INDEX('02_Base_Potencial'!$W$5:$W$335,$C68-4)))</f>
        <v>2.7398710300000002</v>
      </c>
      <c r="R68" s="6">
        <f>IF($C68="","",IF(INDEX('02_Base_Potencial'!$X$5:$X$335,$C68-4)="","",INDEX('02_Base_Potencial'!$X$5:$X$335,$C68-4)))</f>
        <v>2.60041046</v>
      </c>
      <c r="S68" s="6">
        <f>IF($C68="","",IF(INDEX('02_Base_Potencial'!$Y$5:$Y$335,$C68-4)="","",INDEX('02_Base_Potencial'!$Y$5:$Y$335,$C68-4)))</f>
        <v>2.54692864</v>
      </c>
      <c r="T68" s="6" t="str">
        <f>IF($C68="","",IF(INDEX('02_Base_Potencial'!$Z$5:$Z$335,$C68-4)="","",INDEX('02_Base_Potencial'!$Z$5:$Z$335,$C68-4)))</f>
        <v/>
      </c>
      <c r="U68" s="6" t="str">
        <f>IF($C68="","",IF(INDEX('02_Base_Potencial'!$AA$5:$AA$335,$C68-4)="","",INDEX('02_Base_Potencial'!$AA$5:$AA$335,$C68-4)))</f>
        <v/>
      </c>
      <c r="V68" s="6" t="str">
        <f>IF($C68="","",INDEX('02_Base_Potencial'!$K$5:$K$335,$C68-4)&amp;"")</f>
        <v>MINFIN/OMS</v>
      </c>
      <c r="W68" s="6" t="str">
        <f>IF($C68="","",COUNT(K68:U68)&amp;"/11")</f>
        <v>9/11</v>
      </c>
    </row>
    <row r="69" spans="1:23">
      <c r="A69" s="6" t="s">
        <v>82</v>
      </c>
      <c r="B69" s="20">
        <v>5</v>
      </c>
      <c r="C69" s="6">
        <f>IF(SUMPRODUCT(('02_Base_Potencial'!$B$5:$B$335=$A69)*('02_Base_Potencial'!$AR$5:$AR$335=$B69)*ROW('02_Base_Potencial'!$A$5:$A$335))=0,"",SUMPRODUCT(('02_Base_Potencial'!$B$5:$B$335=$A69)*('02_Base_Potencial'!$AR$5:$AR$335=$B69)*ROW('02_Base_Potencial'!$A$5:$A$335)))</f>
        <v>221</v>
      </c>
      <c r="D69" s="20" t="str">
        <f>IF($C69="","",INDEX('02_Base_Potencial'!$A$5:$A$335,$C69-4)&amp;"")</f>
        <v>SAU020</v>
      </c>
      <c r="E69" s="6" t="str">
        <f>IF($C69="","",INDEX('02_Base_Potencial'!$D$5:$D$335,$C69-4)&amp;"")</f>
        <v>Incidência de malária</v>
      </c>
      <c r="F69" s="6" t="str">
        <f>IF($C69="","",INDEX('02_Base_Potencial'!$E$5:$E$335,$C69-4)&amp;"")</f>
        <v>por 1.000 em risco</v>
      </c>
      <c r="G69" s="20" t="str">
        <f>IF($C69="","",INDEX('02_Base_Potencial'!$F$5:$F$335,$C69-4)&amp;"")</f>
        <v>-</v>
      </c>
      <c r="H69" s="20">
        <f>IF($C69="","",INDEX('02_Base_Potencial'!$G$5:$G$335,$C69-4))</f>
        <v>0</v>
      </c>
      <c r="I69" s="20">
        <f>IF($C69="","",INDEX('02_Base_Potencial'!$H$5:$H$335,$C69-4))</f>
        <v>500</v>
      </c>
      <c r="J69" s="20">
        <f>IF($C69="",0,IF(INDEX('02_Base_Potencial'!$J$5:$J$335,$C69-4)="",0,INDEX('02_Base_Potencial'!$J$5:$J$335,$C69-4)))</f>
        <v>1</v>
      </c>
      <c r="K69" s="6">
        <f>IF($C69="","",IF(INDEX('02_Base_Potencial'!$Q$5:$Q$335,$C69-4)="","",INDEX('02_Base_Potencial'!$Q$5:$Q$335,$C69-4)))</f>
        <v>174.47</v>
      </c>
      <c r="L69" s="6">
        <f>IF($C69="","",IF(INDEX('02_Base_Potencial'!$R$5:$R$335,$C69-4)="","",INDEX('02_Base_Potencial'!$R$5:$R$335,$C69-4)))</f>
        <v>189.78</v>
      </c>
      <c r="M69" s="6">
        <f>IF($C69="","",IF(INDEX('02_Base_Potencial'!$S$5:$S$335,$C69-4)="","",INDEX('02_Base_Potencial'!$S$5:$S$335,$C69-4)))</f>
        <v>215.31</v>
      </c>
      <c r="N69" s="6">
        <f>IF($C69="","",IF(INDEX('02_Base_Potencial'!$T$5:$T$335,$C69-4)="","",INDEX('02_Base_Potencial'!$T$5:$T$335,$C69-4)))</f>
        <v>232.44</v>
      </c>
      <c r="O69" s="6">
        <f>IF($C69="","",IF(INDEX('02_Base_Potencial'!$U$5:$U$335,$C69-4)="","",INDEX('02_Base_Potencial'!$U$5:$U$335,$C69-4)))</f>
        <v>243.1</v>
      </c>
      <c r="P69" s="6">
        <f>IF($C69="","",IF(INDEX('02_Base_Potencial'!$V$5:$V$335,$C69-4)="","",INDEX('02_Base_Potencial'!$V$5:$V$335,$C69-4)))</f>
        <v>244.53</v>
      </c>
      <c r="Q69" s="6">
        <f>IF($C69="","",IF(INDEX('02_Base_Potencial'!$W$5:$W$335,$C69-4)="","",INDEX('02_Base_Potencial'!$W$5:$W$335,$C69-4)))</f>
        <v>258.61</v>
      </c>
      <c r="R69" s="6">
        <f>IF($C69="","",IF(INDEX('02_Base_Potencial'!$X$5:$X$335,$C69-4)="","",INDEX('02_Base_Potencial'!$X$5:$X$335,$C69-4)))</f>
        <v>260.08999999999997</v>
      </c>
      <c r="S69" s="6">
        <f>IF($C69="","",IF(INDEX('02_Base_Potencial'!$Y$5:$Y$335,$C69-4)="","",INDEX('02_Base_Potencial'!$Y$5:$Y$335,$C69-4)))</f>
        <v>255.47</v>
      </c>
      <c r="T69" s="6">
        <f>IF($C69="","",IF(INDEX('02_Base_Potencial'!$Z$5:$Z$335,$C69-4)="","",INDEX('02_Base_Potencial'!$Z$5:$Z$335,$C69-4)))</f>
        <v>258.89999999999998</v>
      </c>
      <c r="U69" s="6" t="str">
        <f>IF($C69="","",IF(INDEX('02_Base_Potencial'!$AA$5:$AA$335,$C69-4)="","",INDEX('02_Base_Potencial'!$AA$5:$AA$335,$C69-4)))</f>
        <v/>
      </c>
      <c r="V69" s="6" t="str">
        <f>IF($C69="","",INDEX('02_Base_Potencial'!$K$5:$K$335,$C69-4)&amp;"")</f>
        <v>Banco Mundial/OMS</v>
      </c>
      <c r="W69" s="6" t="str">
        <f>IF($C69="","",COUNT(K69:U69)&amp;"/11")</f>
        <v>10/11</v>
      </c>
    </row>
    <row r="70" spans="1:23">
      <c r="A70" s="6" t="s">
        <v>82</v>
      </c>
      <c r="B70" s="20">
        <v>6</v>
      </c>
      <c r="C70" s="6">
        <f>IF(SUMPRODUCT(('02_Base_Potencial'!$B$5:$B$335=$A70)*('02_Base_Potencial'!$AR$5:$AR$335=$B70)*ROW('02_Base_Potencial'!$A$5:$A$335))=0,"",SUMPRODUCT(('02_Base_Potencial'!$B$5:$B$335=$A70)*('02_Base_Potencial'!$AR$5:$AR$335=$B70)*ROW('02_Base_Potencial'!$A$5:$A$335)))</f>
        <v>224</v>
      </c>
      <c r="D70" s="20" t="str">
        <f>IF($C70="","",INDEX('02_Base_Potencial'!$A$5:$A$335,$C70-4)&amp;"")</f>
        <v>SAU04</v>
      </c>
      <c r="E70" s="6" t="str">
        <f>IF($C70="","",INDEX('02_Base_Potencial'!$D$5:$D$335,$C70-4)&amp;"")</f>
        <v>Mortalidade de menores de 5 anos</v>
      </c>
      <c r="F70" s="6" t="str">
        <f>IF($C70="","",INDEX('02_Base_Potencial'!$E$5:$E$335,$C70-4)&amp;"")</f>
        <v>por 1000</v>
      </c>
      <c r="G70" s="20" t="str">
        <f>IF($C70="","",INDEX('02_Base_Potencial'!$F$5:$F$335,$C70-4)&amp;"")</f>
        <v>-</v>
      </c>
      <c r="H70" s="20">
        <f>IF($C70="","",INDEX('02_Base_Potencial'!$G$5:$G$335,$C70-4))</f>
        <v>0</v>
      </c>
      <c r="I70" s="20">
        <f>IF($C70="","",INDEX('02_Base_Potencial'!$H$5:$H$335,$C70-4))</f>
        <v>200</v>
      </c>
      <c r="J70" s="20">
        <f>IF($C70="",0,IF(INDEX('02_Base_Potencial'!$J$5:$J$335,$C70-4)="",0,INDEX('02_Base_Potencial'!$J$5:$J$335,$C70-4)))</f>
        <v>1</v>
      </c>
      <c r="K70" s="6">
        <f>IF($C70="","",IF(INDEX('02_Base_Potencial'!$Q$5:$Q$335,$C70-4)="","",INDEX('02_Base_Potencial'!$Q$5:$Q$335,$C70-4)))</f>
        <v>61.8</v>
      </c>
      <c r="L70" s="6">
        <f>IF($C70="","",IF(INDEX('02_Base_Potencial'!$R$5:$R$335,$C70-4)="","",INDEX('02_Base_Potencial'!$R$5:$R$335,$C70-4)))</f>
        <v>59.6</v>
      </c>
      <c r="M70" s="6">
        <f>IF($C70="","",IF(INDEX('02_Base_Potencial'!$S$5:$S$335,$C70-4)="","",INDEX('02_Base_Potencial'!$S$5:$S$335,$C70-4)))</f>
        <v>57.9</v>
      </c>
      <c r="N70" s="6">
        <f>IF($C70="","",IF(INDEX('02_Base_Potencial'!$T$5:$T$335,$C70-4)="","",INDEX('02_Base_Potencial'!$T$5:$T$335,$C70-4)))</f>
        <v>56.5</v>
      </c>
      <c r="O70" s="6">
        <f>IF($C70="","",IF(INDEX('02_Base_Potencial'!$U$5:$U$335,$C70-4)="","",INDEX('02_Base_Potencial'!$U$5:$U$335,$C70-4)))</f>
        <v>55.3</v>
      </c>
      <c r="P70" s="6">
        <f>IF($C70="","",IF(INDEX('02_Base_Potencial'!$V$5:$V$335,$C70-4)="","",INDEX('02_Base_Potencial'!$V$5:$V$335,$C70-4)))</f>
        <v>54.2</v>
      </c>
      <c r="Q70" s="6">
        <f>IF($C70="","",IF(INDEX('02_Base_Potencial'!$W$5:$W$335,$C70-4)="","",INDEX('02_Base_Potencial'!$W$5:$W$335,$C70-4)))</f>
        <v>53.2</v>
      </c>
      <c r="R70" s="6">
        <f>IF($C70="","",IF(INDEX('02_Base_Potencial'!$X$5:$X$335,$C70-4)="","",INDEX('02_Base_Potencial'!$X$5:$X$335,$C70-4)))</f>
        <v>51.9</v>
      </c>
      <c r="S70" s="6">
        <f>IF($C70="","",IF(INDEX('02_Base_Potencial'!$Y$5:$Y$335,$C70-4)="","",INDEX('02_Base_Potencial'!$Y$5:$Y$335,$C70-4)))</f>
        <v>50.5</v>
      </c>
      <c r="T70" s="6">
        <f>IF($C70="","",IF(INDEX('02_Base_Potencial'!$Z$5:$Z$335,$C70-4)="","",INDEX('02_Base_Potencial'!$Z$5:$Z$335,$C70-4)))</f>
        <v>49</v>
      </c>
      <c r="U70" s="6" t="str">
        <f>IF($C70="","",IF(INDEX('02_Base_Potencial'!$AA$5:$AA$335,$C70-4)="","",INDEX('02_Base_Potencial'!$AA$5:$AA$335,$C70-4)))</f>
        <v/>
      </c>
      <c r="V70" s="6" t="str">
        <f>IF($C70="","",INDEX('02_Base_Potencial'!$K$5:$K$335,$C70-4)&amp;"")</f>
        <v>Banco Mundial/UNICEF</v>
      </c>
      <c r="W70" s="6" t="str">
        <f>IF($C70="","",COUNT(K70:U70)&amp;"/11")</f>
        <v>10/11</v>
      </c>
    </row>
    <row r="71" spans="1:23">
      <c r="A71" s="6" t="s">
        <v>82</v>
      </c>
      <c r="B71" s="20">
        <v>7</v>
      </c>
      <c r="C71" s="6">
        <f>IF(SUMPRODUCT(('02_Base_Potencial'!$B$5:$B$335=$A71)*('02_Base_Potencial'!$AR$5:$AR$335=$B71)*ROW('02_Base_Potencial'!$A$5:$A$335))=0,"",SUMPRODUCT(('02_Base_Potencial'!$B$5:$B$335=$A71)*('02_Base_Potencial'!$AR$5:$AR$335=$B71)*ROW('02_Base_Potencial'!$A$5:$A$335)))</f>
        <v>219</v>
      </c>
      <c r="D71" s="20" t="str">
        <f>IF($C71="","",INDEX('02_Base_Potencial'!$A$5:$A$335,$C71-4)&amp;"")</f>
        <v>SAU017</v>
      </c>
      <c r="E71" s="6" t="str">
        <f>IF($C71="","",INDEX('02_Base_Potencial'!$D$5:$D$335,$C71-4)&amp;"")</f>
        <v>Despesa direta das famílias em saúde</v>
      </c>
      <c r="F71" s="6" t="str">
        <f>IF($C71="","",INDEX('02_Base_Potencial'!$E$5:$E$335,$C71-4)&amp;"")</f>
        <v>% despesa corrente em saúde</v>
      </c>
      <c r="G71" s="20" t="str">
        <f>IF($C71="","",INDEX('02_Base_Potencial'!$F$5:$F$335,$C71-4)&amp;"")</f>
        <v>-</v>
      </c>
      <c r="H71" s="20">
        <f>IF($C71="","",INDEX('02_Base_Potencial'!$G$5:$G$335,$C71-4))</f>
        <v>0</v>
      </c>
      <c r="I71" s="20">
        <f>IF($C71="","",INDEX('02_Base_Potencial'!$H$5:$H$335,$C71-4))</f>
        <v>100</v>
      </c>
      <c r="J71" s="20">
        <f>IF($C71="",0,IF(INDEX('02_Base_Potencial'!$J$5:$J$335,$C71-4)="",0,INDEX('02_Base_Potencial'!$J$5:$J$335,$C71-4)))</f>
        <v>1</v>
      </c>
      <c r="K71" s="6">
        <f>IF($C71="","",IF(INDEX('02_Base_Potencial'!$Q$5:$Q$335,$C71-4)="","",INDEX('02_Base_Potencial'!$Q$5:$Q$335,$C71-4)))</f>
        <v>33.523166660000001</v>
      </c>
      <c r="L71" s="6">
        <f>IF($C71="","",IF(INDEX('02_Base_Potencial'!$R$5:$R$335,$C71-4)="","",INDEX('02_Base_Potencial'!$R$5:$R$335,$C71-4)))</f>
        <v>35.208930969999997</v>
      </c>
      <c r="M71" s="6">
        <f>IF($C71="","",IF(INDEX('02_Base_Potencial'!$S$5:$S$335,$C71-4)="","",INDEX('02_Base_Potencial'!$S$5:$S$335,$C71-4)))</f>
        <v>34.121013640000001</v>
      </c>
      <c r="N71" s="6">
        <f>IF($C71="","",IF(INDEX('02_Base_Potencial'!$T$5:$T$335,$C71-4)="","",INDEX('02_Base_Potencial'!$T$5:$T$335,$C71-4)))</f>
        <v>36.247333529999999</v>
      </c>
      <c r="O71" s="6">
        <f>IF($C71="","",IF(INDEX('02_Base_Potencial'!$U$5:$U$335,$C71-4)="","",INDEX('02_Base_Potencial'!$U$5:$U$335,$C71-4)))</f>
        <v>33.143085480000003</v>
      </c>
      <c r="P71" s="6">
        <f>IF($C71="","",IF(INDEX('02_Base_Potencial'!$V$5:$V$335,$C71-4)="","",INDEX('02_Base_Potencial'!$V$5:$V$335,$C71-4)))</f>
        <v>28.62218094</v>
      </c>
      <c r="Q71" s="6">
        <f>IF($C71="","",IF(INDEX('02_Base_Potencial'!$W$5:$W$335,$C71-4)="","",INDEX('02_Base_Potencial'!$W$5:$W$335,$C71-4)))</f>
        <v>26.11725616</v>
      </c>
      <c r="R71" s="6">
        <f>IF($C71="","",IF(INDEX('02_Base_Potencial'!$X$5:$X$335,$C71-4)="","",INDEX('02_Base_Potencial'!$X$5:$X$335,$C71-4)))</f>
        <v>30.038616179999998</v>
      </c>
      <c r="S71" s="6">
        <f>IF($C71="","",IF(INDEX('02_Base_Potencial'!$Y$5:$Y$335,$C71-4)="","",INDEX('02_Base_Potencial'!$Y$5:$Y$335,$C71-4)))</f>
        <v>32.546676640000001</v>
      </c>
      <c r="T71" s="6" t="str">
        <f>IF($C71="","",IF(INDEX('02_Base_Potencial'!$Z$5:$Z$335,$C71-4)="","",INDEX('02_Base_Potencial'!$Z$5:$Z$335,$C71-4)))</f>
        <v/>
      </c>
      <c r="U71" s="6" t="str">
        <f>IF($C71="","",IF(INDEX('02_Base_Potencial'!$AA$5:$AA$335,$C71-4)="","",INDEX('02_Base_Potencial'!$AA$5:$AA$335,$C71-4)))</f>
        <v/>
      </c>
      <c r="V71" s="6" t="str">
        <f>IF($C71="","",INDEX('02_Base_Potencial'!$K$5:$K$335,$C71-4)&amp;"")</f>
        <v>Banco Mundial/OMS</v>
      </c>
      <c r="W71" s="6" t="str">
        <f>IF($C71="","",COUNT(K71:U71)&amp;"/11")</f>
        <v>9/11</v>
      </c>
    </row>
    <row r="72" spans="1:23">
      <c r="A72" s="6" t="s">
        <v>82</v>
      </c>
      <c r="B72" s="20">
        <v>8</v>
      </c>
      <c r="C72" s="6" t="str">
        <f>IF(SUMPRODUCT(('02_Base_Potencial'!$B$5:$B$335=$A72)*('02_Base_Potencial'!$AR$5:$AR$335=$B72)*ROW('02_Base_Potencial'!$A$5:$A$335))=0,"",SUMPRODUCT(('02_Base_Potencial'!$B$5:$B$335=$A72)*('02_Base_Potencial'!$AR$5:$AR$335=$B72)*ROW('02_Base_Potencial'!$A$5:$A$335)))</f>
        <v/>
      </c>
      <c r="D72" s="20" t="str">
        <f>IF($C72="","",INDEX('02_Base_Potencial'!$A$5:$A$335,$C72-4)&amp;"")</f>
        <v/>
      </c>
      <c r="E72" s="6" t="str">
        <f>IF($C72="","",INDEX('02_Base_Potencial'!$D$5:$D$335,$C72-4)&amp;"")</f>
        <v/>
      </c>
      <c r="F72" s="6" t="str">
        <f>IF($C72="","",INDEX('02_Base_Potencial'!$E$5:$E$335,$C72-4)&amp;"")</f>
        <v/>
      </c>
      <c r="G72" s="20" t="str">
        <f>IF($C72="","",INDEX('02_Base_Potencial'!$F$5:$F$335,$C72-4)&amp;"")</f>
        <v/>
      </c>
      <c r="H72" s="20" t="str">
        <f>IF($C72="","",INDEX('02_Base_Potencial'!$G$5:$G$335,$C72-4))</f>
        <v/>
      </c>
      <c r="I72" s="20" t="str">
        <f>IF($C72="","",INDEX('02_Base_Potencial'!$H$5:$H$335,$C72-4))</f>
        <v/>
      </c>
      <c r="J72" s="20">
        <f>IF($C72="",0,IF(INDEX('02_Base_Potencial'!$J$5:$J$335,$C72-4)="",0,INDEX('02_Base_Potencial'!$J$5:$J$335,$C72-4)))</f>
        <v>0</v>
      </c>
      <c r="K72" s="6" t="str">
        <f>IF($C72="","",IF(INDEX('02_Base_Potencial'!$Q$5:$Q$335,$C72-4)="","",INDEX('02_Base_Potencial'!$Q$5:$Q$335,$C72-4)))</f>
        <v/>
      </c>
      <c r="L72" s="6" t="str">
        <f>IF($C72="","",IF(INDEX('02_Base_Potencial'!$R$5:$R$335,$C72-4)="","",INDEX('02_Base_Potencial'!$R$5:$R$335,$C72-4)))</f>
        <v/>
      </c>
      <c r="M72" s="6" t="str">
        <f>IF($C72="","",IF(INDEX('02_Base_Potencial'!$S$5:$S$335,$C72-4)="","",INDEX('02_Base_Potencial'!$S$5:$S$335,$C72-4)))</f>
        <v/>
      </c>
      <c r="N72" s="6" t="str">
        <f>IF($C72="","",IF(INDEX('02_Base_Potencial'!$T$5:$T$335,$C72-4)="","",INDEX('02_Base_Potencial'!$T$5:$T$335,$C72-4)))</f>
        <v/>
      </c>
      <c r="O72" s="6" t="str">
        <f>IF($C72="","",IF(INDEX('02_Base_Potencial'!$U$5:$U$335,$C72-4)="","",INDEX('02_Base_Potencial'!$U$5:$U$335,$C72-4)))</f>
        <v/>
      </c>
      <c r="P72" s="6" t="str">
        <f>IF($C72="","",IF(INDEX('02_Base_Potencial'!$V$5:$V$335,$C72-4)="","",INDEX('02_Base_Potencial'!$V$5:$V$335,$C72-4)))</f>
        <v/>
      </c>
      <c r="Q72" s="6" t="str">
        <f>IF($C72="","",IF(INDEX('02_Base_Potencial'!$W$5:$W$335,$C72-4)="","",INDEX('02_Base_Potencial'!$W$5:$W$335,$C72-4)))</f>
        <v/>
      </c>
      <c r="R72" s="6" t="str">
        <f>IF($C72="","",IF(INDEX('02_Base_Potencial'!$X$5:$X$335,$C72-4)="","",INDEX('02_Base_Potencial'!$X$5:$X$335,$C72-4)))</f>
        <v/>
      </c>
      <c r="S72" s="6" t="str">
        <f>IF($C72="","",IF(INDEX('02_Base_Potencial'!$Y$5:$Y$335,$C72-4)="","",INDEX('02_Base_Potencial'!$Y$5:$Y$335,$C72-4)))</f>
        <v/>
      </c>
      <c r="T72" s="6" t="str">
        <f>IF($C72="","",IF(INDEX('02_Base_Potencial'!$Z$5:$Z$335,$C72-4)="","",INDEX('02_Base_Potencial'!$Z$5:$Z$335,$C72-4)))</f>
        <v/>
      </c>
      <c r="U72" s="6" t="str">
        <f>IF($C72="","",IF(INDEX('02_Base_Potencial'!$AA$5:$AA$335,$C72-4)="","",INDEX('02_Base_Potencial'!$AA$5:$AA$335,$C72-4)))</f>
        <v/>
      </c>
      <c r="V72" s="6" t="str">
        <f>IF($C72="","",INDEX('02_Base_Potencial'!$K$5:$K$335,$C72-4)&amp;"")</f>
        <v/>
      </c>
      <c r="W72" s="6" t="str">
        <f>IF($C72="","",COUNT(K72:U72)&amp;"/11")</f>
        <v/>
      </c>
    </row>
    <row r="73" spans="1:23">
      <c r="A73" s="6" t="s">
        <v>82</v>
      </c>
      <c r="B73" s="20">
        <v>9</v>
      </c>
      <c r="C73" s="6" t="str">
        <f>IF(SUMPRODUCT(('02_Base_Potencial'!$B$5:$B$335=$A73)*('02_Base_Potencial'!$AR$5:$AR$335=$B73)*ROW('02_Base_Potencial'!$A$5:$A$335))=0,"",SUMPRODUCT(('02_Base_Potencial'!$B$5:$B$335=$A73)*('02_Base_Potencial'!$AR$5:$AR$335=$B73)*ROW('02_Base_Potencial'!$A$5:$A$335)))</f>
        <v/>
      </c>
      <c r="D73" s="20" t="str">
        <f>IF($C73="","",INDEX('02_Base_Potencial'!$A$5:$A$335,$C73-4)&amp;"")</f>
        <v/>
      </c>
      <c r="E73" s="6" t="str">
        <f>IF($C73="","",INDEX('02_Base_Potencial'!$D$5:$D$335,$C73-4)&amp;"")</f>
        <v/>
      </c>
      <c r="F73" s="6" t="str">
        <f>IF($C73="","",INDEX('02_Base_Potencial'!$E$5:$E$335,$C73-4)&amp;"")</f>
        <v/>
      </c>
      <c r="G73" s="20" t="str">
        <f>IF($C73="","",INDEX('02_Base_Potencial'!$F$5:$F$335,$C73-4)&amp;"")</f>
        <v/>
      </c>
      <c r="H73" s="20" t="str">
        <f>IF($C73="","",INDEX('02_Base_Potencial'!$G$5:$G$335,$C73-4))</f>
        <v/>
      </c>
      <c r="I73" s="20" t="str">
        <f>IF($C73="","",INDEX('02_Base_Potencial'!$H$5:$H$335,$C73-4))</f>
        <v/>
      </c>
      <c r="J73" s="20">
        <f>IF($C73="",0,IF(INDEX('02_Base_Potencial'!$J$5:$J$335,$C73-4)="",0,INDEX('02_Base_Potencial'!$J$5:$J$335,$C73-4)))</f>
        <v>0</v>
      </c>
      <c r="K73" s="6" t="str">
        <f>IF($C73="","",IF(INDEX('02_Base_Potencial'!$Q$5:$Q$335,$C73-4)="","",INDEX('02_Base_Potencial'!$Q$5:$Q$335,$C73-4)))</f>
        <v/>
      </c>
      <c r="L73" s="6" t="str">
        <f>IF($C73="","",IF(INDEX('02_Base_Potencial'!$R$5:$R$335,$C73-4)="","",INDEX('02_Base_Potencial'!$R$5:$R$335,$C73-4)))</f>
        <v/>
      </c>
      <c r="M73" s="6" t="str">
        <f>IF($C73="","",IF(INDEX('02_Base_Potencial'!$S$5:$S$335,$C73-4)="","",INDEX('02_Base_Potencial'!$S$5:$S$335,$C73-4)))</f>
        <v/>
      </c>
      <c r="N73" s="6" t="str">
        <f>IF($C73="","",IF(INDEX('02_Base_Potencial'!$T$5:$T$335,$C73-4)="","",INDEX('02_Base_Potencial'!$T$5:$T$335,$C73-4)))</f>
        <v/>
      </c>
      <c r="O73" s="6" t="str">
        <f>IF($C73="","",IF(INDEX('02_Base_Potencial'!$U$5:$U$335,$C73-4)="","",INDEX('02_Base_Potencial'!$U$5:$U$335,$C73-4)))</f>
        <v/>
      </c>
      <c r="P73" s="6" t="str">
        <f>IF($C73="","",IF(INDEX('02_Base_Potencial'!$V$5:$V$335,$C73-4)="","",INDEX('02_Base_Potencial'!$V$5:$V$335,$C73-4)))</f>
        <v/>
      </c>
      <c r="Q73" s="6" t="str">
        <f>IF($C73="","",IF(INDEX('02_Base_Potencial'!$W$5:$W$335,$C73-4)="","",INDEX('02_Base_Potencial'!$W$5:$W$335,$C73-4)))</f>
        <v/>
      </c>
      <c r="R73" s="6" t="str">
        <f>IF($C73="","",IF(INDEX('02_Base_Potencial'!$X$5:$X$335,$C73-4)="","",INDEX('02_Base_Potencial'!$X$5:$X$335,$C73-4)))</f>
        <v/>
      </c>
      <c r="S73" s="6" t="str">
        <f>IF($C73="","",IF(INDEX('02_Base_Potencial'!$Y$5:$Y$335,$C73-4)="","",INDEX('02_Base_Potencial'!$Y$5:$Y$335,$C73-4)))</f>
        <v/>
      </c>
      <c r="T73" s="6" t="str">
        <f>IF($C73="","",IF(INDEX('02_Base_Potencial'!$Z$5:$Z$335,$C73-4)="","",INDEX('02_Base_Potencial'!$Z$5:$Z$335,$C73-4)))</f>
        <v/>
      </c>
      <c r="U73" s="6" t="str">
        <f>IF($C73="","",IF(INDEX('02_Base_Potencial'!$AA$5:$AA$335,$C73-4)="","",INDEX('02_Base_Potencial'!$AA$5:$AA$335,$C73-4)))</f>
        <v/>
      </c>
      <c r="V73" s="6" t="str">
        <f>IF($C73="","",INDEX('02_Base_Potencial'!$K$5:$K$335,$C73-4)&amp;"")</f>
        <v/>
      </c>
      <c r="W73" s="6" t="str">
        <f>IF($C73="","",COUNT(K73:U73)&amp;"/11")</f>
        <v/>
      </c>
    </row>
    <row r="74" spans="1:23">
      <c r="A74" s="6" t="s">
        <v>82</v>
      </c>
      <c r="B74" s="20">
        <v>10</v>
      </c>
      <c r="C74" s="6" t="str">
        <f>IF(SUMPRODUCT(('02_Base_Potencial'!$B$5:$B$335=$A74)*('02_Base_Potencial'!$AR$5:$AR$335=$B74)*ROW('02_Base_Potencial'!$A$5:$A$335))=0,"",SUMPRODUCT(('02_Base_Potencial'!$B$5:$B$335=$A74)*('02_Base_Potencial'!$AR$5:$AR$335=$B74)*ROW('02_Base_Potencial'!$A$5:$A$335)))</f>
        <v/>
      </c>
      <c r="D74" s="20" t="str">
        <f>IF($C74="","",INDEX('02_Base_Potencial'!$A$5:$A$335,$C74-4)&amp;"")</f>
        <v/>
      </c>
      <c r="E74" s="6" t="str">
        <f>IF($C74="","",INDEX('02_Base_Potencial'!$D$5:$D$335,$C74-4)&amp;"")</f>
        <v/>
      </c>
      <c r="F74" s="6" t="str">
        <f>IF($C74="","",INDEX('02_Base_Potencial'!$E$5:$E$335,$C74-4)&amp;"")</f>
        <v/>
      </c>
      <c r="G74" s="20" t="str">
        <f>IF($C74="","",INDEX('02_Base_Potencial'!$F$5:$F$335,$C74-4)&amp;"")</f>
        <v/>
      </c>
      <c r="H74" s="20" t="str">
        <f>IF($C74="","",INDEX('02_Base_Potencial'!$G$5:$G$335,$C74-4))</f>
        <v/>
      </c>
      <c r="I74" s="20" t="str">
        <f>IF($C74="","",INDEX('02_Base_Potencial'!$H$5:$H$335,$C74-4))</f>
        <v/>
      </c>
      <c r="J74" s="20">
        <f>IF($C74="",0,IF(INDEX('02_Base_Potencial'!$J$5:$J$335,$C74-4)="",0,INDEX('02_Base_Potencial'!$J$5:$J$335,$C74-4)))</f>
        <v>0</v>
      </c>
      <c r="K74" s="6" t="str">
        <f>IF($C74="","",IF(INDEX('02_Base_Potencial'!$Q$5:$Q$335,$C74-4)="","",INDEX('02_Base_Potencial'!$Q$5:$Q$335,$C74-4)))</f>
        <v/>
      </c>
      <c r="L74" s="6" t="str">
        <f>IF($C74="","",IF(INDEX('02_Base_Potencial'!$R$5:$R$335,$C74-4)="","",INDEX('02_Base_Potencial'!$R$5:$R$335,$C74-4)))</f>
        <v/>
      </c>
      <c r="M74" s="6" t="str">
        <f>IF($C74="","",IF(INDEX('02_Base_Potencial'!$S$5:$S$335,$C74-4)="","",INDEX('02_Base_Potencial'!$S$5:$S$335,$C74-4)))</f>
        <v/>
      </c>
      <c r="N74" s="6" t="str">
        <f>IF($C74="","",IF(INDEX('02_Base_Potencial'!$T$5:$T$335,$C74-4)="","",INDEX('02_Base_Potencial'!$T$5:$T$335,$C74-4)))</f>
        <v/>
      </c>
      <c r="O74" s="6" t="str">
        <f>IF($C74="","",IF(INDEX('02_Base_Potencial'!$U$5:$U$335,$C74-4)="","",INDEX('02_Base_Potencial'!$U$5:$U$335,$C74-4)))</f>
        <v/>
      </c>
      <c r="P74" s="6" t="str">
        <f>IF($C74="","",IF(INDEX('02_Base_Potencial'!$V$5:$V$335,$C74-4)="","",INDEX('02_Base_Potencial'!$V$5:$V$335,$C74-4)))</f>
        <v/>
      </c>
      <c r="Q74" s="6" t="str">
        <f>IF($C74="","",IF(INDEX('02_Base_Potencial'!$W$5:$W$335,$C74-4)="","",INDEX('02_Base_Potencial'!$W$5:$W$335,$C74-4)))</f>
        <v/>
      </c>
      <c r="R74" s="6" t="str">
        <f>IF($C74="","",IF(INDEX('02_Base_Potencial'!$X$5:$X$335,$C74-4)="","",INDEX('02_Base_Potencial'!$X$5:$X$335,$C74-4)))</f>
        <v/>
      </c>
      <c r="S74" s="6" t="str">
        <f>IF($C74="","",IF(INDEX('02_Base_Potencial'!$Y$5:$Y$335,$C74-4)="","",INDEX('02_Base_Potencial'!$Y$5:$Y$335,$C74-4)))</f>
        <v/>
      </c>
      <c r="T74" s="6" t="str">
        <f>IF($C74="","",IF(INDEX('02_Base_Potencial'!$Z$5:$Z$335,$C74-4)="","",INDEX('02_Base_Potencial'!$Z$5:$Z$335,$C74-4)))</f>
        <v/>
      </c>
      <c r="U74" s="6" t="str">
        <f>IF($C74="","",IF(INDEX('02_Base_Potencial'!$AA$5:$AA$335,$C74-4)="","",INDEX('02_Base_Potencial'!$AA$5:$AA$335,$C74-4)))</f>
        <v/>
      </c>
      <c r="V74" s="6" t="str">
        <f>IF($C74="","",INDEX('02_Base_Potencial'!$K$5:$K$335,$C74-4)&amp;"")</f>
        <v/>
      </c>
      <c r="W74" s="6" t="str">
        <f>IF($C74="","",COUNT(K74:U74)&amp;"/11")</f>
        <v/>
      </c>
    </row>
    <row r="75" spans="1:23">
      <c r="A75" s="27" t="s">
        <v>83</v>
      </c>
      <c r="B75" s="25">
        <v>1</v>
      </c>
      <c r="C75" s="27">
        <f>IF(SUMPRODUCT(('02_Base_Potencial'!$B$5:$B$335=$A75)*('02_Base_Potencial'!$AR$5:$AR$335=$B75)*ROW('02_Base_Potencial'!$A$5:$A$335))=0,"",SUMPRODUCT(('02_Base_Potencial'!$B$5:$B$335=$A75)*('02_Base_Potencial'!$AR$5:$AR$335=$B75)*ROW('02_Base_Potencial'!$A$5:$A$335)))</f>
        <v>247</v>
      </c>
      <c r="D75" s="25" t="str">
        <f>IF($C75="","",INDEX('02_Base_Potencial'!$A$5:$A$335,$C75-4)&amp;"")</f>
        <v>DIV017</v>
      </c>
      <c r="E75" s="27" t="str">
        <f>IF($C75="","",INDEX('02_Base_Potencial'!$D$5:$D$335,$C75-4)&amp;"")</f>
        <v>Crescimento do PIB não petrolífero</v>
      </c>
      <c r="F75" s="27" t="str">
        <f>IF($C75="","",INDEX('02_Base_Potencial'!$E$5:$E$335,$C75-4)&amp;"")</f>
        <v>%</v>
      </c>
      <c r="G75" s="25" t="str">
        <f>IF($C75="","",INDEX('02_Base_Potencial'!$F$5:$F$335,$C75-4)&amp;"")</f>
        <v>+</v>
      </c>
      <c r="H75" s="25">
        <f>IF($C75="","",INDEX('02_Base_Potencial'!$G$5:$G$335,$C75-4))</f>
        <v>-10</v>
      </c>
      <c r="I75" s="25">
        <f>IF($C75="","",INDEX('02_Base_Potencial'!$H$5:$H$335,$C75-4))</f>
        <v>15</v>
      </c>
      <c r="J75" s="25">
        <f>IF($C75="",0,IF(INDEX('02_Base_Potencial'!$J$5:$J$335,$C75-4)="",0,INDEX('02_Base_Potencial'!$J$5:$J$335,$C75-4)))</f>
        <v>1</v>
      </c>
      <c r="K75" s="27">
        <f>IF($C75="","",IF(INDEX('02_Base_Potencial'!$Q$5:$Q$335,$C75-4)="","",INDEX('02_Base_Potencial'!$Q$5:$Q$335,$C75-4)))</f>
        <v>-3.6888000000000001</v>
      </c>
      <c r="L75" s="27">
        <f>IF($C75="","",IF(INDEX('02_Base_Potencial'!$R$5:$R$335,$C75-4)="","",INDEX('02_Base_Potencial'!$R$5:$R$335,$C75-4)))</f>
        <v>0.92749999999999999</v>
      </c>
      <c r="M75" s="27">
        <f>IF($C75="","",IF(INDEX('02_Base_Potencial'!$S$5:$S$335,$C75-4)="","",INDEX('02_Base_Potencial'!$S$5:$S$335,$C75-4)))</f>
        <v>3.9201000000000001</v>
      </c>
      <c r="N75" s="27">
        <f>IF($C75="","",IF(INDEX('02_Base_Potencial'!$T$5:$T$335,$C75-4)="","",INDEX('02_Base_Potencial'!$T$5:$T$335,$C75-4)))</f>
        <v>3.1939000000000002</v>
      </c>
      <c r="O75" s="27">
        <f>IF($C75="","",IF(INDEX('02_Base_Potencial'!$U$5:$U$335,$C75-4)="","",INDEX('02_Base_Potencial'!$U$5:$U$335,$C75-4)))</f>
        <v>1.2479</v>
      </c>
      <c r="P75" s="27">
        <f>IF($C75="","",IF(INDEX('02_Base_Potencial'!$V$5:$V$335,$C75-4)="","",INDEX('02_Base_Potencial'!$V$5:$V$335,$C75-4)))</f>
        <v>-4.7728000000000002</v>
      </c>
      <c r="Q75" s="27">
        <f>IF($C75="","",IF(INDEX('02_Base_Potencial'!$W$5:$W$335,$C75-4)="","",INDEX('02_Base_Potencial'!$W$5:$W$335,$C75-4)))</f>
        <v>5.3132999999999999</v>
      </c>
      <c r="R75" s="27">
        <f>IF($C75="","",IF(INDEX('02_Base_Potencial'!$X$5:$X$335,$C75-4)="","",INDEX('02_Base_Potencial'!$X$5:$X$335,$C75-4)))</f>
        <v>3.1457000000000002</v>
      </c>
      <c r="S75" s="27">
        <f>IF($C75="","",IF(INDEX('02_Base_Potencial'!$Y$5:$Y$335,$C75-4)="","",INDEX('02_Base_Potencial'!$Y$5:$Y$335,$C75-4)))</f>
        <v>2.3972000000000002</v>
      </c>
      <c r="T75" s="27">
        <f>IF($C75="","",IF(INDEX('02_Base_Potencial'!$Z$5:$Z$335,$C75-4)="","",INDEX('02_Base_Potencial'!$Z$5:$Z$335,$C75-4)))</f>
        <v>5.3951000000000002</v>
      </c>
      <c r="U75" s="27">
        <f>IF($C75="","",IF(INDEX('02_Base_Potencial'!$AA$5:$AA$335,$C75-4)="","",INDEX('02_Base_Potencial'!$AA$5:$AA$335,$C75-4)))</f>
        <v>5.3792999999999997</v>
      </c>
      <c r="V75" s="6" t="str">
        <f>IF($C75="","",INDEX('02_Base_Potencial'!$K$5:$K$335,$C75-4)&amp;"")</f>
        <v>INE - Contas Nacionais Trimestrais</v>
      </c>
      <c r="W75" s="6" t="str">
        <f>IF($C75="","",COUNT(K75:U75)&amp;"/11")</f>
        <v>11/11</v>
      </c>
    </row>
    <row r="76" spans="1:23">
      <c r="A76" s="27" t="s">
        <v>83</v>
      </c>
      <c r="B76" s="25">
        <v>2</v>
      </c>
      <c r="C76" s="27">
        <f>IF(SUMPRODUCT(('02_Base_Potencial'!$B$5:$B$335=$A76)*('02_Base_Potencial'!$AR$5:$AR$335=$B76)*ROW('02_Base_Potencial'!$A$5:$A$335))=0,"",SUMPRODUCT(('02_Base_Potencial'!$B$5:$B$335=$A76)*('02_Base_Potencial'!$AR$5:$AR$335=$B76)*ROW('02_Base_Potencial'!$A$5:$A$335)))</f>
        <v>253</v>
      </c>
      <c r="D76" s="25" t="str">
        <f>IF($C76="","",INDEX('02_Base_Potencial'!$A$5:$A$335,$C76-4)&amp;"")</f>
        <v>DIV007</v>
      </c>
      <c r="E76" s="27" t="str">
        <f>IF($C76="","",INDEX('02_Base_Potencial'!$D$5:$D$335,$C76-4)&amp;"")</f>
        <v>Indústria transformadora no PIB</v>
      </c>
      <c r="F76" s="27" t="str">
        <f>IF($C76="","",INDEX('02_Base_Potencial'!$E$5:$E$335,$C76-4)&amp;"")</f>
        <v>% PIB</v>
      </c>
      <c r="G76" s="25" t="str">
        <f>IF($C76="","",INDEX('02_Base_Potencial'!$F$5:$F$335,$C76-4)&amp;"")</f>
        <v>+</v>
      </c>
      <c r="H76" s="25">
        <f>IF($C76="","",INDEX('02_Base_Potencial'!$G$5:$G$335,$C76-4))</f>
        <v>0</v>
      </c>
      <c r="I76" s="25">
        <f>IF($C76="","",INDEX('02_Base_Potencial'!$H$5:$H$335,$C76-4))</f>
        <v>30</v>
      </c>
      <c r="J76" s="25">
        <f>IF($C76="",0,IF(INDEX('02_Base_Potencial'!$J$5:$J$335,$C76-4)="",0,INDEX('02_Base_Potencial'!$J$5:$J$335,$C76-4)))</f>
        <v>1</v>
      </c>
      <c r="K76" s="27">
        <f>IF($C76="","",IF(INDEX('02_Base_Potencial'!$Q$5:$Q$335,$C76-4)="","",INDEX('02_Base_Potencial'!$Q$5:$Q$335,$C76-4)))</f>
        <v>5.2405155964762598</v>
      </c>
      <c r="L76" s="27">
        <f>IF($C76="","",IF(INDEX('02_Base_Potencial'!$R$5:$R$335,$C76-4)="","",INDEX('02_Base_Potencial'!$R$5:$R$335,$C76-4)))</f>
        <v>5.7827889949915674</v>
      </c>
      <c r="M76" s="27">
        <f>IF($C76="","",IF(INDEX('02_Base_Potencial'!$S$5:$S$335,$C76-4)="","",INDEX('02_Base_Potencial'!$S$5:$S$335,$C76-4)))</f>
        <v>5.7289694447204722</v>
      </c>
      <c r="N76" s="27">
        <f>IF($C76="","",IF(INDEX('02_Base_Potencial'!$T$5:$T$335,$C76-4)="","",INDEX('02_Base_Potencial'!$T$5:$T$335,$C76-4)))</f>
        <v>5.3407462950965883</v>
      </c>
      <c r="O76" s="27">
        <f>IF($C76="","",IF(INDEX('02_Base_Potencial'!$U$5:$U$335,$C76-4)="","",INDEX('02_Base_Potencial'!$U$5:$U$335,$C76-4)))</f>
        <v>5.4114487722420552</v>
      </c>
      <c r="P76" s="27">
        <f>IF($C76="","",IF(INDEX('02_Base_Potencial'!$V$5:$V$335,$C76-4)="","",INDEX('02_Base_Potencial'!$V$5:$V$335,$C76-4)))</f>
        <v>6.097457181842449</v>
      </c>
      <c r="Q76" s="27">
        <f>IF($C76="","",IF(INDEX('02_Base_Potencial'!$W$5:$W$335,$C76-4)="","",INDEX('02_Base_Potencial'!$W$5:$W$335,$C76-4)))</f>
        <v>6.1937375601327727</v>
      </c>
      <c r="R76" s="27">
        <f>IF($C76="","",IF(INDEX('02_Base_Potencial'!$X$5:$X$335,$C76-4)="","",INDEX('02_Base_Potencial'!$X$5:$X$335,$C76-4)))</f>
        <v>6.7164781373690721</v>
      </c>
      <c r="S76" s="27">
        <f>IF($C76="","",IF(INDEX('02_Base_Potencial'!$Y$5:$Y$335,$C76-4)="","",INDEX('02_Base_Potencial'!$Y$5:$Y$335,$C76-4)))</f>
        <v>7.4006662444250626</v>
      </c>
      <c r="T76" s="27">
        <f>IF($C76="","",IF(INDEX('02_Base_Potencial'!$Z$5:$Z$335,$C76-4)="","",INDEX('02_Base_Potencial'!$Z$5:$Z$335,$C76-4)))</f>
        <v>6.5761625979595326</v>
      </c>
      <c r="U76" s="27">
        <f>IF($C76="","",IF(INDEX('02_Base_Potencial'!$AA$5:$AA$335,$C76-4)="","",INDEX('02_Base_Potencial'!$AA$5:$AA$335,$C76-4)))</f>
        <v>6.7926209696117086</v>
      </c>
      <c r="V76" s="6" t="str">
        <f>IF($C76="","",INDEX('02_Base_Potencial'!$K$5:$K$335,$C76-4)&amp;"")</f>
        <v>Banco Mundial/WDI</v>
      </c>
      <c r="W76" s="6" t="str">
        <f>IF($C76="","",COUNT(K76:U76)&amp;"/11")</f>
        <v>11/11</v>
      </c>
    </row>
    <row r="77" spans="1:23">
      <c r="A77" s="27" t="s">
        <v>83</v>
      </c>
      <c r="B77" s="25">
        <v>3</v>
      </c>
      <c r="C77" s="27">
        <f>IF(SUMPRODUCT(('02_Base_Potencial'!$B$5:$B$335=$A77)*('02_Base_Potencial'!$AR$5:$AR$335=$B77)*ROW('02_Base_Potencial'!$A$5:$A$335))=0,"",SUMPRODUCT(('02_Base_Potencial'!$B$5:$B$335=$A77)*('02_Base_Potencial'!$AR$5:$AR$335=$B77)*ROW('02_Base_Potencial'!$A$5:$A$335)))</f>
        <v>258</v>
      </c>
      <c r="D77" s="25" t="str">
        <f>IF($C77="","",INDEX('02_Base_Potencial'!$A$5:$A$335,$C77-4)&amp;"")</f>
        <v>DIV015</v>
      </c>
      <c r="E77" s="27" t="str">
        <f>IF($C77="","",INDEX('02_Base_Potencial'!$D$5:$D$335,$C77-4)&amp;"")</f>
        <v>Crédito doméstico ao setor privado</v>
      </c>
      <c r="F77" s="27" t="str">
        <f>IF($C77="","",INDEX('02_Base_Potencial'!$E$5:$E$335,$C77-4)&amp;"")</f>
        <v>% PIB</v>
      </c>
      <c r="G77" s="25" t="str">
        <f>IF($C77="","",INDEX('02_Base_Potencial'!$F$5:$F$335,$C77-4)&amp;"")</f>
        <v>+</v>
      </c>
      <c r="H77" s="25">
        <f>IF($C77="","",INDEX('02_Base_Potencial'!$G$5:$G$335,$C77-4))</f>
        <v>0</v>
      </c>
      <c r="I77" s="25">
        <f>IF($C77="","",INDEX('02_Base_Potencial'!$H$5:$H$335,$C77-4))</f>
        <v>100</v>
      </c>
      <c r="J77" s="25">
        <f>IF($C77="",0,IF(INDEX('02_Base_Potencial'!$J$5:$J$335,$C77-4)="",0,INDEX('02_Base_Potencial'!$J$5:$J$335,$C77-4)))</f>
        <v>1</v>
      </c>
      <c r="K77" s="27">
        <f>IF($C77="","",IF(INDEX('02_Base_Potencial'!$Q$5:$Q$335,$C77-4)="","",INDEX('02_Base_Potencial'!$Q$5:$Q$335,$C77-4)))</f>
        <v>22.2749280175045</v>
      </c>
      <c r="L77" s="27">
        <f>IF($C77="","",IF(INDEX('02_Base_Potencial'!$R$5:$R$335,$C77-4)="","",INDEX('02_Base_Potencial'!$R$5:$R$335,$C77-4)))</f>
        <v>18.318007502950611</v>
      </c>
      <c r="M77" s="27">
        <f>IF($C77="","",IF(INDEX('02_Base_Potencial'!$S$5:$S$335,$C77-4)="","",INDEX('02_Base_Potencial'!$S$5:$S$335,$C77-4)))</f>
        <v>14.63025795529294</v>
      </c>
      <c r="N77" s="27">
        <f>IF($C77="","",IF(INDEX('02_Base_Potencial'!$T$5:$T$335,$C77-4)="","",INDEX('02_Base_Potencial'!$T$5:$T$335,$C77-4)))</f>
        <v>13.11091760109753</v>
      </c>
      <c r="O77" s="27">
        <f>IF($C77="","",IF(INDEX('02_Base_Potencial'!$U$5:$U$335,$C77-4)="","",INDEX('02_Base_Potencial'!$U$5:$U$335,$C77-4)))</f>
        <v>13.395602867586071</v>
      </c>
      <c r="P77" s="27">
        <f>IF($C77="","",IF(INDEX('02_Base_Potencial'!$V$5:$V$335,$C77-4)="","",INDEX('02_Base_Potencial'!$V$5:$V$335,$C77-4)))</f>
        <v>11.376559084367299</v>
      </c>
      <c r="Q77" s="27">
        <f>IF($C77="","",IF(INDEX('02_Base_Potencial'!$W$5:$W$335,$C77-4)="","",INDEX('02_Base_Potencial'!$W$5:$W$335,$C77-4)))</f>
        <v>8.8443017464105509</v>
      </c>
      <c r="R77" s="27">
        <f>IF($C77="","",IF(INDEX('02_Base_Potencial'!$X$5:$X$335,$C77-4)="","",INDEX('02_Base_Potencial'!$X$5:$X$335,$C77-4)))</f>
        <v>7.0250619443541522</v>
      </c>
      <c r="S77" s="27">
        <f>IF($C77="","",IF(INDEX('02_Base_Potencial'!$Y$5:$Y$335,$C77-4)="","",INDEX('02_Base_Potencial'!$Y$5:$Y$335,$C77-4)))</f>
        <v>7.6457337441609194</v>
      </c>
      <c r="T77" s="27">
        <f>IF($C77="","",IF(INDEX('02_Base_Potencial'!$Z$5:$Z$335,$C77-4)="","",INDEX('02_Base_Potencial'!$Z$5:$Z$335,$C77-4)))</f>
        <v>7.1689264092656177</v>
      </c>
      <c r="U77" s="27">
        <f>IF($C77="","",IF(INDEX('02_Base_Potencial'!$AA$5:$AA$335,$C77-4)="","",INDEX('02_Base_Potencial'!$AA$5:$AA$335,$C77-4)))</f>
        <v>6.5808829663826964</v>
      </c>
      <c r="V77" s="6" t="str">
        <f>IF($C77="","",INDEX('02_Base_Potencial'!$K$5:$K$335,$C77-4)&amp;"")</f>
        <v>Banco Mundial/WDI</v>
      </c>
      <c r="W77" s="6" t="str">
        <f>IF($C77="","",COUNT(K77:U77)&amp;"/11")</f>
        <v>11/11</v>
      </c>
    </row>
    <row r="78" spans="1:23">
      <c r="A78" s="27" t="s">
        <v>83</v>
      </c>
      <c r="B78" s="25">
        <v>4</v>
      </c>
      <c r="C78" s="27">
        <f>IF(SUMPRODUCT(('02_Base_Potencial'!$B$5:$B$335=$A78)*('02_Base_Potencial'!$AR$5:$AR$335=$B78)*ROW('02_Base_Potencial'!$A$5:$A$335))=0,"",SUMPRODUCT(('02_Base_Potencial'!$B$5:$B$335=$A78)*('02_Base_Potencial'!$AR$5:$AR$335=$B78)*ROW('02_Base_Potencial'!$A$5:$A$335)))</f>
        <v>248</v>
      </c>
      <c r="D78" s="25" t="str">
        <f>IF($C78="","",INDEX('02_Base_Potencial'!$A$5:$A$335,$C78-4)&amp;"")</f>
        <v>DIV001</v>
      </c>
      <c r="E78" s="27" t="str">
        <f>IF($C78="","",INDEX('02_Base_Potencial'!$D$5:$D$335,$C78-4)&amp;"")</f>
        <v>Productive Capacities Index - geral</v>
      </c>
      <c r="F78" s="27" t="str">
        <f>IF($C78="","",INDEX('02_Base_Potencial'!$E$5:$E$335,$C78-4)&amp;"")</f>
        <v>índice</v>
      </c>
      <c r="G78" s="25" t="str">
        <f>IF($C78="","",INDEX('02_Base_Potencial'!$F$5:$F$335,$C78-4)&amp;"")</f>
        <v>+</v>
      </c>
      <c r="H78" s="25">
        <f>IF($C78="","",INDEX('02_Base_Potencial'!$G$5:$G$335,$C78-4))</f>
        <v>0</v>
      </c>
      <c r="I78" s="25">
        <f>IF($C78="","",INDEX('02_Base_Potencial'!$H$5:$H$335,$C78-4))</f>
        <v>100</v>
      </c>
      <c r="J78" s="25">
        <f>IF($C78="",0,IF(INDEX('02_Base_Potencial'!$J$5:$J$335,$C78-4)="",0,INDEX('02_Base_Potencial'!$J$5:$J$335,$C78-4)))</f>
        <v>1</v>
      </c>
      <c r="K78" s="27">
        <f>IF($C78="","",IF(INDEX('02_Base_Potencial'!$Q$5:$Q$335,$C78-4)="","",INDEX('02_Base_Potencial'!$Q$5:$Q$335,$C78-4)))</f>
        <v>28.97</v>
      </c>
      <c r="L78" s="27">
        <f>IF($C78="","",IF(INDEX('02_Base_Potencial'!$R$5:$R$335,$C78-4)="","",INDEX('02_Base_Potencial'!$R$5:$R$335,$C78-4)))</f>
        <v>28.79</v>
      </c>
      <c r="M78" s="27">
        <f>IF($C78="","",IF(INDEX('02_Base_Potencial'!$S$5:$S$335,$C78-4)="","",INDEX('02_Base_Potencial'!$S$5:$S$335,$C78-4)))</f>
        <v>28.49</v>
      </c>
      <c r="N78" s="27">
        <f>IF($C78="","",IF(INDEX('02_Base_Potencial'!$T$5:$T$335,$C78-4)="","",INDEX('02_Base_Potencial'!$T$5:$T$335,$C78-4)))</f>
        <v>27.9</v>
      </c>
      <c r="O78" s="27">
        <f>IF($C78="","",IF(INDEX('02_Base_Potencial'!$U$5:$U$335,$C78-4)="","",INDEX('02_Base_Potencial'!$U$5:$U$335,$C78-4)))</f>
        <v>28</v>
      </c>
      <c r="P78" s="27">
        <f>IF($C78="","",IF(INDEX('02_Base_Potencial'!$V$5:$V$335,$C78-4)="","",INDEX('02_Base_Potencial'!$V$5:$V$335,$C78-4)))</f>
        <v>26.45</v>
      </c>
      <c r="Q78" s="27">
        <f>IF($C78="","",IF(INDEX('02_Base_Potencial'!$W$5:$W$335,$C78-4)="","",INDEX('02_Base_Potencial'!$W$5:$W$335,$C78-4)))</f>
        <v>26.18</v>
      </c>
      <c r="R78" s="27">
        <f>IF($C78="","",IF(INDEX('02_Base_Potencial'!$X$5:$X$335,$C78-4)="","",INDEX('02_Base_Potencial'!$X$5:$X$335,$C78-4)))</f>
        <v>27.19</v>
      </c>
      <c r="S78" s="27">
        <f>IF($C78="","",IF(INDEX('02_Base_Potencial'!$Y$5:$Y$335,$C78-4)="","",INDEX('02_Base_Potencial'!$Y$5:$Y$335,$C78-4)))</f>
        <v>27.93</v>
      </c>
      <c r="T78" s="27">
        <f>IF($C78="","",IF(INDEX('02_Base_Potencial'!$Z$5:$Z$335,$C78-4)="","",INDEX('02_Base_Potencial'!$Z$5:$Z$335,$C78-4)))</f>
        <v>27.69</v>
      </c>
      <c r="U78" s="27" t="str">
        <f>IF($C78="","",IF(INDEX('02_Base_Potencial'!$AA$5:$AA$335,$C78-4)="","",INDEX('02_Base_Potencial'!$AA$5:$AA$335,$C78-4)))</f>
        <v/>
      </c>
      <c r="V78" s="6" t="str">
        <f>IF($C78="","",INDEX('02_Base_Potencial'!$K$5:$K$335,$C78-4)&amp;"")</f>
        <v>UNCTADstat</v>
      </c>
      <c r="W78" s="6" t="str">
        <f>IF($C78="","",COUNT(K78:U78)&amp;"/11")</f>
        <v>10/11</v>
      </c>
    </row>
    <row r="79" spans="1:23">
      <c r="A79" s="27" t="s">
        <v>83</v>
      </c>
      <c r="B79" s="25">
        <v>5</v>
      </c>
      <c r="C79" s="27">
        <f>IF(SUMPRODUCT(('02_Base_Potencial'!$B$5:$B$335=$A79)*('02_Base_Potencial'!$AR$5:$AR$335=$B79)*ROW('02_Base_Potencial'!$A$5:$A$335))=0,"",SUMPRODUCT(('02_Base_Potencial'!$B$5:$B$335=$A79)*('02_Base_Potencial'!$AR$5:$AR$335=$B79)*ROW('02_Base_Potencial'!$A$5:$A$335)))</f>
        <v>254</v>
      </c>
      <c r="D79" s="25" t="str">
        <f>IF($C79="","",INDEX('02_Base_Potencial'!$A$5:$A$335,$C79-4)&amp;"")</f>
        <v>DIV010</v>
      </c>
      <c r="E79" s="27" t="str">
        <f>IF($C79="","",INDEX('02_Base_Potencial'!$D$5:$D$335,$C79-4)&amp;"")</f>
        <v>Combustíveis nas exportações de mercadorias</v>
      </c>
      <c r="F79" s="27" t="str">
        <f>IF($C79="","",INDEX('02_Base_Potencial'!$E$5:$E$335,$C79-4)&amp;"")</f>
        <v>% exportações mercadorias</v>
      </c>
      <c r="G79" s="25" t="str">
        <f>IF($C79="","",INDEX('02_Base_Potencial'!$F$5:$F$335,$C79-4)&amp;"")</f>
        <v>-</v>
      </c>
      <c r="H79" s="25">
        <f>IF($C79="","",INDEX('02_Base_Potencial'!$G$5:$G$335,$C79-4))</f>
        <v>0</v>
      </c>
      <c r="I79" s="25">
        <f>IF($C79="","",INDEX('02_Base_Potencial'!$H$5:$H$335,$C79-4))</f>
        <v>100</v>
      </c>
      <c r="J79" s="25">
        <f>IF($C79="",0,IF(INDEX('02_Base_Potencial'!$J$5:$J$335,$C79-4)="",0,INDEX('02_Base_Potencial'!$J$5:$J$335,$C79-4)))</f>
        <v>1</v>
      </c>
      <c r="K79" s="27">
        <f>IF($C79="","",IF(INDEX('02_Base_Potencial'!$Q$5:$Q$335,$C79-4)="","",INDEX('02_Base_Potencial'!$Q$5:$Q$335,$C79-4)))</f>
        <v>94.015907975316097</v>
      </c>
      <c r="L79" s="27">
        <f>IF($C79="","",IF(INDEX('02_Base_Potencial'!$R$5:$R$335,$C79-4)="","",INDEX('02_Base_Potencial'!$R$5:$R$335,$C79-4)))</f>
        <v>92.701054773629295</v>
      </c>
      <c r="M79" s="27">
        <f>IF($C79="","",IF(INDEX('02_Base_Potencial'!$S$5:$S$335,$C79-4)="","",INDEX('02_Base_Potencial'!$S$5:$S$335,$C79-4)))</f>
        <v>94.691255061968405</v>
      </c>
      <c r="N79" s="27">
        <f>IF($C79="","",IF(INDEX('02_Base_Potencial'!$T$5:$T$335,$C79-4)="","",INDEX('02_Base_Potencial'!$T$5:$T$335,$C79-4)))</f>
        <v>95.672320216927602</v>
      </c>
      <c r="O79" s="27">
        <f>IF($C79="","",IF(INDEX('02_Base_Potencial'!$U$5:$U$335,$C79-4)="","",INDEX('02_Base_Potencial'!$U$5:$U$335,$C79-4)))</f>
        <v>95.249248327343906</v>
      </c>
      <c r="P79" s="27">
        <f>IF($C79="","",IF(INDEX('02_Base_Potencial'!$V$5:$V$335,$C79-4)="","",INDEX('02_Base_Potencial'!$V$5:$V$335,$C79-4)))</f>
        <v>93.051290074937796</v>
      </c>
      <c r="Q79" s="27">
        <f>IF($C79="","",IF(INDEX('02_Base_Potencial'!$W$5:$W$335,$C79-4)="","",INDEX('02_Base_Potencial'!$W$5:$W$335,$C79-4)))</f>
        <v>94.163746439545903</v>
      </c>
      <c r="R79" s="27">
        <f>IF($C79="","",IF(INDEX('02_Base_Potencial'!$X$5:$X$335,$C79-4)="","",INDEX('02_Base_Potencial'!$X$5:$X$335,$C79-4)))</f>
        <v>94.923343563070205</v>
      </c>
      <c r="S79" s="27">
        <f>IF($C79="","",IF(INDEX('02_Base_Potencial'!$Y$5:$Y$335,$C79-4)="","",INDEX('02_Base_Potencial'!$Y$5:$Y$335,$C79-4)))</f>
        <v>94.171086280141694</v>
      </c>
      <c r="T79" s="27">
        <f>IF($C79="","",IF(INDEX('02_Base_Potencial'!$Z$5:$Z$335,$C79-4)="","",INDEX('02_Base_Potencial'!$Z$5:$Z$335,$C79-4)))</f>
        <v>94.134773630931804</v>
      </c>
      <c r="U79" s="27" t="str">
        <f>IF($C79="","",IF(INDEX('02_Base_Potencial'!$AA$5:$AA$335,$C79-4)="","",INDEX('02_Base_Potencial'!$AA$5:$AA$335,$C79-4)))</f>
        <v/>
      </c>
      <c r="V79" s="6" t="str">
        <f>IF($C79="","",INDEX('02_Base_Potencial'!$K$5:$K$335,$C79-4)&amp;"")</f>
        <v>Banco Mundial/WDI</v>
      </c>
      <c r="W79" s="6" t="str">
        <f>IF($C79="","",COUNT(K79:U79)&amp;"/11")</f>
        <v>10/11</v>
      </c>
    </row>
    <row r="80" spans="1:23">
      <c r="A80" s="27" t="s">
        <v>83</v>
      </c>
      <c r="B80" s="25">
        <v>6</v>
      </c>
      <c r="C80" s="27" t="str">
        <f>IF(SUMPRODUCT(('02_Base_Potencial'!$B$5:$B$335=$A80)*('02_Base_Potencial'!$AR$5:$AR$335=$B80)*ROW('02_Base_Potencial'!$A$5:$A$335))=0,"",SUMPRODUCT(('02_Base_Potencial'!$B$5:$B$335=$A80)*('02_Base_Potencial'!$AR$5:$AR$335=$B80)*ROW('02_Base_Potencial'!$A$5:$A$335)))</f>
        <v/>
      </c>
      <c r="D80" s="25" t="str">
        <f>IF($C80="","",INDEX('02_Base_Potencial'!$A$5:$A$335,$C80-4)&amp;"")</f>
        <v/>
      </c>
      <c r="E80" s="27" t="str">
        <f>IF($C80="","",INDEX('02_Base_Potencial'!$D$5:$D$335,$C80-4)&amp;"")</f>
        <v/>
      </c>
      <c r="F80" s="27" t="str">
        <f>IF($C80="","",INDEX('02_Base_Potencial'!$E$5:$E$335,$C80-4)&amp;"")</f>
        <v/>
      </c>
      <c r="G80" s="25" t="str">
        <f>IF($C80="","",INDEX('02_Base_Potencial'!$F$5:$F$335,$C80-4)&amp;"")</f>
        <v/>
      </c>
      <c r="H80" s="25" t="str">
        <f>IF($C80="","",INDEX('02_Base_Potencial'!$G$5:$G$335,$C80-4))</f>
        <v/>
      </c>
      <c r="I80" s="25" t="str">
        <f>IF($C80="","",INDEX('02_Base_Potencial'!$H$5:$H$335,$C80-4))</f>
        <v/>
      </c>
      <c r="J80" s="25">
        <f>IF($C80="",0,IF(INDEX('02_Base_Potencial'!$J$5:$J$335,$C80-4)="",0,INDEX('02_Base_Potencial'!$J$5:$J$335,$C80-4)))</f>
        <v>0</v>
      </c>
      <c r="K80" s="27" t="str">
        <f>IF($C80="","",IF(INDEX('02_Base_Potencial'!$Q$5:$Q$335,$C80-4)="","",INDEX('02_Base_Potencial'!$Q$5:$Q$335,$C80-4)))</f>
        <v/>
      </c>
      <c r="L80" s="27" t="str">
        <f>IF($C80="","",IF(INDEX('02_Base_Potencial'!$R$5:$R$335,$C80-4)="","",INDEX('02_Base_Potencial'!$R$5:$R$335,$C80-4)))</f>
        <v/>
      </c>
      <c r="M80" s="27" t="str">
        <f>IF($C80="","",IF(INDEX('02_Base_Potencial'!$S$5:$S$335,$C80-4)="","",INDEX('02_Base_Potencial'!$S$5:$S$335,$C80-4)))</f>
        <v/>
      </c>
      <c r="N80" s="27" t="str">
        <f>IF($C80="","",IF(INDEX('02_Base_Potencial'!$T$5:$T$335,$C80-4)="","",INDEX('02_Base_Potencial'!$T$5:$T$335,$C80-4)))</f>
        <v/>
      </c>
      <c r="O80" s="27" t="str">
        <f>IF($C80="","",IF(INDEX('02_Base_Potencial'!$U$5:$U$335,$C80-4)="","",INDEX('02_Base_Potencial'!$U$5:$U$335,$C80-4)))</f>
        <v/>
      </c>
      <c r="P80" s="27" t="str">
        <f>IF($C80="","",IF(INDEX('02_Base_Potencial'!$V$5:$V$335,$C80-4)="","",INDEX('02_Base_Potencial'!$V$5:$V$335,$C80-4)))</f>
        <v/>
      </c>
      <c r="Q80" s="27" t="str">
        <f>IF($C80="","",IF(INDEX('02_Base_Potencial'!$W$5:$W$335,$C80-4)="","",INDEX('02_Base_Potencial'!$W$5:$W$335,$C80-4)))</f>
        <v/>
      </c>
      <c r="R80" s="27" t="str">
        <f>IF($C80="","",IF(INDEX('02_Base_Potencial'!$X$5:$X$335,$C80-4)="","",INDEX('02_Base_Potencial'!$X$5:$X$335,$C80-4)))</f>
        <v/>
      </c>
      <c r="S80" s="27" t="str">
        <f>IF($C80="","",IF(INDEX('02_Base_Potencial'!$Y$5:$Y$335,$C80-4)="","",INDEX('02_Base_Potencial'!$Y$5:$Y$335,$C80-4)))</f>
        <v/>
      </c>
      <c r="T80" s="27" t="str">
        <f>IF($C80="","",IF(INDEX('02_Base_Potencial'!$Z$5:$Z$335,$C80-4)="","",INDEX('02_Base_Potencial'!$Z$5:$Z$335,$C80-4)))</f>
        <v/>
      </c>
      <c r="U80" s="27" t="str">
        <f>IF($C80="","",IF(INDEX('02_Base_Potencial'!$AA$5:$AA$335,$C80-4)="","",INDEX('02_Base_Potencial'!$AA$5:$AA$335,$C80-4)))</f>
        <v/>
      </c>
      <c r="V80" s="6" t="str">
        <f>IF($C80="","",INDEX('02_Base_Potencial'!$K$5:$K$335,$C80-4)&amp;"")</f>
        <v/>
      </c>
      <c r="W80" s="6" t="str">
        <f>IF($C80="","",COUNT(K80:U80)&amp;"/11")</f>
        <v/>
      </c>
    </row>
    <row r="81" spans="1:23">
      <c r="A81" s="27" t="s">
        <v>83</v>
      </c>
      <c r="B81" s="25">
        <v>7</v>
      </c>
      <c r="C81" s="27" t="str">
        <f>IF(SUMPRODUCT(('02_Base_Potencial'!$B$5:$B$335=$A81)*('02_Base_Potencial'!$AR$5:$AR$335=$B81)*ROW('02_Base_Potencial'!$A$5:$A$335))=0,"",SUMPRODUCT(('02_Base_Potencial'!$B$5:$B$335=$A81)*('02_Base_Potencial'!$AR$5:$AR$335=$B81)*ROW('02_Base_Potencial'!$A$5:$A$335)))</f>
        <v/>
      </c>
      <c r="D81" s="25" t="str">
        <f>IF($C81="","",INDEX('02_Base_Potencial'!$A$5:$A$335,$C81-4)&amp;"")</f>
        <v/>
      </c>
      <c r="E81" s="27" t="str">
        <f>IF($C81="","",INDEX('02_Base_Potencial'!$D$5:$D$335,$C81-4)&amp;"")</f>
        <v/>
      </c>
      <c r="F81" s="27" t="str">
        <f>IF($C81="","",INDEX('02_Base_Potencial'!$E$5:$E$335,$C81-4)&amp;"")</f>
        <v/>
      </c>
      <c r="G81" s="25" t="str">
        <f>IF($C81="","",INDEX('02_Base_Potencial'!$F$5:$F$335,$C81-4)&amp;"")</f>
        <v/>
      </c>
      <c r="H81" s="25" t="str">
        <f>IF($C81="","",INDEX('02_Base_Potencial'!$G$5:$G$335,$C81-4))</f>
        <v/>
      </c>
      <c r="I81" s="25" t="str">
        <f>IF($C81="","",INDEX('02_Base_Potencial'!$H$5:$H$335,$C81-4))</f>
        <v/>
      </c>
      <c r="J81" s="25">
        <f>IF($C81="",0,IF(INDEX('02_Base_Potencial'!$J$5:$J$335,$C81-4)="",0,INDEX('02_Base_Potencial'!$J$5:$J$335,$C81-4)))</f>
        <v>0</v>
      </c>
      <c r="K81" s="27" t="str">
        <f>IF($C81="","",IF(INDEX('02_Base_Potencial'!$Q$5:$Q$335,$C81-4)="","",INDEX('02_Base_Potencial'!$Q$5:$Q$335,$C81-4)))</f>
        <v/>
      </c>
      <c r="L81" s="27" t="str">
        <f>IF($C81="","",IF(INDEX('02_Base_Potencial'!$R$5:$R$335,$C81-4)="","",INDEX('02_Base_Potencial'!$R$5:$R$335,$C81-4)))</f>
        <v/>
      </c>
      <c r="M81" s="27" t="str">
        <f>IF($C81="","",IF(INDEX('02_Base_Potencial'!$S$5:$S$335,$C81-4)="","",INDEX('02_Base_Potencial'!$S$5:$S$335,$C81-4)))</f>
        <v/>
      </c>
      <c r="N81" s="27" t="str">
        <f>IF($C81="","",IF(INDEX('02_Base_Potencial'!$T$5:$T$335,$C81-4)="","",INDEX('02_Base_Potencial'!$T$5:$T$335,$C81-4)))</f>
        <v/>
      </c>
      <c r="O81" s="27" t="str">
        <f>IF($C81="","",IF(INDEX('02_Base_Potencial'!$U$5:$U$335,$C81-4)="","",INDEX('02_Base_Potencial'!$U$5:$U$335,$C81-4)))</f>
        <v/>
      </c>
      <c r="P81" s="27" t="str">
        <f>IF($C81="","",IF(INDEX('02_Base_Potencial'!$V$5:$V$335,$C81-4)="","",INDEX('02_Base_Potencial'!$V$5:$V$335,$C81-4)))</f>
        <v/>
      </c>
      <c r="Q81" s="27" t="str">
        <f>IF($C81="","",IF(INDEX('02_Base_Potencial'!$W$5:$W$335,$C81-4)="","",INDEX('02_Base_Potencial'!$W$5:$W$335,$C81-4)))</f>
        <v/>
      </c>
      <c r="R81" s="27" t="str">
        <f>IF($C81="","",IF(INDEX('02_Base_Potencial'!$X$5:$X$335,$C81-4)="","",INDEX('02_Base_Potencial'!$X$5:$X$335,$C81-4)))</f>
        <v/>
      </c>
      <c r="S81" s="27" t="str">
        <f>IF($C81="","",IF(INDEX('02_Base_Potencial'!$Y$5:$Y$335,$C81-4)="","",INDEX('02_Base_Potencial'!$Y$5:$Y$335,$C81-4)))</f>
        <v/>
      </c>
      <c r="T81" s="27" t="str">
        <f>IF($C81="","",IF(INDEX('02_Base_Potencial'!$Z$5:$Z$335,$C81-4)="","",INDEX('02_Base_Potencial'!$Z$5:$Z$335,$C81-4)))</f>
        <v/>
      </c>
      <c r="U81" s="27" t="str">
        <f>IF($C81="","",IF(INDEX('02_Base_Potencial'!$AA$5:$AA$335,$C81-4)="","",INDEX('02_Base_Potencial'!$AA$5:$AA$335,$C81-4)))</f>
        <v/>
      </c>
      <c r="V81" s="6" t="str">
        <f>IF($C81="","",INDEX('02_Base_Potencial'!$K$5:$K$335,$C81-4)&amp;"")</f>
        <v/>
      </c>
      <c r="W81" s="6" t="str">
        <f>IF($C81="","",COUNT(K81:U81)&amp;"/11")</f>
        <v/>
      </c>
    </row>
    <row r="82" spans="1:23">
      <c r="A82" s="27" t="s">
        <v>83</v>
      </c>
      <c r="B82" s="25">
        <v>8</v>
      </c>
      <c r="C82" s="27" t="str">
        <f>IF(SUMPRODUCT(('02_Base_Potencial'!$B$5:$B$335=$A82)*('02_Base_Potencial'!$AR$5:$AR$335=$B82)*ROW('02_Base_Potencial'!$A$5:$A$335))=0,"",SUMPRODUCT(('02_Base_Potencial'!$B$5:$B$335=$A82)*('02_Base_Potencial'!$AR$5:$AR$335=$B82)*ROW('02_Base_Potencial'!$A$5:$A$335)))</f>
        <v/>
      </c>
      <c r="D82" s="25" t="str">
        <f>IF($C82="","",INDEX('02_Base_Potencial'!$A$5:$A$335,$C82-4)&amp;"")</f>
        <v/>
      </c>
      <c r="E82" s="27" t="str">
        <f>IF($C82="","",INDEX('02_Base_Potencial'!$D$5:$D$335,$C82-4)&amp;"")</f>
        <v/>
      </c>
      <c r="F82" s="27" t="str">
        <f>IF($C82="","",INDEX('02_Base_Potencial'!$E$5:$E$335,$C82-4)&amp;"")</f>
        <v/>
      </c>
      <c r="G82" s="25" t="str">
        <f>IF($C82="","",INDEX('02_Base_Potencial'!$F$5:$F$335,$C82-4)&amp;"")</f>
        <v/>
      </c>
      <c r="H82" s="25" t="str">
        <f>IF($C82="","",INDEX('02_Base_Potencial'!$G$5:$G$335,$C82-4))</f>
        <v/>
      </c>
      <c r="I82" s="25" t="str">
        <f>IF($C82="","",INDEX('02_Base_Potencial'!$H$5:$H$335,$C82-4))</f>
        <v/>
      </c>
      <c r="J82" s="25">
        <f>IF($C82="",0,IF(INDEX('02_Base_Potencial'!$J$5:$J$335,$C82-4)="",0,INDEX('02_Base_Potencial'!$J$5:$J$335,$C82-4)))</f>
        <v>0</v>
      </c>
      <c r="K82" s="27" t="str">
        <f>IF($C82="","",IF(INDEX('02_Base_Potencial'!$Q$5:$Q$335,$C82-4)="","",INDEX('02_Base_Potencial'!$Q$5:$Q$335,$C82-4)))</f>
        <v/>
      </c>
      <c r="L82" s="27" t="str">
        <f>IF($C82="","",IF(INDEX('02_Base_Potencial'!$R$5:$R$335,$C82-4)="","",INDEX('02_Base_Potencial'!$R$5:$R$335,$C82-4)))</f>
        <v/>
      </c>
      <c r="M82" s="27" t="str">
        <f>IF($C82="","",IF(INDEX('02_Base_Potencial'!$S$5:$S$335,$C82-4)="","",INDEX('02_Base_Potencial'!$S$5:$S$335,$C82-4)))</f>
        <v/>
      </c>
      <c r="N82" s="27" t="str">
        <f>IF($C82="","",IF(INDEX('02_Base_Potencial'!$T$5:$T$335,$C82-4)="","",INDEX('02_Base_Potencial'!$T$5:$T$335,$C82-4)))</f>
        <v/>
      </c>
      <c r="O82" s="27" t="str">
        <f>IF($C82="","",IF(INDEX('02_Base_Potencial'!$U$5:$U$335,$C82-4)="","",INDEX('02_Base_Potencial'!$U$5:$U$335,$C82-4)))</f>
        <v/>
      </c>
      <c r="P82" s="27" t="str">
        <f>IF($C82="","",IF(INDEX('02_Base_Potencial'!$V$5:$V$335,$C82-4)="","",INDEX('02_Base_Potencial'!$V$5:$V$335,$C82-4)))</f>
        <v/>
      </c>
      <c r="Q82" s="27" t="str">
        <f>IF($C82="","",IF(INDEX('02_Base_Potencial'!$W$5:$W$335,$C82-4)="","",INDEX('02_Base_Potencial'!$W$5:$W$335,$C82-4)))</f>
        <v/>
      </c>
      <c r="R82" s="27" t="str">
        <f>IF($C82="","",IF(INDEX('02_Base_Potencial'!$X$5:$X$335,$C82-4)="","",INDEX('02_Base_Potencial'!$X$5:$X$335,$C82-4)))</f>
        <v/>
      </c>
      <c r="S82" s="27" t="str">
        <f>IF($C82="","",IF(INDEX('02_Base_Potencial'!$Y$5:$Y$335,$C82-4)="","",INDEX('02_Base_Potencial'!$Y$5:$Y$335,$C82-4)))</f>
        <v/>
      </c>
      <c r="T82" s="27" t="str">
        <f>IF($C82="","",IF(INDEX('02_Base_Potencial'!$Z$5:$Z$335,$C82-4)="","",INDEX('02_Base_Potencial'!$Z$5:$Z$335,$C82-4)))</f>
        <v/>
      </c>
      <c r="U82" s="27" t="str">
        <f>IF($C82="","",IF(INDEX('02_Base_Potencial'!$AA$5:$AA$335,$C82-4)="","",INDEX('02_Base_Potencial'!$AA$5:$AA$335,$C82-4)))</f>
        <v/>
      </c>
      <c r="V82" s="6" t="str">
        <f>IF($C82="","",INDEX('02_Base_Potencial'!$K$5:$K$335,$C82-4)&amp;"")</f>
        <v/>
      </c>
      <c r="W82" s="6" t="str">
        <f>IF($C82="","",COUNT(K82:U82)&amp;"/11")</f>
        <v/>
      </c>
    </row>
    <row r="83" spans="1:23">
      <c r="A83" s="27" t="s">
        <v>83</v>
      </c>
      <c r="B83" s="25">
        <v>9</v>
      </c>
      <c r="C83" s="27" t="str">
        <f>IF(SUMPRODUCT(('02_Base_Potencial'!$B$5:$B$335=$A83)*('02_Base_Potencial'!$AR$5:$AR$335=$B83)*ROW('02_Base_Potencial'!$A$5:$A$335))=0,"",SUMPRODUCT(('02_Base_Potencial'!$B$5:$B$335=$A83)*('02_Base_Potencial'!$AR$5:$AR$335=$B83)*ROW('02_Base_Potencial'!$A$5:$A$335)))</f>
        <v/>
      </c>
      <c r="D83" s="25" t="str">
        <f>IF($C83="","",INDEX('02_Base_Potencial'!$A$5:$A$335,$C83-4)&amp;"")</f>
        <v/>
      </c>
      <c r="E83" s="27" t="str">
        <f>IF($C83="","",INDEX('02_Base_Potencial'!$D$5:$D$335,$C83-4)&amp;"")</f>
        <v/>
      </c>
      <c r="F83" s="27" t="str">
        <f>IF($C83="","",INDEX('02_Base_Potencial'!$E$5:$E$335,$C83-4)&amp;"")</f>
        <v/>
      </c>
      <c r="G83" s="25" t="str">
        <f>IF($C83="","",INDEX('02_Base_Potencial'!$F$5:$F$335,$C83-4)&amp;"")</f>
        <v/>
      </c>
      <c r="H83" s="25" t="str">
        <f>IF($C83="","",INDEX('02_Base_Potencial'!$G$5:$G$335,$C83-4))</f>
        <v/>
      </c>
      <c r="I83" s="25" t="str">
        <f>IF($C83="","",INDEX('02_Base_Potencial'!$H$5:$H$335,$C83-4))</f>
        <v/>
      </c>
      <c r="J83" s="25">
        <f>IF($C83="",0,IF(INDEX('02_Base_Potencial'!$J$5:$J$335,$C83-4)="",0,INDEX('02_Base_Potencial'!$J$5:$J$335,$C83-4)))</f>
        <v>0</v>
      </c>
      <c r="K83" s="27" t="str">
        <f>IF($C83="","",IF(INDEX('02_Base_Potencial'!$Q$5:$Q$335,$C83-4)="","",INDEX('02_Base_Potencial'!$Q$5:$Q$335,$C83-4)))</f>
        <v/>
      </c>
      <c r="L83" s="27" t="str">
        <f>IF($C83="","",IF(INDEX('02_Base_Potencial'!$R$5:$R$335,$C83-4)="","",INDEX('02_Base_Potencial'!$R$5:$R$335,$C83-4)))</f>
        <v/>
      </c>
      <c r="M83" s="27" t="str">
        <f>IF($C83="","",IF(INDEX('02_Base_Potencial'!$S$5:$S$335,$C83-4)="","",INDEX('02_Base_Potencial'!$S$5:$S$335,$C83-4)))</f>
        <v/>
      </c>
      <c r="N83" s="27" t="str">
        <f>IF($C83="","",IF(INDEX('02_Base_Potencial'!$T$5:$T$335,$C83-4)="","",INDEX('02_Base_Potencial'!$T$5:$T$335,$C83-4)))</f>
        <v/>
      </c>
      <c r="O83" s="27" t="str">
        <f>IF($C83="","",IF(INDEX('02_Base_Potencial'!$U$5:$U$335,$C83-4)="","",INDEX('02_Base_Potencial'!$U$5:$U$335,$C83-4)))</f>
        <v/>
      </c>
      <c r="P83" s="27" t="str">
        <f>IF($C83="","",IF(INDEX('02_Base_Potencial'!$V$5:$V$335,$C83-4)="","",INDEX('02_Base_Potencial'!$V$5:$V$335,$C83-4)))</f>
        <v/>
      </c>
      <c r="Q83" s="27" t="str">
        <f>IF($C83="","",IF(INDEX('02_Base_Potencial'!$W$5:$W$335,$C83-4)="","",INDEX('02_Base_Potencial'!$W$5:$W$335,$C83-4)))</f>
        <v/>
      </c>
      <c r="R83" s="27" t="str">
        <f>IF($C83="","",IF(INDEX('02_Base_Potencial'!$X$5:$X$335,$C83-4)="","",INDEX('02_Base_Potencial'!$X$5:$X$335,$C83-4)))</f>
        <v/>
      </c>
      <c r="S83" s="27" t="str">
        <f>IF($C83="","",IF(INDEX('02_Base_Potencial'!$Y$5:$Y$335,$C83-4)="","",INDEX('02_Base_Potencial'!$Y$5:$Y$335,$C83-4)))</f>
        <v/>
      </c>
      <c r="T83" s="27" t="str">
        <f>IF($C83="","",IF(INDEX('02_Base_Potencial'!$Z$5:$Z$335,$C83-4)="","",INDEX('02_Base_Potencial'!$Z$5:$Z$335,$C83-4)))</f>
        <v/>
      </c>
      <c r="U83" s="27" t="str">
        <f>IF($C83="","",IF(INDEX('02_Base_Potencial'!$AA$5:$AA$335,$C83-4)="","",INDEX('02_Base_Potencial'!$AA$5:$AA$335,$C83-4)))</f>
        <v/>
      </c>
      <c r="V83" s="6" t="str">
        <f>IF($C83="","",INDEX('02_Base_Potencial'!$K$5:$K$335,$C83-4)&amp;"")</f>
        <v/>
      </c>
      <c r="W83" s="6" t="str">
        <f>IF($C83="","",COUNT(K83:U83)&amp;"/11")</f>
        <v/>
      </c>
    </row>
    <row r="84" spans="1:23">
      <c r="A84" s="27" t="s">
        <v>83</v>
      </c>
      <c r="B84" s="25">
        <v>10</v>
      </c>
      <c r="C84" s="27" t="str">
        <f>IF(SUMPRODUCT(('02_Base_Potencial'!$B$5:$B$335=$A84)*('02_Base_Potencial'!$AR$5:$AR$335=$B84)*ROW('02_Base_Potencial'!$A$5:$A$335))=0,"",SUMPRODUCT(('02_Base_Potencial'!$B$5:$B$335=$A84)*('02_Base_Potencial'!$AR$5:$AR$335=$B84)*ROW('02_Base_Potencial'!$A$5:$A$335)))</f>
        <v/>
      </c>
      <c r="D84" s="25" t="str">
        <f>IF($C84="","",INDEX('02_Base_Potencial'!$A$5:$A$335,$C84-4)&amp;"")</f>
        <v/>
      </c>
      <c r="E84" s="27" t="str">
        <f>IF($C84="","",INDEX('02_Base_Potencial'!$D$5:$D$335,$C84-4)&amp;"")</f>
        <v/>
      </c>
      <c r="F84" s="27" t="str">
        <f>IF($C84="","",INDEX('02_Base_Potencial'!$E$5:$E$335,$C84-4)&amp;"")</f>
        <v/>
      </c>
      <c r="G84" s="25" t="str">
        <f>IF($C84="","",INDEX('02_Base_Potencial'!$F$5:$F$335,$C84-4)&amp;"")</f>
        <v/>
      </c>
      <c r="H84" s="25" t="str">
        <f>IF($C84="","",INDEX('02_Base_Potencial'!$G$5:$G$335,$C84-4))</f>
        <v/>
      </c>
      <c r="I84" s="25" t="str">
        <f>IF($C84="","",INDEX('02_Base_Potencial'!$H$5:$H$335,$C84-4))</f>
        <v/>
      </c>
      <c r="J84" s="25">
        <f>IF($C84="",0,IF(INDEX('02_Base_Potencial'!$J$5:$J$335,$C84-4)="",0,INDEX('02_Base_Potencial'!$J$5:$J$335,$C84-4)))</f>
        <v>0</v>
      </c>
      <c r="K84" s="27" t="str">
        <f>IF($C84="","",IF(INDEX('02_Base_Potencial'!$Q$5:$Q$335,$C84-4)="","",INDEX('02_Base_Potencial'!$Q$5:$Q$335,$C84-4)))</f>
        <v/>
      </c>
      <c r="L84" s="27" t="str">
        <f>IF($C84="","",IF(INDEX('02_Base_Potencial'!$R$5:$R$335,$C84-4)="","",INDEX('02_Base_Potencial'!$R$5:$R$335,$C84-4)))</f>
        <v/>
      </c>
      <c r="M84" s="27" t="str">
        <f>IF($C84="","",IF(INDEX('02_Base_Potencial'!$S$5:$S$335,$C84-4)="","",INDEX('02_Base_Potencial'!$S$5:$S$335,$C84-4)))</f>
        <v/>
      </c>
      <c r="N84" s="27" t="str">
        <f>IF($C84="","",IF(INDEX('02_Base_Potencial'!$T$5:$T$335,$C84-4)="","",INDEX('02_Base_Potencial'!$T$5:$T$335,$C84-4)))</f>
        <v/>
      </c>
      <c r="O84" s="27" t="str">
        <f>IF($C84="","",IF(INDEX('02_Base_Potencial'!$U$5:$U$335,$C84-4)="","",INDEX('02_Base_Potencial'!$U$5:$U$335,$C84-4)))</f>
        <v/>
      </c>
      <c r="P84" s="27" t="str">
        <f>IF($C84="","",IF(INDEX('02_Base_Potencial'!$V$5:$V$335,$C84-4)="","",INDEX('02_Base_Potencial'!$V$5:$V$335,$C84-4)))</f>
        <v/>
      </c>
      <c r="Q84" s="27" t="str">
        <f>IF($C84="","",IF(INDEX('02_Base_Potencial'!$W$5:$W$335,$C84-4)="","",INDEX('02_Base_Potencial'!$W$5:$W$335,$C84-4)))</f>
        <v/>
      </c>
      <c r="R84" s="27" t="str">
        <f>IF($C84="","",IF(INDEX('02_Base_Potencial'!$X$5:$X$335,$C84-4)="","",INDEX('02_Base_Potencial'!$X$5:$X$335,$C84-4)))</f>
        <v/>
      </c>
      <c r="S84" s="27" t="str">
        <f>IF($C84="","",IF(INDEX('02_Base_Potencial'!$Y$5:$Y$335,$C84-4)="","",INDEX('02_Base_Potencial'!$Y$5:$Y$335,$C84-4)))</f>
        <v/>
      </c>
      <c r="T84" s="27" t="str">
        <f>IF($C84="","",IF(INDEX('02_Base_Potencial'!$Z$5:$Z$335,$C84-4)="","",INDEX('02_Base_Potencial'!$Z$5:$Z$335,$C84-4)))</f>
        <v/>
      </c>
      <c r="U84" s="27" t="str">
        <f>IF($C84="","",IF(INDEX('02_Base_Potencial'!$AA$5:$AA$335,$C84-4)="","",INDEX('02_Base_Potencial'!$AA$5:$AA$335,$C84-4)))</f>
        <v/>
      </c>
      <c r="V84" s="6" t="str">
        <f>IF($C84="","",INDEX('02_Base_Potencial'!$K$5:$K$335,$C84-4)&amp;"")</f>
        <v/>
      </c>
      <c r="W84" s="6" t="str">
        <f>IF($C84="","",COUNT(K84:U84)&amp;"/11")</f>
        <v/>
      </c>
    </row>
    <row r="85" spans="1:23">
      <c r="A85" s="6" t="s">
        <v>84</v>
      </c>
      <c r="B85" s="20">
        <v>1</v>
      </c>
      <c r="C85" s="6" t="str">
        <f>IF(SUMPRODUCT(('02_Base_Potencial'!$B$5:$B$335=$A85)*('02_Base_Potencial'!$AR$5:$AR$335=$B85)*ROW('02_Base_Potencial'!$A$5:$A$335))=0,"",SUMPRODUCT(('02_Base_Potencial'!$B$5:$B$335=$A85)*('02_Base_Potencial'!$AR$5:$AR$335=$B85)*ROW('02_Base_Potencial'!$A$5:$A$335)))</f>
        <v/>
      </c>
      <c r="D85" s="20" t="str">
        <f>IF($C85="","",INDEX('02_Base_Potencial'!$A$5:$A$335,$C85-4)&amp;"")</f>
        <v/>
      </c>
      <c r="E85" s="6" t="str">
        <f>IF($C85="","",INDEX('02_Base_Potencial'!$D$5:$D$335,$C85-4)&amp;"")</f>
        <v/>
      </c>
      <c r="F85" s="6" t="str">
        <f>IF($C85="","",INDEX('02_Base_Potencial'!$E$5:$E$335,$C85-4)&amp;"")</f>
        <v/>
      </c>
      <c r="G85" s="20" t="str">
        <f>IF($C85="","",INDEX('02_Base_Potencial'!$F$5:$F$335,$C85-4)&amp;"")</f>
        <v/>
      </c>
      <c r="H85" s="20" t="str">
        <f>IF($C85="","",INDEX('02_Base_Potencial'!$G$5:$G$335,$C85-4))</f>
        <v/>
      </c>
      <c r="I85" s="20" t="str">
        <f>IF($C85="","",INDEX('02_Base_Potencial'!$H$5:$H$335,$C85-4))</f>
        <v/>
      </c>
      <c r="J85" s="20">
        <f>IF($C85="",0,IF(INDEX('02_Base_Potencial'!$J$5:$J$335,$C85-4)="",0,INDEX('02_Base_Potencial'!$J$5:$J$335,$C85-4)))</f>
        <v>0</v>
      </c>
      <c r="K85" s="6" t="str">
        <f>IF($C85="","",IF(INDEX('02_Base_Potencial'!$Q$5:$Q$335,$C85-4)="","",INDEX('02_Base_Potencial'!$Q$5:$Q$335,$C85-4)))</f>
        <v/>
      </c>
      <c r="L85" s="6" t="str">
        <f>IF($C85="","",IF(INDEX('02_Base_Potencial'!$R$5:$R$335,$C85-4)="","",INDEX('02_Base_Potencial'!$R$5:$R$335,$C85-4)))</f>
        <v/>
      </c>
      <c r="M85" s="6" t="str">
        <f>IF($C85="","",IF(INDEX('02_Base_Potencial'!$S$5:$S$335,$C85-4)="","",INDEX('02_Base_Potencial'!$S$5:$S$335,$C85-4)))</f>
        <v/>
      </c>
      <c r="N85" s="6" t="str">
        <f>IF($C85="","",IF(INDEX('02_Base_Potencial'!$T$5:$T$335,$C85-4)="","",INDEX('02_Base_Potencial'!$T$5:$T$335,$C85-4)))</f>
        <v/>
      </c>
      <c r="O85" s="6" t="str">
        <f>IF($C85="","",IF(INDEX('02_Base_Potencial'!$U$5:$U$335,$C85-4)="","",INDEX('02_Base_Potencial'!$U$5:$U$335,$C85-4)))</f>
        <v/>
      </c>
      <c r="P85" s="6" t="str">
        <f>IF($C85="","",IF(INDEX('02_Base_Potencial'!$V$5:$V$335,$C85-4)="","",INDEX('02_Base_Potencial'!$V$5:$V$335,$C85-4)))</f>
        <v/>
      </c>
      <c r="Q85" s="6" t="str">
        <f>IF($C85="","",IF(INDEX('02_Base_Potencial'!$W$5:$W$335,$C85-4)="","",INDEX('02_Base_Potencial'!$W$5:$W$335,$C85-4)))</f>
        <v/>
      </c>
      <c r="R85" s="6" t="str">
        <f>IF($C85="","",IF(INDEX('02_Base_Potencial'!$X$5:$X$335,$C85-4)="","",INDEX('02_Base_Potencial'!$X$5:$X$335,$C85-4)))</f>
        <v/>
      </c>
      <c r="S85" s="6" t="str">
        <f>IF($C85="","",IF(INDEX('02_Base_Potencial'!$Y$5:$Y$335,$C85-4)="","",INDEX('02_Base_Potencial'!$Y$5:$Y$335,$C85-4)))</f>
        <v/>
      </c>
      <c r="T85" s="6" t="str">
        <f>IF($C85="","",IF(INDEX('02_Base_Potencial'!$Z$5:$Z$335,$C85-4)="","",INDEX('02_Base_Potencial'!$Z$5:$Z$335,$C85-4)))</f>
        <v/>
      </c>
      <c r="U85" s="6" t="str">
        <f>IF($C85="","",IF(INDEX('02_Base_Potencial'!$AA$5:$AA$335,$C85-4)="","",INDEX('02_Base_Potencial'!$AA$5:$AA$335,$C85-4)))</f>
        <v/>
      </c>
      <c r="V85" s="6" t="str">
        <f>IF($C85="","",INDEX('02_Base_Potencial'!$K$5:$K$335,$C85-4)&amp;"")</f>
        <v/>
      </c>
      <c r="W85" s="6" t="str">
        <f>IF($C85="","",COUNT(K85:U85)&amp;"/11")</f>
        <v/>
      </c>
    </row>
    <row r="86" spans="1:23">
      <c r="A86" s="6" t="s">
        <v>84</v>
      </c>
      <c r="B86" s="20">
        <v>2</v>
      </c>
      <c r="C86" s="6" t="str">
        <f>IF(SUMPRODUCT(('02_Base_Potencial'!$B$5:$B$335=$A86)*('02_Base_Potencial'!$AR$5:$AR$335=$B86)*ROW('02_Base_Potencial'!$A$5:$A$335))=0,"",SUMPRODUCT(('02_Base_Potencial'!$B$5:$B$335=$A86)*('02_Base_Potencial'!$AR$5:$AR$335=$B86)*ROW('02_Base_Potencial'!$A$5:$A$335)))</f>
        <v/>
      </c>
      <c r="D86" s="20" t="str">
        <f>IF($C86="","",INDEX('02_Base_Potencial'!$A$5:$A$335,$C86-4)&amp;"")</f>
        <v/>
      </c>
      <c r="E86" s="6" t="str">
        <f>IF($C86="","",INDEX('02_Base_Potencial'!$D$5:$D$335,$C86-4)&amp;"")</f>
        <v/>
      </c>
      <c r="F86" s="6" t="str">
        <f>IF($C86="","",INDEX('02_Base_Potencial'!$E$5:$E$335,$C86-4)&amp;"")</f>
        <v/>
      </c>
      <c r="G86" s="20" t="str">
        <f>IF($C86="","",INDEX('02_Base_Potencial'!$F$5:$F$335,$C86-4)&amp;"")</f>
        <v/>
      </c>
      <c r="H86" s="20" t="str">
        <f>IF($C86="","",INDEX('02_Base_Potencial'!$G$5:$G$335,$C86-4))</f>
        <v/>
      </c>
      <c r="I86" s="20" t="str">
        <f>IF($C86="","",INDEX('02_Base_Potencial'!$H$5:$H$335,$C86-4))</f>
        <v/>
      </c>
      <c r="J86" s="20">
        <f>IF($C86="",0,IF(INDEX('02_Base_Potencial'!$J$5:$J$335,$C86-4)="",0,INDEX('02_Base_Potencial'!$J$5:$J$335,$C86-4)))</f>
        <v>0</v>
      </c>
      <c r="K86" s="6" t="str">
        <f>IF($C86="","",IF(INDEX('02_Base_Potencial'!$Q$5:$Q$335,$C86-4)="","",INDEX('02_Base_Potencial'!$Q$5:$Q$335,$C86-4)))</f>
        <v/>
      </c>
      <c r="L86" s="6" t="str">
        <f>IF($C86="","",IF(INDEX('02_Base_Potencial'!$R$5:$R$335,$C86-4)="","",INDEX('02_Base_Potencial'!$R$5:$R$335,$C86-4)))</f>
        <v/>
      </c>
      <c r="M86" s="6" t="str">
        <f>IF($C86="","",IF(INDEX('02_Base_Potencial'!$S$5:$S$335,$C86-4)="","",INDEX('02_Base_Potencial'!$S$5:$S$335,$C86-4)))</f>
        <v/>
      </c>
      <c r="N86" s="6" t="str">
        <f>IF($C86="","",IF(INDEX('02_Base_Potencial'!$T$5:$T$335,$C86-4)="","",INDEX('02_Base_Potencial'!$T$5:$T$335,$C86-4)))</f>
        <v/>
      </c>
      <c r="O86" s="6" t="str">
        <f>IF($C86="","",IF(INDEX('02_Base_Potencial'!$U$5:$U$335,$C86-4)="","",INDEX('02_Base_Potencial'!$U$5:$U$335,$C86-4)))</f>
        <v/>
      </c>
      <c r="P86" s="6" t="str">
        <f>IF($C86="","",IF(INDEX('02_Base_Potencial'!$V$5:$V$335,$C86-4)="","",INDEX('02_Base_Potencial'!$V$5:$V$335,$C86-4)))</f>
        <v/>
      </c>
      <c r="Q86" s="6" t="str">
        <f>IF($C86="","",IF(INDEX('02_Base_Potencial'!$W$5:$W$335,$C86-4)="","",INDEX('02_Base_Potencial'!$W$5:$W$335,$C86-4)))</f>
        <v/>
      </c>
      <c r="R86" s="6" t="str">
        <f>IF($C86="","",IF(INDEX('02_Base_Potencial'!$X$5:$X$335,$C86-4)="","",INDEX('02_Base_Potencial'!$X$5:$X$335,$C86-4)))</f>
        <v/>
      </c>
      <c r="S86" s="6" t="str">
        <f>IF($C86="","",IF(INDEX('02_Base_Potencial'!$Y$5:$Y$335,$C86-4)="","",INDEX('02_Base_Potencial'!$Y$5:$Y$335,$C86-4)))</f>
        <v/>
      </c>
      <c r="T86" s="6" t="str">
        <f>IF($C86="","",IF(INDEX('02_Base_Potencial'!$Z$5:$Z$335,$C86-4)="","",INDEX('02_Base_Potencial'!$Z$5:$Z$335,$C86-4)))</f>
        <v/>
      </c>
      <c r="U86" s="6" t="str">
        <f>IF($C86="","",IF(INDEX('02_Base_Potencial'!$AA$5:$AA$335,$C86-4)="","",INDEX('02_Base_Potencial'!$AA$5:$AA$335,$C86-4)))</f>
        <v/>
      </c>
      <c r="V86" s="6" t="str">
        <f>IF($C86="","",INDEX('02_Base_Potencial'!$K$5:$K$335,$C86-4)&amp;"")</f>
        <v/>
      </c>
      <c r="W86" s="6" t="str">
        <f>IF($C86="","",COUNT(K86:U86)&amp;"/11")</f>
        <v/>
      </c>
    </row>
    <row r="87" spans="1:23">
      <c r="A87" s="6" t="s">
        <v>84</v>
      </c>
      <c r="B87" s="20">
        <v>3</v>
      </c>
      <c r="C87" s="6" t="str">
        <f>IF(SUMPRODUCT(('02_Base_Potencial'!$B$5:$B$335=$A87)*('02_Base_Potencial'!$AR$5:$AR$335=$B87)*ROW('02_Base_Potencial'!$A$5:$A$335))=0,"",SUMPRODUCT(('02_Base_Potencial'!$B$5:$B$335=$A87)*('02_Base_Potencial'!$AR$5:$AR$335=$B87)*ROW('02_Base_Potencial'!$A$5:$A$335)))</f>
        <v/>
      </c>
      <c r="D87" s="20" t="str">
        <f>IF($C87="","",INDEX('02_Base_Potencial'!$A$5:$A$335,$C87-4)&amp;"")</f>
        <v/>
      </c>
      <c r="E87" s="6" t="str">
        <f>IF($C87="","",INDEX('02_Base_Potencial'!$D$5:$D$335,$C87-4)&amp;"")</f>
        <v/>
      </c>
      <c r="F87" s="6" t="str">
        <f>IF($C87="","",INDEX('02_Base_Potencial'!$E$5:$E$335,$C87-4)&amp;"")</f>
        <v/>
      </c>
      <c r="G87" s="20" t="str">
        <f>IF($C87="","",INDEX('02_Base_Potencial'!$F$5:$F$335,$C87-4)&amp;"")</f>
        <v/>
      </c>
      <c r="H87" s="20" t="str">
        <f>IF($C87="","",INDEX('02_Base_Potencial'!$G$5:$G$335,$C87-4))</f>
        <v/>
      </c>
      <c r="I87" s="20" t="str">
        <f>IF($C87="","",INDEX('02_Base_Potencial'!$H$5:$H$335,$C87-4))</f>
        <v/>
      </c>
      <c r="J87" s="20">
        <f>IF($C87="",0,IF(INDEX('02_Base_Potencial'!$J$5:$J$335,$C87-4)="",0,INDEX('02_Base_Potencial'!$J$5:$J$335,$C87-4)))</f>
        <v>0</v>
      </c>
      <c r="K87" s="6" t="str">
        <f>IF($C87="","",IF(INDEX('02_Base_Potencial'!$Q$5:$Q$335,$C87-4)="","",INDEX('02_Base_Potencial'!$Q$5:$Q$335,$C87-4)))</f>
        <v/>
      </c>
      <c r="L87" s="6" t="str">
        <f>IF($C87="","",IF(INDEX('02_Base_Potencial'!$R$5:$R$335,$C87-4)="","",INDEX('02_Base_Potencial'!$R$5:$R$335,$C87-4)))</f>
        <v/>
      </c>
      <c r="M87" s="6" t="str">
        <f>IF($C87="","",IF(INDEX('02_Base_Potencial'!$S$5:$S$335,$C87-4)="","",INDEX('02_Base_Potencial'!$S$5:$S$335,$C87-4)))</f>
        <v/>
      </c>
      <c r="N87" s="6" t="str">
        <f>IF($C87="","",IF(INDEX('02_Base_Potencial'!$T$5:$T$335,$C87-4)="","",INDEX('02_Base_Potencial'!$T$5:$T$335,$C87-4)))</f>
        <v/>
      </c>
      <c r="O87" s="6" t="str">
        <f>IF($C87="","",IF(INDEX('02_Base_Potencial'!$U$5:$U$335,$C87-4)="","",INDEX('02_Base_Potencial'!$U$5:$U$335,$C87-4)))</f>
        <v/>
      </c>
      <c r="P87" s="6" t="str">
        <f>IF($C87="","",IF(INDEX('02_Base_Potencial'!$V$5:$V$335,$C87-4)="","",INDEX('02_Base_Potencial'!$V$5:$V$335,$C87-4)))</f>
        <v/>
      </c>
      <c r="Q87" s="6" t="str">
        <f>IF($C87="","",IF(INDEX('02_Base_Potencial'!$W$5:$W$335,$C87-4)="","",INDEX('02_Base_Potencial'!$W$5:$W$335,$C87-4)))</f>
        <v/>
      </c>
      <c r="R87" s="6" t="str">
        <f>IF($C87="","",IF(INDEX('02_Base_Potencial'!$X$5:$X$335,$C87-4)="","",INDEX('02_Base_Potencial'!$X$5:$X$335,$C87-4)))</f>
        <v/>
      </c>
      <c r="S87" s="6" t="str">
        <f>IF($C87="","",IF(INDEX('02_Base_Potencial'!$Y$5:$Y$335,$C87-4)="","",INDEX('02_Base_Potencial'!$Y$5:$Y$335,$C87-4)))</f>
        <v/>
      </c>
      <c r="T87" s="6" t="str">
        <f>IF($C87="","",IF(INDEX('02_Base_Potencial'!$Z$5:$Z$335,$C87-4)="","",INDEX('02_Base_Potencial'!$Z$5:$Z$335,$C87-4)))</f>
        <v/>
      </c>
      <c r="U87" s="6" t="str">
        <f>IF($C87="","",IF(INDEX('02_Base_Potencial'!$AA$5:$AA$335,$C87-4)="","",INDEX('02_Base_Potencial'!$AA$5:$AA$335,$C87-4)))</f>
        <v/>
      </c>
      <c r="V87" s="6" t="str">
        <f>IF($C87="","",INDEX('02_Base_Potencial'!$K$5:$K$335,$C87-4)&amp;"")</f>
        <v/>
      </c>
      <c r="W87" s="6" t="str">
        <f>IF($C87="","",COUNT(K87:U87)&amp;"/11")</f>
        <v/>
      </c>
    </row>
    <row r="88" spans="1:23">
      <c r="A88" s="6" t="s">
        <v>84</v>
      </c>
      <c r="B88" s="20">
        <v>4</v>
      </c>
      <c r="C88" s="6" t="str">
        <f>IF(SUMPRODUCT(('02_Base_Potencial'!$B$5:$B$335=$A88)*('02_Base_Potencial'!$AR$5:$AR$335=$B88)*ROW('02_Base_Potencial'!$A$5:$A$335))=0,"",SUMPRODUCT(('02_Base_Potencial'!$B$5:$B$335=$A88)*('02_Base_Potencial'!$AR$5:$AR$335=$B88)*ROW('02_Base_Potencial'!$A$5:$A$335)))</f>
        <v/>
      </c>
      <c r="D88" s="20" t="str">
        <f>IF($C88="","",INDEX('02_Base_Potencial'!$A$5:$A$335,$C88-4)&amp;"")</f>
        <v/>
      </c>
      <c r="E88" s="6" t="str">
        <f>IF($C88="","",INDEX('02_Base_Potencial'!$D$5:$D$335,$C88-4)&amp;"")</f>
        <v/>
      </c>
      <c r="F88" s="6" t="str">
        <f>IF($C88="","",INDEX('02_Base_Potencial'!$E$5:$E$335,$C88-4)&amp;"")</f>
        <v/>
      </c>
      <c r="G88" s="20" t="str">
        <f>IF($C88="","",INDEX('02_Base_Potencial'!$F$5:$F$335,$C88-4)&amp;"")</f>
        <v/>
      </c>
      <c r="H88" s="20" t="str">
        <f>IF($C88="","",INDEX('02_Base_Potencial'!$G$5:$G$335,$C88-4))</f>
        <v/>
      </c>
      <c r="I88" s="20" t="str">
        <f>IF($C88="","",INDEX('02_Base_Potencial'!$H$5:$H$335,$C88-4))</f>
        <v/>
      </c>
      <c r="J88" s="20">
        <f>IF($C88="",0,IF(INDEX('02_Base_Potencial'!$J$5:$J$335,$C88-4)="",0,INDEX('02_Base_Potencial'!$J$5:$J$335,$C88-4)))</f>
        <v>0</v>
      </c>
      <c r="K88" s="6" t="str">
        <f>IF($C88="","",IF(INDEX('02_Base_Potencial'!$Q$5:$Q$335,$C88-4)="","",INDEX('02_Base_Potencial'!$Q$5:$Q$335,$C88-4)))</f>
        <v/>
      </c>
      <c r="L88" s="6" t="str">
        <f>IF($C88="","",IF(INDEX('02_Base_Potencial'!$R$5:$R$335,$C88-4)="","",INDEX('02_Base_Potencial'!$R$5:$R$335,$C88-4)))</f>
        <v/>
      </c>
      <c r="M88" s="6" t="str">
        <f>IF($C88="","",IF(INDEX('02_Base_Potencial'!$S$5:$S$335,$C88-4)="","",INDEX('02_Base_Potencial'!$S$5:$S$335,$C88-4)))</f>
        <v/>
      </c>
      <c r="N88" s="6" t="str">
        <f>IF($C88="","",IF(INDEX('02_Base_Potencial'!$T$5:$T$335,$C88-4)="","",INDEX('02_Base_Potencial'!$T$5:$T$335,$C88-4)))</f>
        <v/>
      </c>
      <c r="O88" s="6" t="str">
        <f>IF($C88="","",IF(INDEX('02_Base_Potencial'!$U$5:$U$335,$C88-4)="","",INDEX('02_Base_Potencial'!$U$5:$U$335,$C88-4)))</f>
        <v/>
      </c>
      <c r="P88" s="6" t="str">
        <f>IF($C88="","",IF(INDEX('02_Base_Potencial'!$V$5:$V$335,$C88-4)="","",INDEX('02_Base_Potencial'!$V$5:$V$335,$C88-4)))</f>
        <v/>
      </c>
      <c r="Q88" s="6" t="str">
        <f>IF($C88="","",IF(INDEX('02_Base_Potencial'!$W$5:$W$335,$C88-4)="","",INDEX('02_Base_Potencial'!$W$5:$W$335,$C88-4)))</f>
        <v/>
      </c>
      <c r="R88" s="6" t="str">
        <f>IF($C88="","",IF(INDEX('02_Base_Potencial'!$X$5:$X$335,$C88-4)="","",INDEX('02_Base_Potencial'!$X$5:$X$335,$C88-4)))</f>
        <v/>
      </c>
      <c r="S88" s="6" t="str">
        <f>IF($C88="","",IF(INDEX('02_Base_Potencial'!$Y$5:$Y$335,$C88-4)="","",INDEX('02_Base_Potencial'!$Y$5:$Y$335,$C88-4)))</f>
        <v/>
      </c>
      <c r="T88" s="6" t="str">
        <f>IF($C88="","",IF(INDEX('02_Base_Potencial'!$Z$5:$Z$335,$C88-4)="","",INDEX('02_Base_Potencial'!$Z$5:$Z$335,$C88-4)))</f>
        <v/>
      </c>
      <c r="U88" s="6" t="str">
        <f>IF($C88="","",IF(INDEX('02_Base_Potencial'!$AA$5:$AA$335,$C88-4)="","",INDEX('02_Base_Potencial'!$AA$5:$AA$335,$C88-4)))</f>
        <v/>
      </c>
      <c r="V88" s="6" t="str">
        <f>IF($C88="","",INDEX('02_Base_Potencial'!$K$5:$K$335,$C88-4)&amp;"")</f>
        <v/>
      </c>
      <c r="W88" s="6" t="str">
        <f>IF($C88="","",COUNT(K88:U88)&amp;"/11")</f>
        <v/>
      </c>
    </row>
    <row r="89" spans="1:23">
      <c r="A89" s="6" t="s">
        <v>84</v>
      </c>
      <c r="B89" s="20">
        <v>5</v>
      </c>
      <c r="C89" s="6" t="str">
        <f>IF(SUMPRODUCT(('02_Base_Potencial'!$B$5:$B$335=$A89)*('02_Base_Potencial'!$AR$5:$AR$335=$B89)*ROW('02_Base_Potencial'!$A$5:$A$335))=0,"",SUMPRODUCT(('02_Base_Potencial'!$B$5:$B$335=$A89)*('02_Base_Potencial'!$AR$5:$AR$335=$B89)*ROW('02_Base_Potencial'!$A$5:$A$335)))</f>
        <v/>
      </c>
      <c r="D89" s="20" t="str">
        <f>IF($C89="","",INDEX('02_Base_Potencial'!$A$5:$A$335,$C89-4)&amp;"")</f>
        <v/>
      </c>
      <c r="E89" s="6" t="str">
        <f>IF($C89="","",INDEX('02_Base_Potencial'!$D$5:$D$335,$C89-4)&amp;"")</f>
        <v/>
      </c>
      <c r="F89" s="6" t="str">
        <f>IF($C89="","",INDEX('02_Base_Potencial'!$E$5:$E$335,$C89-4)&amp;"")</f>
        <v/>
      </c>
      <c r="G89" s="20" t="str">
        <f>IF($C89="","",INDEX('02_Base_Potencial'!$F$5:$F$335,$C89-4)&amp;"")</f>
        <v/>
      </c>
      <c r="H89" s="20" t="str">
        <f>IF($C89="","",INDEX('02_Base_Potencial'!$G$5:$G$335,$C89-4))</f>
        <v/>
      </c>
      <c r="I89" s="20" t="str">
        <f>IF($C89="","",INDEX('02_Base_Potencial'!$H$5:$H$335,$C89-4))</f>
        <v/>
      </c>
      <c r="J89" s="20">
        <f>IF($C89="",0,IF(INDEX('02_Base_Potencial'!$J$5:$J$335,$C89-4)="",0,INDEX('02_Base_Potencial'!$J$5:$J$335,$C89-4)))</f>
        <v>0</v>
      </c>
      <c r="K89" s="6" t="str">
        <f>IF($C89="","",IF(INDEX('02_Base_Potencial'!$Q$5:$Q$335,$C89-4)="","",INDEX('02_Base_Potencial'!$Q$5:$Q$335,$C89-4)))</f>
        <v/>
      </c>
      <c r="L89" s="6" t="str">
        <f>IF($C89="","",IF(INDEX('02_Base_Potencial'!$R$5:$R$335,$C89-4)="","",INDEX('02_Base_Potencial'!$R$5:$R$335,$C89-4)))</f>
        <v/>
      </c>
      <c r="M89" s="6" t="str">
        <f>IF($C89="","",IF(INDEX('02_Base_Potencial'!$S$5:$S$335,$C89-4)="","",INDEX('02_Base_Potencial'!$S$5:$S$335,$C89-4)))</f>
        <v/>
      </c>
      <c r="N89" s="6" t="str">
        <f>IF($C89="","",IF(INDEX('02_Base_Potencial'!$T$5:$T$335,$C89-4)="","",INDEX('02_Base_Potencial'!$T$5:$T$335,$C89-4)))</f>
        <v/>
      </c>
      <c r="O89" s="6" t="str">
        <f>IF($C89="","",IF(INDEX('02_Base_Potencial'!$U$5:$U$335,$C89-4)="","",INDEX('02_Base_Potencial'!$U$5:$U$335,$C89-4)))</f>
        <v/>
      </c>
      <c r="P89" s="6" t="str">
        <f>IF($C89="","",IF(INDEX('02_Base_Potencial'!$V$5:$V$335,$C89-4)="","",INDEX('02_Base_Potencial'!$V$5:$V$335,$C89-4)))</f>
        <v/>
      </c>
      <c r="Q89" s="6" t="str">
        <f>IF($C89="","",IF(INDEX('02_Base_Potencial'!$W$5:$W$335,$C89-4)="","",INDEX('02_Base_Potencial'!$W$5:$W$335,$C89-4)))</f>
        <v/>
      </c>
      <c r="R89" s="6" t="str">
        <f>IF($C89="","",IF(INDEX('02_Base_Potencial'!$X$5:$X$335,$C89-4)="","",INDEX('02_Base_Potencial'!$X$5:$X$335,$C89-4)))</f>
        <v/>
      </c>
      <c r="S89" s="6" t="str">
        <f>IF($C89="","",IF(INDEX('02_Base_Potencial'!$Y$5:$Y$335,$C89-4)="","",INDEX('02_Base_Potencial'!$Y$5:$Y$335,$C89-4)))</f>
        <v/>
      </c>
      <c r="T89" s="6" t="str">
        <f>IF($C89="","",IF(INDEX('02_Base_Potencial'!$Z$5:$Z$335,$C89-4)="","",INDEX('02_Base_Potencial'!$Z$5:$Z$335,$C89-4)))</f>
        <v/>
      </c>
      <c r="U89" s="6" t="str">
        <f>IF($C89="","",IF(INDEX('02_Base_Potencial'!$AA$5:$AA$335,$C89-4)="","",INDEX('02_Base_Potencial'!$AA$5:$AA$335,$C89-4)))</f>
        <v/>
      </c>
      <c r="V89" s="6" t="str">
        <f>IF($C89="","",INDEX('02_Base_Potencial'!$K$5:$K$335,$C89-4)&amp;"")</f>
        <v/>
      </c>
      <c r="W89" s="6" t="str">
        <f>IF($C89="","",COUNT(K89:U89)&amp;"/11")</f>
        <v/>
      </c>
    </row>
    <row r="90" spans="1:23">
      <c r="A90" s="6" t="s">
        <v>84</v>
      </c>
      <c r="B90" s="20">
        <v>6</v>
      </c>
      <c r="C90" s="6" t="str">
        <f>IF(SUMPRODUCT(('02_Base_Potencial'!$B$5:$B$335=$A90)*('02_Base_Potencial'!$AR$5:$AR$335=$B90)*ROW('02_Base_Potencial'!$A$5:$A$335))=0,"",SUMPRODUCT(('02_Base_Potencial'!$B$5:$B$335=$A90)*('02_Base_Potencial'!$AR$5:$AR$335=$B90)*ROW('02_Base_Potencial'!$A$5:$A$335)))</f>
        <v/>
      </c>
      <c r="D90" s="20" t="str">
        <f>IF($C90="","",INDEX('02_Base_Potencial'!$A$5:$A$335,$C90-4)&amp;"")</f>
        <v/>
      </c>
      <c r="E90" s="6" t="str">
        <f>IF($C90="","",INDEX('02_Base_Potencial'!$D$5:$D$335,$C90-4)&amp;"")</f>
        <v/>
      </c>
      <c r="F90" s="6" t="str">
        <f>IF($C90="","",INDEX('02_Base_Potencial'!$E$5:$E$335,$C90-4)&amp;"")</f>
        <v/>
      </c>
      <c r="G90" s="20" t="str">
        <f>IF($C90="","",INDEX('02_Base_Potencial'!$F$5:$F$335,$C90-4)&amp;"")</f>
        <v/>
      </c>
      <c r="H90" s="20" t="str">
        <f>IF($C90="","",INDEX('02_Base_Potencial'!$G$5:$G$335,$C90-4))</f>
        <v/>
      </c>
      <c r="I90" s="20" t="str">
        <f>IF($C90="","",INDEX('02_Base_Potencial'!$H$5:$H$335,$C90-4))</f>
        <v/>
      </c>
      <c r="J90" s="20">
        <f>IF($C90="",0,IF(INDEX('02_Base_Potencial'!$J$5:$J$335,$C90-4)="",0,INDEX('02_Base_Potencial'!$J$5:$J$335,$C90-4)))</f>
        <v>0</v>
      </c>
      <c r="K90" s="6" t="str">
        <f>IF($C90="","",IF(INDEX('02_Base_Potencial'!$Q$5:$Q$335,$C90-4)="","",INDEX('02_Base_Potencial'!$Q$5:$Q$335,$C90-4)))</f>
        <v/>
      </c>
      <c r="L90" s="6" t="str">
        <f>IF($C90="","",IF(INDEX('02_Base_Potencial'!$R$5:$R$335,$C90-4)="","",INDEX('02_Base_Potencial'!$R$5:$R$335,$C90-4)))</f>
        <v/>
      </c>
      <c r="M90" s="6" t="str">
        <f>IF($C90="","",IF(INDEX('02_Base_Potencial'!$S$5:$S$335,$C90-4)="","",INDEX('02_Base_Potencial'!$S$5:$S$335,$C90-4)))</f>
        <v/>
      </c>
      <c r="N90" s="6" t="str">
        <f>IF($C90="","",IF(INDEX('02_Base_Potencial'!$T$5:$T$335,$C90-4)="","",INDEX('02_Base_Potencial'!$T$5:$T$335,$C90-4)))</f>
        <v/>
      </c>
      <c r="O90" s="6" t="str">
        <f>IF($C90="","",IF(INDEX('02_Base_Potencial'!$U$5:$U$335,$C90-4)="","",INDEX('02_Base_Potencial'!$U$5:$U$335,$C90-4)))</f>
        <v/>
      </c>
      <c r="P90" s="6" t="str">
        <f>IF($C90="","",IF(INDEX('02_Base_Potencial'!$V$5:$V$335,$C90-4)="","",INDEX('02_Base_Potencial'!$V$5:$V$335,$C90-4)))</f>
        <v/>
      </c>
      <c r="Q90" s="6" t="str">
        <f>IF($C90="","",IF(INDEX('02_Base_Potencial'!$W$5:$W$335,$C90-4)="","",INDEX('02_Base_Potencial'!$W$5:$W$335,$C90-4)))</f>
        <v/>
      </c>
      <c r="R90" s="6" t="str">
        <f>IF($C90="","",IF(INDEX('02_Base_Potencial'!$X$5:$X$335,$C90-4)="","",INDEX('02_Base_Potencial'!$X$5:$X$335,$C90-4)))</f>
        <v/>
      </c>
      <c r="S90" s="6" t="str">
        <f>IF($C90="","",IF(INDEX('02_Base_Potencial'!$Y$5:$Y$335,$C90-4)="","",INDEX('02_Base_Potencial'!$Y$5:$Y$335,$C90-4)))</f>
        <v/>
      </c>
      <c r="T90" s="6" t="str">
        <f>IF($C90="","",IF(INDEX('02_Base_Potencial'!$Z$5:$Z$335,$C90-4)="","",INDEX('02_Base_Potencial'!$Z$5:$Z$335,$C90-4)))</f>
        <v/>
      </c>
      <c r="U90" s="6" t="str">
        <f>IF($C90="","",IF(INDEX('02_Base_Potencial'!$AA$5:$AA$335,$C90-4)="","",INDEX('02_Base_Potencial'!$AA$5:$AA$335,$C90-4)))</f>
        <v/>
      </c>
      <c r="V90" s="6" t="str">
        <f>IF($C90="","",INDEX('02_Base_Potencial'!$K$5:$K$335,$C90-4)&amp;"")</f>
        <v/>
      </c>
      <c r="W90" s="6" t="str">
        <f>IF($C90="","",COUNT(K90:U90)&amp;"/11")</f>
        <v/>
      </c>
    </row>
    <row r="91" spans="1:23">
      <c r="A91" s="6" t="s">
        <v>84</v>
      </c>
      <c r="B91" s="20">
        <v>7</v>
      </c>
      <c r="C91" s="6" t="str">
        <f>IF(SUMPRODUCT(('02_Base_Potencial'!$B$5:$B$335=$A91)*('02_Base_Potencial'!$AR$5:$AR$335=$B91)*ROW('02_Base_Potencial'!$A$5:$A$335))=0,"",SUMPRODUCT(('02_Base_Potencial'!$B$5:$B$335=$A91)*('02_Base_Potencial'!$AR$5:$AR$335=$B91)*ROW('02_Base_Potencial'!$A$5:$A$335)))</f>
        <v/>
      </c>
      <c r="D91" s="20" t="str">
        <f>IF($C91="","",INDEX('02_Base_Potencial'!$A$5:$A$335,$C91-4)&amp;"")</f>
        <v/>
      </c>
      <c r="E91" s="6" t="str">
        <f>IF($C91="","",INDEX('02_Base_Potencial'!$D$5:$D$335,$C91-4)&amp;"")</f>
        <v/>
      </c>
      <c r="F91" s="6" t="str">
        <f>IF($C91="","",INDEX('02_Base_Potencial'!$E$5:$E$335,$C91-4)&amp;"")</f>
        <v/>
      </c>
      <c r="G91" s="20" t="str">
        <f>IF($C91="","",INDEX('02_Base_Potencial'!$F$5:$F$335,$C91-4)&amp;"")</f>
        <v/>
      </c>
      <c r="H91" s="20" t="str">
        <f>IF($C91="","",INDEX('02_Base_Potencial'!$G$5:$G$335,$C91-4))</f>
        <v/>
      </c>
      <c r="I91" s="20" t="str">
        <f>IF($C91="","",INDEX('02_Base_Potencial'!$H$5:$H$335,$C91-4))</f>
        <v/>
      </c>
      <c r="J91" s="20">
        <f>IF($C91="",0,IF(INDEX('02_Base_Potencial'!$J$5:$J$335,$C91-4)="",0,INDEX('02_Base_Potencial'!$J$5:$J$335,$C91-4)))</f>
        <v>0</v>
      </c>
      <c r="K91" s="6" t="str">
        <f>IF($C91="","",IF(INDEX('02_Base_Potencial'!$Q$5:$Q$335,$C91-4)="","",INDEX('02_Base_Potencial'!$Q$5:$Q$335,$C91-4)))</f>
        <v/>
      </c>
      <c r="L91" s="6" t="str">
        <f>IF($C91="","",IF(INDEX('02_Base_Potencial'!$R$5:$R$335,$C91-4)="","",INDEX('02_Base_Potencial'!$R$5:$R$335,$C91-4)))</f>
        <v/>
      </c>
      <c r="M91" s="6" t="str">
        <f>IF($C91="","",IF(INDEX('02_Base_Potencial'!$S$5:$S$335,$C91-4)="","",INDEX('02_Base_Potencial'!$S$5:$S$335,$C91-4)))</f>
        <v/>
      </c>
      <c r="N91" s="6" t="str">
        <f>IF($C91="","",IF(INDEX('02_Base_Potencial'!$T$5:$T$335,$C91-4)="","",INDEX('02_Base_Potencial'!$T$5:$T$335,$C91-4)))</f>
        <v/>
      </c>
      <c r="O91" s="6" t="str">
        <f>IF($C91="","",IF(INDEX('02_Base_Potencial'!$U$5:$U$335,$C91-4)="","",INDEX('02_Base_Potencial'!$U$5:$U$335,$C91-4)))</f>
        <v/>
      </c>
      <c r="P91" s="6" t="str">
        <f>IF($C91="","",IF(INDEX('02_Base_Potencial'!$V$5:$V$335,$C91-4)="","",INDEX('02_Base_Potencial'!$V$5:$V$335,$C91-4)))</f>
        <v/>
      </c>
      <c r="Q91" s="6" t="str">
        <f>IF($C91="","",IF(INDEX('02_Base_Potencial'!$W$5:$W$335,$C91-4)="","",INDEX('02_Base_Potencial'!$W$5:$W$335,$C91-4)))</f>
        <v/>
      </c>
      <c r="R91" s="6" t="str">
        <f>IF($C91="","",IF(INDEX('02_Base_Potencial'!$X$5:$X$335,$C91-4)="","",INDEX('02_Base_Potencial'!$X$5:$X$335,$C91-4)))</f>
        <v/>
      </c>
      <c r="S91" s="6" t="str">
        <f>IF($C91="","",IF(INDEX('02_Base_Potencial'!$Y$5:$Y$335,$C91-4)="","",INDEX('02_Base_Potencial'!$Y$5:$Y$335,$C91-4)))</f>
        <v/>
      </c>
      <c r="T91" s="6" t="str">
        <f>IF($C91="","",IF(INDEX('02_Base_Potencial'!$Z$5:$Z$335,$C91-4)="","",INDEX('02_Base_Potencial'!$Z$5:$Z$335,$C91-4)))</f>
        <v/>
      </c>
      <c r="U91" s="6" t="str">
        <f>IF($C91="","",IF(INDEX('02_Base_Potencial'!$AA$5:$AA$335,$C91-4)="","",INDEX('02_Base_Potencial'!$AA$5:$AA$335,$C91-4)))</f>
        <v/>
      </c>
      <c r="V91" s="6" t="str">
        <f>IF($C91="","",INDEX('02_Base_Potencial'!$K$5:$K$335,$C91-4)&amp;"")</f>
        <v/>
      </c>
      <c r="W91" s="6" t="str">
        <f>IF($C91="","",COUNT(K91:U91)&amp;"/11")</f>
        <v/>
      </c>
    </row>
    <row r="92" spans="1:23">
      <c r="A92" s="6" t="s">
        <v>84</v>
      </c>
      <c r="B92" s="20">
        <v>8</v>
      </c>
      <c r="C92" s="6" t="str">
        <f>IF(SUMPRODUCT(('02_Base_Potencial'!$B$5:$B$335=$A92)*('02_Base_Potencial'!$AR$5:$AR$335=$B92)*ROW('02_Base_Potencial'!$A$5:$A$335))=0,"",SUMPRODUCT(('02_Base_Potencial'!$B$5:$B$335=$A92)*('02_Base_Potencial'!$AR$5:$AR$335=$B92)*ROW('02_Base_Potencial'!$A$5:$A$335)))</f>
        <v/>
      </c>
      <c r="D92" s="20" t="str">
        <f>IF($C92="","",INDEX('02_Base_Potencial'!$A$5:$A$335,$C92-4)&amp;"")</f>
        <v/>
      </c>
      <c r="E92" s="6" t="str">
        <f>IF($C92="","",INDEX('02_Base_Potencial'!$D$5:$D$335,$C92-4)&amp;"")</f>
        <v/>
      </c>
      <c r="F92" s="6" t="str">
        <f>IF($C92="","",INDEX('02_Base_Potencial'!$E$5:$E$335,$C92-4)&amp;"")</f>
        <v/>
      </c>
      <c r="G92" s="20" t="str">
        <f>IF($C92="","",INDEX('02_Base_Potencial'!$F$5:$F$335,$C92-4)&amp;"")</f>
        <v/>
      </c>
      <c r="H92" s="20" t="str">
        <f>IF($C92="","",INDEX('02_Base_Potencial'!$G$5:$G$335,$C92-4))</f>
        <v/>
      </c>
      <c r="I92" s="20" t="str">
        <f>IF($C92="","",INDEX('02_Base_Potencial'!$H$5:$H$335,$C92-4))</f>
        <v/>
      </c>
      <c r="J92" s="20">
        <f>IF($C92="",0,IF(INDEX('02_Base_Potencial'!$J$5:$J$335,$C92-4)="",0,INDEX('02_Base_Potencial'!$J$5:$J$335,$C92-4)))</f>
        <v>0</v>
      </c>
      <c r="K92" s="6" t="str">
        <f>IF($C92="","",IF(INDEX('02_Base_Potencial'!$Q$5:$Q$335,$C92-4)="","",INDEX('02_Base_Potencial'!$Q$5:$Q$335,$C92-4)))</f>
        <v/>
      </c>
      <c r="L92" s="6" t="str">
        <f>IF($C92="","",IF(INDEX('02_Base_Potencial'!$R$5:$R$335,$C92-4)="","",INDEX('02_Base_Potencial'!$R$5:$R$335,$C92-4)))</f>
        <v/>
      </c>
      <c r="M92" s="6" t="str">
        <f>IF($C92="","",IF(INDEX('02_Base_Potencial'!$S$5:$S$335,$C92-4)="","",INDEX('02_Base_Potencial'!$S$5:$S$335,$C92-4)))</f>
        <v/>
      </c>
      <c r="N92" s="6" t="str">
        <f>IF($C92="","",IF(INDEX('02_Base_Potencial'!$T$5:$T$335,$C92-4)="","",INDEX('02_Base_Potencial'!$T$5:$T$335,$C92-4)))</f>
        <v/>
      </c>
      <c r="O92" s="6" t="str">
        <f>IF($C92="","",IF(INDEX('02_Base_Potencial'!$U$5:$U$335,$C92-4)="","",INDEX('02_Base_Potencial'!$U$5:$U$335,$C92-4)))</f>
        <v/>
      </c>
      <c r="P92" s="6" t="str">
        <f>IF($C92="","",IF(INDEX('02_Base_Potencial'!$V$5:$V$335,$C92-4)="","",INDEX('02_Base_Potencial'!$V$5:$V$335,$C92-4)))</f>
        <v/>
      </c>
      <c r="Q92" s="6" t="str">
        <f>IF($C92="","",IF(INDEX('02_Base_Potencial'!$W$5:$W$335,$C92-4)="","",INDEX('02_Base_Potencial'!$W$5:$W$335,$C92-4)))</f>
        <v/>
      </c>
      <c r="R92" s="6" t="str">
        <f>IF($C92="","",IF(INDEX('02_Base_Potencial'!$X$5:$X$335,$C92-4)="","",INDEX('02_Base_Potencial'!$X$5:$X$335,$C92-4)))</f>
        <v/>
      </c>
      <c r="S92" s="6" t="str">
        <f>IF($C92="","",IF(INDEX('02_Base_Potencial'!$Y$5:$Y$335,$C92-4)="","",INDEX('02_Base_Potencial'!$Y$5:$Y$335,$C92-4)))</f>
        <v/>
      </c>
      <c r="T92" s="6" t="str">
        <f>IF($C92="","",IF(INDEX('02_Base_Potencial'!$Z$5:$Z$335,$C92-4)="","",INDEX('02_Base_Potencial'!$Z$5:$Z$335,$C92-4)))</f>
        <v/>
      </c>
      <c r="U92" s="6" t="str">
        <f>IF($C92="","",IF(INDEX('02_Base_Potencial'!$AA$5:$AA$335,$C92-4)="","",INDEX('02_Base_Potencial'!$AA$5:$AA$335,$C92-4)))</f>
        <v/>
      </c>
      <c r="V92" s="6" t="str">
        <f>IF($C92="","",INDEX('02_Base_Potencial'!$K$5:$K$335,$C92-4)&amp;"")</f>
        <v/>
      </c>
      <c r="W92" s="6" t="str">
        <f>IF($C92="","",COUNT(K92:U92)&amp;"/11")</f>
        <v/>
      </c>
    </row>
    <row r="93" spans="1:23">
      <c r="A93" s="6" t="s">
        <v>84</v>
      </c>
      <c r="B93" s="20">
        <v>9</v>
      </c>
      <c r="C93" s="6" t="str">
        <f>IF(SUMPRODUCT(('02_Base_Potencial'!$B$5:$B$335=$A93)*('02_Base_Potencial'!$AR$5:$AR$335=$B93)*ROW('02_Base_Potencial'!$A$5:$A$335))=0,"",SUMPRODUCT(('02_Base_Potencial'!$B$5:$B$335=$A93)*('02_Base_Potencial'!$AR$5:$AR$335=$B93)*ROW('02_Base_Potencial'!$A$5:$A$335)))</f>
        <v/>
      </c>
      <c r="D93" s="20" t="str">
        <f>IF($C93="","",INDEX('02_Base_Potencial'!$A$5:$A$335,$C93-4)&amp;"")</f>
        <v/>
      </c>
      <c r="E93" s="6" t="str">
        <f>IF($C93="","",INDEX('02_Base_Potencial'!$D$5:$D$335,$C93-4)&amp;"")</f>
        <v/>
      </c>
      <c r="F93" s="6" t="str">
        <f>IF($C93="","",INDEX('02_Base_Potencial'!$E$5:$E$335,$C93-4)&amp;"")</f>
        <v/>
      </c>
      <c r="G93" s="20" t="str">
        <f>IF($C93="","",INDEX('02_Base_Potencial'!$F$5:$F$335,$C93-4)&amp;"")</f>
        <v/>
      </c>
      <c r="H93" s="20" t="str">
        <f>IF($C93="","",INDEX('02_Base_Potencial'!$G$5:$G$335,$C93-4))</f>
        <v/>
      </c>
      <c r="I93" s="20" t="str">
        <f>IF($C93="","",INDEX('02_Base_Potencial'!$H$5:$H$335,$C93-4))</f>
        <v/>
      </c>
      <c r="J93" s="20">
        <f>IF($C93="",0,IF(INDEX('02_Base_Potencial'!$J$5:$J$335,$C93-4)="",0,INDEX('02_Base_Potencial'!$J$5:$J$335,$C93-4)))</f>
        <v>0</v>
      </c>
      <c r="K93" s="6" t="str">
        <f>IF($C93="","",IF(INDEX('02_Base_Potencial'!$Q$5:$Q$335,$C93-4)="","",INDEX('02_Base_Potencial'!$Q$5:$Q$335,$C93-4)))</f>
        <v/>
      </c>
      <c r="L93" s="6" t="str">
        <f>IF($C93="","",IF(INDEX('02_Base_Potencial'!$R$5:$R$335,$C93-4)="","",INDEX('02_Base_Potencial'!$R$5:$R$335,$C93-4)))</f>
        <v/>
      </c>
      <c r="M93" s="6" t="str">
        <f>IF($C93="","",IF(INDEX('02_Base_Potencial'!$S$5:$S$335,$C93-4)="","",INDEX('02_Base_Potencial'!$S$5:$S$335,$C93-4)))</f>
        <v/>
      </c>
      <c r="N93" s="6" t="str">
        <f>IF($C93="","",IF(INDEX('02_Base_Potencial'!$T$5:$T$335,$C93-4)="","",INDEX('02_Base_Potencial'!$T$5:$T$335,$C93-4)))</f>
        <v/>
      </c>
      <c r="O93" s="6" t="str">
        <f>IF($C93="","",IF(INDEX('02_Base_Potencial'!$U$5:$U$335,$C93-4)="","",INDEX('02_Base_Potencial'!$U$5:$U$335,$C93-4)))</f>
        <v/>
      </c>
      <c r="P93" s="6" t="str">
        <f>IF($C93="","",IF(INDEX('02_Base_Potencial'!$V$5:$V$335,$C93-4)="","",INDEX('02_Base_Potencial'!$V$5:$V$335,$C93-4)))</f>
        <v/>
      </c>
      <c r="Q93" s="6" t="str">
        <f>IF($C93="","",IF(INDEX('02_Base_Potencial'!$W$5:$W$335,$C93-4)="","",INDEX('02_Base_Potencial'!$W$5:$W$335,$C93-4)))</f>
        <v/>
      </c>
      <c r="R93" s="6" t="str">
        <f>IF($C93="","",IF(INDEX('02_Base_Potencial'!$X$5:$X$335,$C93-4)="","",INDEX('02_Base_Potencial'!$X$5:$X$335,$C93-4)))</f>
        <v/>
      </c>
      <c r="S93" s="6" t="str">
        <f>IF($C93="","",IF(INDEX('02_Base_Potencial'!$Y$5:$Y$335,$C93-4)="","",INDEX('02_Base_Potencial'!$Y$5:$Y$335,$C93-4)))</f>
        <v/>
      </c>
      <c r="T93" s="6" t="str">
        <f>IF($C93="","",IF(INDEX('02_Base_Potencial'!$Z$5:$Z$335,$C93-4)="","",INDEX('02_Base_Potencial'!$Z$5:$Z$335,$C93-4)))</f>
        <v/>
      </c>
      <c r="U93" s="6" t="str">
        <f>IF($C93="","",IF(INDEX('02_Base_Potencial'!$AA$5:$AA$335,$C93-4)="","",INDEX('02_Base_Potencial'!$AA$5:$AA$335,$C93-4)))</f>
        <v/>
      </c>
      <c r="V93" s="6" t="str">
        <f>IF($C93="","",INDEX('02_Base_Potencial'!$K$5:$K$335,$C93-4)&amp;"")</f>
        <v/>
      </c>
      <c r="W93" s="6" t="str">
        <f>IF($C93="","",COUNT(K93:U93)&amp;"/11")</f>
        <v/>
      </c>
    </row>
    <row r="94" spans="1:23">
      <c r="A94" s="6" t="s">
        <v>84</v>
      </c>
      <c r="B94" s="20">
        <v>10</v>
      </c>
      <c r="C94" s="6" t="str">
        <f>IF(SUMPRODUCT(('02_Base_Potencial'!$B$5:$B$335=$A94)*('02_Base_Potencial'!$AR$5:$AR$335=$B94)*ROW('02_Base_Potencial'!$A$5:$A$335))=0,"",SUMPRODUCT(('02_Base_Potencial'!$B$5:$B$335=$A94)*('02_Base_Potencial'!$AR$5:$AR$335=$B94)*ROW('02_Base_Potencial'!$A$5:$A$335)))</f>
        <v/>
      </c>
      <c r="D94" s="20" t="str">
        <f>IF($C94="","",INDEX('02_Base_Potencial'!$A$5:$A$335,$C94-4)&amp;"")</f>
        <v/>
      </c>
      <c r="E94" s="6" t="str">
        <f>IF($C94="","",INDEX('02_Base_Potencial'!$D$5:$D$335,$C94-4)&amp;"")</f>
        <v/>
      </c>
      <c r="F94" s="6" t="str">
        <f>IF($C94="","",INDEX('02_Base_Potencial'!$E$5:$E$335,$C94-4)&amp;"")</f>
        <v/>
      </c>
      <c r="G94" s="20" t="str">
        <f>IF($C94="","",INDEX('02_Base_Potencial'!$F$5:$F$335,$C94-4)&amp;"")</f>
        <v/>
      </c>
      <c r="H94" s="20" t="str">
        <f>IF($C94="","",INDEX('02_Base_Potencial'!$G$5:$G$335,$C94-4))</f>
        <v/>
      </c>
      <c r="I94" s="20" t="str">
        <f>IF($C94="","",INDEX('02_Base_Potencial'!$H$5:$H$335,$C94-4))</f>
        <v/>
      </c>
      <c r="J94" s="20">
        <f>IF($C94="",0,IF(INDEX('02_Base_Potencial'!$J$5:$J$335,$C94-4)="",0,INDEX('02_Base_Potencial'!$J$5:$J$335,$C94-4)))</f>
        <v>0</v>
      </c>
      <c r="K94" s="6" t="str">
        <f>IF($C94="","",IF(INDEX('02_Base_Potencial'!$Q$5:$Q$335,$C94-4)="","",INDEX('02_Base_Potencial'!$Q$5:$Q$335,$C94-4)))</f>
        <v/>
      </c>
      <c r="L94" s="6" t="str">
        <f>IF($C94="","",IF(INDEX('02_Base_Potencial'!$R$5:$R$335,$C94-4)="","",INDEX('02_Base_Potencial'!$R$5:$R$335,$C94-4)))</f>
        <v/>
      </c>
      <c r="M94" s="6" t="str">
        <f>IF($C94="","",IF(INDEX('02_Base_Potencial'!$S$5:$S$335,$C94-4)="","",INDEX('02_Base_Potencial'!$S$5:$S$335,$C94-4)))</f>
        <v/>
      </c>
      <c r="N94" s="6" t="str">
        <f>IF($C94="","",IF(INDEX('02_Base_Potencial'!$T$5:$T$335,$C94-4)="","",INDEX('02_Base_Potencial'!$T$5:$T$335,$C94-4)))</f>
        <v/>
      </c>
      <c r="O94" s="6" t="str">
        <f>IF($C94="","",IF(INDEX('02_Base_Potencial'!$U$5:$U$335,$C94-4)="","",INDEX('02_Base_Potencial'!$U$5:$U$335,$C94-4)))</f>
        <v/>
      </c>
      <c r="P94" s="6" t="str">
        <f>IF($C94="","",IF(INDEX('02_Base_Potencial'!$V$5:$V$335,$C94-4)="","",INDEX('02_Base_Potencial'!$V$5:$V$335,$C94-4)))</f>
        <v/>
      </c>
      <c r="Q94" s="6" t="str">
        <f>IF($C94="","",IF(INDEX('02_Base_Potencial'!$W$5:$W$335,$C94-4)="","",INDEX('02_Base_Potencial'!$W$5:$W$335,$C94-4)))</f>
        <v/>
      </c>
      <c r="R94" s="6" t="str">
        <f>IF($C94="","",IF(INDEX('02_Base_Potencial'!$X$5:$X$335,$C94-4)="","",INDEX('02_Base_Potencial'!$X$5:$X$335,$C94-4)))</f>
        <v/>
      </c>
      <c r="S94" s="6" t="str">
        <f>IF($C94="","",IF(INDEX('02_Base_Potencial'!$Y$5:$Y$335,$C94-4)="","",INDEX('02_Base_Potencial'!$Y$5:$Y$335,$C94-4)))</f>
        <v/>
      </c>
      <c r="T94" s="6" t="str">
        <f>IF($C94="","",IF(INDEX('02_Base_Potencial'!$Z$5:$Z$335,$C94-4)="","",INDEX('02_Base_Potencial'!$Z$5:$Z$335,$C94-4)))</f>
        <v/>
      </c>
      <c r="U94" s="6" t="str">
        <f>IF($C94="","",IF(INDEX('02_Base_Potencial'!$AA$5:$AA$335,$C94-4)="","",INDEX('02_Base_Potencial'!$AA$5:$AA$335,$C94-4)))</f>
        <v/>
      </c>
      <c r="V94" s="6" t="str">
        <f>IF($C94="","",INDEX('02_Base_Potencial'!$K$5:$K$335,$C94-4)&amp;"")</f>
        <v/>
      </c>
      <c r="W94" s="6" t="str">
        <f>IF($C94="","",COUNT(K94:U94)&amp;"/11")</f>
        <v/>
      </c>
    </row>
    <row r="95" spans="1:23">
      <c r="A95" s="27" t="s">
        <v>85</v>
      </c>
      <c r="B95" s="25">
        <v>1</v>
      </c>
      <c r="C95" s="27" t="str">
        <f>IF(SUMPRODUCT(('02_Base_Potencial'!$B$5:$B$335=$A95)*('02_Base_Potencial'!$AR$5:$AR$335=$B95)*ROW('02_Base_Potencial'!$A$5:$A$335))=0,"",SUMPRODUCT(('02_Base_Potencial'!$B$5:$B$335=$A95)*('02_Base_Potencial'!$AR$5:$AR$335=$B95)*ROW('02_Base_Potencial'!$A$5:$A$335)))</f>
        <v/>
      </c>
      <c r="D95" s="25" t="str">
        <f>IF($C95="","",INDEX('02_Base_Potencial'!$A$5:$A$335,$C95-4)&amp;"")</f>
        <v/>
      </c>
      <c r="E95" s="27" t="str">
        <f>IF($C95="","",INDEX('02_Base_Potencial'!$D$5:$D$335,$C95-4)&amp;"")</f>
        <v/>
      </c>
      <c r="F95" s="27" t="str">
        <f>IF($C95="","",INDEX('02_Base_Potencial'!$E$5:$E$335,$C95-4)&amp;"")</f>
        <v/>
      </c>
      <c r="G95" s="25" t="str">
        <f>IF($C95="","",INDEX('02_Base_Potencial'!$F$5:$F$335,$C95-4)&amp;"")</f>
        <v/>
      </c>
      <c r="H95" s="25" t="str">
        <f>IF($C95="","",INDEX('02_Base_Potencial'!$G$5:$G$335,$C95-4))</f>
        <v/>
      </c>
      <c r="I95" s="25" t="str">
        <f>IF($C95="","",INDEX('02_Base_Potencial'!$H$5:$H$335,$C95-4))</f>
        <v/>
      </c>
      <c r="J95" s="25">
        <f>IF($C95="",0,IF(INDEX('02_Base_Potencial'!$J$5:$J$335,$C95-4)="",0,INDEX('02_Base_Potencial'!$J$5:$J$335,$C95-4)))</f>
        <v>0</v>
      </c>
      <c r="K95" s="27" t="str">
        <f>IF($C95="","",IF(INDEX('02_Base_Potencial'!$Q$5:$Q$335,$C95-4)="","",INDEX('02_Base_Potencial'!$Q$5:$Q$335,$C95-4)))</f>
        <v/>
      </c>
      <c r="L95" s="27" t="str">
        <f>IF($C95="","",IF(INDEX('02_Base_Potencial'!$R$5:$R$335,$C95-4)="","",INDEX('02_Base_Potencial'!$R$5:$R$335,$C95-4)))</f>
        <v/>
      </c>
      <c r="M95" s="27" t="str">
        <f>IF($C95="","",IF(INDEX('02_Base_Potencial'!$S$5:$S$335,$C95-4)="","",INDEX('02_Base_Potencial'!$S$5:$S$335,$C95-4)))</f>
        <v/>
      </c>
      <c r="N95" s="27" t="str">
        <f>IF($C95="","",IF(INDEX('02_Base_Potencial'!$T$5:$T$335,$C95-4)="","",INDEX('02_Base_Potencial'!$T$5:$T$335,$C95-4)))</f>
        <v/>
      </c>
      <c r="O95" s="27" t="str">
        <f>IF($C95="","",IF(INDEX('02_Base_Potencial'!$U$5:$U$335,$C95-4)="","",INDEX('02_Base_Potencial'!$U$5:$U$335,$C95-4)))</f>
        <v/>
      </c>
      <c r="P95" s="27" t="str">
        <f>IF($C95="","",IF(INDEX('02_Base_Potencial'!$V$5:$V$335,$C95-4)="","",INDEX('02_Base_Potencial'!$V$5:$V$335,$C95-4)))</f>
        <v/>
      </c>
      <c r="Q95" s="27" t="str">
        <f>IF($C95="","",IF(INDEX('02_Base_Potencial'!$W$5:$W$335,$C95-4)="","",INDEX('02_Base_Potencial'!$W$5:$W$335,$C95-4)))</f>
        <v/>
      </c>
      <c r="R95" s="27" t="str">
        <f>IF($C95="","",IF(INDEX('02_Base_Potencial'!$X$5:$X$335,$C95-4)="","",INDEX('02_Base_Potencial'!$X$5:$X$335,$C95-4)))</f>
        <v/>
      </c>
      <c r="S95" s="27" t="str">
        <f>IF($C95="","",IF(INDEX('02_Base_Potencial'!$Y$5:$Y$335,$C95-4)="","",INDEX('02_Base_Potencial'!$Y$5:$Y$335,$C95-4)))</f>
        <v/>
      </c>
      <c r="T95" s="27" t="str">
        <f>IF($C95="","",IF(INDEX('02_Base_Potencial'!$Z$5:$Z$335,$C95-4)="","",INDEX('02_Base_Potencial'!$Z$5:$Z$335,$C95-4)))</f>
        <v/>
      </c>
      <c r="U95" s="27" t="str">
        <f>IF($C95="","",IF(INDEX('02_Base_Potencial'!$AA$5:$AA$335,$C95-4)="","",INDEX('02_Base_Potencial'!$AA$5:$AA$335,$C95-4)))</f>
        <v/>
      </c>
      <c r="V95" s="6" t="str">
        <f>IF($C95="","",INDEX('02_Base_Potencial'!$K$5:$K$335,$C95-4)&amp;"")</f>
        <v/>
      </c>
      <c r="W95" s="6" t="str">
        <f>IF($C95="","",COUNT(K95:U95)&amp;"/11")</f>
        <v/>
      </c>
    </row>
    <row r="96" spans="1:23">
      <c r="A96" s="27" t="s">
        <v>85</v>
      </c>
      <c r="B96" s="25">
        <v>2</v>
      </c>
      <c r="C96" s="27" t="str">
        <f>IF(SUMPRODUCT(('02_Base_Potencial'!$B$5:$B$335=$A96)*('02_Base_Potencial'!$AR$5:$AR$335=$B96)*ROW('02_Base_Potencial'!$A$5:$A$335))=0,"",SUMPRODUCT(('02_Base_Potencial'!$B$5:$B$335=$A96)*('02_Base_Potencial'!$AR$5:$AR$335=$B96)*ROW('02_Base_Potencial'!$A$5:$A$335)))</f>
        <v/>
      </c>
      <c r="D96" s="25" t="str">
        <f>IF($C96="","",INDEX('02_Base_Potencial'!$A$5:$A$335,$C96-4)&amp;"")</f>
        <v/>
      </c>
      <c r="E96" s="27" t="str">
        <f>IF($C96="","",INDEX('02_Base_Potencial'!$D$5:$D$335,$C96-4)&amp;"")</f>
        <v/>
      </c>
      <c r="F96" s="27" t="str">
        <f>IF($C96="","",INDEX('02_Base_Potencial'!$E$5:$E$335,$C96-4)&amp;"")</f>
        <v/>
      </c>
      <c r="G96" s="25" t="str">
        <f>IF($C96="","",INDEX('02_Base_Potencial'!$F$5:$F$335,$C96-4)&amp;"")</f>
        <v/>
      </c>
      <c r="H96" s="25" t="str">
        <f>IF($C96="","",INDEX('02_Base_Potencial'!$G$5:$G$335,$C96-4))</f>
        <v/>
      </c>
      <c r="I96" s="25" t="str">
        <f>IF($C96="","",INDEX('02_Base_Potencial'!$H$5:$H$335,$C96-4))</f>
        <v/>
      </c>
      <c r="J96" s="25">
        <f>IF($C96="",0,IF(INDEX('02_Base_Potencial'!$J$5:$J$335,$C96-4)="",0,INDEX('02_Base_Potencial'!$J$5:$J$335,$C96-4)))</f>
        <v>0</v>
      </c>
      <c r="K96" s="27" t="str">
        <f>IF($C96="","",IF(INDEX('02_Base_Potencial'!$Q$5:$Q$335,$C96-4)="","",INDEX('02_Base_Potencial'!$Q$5:$Q$335,$C96-4)))</f>
        <v/>
      </c>
      <c r="L96" s="27" t="str">
        <f>IF($C96="","",IF(INDEX('02_Base_Potencial'!$R$5:$R$335,$C96-4)="","",INDEX('02_Base_Potencial'!$R$5:$R$335,$C96-4)))</f>
        <v/>
      </c>
      <c r="M96" s="27" t="str">
        <f>IF($C96="","",IF(INDEX('02_Base_Potencial'!$S$5:$S$335,$C96-4)="","",INDEX('02_Base_Potencial'!$S$5:$S$335,$C96-4)))</f>
        <v/>
      </c>
      <c r="N96" s="27" t="str">
        <f>IF($C96="","",IF(INDEX('02_Base_Potencial'!$T$5:$T$335,$C96-4)="","",INDEX('02_Base_Potencial'!$T$5:$T$335,$C96-4)))</f>
        <v/>
      </c>
      <c r="O96" s="27" t="str">
        <f>IF($C96="","",IF(INDEX('02_Base_Potencial'!$U$5:$U$335,$C96-4)="","",INDEX('02_Base_Potencial'!$U$5:$U$335,$C96-4)))</f>
        <v/>
      </c>
      <c r="P96" s="27" t="str">
        <f>IF($C96="","",IF(INDEX('02_Base_Potencial'!$V$5:$V$335,$C96-4)="","",INDEX('02_Base_Potencial'!$V$5:$V$335,$C96-4)))</f>
        <v/>
      </c>
      <c r="Q96" s="27" t="str">
        <f>IF($C96="","",IF(INDEX('02_Base_Potencial'!$W$5:$W$335,$C96-4)="","",INDEX('02_Base_Potencial'!$W$5:$W$335,$C96-4)))</f>
        <v/>
      </c>
      <c r="R96" s="27" t="str">
        <f>IF($C96="","",IF(INDEX('02_Base_Potencial'!$X$5:$X$335,$C96-4)="","",INDEX('02_Base_Potencial'!$X$5:$X$335,$C96-4)))</f>
        <v/>
      </c>
      <c r="S96" s="27" t="str">
        <f>IF($C96="","",IF(INDEX('02_Base_Potencial'!$Y$5:$Y$335,$C96-4)="","",INDEX('02_Base_Potencial'!$Y$5:$Y$335,$C96-4)))</f>
        <v/>
      </c>
      <c r="T96" s="27" t="str">
        <f>IF($C96="","",IF(INDEX('02_Base_Potencial'!$Z$5:$Z$335,$C96-4)="","",INDEX('02_Base_Potencial'!$Z$5:$Z$335,$C96-4)))</f>
        <v/>
      </c>
      <c r="U96" s="27" t="str">
        <f>IF($C96="","",IF(INDEX('02_Base_Potencial'!$AA$5:$AA$335,$C96-4)="","",INDEX('02_Base_Potencial'!$AA$5:$AA$335,$C96-4)))</f>
        <v/>
      </c>
      <c r="V96" s="6" t="str">
        <f>IF($C96="","",INDEX('02_Base_Potencial'!$K$5:$K$335,$C96-4)&amp;"")</f>
        <v/>
      </c>
      <c r="W96" s="6" t="str">
        <f>IF($C96="","",COUNT(K96:U96)&amp;"/11")</f>
        <v/>
      </c>
    </row>
    <row r="97" spans="1:23">
      <c r="A97" s="27" t="s">
        <v>85</v>
      </c>
      <c r="B97" s="25">
        <v>3</v>
      </c>
      <c r="C97" s="27" t="str">
        <f>IF(SUMPRODUCT(('02_Base_Potencial'!$B$5:$B$335=$A97)*('02_Base_Potencial'!$AR$5:$AR$335=$B97)*ROW('02_Base_Potencial'!$A$5:$A$335))=0,"",SUMPRODUCT(('02_Base_Potencial'!$B$5:$B$335=$A97)*('02_Base_Potencial'!$AR$5:$AR$335=$B97)*ROW('02_Base_Potencial'!$A$5:$A$335)))</f>
        <v/>
      </c>
      <c r="D97" s="25" t="str">
        <f>IF($C97="","",INDEX('02_Base_Potencial'!$A$5:$A$335,$C97-4)&amp;"")</f>
        <v/>
      </c>
      <c r="E97" s="27" t="str">
        <f>IF($C97="","",INDEX('02_Base_Potencial'!$D$5:$D$335,$C97-4)&amp;"")</f>
        <v/>
      </c>
      <c r="F97" s="27" t="str">
        <f>IF($C97="","",INDEX('02_Base_Potencial'!$E$5:$E$335,$C97-4)&amp;"")</f>
        <v/>
      </c>
      <c r="G97" s="25" t="str">
        <f>IF($C97="","",INDEX('02_Base_Potencial'!$F$5:$F$335,$C97-4)&amp;"")</f>
        <v/>
      </c>
      <c r="H97" s="25" t="str">
        <f>IF($C97="","",INDEX('02_Base_Potencial'!$G$5:$G$335,$C97-4))</f>
        <v/>
      </c>
      <c r="I97" s="25" t="str">
        <f>IF($C97="","",INDEX('02_Base_Potencial'!$H$5:$H$335,$C97-4))</f>
        <v/>
      </c>
      <c r="J97" s="25">
        <f>IF($C97="",0,IF(INDEX('02_Base_Potencial'!$J$5:$J$335,$C97-4)="",0,INDEX('02_Base_Potencial'!$J$5:$J$335,$C97-4)))</f>
        <v>0</v>
      </c>
      <c r="K97" s="27" t="str">
        <f>IF($C97="","",IF(INDEX('02_Base_Potencial'!$Q$5:$Q$335,$C97-4)="","",INDEX('02_Base_Potencial'!$Q$5:$Q$335,$C97-4)))</f>
        <v/>
      </c>
      <c r="L97" s="27" t="str">
        <f>IF($C97="","",IF(INDEX('02_Base_Potencial'!$R$5:$R$335,$C97-4)="","",INDEX('02_Base_Potencial'!$R$5:$R$335,$C97-4)))</f>
        <v/>
      </c>
      <c r="M97" s="27" t="str">
        <f>IF($C97="","",IF(INDEX('02_Base_Potencial'!$S$5:$S$335,$C97-4)="","",INDEX('02_Base_Potencial'!$S$5:$S$335,$C97-4)))</f>
        <v/>
      </c>
      <c r="N97" s="27" t="str">
        <f>IF($C97="","",IF(INDEX('02_Base_Potencial'!$T$5:$T$335,$C97-4)="","",INDEX('02_Base_Potencial'!$T$5:$T$335,$C97-4)))</f>
        <v/>
      </c>
      <c r="O97" s="27" t="str">
        <f>IF($C97="","",IF(INDEX('02_Base_Potencial'!$U$5:$U$335,$C97-4)="","",INDEX('02_Base_Potencial'!$U$5:$U$335,$C97-4)))</f>
        <v/>
      </c>
      <c r="P97" s="27" t="str">
        <f>IF($C97="","",IF(INDEX('02_Base_Potencial'!$V$5:$V$335,$C97-4)="","",INDEX('02_Base_Potencial'!$V$5:$V$335,$C97-4)))</f>
        <v/>
      </c>
      <c r="Q97" s="27" t="str">
        <f>IF($C97="","",IF(INDEX('02_Base_Potencial'!$W$5:$W$335,$C97-4)="","",INDEX('02_Base_Potencial'!$W$5:$W$335,$C97-4)))</f>
        <v/>
      </c>
      <c r="R97" s="27" t="str">
        <f>IF($C97="","",IF(INDEX('02_Base_Potencial'!$X$5:$X$335,$C97-4)="","",INDEX('02_Base_Potencial'!$X$5:$X$335,$C97-4)))</f>
        <v/>
      </c>
      <c r="S97" s="27" t="str">
        <f>IF($C97="","",IF(INDEX('02_Base_Potencial'!$Y$5:$Y$335,$C97-4)="","",INDEX('02_Base_Potencial'!$Y$5:$Y$335,$C97-4)))</f>
        <v/>
      </c>
      <c r="T97" s="27" t="str">
        <f>IF($C97="","",IF(INDEX('02_Base_Potencial'!$Z$5:$Z$335,$C97-4)="","",INDEX('02_Base_Potencial'!$Z$5:$Z$335,$C97-4)))</f>
        <v/>
      </c>
      <c r="U97" s="27" t="str">
        <f>IF($C97="","",IF(INDEX('02_Base_Potencial'!$AA$5:$AA$335,$C97-4)="","",INDEX('02_Base_Potencial'!$AA$5:$AA$335,$C97-4)))</f>
        <v/>
      </c>
      <c r="V97" s="6" t="str">
        <f>IF($C97="","",INDEX('02_Base_Potencial'!$K$5:$K$335,$C97-4)&amp;"")</f>
        <v/>
      </c>
      <c r="W97" s="6" t="str">
        <f>IF($C97="","",COUNT(K97:U97)&amp;"/11")</f>
        <v/>
      </c>
    </row>
    <row r="98" spans="1:23">
      <c r="A98" s="27" t="s">
        <v>85</v>
      </c>
      <c r="B98" s="25">
        <v>4</v>
      </c>
      <c r="C98" s="27" t="str">
        <f>IF(SUMPRODUCT(('02_Base_Potencial'!$B$5:$B$335=$A98)*('02_Base_Potencial'!$AR$5:$AR$335=$B98)*ROW('02_Base_Potencial'!$A$5:$A$335))=0,"",SUMPRODUCT(('02_Base_Potencial'!$B$5:$B$335=$A98)*('02_Base_Potencial'!$AR$5:$AR$335=$B98)*ROW('02_Base_Potencial'!$A$5:$A$335)))</f>
        <v/>
      </c>
      <c r="D98" s="25" t="str">
        <f>IF($C98="","",INDEX('02_Base_Potencial'!$A$5:$A$335,$C98-4)&amp;"")</f>
        <v/>
      </c>
      <c r="E98" s="27" t="str">
        <f>IF($C98="","",INDEX('02_Base_Potencial'!$D$5:$D$335,$C98-4)&amp;"")</f>
        <v/>
      </c>
      <c r="F98" s="27" t="str">
        <f>IF($C98="","",INDEX('02_Base_Potencial'!$E$5:$E$335,$C98-4)&amp;"")</f>
        <v/>
      </c>
      <c r="G98" s="25" t="str">
        <f>IF($C98="","",INDEX('02_Base_Potencial'!$F$5:$F$335,$C98-4)&amp;"")</f>
        <v/>
      </c>
      <c r="H98" s="25" t="str">
        <f>IF($C98="","",INDEX('02_Base_Potencial'!$G$5:$G$335,$C98-4))</f>
        <v/>
      </c>
      <c r="I98" s="25" t="str">
        <f>IF($C98="","",INDEX('02_Base_Potencial'!$H$5:$H$335,$C98-4))</f>
        <v/>
      </c>
      <c r="J98" s="25">
        <f>IF($C98="",0,IF(INDEX('02_Base_Potencial'!$J$5:$J$335,$C98-4)="",0,INDEX('02_Base_Potencial'!$J$5:$J$335,$C98-4)))</f>
        <v>0</v>
      </c>
      <c r="K98" s="27" t="str">
        <f>IF($C98="","",IF(INDEX('02_Base_Potencial'!$Q$5:$Q$335,$C98-4)="","",INDEX('02_Base_Potencial'!$Q$5:$Q$335,$C98-4)))</f>
        <v/>
      </c>
      <c r="L98" s="27" t="str">
        <f>IF($C98="","",IF(INDEX('02_Base_Potencial'!$R$5:$R$335,$C98-4)="","",INDEX('02_Base_Potencial'!$R$5:$R$335,$C98-4)))</f>
        <v/>
      </c>
      <c r="M98" s="27" t="str">
        <f>IF($C98="","",IF(INDEX('02_Base_Potencial'!$S$5:$S$335,$C98-4)="","",INDEX('02_Base_Potencial'!$S$5:$S$335,$C98-4)))</f>
        <v/>
      </c>
      <c r="N98" s="27" t="str">
        <f>IF($C98="","",IF(INDEX('02_Base_Potencial'!$T$5:$T$335,$C98-4)="","",INDEX('02_Base_Potencial'!$T$5:$T$335,$C98-4)))</f>
        <v/>
      </c>
      <c r="O98" s="27" t="str">
        <f>IF($C98="","",IF(INDEX('02_Base_Potencial'!$U$5:$U$335,$C98-4)="","",INDEX('02_Base_Potencial'!$U$5:$U$335,$C98-4)))</f>
        <v/>
      </c>
      <c r="P98" s="27" t="str">
        <f>IF($C98="","",IF(INDEX('02_Base_Potencial'!$V$5:$V$335,$C98-4)="","",INDEX('02_Base_Potencial'!$V$5:$V$335,$C98-4)))</f>
        <v/>
      </c>
      <c r="Q98" s="27" t="str">
        <f>IF($C98="","",IF(INDEX('02_Base_Potencial'!$W$5:$W$335,$C98-4)="","",INDEX('02_Base_Potencial'!$W$5:$W$335,$C98-4)))</f>
        <v/>
      </c>
      <c r="R98" s="27" t="str">
        <f>IF($C98="","",IF(INDEX('02_Base_Potencial'!$X$5:$X$335,$C98-4)="","",INDEX('02_Base_Potencial'!$X$5:$X$335,$C98-4)))</f>
        <v/>
      </c>
      <c r="S98" s="27" t="str">
        <f>IF($C98="","",IF(INDEX('02_Base_Potencial'!$Y$5:$Y$335,$C98-4)="","",INDEX('02_Base_Potencial'!$Y$5:$Y$335,$C98-4)))</f>
        <v/>
      </c>
      <c r="T98" s="27" t="str">
        <f>IF($C98="","",IF(INDEX('02_Base_Potencial'!$Z$5:$Z$335,$C98-4)="","",INDEX('02_Base_Potencial'!$Z$5:$Z$335,$C98-4)))</f>
        <v/>
      </c>
      <c r="U98" s="27" t="str">
        <f>IF($C98="","",IF(INDEX('02_Base_Potencial'!$AA$5:$AA$335,$C98-4)="","",INDEX('02_Base_Potencial'!$AA$5:$AA$335,$C98-4)))</f>
        <v/>
      </c>
      <c r="V98" s="6" t="str">
        <f>IF($C98="","",INDEX('02_Base_Potencial'!$K$5:$K$335,$C98-4)&amp;"")</f>
        <v/>
      </c>
      <c r="W98" s="6" t="str">
        <f>IF($C98="","",COUNT(K98:U98)&amp;"/11")</f>
        <v/>
      </c>
    </row>
    <row r="99" spans="1:23">
      <c r="A99" s="27" t="s">
        <v>85</v>
      </c>
      <c r="B99" s="25">
        <v>5</v>
      </c>
      <c r="C99" s="27" t="str">
        <f>IF(SUMPRODUCT(('02_Base_Potencial'!$B$5:$B$335=$A99)*('02_Base_Potencial'!$AR$5:$AR$335=$B99)*ROW('02_Base_Potencial'!$A$5:$A$335))=0,"",SUMPRODUCT(('02_Base_Potencial'!$B$5:$B$335=$A99)*('02_Base_Potencial'!$AR$5:$AR$335=$B99)*ROW('02_Base_Potencial'!$A$5:$A$335)))</f>
        <v/>
      </c>
      <c r="D99" s="25" t="str">
        <f>IF($C99="","",INDEX('02_Base_Potencial'!$A$5:$A$335,$C99-4)&amp;"")</f>
        <v/>
      </c>
      <c r="E99" s="27" t="str">
        <f>IF($C99="","",INDEX('02_Base_Potencial'!$D$5:$D$335,$C99-4)&amp;"")</f>
        <v/>
      </c>
      <c r="F99" s="27" t="str">
        <f>IF($C99="","",INDEX('02_Base_Potencial'!$E$5:$E$335,$C99-4)&amp;"")</f>
        <v/>
      </c>
      <c r="G99" s="25" t="str">
        <f>IF($C99="","",INDEX('02_Base_Potencial'!$F$5:$F$335,$C99-4)&amp;"")</f>
        <v/>
      </c>
      <c r="H99" s="25" t="str">
        <f>IF($C99="","",INDEX('02_Base_Potencial'!$G$5:$G$335,$C99-4))</f>
        <v/>
      </c>
      <c r="I99" s="25" t="str">
        <f>IF($C99="","",INDEX('02_Base_Potencial'!$H$5:$H$335,$C99-4))</f>
        <v/>
      </c>
      <c r="J99" s="25">
        <f>IF($C99="",0,IF(INDEX('02_Base_Potencial'!$J$5:$J$335,$C99-4)="",0,INDEX('02_Base_Potencial'!$J$5:$J$335,$C99-4)))</f>
        <v>0</v>
      </c>
      <c r="K99" s="27" t="str">
        <f>IF($C99="","",IF(INDEX('02_Base_Potencial'!$Q$5:$Q$335,$C99-4)="","",INDEX('02_Base_Potencial'!$Q$5:$Q$335,$C99-4)))</f>
        <v/>
      </c>
      <c r="L99" s="27" t="str">
        <f>IF($C99="","",IF(INDEX('02_Base_Potencial'!$R$5:$R$335,$C99-4)="","",INDEX('02_Base_Potencial'!$R$5:$R$335,$C99-4)))</f>
        <v/>
      </c>
      <c r="M99" s="27" t="str">
        <f>IF($C99="","",IF(INDEX('02_Base_Potencial'!$S$5:$S$335,$C99-4)="","",INDEX('02_Base_Potencial'!$S$5:$S$335,$C99-4)))</f>
        <v/>
      </c>
      <c r="N99" s="27" t="str">
        <f>IF($C99="","",IF(INDEX('02_Base_Potencial'!$T$5:$T$335,$C99-4)="","",INDEX('02_Base_Potencial'!$T$5:$T$335,$C99-4)))</f>
        <v/>
      </c>
      <c r="O99" s="27" t="str">
        <f>IF($C99="","",IF(INDEX('02_Base_Potencial'!$U$5:$U$335,$C99-4)="","",INDEX('02_Base_Potencial'!$U$5:$U$335,$C99-4)))</f>
        <v/>
      </c>
      <c r="P99" s="27" t="str">
        <f>IF($C99="","",IF(INDEX('02_Base_Potencial'!$V$5:$V$335,$C99-4)="","",INDEX('02_Base_Potencial'!$V$5:$V$335,$C99-4)))</f>
        <v/>
      </c>
      <c r="Q99" s="27" t="str">
        <f>IF($C99="","",IF(INDEX('02_Base_Potencial'!$W$5:$W$335,$C99-4)="","",INDEX('02_Base_Potencial'!$W$5:$W$335,$C99-4)))</f>
        <v/>
      </c>
      <c r="R99" s="27" t="str">
        <f>IF($C99="","",IF(INDEX('02_Base_Potencial'!$X$5:$X$335,$C99-4)="","",INDEX('02_Base_Potencial'!$X$5:$X$335,$C99-4)))</f>
        <v/>
      </c>
      <c r="S99" s="27" t="str">
        <f>IF($C99="","",IF(INDEX('02_Base_Potencial'!$Y$5:$Y$335,$C99-4)="","",INDEX('02_Base_Potencial'!$Y$5:$Y$335,$C99-4)))</f>
        <v/>
      </c>
      <c r="T99" s="27" t="str">
        <f>IF($C99="","",IF(INDEX('02_Base_Potencial'!$Z$5:$Z$335,$C99-4)="","",INDEX('02_Base_Potencial'!$Z$5:$Z$335,$C99-4)))</f>
        <v/>
      </c>
      <c r="U99" s="27" t="str">
        <f>IF($C99="","",IF(INDEX('02_Base_Potencial'!$AA$5:$AA$335,$C99-4)="","",INDEX('02_Base_Potencial'!$AA$5:$AA$335,$C99-4)))</f>
        <v/>
      </c>
      <c r="V99" s="6" t="str">
        <f>IF($C99="","",INDEX('02_Base_Potencial'!$K$5:$K$335,$C99-4)&amp;"")</f>
        <v/>
      </c>
      <c r="W99" s="6" t="str">
        <f>IF($C99="","",COUNT(K99:U99)&amp;"/11")</f>
        <v/>
      </c>
    </row>
    <row r="100" spans="1:23">
      <c r="A100" s="27" t="s">
        <v>85</v>
      </c>
      <c r="B100" s="25">
        <v>6</v>
      </c>
      <c r="C100" s="27" t="str">
        <f>IF(SUMPRODUCT(('02_Base_Potencial'!$B$5:$B$335=$A100)*('02_Base_Potencial'!$AR$5:$AR$335=$B100)*ROW('02_Base_Potencial'!$A$5:$A$335))=0,"",SUMPRODUCT(('02_Base_Potencial'!$B$5:$B$335=$A100)*('02_Base_Potencial'!$AR$5:$AR$335=$B100)*ROW('02_Base_Potencial'!$A$5:$A$335)))</f>
        <v/>
      </c>
      <c r="D100" s="25" t="str">
        <f>IF($C100="","",INDEX('02_Base_Potencial'!$A$5:$A$335,$C100-4)&amp;"")</f>
        <v/>
      </c>
      <c r="E100" s="27" t="str">
        <f>IF($C100="","",INDEX('02_Base_Potencial'!$D$5:$D$335,$C100-4)&amp;"")</f>
        <v/>
      </c>
      <c r="F100" s="27" t="str">
        <f>IF($C100="","",INDEX('02_Base_Potencial'!$E$5:$E$335,$C100-4)&amp;"")</f>
        <v/>
      </c>
      <c r="G100" s="25" t="str">
        <f>IF($C100="","",INDEX('02_Base_Potencial'!$F$5:$F$335,$C100-4)&amp;"")</f>
        <v/>
      </c>
      <c r="H100" s="25" t="str">
        <f>IF($C100="","",INDEX('02_Base_Potencial'!$G$5:$G$335,$C100-4))</f>
        <v/>
      </c>
      <c r="I100" s="25" t="str">
        <f>IF($C100="","",INDEX('02_Base_Potencial'!$H$5:$H$335,$C100-4))</f>
        <v/>
      </c>
      <c r="J100" s="25">
        <f>IF($C100="",0,IF(INDEX('02_Base_Potencial'!$J$5:$J$335,$C100-4)="",0,INDEX('02_Base_Potencial'!$J$5:$J$335,$C100-4)))</f>
        <v>0</v>
      </c>
      <c r="K100" s="27" t="str">
        <f>IF($C100="","",IF(INDEX('02_Base_Potencial'!$Q$5:$Q$335,$C100-4)="","",INDEX('02_Base_Potencial'!$Q$5:$Q$335,$C100-4)))</f>
        <v/>
      </c>
      <c r="L100" s="27" t="str">
        <f>IF($C100="","",IF(INDEX('02_Base_Potencial'!$R$5:$R$335,$C100-4)="","",INDEX('02_Base_Potencial'!$R$5:$R$335,$C100-4)))</f>
        <v/>
      </c>
      <c r="M100" s="27" t="str">
        <f>IF($C100="","",IF(INDEX('02_Base_Potencial'!$S$5:$S$335,$C100-4)="","",INDEX('02_Base_Potencial'!$S$5:$S$335,$C100-4)))</f>
        <v/>
      </c>
      <c r="N100" s="27" t="str">
        <f>IF($C100="","",IF(INDEX('02_Base_Potencial'!$T$5:$T$335,$C100-4)="","",INDEX('02_Base_Potencial'!$T$5:$T$335,$C100-4)))</f>
        <v/>
      </c>
      <c r="O100" s="27" t="str">
        <f>IF($C100="","",IF(INDEX('02_Base_Potencial'!$U$5:$U$335,$C100-4)="","",INDEX('02_Base_Potencial'!$U$5:$U$335,$C100-4)))</f>
        <v/>
      </c>
      <c r="P100" s="27" t="str">
        <f>IF($C100="","",IF(INDEX('02_Base_Potencial'!$V$5:$V$335,$C100-4)="","",INDEX('02_Base_Potencial'!$V$5:$V$335,$C100-4)))</f>
        <v/>
      </c>
      <c r="Q100" s="27" t="str">
        <f>IF($C100="","",IF(INDEX('02_Base_Potencial'!$W$5:$W$335,$C100-4)="","",INDEX('02_Base_Potencial'!$W$5:$W$335,$C100-4)))</f>
        <v/>
      </c>
      <c r="R100" s="27" t="str">
        <f>IF($C100="","",IF(INDEX('02_Base_Potencial'!$X$5:$X$335,$C100-4)="","",INDEX('02_Base_Potencial'!$X$5:$X$335,$C100-4)))</f>
        <v/>
      </c>
      <c r="S100" s="27" t="str">
        <f>IF($C100="","",IF(INDEX('02_Base_Potencial'!$Y$5:$Y$335,$C100-4)="","",INDEX('02_Base_Potencial'!$Y$5:$Y$335,$C100-4)))</f>
        <v/>
      </c>
      <c r="T100" s="27" t="str">
        <f>IF($C100="","",IF(INDEX('02_Base_Potencial'!$Z$5:$Z$335,$C100-4)="","",INDEX('02_Base_Potencial'!$Z$5:$Z$335,$C100-4)))</f>
        <v/>
      </c>
      <c r="U100" s="27" t="str">
        <f>IF($C100="","",IF(INDEX('02_Base_Potencial'!$AA$5:$AA$335,$C100-4)="","",INDEX('02_Base_Potencial'!$AA$5:$AA$335,$C100-4)))</f>
        <v/>
      </c>
      <c r="V100" s="6" t="str">
        <f>IF($C100="","",INDEX('02_Base_Potencial'!$K$5:$K$335,$C100-4)&amp;"")</f>
        <v/>
      </c>
      <c r="W100" s="6" t="str">
        <f>IF($C100="","",COUNT(K100:U100)&amp;"/11")</f>
        <v/>
      </c>
    </row>
    <row r="101" spans="1:23">
      <c r="A101" s="27" t="s">
        <v>85</v>
      </c>
      <c r="B101" s="25">
        <v>7</v>
      </c>
      <c r="C101" s="27" t="str">
        <f>IF(SUMPRODUCT(('02_Base_Potencial'!$B$5:$B$335=$A101)*('02_Base_Potencial'!$AR$5:$AR$335=$B101)*ROW('02_Base_Potencial'!$A$5:$A$335))=0,"",SUMPRODUCT(('02_Base_Potencial'!$B$5:$B$335=$A101)*('02_Base_Potencial'!$AR$5:$AR$335=$B101)*ROW('02_Base_Potencial'!$A$5:$A$335)))</f>
        <v/>
      </c>
      <c r="D101" s="25" t="str">
        <f>IF($C101="","",INDEX('02_Base_Potencial'!$A$5:$A$335,$C101-4)&amp;"")</f>
        <v/>
      </c>
      <c r="E101" s="27" t="str">
        <f>IF($C101="","",INDEX('02_Base_Potencial'!$D$5:$D$335,$C101-4)&amp;"")</f>
        <v/>
      </c>
      <c r="F101" s="27" t="str">
        <f>IF($C101="","",INDEX('02_Base_Potencial'!$E$5:$E$335,$C101-4)&amp;"")</f>
        <v/>
      </c>
      <c r="G101" s="25" t="str">
        <f>IF($C101="","",INDEX('02_Base_Potencial'!$F$5:$F$335,$C101-4)&amp;"")</f>
        <v/>
      </c>
      <c r="H101" s="25" t="str">
        <f>IF($C101="","",INDEX('02_Base_Potencial'!$G$5:$G$335,$C101-4))</f>
        <v/>
      </c>
      <c r="I101" s="25" t="str">
        <f>IF($C101="","",INDEX('02_Base_Potencial'!$H$5:$H$335,$C101-4))</f>
        <v/>
      </c>
      <c r="J101" s="25">
        <f>IF($C101="",0,IF(INDEX('02_Base_Potencial'!$J$5:$J$335,$C101-4)="",0,INDEX('02_Base_Potencial'!$J$5:$J$335,$C101-4)))</f>
        <v>0</v>
      </c>
      <c r="K101" s="27" t="str">
        <f>IF($C101="","",IF(INDEX('02_Base_Potencial'!$Q$5:$Q$335,$C101-4)="","",INDEX('02_Base_Potencial'!$Q$5:$Q$335,$C101-4)))</f>
        <v/>
      </c>
      <c r="L101" s="27" t="str">
        <f>IF($C101="","",IF(INDEX('02_Base_Potencial'!$R$5:$R$335,$C101-4)="","",INDEX('02_Base_Potencial'!$R$5:$R$335,$C101-4)))</f>
        <v/>
      </c>
      <c r="M101" s="27" t="str">
        <f>IF($C101="","",IF(INDEX('02_Base_Potencial'!$S$5:$S$335,$C101-4)="","",INDEX('02_Base_Potencial'!$S$5:$S$335,$C101-4)))</f>
        <v/>
      </c>
      <c r="N101" s="27" t="str">
        <f>IF($C101="","",IF(INDEX('02_Base_Potencial'!$T$5:$T$335,$C101-4)="","",INDEX('02_Base_Potencial'!$T$5:$T$335,$C101-4)))</f>
        <v/>
      </c>
      <c r="O101" s="27" t="str">
        <f>IF($C101="","",IF(INDEX('02_Base_Potencial'!$U$5:$U$335,$C101-4)="","",INDEX('02_Base_Potencial'!$U$5:$U$335,$C101-4)))</f>
        <v/>
      </c>
      <c r="P101" s="27" t="str">
        <f>IF($C101="","",IF(INDEX('02_Base_Potencial'!$V$5:$V$335,$C101-4)="","",INDEX('02_Base_Potencial'!$V$5:$V$335,$C101-4)))</f>
        <v/>
      </c>
      <c r="Q101" s="27" t="str">
        <f>IF($C101="","",IF(INDEX('02_Base_Potencial'!$W$5:$W$335,$C101-4)="","",INDEX('02_Base_Potencial'!$W$5:$W$335,$C101-4)))</f>
        <v/>
      </c>
      <c r="R101" s="27" t="str">
        <f>IF($C101="","",IF(INDEX('02_Base_Potencial'!$X$5:$X$335,$C101-4)="","",INDEX('02_Base_Potencial'!$X$5:$X$335,$C101-4)))</f>
        <v/>
      </c>
      <c r="S101" s="27" t="str">
        <f>IF($C101="","",IF(INDEX('02_Base_Potencial'!$Y$5:$Y$335,$C101-4)="","",INDEX('02_Base_Potencial'!$Y$5:$Y$335,$C101-4)))</f>
        <v/>
      </c>
      <c r="T101" s="27" t="str">
        <f>IF($C101="","",IF(INDEX('02_Base_Potencial'!$Z$5:$Z$335,$C101-4)="","",INDEX('02_Base_Potencial'!$Z$5:$Z$335,$C101-4)))</f>
        <v/>
      </c>
      <c r="U101" s="27" t="str">
        <f>IF($C101="","",IF(INDEX('02_Base_Potencial'!$AA$5:$AA$335,$C101-4)="","",INDEX('02_Base_Potencial'!$AA$5:$AA$335,$C101-4)))</f>
        <v/>
      </c>
      <c r="V101" s="6" t="str">
        <f>IF($C101="","",INDEX('02_Base_Potencial'!$K$5:$K$335,$C101-4)&amp;"")</f>
        <v/>
      </c>
      <c r="W101" s="6" t="str">
        <f>IF($C101="","",COUNT(K101:U101)&amp;"/11")</f>
        <v/>
      </c>
    </row>
    <row r="102" spans="1:23">
      <c r="A102" s="27" t="s">
        <v>85</v>
      </c>
      <c r="B102" s="25">
        <v>8</v>
      </c>
      <c r="C102" s="27" t="str">
        <f>IF(SUMPRODUCT(('02_Base_Potencial'!$B$5:$B$335=$A102)*('02_Base_Potencial'!$AR$5:$AR$335=$B102)*ROW('02_Base_Potencial'!$A$5:$A$335))=0,"",SUMPRODUCT(('02_Base_Potencial'!$B$5:$B$335=$A102)*('02_Base_Potencial'!$AR$5:$AR$335=$B102)*ROW('02_Base_Potencial'!$A$5:$A$335)))</f>
        <v/>
      </c>
      <c r="D102" s="25" t="str">
        <f>IF($C102="","",INDEX('02_Base_Potencial'!$A$5:$A$335,$C102-4)&amp;"")</f>
        <v/>
      </c>
      <c r="E102" s="27" t="str">
        <f>IF($C102="","",INDEX('02_Base_Potencial'!$D$5:$D$335,$C102-4)&amp;"")</f>
        <v/>
      </c>
      <c r="F102" s="27" t="str">
        <f>IF($C102="","",INDEX('02_Base_Potencial'!$E$5:$E$335,$C102-4)&amp;"")</f>
        <v/>
      </c>
      <c r="G102" s="25" t="str">
        <f>IF($C102="","",INDEX('02_Base_Potencial'!$F$5:$F$335,$C102-4)&amp;"")</f>
        <v/>
      </c>
      <c r="H102" s="25" t="str">
        <f>IF($C102="","",INDEX('02_Base_Potencial'!$G$5:$G$335,$C102-4))</f>
        <v/>
      </c>
      <c r="I102" s="25" t="str">
        <f>IF($C102="","",INDEX('02_Base_Potencial'!$H$5:$H$335,$C102-4))</f>
        <v/>
      </c>
      <c r="J102" s="25">
        <f>IF($C102="",0,IF(INDEX('02_Base_Potencial'!$J$5:$J$335,$C102-4)="",0,INDEX('02_Base_Potencial'!$J$5:$J$335,$C102-4)))</f>
        <v>0</v>
      </c>
      <c r="K102" s="27" t="str">
        <f>IF($C102="","",IF(INDEX('02_Base_Potencial'!$Q$5:$Q$335,$C102-4)="","",INDEX('02_Base_Potencial'!$Q$5:$Q$335,$C102-4)))</f>
        <v/>
      </c>
      <c r="L102" s="27" t="str">
        <f>IF($C102="","",IF(INDEX('02_Base_Potencial'!$R$5:$R$335,$C102-4)="","",INDEX('02_Base_Potencial'!$R$5:$R$335,$C102-4)))</f>
        <v/>
      </c>
      <c r="M102" s="27" t="str">
        <f>IF($C102="","",IF(INDEX('02_Base_Potencial'!$S$5:$S$335,$C102-4)="","",INDEX('02_Base_Potencial'!$S$5:$S$335,$C102-4)))</f>
        <v/>
      </c>
      <c r="N102" s="27" t="str">
        <f>IF($C102="","",IF(INDEX('02_Base_Potencial'!$T$5:$T$335,$C102-4)="","",INDEX('02_Base_Potencial'!$T$5:$T$335,$C102-4)))</f>
        <v/>
      </c>
      <c r="O102" s="27" t="str">
        <f>IF($C102="","",IF(INDEX('02_Base_Potencial'!$U$5:$U$335,$C102-4)="","",INDEX('02_Base_Potencial'!$U$5:$U$335,$C102-4)))</f>
        <v/>
      </c>
      <c r="P102" s="27" t="str">
        <f>IF($C102="","",IF(INDEX('02_Base_Potencial'!$V$5:$V$335,$C102-4)="","",INDEX('02_Base_Potencial'!$V$5:$V$335,$C102-4)))</f>
        <v/>
      </c>
      <c r="Q102" s="27" t="str">
        <f>IF($C102="","",IF(INDEX('02_Base_Potencial'!$W$5:$W$335,$C102-4)="","",INDEX('02_Base_Potencial'!$W$5:$W$335,$C102-4)))</f>
        <v/>
      </c>
      <c r="R102" s="27" t="str">
        <f>IF($C102="","",IF(INDEX('02_Base_Potencial'!$X$5:$X$335,$C102-4)="","",INDEX('02_Base_Potencial'!$X$5:$X$335,$C102-4)))</f>
        <v/>
      </c>
      <c r="S102" s="27" t="str">
        <f>IF($C102="","",IF(INDEX('02_Base_Potencial'!$Y$5:$Y$335,$C102-4)="","",INDEX('02_Base_Potencial'!$Y$5:$Y$335,$C102-4)))</f>
        <v/>
      </c>
      <c r="T102" s="27" t="str">
        <f>IF($C102="","",IF(INDEX('02_Base_Potencial'!$Z$5:$Z$335,$C102-4)="","",INDEX('02_Base_Potencial'!$Z$5:$Z$335,$C102-4)))</f>
        <v/>
      </c>
      <c r="U102" s="27" t="str">
        <f>IF($C102="","",IF(INDEX('02_Base_Potencial'!$AA$5:$AA$335,$C102-4)="","",INDEX('02_Base_Potencial'!$AA$5:$AA$335,$C102-4)))</f>
        <v/>
      </c>
      <c r="V102" s="6" t="str">
        <f>IF($C102="","",INDEX('02_Base_Potencial'!$K$5:$K$335,$C102-4)&amp;"")</f>
        <v/>
      </c>
      <c r="W102" s="6" t="str">
        <f>IF($C102="","",COUNT(K102:U102)&amp;"/11")</f>
        <v/>
      </c>
    </row>
    <row r="103" spans="1:23">
      <c r="A103" s="27" t="s">
        <v>85</v>
      </c>
      <c r="B103" s="25">
        <v>9</v>
      </c>
      <c r="C103" s="27" t="str">
        <f>IF(SUMPRODUCT(('02_Base_Potencial'!$B$5:$B$335=$A103)*('02_Base_Potencial'!$AR$5:$AR$335=$B103)*ROW('02_Base_Potencial'!$A$5:$A$335))=0,"",SUMPRODUCT(('02_Base_Potencial'!$B$5:$B$335=$A103)*('02_Base_Potencial'!$AR$5:$AR$335=$B103)*ROW('02_Base_Potencial'!$A$5:$A$335)))</f>
        <v/>
      </c>
      <c r="D103" s="25" t="str">
        <f>IF($C103="","",INDEX('02_Base_Potencial'!$A$5:$A$335,$C103-4)&amp;"")</f>
        <v/>
      </c>
      <c r="E103" s="27" t="str">
        <f>IF($C103="","",INDEX('02_Base_Potencial'!$D$5:$D$335,$C103-4)&amp;"")</f>
        <v/>
      </c>
      <c r="F103" s="27" t="str">
        <f>IF($C103="","",INDEX('02_Base_Potencial'!$E$5:$E$335,$C103-4)&amp;"")</f>
        <v/>
      </c>
      <c r="G103" s="25" t="str">
        <f>IF($C103="","",INDEX('02_Base_Potencial'!$F$5:$F$335,$C103-4)&amp;"")</f>
        <v/>
      </c>
      <c r="H103" s="25" t="str">
        <f>IF($C103="","",INDEX('02_Base_Potencial'!$G$5:$G$335,$C103-4))</f>
        <v/>
      </c>
      <c r="I103" s="25" t="str">
        <f>IF($C103="","",INDEX('02_Base_Potencial'!$H$5:$H$335,$C103-4))</f>
        <v/>
      </c>
      <c r="J103" s="25">
        <f>IF($C103="",0,IF(INDEX('02_Base_Potencial'!$J$5:$J$335,$C103-4)="",0,INDEX('02_Base_Potencial'!$J$5:$J$335,$C103-4)))</f>
        <v>0</v>
      </c>
      <c r="K103" s="27" t="str">
        <f>IF($C103="","",IF(INDEX('02_Base_Potencial'!$Q$5:$Q$335,$C103-4)="","",INDEX('02_Base_Potencial'!$Q$5:$Q$335,$C103-4)))</f>
        <v/>
      </c>
      <c r="L103" s="27" t="str">
        <f>IF($C103="","",IF(INDEX('02_Base_Potencial'!$R$5:$R$335,$C103-4)="","",INDEX('02_Base_Potencial'!$R$5:$R$335,$C103-4)))</f>
        <v/>
      </c>
      <c r="M103" s="27" t="str">
        <f>IF($C103="","",IF(INDEX('02_Base_Potencial'!$S$5:$S$335,$C103-4)="","",INDEX('02_Base_Potencial'!$S$5:$S$335,$C103-4)))</f>
        <v/>
      </c>
      <c r="N103" s="27" t="str">
        <f>IF($C103="","",IF(INDEX('02_Base_Potencial'!$T$5:$T$335,$C103-4)="","",INDEX('02_Base_Potencial'!$T$5:$T$335,$C103-4)))</f>
        <v/>
      </c>
      <c r="O103" s="27" t="str">
        <f>IF($C103="","",IF(INDEX('02_Base_Potencial'!$U$5:$U$335,$C103-4)="","",INDEX('02_Base_Potencial'!$U$5:$U$335,$C103-4)))</f>
        <v/>
      </c>
      <c r="P103" s="27" t="str">
        <f>IF($C103="","",IF(INDEX('02_Base_Potencial'!$V$5:$V$335,$C103-4)="","",INDEX('02_Base_Potencial'!$V$5:$V$335,$C103-4)))</f>
        <v/>
      </c>
      <c r="Q103" s="27" t="str">
        <f>IF($C103="","",IF(INDEX('02_Base_Potencial'!$W$5:$W$335,$C103-4)="","",INDEX('02_Base_Potencial'!$W$5:$W$335,$C103-4)))</f>
        <v/>
      </c>
      <c r="R103" s="27" t="str">
        <f>IF($C103="","",IF(INDEX('02_Base_Potencial'!$X$5:$X$335,$C103-4)="","",INDEX('02_Base_Potencial'!$X$5:$X$335,$C103-4)))</f>
        <v/>
      </c>
      <c r="S103" s="27" t="str">
        <f>IF($C103="","",IF(INDEX('02_Base_Potencial'!$Y$5:$Y$335,$C103-4)="","",INDEX('02_Base_Potencial'!$Y$5:$Y$335,$C103-4)))</f>
        <v/>
      </c>
      <c r="T103" s="27" t="str">
        <f>IF($C103="","",IF(INDEX('02_Base_Potencial'!$Z$5:$Z$335,$C103-4)="","",INDEX('02_Base_Potencial'!$Z$5:$Z$335,$C103-4)))</f>
        <v/>
      </c>
      <c r="U103" s="27" t="str">
        <f>IF($C103="","",IF(INDEX('02_Base_Potencial'!$AA$5:$AA$335,$C103-4)="","",INDEX('02_Base_Potencial'!$AA$5:$AA$335,$C103-4)))</f>
        <v/>
      </c>
      <c r="V103" s="6" t="str">
        <f>IF($C103="","",INDEX('02_Base_Potencial'!$K$5:$K$335,$C103-4)&amp;"")</f>
        <v/>
      </c>
      <c r="W103" s="6" t="str">
        <f>IF($C103="","",COUNT(K103:U103)&amp;"/11")</f>
        <v/>
      </c>
    </row>
    <row r="104" spans="1:23">
      <c r="A104" s="27" t="s">
        <v>85</v>
      </c>
      <c r="B104" s="25">
        <v>10</v>
      </c>
      <c r="C104" s="27" t="str">
        <f>IF(SUMPRODUCT(('02_Base_Potencial'!$B$5:$B$335=$A104)*('02_Base_Potencial'!$AR$5:$AR$335=$B104)*ROW('02_Base_Potencial'!$A$5:$A$335))=0,"",SUMPRODUCT(('02_Base_Potencial'!$B$5:$B$335=$A104)*('02_Base_Potencial'!$AR$5:$AR$335=$B104)*ROW('02_Base_Potencial'!$A$5:$A$335)))</f>
        <v/>
      </c>
      <c r="D104" s="25" t="str">
        <f>IF($C104="","",INDEX('02_Base_Potencial'!$A$5:$A$335,$C104-4)&amp;"")</f>
        <v/>
      </c>
      <c r="E104" s="27" t="str">
        <f>IF($C104="","",INDEX('02_Base_Potencial'!$D$5:$D$335,$C104-4)&amp;"")</f>
        <v/>
      </c>
      <c r="F104" s="27" t="str">
        <f>IF($C104="","",INDEX('02_Base_Potencial'!$E$5:$E$335,$C104-4)&amp;"")</f>
        <v/>
      </c>
      <c r="G104" s="25" t="str">
        <f>IF($C104="","",INDEX('02_Base_Potencial'!$F$5:$F$335,$C104-4)&amp;"")</f>
        <v/>
      </c>
      <c r="H104" s="25" t="str">
        <f>IF($C104="","",INDEX('02_Base_Potencial'!$G$5:$G$335,$C104-4))</f>
        <v/>
      </c>
      <c r="I104" s="25" t="str">
        <f>IF($C104="","",INDEX('02_Base_Potencial'!$H$5:$H$335,$C104-4))</f>
        <v/>
      </c>
      <c r="J104" s="25">
        <f>IF($C104="",0,IF(INDEX('02_Base_Potencial'!$J$5:$J$335,$C104-4)="",0,INDEX('02_Base_Potencial'!$J$5:$J$335,$C104-4)))</f>
        <v>0</v>
      </c>
      <c r="K104" s="27" t="str">
        <f>IF($C104="","",IF(INDEX('02_Base_Potencial'!$Q$5:$Q$335,$C104-4)="","",INDEX('02_Base_Potencial'!$Q$5:$Q$335,$C104-4)))</f>
        <v/>
      </c>
      <c r="L104" s="27" t="str">
        <f>IF($C104="","",IF(INDEX('02_Base_Potencial'!$R$5:$R$335,$C104-4)="","",INDEX('02_Base_Potencial'!$R$5:$R$335,$C104-4)))</f>
        <v/>
      </c>
      <c r="M104" s="27" t="str">
        <f>IF($C104="","",IF(INDEX('02_Base_Potencial'!$S$5:$S$335,$C104-4)="","",INDEX('02_Base_Potencial'!$S$5:$S$335,$C104-4)))</f>
        <v/>
      </c>
      <c r="N104" s="27" t="str">
        <f>IF($C104="","",IF(INDEX('02_Base_Potencial'!$T$5:$T$335,$C104-4)="","",INDEX('02_Base_Potencial'!$T$5:$T$335,$C104-4)))</f>
        <v/>
      </c>
      <c r="O104" s="27" t="str">
        <f>IF($C104="","",IF(INDEX('02_Base_Potencial'!$U$5:$U$335,$C104-4)="","",INDEX('02_Base_Potencial'!$U$5:$U$335,$C104-4)))</f>
        <v/>
      </c>
      <c r="P104" s="27" t="str">
        <f>IF($C104="","",IF(INDEX('02_Base_Potencial'!$V$5:$V$335,$C104-4)="","",INDEX('02_Base_Potencial'!$V$5:$V$335,$C104-4)))</f>
        <v/>
      </c>
      <c r="Q104" s="27" t="str">
        <f>IF($C104="","",IF(INDEX('02_Base_Potencial'!$W$5:$W$335,$C104-4)="","",INDEX('02_Base_Potencial'!$W$5:$W$335,$C104-4)))</f>
        <v/>
      </c>
      <c r="R104" s="27" t="str">
        <f>IF($C104="","",IF(INDEX('02_Base_Potencial'!$X$5:$X$335,$C104-4)="","",INDEX('02_Base_Potencial'!$X$5:$X$335,$C104-4)))</f>
        <v/>
      </c>
      <c r="S104" s="27" t="str">
        <f>IF($C104="","",IF(INDEX('02_Base_Potencial'!$Y$5:$Y$335,$C104-4)="","",INDEX('02_Base_Potencial'!$Y$5:$Y$335,$C104-4)))</f>
        <v/>
      </c>
      <c r="T104" s="27" t="str">
        <f>IF($C104="","",IF(INDEX('02_Base_Potencial'!$Z$5:$Z$335,$C104-4)="","",INDEX('02_Base_Potencial'!$Z$5:$Z$335,$C104-4)))</f>
        <v/>
      </c>
      <c r="U104" s="27" t="str">
        <f>IF($C104="","",IF(INDEX('02_Base_Potencial'!$AA$5:$AA$335,$C104-4)="","",INDEX('02_Base_Potencial'!$AA$5:$AA$335,$C104-4)))</f>
        <v/>
      </c>
      <c r="V104" s="6" t="str">
        <f>IF($C104="","",INDEX('02_Base_Potencial'!$K$5:$K$335,$C104-4)&amp;"")</f>
        <v/>
      </c>
      <c r="W104" s="6" t="str">
        <f>IF($C104="","",COUNT(K104:U104)&amp;"/11")</f>
        <v/>
      </c>
    </row>
    <row r="105" spans="1:23">
      <c r="A105" s="6" t="s">
        <v>86</v>
      </c>
      <c r="B105" s="20">
        <v>1</v>
      </c>
      <c r="C105" s="6" t="str">
        <f>IF(SUMPRODUCT(('02_Base_Potencial'!$B$5:$B$335=$A105)*('02_Base_Potencial'!$AR$5:$AR$335=$B105)*ROW('02_Base_Potencial'!$A$5:$A$335))=0,"",SUMPRODUCT(('02_Base_Potencial'!$B$5:$B$335=$A105)*('02_Base_Potencial'!$AR$5:$AR$335=$B105)*ROW('02_Base_Potencial'!$A$5:$A$335)))</f>
        <v/>
      </c>
      <c r="D105" s="20" t="str">
        <f>IF($C105="","",INDEX('02_Base_Potencial'!$A$5:$A$335,$C105-4)&amp;"")</f>
        <v/>
      </c>
      <c r="E105" s="6" t="str">
        <f>IF($C105="","",INDEX('02_Base_Potencial'!$D$5:$D$335,$C105-4)&amp;"")</f>
        <v/>
      </c>
      <c r="F105" s="6" t="str">
        <f>IF($C105="","",INDEX('02_Base_Potencial'!$E$5:$E$335,$C105-4)&amp;"")</f>
        <v/>
      </c>
      <c r="G105" s="20" t="str">
        <f>IF($C105="","",INDEX('02_Base_Potencial'!$F$5:$F$335,$C105-4)&amp;"")</f>
        <v/>
      </c>
      <c r="H105" s="20" t="str">
        <f>IF($C105="","",INDEX('02_Base_Potencial'!$G$5:$G$335,$C105-4))</f>
        <v/>
      </c>
      <c r="I105" s="20" t="str">
        <f>IF($C105="","",INDEX('02_Base_Potencial'!$H$5:$H$335,$C105-4))</f>
        <v/>
      </c>
      <c r="J105" s="20">
        <f>IF($C105="",0,IF(INDEX('02_Base_Potencial'!$J$5:$J$335,$C105-4)="",0,INDEX('02_Base_Potencial'!$J$5:$J$335,$C105-4)))</f>
        <v>0</v>
      </c>
      <c r="K105" s="6" t="str">
        <f>IF($C105="","",IF(INDEX('02_Base_Potencial'!$Q$5:$Q$335,$C105-4)="","",INDEX('02_Base_Potencial'!$Q$5:$Q$335,$C105-4)))</f>
        <v/>
      </c>
      <c r="L105" s="6" t="str">
        <f>IF($C105="","",IF(INDEX('02_Base_Potencial'!$R$5:$R$335,$C105-4)="","",INDEX('02_Base_Potencial'!$R$5:$R$335,$C105-4)))</f>
        <v/>
      </c>
      <c r="M105" s="6" t="str">
        <f>IF($C105="","",IF(INDEX('02_Base_Potencial'!$S$5:$S$335,$C105-4)="","",INDEX('02_Base_Potencial'!$S$5:$S$335,$C105-4)))</f>
        <v/>
      </c>
      <c r="N105" s="6" t="str">
        <f>IF($C105="","",IF(INDEX('02_Base_Potencial'!$T$5:$T$335,$C105-4)="","",INDEX('02_Base_Potencial'!$T$5:$T$335,$C105-4)))</f>
        <v/>
      </c>
      <c r="O105" s="6" t="str">
        <f>IF($C105="","",IF(INDEX('02_Base_Potencial'!$U$5:$U$335,$C105-4)="","",INDEX('02_Base_Potencial'!$U$5:$U$335,$C105-4)))</f>
        <v/>
      </c>
      <c r="P105" s="6" t="str">
        <f>IF($C105="","",IF(INDEX('02_Base_Potencial'!$V$5:$V$335,$C105-4)="","",INDEX('02_Base_Potencial'!$V$5:$V$335,$C105-4)))</f>
        <v/>
      </c>
      <c r="Q105" s="6" t="str">
        <f>IF($C105="","",IF(INDEX('02_Base_Potencial'!$W$5:$W$335,$C105-4)="","",INDEX('02_Base_Potencial'!$W$5:$W$335,$C105-4)))</f>
        <v/>
      </c>
      <c r="R105" s="6" t="str">
        <f>IF($C105="","",IF(INDEX('02_Base_Potencial'!$X$5:$X$335,$C105-4)="","",INDEX('02_Base_Potencial'!$X$5:$X$335,$C105-4)))</f>
        <v/>
      </c>
      <c r="S105" s="6" t="str">
        <f>IF($C105="","",IF(INDEX('02_Base_Potencial'!$Y$5:$Y$335,$C105-4)="","",INDEX('02_Base_Potencial'!$Y$5:$Y$335,$C105-4)))</f>
        <v/>
      </c>
      <c r="T105" s="6" t="str">
        <f>IF($C105="","",IF(INDEX('02_Base_Potencial'!$Z$5:$Z$335,$C105-4)="","",INDEX('02_Base_Potencial'!$Z$5:$Z$335,$C105-4)))</f>
        <v/>
      </c>
      <c r="U105" s="6" t="str">
        <f>IF($C105="","",IF(INDEX('02_Base_Potencial'!$AA$5:$AA$335,$C105-4)="","",INDEX('02_Base_Potencial'!$AA$5:$AA$335,$C105-4)))</f>
        <v/>
      </c>
      <c r="V105" s="6" t="str">
        <f>IF($C105="","",INDEX('02_Base_Potencial'!$K$5:$K$335,$C105-4)&amp;"")</f>
        <v/>
      </c>
      <c r="W105" s="6" t="str">
        <f>IF($C105="","",COUNT(K105:U105)&amp;"/11")</f>
        <v/>
      </c>
    </row>
    <row r="106" spans="1:23">
      <c r="A106" s="6" t="s">
        <v>86</v>
      </c>
      <c r="B106" s="20">
        <v>2</v>
      </c>
      <c r="C106" s="6" t="str">
        <f>IF(SUMPRODUCT(('02_Base_Potencial'!$B$5:$B$335=$A106)*('02_Base_Potencial'!$AR$5:$AR$335=$B106)*ROW('02_Base_Potencial'!$A$5:$A$335))=0,"",SUMPRODUCT(('02_Base_Potencial'!$B$5:$B$335=$A106)*('02_Base_Potencial'!$AR$5:$AR$335=$B106)*ROW('02_Base_Potencial'!$A$5:$A$335)))</f>
        <v/>
      </c>
      <c r="D106" s="20" t="str">
        <f>IF($C106="","",INDEX('02_Base_Potencial'!$A$5:$A$335,$C106-4)&amp;"")</f>
        <v/>
      </c>
      <c r="E106" s="6" t="str">
        <f>IF($C106="","",INDEX('02_Base_Potencial'!$D$5:$D$335,$C106-4)&amp;"")</f>
        <v/>
      </c>
      <c r="F106" s="6" t="str">
        <f>IF($C106="","",INDEX('02_Base_Potencial'!$E$5:$E$335,$C106-4)&amp;"")</f>
        <v/>
      </c>
      <c r="G106" s="20" t="str">
        <f>IF($C106="","",INDEX('02_Base_Potencial'!$F$5:$F$335,$C106-4)&amp;"")</f>
        <v/>
      </c>
      <c r="H106" s="20" t="str">
        <f>IF($C106="","",INDEX('02_Base_Potencial'!$G$5:$G$335,$C106-4))</f>
        <v/>
      </c>
      <c r="I106" s="20" t="str">
        <f>IF($C106="","",INDEX('02_Base_Potencial'!$H$5:$H$335,$C106-4))</f>
        <v/>
      </c>
      <c r="J106" s="20">
        <f>IF($C106="",0,IF(INDEX('02_Base_Potencial'!$J$5:$J$335,$C106-4)="",0,INDEX('02_Base_Potencial'!$J$5:$J$335,$C106-4)))</f>
        <v>0</v>
      </c>
      <c r="K106" s="6" t="str">
        <f>IF($C106="","",IF(INDEX('02_Base_Potencial'!$Q$5:$Q$335,$C106-4)="","",INDEX('02_Base_Potencial'!$Q$5:$Q$335,$C106-4)))</f>
        <v/>
      </c>
      <c r="L106" s="6" t="str">
        <f>IF($C106="","",IF(INDEX('02_Base_Potencial'!$R$5:$R$335,$C106-4)="","",INDEX('02_Base_Potencial'!$R$5:$R$335,$C106-4)))</f>
        <v/>
      </c>
      <c r="M106" s="6" t="str">
        <f>IF($C106="","",IF(INDEX('02_Base_Potencial'!$S$5:$S$335,$C106-4)="","",INDEX('02_Base_Potencial'!$S$5:$S$335,$C106-4)))</f>
        <v/>
      </c>
      <c r="N106" s="6" t="str">
        <f>IF($C106="","",IF(INDEX('02_Base_Potencial'!$T$5:$T$335,$C106-4)="","",INDEX('02_Base_Potencial'!$T$5:$T$335,$C106-4)))</f>
        <v/>
      </c>
      <c r="O106" s="6" t="str">
        <f>IF($C106="","",IF(INDEX('02_Base_Potencial'!$U$5:$U$335,$C106-4)="","",INDEX('02_Base_Potencial'!$U$5:$U$335,$C106-4)))</f>
        <v/>
      </c>
      <c r="P106" s="6" t="str">
        <f>IF($C106="","",IF(INDEX('02_Base_Potencial'!$V$5:$V$335,$C106-4)="","",INDEX('02_Base_Potencial'!$V$5:$V$335,$C106-4)))</f>
        <v/>
      </c>
      <c r="Q106" s="6" t="str">
        <f>IF($C106="","",IF(INDEX('02_Base_Potencial'!$W$5:$W$335,$C106-4)="","",INDEX('02_Base_Potencial'!$W$5:$W$335,$C106-4)))</f>
        <v/>
      </c>
      <c r="R106" s="6" t="str">
        <f>IF($C106="","",IF(INDEX('02_Base_Potencial'!$X$5:$X$335,$C106-4)="","",INDEX('02_Base_Potencial'!$X$5:$X$335,$C106-4)))</f>
        <v/>
      </c>
      <c r="S106" s="6" t="str">
        <f>IF($C106="","",IF(INDEX('02_Base_Potencial'!$Y$5:$Y$335,$C106-4)="","",INDEX('02_Base_Potencial'!$Y$5:$Y$335,$C106-4)))</f>
        <v/>
      </c>
      <c r="T106" s="6" t="str">
        <f>IF($C106="","",IF(INDEX('02_Base_Potencial'!$Z$5:$Z$335,$C106-4)="","",INDEX('02_Base_Potencial'!$Z$5:$Z$335,$C106-4)))</f>
        <v/>
      </c>
      <c r="U106" s="6" t="str">
        <f>IF($C106="","",IF(INDEX('02_Base_Potencial'!$AA$5:$AA$335,$C106-4)="","",INDEX('02_Base_Potencial'!$AA$5:$AA$335,$C106-4)))</f>
        <v/>
      </c>
      <c r="V106" s="6" t="str">
        <f>IF($C106="","",INDEX('02_Base_Potencial'!$K$5:$K$335,$C106-4)&amp;"")</f>
        <v/>
      </c>
      <c r="W106" s="6" t="str">
        <f>IF($C106="","",COUNT(K106:U106)&amp;"/11")</f>
        <v/>
      </c>
    </row>
    <row r="107" spans="1:23">
      <c r="A107" s="6" t="s">
        <v>86</v>
      </c>
      <c r="B107" s="20">
        <v>3</v>
      </c>
      <c r="C107" s="6" t="str">
        <f>IF(SUMPRODUCT(('02_Base_Potencial'!$B$5:$B$335=$A107)*('02_Base_Potencial'!$AR$5:$AR$335=$B107)*ROW('02_Base_Potencial'!$A$5:$A$335))=0,"",SUMPRODUCT(('02_Base_Potencial'!$B$5:$B$335=$A107)*('02_Base_Potencial'!$AR$5:$AR$335=$B107)*ROW('02_Base_Potencial'!$A$5:$A$335)))</f>
        <v/>
      </c>
      <c r="D107" s="20" t="str">
        <f>IF($C107="","",INDEX('02_Base_Potencial'!$A$5:$A$335,$C107-4)&amp;"")</f>
        <v/>
      </c>
      <c r="E107" s="6" t="str">
        <f>IF($C107="","",INDEX('02_Base_Potencial'!$D$5:$D$335,$C107-4)&amp;"")</f>
        <v/>
      </c>
      <c r="F107" s="6" t="str">
        <f>IF($C107="","",INDEX('02_Base_Potencial'!$E$5:$E$335,$C107-4)&amp;"")</f>
        <v/>
      </c>
      <c r="G107" s="20" t="str">
        <f>IF($C107="","",INDEX('02_Base_Potencial'!$F$5:$F$335,$C107-4)&amp;"")</f>
        <v/>
      </c>
      <c r="H107" s="20" t="str">
        <f>IF($C107="","",INDEX('02_Base_Potencial'!$G$5:$G$335,$C107-4))</f>
        <v/>
      </c>
      <c r="I107" s="20" t="str">
        <f>IF($C107="","",INDEX('02_Base_Potencial'!$H$5:$H$335,$C107-4))</f>
        <v/>
      </c>
      <c r="J107" s="20">
        <f>IF($C107="",0,IF(INDEX('02_Base_Potencial'!$J$5:$J$335,$C107-4)="",0,INDEX('02_Base_Potencial'!$J$5:$J$335,$C107-4)))</f>
        <v>0</v>
      </c>
      <c r="K107" s="6" t="str">
        <f>IF($C107="","",IF(INDEX('02_Base_Potencial'!$Q$5:$Q$335,$C107-4)="","",INDEX('02_Base_Potencial'!$Q$5:$Q$335,$C107-4)))</f>
        <v/>
      </c>
      <c r="L107" s="6" t="str">
        <f>IF($C107="","",IF(INDEX('02_Base_Potencial'!$R$5:$R$335,$C107-4)="","",INDEX('02_Base_Potencial'!$R$5:$R$335,$C107-4)))</f>
        <v/>
      </c>
      <c r="M107" s="6" t="str">
        <f>IF($C107="","",IF(INDEX('02_Base_Potencial'!$S$5:$S$335,$C107-4)="","",INDEX('02_Base_Potencial'!$S$5:$S$335,$C107-4)))</f>
        <v/>
      </c>
      <c r="N107" s="6" t="str">
        <f>IF($C107="","",IF(INDEX('02_Base_Potencial'!$T$5:$T$335,$C107-4)="","",INDEX('02_Base_Potencial'!$T$5:$T$335,$C107-4)))</f>
        <v/>
      </c>
      <c r="O107" s="6" t="str">
        <f>IF($C107="","",IF(INDEX('02_Base_Potencial'!$U$5:$U$335,$C107-4)="","",INDEX('02_Base_Potencial'!$U$5:$U$335,$C107-4)))</f>
        <v/>
      </c>
      <c r="P107" s="6" t="str">
        <f>IF($C107="","",IF(INDEX('02_Base_Potencial'!$V$5:$V$335,$C107-4)="","",INDEX('02_Base_Potencial'!$V$5:$V$335,$C107-4)))</f>
        <v/>
      </c>
      <c r="Q107" s="6" t="str">
        <f>IF($C107="","",IF(INDEX('02_Base_Potencial'!$W$5:$W$335,$C107-4)="","",INDEX('02_Base_Potencial'!$W$5:$W$335,$C107-4)))</f>
        <v/>
      </c>
      <c r="R107" s="6" t="str">
        <f>IF($C107="","",IF(INDEX('02_Base_Potencial'!$X$5:$X$335,$C107-4)="","",INDEX('02_Base_Potencial'!$X$5:$X$335,$C107-4)))</f>
        <v/>
      </c>
      <c r="S107" s="6" t="str">
        <f>IF($C107="","",IF(INDEX('02_Base_Potencial'!$Y$5:$Y$335,$C107-4)="","",INDEX('02_Base_Potencial'!$Y$5:$Y$335,$C107-4)))</f>
        <v/>
      </c>
      <c r="T107" s="6" t="str">
        <f>IF($C107="","",IF(INDEX('02_Base_Potencial'!$Z$5:$Z$335,$C107-4)="","",INDEX('02_Base_Potencial'!$Z$5:$Z$335,$C107-4)))</f>
        <v/>
      </c>
      <c r="U107" s="6" t="str">
        <f>IF($C107="","",IF(INDEX('02_Base_Potencial'!$AA$5:$AA$335,$C107-4)="","",INDEX('02_Base_Potencial'!$AA$5:$AA$335,$C107-4)))</f>
        <v/>
      </c>
      <c r="V107" s="6" t="str">
        <f>IF($C107="","",INDEX('02_Base_Potencial'!$K$5:$K$335,$C107-4)&amp;"")</f>
        <v/>
      </c>
      <c r="W107" s="6" t="str">
        <f>IF($C107="","",COUNT(K107:U107)&amp;"/11")</f>
        <v/>
      </c>
    </row>
    <row r="108" spans="1:23">
      <c r="A108" s="6" t="s">
        <v>86</v>
      </c>
      <c r="B108" s="20">
        <v>4</v>
      </c>
      <c r="C108" s="6" t="str">
        <f>IF(SUMPRODUCT(('02_Base_Potencial'!$B$5:$B$335=$A108)*('02_Base_Potencial'!$AR$5:$AR$335=$B108)*ROW('02_Base_Potencial'!$A$5:$A$335))=0,"",SUMPRODUCT(('02_Base_Potencial'!$B$5:$B$335=$A108)*('02_Base_Potencial'!$AR$5:$AR$335=$B108)*ROW('02_Base_Potencial'!$A$5:$A$335)))</f>
        <v/>
      </c>
      <c r="D108" s="20" t="str">
        <f>IF($C108="","",INDEX('02_Base_Potencial'!$A$5:$A$335,$C108-4)&amp;"")</f>
        <v/>
      </c>
      <c r="E108" s="6" t="str">
        <f>IF($C108="","",INDEX('02_Base_Potencial'!$D$5:$D$335,$C108-4)&amp;"")</f>
        <v/>
      </c>
      <c r="F108" s="6" t="str">
        <f>IF($C108="","",INDEX('02_Base_Potencial'!$E$5:$E$335,$C108-4)&amp;"")</f>
        <v/>
      </c>
      <c r="G108" s="20" t="str">
        <f>IF($C108="","",INDEX('02_Base_Potencial'!$F$5:$F$335,$C108-4)&amp;"")</f>
        <v/>
      </c>
      <c r="H108" s="20" t="str">
        <f>IF($C108="","",INDEX('02_Base_Potencial'!$G$5:$G$335,$C108-4))</f>
        <v/>
      </c>
      <c r="I108" s="20" t="str">
        <f>IF($C108="","",INDEX('02_Base_Potencial'!$H$5:$H$335,$C108-4))</f>
        <v/>
      </c>
      <c r="J108" s="20">
        <f>IF($C108="",0,IF(INDEX('02_Base_Potencial'!$J$5:$J$335,$C108-4)="",0,INDEX('02_Base_Potencial'!$J$5:$J$335,$C108-4)))</f>
        <v>0</v>
      </c>
      <c r="K108" s="6" t="str">
        <f>IF($C108="","",IF(INDEX('02_Base_Potencial'!$Q$5:$Q$335,$C108-4)="","",INDEX('02_Base_Potencial'!$Q$5:$Q$335,$C108-4)))</f>
        <v/>
      </c>
      <c r="L108" s="6" t="str">
        <f>IF($C108="","",IF(INDEX('02_Base_Potencial'!$R$5:$R$335,$C108-4)="","",INDEX('02_Base_Potencial'!$R$5:$R$335,$C108-4)))</f>
        <v/>
      </c>
      <c r="M108" s="6" t="str">
        <f>IF($C108="","",IF(INDEX('02_Base_Potencial'!$S$5:$S$335,$C108-4)="","",INDEX('02_Base_Potencial'!$S$5:$S$335,$C108-4)))</f>
        <v/>
      </c>
      <c r="N108" s="6" t="str">
        <f>IF($C108="","",IF(INDEX('02_Base_Potencial'!$T$5:$T$335,$C108-4)="","",INDEX('02_Base_Potencial'!$T$5:$T$335,$C108-4)))</f>
        <v/>
      </c>
      <c r="O108" s="6" t="str">
        <f>IF($C108="","",IF(INDEX('02_Base_Potencial'!$U$5:$U$335,$C108-4)="","",INDEX('02_Base_Potencial'!$U$5:$U$335,$C108-4)))</f>
        <v/>
      </c>
      <c r="P108" s="6" t="str">
        <f>IF($C108="","",IF(INDEX('02_Base_Potencial'!$V$5:$V$335,$C108-4)="","",INDEX('02_Base_Potencial'!$V$5:$V$335,$C108-4)))</f>
        <v/>
      </c>
      <c r="Q108" s="6" t="str">
        <f>IF($C108="","",IF(INDEX('02_Base_Potencial'!$W$5:$W$335,$C108-4)="","",INDEX('02_Base_Potencial'!$W$5:$W$335,$C108-4)))</f>
        <v/>
      </c>
      <c r="R108" s="6" t="str">
        <f>IF($C108="","",IF(INDEX('02_Base_Potencial'!$X$5:$X$335,$C108-4)="","",INDEX('02_Base_Potencial'!$X$5:$X$335,$C108-4)))</f>
        <v/>
      </c>
      <c r="S108" s="6" t="str">
        <f>IF($C108="","",IF(INDEX('02_Base_Potencial'!$Y$5:$Y$335,$C108-4)="","",INDEX('02_Base_Potencial'!$Y$5:$Y$335,$C108-4)))</f>
        <v/>
      </c>
      <c r="T108" s="6" t="str">
        <f>IF($C108="","",IF(INDEX('02_Base_Potencial'!$Z$5:$Z$335,$C108-4)="","",INDEX('02_Base_Potencial'!$Z$5:$Z$335,$C108-4)))</f>
        <v/>
      </c>
      <c r="U108" s="6" t="str">
        <f>IF($C108="","",IF(INDEX('02_Base_Potencial'!$AA$5:$AA$335,$C108-4)="","",INDEX('02_Base_Potencial'!$AA$5:$AA$335,$C108-4)))</f>
        <v/>
      </c>
      <c r="V108" s="6" t="str">
        <f>IF($C108="","",INDEX('02_Base_Potencial'!$K$5:$K$335,$C108-4)&amp;"")</f>
        <v/>
      </c>
      <c r="W108" s="6" t="str">
        <f>IF($C108="","",COUNT(K108:U108)&amp;"/11")</f>
        <v/>
      </c>
    </row>
    <row r="109" spans="1:23">
      <c r="A109" s="6" t="s">
        <v>86</v>
      </c>
      <c r="B109" s="20">
        <v>5</v>
      </c>
      <c r="C109" s="6" t="str">
        <f>IF(SUMPRODUCT(('02_Base_Potencial'!$B$5:$B$335=$A109)*('02_Base_Potencial'!$AR$5:$AR$335=$B109)*ROW('02_Base_Potencial'!$A$5:$A$335))=0,"",SUMPRODUCT(('02_Base_Potencial'!$B$5:$B$335=$A109)*('02_Base_Potencial'!$AR$5:$AR$335=$B109)*ROW('02_Base_Potencial'!$A$5:$A$335)))</f>
        <v/>
      </c>
      <c r="D109" s="20" t="str">
        <f>IF($C109="","",INDEX('02_Base_Potencial'!$A$5:$A$335,$C109-4)&amp;"")</f>
        <v/>
      </c>
      <c r="E109" s="6" t="str">
        <f>IF($C109="","",INDEX('02_Base_Potencial'!$D$5:$D$335,$C109-4)&amp;"")</f>
        <v/>
      </c>
      <c r="F109" s="6" t="str">
        <f>IF($C109="","",INDEX('02_Base_Potencial'!$E$5:$E$335,$C109-4)&amp;"")</f>
        <v/>
      </c>
      <c r="G109" s="20" t="str">
        <f>IF($C109="","",INDEX('02_Base_Potencial'!$F$5:$F$335,$C109-4)&amp;"")</f>
        <v/>
      </c>
      <c r="H109" s="20" t="str">
        <f>IF($C109="","",INDEX('02_Base_Potencial'!$G$5:$G$335,$C109-4))</f>
        <v/>
      </c>
      <c r="I109" s="20" t="str">
        <f>IF($C109="","",INDEX('02_Base_Potencial'!$H$5:$H$335,$C109-4))</f>
        <v/>
      </c>
      <c r="J109" s="20">
        <f>IF($C109="",0,IF(INDEX('02_Base_Potencial'!$J$5:$J$335,$C109-4)="",0,INDEX('02_Base_Potencial'!$J$5:$J$335,$C109-4)))</f>
        <v>0</v>
      </c>
      <c r="K109" s="6" t="str">
        <f>IF($C109="","",IF(INDEX('02_Base_Potencial'!$Q$5:$Q$335,$C109-4)="","",INDEX('02_Base_Potencial'!$Q$5:$Q$335,$C109-4)))</f>
        <v/>
      </c>
      <c r="L109" s="6" t="str">
        <f>IF($C109="","",IF(INDEX('02_Base_Potencial'!$R$5:$R$335,$C109-4)="","",INDEX('02_Base_Potencial'!$R$5:$R$335,$C109-4)))</f>
        <v/>
      </c>
      <c r="M109" s="6" t="str">
        <f>IF($C109="","",IF(INDEX('02_Base_Potencial'!$S$5:$S$335,$C109-4)="","",INDEX('02_Base_Potencial'!$S$5:$S$335,$C109-4)))</f>
        <v/>
      </c>
      <c r="N109" s="6" t="str">
        <f>IF($C109="","",IF(INDEX('02_Base_Potencial'!$T$5:$T$335,$C109-4)="","",INDEX('02_Base_Potencial'!$T$5:$T$335,$C109-4)))</f>
        <v/>
      </c>
      <c r="O109" s="6" t="str">
        <f>IF($C109="","",IF(INDEX('02_Base_Potencial'!$U$5:$U$335,$C109-4)="","",INDEX('02_Base_Potencial'!$U$5:$U$335,$C109-4)))</f>
        <v/>
      </c>
      <c r="P109" s="6" t="str">
        <f>IF($C109="","",IF(INDEX('02_Base_Potencial'!$V$5:$V$335,$C109-4)="","",INDEX('02_Base_Potencial'!$V$5:$V$335,$C109-4)))</f>
        <v/>
      </c>
      <c r="Q109" s="6" t="str">
        <f>IF($C109="","",IF(INDEX('02_Base_Potencial'!$W$5:$W$335,$C109-4)="","",INDEX('02_Base_Potencial'!$W$5:$W$335,$C109-4)))</f>
        <v/>
      </c>
      <c r="R109" s="6" t="str">
        <f>IF($C109="","",IF(INDEX('02_Base_Potencial'!$X$5:$X$335,$C109-4)="","",INDEX('02_Base_Potencial'!$X$5:$X$335,$C109-4)))</f>
        <v/>
      </c>
      <c r="S109" s="6" t="str">
        <f>IF($C109="","",IF(INDEX('02_Base_Potencial'!$Y$5:$Y$335,$C109-4)="","",INDEX('02_Base_Potencial'!$Y$5:$Y$335,$C109-4)))</f>
        <v/>
      </c>
      <c r="T109" s="6" t="str">
        <f>IF($C109="","",IF(INDEX('02_Base_Potencial'!$Z$5:$Z$335,$C109-4)="","",INDEX('02_Base_Potencial'!$Z$5:$Z$335,$C109-4)))</f>
        <v/>
      </c>
      <c r="U109" s="6" t="str">
        <f>IF($C109="","",IF(INDEX('02_Base_Potencial'!$AA$5:$AA$335,$C109-4)="","",INDEX('02_Base_Potencial'!$AA$5:$AA$335,$C109-4)))</f>
        <v/>
      </c>
      <c r="V109" s="6" t="str">
        <f>IF($C109="","",INDEX('02_Base_Potencial'!$K$5:$K$335,$C109-4)&amp;"")</f>
        <v/>
      </c>
      <c r="W109" s="6" t="str">
        <f>IF($C109="","",COUNT(K109:U109)&amp;"/11")</f>
        <v/>
      </c>
    </row>
    <row r="110" spans="1:23">
      <c r="A110" s="6" t="s">
        <v>86</v>
      </c>
      <c r="B110" s="20">
        <v>6</v>
      </c>
      <c r="C110" s="6" t="str">
        <f>IF(SUMPRODUCT(('02_Base_Potencial'!$B$5:$B$335=$A110)*('02_Base_Potencial'!$AR$5:$AR$335=$B110)*ROW('02_Base_Potencial'!$A$5:$A$335))=0,"",SUMPRODUCT(('02_Base_Potencial'!$B$5:$B$335=$A110)*('02_Base_Potencial'!$AR$5:$AR$335=$B110)*ROW('02_Base_Potencial'!$A$5:$A$335)))</f>
        <v/>
      </c>
      <c r="D110" s="20" t="str">
        <f>IF($C110="","",INDEX('02_Base_Potencial'!$A$5:$A$335,$C110-4)&amp;"")</f>
        <v/>
      </c>
      <c r="E110" s="6" t="str">
        <f>IF($C110="","",INDEX('02_Base_Potencial'!$D$5:$D$335,$C110-4)&amp;"")</f>
        <v/>
      </c>
      <c r="F110" s="6" t="str">
        <f>IF($C110="","",INDEX('02_Base_Potencial'!$E$5:$E$335,$C110-4)&amp;"")</f>
        <v/>
      </c>
      <c r="G110" s="20" t="str">
        <f>IF($C110="","",INDEX('02_Base_Potencial'!$F$5:$F$335,$C110-4)&amp;"")</f>
        <v/>
      </c>
      <c r="H110" s="20" t="str">
        <f>IF($C110="","",INDEX('02_Base_Potencial'!$G$5:$G$335,$C110-4))</f>
        <v/>
      </c>
      <c r="I110" s="20" t="str">
        <f>IF($C110="","",INDEX('02_Base_Potencial'!$H$5:$H$335,$C110-4))</f>
        <v/>
      </c>
      <c r="J110" s="20">
        <f>IF($C110="",0,IF(INDEX('02_Base_Potencial'!$J$5:$J$335,$C110-4)="",0,INDEX('02_Base_Potencial'!$J$5:$J$335,$C110-4)))</f>
        <v>0</v>
      </c>
      <c r="K110" s="6" t="str">
        <f>IF($C110="","",IF(INDEX('02_Base_Potencial'!$Q$5:$Q$335,$C110-4)="","",INDEX('02_Base_Potencial'!$Q$5:$Q$335,$C110-4)))</f>
        <v/>
      </c>
      <c r="L110" s="6" t="str">
        <f>IF($C110="","",IF(INDEX('02_Base_Potencial'!$R$5:$R$335,$C110-4)="","",INDEX('02_Base_Potencial'!$R$5:$R$335,$C110-4)))</f>
        <v/>
      </c>
      <c r="M110" s="6" t="str">
        <f>IF($C110="","",IF(INDEX('02_Base_Potencial'!$S$5:$S$335,$C110-4)="","",INDEX('02_Base_Potencial'!$S$5:$S$335,$C110-4)))</f>
        <v/>
      </c>
      <c r="N110" s="6" t="str">
        <f>IF($C110="","",IF(INDEX('02_Base_Potencial'!$T$5:$T$335,$C110-4)="","",INDEX('02_Base_Potencial'!$T$5:$T$335,$C110-4)))</f>
        <v/>
      </c>
      <c r="O110" s="6" t="str">
        <f>IF($C110="","",IF(INDEX('02_Base_Potencial'!$U$5:$U$335,$C110-4)="","",INDEX('02_Base_Potencial'!$U$5:$U$335,$C110-4)))</f>
        <v/>
      </c>
      <c r="P110" s="6" t="str">
        <f>IF($C110="","",IF(INDEX('02_Base_Potencial'!$V$5:$V$335,$C110-4)="","",INDEX('02_Base_Potencial'!$V$5:$V$335,$C110-4)))</f>
        <v/>
      </c>
      <c r="Q110" s="6" t="str">
        <f>IF($C110="","",IF(INDEX('02_Base_Potencial'!$W$5:$W$335,$C110-4)="","",INDEX('02_Base_Potencial'!$W$5:$W$335,$C110-4)))</f>
        <v/>
      </c>
      <c r="R110" s="6" t="str">
        <f>IF($C110="","",IF(INDEX('02_Base_Potencial'!$X$5:$X$335,$C110-4)="","",INDEX('02_Base_Potencial'!$X$5:$X$335,$C110-4)))</f>
        <v/>
      </c>
      <c r="S110" s="6" t="str">
        <f>IF($C110="","",IF(INDEX('02_Base_Potencial'!$Y$5:$Y$335,$C110-4)="","",INDEX('02_Base_Potencial'!$Y$5:$Y$335,$C110-4)))</f>
        <v/>
      </c>
      <c r="T110" s="6" t="str">
        <f>IF($C110="","",IF(INDEX('02_Base_Potencial'!$Z$5:$Z$335,$C110-4)="","",INDEX('02_Base_Potencial'!$Z$5:$Z$335,$C110-4)))</f>
        <v/>
      </c>
      <c r="U110" s="6" t="str">
        <f>IF($C110="","",IF(INDEX('02_Base_Potencial'!$AA$5:$AA$335,$C110-4)="","",INDEX('02_Base_Potencial'!$AA$5:$AA$335,$C110-4)))</f>
        <v/>
      </c>
      <c r="V110" s="6" t="str">
        <f>IF($C110="","",INDEX('02_Base_Potencial'!$K$5:$K$335,$C110-4)&amp;"")</f>
        <v/>
      </c>
      <c r="W110" s="6" t="str">
        <f>IF($C110="","",COUNT(K110:U110)&amp;"/11")</f>
        <v/>
      </c>
    </row>
    <row r="111" spans="1:23">
      <c r="A111" s="6" t="s">
        <v>86</v>
      </c>
      <c r="B111" s="20">
        <v>7</v>
      </c>
      <c r="C111" s="6" t="str">
        <f>IF(SUMPRODUCT(('02_Base_Potencial'!$B$5:$B$335=$A111)*('02_Base_Potencial'!$AR$5:$AR$335=$B111)*ROW('02_Base_Potencial'!$A$5:$A$335))=0,"",SUMPRODUCT(('02_Base_Potencial'!$B$5:$B$335=$A111)*('02_Base_Potencial'!$AR$5:$AR$335=$B111)*ROW('02_Base_Potencial'!$A$5:$A$335)))</f>
        <v/>
      </c>
      <c r="D111" s="20" t="str">
        <f>IF($C111="","",INDEX('02_Base_Potencial'!$A$5:$A$335,$C111-4)&amp;"")</f>
        <v/>
      </c>
      <c r="E111" s="6" t="str">
        <f>IF($C111="","",INDEX('02_Base_Potencial'!$D$5:$D$335,$C111-4)&amp;"")</f>
        <v/>
      </c>
      <c r="F111" s="6" t="str">
        <f>IF($C111="","",INDEX('02_Base_Potencial'!$E$5:$E$335,$C111-4)&amp;"")</f>
        <v/>
      </c>
      <c r="G111" s="20" t="str">
        <f>IF($C111="","",INDEX('02_Base_Potencial'!$F$5:$F$335,$C111-4)&amp;"")</f>
        <v/>
      </c>
      <c r="H111" s="20" t="str">
        <f>IF($C111="","",INDEX('02_Base_Potencial'!$G$5:$G$335,$C111-4))</f>
        <v/>
      </c>
      <c r="I111" s="20" t="str">
        <f>IF($C111="","",INDEX('02_Base_Potencial'!$H$5:$H$335,$C111-4))</f>
        <v/>
      </c>
      <c r="J111" s="20">
        <f>IF($C111="",0,IF(INDEX('02_Base_Potencial'!$J$5:$J$335,$C111-4)="",0,INDEX('02_Base_Potencial'!$J$5:$J$335,$C111-4)))</f>
        <v>0</v>
      </c>
      <c r="K111" s="6" t="str">
        <f>IF($C111="","",IF(INDEX('02_Base_Potencial'!$Q$5:$Q$335,$C111-4)="","",INDEX('02_Base_Potencial'!$Q$5:$Q$335,$C111-4)))</f>
        <v/>
      </c>
      <c r="L111" s="6" t="str">
        <f>IF($C111="","",IF(INDEX('02_Base_Potencial'!$R$5:$R$335,$C111-4)="","",INDEX('02_Base_Potencial'!$R$5:$R$335,$C111-4)))</f>
        <v/>
      </c>
      <c r="M111" s="6" t="str">
        <f>IF($C111="","",IF(INDEX('02_Base_Potencial'!$S$5:$S$335,$C111-4)="","",INDEX('02_Base_Potencial'!$S$5:$S$335,$C111-4)))</f>
        <v/>
      </c>
      <c r="N111" s="6" t="str">
        <f>IF($C111="","",IF(INDEX('02_Base_Potencial'!$T$5:$T$335,$C111-4)="","",INDEX('02_Base_Potencial'!$T$5:$T$335,$C111-4)))</f>
        <v/>
      </c>
      <c r="O111" s="6" t="str">
        <f>IF($C111="","",IF(INDEX('02_Base_Potencial'!$U$5:$U$335,$C111-4)="","",INDEX('02_Base_Potencial'!$U$5:$U$335,$C111-4)))</f>
        <v/>
      </c>
      <c r="P111" s="6" t="str">
        <f>IF($C111="","",IF(INDEX('02_Base_Potencial'!$V$5:$V$335,$C111-4)="","",INDEX('02_Base_Potencial'!$V$5:$V$335,$C111-4)))</f>
        <v/>
      </c>
      <c r="Q111" s="6" t="str">
        <f>IF($C111="","",IF(INDEX('02_Base_Potencial'!$W$5:$W$335,$C111-4)="","",INDEX('02_Base_Potencial'!$W$5:$W$335,$C111-4)))</f>
        <v/>
      </c>
      <c r="R111" s="6" t="str">
        <f>IF($C111="","",IF(INDEX('02_Base_Potencial'!$X$5:$X$335,$C111-4)="","",INDEX('02_Base_Potencial'!$X$5:$X$335,$C111-4)))</f>
        <v/>
      </c>
      <c r="S111" s="6" t="str">
        <f>IF($C111="","",IF(INDEX('02_Base_Potencial'!$Y$5:$Y$335,$C111-4)="","",INDEX('02_Base_Potencial'!$Y$5:$Y$335,$C111-4)))</f>
        <v/>
      </c>
      <c r="T111" s="6" t="str">
        <f>IF($C111="","",IF(INDEX('02_Base_Potencial'!$Z$5:$Z$335,$C111-4)="","",INDEX('02_Base_Potencial'!$Z$5:$Z$335,$C111-4)))</f>
        <v/>
      </c>
      <c r="U111" s="6" t="str">
        <f>IF($C111="","",IF(INDEX('02_Base_Potencial'!$AA$5:$AA$335,$C111-4)="","",INDEX('02_Base_Potencial'!$AA$5:$AA$335,$C111-4)))</f>
        <v/>
      </c>
      <c r="V111" s="6" t="str">
        <f>IF($C111="","",INDEX('02_Base_Potencial'!$K$5:$K$335,$C111-4)&amp;"")</f>
        <v/>
      </c>
      <c r="W111" s="6" t="str">
        <f>IF($C111="","",COUNT(K111:U111)&amp;"/11")</f>
        <v/>
      </c>
    </row>
    <row r="112" spans="1:23">
      <c r="A112" s="6" t="s">
        <v>86</v>
      </c>
      <c r="B112" s="20">
        <v>8</v>
      </c>
      <c r="C112" s="6" t="str">
        <f>IF(SUMPRODUCT(('02_Base_Potencial'!$B$5:$B$335=$A112)*('02_Base_Potencial'!$AR$5:$AR$335=$B112)*ROW('02_Base_Potencial'!$A$5:$A$335))=0,"",SUMPRODUCT(('02_Base_Potencial'!$B$5:$B$335=$A112)*('02_Base_Potencial'!$AR$5:$AR$335=$B112)*ROW('02_Base_Potencial'!$A$5:$A$335)))</f>
        <v/>
      </c>
      <c r="D112" s="20" t="str">
        <f>IF($C112="","",INDEX('02_Base_Potencial'!$A$5:$A$335,$C112-4)&amp;"")</f>
        <v/>
      </c>
      <c r="E112" s="6" t="str">
        <f>IF($C112="","",INDEX('02_Base_Potencial'!$D$5:$D$335,$C112-4)&amp;"")</f>
        <v/>
      </c>
      <c r="F112" s="6" t="str">
        <f>IF($C112="","",INDEX('02_Base_Potencial'!$E$5:$E$335,$C112-4)&amp;"")</f>
        <v/>
      </c>
      <c r="G112" s="20" t="str">
        <f>IF($C112="","",INDEX('02_Base_Potencial'!$F$5:$F$335,$C112-4)&amp;"")</f>
        <v/>
      </c>
      <c r="H112" s="20" t="str">
        <f>IF($C112="","",INDEX('02_Base_Potencial'!$G$5:$G$335,$C112-4))</f>
        <v/>
      </c>
      <c r="I112" s="20" t="str">
        <f>IF($C112="","",INDEX('02_Base_Potencial'!$H$5:$H$335,$C112-4))</f>
        <v/>
      </c>
      <c r="J112" s="20">
        <f>IF($C112="",0,IF(INDEX('02_Base_Potencial'!$J$5:$J$335,$C112-4)="",0,INDEX('02_Base_Potencial'!$J$5:$J$335,$C112-4)))</f>
        <v>0</v>
      </c>
      <c r="K112" s="6" t="str">
        <f>IF($C112="","",IF(INDEX('02_Base_Potencial'!$Q$5:$Q$335,$C112-4)="","",INDEX('02_Base_Potencial'!$Q$5:$Q$335,$C112-4)))</f>
        <v/>
      </c>
      <c r="L112" s="6" t="str">
        <f>IF($C112="","",IF(INDEX('02_Base_Potencial'!$R$5:$R$335,$C112-4)="","",INDEX('02_Base_Potencial'!$R$5:$R$335,$C112-4)))</f>
        <v/>
      </c>
      <c r="M112" s="6" t="str">
        <f>IF($C112="","",IF(INDEX('02_Base_Potencial'!$S$5:$S$335,$C112-4)="","",INDEX('02_Base_Potencial'!$S$5:$S$335,$C112-4)))</f>
        <v/>
      </c>
      <c r="N112" s="6" t="str">
        <f>IF($C112="","",IF(INDEX('02_Base_Potencial'!$T$5:$T$335,$C112-4)="","",INDEX('02_Base_Potencial'!$T$5:$T$335,$C112-4)))</f>
        <v/>
      </c>
      <c r="O112" s="6" t="str">
        <f>IF($C112="","",IF(INDEX('02_Base_Potencial'!$U$5:$U$335,$C112-4)="","",INDEX('02_Base_Potencial'!$U$5:$U$335,$C112-4)))</f>
        <v/>
      </c>
      <c r="P112" s="6" t="str">
        <f>IF($C112="","",IF(INDEX('02_Base_Potencial'!$V$5:$V$335,$C112-4)="","",INDEX('02_Base_Potencial'!$V$5:$V$335,$C112-4)))</f>
        <v/>
      </c>
      <c r="Q112" s="6" t="str">
        <f>IF($C112="","",IF(INDEX('02_Base_Potencial'!$W$5:$W$335,$C112-4)="","",INDEX('02_Base_Potencial'!$W$5:$W$335,$C112-4)))</f>
        <v/>
      </c>
      <c r="R112" s="6" t="str">
        <f>IF($C112="","",IF(INDEX('02_Base_Potencial'!$X$5:$X$335,$C112-4)="","",INDEX('02_Base_Potencial'!$X$5:$X$335,$C112-4)))</f>
        <v/>
      </c>
      <c r="S112" s="6" t="str">
        <f>IF($C112="","",IF(INDEX('02_Base_Potencial'!$Y$5:$Y$335,$C112-4)="","",INDEX('02_Base_Potencial'!$Y$5:$Y$335,$C112-4)))</f>
        <v/>
      </c>
      <c r="T112" s="6" t="str">
        <f>IF($C112="","",IF(INDEX('02_Base_Potencial'!$Z$5:$Z$335,$C112-4)="","",INDEX('02_Base_Potencial'!$Z$5:$Z$335,$C112-4)))</f>
        <v/>
      </c>
      <c r="U112" s="6" t="str">
        <f>IF($C112="","",IF(INDEX('02_Base_Potencial'!$AA$5:$AA$335,$C112-4)="","",INDEX('02_Base_Potencial'!$AA$5:$AA$335,$C112-4)))</f>
        <v/>
      </c>
      <c r="V112" s="6" t="str">
        <f>IF($C112="","",INDEX('02_Base_Potencial'!$K$5:$K$335,$C112-4)&amp;"")</f>
        <v/>
      </c>
      <c r="W112" s="6" t="str">
        <f>IF($C112="","",COUNT(K112:U112)&amp;"/11")</f>
        <v/>
      </c>
    </row>
    <row r="113" spans="1:23">
      <c r="A113" s="6" t="s">
        <v>86</v>
      </c>
      <c r="B113" s="20">
        <v>9</v>
      </c>
      <c r="C113" s="6" t="str">
        <f>IF(SUMPRODUCT(('02_Base_Potencial'!$B$5:$B$335=$A113)*('02_Base_Potencial'!$AR$5:$AR$335=$B113)*ROW('02_Base_Potencial'!$A$5:$A$335))=0,"",SUMPRODUCT(('02_Base_Potencial'!$B$5:$B$335=$A113)*('02_Base_Potencial'!$AR$5:$AR$335=$B113)*ROW('02_Base_Potencial'!$A$5:$A$335)))</f>
        <v/>
      </c>
      <c r="D113" s="20" t="str">
        <f>IF($C113="","",INDEX('02_Base_Potencial'!$A$5:$A$335,$C113-4)&amp;"")</f>
        <v/>
      </c>
      <c r="E113" s="6" t="str">
        <f>IF($C113="","",INDEX('02_Base_Potencial'!$D$5:$D$335,$C113-4)&amp;"")</f>
        <v/>
      </c>
      <c r="F113" s="6" t="str">
        <f>IF($C113="","",INDEX('02_Base_Potencial'!$E$5:$E$335,$C113-4)&amp;"")</f>
        <v/>
      </c>
      <c r="G113" s="20" t="str">
        <f>IF($C113="","",INDEX('02_Base_Potencial'!$F$5:$F$335,$C113-4)&amp;"")</f>
        <v/>
      </c>
      <c r="H113" s="20" t="str">
        <f>IF($C113="","",INDEX('02_Base_Potencial'!$G$5:$G$335,$C113-4))</f>
        <v/>
      </c>
      <c r="I113" s="20" t="str">
        <f>IF($C113="","",INDEX('02_Base_Potencial'!$H$5:$H$335,$C113-4))</f>
        <v/>
      </c>
      <c r="J113" s="20">
        <f>IF($C113="",0,IF(INDEX('02_Base_Potencial'!$J$5:$J$335,$C113-4)="",0,INDEX('02_Base_Potencial'!$J$5:$J$335,$C113-4)))</f>
        <v>0</v>
      </c>
      <c r="K113" s="6" t="str">
        <f>IF($C113="","",IF(INDEX('02_Base_Potencial'!$Q$5:$Q$335,$C113-4)="","",INDEX('02_Base_Potencial'!$Q$5:$Q$335,$C113-4)))</f>
        <v/>
      </c>
      <c r="L113" s="6" t="str">
        <f>IF($C113="","",IF(INDEX('02_Base_Potencial'!$R$5:$R$335,$C113-4)="","",INDEX('02_Base_Potencial'!$R$5:$R$335,$C113-4)))</f>
        <v/>
      </c>
      <c r="M113" s="6" t="str">
        <f>IF($C113="","",IF(INDEX('02_Base_Potencial'!$S$5:$S$335,$C113-4)="","",INDEX('02_Base_Potencial'!$S$5:$S$335,$C113-4)))</f>
        <v/>
      </c>
      <c r="N113" s="6" t="str">
        <f>IF($C113="","",IF(INDEX('02_Base_Potencial'!$T$5:$T$335,$C113-4)="","",INDEX('02_Base_Potencial'!$T$5:$T$335,$C113-4)))</f>
        <v/>
      </c>
      <c r="O113" s="6" t="str">
        <f>IF($C113="","",IF(INDEX('02_Base_Potencial'!$U$5:$U$335,$C113-4)="","",INDEX('02_Base_Potencial'!$U$5:$U$335,$C113-4)))</f>
        <v/>
      </c>
      <c r="P113" s="6" t="str">
        <f>IF($C113="","",IF(INDEX('02_Base_Potencial'!$V$5:$V$335,$C113-4)="","",INDEX('02_Base_Potencial'!$V$5:$V$335,$C113-4)))</f>
        <v/>
      </c>
      <c r="Q113" s="6" t="str">
        <f>IF($C113="","",IF(INDEX('02_Base_Potencial'!$W$5:$W$335,$C113-4)="","",INDEX('02_Base_Potencial'!$W$5:$W$335,$C113-4)))</f>
        <v/>
      </c>
      <c r="R113" s="6" t="str">
        <f>IF($C113="","",IF(INDEX('02_Base_Potencial'!$X$5:$X$335,$C113-4)="","",INDEX('02_Base_Potencial'!$X$5:$X$335,$C113-4)))</f>
        <v/>
      </c>
      <c r="S113" s="6" t="str">
        <f>IF($C113="","",IF(INDEX('02_Base_Potencial'!$Y$5:$Y$335,$C113-4)="","",INDEX('02_Base_Potencial'!$Y$5:$Y$335,$C113-4)))</f>
        <v/>
      </c>
      <c r="T113" s="6" t="str">
        <f>IF($C113="","",IF(INDEX('02_Base_Potencial'!$Z$5:$Z$335,$C113-4)="","",INDEX('02_Base_Potencial'!$Z$5:$Z$335,$C113-4)))</f>
        <v/>
      </c>
      <c r="U113" s="6" t="str">
        <f>IF($C113="","",IF(INDEX('02_Base_Potencial'!$AA$5:$AA$335,$C113-4)="","",INDEX('02_Base_Potencial'!$AA$5:$AA$335,$C113-4)))</f>
        <v/>
      </c>
      <c r="V113" s="6" t="str">
        <f>IF($C113="","",INDEX('02_Base_Potencial'!$K$5:$K$335,$C113-4)&amp;"")</f>
        <v/>
      </c>
      <c r="W113" s="6" t="str">
        <f>IF($C113="","",COUNT(K113:U113)&amp;"/11")</f>
        <v/>
      </c>
    </row>
    <row r="114" spans="1:23">
      <c r="A114" s="6" t="s">
        <v>86</v>
      </c>
      <c r="B114" s="20">
        <v>10</v>
      </c>
      <c r="C114" s="6" t="str">
        <f>IF(SUMPRODUCT(('02_Base_Potencial'!$B$5:$B$335=$A114)*('02_Base_Potencial'!$AR$5:$AR$335=$B114)*ROW('02_Base_Potencial'!$A$5:$A$335))=0,"",SUMPRODUCT(('02_Base_Potencial'!$B$5:$B$335=$A114)*('02_Base_Potencial'!$AR$5:$AR$335=$B114)*ROW('02_Base_Potencial'!$A$5:$A$335)))</f>
        <v/>
      </c>
      <c r="D114" s="20" t="str">
        <f>IF($C114="","",INDEX('02_Base_Potencial'!$A$5:$A$335,$C114-4)&amp;"")</f>
        <v/>
      </c>
      <c r="E114" s="6" t="str">
        <f>IF($C114="","",INDEX('02_Base_Potencial'!$D$5:$D$335,$C114-4)&amp;"")</f>
        <v/>
      </c>
      <c r="F114" s="6" t="str">
        <f>IF($C114="","",INDEX('02_Base_Potencial'!$E$5:$E$335,$C114-4)&amp;"")</f>
        <v/>
      </c>
      <c r="G114" s="20" t="str">
        <f>IF($C114="","",INDEX('02_Base_Potencial'!$F$5:$F$335,$C114-4)&amp;"")</f>
        <v/>
      </c>
      <c r="H114" s="20" t="str">
        <f>IF($C114="","",INDEX('02_Base_Potencial'!$G$5:$G$335,$C114-4))</f>
        <v/>
      </c>
      <c r="I114" s="20" t="str">
        <f>IF($C114="","",INDEX('02_Base_Potencial'!$H$5:$H$335,$C114-4))</f>
        <v/>
      </c>
      <c r="J114" s="20">
        <f>IF($C114="",0,IF(INDEX('02_Base_Potencial'!$J$5:$J$335,$C114-4)="",0,INDEX('02_Base_Potencial'!$J$5:$J$335,$C114-4)))</f>
        <v>0</v>
      </c>
      <c r="K114" s="6" t="str">
        <f>IF($C114="","",IF(INDEX('02_Base_Potencial'!$Q$5:$Q$335,$C114-4)="","",INDEX('02_Base_Potencial'!$Q$5:$Q$335,$C114-4)))</f>
        <v/>
      </c>
      <c r="L114" s="6" t="str">
        <f>IF($C114="","",IF(INDEX('02_Base_Potencial'!$R$5:$R$335,$C114-4)="","",INDEX('02_Base_Potencial'!$R$5:$R$335,$C114-4)))</f>
        <v/>
      </c>
      <c r="M114" s="6" t="str">
        <f>IF($C114="","",IF(INDEX('02_Base_Potencial'!$S$5:$S$335,$C114-4)="","",INDEX('02_Base_Potencial'!$S$5:$S$335,$C114-4)))</f>
        <v/>
      </c>
      <c r="N114" s="6" t="str">
        <f>IF($C114="","",IF(INDEX('02_Base_Potencial'!$T$5:$T$335,$C114-4)="","",INDEX('02_Base_Potencial'!$T$5:$T$335,$C114-4)))</f>
        <v/>
      </c>
      <c r="O114" s="6" t="str">
        <f>IF($C114="","",IF(INDEX('02_Base_Potencial'!$U$5:$U$335,$C114-4)="","",INDEX('02_Base_Potencial'!$U$5:$U$335,$C114-4)))</f>
        <v/>
      </c>
      <c r="P114" s="6" t="str">
        <f>IF($C114="","",IF(INDEX('02_Base_Potencial'!$V$5:$V$335,$C114-4)="","",INDEX('02_Base_Potencial'!$V$5:$V$335,$C114-4)))</f>
        <v/>
      </c>
      <c r="Q114" s="6" t="str">
        <f>IF($C114="","",IF(INDEX('02_Base_Potencial'!$W$5:$W$335,$C114-4)="","",INDEX('02_Base_Potencial'!$W$5:$W$335,$C114-4)))</f>
        <v/>
      </c>
      <c r="R114" s="6" t="str">
        <f>IF($C114="","",IF(INDEX('02_Base_Potencial'!$X$5:$X$335,$C114-4)="","",INDEX('02_Base_Potencial'!$X$5:$X$335,$C114-4)))</f>
        <v/>
      </c>
      <c r="S114" s="6" t="str">
        <f>IF($C114="","",IF(INDEX('02_Base_Potencial'!$Y$5:$Y$335,$C114-4)="","",INDEX('02_Base_Potencial'!$Y$5:$Y$335,$C114-4)))</f>
        <v/>
      </c>
      <c r="T114" s="6" t="str">
        <f>IF($C114="","",IF(INDEX('02_Base_Potencial'!$Z$5:$Z$335,$C114-4)="","",INDEX('02_Base_Potencial'!$Z$5:$Z$335,$C114-4)))</f>
        <v/>
      </c>
      <c r="U114" s="6" t="str">
        <f>IF($C114="","",IF(INDEX('02_Base_Potencial'!$AA$5:$AA$335,$C114-4)="","",INDEX('02_Base_Potencial'!$AA$5:$AA$335,$C114-4)))</f>
        <v/>
      </c>
      <c r="V114" s="6" t="str">
        <f>IF($C114="","",INDEX('02_Base_Potencial'!$K$5:$K$335,$C114-4)&amp;"")</f>
        <v/>
      </c>
      <c r="W114" s="6" t="str">
        <f>IF($C114="","",COUNT(K114:U114)&amp;"/11")</f>
        <v/>
      </c>
    </row>
  </sheetData>
  <hyperlinks>
    <hyperlink ref="A1" location="'00_Painel'!A1" display="← Painel" xr:uid="{00000000-0004-0000-0300-000000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6DCE4"/>
  </sheetPr>
  <dimension ref="A1:U114"/>
  <sheetViews>
    <sheetView workbookViewId="0">
      <pane xSplit="5" ySplit="4" topLeftCell="F5" activePane="bottomRight" state="frozen"/>
      <selection pane="bottomRight" activeCell="K8" sqref="K8"/>
      <selection pane="bottomLeft" activeCell="N33" sqref="N33"/>
      <selection pane="topRight" activeCell="N33" sqref="N33"/>
    </sheetView>
  </sheetViews>
  <sheetFormatPr defaultRowHeight="14.45"/>
  <cols>
    <col min="1" max="1" width="30" customWidth="1"/>
    <col min="2" max="2" width="5" customWidth="1"/>
    <col min="3" max="3" width="3" customWidth="1"/>
    <col min="4" max="4" width="9" customWidth="1"/>
    <col min="5" max="5" width="44" customWidth="1"/>
    <col min="11" max="21" width="9" customWidth="1"/>
  </cols>
  <sheetData>
    <row r="1" spans="1:21">
      <c r="A1" s="3" t="s">
        <v>27</v>
      </c>
    </row>
    <row r="2" spans="1:21" ht="23.45" customHeight="1">
      <c r="B2" s="1" t="s">
        <v>1790</v>
      </c>
    </row>
    <row r="3" spans="1:21">
      <c r="B3" s="2" t="s">
        <v>1791</v>
      </c>
    </row>
    <row r="4" spans="1:21">
      <c r="A4" s="11" t="s">
        <v>24</v>
      </c>
      <c r="B4" s="11" t="s">
        <v>120</v>
      </c>
      <c r="D4" s="11" t="s">
        <v>90</v>
      </c>
      <c r="E4" s="11" t="s">
        <v>92</v>
      </c>
      <c r="K4" s="11" t="s">
        <v>1778</v>
      </c>
      <c r="L4" s="11" t="s">
        <v>1779</v>
      </c>
      <c r="M4" s="11" t="s">
        <v>1780</v>
      </c>
      <c r="N4" s="11" t="s">
        <v>1781</v>
      </c>
      <c r="O4" s="11" t="s">
        <v>1782</v>
      </c>
      <c r="P4" s="11" t="s">
        <v>1783</v>
      </c>
      <c r="Q4" s="11" t="s">
        <v>1784</v>
      </c>
      <c r="R4" s="11" t="s">
        <v>1785</v>
      </c>
      <c r="S4" s="11" t="s">
        <v>1786</v>
      </c>
      <c r="T4" s="11" t="s">
        <v>1787</v>
      </c>
      <c r="U4" s="11" t="s">
        <v>1788</v>
      </c>
    </row>
    <row r="5" spans="1:21">
      <c r="A5" s="6" t="str">
        <f>IF('03_Base_Indice'!$A5="","",'03_Base_Indice'!$A5)</f>
        <v>1. Governança e Estado de Direito</v>
      </c>
      <c r="B5" s="6">
        <f>'03_Base_Indice'!$B5</f>
        <v>1</v>
      </c>
      <c r="D5" s="6" t="str">
        <f>IF('03_Base_Indice'!$D5="","",'03_Base_Indice'!$D5)</f>
        <v>GOV01</v>
      </c>
      <c r="E5" s="6" t="str">
        <f>IF('03_Base_Indice'!$E5="","",'03_Base_Indice'!$E5)</f>
        <v>Índice de Percepção da Corrupção</v>
      </c>
      <c r="K5" s="6">
        <f>IF('03_Base_Indice'!$D5="","",IF('03_Base_Indice'!K5&lt;&gt;"",'03_Base_Indice'!K5,IF(AND(Aux!B5&lt;&gt;"",Aux!N5&lt;&gt;"",(N(Aux!N5)-N(Aux!B5)-1)&lt;='01_Criterios'!$C$13),Aux!Z5+(Aux!AL5-Aux!Z5)*(1-Aux!B5)/(Aux!N5-Aux!B5),IF(AND(Aux!B5&lt;&gt;"",(1-N(Aux!B5))&lt;='01_Criterios'!$C$14),Aux!Z5,IF(AND(Aux!N5&lt;&gt;"",(N(Aux!N5)-1)&lt;='01_Criterios'!$C$15),Aux!AL5,"")))))</f>
        <v>15</v>
      </c>
      <c r="L5" s="6">
        <f>IF('03_Base_Indice'!$D5="","",IF('03_Base_Indice'!L5&lt;&gt;"",'03_Base_Indice'!L5,IF(AND(Aux!C5&lt;&gt;"",Aux!O5&lt;&gt;"",(N(Aux!O5)-N(Aux!C5)-1)&lt;='01_Criterios'!$C$13),Aux!AA5+(Aux!AM5-Aux!AA5)*(2-Aux!C5)/(Aux!O5-Aux!C5),IF(AND(Aux!C5&lt;&gt;"",(2-N(Aux!C5))&lt;='01_Criterios'!$C$14),Aux!AA5,IF(AND(Aux!O5&lt;&gt;"",(N(Aux!O5)-2)&lt;='01_Criterios'!$C$15),Aux!AM5,"")))))</f>
        <v>18</v>
      </c>
      <c r="M5" s="6">
        <f>IF('03_Base_Indice'!$D5="","",IF('03_Base_Indice'!M5&lt;&gt;"",'03_Base_Indice'!M5,IF(AND(Aux!D5&lt;&gt;"",Aux!P5&lt;&gt;"",(N(Aux!P5)-N(Aux!D5)-1)&lt;='01_Criterios'!$C$13),Aux!AB5+(Aux!AN5-Aux!AB5)*(3-Aux!D5)/(Aux!P5-Aux!D5),IF(AND(Aux!D5&lt;&gt;"",(3-N(Aux!D5))&lt;='01_Criterios'!$C$14),Aux!AB5,IF(AND(Aux!P5&lt;&gt;"",(N(Aux!P5)-3)&lt;='01_Criterios'!$C$15),Aux!AN5,"")))))</f>
        <v>19</v>
      </c>
      <c r="N5" s="6">
        <f>IF('03_Base_Indice'!$D5="","",IF('03_Base_Indice'!N5&lt;&gt;"",'03_Base_Indice'!N5,IF(AND(Aux!E5&lt;&gt;"",Aux!Q5&lt;&gt;"",(N(Aux!Q5)-N(Aux!E5)-1)&lt;='01_Criterios'!$C$13),Aux!AC5+(Aux!AO5-Aux!AC5)*(4-Aux!E5)/(Aux!Q5-Aux!E5),IF(AND(Aux!E5&lt;&gt;"",(4-N(Aux!E5))&lt;='01_Criterios'!$C$14),Aux!AC5,IF(AND(Aux!Q5&lt;&gt;"",(N(Aux!Q5)-4)&lt;='01_Criterios'!$C$15),Aux!AO5,"")))))</f>
        <v>19</v>
      </c>
      <c r="O5" s="6">
        <f>IF('03_Base_Indice'!$D5="","",IF('03_Base_Indice'!O5&lt;&gt;"",'03_Base_Indice'!O5,IF(AND(Aux!F5&lt;&gt;"",Aux!R5&lt;&gt;"",(N(Aux!R5)-N(Aux!F5)-1)&lt;='01_Criterios'!$C$13),Aux!AD5+(Aux!AP5-Aux!AD5)*(5-Aux!F5)/(Aux!R5-Aux!F5),IF(AND(Aux!F5&lt;&gt;"",(5-N(Aux!F5))&lt;='01_Criterios'!$C$14),Aux!AD5,IF(AND(Aux!R5&lt;&gt;"",(N(Aux!R5)-5)&lt;='01_Criterios'!$C$15),Aux!AP5,"")))))</f>
        <v>26</v>
      </c>
      <c r="P5" s="6">
        <f>IF('03_Base_Indice'!$D5="","",IF('03_Base_Indice'!P5&lt;&gt;"",'03_Base_Indice'!P5,IF(AND(Aux!G5&lt;&gt;"",Aux!S5&lt;&gt;"",(N(Aux!S5)-N(Aux!G5)-1)&lt;='01_Criterios'!$C$13),Aux!AE5+(Aux!AQ5-Aux!AE5)*(6-Aux!G5)/(Aux!S5-Aux!G5),IF(AND(Aux!G5&lt;&gt;"",(6-N(Aux!G5))&lt;='01_Criterios'!$C$14),Aux!AE5,IF(AND(Aux!S5&lt;&gt;"",(N(Aux!S5)-6)&lt;='01_Criterios'!$C$15),Aux!AQ5,"")))))</f>
        <v>27</v>
      </c>
      <c r="Q5" s="6">
        <f>IF('03_Base_Indice'!$D5="","",IF('03_Base_Indice'!Q5&lt;&gt;"",'03_Base_Indice'!Q5,IF(AND(Aux!H5&lt;&gt;"",Aux!T5&lt;&gt;"",(N(Aux!T5)-N(Aux!H5)-1)&lt;='01_Criterios'!$C$13),Aux!AF5+(Aux!AR5-Aux!AF5)*(7-Aux!H5)/(Aux!T5-Aux!H5),IF(AND(Aux!H5&lt;&gt;"",(7-N(Aux!H5))&lt;='01_Criterios'!$C$14),Aux!AF5,IF(AND(Aux!T5&lt;&gt;"",(N(Aux!T5)-7)&lt;='01_Criterios'!$C$15),Aux!AR5,"")))))</f>
        <v>29</v>
      </c>
      <c r="R5" s="6">
        <f>IF('03_Base_Indice'!$D5="","",IF('03_Base_Indice'!R5&lt;&gt;"",'03_Base_Indice'!R5,IF(AND(Aux!I5&lt;&gt;"",Aux!U5&lt;&gt;"",(N(Aux!U5)-N(Aux!I5)-1)&lt;='01_Criterios'!$C$13),Aux!AG5+(Aux!AS5-Aux!AG5)*(8-Aux!I5)/(Aux!U5-Aux!I5),IF(AND(Aux!I5&lt;&gt;"",(8-N(Aux!I5))&lt;='01_Criterios'!$C$14),Aux!AG5,IF(AND(Aux!U5&lt;&gt;"",(N(Aux!U5)-8)&lt;='01_Criterios'!$C$15),Aux!AS5,"")))))</f>
        <v>33</v>
      </c>
      <c r="S5" s="6">
        <f>IF('03_Base_Indice'!$D5="","",IF('03_Base_Indice'!S5&lt;&gt;"",'03_Base_Indice'!S5,IF(AND(Aux!J5&lt;&gt;"",Aux!V5&lt;&gt;"",(N(Aux!V5)-N(Aux!J5)-1)&lt;='01_Criterios'!$C$13),Aux!AH5+(Aux!AT5-Aux!AH5)*(9-Aux!J5)/(Aux!V5-Aux!J5),IF(AND(Aux!J5&lt;&gt;"",(9-N(Aux!J5))&lt;='01_Criterios'!$C$14),Aux!AH5,IF(AND(Aux!V5&lt;&gt;"",(N(Aux!V5)-9)&lt;='01_Criterios'!$C$15),Aux!AT5,"")))))</f>
        <v>33</v>
      </c>
      <c r="T5" s="6">
        <f>IF('03_Base_Indice'!$D5="","",IF('03_Base_Indice'!T5&lt;&gt;"",'03_Base_Indice'!T5,IF(AND(Aux!K5&lt;&gt;"",Aux!W5&lt;&gt;"",(N(Aux!W5)-N(Aux!K5)-1)&lt;='01_Criterios'!$C$13),Aux!AI5+(Aux!AU5-Aux!AI5)*(10-Aux!K5)/(Aux!W5-Aux!K5),IF(AND(Aux!K5&lt;&gt;"",(10-N(Aux!K5))&lt;='01_Criterios'!$C$14),Aux!AI5,IF(AND(Aux!W5&lt;&gt;"",(N(Aux!W5)-10)&lt;='01_Criterios'!$C$15),Aux!AU5,"")))))</f>
        <v>32</v>
      </c>
      <c r="U5" s="6">
        <f>IF('03_Base_Indice'!$D5="","",IF('03_Base_Indice'!U5&lt;&gt;"",'03_Base_Indice'!U5,IF(AND(Aux!L5&lt;&gt;"",Aux!X5&lt;&gt;"",(N(Aux!X5)-N(Aux!L5)-1)&lt;='01_Criterios'!$C$13),Aux!AJ5+(Aux!AV5-Aux!AJ5)*(11-Aux!L5)/(Aux!X5-Aux!L5),IF(AND(Aux!L5&lt;&gt;"",(11-N(Aux!L5))&lt;='01_Criterios'!$C$14),Aux!AJ5,IF(AND(Aux!X5&lt;&gt;"",(N(Aux!X5)-11)&lt;='01_Criterios'!$C$15),Aux!AV5,"")))))</f>
        <v>32</v>
      </c>
    </row>
    <row r="6" spans="1:21">
      <c r="A6" s="6" t="str">
        <f>IF('03_Base_Indice'!$A6="","",'03_Base_Indice'!$A6)</f>
        <v>1. Governança e Estado de Direito</v>
      </c>
      <c r="B6" s="6">
        <f>'03_Base_Indice'!$B6</f>
        <v>2</v>
      </c>
      <c r="D6" s="6" t="str">
        <f>IF('03_Base_Indice'!$D6="","",'03_Base_Indice'!$D6)</f>
        <v>GOV004</v>
      </c>
      <c r="E6" s="6" t="str">
        <f>IF('03_Base_Indice'!$E6="","",'03_Base_Indice'!$E6)</f>
        <v>Estabilidade Política (WGI)</v>
      </c>
      <c r="K6" s="6">
        <f>IF('03_Base_Indice'!$D6="","",IF('03_Base_Indice'!K6&lt;&gt;"",'03_Base_Indice'!K6,IF(AND(Aux!B6&lt;&gt;"",Aux!N6&lt;&gt;"",(N(Aux!N6)-N(Aux!B6)-1)&lt;='01_Criterios'!$C$13),Aux!Z6+(Aux!AL6-Aux!Z6)*(1-Aux!B6)/(Aux!N6-Aux!B6),IF(AND(Aux!B6&lt;&gt;"",(1-N(Aux!B6))&lt;='01_Criterios'!$C$14),Aux!Z6,IF(AND(Aux!N6&lt;&gt;"",(N(Aux!N6)-1)&lt;='01_Criterios'!$C$15),Aux!AL6,"")))))</f>
        <v>-0.55910260000000001</v>
      </c>
      <c r="L6" s="6">
        <f>IF('03_Base_Indice'!$D6="","",IF('03_Base_Indice'!L6&lt;&gt;"",'03_Base_Indice'!L6,IF(AND(Aux!C6&lt;&gt;"",Aux!O6&lt;&gt;"",(N(Aux!O6)-N(Aux!C6)-1)&lt;='01_Criterios'!$C$13),Aux!AA6+(Aux!AM6-Aux!AA6)*(2-Aux!C6)/(Aux!O6-Aux!C6),IF(AND(Aux!C6&lt;&gt;"",(2-N(Aux!C6))&lt;='01_Criterios'!$C$14),Aux!AA6,IF(AND(Aux!O6&lt;&gt;"",(N(Aux!O6)-2)&lt;='01_Criterios'!$C$15),Aux!AM6,"")))))</f>
        <v>-0.43462800000000001</v>
      </c>
      <c r="M6" s="6">
        <f>IF('03_Base_Indice'!$D6="","",IF('03_Base_Indice'!M6&lt;&gt;"",'03_Base_Indice'!M6,IF(AND(Aux!D6&lt;&gt;"",Aux!P6&lt;&gt;"",(N(Aux!P6)-N(Aux!D6)-1)&lt;='01_Criterios'!$C$13),Aux!AB6+(Aux!AN6-Aux!AB6)*(3-Aux!D6)/(Aux!P6-Aux!D6),IF(AND(Aux!D6&lt;&gt;"",(3-N(Aux!D6))&lt;='01_Criterios'!$C$14),Aux!AB6,IF(AND(Aux!P6&lt;&gt;"",(N(Aux!P6)-3)&lt;='01_Criterios'!$C$15),Aux!AN6,"")))))</f>
        <v>-0.53721450000000004</v>
      </c>
      <c r="N6" s="6">
        <f>IF('03_Base_Indice'!$D6="","",IF('03_Base_Indice'!N6&lt;&gt;"",'03_Base_Indice'!N6,IF(AND(Aux!E6&lt;&gt;"",Aux!Q6&lt;&gt;"",(N(Aux!Q6)-N(Aux!E6)-1)&lt;='01_Criterios'!$C$13),Aux!AC6+(Aux!AO6-Aux!AC6)*(4-Aux!E6)/(Aux!Q6-Aux!E6),IF(AND(Aux!E6&lt;&gt;"",(4-N(Aux!E6))&lt;='01_Criterios'!$C$14),Aux!AC6,IF(AND(Aux!Q6&lt;&gt;"",(N(Aux!Q6)-4)&lt;='01_Criterios'!$C$15),Aux!AO6,"")))))</f>
        <v>-0.4058117</v>
      </c>
      <c r="O6" s="6">
        <f>IF('03_Base_Indice'!$D6="","",IF('03_Base_Indice'!O6&lt;&gt;"",'03_Base_Indice'!O6,IF(AND(Aux!F6&lt;&gt;"",Aux!R6&lt;&gt;"",(N(Aux!R6)-N(Aux!F6)-1)&lt;='01_Criterios'!$C$13),Aux!AD6+(Aux!AP6-Aux!AD6)*(5-Aux!F6)/(Aux!R6-Aux!F6),IF(AND(Aux!F6&lt;&gt;"",(5-N(Aux!F6))&lt;='01_Criterios'!$C$14),Aux!AD6,IF(AND(Aux!R6&lt;&gt;"",(N(Aux!R6)-5)&lt;='01_Criterios'!$C$15),Aux!AP6,"")))))</f>
        <v>-0.42070390000000002</v>
      </c>
      <c r="P6" s="6">
        <f>IF('03_Base_Indice'!$D6="","",IF('03_Base_Indice'!P6&lt;&gt;"",'03_Base_Indice'!P6,IF(AND(Aux!G6&lt;&gt;"",Aux!S6&lt;&gt;"",(N(Aux!S6)-N(Aux!G6)-1)&lt;='01_Criterios'!$C$13),Aux!AE6+(Aux!AQ6-Aux!AE6)*(6-Aux!G6)/(Aux!S6-Aux!G6),IF(AND(Aux!G6&lt;&gt;"",(6-N(Aux!G6))&lt;='01_Criterios'!$C$14),Aux!AE6,IF(AND(Aux!S6&lt;&gt;"",(N(Aux!S6)-6)&lt;='01_Criterios'!$C$15),Aux!AQ6,"")))))</f>
        <v>-0.64276339999999998</v>
      </c>
      <c r="Q6" s="6">
        <f>IF('03_Base_Indice'!$D6="","",IF('03_Base_Indice'!Q6&lt;&gt;"",'03_Base_Indice'!Q6,IF(AND(Aux!H6&lt;&gt;"",Aux!T6&lt;&gt;"",(N(Aux!T6)-N(Aux!H6)-1)&lt;='01_Criterios'!$C$13),Aux!AF6+(Aux!AR6-Aux!AF6)*(7-Aux!H6)/(Aux!T6-Aux!H6),IF(AND(Aux!H6&lt;&gt;"",(7-N(Aux!H6))&lt;='01_Criterios'!$C$14),Aux!AF6,IF(AND(Aux!T6&lt;&gt;"",(N(Aux!T6)-7)&lt;='01_Criterios'!$C$15),Aux!AR6,"")))))</f>
        <v>-0.79360679999999995</v>
      </c>
      <c r="R6" s="6">
        <f>IF('03_Base_Indice'!$D6="","",IF('03_Base_Indice'!R6&lt;&gt;"",'03_Base_Indice'!R6,IF(AND(Aux!I6&lt;&gt;"",Aux!U6&lt;&gt;"",(N(Aux!U6)-N(Aux!I6)-1)&lt;='01_Criterios'!$C$13),Aux!AG6+(Aux!AS6-Aux!AG6)*(8-Aux!I6)/(Aux!U6-Aux!I6),IF(AND(Aux!I6&lt;&gt;"",(8-N(Aux!I6))&lt;='01_Criterios'!$C$14),Aux!AG6,IF(AND(Aux!U6&lt;&gt;"",(N(Aux!U6)-8)&lt;='01_Criterios'!$C$15),Aux!AS6,"")))))</f>
        <v>-0.54140679999999997</v>
      </c>
      <c r="S6" s="6">
        <f>IF('03_Base_Indice'!$D6="","",IF('03_Base_Indice'!S6&lt;&gt;"",'03_Base_Indice'!S6,IF(AND(Aux!J6&lt;&gt;"",Aux!V6&lt;&gt;"",(N(Aux!V6)-N(Aux!J6)-1)&lt;='01_Criterios'!$C$13),Aux!AH6+(Aux!AT6-Aux!AH6)*(9-Aux!J6)/(Aux!V6-Aux!J6),IF(AND(Aux!J6&lt;&gt;"",(9-N(Aux!J6))&lt;='01_Criterios'!$C$14),Aux!AH6,IF(AND(Aux!V6&lt;&gt;"",(N(Aux!V6)-9)&lt;='01_Criterios'!$C$15),Aux!AT6,"")))))</f>
        <v>-0.31316539999999998</v>
      </c>
      <c r="T6" s="6">
        <f>IF('03_Base_Indice'!$D6="","",IF('03_Base_Indice'!T6&lt;&gt;"",'03_Base_Indice'!T6,IF(AND(Aux!K6&lt;&gt;"",Aux!W6&lt;&gt;"",(N(Aux!W6)-N(Aux!K6)-1)&lt;='01_Criterios'!$C$13),Aux!AI6+(Aux!AU6-Aux!AI6)*(10-Aux!K6)/(Aux!W6-Aux!K6),IF(AND(Aux!K6&lt;&gt;"",(10-N(Aux!K6))&lt;='01_Criterios'!$C$14),Aux!AI6,IF(AND(Aux!W6&lt;&gt;"",(N(Aux!W6)-10)&lt;='01_Criterios'!$C$15),Aux!AU6,"")))))</f>
        <v>-0.57359640000000001</v>
      </c>
      <c r="U6" s="6">
        <f>IF('03_Base_Indice'!$D6="","",IF('03_Base_Indice'!U6&lt;&gt;"",'03_Base_Indice'!U6,IF(AND(Aux!L6&lt;&gt;"",Aux!X6&lt;&gt;"",(N(Aux!X6)-N(Aux!L6)-1)&lt;='01_Criterios'!$C$13),Aux!AJ6+(Aux!AV6-Aux!AJ6)*(11-Aux!L6)/(Aux!X6-Aux!L6),IF(AND(Aux!L6&lt;&gt;"",(11-N(Aux!L6))&lt;='01_Criterios'!$C$14),Aux!AJ6,IF(AND(Aux!X6&lt;&gt;"",(N(Aux!X6)-11)&lt;='01_Criterios'!$C$15),Aux!AV6,"")))))</f>
        <v>-0.57359640000000001</v>
      </c>
    </row>
    <row r="7" spans="1:21">
      <c r="A7" s="6" t="str">
        <f>IF('03_Base_Indice'!$A7="","",'03_Base_Indice'!$A7)</f>
        <v>1. Governança e Estado de Direito</v>
      </c>
      <c r="B7" s="6">
        <f>'03_Base_Indice'!$B7</f>
        <v>3</v>
      </c>
      <c r="D7" s="6" t="str">
        <f>IF('03_Base_Indice'!$D7="","",'03_Base_Indice'!$D7)</f>
        <v>GOV02</v>
      </c>
      <c r="E7" s="6" t="str">
        <f>IF('03_Base_Indice'!$E7="","",'03_Base_Indice'!$E7)</f>
        <v>WGI - Estado de Direito</v>
      </c>
      <c r="K7" s="6">
        <f>IF('03_Base_Indice'!$D7="","",IF('03_Base_Indice'!K7&lt;&gt;"",'03_Base_Indice'!K7,IF(AND(Aux!B7&lt;&gt;"",Aux!N7&lt;&gt;"",(N(Aux!N7)-N(Aux!B7)-1)&lt;='01_Criterios'!$C$13),Aux!Z7+(Aux!AL7-Aux!Z7)*(1-Aux!B7)/(Aux!N7-Aux!B7),IF(AND(Aux!B7&lt;&gt;"",(1-N(Aux!B7))&lt;='01_Criterios'!$C$14),Aux!Z7,IF(AND(Aux!N7&lt;&gt;"",(N(Aux!N7)-1)&lt;='01_Criterios'!$C$15),Aux!AL7,"")))))</f>
        <v>-1.3086297</v>
      </c>
      <c r="L7" s="6">
        <f>IF('03_Base_Indice'!$D7="","",IF('03_Base_Indice'!L7&lt;&gt;"",'03_Base_Indice'!L7,IF(AND(Aux!C7&lt;&gt;"",Aux!O7&lt;&gt;"",(N(Aux!O7)-N(Aux!C7)-1)&lt;='01_Criterios'!$C$13),Aux!AA7+(Aux!AM7-Aux!AA7)*(2-Aux!C7)/(Aux!O7-Aux!C7),IF(AND(Aux!C7&lt;&gt;"",(2-N(Aux!C7))&lt;='01_Criterios'!$C$14),Aux!AA7,IF(AND(Aux!O7&lt;&gt;"",(N(Aux!O7)-2)&lt;='01_Criterios'!$C$15),Aux!AM7,"")))))</f>
        <v>-1.3287764</v>
      </c>
      <c r="M7" s="6">
        <f>IF('03_Base_Indice'!$D7="","",IF('03_Base_Indice'!M7&lt;&gt;"",'03_Base_Indice'!M7,IF(AND(Aux!D7&lt;&gt;"",Aux!P7&lt;&gt;"",(N(Aux!P7)-N(Aux!D7)-1)&lt;='01_Criterios'!$C$13),Aux!AB7+(Aux!AN7-Aux!AB7)*(3-Aux!D7)/(Aux!P7-Aux!D7),IF(AND(Aux!D7&lt;&gt;"",(3-N(Aux!D7))&lt;='01_Criterios'!$C$14),Aux!AB7,IF(AND(Aux!P7&lt;&gt;"",(N(Aux!P7)-3)&lt;='01_Criterios'!$C$15),Aux!AN7,"")))))</f>
        <v>-1.3317055</v>
      </c>
      <c r="N7" s="6">
        <f>IF('03_Base_Indice'!$D7="","",IF('03_Base_Indice'!N7&lt;&gt;"",'03_Base_Indice'!N7,IF(AND(Aux!E7&lt;&gt;"",Aux!Q7&lt;&gt;"",(N(Aux!Q7)-N(Aux!E7)-1)&lt;='01_Criterios'!$C$13),Aux!AC7+(Aux!AO7-Aux!AC7)*(4-Aux!E7)/(Aux!Q7-Aux!E7),IF(AND(Aux!E7&lt;&gt;"",(4-N(Aux!E7))&lt;='01_Criterios'!$C$14),Aux!AC7,IF(AND(Aux!Q7&lt;&gt;"",(N(Aux!Q7)-4)&lt;='01_Criterios'!$C$15),Aux!AO7,"")))))</f>
        <v>-1.1105522000000001</v>
      </c>
      <c r="O7" s="6">
        <f>IF('03_Base_Indice'!$D7="","",IF('03_Base_Indice'!O7&lt;&gt;"",'03_Base_Indice'!O7,IF(AND(Aux!F7&lt;&gt;"",Aux!R7&lt;&gt;"",(N(Aux!R7)-N(Aux!F7)-1)&lt;='01_Criterios'!$C$13),Aux!AD7+(Aux!AP7-Aux!AD7)*(5-Aux!F7)/(Aux!R7-Aux!F7),IF(AND(Aux!F7&lt;&gt;"",(5-N(Aux!F7))&lt;='01_Criterios'!$C$14),Aux!AD7,IF(AND(Aux!R7&lt;&gt;"",(N(Aux!R7)-5)&lt;='01_Criterios'!$C$15),Aux!AP7,"")))))</f>
        <v>-1.0519681999999999</v>
      </c>
      <c r="P7" s="6">
        <f>IF('03_Base_Indice'!$D7="","",IF('03_Base_Indice'!P7&lt;&gt;"",'03_Base_Indice'!P7,IF(AND(Aux!G7&lt;&gt;"",Aux!S7&lt;&gt;"",(N(Aux!S7)-N(Aux!G7)-1)&lt;='01_Criterios'!$C$13),Aux!AE7+(Aux!AQ7-Aux!AE7)*(6-Aux!G7)/(Aux!S7-Aux!G7),IF(AND(Aux!G7&lt;&gt;"",(6-N(Aux!G7))&lt;='01_Criterios'!$C$14),Aux!AE7,IF(AND(Aux!S7&lt;&gt;"",(N(Aux!S7)-6)&lt;='01_Criterios'!$C$15),Aux!AQ7,"")))))</f>
        <v>-0.94750380000000001</v>
      </c>
      <c r="Q7" s="6">
        <f>IF('03_Base_Indice'!$D7="","",IF('03_Base_Indice'!Q7&lt;&gt;"",'03_Base_Indice'!Q7,IF(AND(Aux!H7&lt;&gt;"",Aux!T7&lt;&gt;"",(N(Aux!T7)-N(Aux!H7)-1)&lt;='01_Criterios'!$C$13),Aux!AF7+(Aux!AR7-Aux!AF7)*(7-Aux!H7)/(Aux!T7-Aux!H7),IF(AND(Aux!H7&lt;&gt;"",(7-N(Aux!H7))&lt;='01_Criterios'!$C$14),Aux!AF7,IF(AND(Aux!T7&lt;&gt;"",(N(Aux!T7)-7)&lt;='01_Criterios'!$C$15),Aux!AR7,"")))))</f>
        <v>-1.0980135</v>
      </c>
      <c r="R7" s="6">
        <f>IF('03_Base_Indice'!$D7="","",IF('03_Base_Indice'!R7&lt;&gt;"",'03_Base_Indice'!R7,IF(AND(Aux!I7&lt;&gt;"",Aux!U7&lt;&gt;"",(N(Aux!U7)-N(Aux!I7)-1)&lt;='01_Criterios'!$C$13),Aux!AG7+(Aux!AS7-Aux!AG7)*(8-Aux!I7)/(Aux!U7-Aux!I7),IF(AND(Aux!I7&lt;&gt;"",(8-N(Aux!I7))&lt;='01_Criterios'!$C$14),Aux!AG7,IF(AND(Aux!U7&lt;&gt;"",(N(Aux!U7)-8)&lt;='01_Criterios'!$C$15),Aux!AS7,"")))))</f>
        <v>-1.1625439</v>
      </c>
      <c r="S7" s="6">
        <f>IF('03_Base_Indice'!$D7="","",IF('03_Base_Indice'!S7&lt;&gt;"",'03_Base_Indice'!S7,IF(AND(Aux!J7&lt;&gt;"",Aux!V7&lt;&gt;"",(N(Aux!V7)-N(Aux!J7)-1)&lt;='01_Criterios'!$C$13),Aux!AH7+(Aux!AT7-Aux!AH7)*(9-Aux!J7)/(Aux!V7-Aux!J7),IF(AND(Aux!J7&lt;&gt;"",(9-N(Aux!J7))&lt;='01_Criterios'!$C$14),Aux!AH7,IF(AND(Aux!V7&lt;&gt;"",(N(Aux!V7)-9)&lt;='01_Criterios'!$C$15),Aux!AT7,"")))))</f>
        <v>-1.1944432</v>
      </c>
      <c r="T7" s="6">
        <f>IF('03_Base_Indice'!$D7="","",IF('03_Base_Indice'!T7&lt;&gt;"",'03_Base_Indice'!T7,IF(AND(Aux!K7&lt;&gt;"",Aux!W7&lt;&gt;"",(N(Aux!W7)-N(Aux!K7)-1)&lt;='01_Criterios'!$C$13),Aux!AI7+(Aux!AU7-Aux!AI7)*(10-Aux!K7)/(Aux!W7-Aux!K7),IF(AND(Aux!K7&lt;&gt;"",(10-N(Aux!K7))&lt;='01_Criterios'!$C$14),Aux!AI7,IF(AND(Aux!W7&lt;&gt;"",(N(Aux!W7)-10)&lt;='01_Criterios'!$C$15),Aux!AU7,"")))))</f>
        <v>-1.1697408</v>
      </c>
      <c r="U7" s="6">
        <f>IF('03_Base_Indice'!$D7="","",IF('03_Base_Indice'!U7&lt;&gt;"",'03_Base_Indice'!U7,IF(AND(Aux!L7&lt;&gt;"",Aux!X7&lt;&gt;"",(N(Aux!X7)-N(Aux!L7)-1)&lt;='01_Criterios'!$C$13),Aux!AJ7+(Aux!AV7-Aux!AJ7)*(11-Aux!L7)/(Aux!X7-Aux!L7),IF(AND(Aux!L7&lt;&gt;"",(11-N(Aux!L7))&lt;='01_Criterios'!$C$14),Aux!AJ7,IF(AND(Aux!X7&lt;&gt;"",(N(Aux!X7)-11)&lt;='01_Criterios'!$C$15),Aux!AV7,"")))))</f>
        <v>-1.1697408</v>
      </c>
    </row>
    <row r="8" spans="1:21">
      <c r="A8" s="6" t="str">
        <f>IF('03_Base_Indice'!$A8="","",'03_Base_Indice'!$A8)</f>
        <v>1. Governança e Estado de Direito</v>
      </c>
      <c r="B8" s="6">
        <f>'03_Base_Indice'!$B8</f>
        <v>4</v>
      </c>
      <c r="D8" s="6" t="str">
        <f>IF('03_Base_Indice'!$D8="","",'03_Base_Indice'!$D8)</f>
        <v>GOV03</v>
      </c>
      <c r="E8" s="6" t="str">
        <f>IF('03_Base_Indice'!$E8="","",'03_Base_Indice'!$E8)</f>
        <v>WGI - Eficiência do Governo</v>
      </c>
      <c r="K8" s="6">
        <f>IF('03_Base_Indice'!$D8="","",IF('03_Base_Indice'!K8&lt;&gt;"",'03_Base_Indice'!K8,IF(AND(Aux!B8&lt;&gt;"",Aux!N8&lt;&gt;"",(N(Aux!N8)-N(Aux!B8)-1)&lt;='01_Criterios'!$C$13),Aux!Z8+(Aux!AL8-Aux!Z8)*(1-Aux!B8)/(Aux!N8-Aux!B8),IF(AND(Aux!B8&lt;&gt;"",(1-N(Aux!B8))&lt;='01_Criterios'!$C$14),Aux!Z8,IF(AND(Aux!N8&lt;&gt;"",(N(Aux!N8)-1)&lt;='01_Criterios'!$C$15),Aux!AL8,"")))))</f>
        <v>-0.93782370000000004</v>
      </c>
      <c r="L8" s="6">
        <f>IF('03_Base_Indice'!$D8="","",IF('03_Base_Indice'!L8&lt;&gt;"",'03_Base_Indice'!L8,IF(AND(Aux!C8&lt;&gt;"",Aux!O8&lt;&gt;"",(N(Aux!O8)-N(Aux!C8)-1)&lt;='01_Criterios'!$C$13),Aux!AA8+(Aux!AM8-Aux!AA8)*(2-Aux!C8)/(Aux!O8-Aux!C8),IF(AND(Aux!C8&lt;&gt;"",(2-N(Aux!C8))&lt;='01_Criterios'!$C$14),Aux!AA8,IF(AND(Aux!O8&lt;&gt;"",(N(Aux!O8)-2)&lt;='01_Criterios'!$C$15),Aux!AM8,"")))))</f>
        <v>-0.94938469999999997</v>
      </c>
      <c r="M8" s="6">
        <f>IF('03_Base_Indice'!$D8="","",IF('03_Base_Indice'!M8&lt;&gt;"",'03_Base_Indice'!M8,IF(AND(Aux!D8&lt;&gt;"",Aux!P8&lt;&gt;"",(N(Aux!P8)-N(Aux!D8)-1)&lt;='01_Criterios'!$C$13),Aux!AB8+(Aux!AN8-Aux!AB8)*(3-Aux!D8)/(Aux!P8-Aux!D8),IF(AND(Aux!D8&lt;&gt;"",(3-N(Aux!D8))&lt;='01_Criterios'!$C$14),Aux!AB8,IF(AND(Aux!P8&lt;&gt;"",(N(Aux!P8)-3)&lt;='01_Criterios'!$C$15),Aux!AN8,"")))))</f>
        <v>-0.96811570000000002</v>
      </c>
      <c r="N8" s="6">
        <f>IF('03_Base_Indice'!$D8="","",IF('03_Base_Indice'!N8&lt;&gt;"",'03_Base_Indice'!N8,IF(AND(Aux!E8&lt;&gt;"",Aux!Q8&lt;&gt;"",(N(Aux!Q8)-N(Aux!E8)-1)&lt;='01_Criterios'!$C$13),Aux!AC8+(Aux!AO8-Aux!AC8)*(4-Aux!E8)/(Aux!Q8-Aux!E8),IF(AND(Aux!E8&lt;&gt;"",(4-N(Aux!E8))&lt;='01_Criterios'!$C$14),Aux!AC8,IF(AND(Aux!Q8&lt;&gt;"",(N(Aux!Q8)-4)&lt;='01_Criterios'!$C$15),Aux!AO8,"")))))</f>
        <v>-0.9784602</v>
      </c>
      <c r="O8" s="6">
        <f>IF('03_Base_Indice'!$D8="","",IF('03_Base_Indice'!O8&lt;&gt;"",'03_Base_Indice'!O8,IF(AND(Aux!F8&lt;&gt;"",Aux!R8&lt;&gt;"",(N(Aux!R8)-N(Aux!F8)-1)&lt;='01_Criterios'!$C$13),Aux!AD8+(Aux!AP8-Aux!AD8)*(5-Aux!F8)/(Aux!R8-Aux!F8),IF(AND(Aux!F8&lt;&gt;"",(5-N(Aux!F8))&lt;='01_Criterios'!$C$14),Aux!AD8,IF(AND(Aux!R8&lt;&gt;"",(N(Aux!R8)-5)&lt;='01_Criterios'!$C$15),Aux!AP8,"")))))</f>
        <v>-0.91169650000000002</v>
      </c>
      <c r="P8" s="6">
        <f>IF('03_Base_Indice'!$D8="","",IF('03_Base_Indice'!P8&lt;&gt;"",'03_Base_Indice'!P8,IF(AND(Aux!G8&lt;&gt;"",Aux!S8&lt;&gt;"",(N(Aux!S8)-N(Aux!G8)-1)&lt;='01_Criterios'!$C$13),Aux!AE8+(Aux!AQ8-Aux!AE8)*(6-Aux!G8)/(Aux!S8-Aux!G8),IF(AND(Aux!G8&lt;&gt;"",(6-N(Aux!G8))&lt;='01_Criterios'!$C$14),Aux!AE8,IF(AND(Aux!S8&lt;&gt;"",(N(Aux!S8)-6)&lt;='01_Criterios'!$C$15),Aux!AQ8,"")))))</f>
        <v>-1.0163603999999999</v>
      </c>
      <c r="Q8" s="6">
        <f>IF('03_Base_Indice'!$D8="","",IF('03_Base_Indice'!Q8&lt;&gt;"",'03_Base_Indice'!Q8,IF(AND(Aux!H8&lt;&gt;"",Aux!T8&lt;&gt;"",(N(Aux!T8)-N(Aux!H8)-1)&lt;='01_Criterios'!$C$13),Aux!AF8+(Aux!AR8-Aux!AF8)*(7-Aux!H8)/(Aux!T8-Aux!H8),IF(AND(Aux!H8&lt;&gt;"",(7-N(Aux!H8))&lt;='01_Criterios'!$C$14),Aux!AF8,IF(AND(Aux!T8&lt;&gt;"",(N(Aux!T8)-7)&lt;='01_Criterios'!$C$15),Aux!AR8,"")))))</f>
        <v>-0.9347008</v>
      </c>
      <c r="R8" s="6">
        <f>IF('03_Base_Indice'!$D8="","",IF('03_Base_Indice'!R8&lt;&gt;"",'03_Base_Indice'!R8,IF(AND(Aux!I8&lt;&gt;"",Aux!U8&lt;&gt;"",(N(Aux!U8)-N(Aux!I8)-1)&lt;='01_Criterios'!$C$13),Aux!AG8+(Aux!AS8-Aux!AG8)*(8-Aux!I8)/(Aux!U8-Aux!I8),IF(AND(Aux!I8&lt;&gt;"",(8-N(Aux!I8))&lt;='01_Criterios'!$C$14),Aux!AG8,IF(AND(Aux!U8&lt;&gt;"",(N(Aux!U8)-8)&lt;='01_Criterios'!$C$15),Aux!AS8,"")))))</f>
        <v>-0.83257179999999997</v>
      </c>
      <c r="S8" s="6">
        <f>IF('03_Base_Indice'!$D8="","",IF('03_Base_Indice'!S8&lt;&gt;"",'03_Base_Indice'!S8,IF(AND(Aux!J8&lt;&gt;"",Aux!V8&lt;&gt;"",(N(Aux!V8)-N(Aux!J8)-1)&lt;='01_Criterios'!$C$13),Aux!AH8+(Aux!AT8-Aux!AH8)*(9-Aux!J8)/(Aux!V8-Aux!J8),IF(AND(Aux!J8&lt;&gt;"",(9-N(Aux!J8))&lt;='01_Criterios'!$C$14),Aux!AH8,IF(AND(Aux!V8&lt;&gt;"",(N(Aux!V8)-9)&lt;='01_Criterios'!$C$15),Aux!AT8,"")))))</f>
        <v>-0.82870259999999996</v>
      </c>
      <c r="T8" s="6">
        <f>IF('03_Base_Indice'!$D8="","",IF('03_Base_Indice'!T8&lt;&gt;"",'03_Base_Indice'!T8,IF(AND(Aux!K8&lt;&gt;"",Aux!W8&lt;&gt;"",(N(Aux!W8)-N(Aux!K8)-1)&lt;='01_Criterios'!$C$13),Aux!AI8+(Aux!AU8-Aux!AI8)*(10-Aux!K8)/(Aux!W8-Aux!K8),IF(AND(Aux!K8&lt;&gt;"",(10-N(Aux!K8))&lt;='01_Criterios'!$C$14),Aux!AI8,IF(AND(Aux!W8&lt;&gt;"",(N(Aux!W8)-10)&lt;='01_Criterios'!$C$15),Aux!AU8,"")))))</f>
        <v>-0.78519090000000002</v>
      </c>
      <c r="U8" s="6">
        <f>IF('03_Base_Indice'!$D8="","",IF('03_Base_Indice'!U8&lt;&gt;"",'03_Base_Indice'!U8,IF(AND(Aux!L8&lt;&gt;"",Aux!X8&lt;&gt;"",(N(Aux!X8)-N(Aux!L8)-1)&lt;='01_Criterios'!$C$13),Aux!AJ8+(Aux!AV8-Aux!AJ8)*(11-Aux!L8)/(Aux!X8-Aux!L8),IF(AND(Aux!L8&lt;&gt;"",(11-N(Aux!L8))&lt;='01_Criterios'!$C$14),Aux!AJ8,IF(AND(Aux!X8&lt;&gt;"",(N(Aux!X8)-11)&lt;='01_Criterios'!$C$15),Aux!AV8,"")))))</f>
        <v>-0.78519090000000002</v>
      </c>
    </row>
    <row r="9" spans="1:21">
      <c r="A9" s="6" t="str">
        <f>IF('03_Base_Indice'!$A9="","",'03_Base_Indice'!$A9)</f>
        <v>1. Governança e Estado de Direito</v>
      </c>
      <c r="B9" s="6">
        <f>'03_Base_Indice'!$B9</f>
        <v>5</v>
      </c>
      <c r="D9" s="6" t="str">
        <f>IF('03_Base_Indice'!$D9="","",'03_Base_Indice'!$D9)</f>
        <v>GOV05</v>
      </c>
      <c r="E9" s="6" t="str">
        <f>IF('03_Base_Indice'!$E9="","",'03_Base_Indice'!$E9)</f>
        <v>WGI - Qualidade Regulatória</v>
      </c>
      <c r="K9" s="6">
        <f>IF('03_Base_Indice'!$D9="","",IF('03_Base_Indice'!K9&lt;&gt;"",'03_Base_Indice'!K9,IF(AND(Aux!B9&lt;&gt;"",Aux!N9&lt;&gt;"",(N(Aux!N9)-N(Aux!B9)-1)&lt;='01_Criterios'!$C$13),Aux!Z9+(Aux!AL9-Aux!Z9)*(1-Aux!B9)/(Aux!N9-Aux!B9),IF(AND(Aux!B9&lt;&gt;"",(1-N(Aux!B9))&lt;='01_Criterios'!$C$14),Aux!Z9,IF(AND(Aux!N9&lt;&gt;"",(N(Aux!N9)-1)&lt;='01_Criterios'!$C$15),Aux!AL9,"")))))</f>
        <v>-1.0904944999999999</v>
      </c>
      <c r="L9" s="6">
        <f>IF('03_Base_Indice'!$D9="","",IF('03_Base_Indice'!L9&lt;&gt;"",'03_Base_Indice'!L9,IF(AND(Aux!C9&lt;&gt;"",Aux!O9&lt;&gt;"",(N(Aux!O9)-N(Aux!C9)-1)&lt;='01_Criterios'!$C$13),Aux!AA9+(Aux!AM9-Aux!AA9)*(2-Aux!C9)/(Aux!O9-Aux!C9),IF(AND(Aux!C9&lt;&gt;"",(2-N(Aux!C9))&lt;='01_Criterios'!$C$14),Aux!AA9,IF(AND(Aux!O9&lt;&gt;"",(N(Aux!O9)-2)&lt;='01_Criterios'!$C$15),Aux!AM9,"")))))</f>
        <v>-1.1804235000000001</v>
      </c>
      <c r="M9" s="6">
        <f>IF('03_Base_Indice'!$D9="","",IF('03_Base_Indice'!M9&lt;&gt;"",'03_Base_Indice'!M9,IF(AND(Aux!D9&lt;&gt;"",Aux!P9&lt;&gt;"",(N(Aux!P9)-N(Aux!D9)-1)&lt;='01_Criterios'!$C$13),Aux!AB9+(Aux!AN9-Aux!AB9)*(3-Aux!D9)/(Aux!P9-Aux!D9),IF(AND(Aux!D9&lt;&gt;"",(3-N(Aux!D9))&lt;='01_Criterios'!$C$14),Aux!AB9,IF(AND(Aux!P9&lt;&gt;"",(N(Aux!P9)-3)&lt;='01_Criterios'!$C$15),Aux!AN9,"")))))</f>
        <v>-1.1799885000000001</v>
      </c>
      <c r="N9" s="6">
        <f>IF('03_Base_Indice'!$D9="","",IF('03_Base_Indice'!N9&lt;&gt;"",'03_Base_Indice'!N9,IF(AND(Aux!E9&lt;&gt;"",Aux!Q9&lt;&gt;"",(N(Aux!Q9)-N(Aux!E9)-1)&lt;='01_Criterios'!$C$13),Aux!AC9+(Aux!AO9-Aux!AC9)*(4-Aux!E9)/(Aux!Q9-Aux!E9),IF(AND(Aux!E9&lt;&gt;"",(4-N(Aux!E9))&lt;='01_Criterios'!$C$14),Aux!AC9,IF(AND(Aux!Q9&lt;&gt;"",(N(Aux!Q9)-4)&lt;='01_Criterios'!$C$15),Aux!AO9,"")))))</f>
        <v>-1.0624393000000001</v>
      </c>
      <c r="O9" s="6">
        <f>IF('03_Base_Indice'!$D9="","",IF('03_Base_Indice'!O9&lt;&gt;"",'03_Base_Indice'!O9,IF(AND(Aux!F9&lt;&gt;"",Aux!R9&lt;&gt;"",(N(Aux!R9)-N(Aux!F9)-1)&lt;='01_Criterios'!$C$13),Aux!AD9+(Aux!AP9-Aux!AD9)*(5-Aux!F9)/(Aux!R9-Aux!F9),IF(AND(Aux!F9&lt;&gt;"",(5-N(Aux!F9))&lt;='01_Criterios'!$C$14),Aux!AD9,IF(AND(Aux!R9&lt;&gt;"",(N(Aux!R9)-5)&lt;='01_Criterios'!$C$15),Aux!AP9,"")))))</f>
        <v>-0.99608540000000001</v>
      </c>
      <c r="P9" s="6">
        <f>IF('03_Base_Indice'!$D9="","",IF('03_Base_Indice'!P9&lt;&gt;"",'03_Base_Indice'!P9,IF(AND(Aux!G9&lt;&gt;"",Aux!S9&lt;&gt;"",(N(Aux!S9)-N(Aux!G9)-1)&lt;='01_Criterios'!$C$13),Aux!AE9+(Aux!AQ9-Aux!AE9)*(6-Aux!G9)/(Aux!S9-Aux!G9),IF(AND(Aux!G9&lt;&gt;"",(6-N(Aux!G9))&lt;='01_Criterios'!$C$14),Aux!AE9,IF(AND(Aux!S9&lt;&gt;"",(N(Aux!S9)-6)&lt;='01_Criterios'!$C$15),Aux!AQ9,"")))))</f>
        <v>-1.0388818</v>
      </c>
      <c r="Q9" s="6">
        <f>IF('03_Base_Indice'!$D9="","",IF('03_Base_Indice'!Q9&lt;&gt;"",'03_Base_Indice'!Q9,IF(AND(Aux!H9&lt;&gt;"",Aux!T9&lt;&gt;"",(N(Aux!T9)-N(Aux!H9)-1)&lt;='01_Criterios'!$C$13),Aux!AF9+(Aux!AR9-Aux!AF9)*(7-Aux!H9)/(Aux!T9-Aux!H9),IF(AND(Aux!H9&lt;&gt;"",(7-N(Aux!H9))&lt;='01_Criterios'!$C$14),Aux!AF9,IF(AND(Aux!T9&lt;&gt;"",(N(Aux!T9)-7)&lt;='01_Criterios'!$C$15),Aux!AR9,"")))))</f>
        <v>-0.84861839999999999</v>
      </c>
      <c r="R9" s="6">
        <f>IF('03_Base_Indice'!$D9="","",IF('03_Base_Indice'!R9&lt;&gt;"",'03_Base_Indice'!R9,IF(AND(Aux!I9&lt;&gt;"",Aux!U9&lt;&gt;"",(N(Aux!U9)-N(Aux!I9)-1)&lt;='01_Criterios'!$C$13),Aux!AG9+(Aux!AS9-Aux!AG9)*(8-Aux!I9)/(Aux!U9-Aux!I9),IF(AND(Aux!I9&lt;&gt;"",(8-N(Aux!I9))&lt;='01_Criterios'!$C$14),Aux!AG9,IF(AND(Aux!U9&lt;&gt;"",(N(Aux!U9)-8)&lt;='01_Criterios'!$C$15),Aux!AS9,"")))))</f>
        <v>-0.86188209999999998</v>
      </c>
      <c r="S9" s="6">
        <f>IF('03_Base_Indice'!$D9="","",IF('03_Base_Indice'!S9&lt;&gt;"",'03_Base_Indice'!S9,IF(AND(Aux!J9&lt;&gt;"",Aux!V9&lt;&gt;"",(N(Aux!V9)-N(Aux!J9)-1)&lt;='01_Criterios'!$C$13),Aux!AH9+(Aux!AT9-Aux!AH9)*(9-Aux!J9)/(Aux!V9-Aux!J9),IF(AND(Aux!J9&lt;&gt;"",(9-N(Aux!J9))&lt;='01_Criterios'!$C$14),Aux!AH9,IF(AND(Aux!V9&lt;&gt;"",(N(Aux!V9)-9)&lt;='01_Criterios'!$C$15),Aux!AT9,"")))))</f>
        <v>-0.90434199999999998</v>
      </c>
      <c r="T9" s="6">
        <f>IF('03_Base_Indice'!$D9="","",IF('03_Base_Indice'!T9&lt;&gt;"",'03_Base_Indice'!T9,IF(AND(Aux!K9&lt;&gt;"",Aux!W9&lt;&gt;"",(N(Aux!W9)-N(Aux!K9)-1)&lt;='01_Criterios'!$C$13),Aux!AI9+(Aux!AU9-Aux!AI9)*(10-Aux!K9)/(Aux!W9-Aux!K9),IF(AND(Aux!K9&lt;&gt;"",(10-N(Aux!K9))&lt;='01_Criterios'!$C$14),Aux!AI9,IF(AND(Aux!W9&lt;&gt;"",(N(Aux!W9)-10)&lt;='01_Criterios'!$C$15),Aux!AU9,"")))))</f>
        <v>-0.77301999999999993</v>
      </c>
      <c r="U9" s="6">
        <f>IF('03_Base_Indice'!$D9="","",IF('03_Base_Indice'!U9&lt;&gt;"",'03_Base_Indice'!U9,IF(AND(Aux!L9&lt;&gt;"",Aux!X9&lt;&gt;"",(N(Aux!X9)-N(Aux!L9)-1)&lt;='01_Criterios'!$C$13),Aux!AJ9+(Aux!AV9-Aux!AJ9)*(11-Aux!L9)/(Aux!X9-Aux!L9),IF(AND(Aux!L9&lt;&gt;"",(11-N(Aux!L9))&lt;='01_Criterios'!$C$14),Aux!AJ9,IF(AND(Aux!X9&lt;&gt;"",(N(Aux!X9)-11)&lt;='01_Criterios'!$C$15),Aux!AV9,"")))))</f>
        <v>-0.77301999999999993</v>
      </c>
    </row>
    <row r="10" spans="1:21">
      <c r="A10" s="6" t="str">
        <f>IF('03_Base_Indice'!$A10="","",'03_Base_Indice'!$A10)</f>
        <v>1. Governança e Estado de Direito</v>
      </c>
      <c r="B10" s="6">
        <f>'03_Base_Indice'!$B10</f>
        <v>6</v>
      </c>
      <c r="D10" s="6" t="str">
        <f>IF('03_Base_Indice'!$D10="","",'03_Base_Indice'!$D10)</f>
        <v/>
      </c>
      <c r="E10" s="6" t="str">
        <f>IF('03_Base_Indice'!$E10="","",'03_Base_Indice'!$E10)</f>
        <v/>
      </c>
      <c r="K10" s="6" t="str">
        <f>IF('03_Base_Indice'!$D10="","",IF('03_Base_Indice'!K10&lt;&gt;"",'03_Base_Indice'!K10,IF(AND(Aux!B10&lt;&gt;"",Aux!N10&lt;&gt;"",(N(Aux!N10)-N(Aux!B10)-1)&lt;='01_Criterios'!$C$13),Aux!Z10+(Aux!AL10-Aux!Z10)*(1-Aux!B10)/(Aux!N10-Aux!B10),IF(AND(Aux!B10&lt;&gt;"",(1-N(Aux!B10))&lt;='01_Criterios'!$C$14),Aux!Z10,IF(AND(Aux!N10&lt;&gt;"",(N(Aux!N10)-1)&lt;='01_Criterios'!$C$15),Aux!AL10,"")))))</f>
        <v/>
      </c>
      <c r="L10" s="6" t="str">
        <f>IF('03_Base_Indice'!$D10="","",IF('03_Base_Indice'!L10&lt;&gt;"",'03_Base_Indice'!L10,IF(AND(Aux!C10&lt;&gt;"",Aux!O10&lt;&gt;"",(N(Aux!O10)-N(Aux!C10)-1)&lt;='01_Criterios'!$C$13),Aux!AA10+(Aux!AM10-Aux!AA10)*(2-Aux!C10)/(Aux!O10-Aux!C10),IF(AND(Aux!C10&lt;&gt;"",(2-N(Aux!C10))&lt;='01_Criterios'!$C$14),Aux!AA10,IF(AND(Aux!O10&lt;&gt;"",(N(Aux!O10)-2)&lt;='01_Criterios'!$C$15),Aux!AM10,"")))))</f>
        <v/>
      </c>
      <c r="M10" s="6" t="str">
        <f>IF('03_Base_Indice'!$D10="","",IF('03_Base_Indice'!M10&lt;&gt;"",'03_Base_Indice'!M10,IF(AND(Aux!D10&lt;&gt;"",Aux!P10&lt;&gt;"",(N(Aux!P10)-N(Aux!D10)-1)&lt;='01_Criterios'!$C$13),Aux!AB10+(Aux!AN10-Aux!AB10)*(3-Aux!D10)/(Aux!P10-Aux!D10),IF(AND(Aux!D10&lt;&gt;"",(3-N(Aux!D10))&lt;='01_Criterios'!$C$14),Aux!AB10,IF(AND(Aux!P10&lt;&gt;"",(N(Aux!P10)-3)&lt;='01_Criterios'!$C$15),Aux!AN10,"")))))</f>
        <v/>
      </c>
      <c r="N10" s="6" t="str">
        <f>IF('03_Base_Indice'!$D10="","",IF('03_Base_Indice'!N10&lt;&gt;"",'03_Base_Indice'!N10,IF(AND(Aux!E10&lt;&gt;"",Aux!Q10&lt;&gt;"",(N(Aux!Q10)-N(Aux!E10)-1)&lt;='01_Criterios'!$C$13),Aux!AC10+(Aux!AO10-Aux!AC10)*(4-Aux!E10)/(Aux!Q10-Aux!E10),IF(AND(Aux!E10&lt;&gt;"",(4-N(Aux!E10))&lt;='01_Criterios'!$C$14),Aux!AC10,IF(AND(Aux!Q10&lt;&gt;"",(N(Aux!Q10)-4)&lt;='01_Criterios'!$C$15),Aux!AO10,"")))))</f>
        <v/>
      </c>
      <c r="O10" s="6" t="str">
        <f>IF('03_Base_Indice'!$D10="","",IF('03_Base_Indice'!O10&lt;&gt;"",'03_Base_Indice'!O10,IF(AND(Aux!F10&lt;&gt;"",Aux!R10&lt;&gt;"",(N(Aux!R10)-N(Aux!F10)-1)&lt;='01_Criterios'!$C$13),Aux!AD10+(Aux!AP10-Aux!AD10)*(5-Aux!F10)/(Aux!R10-Aux!F10),IF(AND(Aux!F10&lt;&gt;"",(5-N(Aux!F10))&lt;='01_Criterios'!$C$14),Aux!AD10,IF(AND(Aux!R10&lt;&gt;"",(N(Aux!R10)-5)&lt;='01_Criterios'!$C$15),Aux!AP10,"")))))</f>
        <v/>
      </c>
      <c r="P10" s="6" t="str">
        <f>IF('03_Base_Indice'!$D10="","",IF('03_Base_Indice'!P10&lt;&gt;"",'03_Base_Indice'!P10,IF(AND(Aux!G10&lt;&gt;"",Aux!S10&lt;&gt;"",(N(Aux!S10)-N(Aux!G10)-1)&lt;='01_Criterios'!$C$13),Aux!AE10+(Aux!AQ10-Aux!AE10)*(6-Aux!G10)/(Aux!S10-Aux!G10),IF(AND(Aux!G10&lt;&gt;"",(6-N(Aux!G10))&lt;='01_Criterios'!$C$14),Aux!AE10,IF(AND(Aux!S10&lt;&gt;"",(N(Aux!S10)-6)&lt;='01_Criterios'!$C$15),Aux!AQ10,"")))))</f>
        <v/>
      </c>
      <c r="Q10" s="6" t="str">
        <f>IF('03_Base_Indice'!$D10="","",IF('03_Base_Indice'!Q10&lt;&gt;"",'03_Base_Indice'!Q10,IF(AND(Aux!H10&lt;&gt;"",Aux!T10&lt;&gt;"",(N(Aux!T10)-N(Aux!H10)-1)&lt;='01_Criterios'!$C$13),Aux!AF10+(Aux!AR10-Aux!AF10)*(7-Aux!H10)/(Aux!T10-Aux!H10),IF(AND(Aux!H10&lt;&gt;"",(7-N(Aux!H10))&lt;='01_Criterios'!$C$14),Aux!AF10,IF(AND(Aux!T10&lt;&gt;"",(N(Aux!T10)-7)&lt;='01_Criterios'!$C$15),Aux!AR10,"")))))</f>
        <v/>
      </c>
      <c r="R10" s="6" t="str">
        <f>IF('03_Base_Indice'!$D10="","",IF('03_Base_Indice'!R10&lt;&gt;"",'03_Base_Indice'!R10,IF(AND(Aux!I10&lt;&gt;"",Aux!U10&lt;&gt;"",(N(Aux!U10)-N(Aux!I10)-1)&lt;='01_Criterios'!$C$13),Aux!AG10+(Aux!AS10-Aux!AG10)*(8-Aux!I10)/(Aux!U10-Aux!I10),IF(AND(Aux!I10&lt;&gt;"",(8-N(Aux!I10))&lt;='01_Criterios'!$C$14),Aux!AG10,IF(AND(Aux!U10&lt;&gt;"",(N(Aux!U10)-8)&lt;='01_Criterios'!$C$15),Aux!AS10,"")))))</f>
        <v/>
      </c>
      <c r="S10" s="6" t="str">
        <f>IF('03_Base_Indice'!$D10="","",IF('03_Base_Indice'!S10&lt;&gt;"",'03_Base_Indice'!S10,IF(AND(Aux!J10&lt;&gt;"",Aux!V10&lt;&gt;"",(N(Aux!V10)-N(Aux!J10)-1)&lt;='01_Criterios'!$C$13),Aux!AH10+(Aux!AT10-Aux!AH10)*(9-Aux!J10)/(Aux!V10-Aux!J10),IF(AND(Aux!J10&lt;&gt;"",(9-N(Aux!J10))&lt;='01_Criterios'!$C$14),Aux!AH10,IF(AND(Aux!V10&lt;&gt;"",(N(Aux!V10)-9)&lt;='01_Criterios'!$C$15),Aux!AT10,"")))))</f>
        <v/>
      </c>
      <c r="T10" s="6" t="str">
        <f>IF('03_Base_Indice'!$D10="","",IF('03_Base_Indice'!T10&lt;&gt;"",'03_Base_Indice'!T10,IF(AND(Aux!K10&lt;&gt;"",Aux!W10&lt;&gt;"",(N(Aux!W10)-N(Aux!K10)-1)&lt;='01_Criterios'!$C$13),Aux!AI10+(Aux!AU10-Aux!AI10)*(10-Aux!K10)/(Aux!W10-Aux!K10),IF(AND(Aux!K10&lt;&gt;"",(10-N(Aux!K10))&lt;='01_Criterios'!$C$14),Aux!AI10,IF(AND(Aux!W10&lt;&gt;"",(N(Aux!W10)-10)&lt;='01_Criterios'!$C$15),Aux!AU10,"")))))</f>
        <v/>
      </c>
      <c r="U10" s="6" t="str">
        <f>IF('03_Base_Indice'!$D10="","",IF('03_Base_Indice'!U10&lt;&gt;"",'03_Base_Indice'!U10,IF(AND(Aux!L10&lt;&gt;"",Aux!X10&lt;&gt;"",(N(Aux!X10)-N(Aux!L10)-1)&lt;='01_Criterios'!$C$13),Aux!AJ10+(Aux!AV10-Aux!AJ10)*(11-Aux!L10)/(Aux!X10-Aux!L10),IF(AND(Aux!L10&lt;&gt;"",(11-N(Aux!L10))&lt;='01_Criterios'!$C$14),Aux!AJ10,IF(AND(Aux!X10&lt;&gt;"",(N(Aux!X10)-11)&lt;='01_Criterios'!$C$15),Aux!AV10,"")))))</f>
        <v/>
      </c>
    </row>
    <row r="11" spans="1:21">
      <c r="A11" s="6" t="str">
        <f>IF('03_Base_Indice'!$A11="","",'03_Base_Indice'!$A11)</f>
        <v>1. Governança e Estado de Direito</v>
      </c>
      <c r="B11" s="6">
        <f>'03_Base_Indice'!$B11</f>
        <v>7</v>
      </c>
      <c r="D11" s="6" t="str">
        <f>IF('03_Base_Indice'!$D11="","",'03_Base_Indice'!$D11)</f>
        <v/>
      </c>
      <c r="E11" s="6" t="str">
        <f>IF('03_Base_Indice'!$E11="","",'03_Base_Indice'!$E11)</f>
        <v/>
      </c>
      <c r="K11" s="6" t="str">
        <f>IF('03_Base_Indice'!$D11="","",IF('03_Base_Indice'!K11&lt;&gt;"",'03_Base_Indice'!K11,IF(AND(Aux!B11&lt;&gt;"",Aux!N11&lt;&gt;"",(N(Aux!N11)-N(Aux!B11)-1)&lt;='01_Criterios'!$C$13),Aux!Z11+(Aux!AL11-Aux!Z11)*(1-Aux!B11)/(Aux!N11-Aux!B11),IF(AND(Aux!B11&lt;&gt;"",(1-N(Aux!B11))&lt;='01_Criterios'!$C$14),Aux!Z11,IF(AND(Aux!N11&lt;&gt;"",(N(Aux!N11)-1)&lt;='01_Criterios'!$C$15),Aux!AL11,"")))))</f>
        <v/>
      </c>
      <c r="L11" s="6" t="str">
        <f>IF('03_Base_Indice'!$D11="","",IF('03_Base_Indice'!L11&lt;&gt;"",'03_Base_Indice'!L11,IF(AND(Aux!C11&lt;&gt;"",Aux!O11&lt;&gt;"",(N(Aux!O11)-N(Aux!C11)-1)&lt;='01_Criterios'!$C$13),Aux!AA11+(Aux!AM11-Aux!AA11)*(2-Aux!C11)/(Aux!O11-Aux!C11),IF(AND(Aux!C11&lt;&gt;"",(2-N(Aux!C11))&lt;='01_Criterios'!$C$14),Aux!AA11,IF(AND(Aux!O11&lt;&gt;"",(N(Aux!O11)-2)&lt;='01_Criterios'!$C$15),Aux!AM11,"")))))</f>
        <v/>
      </c>
      <c r="M11" s="6" t="str">
        <f>IF('03_Base_Indice'!$D11="","",IF('03_Base_Indice'!M11&lt;&gt;"",'03_Base_Indice'!M11,IF(AND(Aux!D11&lt;&gt;"",Aux!P11&lt;&gt;"",(N(Aux!P11)-N(Aux!D11)-1)&lt;='01_Criterios'!$C$13),Aux!AB11+(Aux!AN11-Aux!AB11)*(3-Aux!D11)/(Aux!P11-Aux!D11),IF(AND(Aux!D11&lt;&gt;"",(3-N(Aux!D11))&lt;='01_Criterios'!$C$14),Aux!AB11,IF(AND(Aux!P11&lt;&gt;"",(N(Aux!P11)-3)&lt;='01_Criterios'!$C$15),Aux!AN11,"")))))</f>
        <v/>
      </c>
      <c r="N11" s="6" t="str">
        <f>IF('03_Base_Indice'!$D11="","",IF('03_Base_Indice'!N11&lt;&gt;"",'03_Base_Indice'!N11,IF(AND(Aux!E11&lt;&gt;"",Aux!Q11&lt;&gt;"",(N(Aux!Q11)-N(Aux!E11)-1)&lt;='01_Criterios'!$C$13),Aux!AC11+(Aux!AO11-Aux!AC11)*(4-Aux!E11)/(Aux!Q11-Aux!E11),IF(AND(Aux!E11&lt;&gt;"",(4-N(Aux!E11))&lt;='01_Criterios'!$C$14),Aux!AC11,IF(AND(Aux!Q11&lt;&gt;"",(N(Aux!Q11)-4)&lt;='01_Criterios'!$C$15),Aux!AO11,"")))))</f>
        <v/>
      </c>
      <c r="O11" s="6" t="str">
        <f>IF('03_Base_Indice'!$D11="","",IF('03_Base_Indice'!O11&lt;&gt;"",'03_Base_Indice'!O11,IF(AND(Aux!F11&lt;&gt;"",Aux!R11&lt;&gt;"",(N(Aux!R11)-N(Aux!F11)-1)&lt;='01_Criterios'!$C$13),Aux!AD11+(Aux!AP11-Aux!AD11)*(5-Aux!F11)/(Aux!R11-Aux!F11),IF(AND(Aux!F11&lt;&gt;"",(5-N(Aux!F11))&lt;='01_Criterios'!$C$14),Aux!AD11,IF(AND(Aux!R11&lt;&gt;"",(N(Aux!R11)-5)&lt;='01_Criterios'!$C$15),Aux!AP11,"")))))</f>
        <v/>
      </c>
      <c r="P11" s="6" t="str">
        <f>IF('03_Base_Indice'!$D11="","",IF('03_Base_Indice'!P11&lt;&gt;"",'03_Base_Indice'!P11,IF(AND(Aux!G11&lt;&gt;"",Aux!S11&lt;&gt;"",(N(Aux!S11)-N(Aux!G11)-1)&lt;='01_Criterios'!$C$13),Aux!AE11+(Aux!AQ11-Aux!AE11)*(6-Aux!G11)/(Aux!S11-Aux!G11),IF(AND(Aux!G11&lt;&gt;"",(6-N(Aux!G11))&lt;='01_Criterios'!$C$14),Aux!AE11,IF(AND(Aux!S11&lt;&gt;"",(N(Aux!S11)-6)&lt;='01_Criterios'!$C$15),Aux!AQ11,"")))))</f>
        <v/>
      </c>
      <c r="Q11" s="6" t="str">
        <f>IF('03_Base_Indice'!$D11="","",IF('03_Base_Indice'!Q11&lt;&gt;"",'03_Base_Indice'!Q11,IF(AND(Aux!H11&lt;&gt;"",Aux!T11&lt;&gt;"",(N(Aux!T11)-N(Aux!H11)-1)&lt;='01_Criterios'!$C$13),Aux!AF11+(Aux!AR11-Aux!AF11)*(7-Aux!H11)/(Aux!T11-Aux!H11),IF(AND(Aux!H11&lt;&gt;"",(7-N(Aux!H11))&lt;='01_Criterios'!$C$14),Aux!AF11,IF(AND(Aux!T11&lt;&gt;"",(N(Aux!T11)-7)&lt;='01_Criterios'!$C$15),Aux!AR11,"")))))</f>
        <v/>
      </c>
      <c r="R11" s="6" t="str">
        <f>IF('03_Base_Indice'!$D11="","",IF('03_Base_Indice'!R11&lt;&gt;"",'03_Base_Indice'!R11,IF(AND(Aux!I11&lt;&gt;"",Aux!U11&lt;&gt;"",(N(Aux!U11)-N(Aux!I11)-1)&lt;='01_Criterios'!$C$13),Aux!AG11+(Aux!AS11-Aux!AG11)*(8-Aux!I11)/(Aux!U11-Aux!I11),IF(AND(Aux!I11&lt;&gt;"",(8-N(Aux!I11))&lt;='01_Criterios'!$C$14),Aux!AG11,IF(AND(Aux!U11&lt;&gt;"",(N(Aux!U11)-8)&lt;='01_Criterios'!$C$15),Aux!AS11,"")))))</f>
        <v/>
      </c>
      <c r="S11" s="6" t="str">
        <f>IF('03_Base_Indice'!$D11="","",IF('03_Base_Indice'!S11&lt;&gt;"",'03_Base_Indice'!S11,IF(AND(Aux!J11&lt;&gt;"",Aux!V11&lt;&gt;"",(N(Aux!V11)-N(Aux!J11)-1)&lt;='01_Criterios'!$C$13),Aux!AH11+(Aux!AT11-Aux!AH11)*(9-Aux!J11)/(Aux!V11-Aux!J11),IF(AND(Aux!J11&lt;&gt;"",(9-N(Aux!J11))&lt;='01_Criterios'!$C$14),Aux!AH11,IF(AND(Aux!V11&lt;&gt;"",(N(Aux!V11)-9)&lt;='01_Criterios'!$C$15),Aux!AT11,"")))))</f>
        <v/>
      </c>
      <c r="T11" s="6" t="str">
        <f>IF('03_Base_Indice'!$D11="","",IF('03_Base_Indice'!T11&lt;&gt;"",'03_Base_Indice'!T11,IF(AND(Aux!K11&lt;&gt;"",Aux!W11&lt;&gt;"",(N(Aux!W11)-N(Aux!K11)-1)&lt;='01_Criterios'!$C$13),Aux!AI11+(Aux!AU11-Aux!AI11)*(10-Aux!K11)/(Aux!W11-Aux!K11),IF(AND(Aux!K11&lt;&gt;"",(10-N(Aux!K11))&lt;='01_Criterios'!$C$14),Aux!AI11,IF(AND(Aux!W11&lt;&gt;"",(N(Aux!W11)-10)&lt;='01_Criterios'!$C$15),Aux!AU11,"")))))</f>
        <v/>
      </c>
      <c r="U11" s="6" t="str">
        <f>IF('03_Base_Indice'!$D11="","",IF('03_Base_Indice'!U11&lt;&gt;"",'03_Base_Indice'!U11,IF(AND(Aux!L11&lt;&gt;"",Aux!X11&lt;&gt;"",(N(Aux!X11)-N(Aux!L11)-1)&lt;='01_Criterios'!$C$13),Aux!AJ11+(Aux!AV11-Aux!AJ11)*(11-Aux!L11)/(Aux!X11-Aux!L11),IF(AND(Aux!L11&lt;&gt;"",(11-N(Aux!L11))&lt;='01_Criterios'!$C$14),Aux!AJ11,IF(AND(Aux!X11&lt;&gt;"",(N(Aux!X11)-11)&lt;='01_Criterios'!$C$15),Aux!AV11,"")))))</f>
        <v/>
      </c>
    </row>
    <row r="12" spans="1:21">
      <c r="A12" s="6" t="str">
        <f>IF('03_Base_Indice'!$A12="","",'03_Base_Indice'!$A12)</f>
        <v>1. Governança e Estado de Direito</v>
      </c>
      <c r="B12" s="6">
        <f>'03_Base_Indice'!$B12</f>
        <v>8</v>
      </c>
      <c r="D12" s="6" t="str">
        <f>IF('03_Base_Indice'!$D12="","",'03_Base_Indice'!$D12)</f>
        <v/>
      </c>
      <c r="E12" s="6" t="str">
        <f>IF('03_Base_Indice'!$E12="","",'03_Base_Indice'!$E12)</f>
        <v/>
      </c>
      <c r="K12" s="6" t="str">
        <f>IF('03_Base_Indice'!$D12="","",IF('03_Base_Indice'!K12&lt;&gt;"",'03_Base_Indice'!K12,IF(AND(Aux!B12&lt;&gt;"",Aux!N12&lt;&gt;"",(N(Aux!N12)-N(Aux!B12)-1)&lt;='01_Criterios'!$C$13),Aux!Z12+(Aux!AL12-Aux!Z12)*(1-Aux!B12)/(Aux!N12-Aux!B12),IF(AND(Aux!B12&lt;&gt;"",(1-N(Aux!B12))&lt;='01_Criterios'!$C$14),Aux!Z12,IF(AND(Aux!N12&lt;&gt;"",(N(Aux!N12)-1)&lt;='01_Criterios'!$C$15),Aux!AL12,"")))))</f>
        <v/>
      </c>
      <c r="L12" s="6" t="str">
        <f>IF('03_Base_Indice'!$D12="","",IF('03_Base_Indice'!L12&lt;&gt;"",'03_Base_Indice'!L12,IF(AND(Aux!C12&lt;&gt;"",Aux!O12&lt;&gt;"",(N(Aux!O12)-N(Aux!C12)-1)&lt;='01_Criterios'!$C$13),Aux!AA12+(Aux!AM12-Aux!AA12)*(2-Aux!C12)/(Aux!O12-Aux!C12),IF(AND(Aux!C12&lt;&gt;"",(2-N(Aux!C12))&lt;='01_Criterios'!$C$14),Aux!AA12,IF(AND(Aux!O12&lt;&gt;"",(N(Aux!O12)-2)&lt;='01_Criterios'!$C$15),Aux!AM12,"")))))</f>
        <v/>
      </c>
      <c r="M12" s="6" t="str">
        <f>IF('03_Base_Indice'!$D12="","",IF('03_Base_Indice'!M12&lt;&gt;"",'03_Base_Indice'!M12,IF(AND(Aux!D12&lt;&gt;"",Aux!P12&lt;&gt;"",(N(Aux!P12)-N(Aux!D12)-1)&lt;='01_Criterios'!$C$13),Aux!AB12+(Aux!AN12-Aux!AB12)*(3-Aux!D12)/(Aux!P12-Aux!D12),IF(AND(Aux!D12&lt;&gt;"",(3-N(Aux!D12))&lt;='01_Criterios'!$C$14),Aux!AB12,IF(AND(Aux!P12&lt;&gt;"",(N(Aux!P12)-3)&lt;='01_Criterios'!$C$15),Aux!AN12,"")))))</f>
        <v/>
      </c>
      <c r="N12" s="6" t="str">
        <f>IF('03_Base_Indice'!$D12="","",IF('03_Base_Indice'!N12&lt;&gt;"",'03_Base_Indice'!N12,IF(AND(Aux!E12&lt;&gt;"",Aux!Q12&lt;&gt;"",(N(Aux!Q12)-N(Aux!E12)-1)&lt;='01_Criterios'!$C$13),Aux!AC12+(Aux!AO12-Aux!AC12)*(4-Aux!E12)/(Aux!Q12-Aux!E12),IF(AND(Aux!E12&lt;&gt;"",(4-N(Aux!E12))&lt;='01_Criterios'!$C$14),Aux!AC12,IF(AND(Aux!Q12&lt;&gt;"",(N(Aux!Q12)-4)&lt;='01_Criterios'!$C$15),Aux!AO12,"")))))</f>
        <v/>
      </c>
      <c r="O12" s="6" t="str">
        <f>IF('03_Base_Indice'!$D12="","",IF('03_Base_Indice'!O12&lt;&gt;"",'03_Base_Indice'!O12,IF(AND(Aux!F12&lt;&gt;"",Aux!R12&lt;&gt;"",(N(Aux!R12)-N(Aux!F12)-1)&lt;='01_Criterios'!$C$13),Aux!AD12+(Aux!AP12-Aux!AD12)*(5-Aux!F12)/(Aux!R12-Aux!F12),IF(AND(Aux!F12&lt;&gt;"",(5-N(Aux!F12))&lt;='01_Criterios'!$C$14),Aux!AD12,IF(AND(Aux!R12&lt;&gt;"",(N(Aux!R12)-5)&lt;='01_Criterios'!$C$15),Aux!AP12,"")))))</f>
        <v/>
      </c>
      <c r="P12" s="6" t="str">
        <f>IF('03_Base_Indice'!$D12="","",IF('03_Base_Indice'!P12&lt;&gt;"",'03_Base_Indice'!P12,IF(AND(Aux!G12&lt;&gt;"",Aux!S12&lt;&gt;"",(N(Aux!S12)-N(Aux!G12)-1)&lt;='01_Criterios'!$C$13),Aux!AE12+(Aux!AQ12-Aux!AE12)*(6-Aux!G12)/(Aux!S12-Aux!G12),IF(AND(Aux!G12&lt;&gt;"",(6-N(Aux!G12))&lt;='01_Criterios'!$C$14),Aux!AE12,IF(AND(Aux!S12&lt;&gt;"",(N(Aux!S12)-6)&lt;='01_Criterios'!$C$15),Aux!AQ12,"")))))</f>
        <v/>
      </c>
      <c r="Q12" s="6" t="str">
        <f>IF('03_Base_Indice'!$D12="","",IF('03_Base_Indice'!Q12&lt;&gt;"",'03_Base_Indice'!Q12,IF(AND(Aux!H12&lt;&gt;"",Aux!T12&lt;&gt;"",(N(Aux!T12)-N(Aux!H12)-1)&lt;='01_Criterios'!$C$13),Aux!AF12+(Aux!AR12-Aux!AF12)*(7-Aux!H12)/(Aux!T12-Aux!H12),IF(AND(Aux!H12&lt;&gt;"",(7-N(Aux!H12))&lt;='01_Criterios'!$C$14),Aux!AF12,IF(AND(Aux!T12&lt;&gt;"",(N(Aux!T12)-7)&lt;='01_Criterios'!$C$15),Aux!AR12,"")))))</f>
        <v/>
      </c>
      <c r="R12" s="6" t="str">
        <f>IF('03_Base_Indice'!$D12="","",IF('03_Base_Indice'!R12&lt;&gt;"",'03_Base_Indice'!R12,IF(AND(Aux!I12&lt;&gt;"",Aux!U12&lt;&gt;"",(N(Aux!U12)-N(Aux!I12)-1)&lt;='01_Criterios'!$C$13),Aux!AG12+(Aux!AS12-Aux!AG12)*(8-Aux!I12)/(Aux!U12-Aux!I12),IF(AND(Aux!I12&lt;&gt;"",(8-N(Aux!I12))&lt;='01_Criterios'!$C$14),Aux!AG12,IF(AND(Aux!U12&lt;&gt;"",(N(Aux!U12)-8)&lt;='01_Criterios'!$C$15),Aux!AS12,"")))))</f>
        <v/>
      </c>
      <c r="S12" s="6" t="str">
        <f>IF('03_Base_Indice'!$D12="","",IF('03_Base_Indice'!S12&lt;&gt;"",'03_Base_Indice'!S12,IF(AND(Aux!J12&lt;&gt;"",Aux!V12&lt;&gt;"",(N(Aux!V12)-N(Aux!J12)-1)&lt;='01_Criterios'!$C$13),Aux!AH12+(Aux!AT12-Aux!AH12)*(9-Aux!J12)/(Aux!V12-Aux!J12),IF(AND(Aux!J12&lt;&gt;"",(9-N(Aux!J12))&lt;='01_Criterios'!$C$14),Aux!AH12,IF(AND(Aux!V12&lt;&gt;"",(N(Aux!V12)-9)&lt;='01_Criterios'!$C$15),Aux!AT12,"")))))</f>
        <v/>
      </c>
      <c r="T12" s="6" t="str">
        <f>IF('03_Base_Indice'!$D12="","",IF('03_Base_Indice'!T12&lt;&gt;"",'03_Base_Indice'!T12,IF(AND(Aux!K12&lt;&gt;"",Aux!W12&lt;&gt;"",(N(Aux!W12)-N(Aux!K12)-1)&lt;='01_Criterios'!$C$13),Aux!AI12+(Aux!AU12-Aux!AI12)*(10-Aux!K12)/(Aux!W12-Aux!K12),IF(AND(Aux!K12&lt;&gt;"",(10-N(Aux!K12))&lt;='01_Criterios'!$C$14),Aux!AI12,IF(AND(Aux!W12&lt;&gt;"",(N(Aux!W12)-10)&lt;='01_Criterios'!$C$15),Aux!AU12,"")))))</f>
        <v/>
      </c>
      <c r="U12" s="6" t="str">
        <f>IF('03_Base_Indice'!$D12="","",IF('03_Base_Indice'!U12&lt;&gt;"",'03_Base_Indice'!U12,IF(AND(Aux!L12&lt;&gt;"",Aux!X12&lt;&gt;"",(N(Aux!X12)-N(Aux!L12)-1)&lt;='01_Criterios'!$C$13),Aux!AJ12+(Aux!AV12-Aux!AJ12)*(11-Aux!L12)/(Aux!X12-Aux!L12),IF(AND(Aux!L12&lt;&gt;"",(11-N(Aux!L12))&lt;='01_Criterios'!$C$14),Aux!AJ12,IF(AND(Aux!X12&lt;&gt;"",(N(Aux!X12)-11)&lt;='01_Criterios'!$C$15),Aux!AV12,"")))))</f>
        <v/>
      </c>
    </row>
    <row r="13" spans="1:21">
      <c r="A13" s="6" t="str">
        <f>IF('03_Base_Indice'!$A13="","",'03_Base_Indice'!$A13)</f>
        <v>1. Governança e Estado de Direito</v>
      </c>
      <c r="B13" s="6">
        <f>'03_Base_Indice'!$B13</f>
        <v>9</v>
      </c>
      <c r="D13" s="6" t="str">
        <f>IF('03_Base_Indice'!$D13="","",'03_Base_Indice'!$D13)</f>
        <v/>
      </c>
      <c r="E13" s="6" t="str">
        <f>IF('03_Base_Indice'!$E13="","",'03_Base_Indice'!$E13)</f>
        <v/>
      </c>
      <c r="K13" s="6" t="str">
        <f>IF('03_Base_Indice'!$D13="","",IF('03_Base_Indice'!K13&lt;&gt;"",'03_Base_Indice'!K13,IF(AND(Aux!B13&lt;&gt;"",Aux!N13&lt;&gt;"",(N(Aux!N13)-N(Aux!B13)-1)&lt;='01_Criterios'!$C$13),Aux!Z13+(Aux!AL13-Aux!Z13)*(1-Aux!B13)/(Aux!N13-Aux!B13),IF(AND(Aux!B13&lt;&gt;"",(1-N(Aux!B13))&lt;='01_Criterios'!$C$14),Aux!Z13,IF(AND(Aux!N13&lt;&gt;"",(N(Aux!N13)-1)&lt;='01_Criterios'!$C$15),Aux!AL13,"")))))</f>
        <v/>
      </c>
      <c r="L13" s="6" t="str">
        <f>IF('03_Base_Indice'!$D13="","",IF('03_Base_Indice'!L13&lt;&gt;"",'03_Base_Indice'!L13,IF(AND(Aux!C13&lt;&gt;"",Aux!O13&lt;&gt;"",(N(Aux!O13)-N(Aux!C13)-1)&lt;='01_Criterios'!$C$13),Aux!AA13+(Aux!AM13-Aux!AA13)*(2-Aux!C13)/(Aux!O13-Aux!C13),IF(AND(Aux!C13&lt;&gt;"",(2-N(Aux!C13))&lt;='01_Criterios'!$C$14),Aux!AA13,IF(AND(Aux!O13&lt;&gt;"",(N(Aux!O13)-2)&lt;='01_Criterios'!$C$15),Aux!AM13,"")))))</f>
        <v/>
      </c>
      <c r="M13" s="6" t="str">
        <f>IF('03_Base_Indice'!$D13="","",IF('03_Base_Indice'!M13&lt;&gt;"",'03_Base_Indice'!M13,IF(AND(Aux!D13&lt;&gt;"",Aux!P13&lt;&gt;"",(N(Aux!P13)-N(Aux!D13)-1)&lt;='01_Criterios'!$C$13),Aux!AB13+(Aux!AN13-Aux!AB13)*(3-Aux!D13)/(Aux!P13-Aux!D13),IF(AND(Aux!D13&lt;&gt;"",(3-N(Aux!D13))&lt;='01_Criterios'!$C$14),Aux!AB13,IF(AND(Aux!P13&lt;&gt;"",(N(Aux!P13)-3)&lt;='01_Criterios'!$C$15),Aux!AN13,"")))))</f>
        <v/>
      </c>
      <c r="N13" s="6" t="str">
        <f>IF('03_Base_Indice'!$D13="","",IF('03_Base_Indice'!N13&lt;&gt;"",'03_Base_Indice'!N13,IF(AND(Aux!E13&lt;&gt;"",Aux!Q13&lt;&gt;"",(N(Aux!Q13)-N(Aux!E13)-1)&lt;='01_Criterios'!$C$13),Aux!AC13+(Aux!AO13-Aux!AC13)*(4-Aux!E13)/(Aux!Q13-Aux!E13),IF(AND(Aux!E13&lt;&gt;"",(4-N(Aux!E13))&lt;='01_Criterios'!$C$14),Aux!AC13,IF(AND(Aux!Q13&lt;&gt;"",(N(Aux!Q13)-4)&lt;='01_Criterios'!$C$15),Aux!AO13,"")))))</f>
        <v/>
      </c>
      <c r="O13" s="6" t="str">
        <f>IF('03_Base_Indice'!$D13="","",IF('03_Base_Indice'!O13&lt;&gt;"",'03_Base_Indice'!O13,IF(AND(Aux!F13&lt;&gt;"",Aux!R13&lt;&gt;"",(N(Aux!R13)-N(Aux!F13)-1)&lt;='01_Criterios'!$C$13),Aux!AD13+(Aux!AP13-Aux!AD13)*(5-Aux!F13)/(Aux!R13-Aux!F13),IF(AND(Aux!F13&lt;&gt;"",(5-N(Aux!F13))&lt;='01_Criterios'!$C$14),Aux!AD13,IF(AND(Aux!R13&lt;&gt;"",(N(Aux!R13)-5)&lt;='01_Criterios'!$C$15),Aux!AP13,"")))))</f>
        <v/>
      </c>
      <c r="P13" s="6" t="str">
        <f>IF('03_Base_Indice'!$D13="","",IF('03_Base_Indice'!P13&lt;&gt;"",'03_Base_Indice'!P13,IF(AND(Aux!G13&lt;&gt;"",Aux!S13&lt;&gt;"",(N(Aux!S13)-N(Aux!G13)-1)&lt;='01_Criterios'!$C$13),Aux!AE13+(Aux!AQ13-Aux!AE13)*(6-Aux!G13)/(Aux!S13-Aux!G13),IF(AND(Aux!G13&lt;&gt;"",(6-N(Aux!G13))&lt;='01_Criterios'!$C$14),Aux!AE13,IF(AND(Aux!S13&lt;&gt;"",(N(Aux!S13)-6)&lt;='01_Criterios'!$C$15),Aux!AQ13,"")))))</f>
        <v/>
      </c>
      <c r="Q13" s="6" t="str">
        <f>IF('03_Base_Indice'!$D13="","",IF('03_Base_Indice'!Q13&lt;&gt;"",'03_Base_Indice'!Q13,IF(AND(Aux!H13&lt;&gt;"",Aux!T13&lt;&gt;"",(N(Aux!T13)-N(Aux!H13)-1)&lt;='01_Criterios'!$C$13),Aux!AF13+(Aux!AR13-Aux!AF13)*(7-Aux!H13)/(Aux!T13-Aux!H13),IF(AND(Aux!H13&lt;&gt;"",(7-N(Aux!H13))&lt;='01_Criterios'!$C$14),Aux!AF13,IF(AND(Aux!T13&lt;&gt;"",(N(Aux!T13)-7)&lt;='01_Criterios'!$C$15),Aux!AR13,"")))))</f>
        <v/>
      </c>
      <c r="R13" s="6" t="str">
        <f>IF('03_Base_Indice'!$D13="","",IF('03_Base_Indice'!R13&lt;&gt;"",'03_Base_Indice'!R13,IF(AND(Aux!I13&lt;&gt;"",Aux!U13&lt;&gt;"",(N(Aux!U13)-N(Aux!I13)-1)&lt;='01_Criterios'!$C$13),Aux!AG13+(Aux!AS13-Aux!AG13)*(8-Aux!I13)/(Aux!U13-Aux!I13),IF(AND(Aux!I13&lt;&gt;"",(8-N(Aux!I13))&lt;='01_Criterios'!$C$14),Aux!AG13,IF(AND(Aux!U13&lt;&gt;"",(N(Aux!U13)-8)&lt;='01_Criterios'!$C$15),Aux!AS13,"")))))</f>
        <v/>
      </c>
      <c r="S13" s="6" t="str">
        <f>IF('03_Base_Indice'!$D13="","",IF('03_Base_Indice'!S13&lt;&gt;"",'03_Base_Indice'!S13,IF(AND(Aux!J13&lt;&gt;"",Aux!V13&lt;&gt;"",(N(Aux!V13)-N(Aux!J13)-1)&lt;='01_Criterios'!$C$13),Aux!AH13+(Aux!AT13-Aux!AH13)*(9-Aux!J13)/(Aux!V13-Aux!J13),IF(AND(Aux!J13&lt;&gt;"",(9-N(Aux!J13))&lt;='01_Criterios'!$C$14),Aux!AH13,IF(AND(Aux!V13&lt;&gt;"",(N(Aux!V13)-9)&lt;='01_Criterios'!$C$15),Aux!AT13,"")))))</f>
        <v/>
      </c>
      <c r="T13" s="6" t="str">
        <f>IF('03_Base_Indice'!$D13="","",IF('03_Base_Indice'!T13&lt;&gt;"",'03_Base_Indice'!T13,IF(AND(Aux!K13&lt;&gt;"",Aux!W13&lt;&gt;"",(N(Aux!W13)-N(Aux!K13)-1)&lt;='01_Criterios'!$C$13),Aux!AI13+(Aux!AU13-Aux!AI13)*(10-Aux!K13)/(Aux!W13-Aux!K13),IF(AND(Aux!K13&lt;&gt;"",(10-N(Aux!K13))&lt;='01_Criterios'!$C$14),Aux!AI13,IF(AND(Aux!W13&lt;&gt;"",(N(Aux!W13)-10)&lt;='01_Criterios'!$C$15),Aux!AU13,"")))))</f>
        <v/>
      </c>
      <c r="U13" s="6" t="str">
        <f>IF('03_Base_Indice'!$D13="","",IF('03_Base_Indice'!U13&lt;&gt;"",'03_Base_Indice'!U13,IF(AND(Aux!L13&lt;&gt;"",Aux!X13&lt;&gt;"",(N(Aux!X13)-N(Aux!L13)-1)&lt;='01_Criterios'!$C$13),Aux!AJ13+(Aux!AV13-Aux!AJ13)*(11-Aux!L13)/(Aux!X13-Aux!L13),IF(AND(Aux!L13&lt;&gt;"",(11-N(Aux!L13))&lt;='01_Criterios'!$C$14),Aux!AJ13,IF(AND(Aux!X13&lt;&gt;"",(N(Aux!X13)-11)&lt;='01_Criterios'!$C$15),Aux!AV13,"")))))</f>
        <v/>
      </c>
    </row>
    <row r="14" spans="1:21">
      <c r="A14" s="6" t="str">
        <f>IF('03_Base_Indice'!$A14="","",'03_Base_Indice'!$A14)</f>
        <v>1. Governança e Estado de Direito</v>
      </c>
      <c r="B14" s="6">
        <f>'03_Base_Indice'!$B14</f>
        <v>10</v>
      </c>
      <c r="D14" s="6" t="str">
        <f>IF('03_Base_Indice'!$D14="","",'03_Base_Indice'!$D14)</f>
        <v/>
      </c>
      <c r="E14" s="6" t="str">
        <f>IF('03_Base_Indice'!$E14="","",'03_Base_Indice'!$E14)</f>
        <v/>
      </c>
      <c r="K14" s="6" t="str">
        <f>IF('03_Base_Indice'!$D14="","",IF('03_Base_Indice'!K14&lt;&gt;"",'03_Base_Indice'!K14,IF(AND(Aux!B14&lt;&gt;"",Aux!N14&lt;&gt;"",(N(Aux!N14)-N(Aux!B14)-1)&lt;='01_Criterios'!$C$13),Aux!Z14+(Aux!AL14-Aux!Z14)*(1-Aux!B14)/(Aux!N14-Aux!B14),IF(AND(Aux!B14&lt;&gt;"",(1-N(Aux!B14))&lt;='01_Criterios'!$C$14),Aux!Z14,IF(AND(Aux!N14&lt;&gt;"",(N(Aux!N14)-1)&lt;='01_Criterios'!$C$15),Aux!AL14,"")))))</f>
        <v/>
      </c>
      <c r="L14" s="6" t="str">
        <f>IF('03_Base_Indice'!$D14="","",IF('03_Base_Indice'!L14&lt;&gt;"",'03_Base_Indice'!L14,IF(AND(Aux!C14&lt;&gt;"",Aux!O14&lt;&gt;"",(N(Aux!O14)-N(Aux!C14)-1)&lt;='01_Criterios'!$C$13),Aux!AA14+(Aux!AM14-Aux!AA14)*(2-Aux!C14)/(Aux!O14-Aux!C14),IF(AND(Aux!C14&lt;&gt;"",(2-N(Aux!C14))&lt;='01_Criterios'!$C$14),Aux!AA14,IF(AND(Aux!O14&lt;&gt;"",(N(Aux!O14)-2)&lt;='01_Criterios'!$C$15),Aux!AM14,"")))))</f>
        <v/>
      </c>
      <c r="M14" s="6" t="str">
        <f>IF('03_Base_Indice'!$D14="","",IF('03_Base_Indice'!M14&lt;&gt;"",'03_Base_Indice'!M14,IF(AND(Aux!D14&lt;&gt;"",Aux!P14&lt;&gt;"",(N(Aux!P14)-N(Aux!D14)-1)&lt;='01_Criterios'!$C$13),Aux!AB14+(Aux!AN14-Aux!AB14)*(3-Aux!D14)/(Aux!P14-Aux!D14),IF(AND(Aux!D14&lt;&gt;"",(3-N(Aux!D14))&lt;='01_Criterios'!$C$14),Aux!AB14,IF(AND(Aux!P14&lt;&gt;"",(N(Aux!P14)-3)&lt;='01_Criterios'!$C$15),Aux!AN14,"")))))</f>
        <v/>
      </c>
      <c r="N14" s="6" t="str">
        <f>IF('03_Base_Indice'!$D14="","",IF('03_Base_Indice'!N14&lt;&gt;"",'03_Base_Indice'!N14,IF(AND(Aux!E14&lt;&gt;"",Aux!Q14&lt;&gt;"",(N(Aux!Q14)-N(Aux!E14)-1)&lt;='01_Criterios'!$C$13),Aux!AC14+(Aux!AO14-Aux!AC14)*(4-Aux!E14)/(Aux!Q14-Aux!E14),IF(AND(Aux!E14&lt;&gt;"",(4-N(Aux!E14))&lt;='01_Criterios'!$C$14),Aux!AC14,IF(AND(Aux!Q14&lt;&gt;"",(N(Aux!Q14)-4)&lt;='01_Criterios'!$C$15),Aux!AO14,"")))))</f>
        <v/>
      </c>
      <c r="O14" s="6" t="str">
        <f>IF('03_Base_Indice'!$D14="","",IF('03_Base_Indice'!O14&lt;&gt;"",'03_Base_Indice'!O14,IF(AND(Aux!F14&lt;&gt;"",Aux!R14&lt;&gt;"",(N(Aux!R14)-N(Aux!F14)-1)&lt;='01_Criterios'!$C$13),Aux!AD14+(Aux!AP14-Aux!AD14)*(5-Aux!F14)/(Aux!R14-Aux!F14),IF(AND(Aux!F14&lt;&gt;"",(5-N(Aux!F14))&lt;='01_Criterios'!$C$14),Aux!AD14,IF(AND(Aux!R14&lt;&gt;"",(N(Aux!R14)-5)&lt;='01_Criterios'!$C$15),Aux!AP14,"")))))</f>
        <v/>
      </c>
      <c r="P14" s="6" t="str">
        <f>IF('03_Base_Indice'!$D14="","",IF('03_Base_Indice'!P14&lt;&gt;"",'03_Base_Indice'!P14,IF(AND(Aux!G14&lt;&gt;"",Aux!S14&lt;&gt;"",(N(Aux!S14)-N(Aux!G14)-1)&lt;='01_Criterios'!$C$13),Aux!AE14+(Aux!AQ14-Aux!AE14)*(6-Aux!G14)/(Aux!S14-Aux!G14),IF(AND(Aux!G14&lt;&gt;"",(6-N(Aux!G14))&lt;='01_Criterios'!$C$14),Aux!AE14,IF(AND(Aux!S14&lt;&gt;"",(N(Aux!S14)-6)&lt;='01_Criterios'!$C$15),Aux!AQ14,"")))))</f>
        <v/>
      </c>
      <c r="Q14" s="6" t="str">
        <f>IF('03_Base_Indice'!$D14="","",IF('03_Base_Indice'!Q14&lt;&gt;"",'03_Base_Indice'!Q14,IF(AND(Aux!H14&lt;&gt;"",Aux!T14&lt;&gt;"",(N(Aux!T14)-N(Aux!H14)-1)&lt;='01_Criterios'!$C$13),Aux!AF14+(Aux!AR14-Aux!AF14)*(7-Aux!H14)/(Aux!T14-Aux!H14),IF(AND(Aux!H14&lt;&gt;"",(7-N(Aux!H14))&lt;='01_Criterios'!$C$14),Aux!AF14,IF(AND(Aux!T14&lt;&gt;"",(N(Aux!T14)-7)&lt;='01_Criterios'!$C$15),Aux!AR14,"")))))</f>
        <v/>
      </c>
      <c r="R14" s="6" t="str">
        <f>IF('03_Base_Indice'!$D14="","",IF('03_Base_Indice'!R14&lt;&gt;"",'03_Base_Indice'!R14,IF(AND(Aux!I14&lt;&gt;"",Aux!U14&lt;&gt;"",(N(Aux!U14)-N(Aux!I14)-1)&lt;='01_Criterios'!$C$13),Aux!AG14+(Aux!AS14-Aux!AG14)*(8-Aux!I14)/(Aux!U14-Aux!I14),IF(AND(Aux!I14&lt;&gt;"",(8-N(Aux!I14))&lt;='01_Criterios'!$C$14),Aux!AG14,IF(AND(Aux!U14&lt;&gt;"",(N(Aux!U14)-8)&lt;='01_Criterios'!$C$15),Aux!AS14,"")))))</f>
        <v/>
      </c>
      <c r="S14" s="6" t="str">
        <f>IF('03_Base_Indice'!$D14="","",IF('03_Base_Indice'!S14&lt;&gt;"",'03_Base_Indice'!S14,IF(AND(Aux!J14&lt;&gt;"",Aux!V14&lt;&gt;"",(N(Aux!V14)-N(Aux!J14)-1)&lt;='01_Criterios'!$C$13),Aux!AH14+(Aux!AT14-Aux!AH14)*(9-Aux!J14)/(Aux!V14-Aux!J14),IF(AND(Aux!J14&lt;&gt;"",(9-N(Aux!J14))&lt;='01_Criterios'!$C$14),Aux!AH14,IF(AND(Aux!V14&lt;&gt;"",(N(Aux!V14)-9)&lt;='01_Criterios'!$C$15),Aux!AT14,"")))))</f>
        <v/>
      </c>
      <c r="T14" s="6" t="str">
        <f>IF('03_Base_Indice'!$D14="","",IF('03_Base_Indice'!T14&lt;&gt;"",'03_Base_Indice'!T14,IF(AND(Aux!K14&lt;&gt;"",Aux!W14&lt;&gt;"",(N(Aux!W14)-N(Aux!K14)-1)&lt;='01_Criterios'!$C$13),Aux!AI14+(Aux!AU14-Aux!AI14)*(10-Aux!K14)/(Aux!W14-Aux!K14),IF(AND(Aux!K14&lt;&gt;"",(10-N(Aux!K14))&lt;='01_Criterios'!$C$14),Aux!AI14,IF(AND(Aux!W14&lt;&gt;"",(N(Aux!W14)-10)&lt;='01_Criterios'!$C$15),Aux!AU14,"")))))</f>
        <v/>
      </c>
      <c r="U14" s="6" t="str">
        <f>IF('03_Base_Indice'!$D14="","",IF('03_Base_Indice'!U14&lt;&gt;"",'03_Base_Indice'!U14,IF(AND(Aux!L14&lt;&gt;"",Aux!X14&lt;&gt;"",(N(Aux!X14)-N(Aux!L14)-1)&lt;='01_Criterios'!$C$13),Aux!AJ14+(Aux!AV14-Aux!AJ14)*(11-Aux!L14)/(Aux!X14-Aux!L14),IF(AND(Aux!L14&lt;&gt;"",(11-N(Aux!L14))&lt;='01_Criterios'!$C$14),Aux!AJ14,IF(AND(Aux!X14&lt;&gt;"",(N(Aux!X14)-11)&lt;='01_Criterios'!$C$15),Aux!AV14,"")))))</f>
        <v/>
      </c>
    </row>
    <row r="15" spans="1:21">
      <c r="A15" s="6" t="str">
        <f>IF('03_Base_Indice'!$A15="","",'03_Base_Indice'!$A15)</f>
        <v>2. Estabilidade Macroeconómica</v>
      </c>
      <c r="B15" s="6">
        <f>'03_Base_Indice'!$B15</f>
        <v>1</v>
      </c>
      <c r="D15" s="6" t="str">
        <f>IF('03_Base_Indice'!$D15="","",'03_Base_Indice'!$D15)</f>
        <v>MAC001</v>
      </c>
      <c r="E15" s="6" t="str">
        <f>IF('03_Base_Indice'!$E15="","",'03_Base_Indice'!$E15)</f>
        <v>Taxa de Crescimento do PIB</v>
      </c>
      <c r="K15" s="6">
        <f>IF('03_Base_Indice'!$D15="","",IF('03_Base_Indice'!K15&lt;&gt;"",'03_Base_Indice'!K15,IF(AND(Aux!B15&lt;&gt;"",Aux!N15&lt;&gt;"",(N(Aux!N15)-N(Aux!B15)-1)&lt;='01_Criterios'!$C$13),Aux!Z15+(Aux!AL15-Aux!Z15)*(1-Aux!B15)/(Aux!N15-Aux!B15),IF(AND(Aux!B15&lt;&gt;"",(1-N(Aux!B15))&lt;='01_Criterios'!$C$14),Aux!Z15,IF(AND(Aux!N15&lt;&gt;"",(N(Aux!N15)-1)&lt;='01_Criterios'!$C$15),Aux!AL15,"")))))</f>
        <v>0.76317771091500197</v>
      </c>
      <c r="L15" s="6">
        <f>IF('03_Base_Indice'!$D15="","",IF('03_Base_Indice'!L15&lt;&gt;"",'03_Base_Indice'!L15,IF(AND(Aux!C15&lt;&gt;"",Aux!O15&lt;&gt;"",(N(Aux!O15)-N(Aux!C15)-1)&lt;='01_Criterios'!$C$13),Aux!AA15+(Aux!AM15-Aux!AA15)*(2-Aux!C15)/(Aux!O15-Aux!C15),IF(AND(Aux!C15&lt;&gt;"",(2-N(Aux!C15))&lt;='01_Criterios'!$C$14),Aux!AA15,IF(AND(Aux!O15&lt;&gt;"",(N(Aux!O15)-2)&lt;='01_Criterios'!$C$15),Aux!AM15,"")))))</f>
        <v>-0.2330769548052842</v>
      </c>
      <c r="M15" s="6">
        <f>IF('03_Base_Indice'!$D15="","",IF('03_Base_Indice'!M15&lt;&gt;"",'03_Base_Indice'!M15,IF(AND(Aux!D15&lt;&gt;"",Aux!P15&lt;&gt;"",(N(Aux!P15)-N(Aux!D15)-1)&lt;='01_Criterios'!$C$13),Aux!AB15+(Aux!AN15-Aux!AB15)*(3-Aux!D15)/(Aux!P15-Aux!D15),IF(AND(Aux!D15&lt;&gt;"",(3-N(Aux!D15))&lt;='01_Criterios'!$C$14),Aux!AB15,IF(AND(Aux!P15&lt;&gt;"",(N(Aux!P15)-3)&lt;='01_Criterios'!$C$15),Aux!AN15,"")))))</f>
        <v>-0.16468865696107571</v>
      </c>
      <c r="N15" s="6">
        <f>IF('03_Base_Indice'!$D15="","",IF('03_Base_Indice'!N15&lt;&gt;"",'03_Base_Indice'!N15,IF(AND(Aux!E15&lt;&gt;"",Aux!Q15&lt;&gt;"",(N(Aux!Q15)-N(Aux!E15)-1)&lt;='01_Criterios'!$C$13),Aux!AC15+(Aux!AO15-Aux!AC15)*(4-Aux!E15)/(Aux!Q15-Aux!E15),IF(AND(Aux!E15&lt;&gt;"",(4-N(Aux!E15))&lt;='01_Criterios'!$C$14),Aux!AC15,IF(AND(Aux!Q15&lt;&gt;"",(N(Aux!Q15)-4)&lt;='01_Criterios'!$C$15),Aux!AO15,"")))))</f>
        <v>-0.5066975436161556</v>
      </c>
      <c r="O15" s="6">
        <f>IF('03_Base_Indice'!$D15="","",IF('03_Base_Indice'!O15&lt;&gt;"",'03_Base_Indice'!O15,IF(AND(Aux!F15&lt;&gt;"",Aux!R15&lt;&gt;"",(N(Aux!R15)-N(Aux!F15)-1)&lt;='01_Criterios'!$C$13),Aux!AD15+(Aux!AP15-Aux!AD15)*(5-Aux!F15)/(Aux!R15-Aux!F15),IF(AND(Aux!F15&lt;&gt;"",(5-N(Aux!F15))&lt;='01_Criterios'!$C$14),Aux!AD15,IF(AND(Aux!R15&lt;&gt;"",(N(Aux!R15)-5)&lt;='01_Criterios'!$C$15),Aux!AP15,"")))))</f>
        <v>-1.05523414494337</v>
      </c>
      <c r="P15" s="6">
        <f>IF('03_Base_Indice'!$D15="","",IF('03_Base_Indice'!P15&lt;&gt;"",'03_Base_Indice'!P15,IF(AND(Aux!G15&lt;&gt;"",Aux!S15&lt;&gt;"",(N(Aux!S15)-N(Aux!G15)-1)&lt;='01_Criterios'!$C$13),Aux!AE15+(Aux!AQ15-Aux!AE15)*(6-Aux!G15)/(Aux!S15-Aux!G15),IF(AND(Aux!G15&lt;&gt;"",(6-N(Aux!G15))&lt;='01_Criterios'!$C$14),Aux!AE15,IF(AND(Aux!S15&lt;&gt;"",(N(Aux!S15)-6)&lt;='01_Criterios'!$C$15),Aux!AQ15,"")))))</f>
        <v>-5.2734912830000704</v>
      </c>
      <c r="Q15" s="6">
        <f>IF('03_Base_Indice'!$D15="","",IF('03_Base_Indice'!Q15&lt;&gt;"",'03_Base_Indice'!Q15,IF(AND(Aux!H15&lt;&gt;"",Aux!T15&lt;&gt;"",(N(Aux!T15)-N(Aux!H15)-1)&lt;='01_Criterios'!$C$13),Aux!AF15+(Aux!AR15-Aux!AF15)*(7-Aux!H15)/(Aux!T15-Aux!H15),IF(AND(Aux!H15&lt;&gt;"",(7-N(Aux!H15))&lt;='01_Criterios'!$C$14),Aux!AF15,IF(AND(Aux!T15&lt;&gt;"",(N(Aux!T15)-7)&lt;='01_Criterios'!$C$15),Aux!AR15,"")))))</f>
        <v>1.0905836994481459</v>
      </c>
      <c r="R15" s="6">
        <f>IF('03_Base_Indice'!$D15="","",IF('03_Base_Indice'!R15&lt;&gt;"",'03_Base_Indice'!R15,IF(AND(Aux!I15&lt;&gt;"",Aux!U15&lt;&gt;"",(N(Aux!U15)-N(Aux!I15)-1)&lt;='01_Criterios'!$C$13),Aux!AG15+(Aux!AS15-Aux!AG15)*(8-Aux!I15)/(Aux!U15-Aux!I15),IF(AND(Aux!I15&lt;&gt;"",(8-N(Aux!I15))&lt;='01_Criterios'!$C$14),Aux!AG15,IF(AND(Aux!U15&lt;&gt;"",(N(Aux!U15)-8)&lt;='01_Criterios'!$C$15),Aux!AS15,"")))))</f>
        <v>3.5574920667566658</v>
      </c>
      <c r="S15" s="6">
        <f>IF('03_Base_Indice'!$D15="","",IF('03_Base_Indice'!S15&lt;&gt;"",'03_Base_Indice'!S15,IF(AND(Aux!J15&lt;&gt;"",Aux!V15&lt;&gt;"",(N(Aux!V15)-N(Aux!J15)-1)&lt;='01_Criterios'!$C$13),Aux!AH15+(Aux!AT15-Aux!AH15)*(9-Aux!J15)/(Aux!V15-Aux!J15),IF(AND(Aux!J15&lt;&gt;"",(9-N(Aux!J15))&lt;='01_Criterios'!$C$14),Aux!AH15,IF(AND(Aux!V15&lt;&gt;"",(N(Aux!V15)-9)&lt;='01_Criterios'!$C$15),Aux!AT15,"")))))</f>
        <v>1.3201658708103139</v>
      </c>
      <c r="T15" s="6">
        <f>IF('03_Base_Indice'!$D15="","",IF('03_Base_Indice'!T15&lt;&gt;"",'03_Base_Indice'!T15,IF(AND(Aux!K15&lt;&gt;"",Aux!W15&lt;&gt;"",(N(Aux!W15)-N(Aux!K15)-1)&lt;='01_Criterios'!$C$13),Aux!AI15+(Aux!AU15-Aux!AI15)*(10-Aux!K15)/(Aux!W15-Aux!K15),IF(AND(Aux!K15&lt;&gt;"",(10-N(Aux!K15))&lt;='01_Criterios'!$C$14),Aux!AI15,IF(AND(Aux!W15&lt;&gt;"",(N(Aux!W15)-10)&lt;='01_Criterios'!$C$15),Aux!AU15,"")))))</f>
        <v>4.9526786042595603</v>
      </c>
      <c r="U15" s="6">
        <f>IF('03_Base_Indice'!$D15="","",IF('03_Base_Indice'!U15&lt;&gt;"",'03_Base_Indice'!U15,IF(AND(Aux!L15&lt;&gt;"",Aux!X15&lt;&gt;"",(N(Aux!X15)-N(Aux!L15)-1)&lt;='01_Criterios'!$C$13),Aux!AJ15+(Aux!AV15-Aux!AJ15)*(11-Aux!L15)/(Aux!X15-Aux!L15),IF(AND(Aux!L15&lt;&gt;"",(11-N(Aux!L15))&lt;='01_Criterios'!$C$14),Aux!AJ15,IF(AND(Aux!X15&lt;&gt;"",(N(Aux!X15)-11)&lt;='01_Criterios'!$C$15),Aux!AV15,"")))))</f>
        <v>3.133535424500081</v>
      </c>
    </row>
    <row r="16" spans="1:21">
      <c r="A16" s="6" t="str">
        <f>IF('03_Base_Indice'!$A16="","",'03_Base_Indice'!$A16)</f>
        <v>2. Estabilidade Macroeconómica</v>
      </c>
      <c r="B16" s="6">
        <f>'03_Base_Indice'!$B16</f>
        <v>2</v>
      </c>
      <c r="D16" s="6" t="str">
        <f>IF('03_Base_Indice'!$D16="","",'03_Base_Indice'!$D16)</f>
        <v>MAC002</v>
      </c>
      <c r="E16" s="6" t="str">
        <f>IF('03_Base_Indice'!$E16="","",'03_Base_Indice'!$E16)</f>
        <v>PIB per Capita (USD)</v>
      </c>
      <c r="K16" s="6">
        <f>IF('03_Base_Indice'!$D16="","",IF('03_Base_Indice'!K16&lt;&gt;"",'03_Base_Indice'!K16,IF(AND(Aux!B16&lt;&gt;"",Aux!N16&lt;&gt;"",(N(Aux!N16)-N(Aux!B16)-1)&lt;='01_Criterios'!$C$13),Aux!Z16+(Aux!AL16-Aux!Z16)*(1-Aux!B16)/(Aux!N16-Aux!B16),IF(AND(Aux!B16&lt;&gt;"",(1-N(Aux!B16))&lt;='01_Criterios'!$C$14),Aux!Z16,IF(AND(Aux!N16&lt;&gt;"",(N(Aux!N16)-1)&lt;='01_Criterios'!$C$15),Aux!AL16,"")))))</f>
        <v>3641.7289392025282</v>
      </c>
      <c r="L16" s="6">
        <f>IF('03_Base_Indice'!$D16="","",IF('03_Base_Indice'!L16&lt;&gt;"",'03_Base_Indice'!L16,IF(AND(Aux!C16&lt;&gt;"",Aux!O16&lt;&gt;"",(N(Aux!O16)-N(Aux!C16)-1)&lt;='01_Criterios'!$C$13),Aux!AA16+(Aux!AM16-Aux!AA16)*(2-Aux!C16)/(Aux!O16-Aux!C16),IF(AND(Aux!C16&lt;&gt;"",(2-N(Aux!C16))&lt;='01_Criterios'!$C$14),Aux!AA16,IF(AND(Aux!O16&lt;&gt;"",(N(Aux!O16)-2)&lt;='01_Criterios'!$C$15),Aux!AM16,"")))))</f>
        <v>2082.3734359470459</v>
      </c>
      <c r="M16" s="6">
        <f>IF('03_Base_Indice'!$D16="","",IF('03_Base_Indice'!M16&lt;&gt;"",'03_Base_Indice'!M16,IF(AND(Aux!D16&lt;&gt;"",Aux!P16&lt;&gt;"",(N(Aux!P16)-N(Aux!D16)-1)&lt;='01_Criterios'!$C$13),Aux!AB16+(Aux!AN16-Aux!AB16)*(3-Aux!D16)/(Aux!P16-Aux!D16),IF(AND(Aux!D16&lt;&gt;"",(3-N(Aux!D16))&lt;='01_Criterios'!$C$14),Aux!AB16,IF(AND(Aux!P16&lt;&gt;"",(N(Aux!P16)-3)&lt;='01_Criterios'!$C$15),Aux!AN16,"")))))</f>
        <v>2832.1499795051191</v>
      </c>
      <c r="N16" s="6">
        <f>IF('03_Base_Indice'!$D16="","",IF('03_Base_Indice'!N16&lt;&gt;"",'03_Base_Indice'!N16,IF(AND(Aux!E16&lt;&gt;"",Aux!Q16&lt;&gt;"",(N(Aux!Q16)-N(Aux!E16)-1)&lt;='01_Criterios'!$C$13),Aux!AC16+(Aux!AO16-Aux!AC16)*(4-Aux!E16)/(Aux!Q16-Aux!E16),IF(AND(Aux!E16&lt;&gt;"",(4-N(Aux!E16))&lt;='01_Criterios'!$C$14),Aux!AC16,IF(AND(Aux!Q16&lt;&gt;"",(N(Aux!Q16)-4)&lt;='01_Criterios'!$C$15),Aux!AO16,"")))))</f>
        <v>2891.8303237874661</v>
      </c>
      <c r="O16" s="6">
        <f>IF('03_Base_Indice'!$D16="","",IF('03_Base_Indice'!O16&lt;&gt;"",'03_Base_Indice'!O16,IF(AND(Aux!F16&lt;&gt;"",Aux!R16&lt;&gt;"",(N(Aux!R16)-N(Aux!F16)-1)&lt;='01_Criterios'!$C$13),Aux!AD16+(Aux!AP16-Aux!AD16)*(5-Aux!F16)/(Aux!R16-Aux!F16),IF(AND(Aux!F16&lt;&gt;"",(5-N(Aux!F16))&lt;='01_Criterios'!$C$14),Aux!AD16,IF(AND(Aux!R16&lt;&gt;"",(N(Aux!R16)-5)&lt;='01_Criterios'!$C$15),Aux!AP16,"")))))</f>
        <v>2507.8680721364221</v>
      </c>
      <c r="P16" s="6">
        <f>IF('03_Base_Indice'!$D16="","",IF('03_Base_Indice'!P16&lt;&gt;"",'03_Base_Indice'!P16,IF(AND(Aux!G16&lt;&gt;"",Aux!S16&lt;&gt;"",(N(Aux!S16)-N(Aux!G16)-1)&lt;='01_Criterios'!$C$13),Aux!AE16+(Aux!AQ16-Aux!AE16)*(6-Aux!G16)/(Aux!S16-Aux!G16),IF(AND(Aux!G16&lt;&gt;"",(6-N(Aux!G16))&lt;='01_Criterios'!$C$14),Aux!AE16,IF(AND(Aux!S16&lt;&gt;"",(N(Aux!S16)-6)&lt;='01_Criterios'!$C$15),Aux!AQ16,"")))))</f>
        <v>1749.179483848204</v>
      </c>
      <c r="Q16" s="6">
        <f>IF('03_Base_Indice'!$D16="","",IF('03_Base_Indice'!Q16&lt;&gt;"",'03_Base_Indice'!Q16,IF(AND(Aux!H16&lt;&gt;"",Aux!T16&lt;&gt;"",(N(Aux!T16)-N(Aux!H16)-1)&lt;='01_Criterios'!$C$13),Aux!AF16+(Aux!AR16-Aux!AF16)*(7-Aux!H16)/(Aux!T16-Aux!H16),IF(AND(Aux!H16&lt;&gt;"",(7-N(Aux!H16))&lt;='01_Criterios'!$C$14),Aux!AF16,IF(AND(Aux!T16&lt;&gt;"",(N(Aux!T16)-7)&lt;='01_Criterios'!$C$15),Aux!AR16,"")))))</f>
        <v>2266.9683486158378</v>
      </c>
      <c r="R16" s="6">
        <f>IF('03_Base_Indice'!$D16="","",IF('03_Base_Indice'!R16&lt;&gt;"",'03_Base_Indice'!R16,IF(AND(Aux!I16&lt;&gt;"",Aux!U16&lt;&gt;"",(N(Aux!U16)-N(Aux!I16)-1)&lt;='01_Criterios'!$C$13),Aux!AG16+(Aux!AS16-Aux!AG16)*(8-Aux!I16)/(Aux!U16-Aux!I16),IF(AND(Aux!I16&lt;&gt;"",(8-N(Aux!I16))&lt;='01_Criterios'!$C$14),Aux!AG16,IF(AND(Aux!U16&lt;&gt;"",(N(Aux!U16)-8)&lt;='01_Criterios'!$C$15),Aux!AS16,"")))))</f>
        <v>3598.5366907734119</v>
      </c>
      <c r="S16" s="6">
        <f>IF('03_Base_Indice'!$D16="","",IF('03_Base_Indice'!S16&lt;&gt;"",'03_Base_Indice'!S16,IF(AND(Aux!J16&lt;&gt;"",Aux!V16&lt;&gt;"",(N(Aux!V16)-N(Aux!J16)-1)&lt;='01_Criterios'!$C$13),Aux!AH16+(Aux!AT16-Aux!AH16)*(9-Aux!J16)/(Aux!V16-Aux!J16),IF(AND(Aux!J16&lt;&gt;"",(9-N(Aux!J16))&lt;='01_Criterios'!$C$14),Aux!AH16,IF(AND(Aux!V16&lt;&gt;"",(N(Aux!V16)-9)&lt;='01_Criterios'!$C$15),Aux!AT16,"")))))</f>
        <v>2885.5134913080642</v>
      </c>
      <c r="T16" s="6">
        <f>IF('03_Base_Indice'!$D16="","",IF('03_Base_Indice'!T16&lt;&gt;"",'03_Base_Indice'!T16,IF(AND(Aux!K16&lt;&gt;"",Aux!W16&lt;&gt;"",(N(Aux!W16)-N(Aux!K16)-1)&lt;='01_Criterios'!$C$13),Aux!AI16+(Aux!AU16-Aux!AI16)*(10-Aux!K16)/(Aux!W16-Aux!K16),IF(AND(Aux!K16&lt;&gt;"",(10-N(Aux!K16))&lt;='01_Criterios'!$C$14),Aux!AI16,IF(AND(Aux!W16&lt;&gt;"",(N(Aux!W16)-10)&lt;='01_Criterios'!$C$15),Aux!AU16,"")))))</f>
        <v>2720.8190066971538</v>
      </c>
      <c r="U16" s="6">
        <f>IF('03_Base_Indice'!$D16="","",IF('03_Base_Indice'!U16&lt;&gt;"",'03_Base_Indice'!U16,IF(AND(Aux!L16&lt;&gt;"",Aux!X16&lt;&gt;"",(N(Aux!X16)-N(Aux!L16)-1)&lt;='01_Criterios'!$C$13),Aux!AJ16+(Aux!AV16-Aux!AJ16)*(11-Aux!L16)/(Aux!X16-Aux!L16),IF(AND(Aux!L16&lt;&gt;"",(11-N(Aux!L16))&lt;='01_Criterios'!$C$14),Aux!AJ16,IF(AND(Aux!X16&lt;&gt;"",(N(Aux!X16)-11)&lt;='01_Criterios'!$C$15),Aux!AV16,"")))))</f>
        <v>3129.4766233106252</v>
      </c>
    </row>
    <row r="17" spans="1:21">
      <c r="A17" s="6" t="str">
        <f>IF('03_Base_Indice'!$A17="","",'03_Base_Indice'!$A17)</f>
        <v>2. Estabilidade Macroeconómica</v>
      </c>
      <c r="B17" s="6">
        <f>'03_Base_Indice'!$B17</f>
        <v>3</v>
      </c>
      <c r="D17" s="6" t="str">
        <f>IF('03_Base_Indice'!$D17="","",'03_Base_Indice'!$D17)</f>
        <v>MAC003</v>
      </c>
      <c r="E17" s="6" t="str">
        <f>IF('03_Base_Indice'!$E17="","",'03_Base_Indice'!$E17)</f>
        <v>Inflação (IPC)</v>
      </c>
      <c r="K17" s="6">
        <f>IF('03_Base_Indice'!$D17="","",IF('03_Base_Indice'!K17&lt;&gt;"",'03_Base_Indice'!K17,IF(AND(Aux!B17&lt;&gt;"",Aux!N17&lt;&gt;"",(N(Aux!N17)-N(Aux!B17)-1)&lt;='01_Criterios'!$C$13),Aux!Z17+(Aux!AL17-Aux!Z17)*(1-Aux!B17)/(Aux!N17-Aux!B17),IF(AND(Aux!B17&lt;&gt;"",(1-N(Aux!B17))&lt;='01_Criterios'!$C$14),Aux!Z17,IF(AND(Aux!N17&lt;&gt;"",(N(Aux!N17)-1)&lt;='01_Criterios'!$C$15),Aux!AL17,"")))))</f>
        <v>9.3559721553378399</v>
      </c>
      <c r="L17" s="6">
        <f>IF('03_Base_Indice'!$D17="","",IF('03_Base_Indice'!L17&lt;&gt;"",'03_Base_Indice'!L17,IF(AND(Aux!C17&lt;&gt;"",Aux!O17&lt;&gt;"",(N(Aux!O17)-N(Aux!C17)-1)&lt;='01_Criterios'!$C$13),Aux!AA17+(Aux!AM17-Aux!AA17)*(2-Aux!C17)/(Aux!O17-Aux!C17),IF(AND(Aux!C17&lt;&gt;"",(2-N(Aux!C17))&lt;='01_Criterios'!$C$14),Aux!AA17,IF(AND(Aux!O17&lt;&gt;"",(N(Aux!O17)-2)&lt;='01_Criterios'!$C$15),Aux!AM17,"")))))</f>
        <v>30.694415080671909</v>
      </c>
      <c r="M17" s="6">
        <f>IF('03_Base_Indice'!$D17="","",IF('03_Base_Indice'!M17&lt;&gt;"",'03_Base_Indice'!M17,IF(AND(Aux!D17&lt;&gt;"",Aux!P17&lt;&gt;"",(N(Aux!P17)-N(Aux!D17)-1)&lt;='01_Criterios'!$C$13),Aux!AB17+(Aux!AN17-Aux!AB17)*(3-Aux!D17)/(Aux!P17-Aux!D17),IF(AND(Aux!D17&lt;&gt;"",(3-N(Aux!D17))&lt;='01_Criterios'!$C$14),Aux!AB17,IF(AND(Aux!P17&lt;&gt;"",(N(Aux!P17)-3)&lt;='01_Criterios'!$C$15),Aux!AN17,"")))))</f>
        <v>29.844479901567929</v>
      </c>
      <c r="N17" s="6">
        <f>IF('03_Base_Indice'!$D17="","",IF('03_Base_Indice'!N17&lt;&gt;"",'03_Base_Indice'!N17,IF(AND(Aux!E17&lt;&gt;"",Aux!Q17&lt;&gt;"",(N(Aux!Q17)-N(Aux!E17)-1)&lt;='01_Criterios'!$C$13),Aux!AC17+(Aux!AO17-Aux!AC17)*(4-Aux!E17)/(Aux!Q17-Aux!E17),IF(AND(Aux!E17&lt;&gt;"",(4-N(Aux!E17))&lt;='01_Criterios'!$C$14),Aux!AC17,IF(AND(Aux!Q17&lt;&gt;"",(N(Aux!Q17)-4)&lt;='01_Criterios'!$C$15),Aux!AO17,"")))))</f>
        <v>19.62893797015208</v>
      </c>
      <c r="O17" s="6">
        <f>IF('03_Base_Indice'!$D17="","",IF('03_Base_Indice'!O17&lt;&gt;"",'03_Base_Indice'!O17,IF(AND(Aux!F17&lt;&gt;"",Aux!R17&lt;&gt;"",(N(Aux!R17)-N(Aux!F17)-1)&lt;='01_Criterios'!$C$13),Aux!AD17+(Aux!AP17-Aux!AD17)*(5-Aux!F17)/(Aux!R17-Aux!F17),IF(AND(Aux!F17&lt;&gt;"",(5-N(Aux!F17))&lt;='01_Criterios'!$C$14),Aux!AD17,IF(AND(Aux!R17&lt;&gt;"",(N(Aux!R17)-5)&lt;='01_Criterios'!$C$15),Aux!AP17,"")))))</f>
        <v>17.080954143438031</v>
      </c>
      <c r="P17" s="6">
        <f>IF('03_Base_Indice'!$D17="","",IF('03_Base_Indice'!P17&lt;&gt;"",'03_Base_Indice'!P17,IF(AND(Aux!G17&lt;&gt;"",Aux!S17&lt;&gt;"",(N(Aux!S17)-N(Aux!G17)-1)&lt;='01_Criterios'!$C$13),Aux!AE17+(Aux!AQ17-Aux!AE17)*(6-Aux!G17)/(Aux!S17-Aux!G17),IF(AND(Aux!G17&lt;&gt;"",(6-N(Aux!G17))&lt;='01_Criterios'!$C$14),Aux!AE17,IF(AND(Aux!S17&lt;&gt;"",(N(Aux!S17)-6)&lt;='01_Criterios'!$C$15),Aux!AQ17,"")))))</f>
        <v>22.271539247050971</v>
      </c>
      <c r="Q17" s="6">
        <f>IF('03_Base_Indice'!$D17="","",IF('03_Base_Indice'!Q17&lt;&gt;"",'03_Base_Indice'!Q17,IF(AND(Aux!H17&lt;&gt;"",Aux!T17&lt;&gt;"",(N(Aux!T17)-N(Aux!H17)-1)&lt;='01_Criterios'!$C$13),Aux!AF17+(Aux!AR17-Aux!AF17)*(7-Aux!H17)/(Aux!T17-Aux!H17),IF(AND(Aux!H17&lt;&gt;"",(7-N(Aux!H17))&lt;='01_Criterios'!$C$14),Aux!AF17,IF(AND(Aux!T17&lt;&gt;"",(N(Aux!T17)-7)&lt;='01_Criterios'!$C$15),Aux!AR17,"")))))</f>
        <v>25.754294884189061</v>
      </c>
      <c r="R17" s="6">
        <f>IF('03_Base_Indice'!$D17="","",IF('03_Base_Indice'!R17&lt;&gt;"",'03_Base_Indice'!R17,IF(AND(Aux!I17&lt;&gt;"",Aux!U17&lt;&gt;"",(N(Aux!U17)-N(Aux!I17)-1)&lt;='01_Criterios'!$C$13),Aux!AG17+(Aux!AS17-Aux!AG17)*(8-Aux!I17)/(Aux!U17-Aux!I17),IF(AND(Aux!I17&lt;&gt;"",(8-N(Aux!I17))&lt;='01_Criterios'!$C$14),Aux!AG17,IF(AND(Aux!U17&lt;&gt;"",(N(Aux!U17)-8)&lt;='01_Criterios'!$C$15),Aux!AS17,"")))))</f>
        <v>21.355290132082221</v>
      </c>
      <c r="S17" s="6">
        <f>IF('03_Base_Indice'!$D17="","",IF('03_Base_Indice'!S17&lt;&gt;"",'03_Base_Indice'!S17,IF(AND(Aux!J17&lt;&gt;"",Aux!V17&lt;&gt;"",(N(Aux!V17)-N(Aux!J17)-1)&lt;='01_Criterios'!$C$13),Aux!AH17+(Aux!AT17-Aux!AH17)*(9-Aux!J17)/(Aux!V17-Aux!J17),IF(AND(Aux!J17&lt;&gt;"",(9-N(Aux!J17))&lt;='01_Criterios'!$C$14),Aux!AH17,IF(AND(Aux!V17&lt;&gt;"",(N(Aux!V17)-9)&lt;='01_Criterios'!$C$15),Aux!AT17,"")))))</f>
        <v>13.64410177677148</v>
      </c>
      <c r="T17" s="6">
        <f>IF('03_Base_Indice'!$D17="","",IF('03_Base_Indice'!T17&lt;&gt;"",'03_Base_Indice'!T17,IF(AND(Aux!K17&lt;&gt;"",Aux!W17&lt;&gt;"",(N(Aux!W17)-N(Aux!K17)-1)&lt;='01_Criterios'!$C$13),Aux!AI17+(Aux!AU17-Aux!AI17)*(10-Aux!K17)/(Aux!W17-Aux!K17),IF(AND(Aux!K17&lt;&gt;"",(10-N(Aux!K17))&lt;='01_Criterios'!$C$14),Aux!AI17,IF(AND(Aux!W17&lt;&gt;"",(N(Aux!W17)-10)&lt;='01_Criterios'!$C$15),Aux!AU17,"")))))</f>
        <v>28.240494891577239</v>
      </c>
      <c r="U17" s="6">
        <f>IF('03_Base_Indice'!$D17="","",IF('03_Base_Indice'!U17&lt;&gt;"",'03_Base_Indice'!U17,IF(AND(Aux!L17&lt;&gt;"",Aux!X17&lt;&gt;"",(N(Aux!X17)-N(Aux!L17)-1)&lt;='01_Criterios'!$C$13),Aux!AJ17+(Aux!AV17-Aux!AJ17)*(11-Aux!L17)/(Aux!X17-Aux!L17),IF(AND(Aux!L17&lt;&gt;"",(11-N(Aux!L17))&lt;='01_Criterios'!$C$14),Aux!AJ17,IF(AND(Aux!X17&lt;&gt;"",(N(Aux!X17)-11)&lt;='01_Criterios'!$C$15),Aux!AV17,"")))))</f>
        <v>20.162019757233121</v>
      </c>
    </row>
    <row r="18" spans="1:21">
      <c r="A18" s="6" t="str">
        <f>IF('03_Base_Indice'!$A18="","",'03_Base_Indice'!$A18)</f>
        <v>2. Estabilidade Macroeconómica</v>
      </c>
      <c r="B18" s="6">
        <f>'03_Base_Indice'!$B18</f>
        <v>4</v>
      </c>
      <c r="D18" s="6" t="str">
        <f>IF('03_Base_Indice'!$D18="","",'03_Base_Indice'!$D18)</f>
        <v>MAC004</v>
      </c>
      <c r="E18" s="6" t="str">
        <f>IF('03_Base_Indice'!$E18="","",'03_Base_Indice'!$E18)</f>
        <v>Dívida Pública (% do PIB)</v>
      </c>
      <c r="K18" s="6">
        <f>IF('03_Base_Indice'!$D18="","",IF('03_Base_Indice'!K18&lt;&gt;"",'03_Base_Indice'!K18,IF(AND(Aux!B18&lt;&gt;"",Aux!N18&lt;&gt;"",(N(Aux!N18)-N(Aux!B18)-1)&lt;='01_Criterios'!$C$13),Aux!Z18+(Aux!AL18-Aux!Z18)*(1-Aux!B18)/(Aux!N18-Aux!B18),IF(AND(Aux!B18&lt;&gt;"",(1-N(Aux!B18))&lt;='01_Criterios'!$C$14),Aux!Z18,IF(AND(Aux!N18&lt;&gt;"",(N(Aux!N18)-1)&lt;='01_Criterios'!$C$15),Aux!AL18,"")))))</f>
        <v>50</v>
      </c>
      <c r="L18" s="6">
        <f>IF('03_Base_Indice'!$D18="","",IF('03_Base_Indice'!L18&lt;&gt;"",'03_Base_Indice'!L18,IF(AND(Aux!C18&lt;&gt;"",Aux!O18&lt;&gt;"",(N(Aux!O18)-N(Aux!C18)-1)&lt;='01_Criterios'!$C$13),Aux!AA18+(Aux!AM18-Aux!AA18)*(2-Aux!C18)/(Aux!O18-Aux!C18),IF(AND(Aux!C18&lt;&gt;"",(2-N(Aux!C18))&lt;='01_Criterios'!$C$14),Aux!AA18,IF(AND(Aux!O18&lt;&gt;"",(N(Aux!O18)-2)&lt;='01_Criterios'!$C$15),Aux!AM18,"")))))</f>
        <v>67</v>
      </c>
      <c r="M18" s="6">
        <f>IF('03_Base_Indice'!$D18="","",IF('03_Base_Indice'!M18&lt;&gt;"",'03_Base_Indice'!M18,IF(AND(Aux!D18&lt;&gt;"",Aux!P18&lt;&gt;"",(N(Aux!P18)-N(Aux!D18)-1)&lt;='01_Criterios'!$C$13),Aux!AB18+(Aux!AN18-Aux!AB18)*(3-Aux!D18)/(Aux!P18-Aux!D18),IF(AND(Aux!D18&lt;&gt;"",(3-N(Aux!D18))&lt;='01_Criterios'!$C$14),Aux!AB18,IF(AND(Aux!P18&lt;&gt;"",(N(Aux!P18)-3)&lt;='01_Criterios'!$C$15),Aux!AN18,"")))))</f>
        <v>60</v>
      </c>
      <c r="N18" s="6">
        <f>IF('03_Base_Indice'!$D18="","",IF('03_Base_Indice'!N18&lt;&gt;"",'03_Base_Indice'!N18,IF(AND(Aux!E18&lt;&gt;"",Aux!Q18&lt;&gt;"",(N(Aux!Q18)-N(Aux!E18)-1)&lt;='01_Criterios'!$C$13),Aux!AC18+(Aux!AO18-Aux!AC18)*(4-Aux!E18)/(Aux!Q18-Aux!E18),IF(AND(Aux!E18&lt;&gt;"",(4-N(Aux!E18))&lt;='01_Criterios'!$C$14),Aux!AC18,IF(AND(Aux!Q18&lt;&gt;"",(N(Aux!Q18)-4)&lt;='01_Criterios'!$C$15),Aux!AO18,"")))))</f>
        <v>83</v>
      </c>
      <c r="O18" s="6">
        <f>IF('03_Base_Indice'!$D18="","",IF('03_Base_Indice'!O18&lt;&gt;"",'03_Base_Indice'!O18,IF(AND(Aux!F18&lt;&gt;"",Aux!R18&lt;&gt;"",(N(Aux!R18)-N(Aux!F18)-1)&lt;='01_Criterios'!$C$13),Aux!AD18+(Aux!AP18-Aux!AD18)*(5-Aux!F18)/(Aux!R18-Aux!F18),IF(AND(Aux!F18&lt;&gt;"",(5-N(Aux!F18))&lt;='01_Criterios'!$C$14),Aux!AD18,IF(AND(Aux!R18&lt;&gt;"",(N(Aux!R18)-5)&lt;='01_Criterios'!$C$15),Aux!AP18,"")))))</f>
        <v>101</v>
      </c>
      <c r="P18" s="6">
        <f>IF('03_Base_Indice'!$D18="","",IF('03_Base_Indice'!P18&lt;&gt;"",'03_Base_Indice'!P18,IF(AND(Aux!G18&lt;&gt;"",Aux!S18&lt;&gt;"",(N(Aux!S18)-N(Aux!G18)-1)&lt;='01_Criterios'!$C$13),Aux!AE18+(Aux!AQ18-Aux!AE18)*(6-Aux!G18)/(Aux!S18-Aux!G18),IF(AND(Aux!G18&lt;&gt;"",(6-N(Aux!G18))&lt;='01_Criterios'!$C$14),Aux!AE18,IF(AND(Aux!S18&lt;&gt;"",(N(Aux!S18)-6)&lt;='01_Criterios'!$C$15),Aux!AQ18,"")))))</f>
        <v>119</v>
      </c>
      <c r="Q18" s="6">
        <f>IF('03_Base_Indice'!$D18="","",IF('03_Base_Indice'!Q18&lt;&gt;"",'03_Base_Indice'!Q18,IF(AND(Aux!H18&lt;&gt;"",Aux!T18&lt;&gt;"",(N(Aux!T18)-N(Aux!H18)-1)&lt;='01_Criterios'!$C$13),Aux!AF18+(Aux!AR18-Aux!AF18)*(7-Aux!H18)/(Aux!T18-Aux!H18),IF(AND(Aux!H18&lt;&gt;"",(7-N(Aux!H18))&lt;='01_Criterios'!$C$14),Aux!AF18,IF(AND(Aux!T18&lt;&gt;"",(N(Aux!T18)-7)&lt;='01_Criterios'!$C$15),Aux!AR18,"")))))</f>
        <v>74</v>
      </c>
      <c r="R18" s="6">
        <f>IF('03_Base_Indice'!$D18="","",IF('03_Base_Indice'!R18&lt;&gt;"",'03_Base_Indice'!R18,IF(AND(Aux!I18&lt;&gt;"",Aux!U18&lt;&gt;"",(N(Aux!U18)-N(Aux!I18)-1)&lt;='01_Criterios'!$C$13),Aux!AG18+(Aux!AS18-Aux!AG18)*(8-Aux!I18)/(Aux!U18-Aux!I18),IF(AND(Aux!I18&lt;&gt;"",(8-N(Aux!I18))&lt;='01_Criterios'!$C$14),Aux!AG18,IF(AND(Aux!U18&lt;&gt;"",(N(Aux!U18)-8)&lt;='01_Criterios'!$C$15),Aux!AS18,"")))))</f>
        <v>56</v>
      </c>
      <c r="S18" s="6">
        <f>IF('03_Base_Indice'!$D18="","",IF('03_Base_Indice'!S18&lt;&gt;"",'03_Base_Indice'!S18,IF(AND(Aux!J18&lt;&gt;"",Aux!V18&lt;&gt;"",(N(Aux!V18)-N(Aux!J18)-1)&lt;='01_Criterios'!$C$13),Aux!AH18+(Aux!AT18-Aux!AH18)*(9-Aux!J18)/(Aux!V18-Aux!J18),IF(AND(Aux!J18&lt;&gt;"",(9-N(Aux!J18))&lt;='01_Criterios'!$C$14),Aux!AH18,IF(AND(Aux!V18&lt;&gt;"",(N(Aux!V18)-9)&lt;='01_Criterios'!$C$15),Aux!AT18,"")))))</f>
        <v>72</v>
      </c>
      <c r="T18" s="6">
        <f>IF('03_Base_Indice'!$D18="","",IF('03_Base_Indice'!T18&lt;&gt;"",'03_Base_Indice'!T18,IF(AND(Aux!K18&lt;&gt;"",Aux!W18&lt;&gt;"",(N(Aux!W18)-N(Aux!K18)-1)&lt;='01_Criterios'!$C$13),Aux!AI18+(Aux!AU18-Aux!AI18)*(10-Aux!K18)/(Aux!W18-Aux!K18),IF(AND(Aux!K18&lt;&gt;"",(10-N(Aux!K18))&lt;='01_Criterios'!$C$14),Aux!AI18,IF(AND(Aux!W18&lt;&gt;"",(N(Aux!W18)-10)&lt;='01_Criterios'!$C$15),Aux!AU18,"")))))</f>
        <v>60</v>
      </c>
      <c r="U18" s="6">
        <f>IF('03_Base_Indice'!$D18="","",IF('03_Base_Indice'!U18&lt;&gt;"",'03_Base_Indice'!U18,IF(AND(Aux!L18&lt;&gt;"",Aux!X18&lt;&gt;"",(N(Aux!X18)-N(Aux!L18)-1)&lt;='01_Criterios'!$C$13),Aux!AJ18+(Aux!AV18-Aux!AJ18)*(11-Aux!L18)/(Aux!X18-Aux!L18),IF(AND(Aux!L18&lt;&gt;"",(11-N(Aux!L18))&lt;='01_Criterios'!$C$14),Aux!AJ18,IF(AND(Aux!X18&lt;&gt;"",(N(Aux!X18)-11)&lt;='01_Criterios'!$C$15),Aux!AV18,"")))))</f>
        <v>63</v>
      </c>
    </row>
    <row r="19" spans="1:21">
      <c r="A19" s="6" t="str">
        <f>IF('03_Base_Indice'!$A19="","",'03_Base_Indice'!$A19)</f>
        <v>2. Estabilidade Macroeconómica</v>
      </c>
      <c r="B19" s="6">
        <f>'03_Base_Indice'!$B19</f>
        <v>5</v>
      </c>
      <c r="D19" s="6" t="str">
        <f>IF('03_Base_Indice'!$D19="","",'03_Base_Indice'!$D19)</f>
        <v>MAC005</v>
      </c>
      <c r="E19" s="6" t="str">
        <f>IF('03_Base_Indice'!$E19="","",'03_Base_Indice'!$E19)</f>
        <v>Saldo Orçamental (% do PIB)</v>
      </c>
      <c r="K19" s="6">
        <f>IF('03_Base_Indice'!$D19="","",IF('03_Base_Indice'!K19&lt;&gt;"",'03_Base_Indice'!K19,IF(AND(Aux!B19&lt;&gt;"",Aux!N19&lt;&gt;"",(N(Aux!N19)-N(Aux!B19)-1)&lt;='01_Criterios'!$C$13),Aux!Z19+(Aux!AL19-Aux!Z19)*(1-Aux!B19)/(Aux!N19-Aux!B19),IF(AND(Aux!B19&lt;&gt;"",(1-N(Aux!B19))&lt;='01_Criterios'!$C$14),Aux!Z19,IF(AND(Aux!N19&lt;&gt;"",(N(Aux!N19)-1)&lt;='01_Criterios'!$C$15),Aux!AL19,"")))))</f>
        <v>-2</v>
      </c>
      <c r="L19" s="6">
        <f>IF('03_Base_Indice'!$D19="","",IF('03_Base_Indice'!L19&lt;&gt;"",'03_Base_Indice'!L19,IF(AND(Aux!C19&lt;&gt;"",Aux!O19&lt;&gt;"",(N(Aux!O19)-N(Aux!C19)-1)&lt;='01_Criterios'!$C$13),Aux!AA19+(Aux!AM19-Aux!AA19)*(2-Aux!C19)/(Aux!O19-Aux!C19),IF(AND(Aux!C19&lt;&gt;"",(2-N(Aux!C19))&lt;='01_Criterios'!$C$14),Aux!AA19,IF(AND(Aux!O19&lt;&gt;"",(N(Aux!O19)-2)&lt;='01_Criterios'!$C$15),Aux!AM19,"")))))</f>
        <v>-3</v>
      </c>
      <c r="M19" s="6">
        <f>IF('03_Base_Indice'!$D19="","",IF('03_Base_Indice'!M19&lt;&gt;"",'03_Base_Indice'!M19,IF(AND(Aux!D19&lt;&gt;"",Aux!P19&lt;&gt;"",(N(Aux!P19)-N(Aux!D19)-1)&lt;='01_Criterios'!$C$13),Aux!AB19+(Aux!AN19-Aux!AB19)*(3-Aux!D19)/(Aux!P19-Aux!D19),IF(AND(Aux!D19&lt;&gt;"",(3-N(Aux!D19))&lt;='01_Criterios'!$C$14),Aux!AB19,IF(AND(Aux!P19&lt;&gt;"",(N(Aux!P19)-3)&lt;='01_Criterios'!$C$15),Aux!AN19,"")))))</f>
        <v>1.5</v>
      </c>
      <c r="N19" s="6">
        <f>IF('03_Base_Indice'!$D19="","",IF('03_Base_Indice'!N19&lt;&gt;"",'03_Base_Indice'!N19,IF(AND(Aux!E19&lt;&gt;"",Aux!Q19&lt;&gt;"",(N(Aux!Q19)-N(Aux!E19)-1)&lt;='01_Criterios'!$C$13),Aux!AC19+(Aux!AO19-Aux!AC19)*(4-Aux!E19)/(Aux!Q19-Aux!E19),IF(AND(Aux!E19&lt;&gt;"",(4-N(Aux!E19))&lt;='01_Criterios'!$C$14),Aux!AC19,IF(AND(Aux!Q19&lt;&gt;"",(N(Aux!Q19)-4)&lt;='01_Criterios'!$C$15),Aux!AO19,"")))))</f>
        <v>-0.5</v>
      </c>
      <c r="O19" s="6">
        <f>IF('03_Base_Indice'!$D19="","",IF('03_Base_Indice'!O19&lt;&gt;"",'03_Base_Indice'!O19,IF(AND(Aux!F19&lt;&gt;"",Aux!R19&lt;&gt;"",(N(Aux!R19)-N(Aux!F19)-1)&lt;='01_Criterios'!$C$13),Aux!AD19+(Aux!AP19-Aux!AD19)*(5-Aux!F19)/(Aux!R19-Aux!F19),IF(AND(Aux!F19&lt;&gt;"",(5-N(Aux!F19))&lt;='01_Criterios'!$C$14),Aux!AD19,IF(AND(Aux!R19&lt;&gt;"",(N(Aux!R19)-5)&lt;='01_Criterios'!$C$15),Aux!AP19,"")))))</f>
        <v>0.5</v>
      </c>
      <c r="P19" s="6">
        <f>IF('03_Base_Indice'!$D19="","",IF('03_Base_Indice'!P19&lt;&gt;"",'03_Base_Indice'!P19,IF(AND(Aux!G19&lt;&gt;"",Aux!S19&lt;&gt;"",(N(Aux!S19)-N(Aux!G19)-1)&lt;='01_Criterios'!$C$13),Aux!AE19+(Aux!AQ19-Aux!AE19)*(6-Aux!G19)/(Aux!S19-Aux!G19),IF(AND(Aux!G19&lt;&gt;"",(6-N(Aux!G19))&lt;='01_Criterios'!$C$14),Aux!AE19,IF(AND(Aux!S19&lt;&gt;"",(N(Aux!S19)-6)&lt;='01_Criterios'!$C$15),Aux!AQ19,"")))))</f>
        <v>-5</v>
      </c>
      <c r="Q19" s="6">
        <f>IF('03_Base_Indice'!$D19="","",IF('03_Base_Indice'!Q19&lt;&gt;"",'03_Base_Indice'!Q19,IF(AND(Aux!H19&lt;&gt;"",Aux!T19&lt;&gt;"",(N(Aux!T19)-N(Aux!H19)-1)&lt;='01_Criterios'!$C$13),Aux!AF19+(Aux!AR19-Aux!AF19)*(7-Aux!H19)/(Aux!T19-Aux!H19),IF(AND(Aux!H19&lt;&gt;"",(7-N(Aux!H19))&lt;='01_Criterios'!$C$14),Aux!AF19,IF(AND(Aux!T19&lt;&gt;"",(N(Aux!T19)-7)&lt;='01_Criterios'!$C$15),Aux!AR19,"")))))</f>
        <v>1.5</v>
      </c>
      <c r="R19" s="6">
        <f>IF('03_Base_Indice'!$D19="","",IF('03_Base_Indice'!R19&lt;&gt;"",'03_Base_Indice'!R19,IF(AND(Aux!I19&lt;&gt;"",Aux!U19&lt;&gt;"",(N(Aux!U19)-N(Aux!I19)-1)&lt;='01_Criterios'!$C$13),Aux!AG19+(Aux!AS19-Aux!AG19)*(8-Aux!I19)/(Aux!U19-Aux!I19),IF(AND(Aux!I19&lt;&gt;"",(8-N(Aux!I19))&lt;='01_Criterios'!$C$14),Aux!AG19,IF(AND(Aux!U19&lt;&gt;"",(N(Aux!U19)-8)&lt;='01_Criterios'!$C$15),Aux!AS19,"")))))</f>
        <v>0.7</v>
      </c>
      <c r="S19" s="6">
        <f>IF('03_Base_Indice'!$D19="","",IF('03_Base_Indice'!S19&lt;&gt;"",'03_Base_Indice'!S19,IF(AND(Aux!J19&lt;&gt;"",Aux!V19&lt;&gt;"",(N(Aux!V19)-N(Aux!J19)-1)&lt;='01_Criterios'!$C$13),Aux!AH19+(Aux!AT19-Aux!AH19)*(9-Aux!J19)/(Aux!V19-Aux!J19),IF(AND(Aux!J19&lt;&gt;"",(9-N(Aux!J19))&lt;='01_Criterios'!$C$14),Aux!AH19,IF(AND(Aux!V19&lt;&gt;"",(N(Aux!V19)-9)&lt;='01_Criterios'!$C$15),Aux!AT19,"")))))</f>
        <v>-1.9</v>
      </c>
      <c r="T19" s="6">
        <f>IF('03_Base_Indice'!$D19="","",IF('03_Base_Indice'!T19&lt;&gt;"",'03_Base_Indice'!T19,IF(AND(Aux!K19&lt;&gt;"",Aux!W19&lt;&gt;"",(N(Aux!W19)-N(Aux!K19)-1)&lt;='01_Criterios'!$C$13),Aux!AI19+(Aux!AU19-Aux!AI19)*(10-Aux!K19)/(Aux!W19-Aux!K19),IF(AND(Aux!K19&lt;&gt;"",(10-N(Aux!K19))&lt;='01_Criterios'!$C$14),Aux!AI19,IF(AND(Aux!W19&lt;&gt;"",(N(Aux!W19)-10)&lt;='01_Criterios'!$C$15),Aux!AU19,"")))))</f>
        <v>-1.5</v>
      </c>
      <c r="U19" s="6">
        <f>IF('03_Base_Indice'!$D19="","",IF('03_Base_Indice'!U19&lt;&gt;"",'03_Base_Indice'!U19,IF(AND(Aux!L19&lt;&gt;"",Aux!X19&lt;&gt;"",(N(Aux!X19)-N(Aux!L19)-1)&lt;='01_Criterios'!$C$13),Aux!AJ19+(Aux!AV19-Aux!AJ19)*(11-Aux!L19)/(Aux!X19-Aux!L19),IF(AND(Aux!L19&lt;&gt;"",(11-N(Aux!L19))&lt;='01_Criterios'!$C$14),Aux!AJ19,IF(AND(Aux!X19&lt;&gt;"",(N(Aux!X19)-11)&lt;='01_Criterios'!$C$15),Aux!AV19,"")))))</f>
        <v>-1.65</v>
      </c>
    </row>
    <row r="20" spans="1:21">
      <c r="A20" s="6" t="str">
        <f>IF('03_Base_Indice'!$A20="","",'03_Base_Indice'!$A20)</f>
        <v>2. Estabilidade Macroeconómica</v>
      </c>
      <c r="B20" s="6">
        <f>'03_Base_Indice'!$B20</f>
        <v>6</v>
      </c>
      <c r="D20" s="6" t="str">
        <f>IF('03_Base_Indice'!$D20="","",'03_Base_Indice'!$D20)</f>
        <v>MAC007</v>
      </c>
      <c r="E20" s="6" t="str">
        <f>IF('03_Base_Indice'!$E20="","",'03_Base_Indice'!$E20)</f>
        <v>Reservas Internacionais (meses)</v>
      </c>
      <c r="K20" s="6">
        <f>IF('03_Base_Indice'!$D20="","",IF('03_Base_Indice'!K20&lt;&gt;"",'03_Base_Indice'!K20,IF(AND(Aux!B20&lt;&gt;"",Aux!N20&lt;&gt;"",(N(Aux!N20)-N(Aux!B20)-1)&lt;='01_Criterios'!$C$13),Aux!Z20+(Aux!AL20-Aux!Z20)*(1-Aux!B20)/(Aux!N20-Aux!B20),IF(AND(Aux!B20&lt;&gt;"",(1-N(Aux!B20))&lt;='01_Criterios'!$C$14),Aux!Z20,IF(AND(Aux!N20&lt;&gt;"",(N(Aux!N20)-1)&lt;='01_Criterios'!$C$15),Aux!AL20,"")))))</f>
        <v>6.4820456906484099</v>
      </c>
      <c r="L20" s="6">
        <f>IF('03_Base_Indice'!$D20="","",IF('03_Base_Indice'!L20&lt;&gt;"",'03_Base_Indice'!L20,IF(AND(Aux!C20&lt;&gt;"",Aux!O20&lt;&gt;"",(N(Aux!O20)-N(Aux!C20)-1)&lt;='01_Criterios'!$C$13),Aux!AA20+(Aux!AM20-Aux!AA20)*(2-Aux!C20)/(Aux!O20-Aux!C20),IF(AND(Aux!C20&lt;&gt;"",(2-N(Aux!C20))&lt;='01_Criterios'!$C$14),Aux!AA20,IF(AND(Aux!O20&lt;&gt;"",(N(Aux!O20)-2)&lt;='01_Criterios'!$C$15),Aux!AM20,"")))))</f>
        <v>9.0838712049007402</v>
      </c>
      <c r="M20" s="6">
        <f>IF('03_Base_Indice'!$D20="","",IF('03_Base_Indice'!M20&lt;&gt;"",'03_Base_Indice'!M20,IF(AND(Aux!D20&lt;&gt;"",Aux!P20&lt;&gt;"",(N(Aux!P20)-N(Aux!D20)-1)&lt;='01_Criterios'!$C$13),Aux!AB20+(Aux!AN20-Aux!AB20)*(3-Aux!D20)/(Aux!P20-Aux!D20),IF(AND(Aux!D20&lt;&gt;"",(3-N(Aux!D20))&lt;='01_Criterios'!$C$14),Aux!AB20,IF(AND(Aux!P20&lt;&gt;"",(N(Aux!P20)-3)&lt;='01_Criterios'!$C$15),Aux!AN20,"")))))</f>
        <v>5.8181869184485802</v>
      </c>
      <c r="N20" s="6">
        <f>IF('03_Base_Indice'!$D20="","",IF('03_Base_Indice'!N20&lt;&gt;"",'03_Base_Indice'!N20,IF(AND(Aux!E20&lt;&gt;"",Aux!Q20&lt;&gt;"",(N(Aux!Q20)-N(Aux!E20)-1)&lt;='01_Criterios'!$C$13),Aux!AC20+(Aux!AO20-Aux!AC20)*(4-Aux!E20)/(Aux!Q20-Aux!E20),IF(AND(Aux!E20&lt;&gt;"",(4-N(Aux!E20))&lt;='01_Criterios'!$C$14),Aux!AC20,IF(AND(Aux!Q20&lt;&gt;"",(N(Aux!Q20)-4)&lt;='01_Criterios'!$C$15),Aux!AO20,"")))))</f>
        <v>5.4126401540864002</v>
      </c>
      <c r="O20" s="6">
        <f>IF('03_Base_Indice'!$D20="","",IF('03_Base_Indice'!O20&lt;&gt;"",'03_Base_Indice'!O20,IF(AND(Aux!F20&lt;&gt;"",Aux!R20&lt;&gt;"",(N(Aux!R20)-N(Aux!F20)-1)&lt;='01_Criterios'!$C$13),Aux!AD20+(Aux!AP20-Aux!AD20)*(5-Aux!F20)/(Aux!R20-Aux!F20),IF(AND(Aux!F20&lt;&gt;"",(5-N(Aux!F20))&lt;='01_Criterios'!$C$14),Aux!AD20,IF(AND(Aux!R20&lt;&gt;"",(N(Aux!R20)-5)&lt;='01_Criterios'!$C$15),Aux!AP20,"")))))</f>
        <v>6.4250942899666397</v>
      </c>
      <c r="P20" s="6">
        <f>IF('03_Base_Indice'!$D20="","",IF('03_Base_Indice'!P20&lt;&gt;"",'03_Base_Indice'!P20,IF(AND(Aux!G20&lt;&gt;"",Aux!S20&lt;&gt;"",(N(Aux!S20)-N(Aux!G20)-1)&lt;='01_Criterios'!$C$13),Aux!AE20+(Aux!AQ20-Aux!AE20)*(6-Aux!G20)/(Aux!S20-Aux!G20),IF(AND(Aux!G20&lt;&gt;"",(6-N(Aux!G20))&lt;='01_Criterios'!$C$14),Aux!AE20,IF(AND(Aux!S20&lt;&gt;"",(N(Aux!S20)-6)&lt;='01_Criterios'!$C$15),Aux!AQ20,"")))))</f>
        <v>8.0261477231075897</v>
      </c>
      <c r="Q20" s="6">
        <f>IF('03_Base_Indice'!$D20="","",IF('03_Base_Indice'!Q20&lt;&gt;"",'03_Base_Indice'!Q20,IF(AND(Aux!H20&lt;&gt;"",Aux!T20&lt;&gt;"",(N(Aux!T20)-N(Aux!H20)-1)&lt;='01_Criterios'!$C$13),Aux!AF20+(Aux!AR20-Aux!AF20)*(7-Aux!H20)/(Aux!T20-Aux!H20),IF(AND(Aux!H20&lt;&gt;"",(7-N(Aux!H20))&lt;='01_Criterios'!$C$14),Aux!AF20,IF(AND(Aux!T20&lt;&gt;"",(N(Aux!T20)-7)&lt;='01_Criterios'!$C$15),Aux!AR20,"")))))</f>
        <v>6.9491541464897404</v>
      </c>
      <c r="R20" s="6">
        <f>IF('03_Base_Indice'!$D20="","",IF('03_Base_Indice'!R20&lt;&gt;"",'03_Base_Indice'!R20,IF(AND(Aux!I20&lt;&gt;"",Aux!U20&lt;&gt;"",(N(Aux!U20)-N(Aux!I20)-1)&lt;='01_Criterios'!$C$13),Aux!AG20+(Aux!AS20-Aux!AG20)*(8-Aux!I20)/(Aux!U20-Aux!I20),IF(AND(Aux!I20&lt;&gt;"",(8-N(Aux!I20))&lt;='01_Criterios'!$C$14),Aux!AG20,IF(AND(Aux!U20&lt;&gt;"",(N(Aux!U20)-8)&lt;='01_Criterios'!$C$15),Aux!AS20,"")))))</f>
        <v>4.3768328674862804</v>
      </c>
      <c r="S20" s="6">
        <f>IF('03_Base_Indice'!$D20="","",IF('03_Base_Indice'!S20&lt;&gt;"",'03_Base_Indice'!S20,IF(AND(Aux!J20&lt;&gt;"",Aux!V20&lt;&gt;"",(N(Aux!V20)-N(Aux!J20)-1)&lt;='01_Criterios'!$C$13),Aux!AH20+(Aux!AT20-Aux!AH20)*(9-Aux!J20)/(Aux!V20-Aux!J20),IF(AND(Aux!J20&lt;&gt;"",(9-N(Aux!J20))&lt;='01_Criterios'!$C$14),Aux!AH20,IF(AND(Aux!V20&lt;&gt;"",(N(Aux!V20)-9)&lt;='01_Criterios'!$C$15),Aux!AT20,"")))))</f>
        <v>5.0892711356043199</v>
      </c>
      <c r="T20" s="6">
        <f>IF('03_Base_Indice'!$D20="","",IF('03_Base_Indice'!T20&lt;&gt;"",'03_Base_Indice'!T20,IF(AND(Aux!K20&lt;&gt;"",Aux!W20&lt;&gt;"",(N(Aux!W20)-N(Aux!K20)-1)&lt;='01_Criterios'!$C$13),Aux!AI20+(Aux!AU20-Aux!AI20)*(10-Aux!K20)/(Aux!W20-Aux!K20),IF(AND(Aux!K20&lt;&gt;"",(10-N(Aux!K20))&lt;='01_Criterios'!$C$14),Aux!AI20,IF(AND(Aux!W20&lt;&gt;"",(N(Aux!W20)-10)&lt;='01_Criterios'!$C$15),Aux!AU20,"")))))</f>
        <v>5.5137491057931198</v>
      </c>
      <c r="U20" s="6">
        <f>IF('03_Base_Indice'!$D20="","",IF('03_Base_Indice'!U20&lt;&gt;"",'03_Base_Indice'!U20,IF(AND(Aux!L20&lt;&gt;"",Aux!X20&lt;&gt;"",(N(Aux!X20)-N(Aux!L20)-1)&lt;='01_Criterios'!$C$13),Aux!AJ20+(Aux!AV20-Aux!AJ20)*(11-Aux!L20)/(Aux!X20-Aux!L20),IF(AND(Aux!L20&lt;&gt;"",(11-N(Aux!L20))&lt;='01_Criterios'!$C$14),Aux!AJ20,IF(AND(Aux!X20&lt;&gt;"",(N(Aux!X20)-11)&lt;='01_Criterios'!$C$15),Aux!AV20,"")))))</f>
        <v>5.3228022877449641</v>
      </c>
    </row>
    <row r="21" spans="1:21">
      <c r="A21" s="6" t="str">
        <f>IF('03_Base_Indice'!$A21="","",'03_Base_Indice'!$A21)</f>
        <v>2. Estabilidade Macroeconómica</v>
      </c>
      <c r="B21" s="6">
        <f>'03_Base_Indice'!$B21</f>
        <v>7</v>
      </c>
      <c r="D21" s="6" t="str">
        <f>IF('03_Base_Indice'!$D21="","",'03_Base_Indice'!$D21)</f>
        <v>MAC014</v>
      </c>
      <c r="E21" s="6" t="str">
        <f>IF('03_Base_Indice'!$E21="","",'03_Base_Indice'!$E21)</f>
        <v>Crescimento do PIB não petrolífero</v>
      </c>
      <c r="K21" s="6">
        <f>IF('03_Base_Indice'!$D21="","",IF('03_Base_Indice'!K21&lt;&gt;"",'03_Base_Indice'!K21,IF(AND(Aux!B21&lt;&gt;"",Aux!N21&lt;&gt;"",(N(Aux!N21)-N(Aux!B21)-1)&lt;='01_Criterios'!$C$13),Aux!Z21+(Aux!AL21-Aux!Z21)*(1-Aux!B21)/(Aux!N21-Aux!B21),IF(AND(Aux!B21&lt;&gt;"",(1-N(Aux!B21))&lt;='01_Criterios'!$C$14),Aux!Z21,IF(AND(Aux!N21&lt;&gt;"",(N(Aux!N21)-1)&lt;='01_Criterios'!$C$15),Aux!AL21,"")))))</f>
        <v>-3.6888000000000001</v>
      </c>
      <c r="L21" s="6">
        <f>IF('03_Base_Indice'!$D21="","",IF('03_Base_Indice'!L21&lt;&gt;"",'03_Base_Indice'!L21,IF(AND(Aux!C21&lt;&gt;"",Aux!O21&lt;&gt;"",(N(Aux!O21)-N(Aux!C21)-1)&lt;='01_Criterios'!$C$13),Aux!AA21+(Aux!AM21-Aux!AA21)*(2-Aux!C21)/(Aux!O21-Aux!C21),IF(AND(Aux!C21&lt;&gt;"",(2-N(Aux!C21))&lt;='01_Criterios'!$C$14),Aux!AA21,IF(AND(Aux!O21&lt;&gt;"",(N(Aux!O21)-2)&lt;='01_Criterios'!$C$15),Aux!AM21,"")))))</f>
        <v>0.92749999999999999</v>
      </c>
      <c r="M21" s="6">
        <f>IF('03_Base_Indice'!$D21="","",IF('03_Base_Indice'!M21&lt;&gt;"",'03_Base_Indice'!M21,IF(AND(Aux!D21&lt;&gt;"",Aux!P21&lt;&gt;"",(N(Aux!P21)-N(Aux!D21)-1)&lt;='01_Criterios'!$C$13),Aux!AB21+(Aux!AN21-Aux!AB21)*(3-Aux!D21)/(Aux!P21-Aux!D21),IF(AND(Aux!D21&lt;&gt;"",(3-N(Aux!D21))&lt;='01_Criterios'!$C$14),Aux!AB21,IF(AND(Aux!P21&lt;&gt;"",(N(Aux!P21)-3)&lt;='01_Criterios'!$C$15),Aux!AN21,"")))))</f>
        <v>3.9201000000000001</v>
      </c>
      <c r="N21" s="6">
        <f>IF('03_Base_Indice'!$D21="","",IF('03_Base_Indice'!N21&lt;&gt;"",'03_Base_Indice'!N21,IF(AND(Aux!E21&lt;&gt;"",Aux!Q21&lt;&gt;"",(N(Aux!Q21)-N(Aux!E21)-1)&lt;='01_Criterios'!$C$13),Aux!AC21+(Aux!AO21-Aux!AC21)*(4-Aux!E21)/(Aux!Q21-Aux!E21),IF(AND(Aux!E21&lt;&gt;"",(4-N(Aux!E21))&lt;='01_Criterios'!$C$14),Aux!AC21,IF(AND(Aux!Q21&lt;&gt;"",(N(Aux!Q21)-4)&lt;='01_Criterios'!$C$15),Aux!AO21,"")))))</f>
        <v>3.1939000000000002</v>
      </c>
      <c r="O21" s="6">
        <f>IF('03_Base_Indice'!$D21="","",IF('03_Base_Indice'!O21&lt;&gt;"",'03_Base_Indice'!O21,IF(AND(Aux!F21&lt;&gt;"",Aux!R21&lt;&gt;"",(N(Aux!R21)-N(Aux!F21)-1)&lt;='01_Criterios'!$C$13),Aux!AD21+(Aux!AP21-Aux!AD21)*(5-Aux!F21)/(Aux!R21-Aux!F21),IF(AND(Aux!F21&lt;&gt;"",(5-N(Aux!F21))&lt;='01_Criterios'!$C$14),Aux!AD21,IF(AND(Aux!R21&lt;&gt;"",(N(Aux!R21)-5)&lt;='01_Criterios'!$C$15),Aux!AP21,"")))))</f>
        <v>1.2479</v>
      </c>
      <c r="P21" s="6">
        <f>IF('03_Base_Indice'!$D21="","",IF('03_Base_Indice'!P21&lt;&gt;"",'03_Base_Indice'!P21,IF(AND(Aux!G21&lt;&gt;"",Aux!S21&lt;&gt;"",(N(Aux!S21)-N(Aux!G21)-1)&lt;='01_Criterios'!$C$13),Aux!AE21+(Aux!AQ21-Aux!AE21)*(6-Aux!G21)/(Aux!S21-Aux!G21),IF(AND(Aux!G21&lt;&gt;"",(6-N(Aux!G21))&lt;='01_Criterios'!$C$14),Aux!AE21,IF(AND(Aux!S21&lt;&gt;"",(N(Aux!S21)-6)&lt;='01_Criterios'!$C$15),Aux!AQ21,"")))))</f>
        <v>-4.7728000000000002</v>
      </c>
      <c r="Q21" s="6">
        <f>IF('03_Base_Indice'!$D21="","",IF('03_Base_Indice'!Q21&lt;&gt;"",'03_Base_Indice'!Q21,IF(AND(Aux!H21&lt;&gt;"",Aux!T21&lt;&gt;"",(N(Aux!T21)-N(Aux!H21)-1)&lt;='01_Criterios'!$C$13),Aux!AF21+(Aux!AR21-Aux!AF21)*(7-Aux!H21)/(Aux!T21-Aux!H21),IF(AND(Aux!H21&lt;&gt;"",(7-N(Aux!H21))&lt;='01_Criterios'!$C$14),Aux!AF21,IF(AND(Aux!T21&lt;&gt;"",(N(Aux!T21)-7)&lt;='01_Criterios'!$C$15),Aux!AR21,"")))))</f>
        <v>5.3132999999999999</v>
      </c>
      <c r="R21" s="6">
        <f>IF('03_Base_Indice'!$D21="","",IF('03_Base_Indice'!R21&lt;&gt;"",'03_Base_Indice'!R21,IF(AND(Aux!I21&lt;&gt;"",Aux!U21&lt;&gt;"",(N(Aux!U21)-N(Aux!I21)-1)&lt;='01_Criterios'!$C$13),Aux!AG21+(Aux!AS21-Aux!AG21)*(8-Aux!I21)/(Aux!U21-Aux!I21),IF(AND(Aux!I21&lt;&gt;"",(8-N(Aux!I21))&lt;='01_Criterios'!$C$14),Aux!AG21,IF(AND(Aux!U21&lt;&gt;"",(N(Aux!U21)-8)&lt;='01_Criterios'!$C$15),Aux!AS21,"")))))</f>
        <v>3.1457000000000002</v>
      </c>
      <c r="S21" s="6">
        <f>IF('03_Base_Indice'!$D21="","",IF('03_Base_Indice'!S21&lt;&gt;"",'03_Base_Indice'!S21,IF(AND(Aux!J21&lt;&gt;"",Aux!V21&lt;&gt;"",(N(Aux!V21)-N(Aux!J21)-1)&lt;='01_Criterios'!$C$13),Aux!AH21+(Aux!AT21-Aux!AH21)*(9-Aux!J21)/(Aux!V21-Aux!J21),IF(AND(Aux!J21&lt;&gt;"",(9-N(Aux!J21))&lt;='01_Criterios'!$C$14),Aux!AH21,IF(AND(Aux!V21&lt;&gt;"",(N(Aux!V21)-9)&lt;='01_Criterios'!$C$15),Aux!AT21,"")))))</f>
        <v>2.3972000000000002</v>
      </c>
      <c r="T21" s="6">
        <f>IF('03_Base_Indice'!$D21="","",IF('03_Base_Indice'!T21&lt;&gt;"",'03_Base_Indice'!T21,IF(AND(Aux!K21&lt;&gt;"",Aux!W21&lt;&gt;"",(N(Aux!W21)-N(Aux!K21)-1)&lt;='01_Criterios'!$C$13),Aux!AI21+(Aux!AU21-Aux!AI21)*(10-Aux!K21)/(Aux!W21-Aux!K21),IF(AND(Aux!K21&lt;&gt;"",(10-N(Aux!K21))&lt;='01_Criterios'!$C$14),Aux!AI21,IF(AND(Aux!W21&lt;&gt;"",(N(Aux!W21)-10)&lt;='01_Criterios'!$C$15),Aux!AU21,"")))))</f>
        <v>5.3951000000000002</v>
      </c>
      <c r="U21" s="6">
        <f>IF('03_Base_Indice'!$D21="","",IF('03_Base_Indice'!U21&lt;&gt;"",'03_Base_Indice'!U21,IF(AND(Aux!L21&lt;&gt;"",Aux!X21&lt;&gt;"",(N(Aux!X21)-N(Aux!L21)-1)&lt;='01_Criterios'!$C$13),Aux!AJ21+(Aux!AV21-Aux!AJ21)*(11-Aux!L21)/(Aux!X21-Aux!L21),IF(AND(Aux!L21&lt;&gt;"",(11-N(Aux!L21))&lt;='01_Criterios'!$C$14),Aux!AJ21,IF(AND(Aux!X21&lt;&gt;"",(N(Aux!X21)-11)&lt;='01_Criterios'!$C$15),Aux!AV21,"")))))</f>
        <v>5.3792999999999997</v>
      </c>
    </row>
    <row r="22" spans="1:21">
      <c r="A22" s="6" t="str">
        <f>IF('03_Base_Indice'!$A22="","",'03_Base_Indice'!$A22)</f>
        <v>2. Estabilidade Macroeconómica</v>
      </c>
      <c r="B22" s="6">
        <f>'03_Base_Indice'!$B22</f>
        <v>8</v>
      </c>
      <c r="D22" s="6" t="str">
        <f>IF('03_Base_Indice'!$D22="","",'03_Base_Indice'!$D22)</f>
        <v/>
      </c>
      <c r="E22" s="6" t="str">
        <f>IF('03_Base_Indice'!$E22="","",'03_Base_Indice'!$E22)</f>
        <v/>
      </c>
      <c r="K22" s="6" t="str">
        <f>IF('03_Base_Indice'!$D22="","",IF('03_Base_Indice'!K22&lt;&gt;"",'03_Base_Indice'!K22,IF(AND(Aux!B22&lt;&gt;"",Aux!N22&lt;&gt;"",(N(Aux!N22)-N(Aux!B22)-1)&lt;='01_Criterios'!$C$13),Aux!Z22+(Aux!AL22-Aux!Z22)*(1-Aux!B22)/(Aux!N22-Aux!B22),IF(AND(Aux!B22&lt;&gt;"",(1-N(Aux!B22))&lt;='01_Criterios'!$C$14),Aux!Z22,IF(AND(Aux!N22&lt;&gt;"",(N(Aux!N22)-1)&lt;='01_Criterios'!$C$15),Aux!AL22,"")))))</f>
        <v/>
      </c>
      <c r="L22" s="6" t="str">
        <f>IF('03_Base_Indice'!$D22="","",IF('03_Base_Indice'!L22&lt;&gt;"",'03_Base_Indice'!L22,IF(AND(Aux!C22&lt;&gt;"",Aux!O22&lt;&gt;"",(N(Aux!O22)-N(Aux!C22)-1)&lt;='01_Criterios'!$C$13),Aux!AA22+(Aux!AM22-Aux!AA22)*(2-Aux!C22)/(Aux!O22-Aux!C22),IF(AND(Aux!C22&lt;&gt;"",(2-N(Aux!C22))&lt;='01_Criterios'!$C$14),Aux!AA22,IF(AND(Aux!O22&lt;&gt;"",(N(Aux!O22)-2)&lt;='01_Criterios'!$C$15),Aux!AM22,"")))))</f>
        <v/>
      </c>
      <c r="M22" s="6" t="str">
        <f>IF('03_Base_Indice'!$D22="","",IF('03_Base_Indice'!M22&lt;&gt;"",'03_Base_Indice'!M22,IF(AND(Aux!D22&lt;&gt;"",Aux!P22&lt;&gt;"",(N(Aux!P22)-N(Aux!D22)-1)&lt;='01_Criterios'!$C$13),Aux!AB22+(Aux!AN22-Aux!AB22)*(3-Aux!D22)/(Aux!P22-Aux!D22),IF(AND(Aux!D22&lt;&gt;"",(3-N(Aux!D22))&lt;='01_Criterios'!$C$14),Aux!AB22,IF(AND(Aux!P22&lt;&gt;"",(N(Aux!P22)-3)&lt;='01_Criterios'!$C$15),Aux!AN22,"")))))</f>
        <v/>
      </c>
      <c r="N22" s="6" t="str">
        <f>IF('03_Base_Indice'!$D22="","",IF('03_Base_Indice'!N22&lt;&gt;"",'03_Base_Indice'!N22,IF(AND(Aux!E22&lt;&gt;"",Aux!Q22&lt;&gt;"",(N(Aux!Q22)-N(Aux!E22)-1)&lt;='01_Criterios'!$C$13),Aux!AC22+(Aux!AO22-Aux!AC22)*(4-Aux!E22)/(Aux!Q22-Aux!E22),IF(AND(Aux!E22&lt;&gt;"",(4-N(Aux!E22))&lt;='01_Criterios'!$C$14),Aux!AC22,IF(AND(Aux!Q22&lt;&gt;"",(N(Aux!Q22)-4)&lt;='01_Criterios'!$C$15),Aux!AO22,"")))))</f>
        <v/>
      </c>
      <c r="O22" s="6" t="str">
        <f>IF('03_Base_Indice'!$D22="","",IF('03_Base_Indice'!O22&lt;&gt;"",'03_Base_Indice'!O22,IF(AND(Aux!F22&lt;&gt;"",Aux!R22&lt;&gt;"",(N(Aux!R22)-N(Aux!F22)-1)&lt;='01_Criterios'!$C$13),Aux!AD22+(Aux!AP22-Aux!AD22)*(5-Aux!F22)/(Aux!R22-Aux!F22),IF(AND(Aux!F22&lt;&gt;"",(5-N(Aux!F22))&lt;='01_Criterios'!$C$14),Aux!AD22,IF(AND(Aux!R22&lt;&gt;"",(N(Aux!R22)-5)&lt;='01_Criterios'!$C$15),Aux!AP22,"")))))</f>
        <v/>
      </c>
      <c r="P22" s="6" t="str">
        <f>IF('03_Base_Indice'!$D22="","",IF('03_Base_Indice'!P22&lt;&gt;"",'03_Base_Indice'!P22,IF(AND(Aux!G22&lt;&gt;"",Aux!S22&lt;&gt;"",(N(Aux!S22)-N(Aux!G22)-1)&lt;='01_Criterios'!$C$13),Aux!AE22+(Aux!AQ22-Aux!AE22)*(6-Aux!G22)/(Aux!S22-Aux!G22),IF(AND(Aux!G22&lt;&gt;"",(6-N(Aux!G22))&lt;='01_Criterios'!$C$14),Aux!AE22,IF(AND(Aux!S22&lt;&gt;"",(N(Aux!S22)-6)&lt;='01_Criterios'!$C$15),Aux!AQ22,"")))))</f>
        <v/>
      </c>
      <c r="Q22" s="6" t="str">
        <f>IF('03_Base_Indice'!$D22="","",IF('03_Base_Indice'!Q22&lt;&gt;"",'03_Base_Indice'!Q22,IF(AND(Aux!H22&lt;&gt;"",Aux!T22&lt;&gt;"",(N(Aux!T22)-N(Aux!H22)-1)&lt;='01_Criterios'!$C$13),Aux!AF22+(Aux!AR22-Aux!AF22)*(7-Aux!H22)/(Aux!T22-Aux!H22),IF(AND(Aux!H22&lt;&gt;"",(7-N(Aux!H22))&lt;='01_Criterios'!$C$14),Aux!AF22,IF(AND(Aux!T22&lt;&gt;"",(N(Aux!T22)-7)&lt;='01_Criterios'!$C$15),Aux!AR22,"")))))</f>
        <v/>
      </c>
      <c r="R22" s="6" t="str">
        <f>IF('03_Base_Indice'!$D22="","",IF('03_Base_Indice'!R22&lt;&gt;"",'03_Base_Indice'!R22,IF(AND(Aux!I22&lt;&gt;"",Aux!U22&lt;&gt;"",(N(Aux!U22)-N(Aux!I22)-1)&lt;='01_Criterios'!$C$13),Aux!AG22+(Aux!AS22-Aux!AG22)*(8-Aux!I22)/(Aux!U22-Aux!I22),IF(AND(Aux!I22&lt;&gt;"",(8-N(Aux!I22))&lt;='01_Criterios'!$C$14),Aux!AG22,IF(AND(Aux!U22&lt;&gt;"",(N(Aux!U22)-8)&lt;='01_Criterios'!$C$15),Aux!AS22,"")))))</f>
        <v/>
      </c>
      <c r="S22" s="6" t="str">
        <f>IF('03_Base_Indice'!$D22="","",IF('03_Base_Indice'!S22&lt;&gt;"",'03_Base_Indice'!S22,IF(AND(Aux!J22&lt;&gt;"",Aux!V22&lt;&gt;"",(N(Aux!V22)-N(Aux!J22)-1)&lt;='01_Criterios'!$C$13),Aux!AH22+(Aux!AT22-Aux!AH22)*(9-Aux!J22)/(Aux!V22-Aux!J22),IF(AND(Aux!J22&lt;&gt;"",(9-N(Aux!J22))&lt;='01_Criterios'!$C$14),Aux!AH22,IF(AND(Aux!V22&lt;&gt;"",(N(Aux!V22)-9)&lt;='01_Criterios'!$C$15),Aux!AT22,"")))))</f>
        <v/>
      </c>
      <c r="T22" s="6" t="str">
        <f>IF('03_Base_Indice'!$D22="","",IF('03_Base_Indice'!T22&lt;&gt;"",'03_Base_Indice'!T22,IF(AND(Aux!K22&lt;&gt;"",Aux!W22&lt;&gt;"",(N(Aux!W22)-N(Aux!K22)-1)&lt;='01_Criterios'!$C$13),Aux!AI22+(Aux!AU22-Aux!AI22)*(10-Aux!K22)/(Aux!W22-Aux!K22),IF(AND(Aux!K22&lt;&gt;"",(10-N(Aux!K22))&lt;='01_Criterios'!$C$14),Aux!AI22,IF(AND(Aux!W22&lt;&gt;"",(N(Aux!W22)-10)&lt;='01_Criterios'!$C$15),Aux!AU22,"")))))</f>
        <v/>
      </c>
      <c r="U22" s="6" t="str">
        <f>IF('03_Base_Indice'!$D22="","",IF('03_Base_Indice'!U22&lt;&gt;"",'03_Base_Indice'!U22,IF(AND(Aux!L22&lt;&gt;"",Aux!X22&lt;&gt;"",(N(Aux!X22)-N(Aux!L22)-1)&lt;='01_Criterios'!$C$13),Aux!AJ22+(Aux!AV22-Aux!AJ22)*(11-Aux!L22)/(Aux!X22-Aux!L22),IF(AND(Aux!L22&lt;&gt;"",(11-N(Aux!L22))&lt;='01_Criterios'!$C$14),Aux!AJ22,IF(AND(Aux!X22&lt;&gt;"",(N(Aux!X22)-11)&lt;='01_Criterios'!$C$15),Aux!AV22,"")))))</f>
        <v/>
      </c>
    </row>
    <row r="23" spans="1:21">
      <c r="A23" s="6" t="str">
        <f>IF('03_Base_Indice'!$A23="","",'03_Base_Indice'!$A23)</f>
        <v>2. Estabilidade Macroeconómica</v>
      </c>
      <c r="B23" s="6">
        <f>'03_Base_Indice'!$B23</f>
        <v>9</v>
      </c>
      <c r="D23" s="6" t="str">
        <f>IF('03_Base_Indice'!$D23="","",'03_Base_Indice'!$D23)</f>
        <v/>
      </c>
      <c r="E23" s="6" t="str">
        <f>IF('03_Base_Indice'!$E23="","",'03_Base_Indice'!$E23)</f>
        <v/>
      </c>
      <c r="K23" s="6" t="str">
        <f>IF('03_Base_Indice'!$D23="","",IF('03_Base_Indice'!K23&lt;&gt;"",'03_Base_Indice'!K23,IF(AND(Aux!B23&lt;&gt;"",Aux!N23&lt;&gt;"",(N(Aux!N23)-N(Aux!B23)-1)&lt;='01_Criterios'!$C$13),Aux!Z23+(Aux!AL23-Aux!Z23)*(1-Aux!B23)/(Aux!N23-Aux!B23),IF(AND(Aux!B23&lt;&gt;"",(1-N(Aux!B23))&lt;='01_Criterios'!$C$14),Aux!Z23,IF(AND(Aux!N23&lt;&gt;"",(N(Aux!N23)-1)&lt;='01_Criterios'!$C$15),Aux!AL23,"")))))</f>
        <v/>
      </c>
      <c r="L23" s="6" t="str">
        <f>IF('03_Base_Indice'!$D23="","",IF('03_Base_Indice'!L23&lt;&gt;"",'03_Base_Indice'!L23,IF(AND(Aux!C23&lt;&gt;"",Aux!O23&lt;&gt;"",(N(Aux!O23)-N(Aux!C23)-1)&lt;='01_Criterios'!$C$13),Aux!AA23+(Aux!AM23-Aux!AA23)*(2-Aux!C23)/(Aux!O23-Aux!C23),IF(AND(Aux!C23&lt;&gt;"",(2-N(Aux!C23))&lt;='01_Criterios'!$C$14),Aux!AA23,IF(AND(Aux!O23&lt;&gt;"",(N(Aux!O23)-2)&lt;='01_Criterios'!$C$15),Aux!AM23,"")))))</f>
        <v/>
      </c>
      <c r="M23" s="6" t="str">
        <f>IF('03_Base_Indice'!$D23="","",IF('03_Base_Indice'!M23&lt;&gt;"",'03_Base_Indice'!M23,IF(AND(Aux!D23&lt;&gt;"",Aux!P23&lt;&gt;"",(N(Aux!P23)-N(Aux!D23)-1)&lt;='01_Criterios'!$C$13),Aux!AB23+(Aux!AN23-Aux!AB23)*(3-Aux!D23)/(Aux!P23-Aux!D23),IF(AND(Aux!D23&lt;&gt;"",(3-N(Aux!D23))&lt;='01_Criterios'!$C$14),Aux!AB23,IF(AND(Aux!P23&lt;&gt;"",(N(Aux!P23)-3)&lt;='01_Criterios'!$C$15),Aux!AN23,"")))))</f>
        <v/>
      </c>
      <c r="N23" s="6" t="str">
        <f>IF('03_Base_Indice'!$D23="","",IF('03_Base_Indice'!N23&lt;&gt;"",'03_Base_Indice'!N23,IF(AND(Aux!E23&lt;&gt;"",Aux!Q23&lt;&gt;"",(N(Aux!Q23)-N(Aux!E23)-1)&lt;='01_Criterios'!$C$13),Aux!AC23+(Aux!AO23-Aux!AC23)*(4-Aux!E23)/(Aux!Q23-Aux!E23),IF(AND(Aux!E23&lt;&gt;"",(4-N(Aux!E23))&lt;='01_Criterios'!$C$14),Aux!AC23,IF(AND(Aux!Q23&lt;&gt;"",(N(Aux!Q23)-4)&lt;='01_Criterios'!$C$15),Aux!AO23,"")))))</f>
        <v/>
      </c>
      <c r="O23" s="6" t="str">
        <f>IF('03_Base_Indice'!$D23="","",IF('03_Base_Indice'!O23&lt;&gt;"",'03_Base_Indice'!O23,IF(AND(Aux!F23&lt;&gt;"",Aux!R23&lt;&gt;"",(N(Aux!R23)-N(Aux!F23)-1)&lt;='01_Criterios'!$C$13),Aux!AD23+(Aux!AP23-Aux!AD23)*(5-Aux!F23)/(Aux!R23-Aux!F23),IF(AND(Aux!F23&lt;&gt;"",(5-N(Aux!F23))&lt;='01_Criterios'!$C$14),Aux!AD23,IF(AND(Aux!R23&lt;&gt;"",(N(Aux!R23)-5)&lt;='01_Criterios'!$C$15),Aux!AP23,"")))))</f>
        <v/>
      </c>
      <c r="P23" s="6" t="str">
        <f>IF('03_Base_Indice'!$D23="","",IF('03_Base_Indice'!P23&lt;&gt;"",'03_Base_Indice'!P23,IF(AND(Aux!G23&lt;&gt;"",Aux!S23&lt;&gt;"",(N(Aux!S23)-N(Aux!G23)-1)&lt;='01_Criterios'!$C$13),Aux!AE23+(Aux!AQ23-Aux!AE23)*(6-Aux!G23)/(Aux!S23-Aux!G23),IF(AND(Aux!G23&lt;&gt;"",(6-N(Aux!G23))&lt;='01_Criterios'!$C$14),Aux!AE23,IF(AND(Aux!S23&lt;&gt;"",(N(Aux!S23)-6)&lt;='01_Criterios'!$C$15),Aux!AQ23,"")))))</f>
        <v/>
      </c>
      <c r="Q23" s="6" t="str">
        <f>IF('03_Base_Indice'!$D23="","",IF('03_Base_Indice'!Q23&lt;&gt;"",'03_Base_Indice'!Q23,IF(AND(Aux!H23&lt;&gt;"",Aux!T23&lt;&gt;"",(N(Aux!T23)-N(Aux!H23)-1)&lt;='01_Criterios'!$C$13),Aux!AF23+(Aux!AR23-Aux!AF23)*(7-Aux!H23)/(Aux!T23-Aux!H23),IF(AND(Aux!H23&lt;&gt;"",(7-N(Aux!H23))&lt;='01_Criterios'!$C$14),Aux!AF23,IF(AND(Aux!T23&lt;&gt;"",(N(Aux!T23)-7)&lt;='01_Criterios'!$C$15),Aux!AR23,"")))))</f>
        <v/>
      </c>
      <c r="R23" s="6" t="str">
        <f>IF('03_Base_Indice'!$D23="","",IF('03_Base_Indice'!R23&lt;&gt;"",'03_Base_Indice'!R23,IF(AND(Aux!I23&lt;&gt;"",Aux!U23&lt;&gt;"",(N(Aux!U23)-N(Aux!I23)-1)&lt;='01_Criterios'!$C$13),Aux!AG23+(Aux!AS23-Aux!AG23)*(8-Aux!I23)/(Aux!U23-Aux!I23),IF(AND(Aux!I23&lt;&gt;"",(8-N(Aux!I23))&lt;='01_Criterios'!$C$14),Aux!AG23,IF(AND(Aux!U23&lt;&gt;"",(N(Aux!U23)-8)&lt;='01_Criterios'!$C$15),Aux!AS23,"")))))</f>
        <v/>
      </c>
      <c r="S23" s="6" t="str">
        <f>IF('03_Base_Indice'!$D23="","",IF('03_Base_Indice'!S23&lt;&gt;"",'03_Base_Indice'!S23,IF(AND(Aux!J23&lt;&gt;"",Aux!V23&lt;&gt;"",(N(Aux!V23)-N(Aux!J23)-1)&lt;='01_Criterios'!$C$13),Aux!AH23+(Aux!AT23-Aux!AH23)*(9-Aux!J23)/(Aux!V23-Aux!J23),IF(AND(Aux!J23&lt;&gt;"",(9-N(Aux!J23))&lt;='01_Criterios'!$C$14),Aux!AH23,IF(AND(Aux!V23&lt;&gt;"",(N(Aux!V23)-9)&lt;='01_Criterios'!$C$15),Aux!AT23,"")))))</f>
        <v/>
      </c>
      <c r="T23" s="6" t="str">
        <f>IF('03_Base_Indice'!$D23="","",IF('03_Base_Indice'!T23&lt;&gt;"",'03_Base_Indice'!T23,IF(AND(Aux!K23&lt;&gt;"",Aux!W23&lt;&gt;"",(N(Aux!W23)-N(Aux!K23)-1)&lt;='01_Criterios'!$C$13),Aux!AI23+(Aux!AU23-Aux!AI23)*(10-Aux!K23)/(Aux!W23-Aux!K23),IF(AND(Aux!K23&lt;&gt;"",(10-N(Aux!K23))&lt;='01_Criterios'!$C$14),Aux!AI23,IF(AND(Aux!W23&lt;&gt;"",(N(Aux!W23)-10)&lt;='01_Criterios'!$C$15),Aux!AU23,"")))))</f>
        <v/>
      </c>
      <c r="U23" s="6" t="str">
        <f>IF('03_Base_Indice'!$D23="","",IF('03_Base_Indice'!U23&lt;&gt;"",'03_Base_Indice'!U23,IF(AND(Aux!L23&lt;&gt;"",Aux!X23&lt;&gt;"",(N(Aux!X23)-N(Aux!L23)-1)&lt;='01_Criterios'!$C$13),Aux!AJ23+(Aux!AV23-Aux!AJ23)*(11-Aux!L23)/(Aux!X23-Aux!L23),IF(AND(Aux!L23&lt;&gt;"",(11-N(Aux!L23))&lt;='01_Criterios'!$C$14),Aux!AJ23,IF(AND(Aux!X23&lt;&gt;"",(N(Aux!X23)-11)&lt;='01_Criterios'!$C$15),Aux!AV23,"")))))</f>
        <v/>
      </c>
    </row>
    <row r="24" spans="1:21">
      <c r="A24" s="6" t="str">
        <f>IF('03_Base_Indice'!$A24="","",'03_Base_Indice'!$A24)</f>
        <v>2. Estabilidade Macroeconómica</v>
      </c>
      <c r="B24" s="6">
        <f>'03_Base_Indice'!$B24</f>
        <v>10</v>
      </c>
      <c r="D24" s="6" t="str">
        <f>IF('03_Base_Indice'!$D24="","",'03_Base_Indice'!$D24)</f>
        <v/>
      </c>
      <c r="E24" s="6" t="str">
        <f>IF('03_Base_Indice'!$E24="","",'03_Base_Indice'!$E24)</f>
        <v/>
      </c>
      <c r="K24" s="6" t="str">
        <f>IF('03_Base_Indice'!$D24="","",IF('03_Base_Indice'!K24&lt;&gt;"",'03_Base_Indice'!K24,IF(AND(Aux!B24&lt;&gt;"",Aux!N24&lt;&gt;"",(N(Aux!N24)-N(Aux!B24)-1)&lt;='01_Criterios'!$C$13),Aux!Z24+(Aux!AL24-Aux!Z24)*(1-Aux!B24)/(Aux!N24-Aux!B24),IF(AND(Aux!B24&lt;&gt;"",(1-N(Aux!B24))&lt;='01_Criterios'!$C$14),Aux!Z24,IF(AND(Aux!N24&lt;&gt;"",(N(Aux!N24)-1)&lt;='01_Criterios'!$C$15),Aux!AL24,"")))))</f>
        <v/>
      </c>
      <c r="L24" s="6" t="str">
        <f>IF('03_Base_Indice'!$D24="","",IF('03_Base_Indice'!L24&lt;&gt;"",'03_Base_Indice'!L24,IF(AND(Aux!C24&lt;&gt;"",Aux!O24&lt;&gt;"",(N(Aux!O24)-N(Aux!C24)-1)&lt;='01_Criterios'!$C$13),Aux!AA24+(Aux!AM24-Aux!AA24)*(2-Aux!C24)/(Aux!O24-Aux!C24),IF(AND(Aux!C24&lt;&gt;"",(2-N(Aux!C24))&lt;='01_Criterios'!$C$14),Aux!AA24,IF(AND(Aux!O24&lt;&gt;"",(N(Aux!O24)-2)&lt;='01_Criterios'!$C$15),Aux!AM24,"")))))</f>
        <v/>
      </c>
      <c r="M24" s="6" t="str">
        <f>IF('03_Base_Indice'!$D24="","",IF('03_Base_Indice'!M24&lt;&gt;"",'03_Base_Indice'!M24,IF(AND(Aux!D24&lt;&gt;"",Aux!P24&lt;&gt;"",(N(Aux!P24)-N(Aux!D24)-1)&lt;='01_Criterios'!$C$13),Aux!AB24+(Aux!AN24-Aux!AB24)*(3-Aux!D24)/(Aux!P24-Aux!D24),IF(AND(Aux!D24&lt;&gt;"",(3-N(Aux!D24))&lt;='01_Criterios'!$C$14),Aux!AB24,IF(AND(Aux!P24&lt;&gt;"",(N(Aux!P24)-3)&lt;='01_Criterios'!$C$15),Aux!AN24,"")))))</f>
        <v/>
      </c>
      <c r="N24" s="6" t="str">
        <f>IF('03_Base_Indice'!$D24="","",IF('03_Base_Indice'!N24&lt;&gt;"",'03_Base_Indice'!N24,IF(AND(Aux!E24&lt;&gt;"",Aux!Q24&lt;&gt;"",(N(Aux!Q24)-N(Aux!E24)-1)&lt;='01_Criterios'!$C$13),Aux!AC24+(Aux!AO24-Aux!AC24)*(4-Aux!E24)/(Aux!Q24-Aux!E24),IF(AND(Aux!E24&lt;&gt;"",(4-N(Aux!E24))&lt;='01_Criterios'!$C$14),Aux!AC24,IF(AND(Aux!Q24&lt;&gt;"",(N(Aux!Q24)-4)&lt;='01_Criterios'!$C$15),Aux!AO24,"")))))</f>
        <v/>
      </c>
      <c r="O24" s="6" t="str">
        <f>IF('03_Base_Indice'!$D24="","",IF('03_Base_Indice'!O24&lt;&gt;"",'03_Base_Indice'!O24,IF(AND(Aux!F24&lt;&gt;"",Aux!R24&lt;&gt;"",(N(Aux!R24)-N(Aux!F24)-1)&lt;='01_Criterios'!$C$13),Aux!AD24+(Aux!AP24-Aux!AD24)*(5-Aux!F24)/(Aux!R24-Aux!F24),IF(AND(Aux!F24&lt;&gt;"",(5-N(Aux!F24))&lt;='01_Criterios'!$C$14),Aux!AD24,IF(AND(Aux!R24&lt;&gt;"",(N(Aux!R24)-5)&lt;='01_Criterios'!$C$15),Aux!AP24,"")))))</f>
        <v/>
      </c>
      <c r="P24" s="6" t="str">
        <f>IF('03_Base_Indice'!$D24="","",IF('03_Base_Indice'!P24&lt;&gt;"",'03_Base_Indice'!P24,IF(AND(Aux!G24&lt;&gt;"",Aux!S24&lt;&gt;"",(N(Aux!S24)-N(Aux!G24)-1)&lt;='01_Criterios'!$C$13),Aux!AE24+(Aux!AQ24-Aux!AE24)*(6-Aux!G24)/(Aux!S24-Aux!G24),IF(AND(Aux!G24&lt;&gt;"",(6-N(Aux!G24))&lt;='01_Criterios'!$C$14),Aux!AE24,IF(AND(Aux!S24&lt;&gt;"",(N(Aux!S24)-6)&lt;='01_Criterios'!$C$15),Aux!AQ24,"")))))</f>
        <v/>
      </c>
      <c r="Q24" s="6" t="str">
        <f>IF('03_Base_Indice'!$D24="","",IF('03_Base_Indice'!Q24&lt;&gt;"",'03_Base_Indice'!Q24,IF(AND(Aux!H24&lt;&gt;"",Aux!T24&lt;&gt;"",(N(Aux!T24)-N(Aux!H24)-1)&lt;='01_Criterios'!$C$13),Aux!AF24+(Aux!AR24-Aux!AF24)*(7-Aux!H24)/(Aux!T24-Aux!H24),IF(AND(Aux!H24&lt;&gt;"",(7-N(Aux!H24))&lt;='01_Criterios'!$C$14),Aux!AF24,IF(AND(Aux!T24&lt;&gt;"",(N(Aux!T24)-7)&lt;='01_Criterios'!$C$15),Aux!AR24,"")))))</f>
        <v/>
      </c>
      <c r="R24" s="6" t="str">
        <f>IF('03_Base_Indice'!$D24="","",IF('03_Base_Indice'!R24&lt;&gt;"",'03_Base_Indice'!R24,IF(AND(Aux!I24&lt;&gt;"",Aux!U24&lt;&gt;"",(N(Aux!U24)-N(Aux!I24)-1)&lt;='01_Criterios'!$C$13),Aux!AG24+(Aux!AS24-Aux!AG24)*(8-Aux!I24)/(Aux!U24-Aux!I24),IF(AND(Aux!I24&lt;&gt;"",(8-N(Aux!I24))&lt;='01_Criterios'!$C$14),Aux!AG24,IF(AND(Aux!U24&lt;&gt;"",(N(Aux!U24)-8)&lt;='01_Criterios'!$C$15),Aux!AS24,"")))))</f>
        <v/>
      </c>
      <c r="S24" s="6" t="str">
        <f>IF('03_Base_Indice'!$D24="","",IF('03_Base_Indice'!S24&lt;&gt;"",'03_Base_Indice'!S24,IF(AND(Aux!J24&lt;&gt;"",Aux!V24&lt;&gt;"",(N(Aux!V24)-N(Aux!J24)-1)&lt;='01_Criterios'!$C$13),Aux!AH24+(Aux!AT24-Aux!AH24)*(9-Aux!J24)/(Aux!V24-Aux!J24),IF(AND(Aux!J24&lt;&gt;"",(9-N(Aux!J24))&lt;='01_Criterios'!$C$14),Aux!AH24,IF(AND(Aux!V24&lt;&gt;"",(N(Aux!V24)-9)&lt;='01_Criterios'!$C$15),Aux!AT24,"")))))</f>
        <v/>
      </c>
      <c r="T24" s="6" t="str">
        <f>IF('03_Base_Indice'!$D24="","",IF('03_Base_Indice'!T24&lt;&gt;"",'03_Base_Indice'!T24,IF(AND(Aux!K24&lt;&gt;"",Aux!W24&lt;&gt;"",(N(Aux!W24)-N(Aux!K24)-1)&lt;='01_Criterios'!$C$13),Aux!AI24+(Aux!AU24-Aux!AI24)*(10-Aux!K24)/(Aux!W24-Aux!K24),IF(AND(Aux!K24&lt;&gt;"",(10-N(Aux!K24))&lt;='01_Criterios'!$C$14),Aux!AI24,IF(AND(Aux!W24&lt;&gt;"",(N(Aux!W24)-10)&lt;='01_Criterios'!$C$15),Aux!AU24,"")))))</f>
        <v/>
      </c>
      <c r="U24" s="6" t="str">
        <f>IF('03_Base_Indice'!$D24="","",IF('03_Base_Indice'!U24&lt;&gt;"",'03_Base_Indice'!U24,IF(AND(Aux!L24&lt;&gt;"",Aux!X24&lt;&gt;"",(N(Aux!X24)-N(Aux!L24)-1)&lt;='01_Criterios'!$C$13),Aux!AJ24+(Aux!AV24-Aux!AJ24)*(11-Aux!L24)/(Aux!X24-Aux!L24),IF(AND(Aux!L24&lt;&gt;"",(11-N(Aux!L24))&lt;='01_Criterios'!$C$14),Aux!AJ24,IF(AND(Aux!X24&lt;&gt;"",(N(Aux!X24)-11)&lt;='01_Criterios'!$C$15),Aux!AV24,"")))))</f>
        <v/>
      </c>
    </row>
    <row r="25" spans="1:21">
      <c r="A25" s="6" t="str">
        <f>IF('03_Base_Indice'!$A25="","",'03_Base_Indice'!$A25)</f>
        <v>3. Capital Humano</v>
      </c>
      <c r="B25" s="6">
        <f>'03_Base_Indice'!$B25</f>
        <v>1</v>
      </c>
      <c r="D25" s="6" t="str">
        <f>IF('03_Base_Indice'!$D25="","",'03_Base_Indice'!$D25)</f>
        <v>HUM002</v>
      </c>
      <c r="E25" s="6" t="str">
        <f>IF('03_Base_Indice'!$E25="","",'03_Base_Indice'!$E25)</f>
        <v>Esperança Média de Vida</v>
      </c>
      <c r="K25" s="6">
        <f>IF('03_Base_Indice'!$D25="","",IF('03_Base_Indice'!K25&lt;&gt;"",'03_Base_Indice'!K25,IF(AND(Aux!B25&lt;&gt;"",Aux!N25&lt;&gt;"",(N(Aux!N25)-N(Aux!B25)-1)&lt;='01_Criterios'!$C$13),Aux!Z25+(Aux!AL25-Aux!Z25)*(1-Aux!B25)/(Aux!N25-Aux!B25),IF(AND(Aux!B25&lt;&gt;"",(1-N(Aux!B25))&lt;='01_Criterios'!$C$14),Aux!Z25,IF(AND(Aux!N25&lt;&gt;"",(N(Aux!N25)-1)&lt;='01_Criterios'!$C$15),Aux!AL25,"")))))</f>
        <v>61.042000000000002</v>
      </c>
      <c r="L25" s="6">
        <f>IF('03_Base_Indice'!$D25="","",IF('03_Base_Indice'!L25&lt;&gt;"",'03_Base_Indice'!L25,IF(AND(Aux!C25&lt;&gt;"",Aux!O25&lt;&gt;"",(N(Aux!O25)-N(Aux!C25)-1)&lt;='01_Criterios'!$C$13),Aux!AA25+(Aux!AM25-Aux!AA25)*(2-Aux!C25)/(Aux!O25-Aux!C25),IF(AND(Aux!C25&lt;&gt;"",(2-N(Aux!C25))&lt;='01_Criterios'!$C$14),Aux!AA25,IF(AND(Aux!O25&lt;&gt;"",(N(Aux!O25)-2)&lt;='01_Criterios'!$C$15),Aux!AM25,"")))))</f>
        <v>61.619</v>
      </c>
      <c r="M25" s="6">
        <f>IF('03_Base_Indice'!$D25="","",IF('03_Base_Indice'!M25&lt;&gt;"",'03_Base_Indice'!M25,IF(AND(Aux!D25&lt;&gt;"",Aux!P25&lt;&gt;"",(N(Aux!P25)-N(Aux!D25)-1)&lt;='01_Criterios'!$C$13),Aux!AB25+(Aux!AN25-Aux!AB25)*(3-Aux!D25)/(Aux!P25-Aux!D25),IF(AND(Aux!D25&lt;&gt;"",(3-N(Aux!D25))&lt;='01_Criterios'!$C$14),Aux!AB25,IF(AND(Aux!P25&lt;&gt;"",(N(Aux!P25)-3)&lt;='01_Criterios'!$C$15),Aux!AN25,"")))))</f>
        <v>62.122</v>
      </c>
      <c r="N25" s="6">
        <f>IF('03_Base_Indice'!$D25="","",IF('03_Base_Indice'!N25&lt;&gt;"",'03_Base_Indice'!N25,IF(AND(Aux!E25&lt;&gt;"",Aux!Q25&lt;&gt;"",(N(Aux!Q25)-N(Aux!E25)-1)&lt;='01_Criterios'!$C$13),Aux!AC25+(Aux!AO25-Aux!AC25)*(4-Aux!E25)/(Aux!Q25-Aux!E25),IF(AND(Aux!E25&lt;&gt;"",(4-N(Aux!E25))&lt;='01_Criterios'!$C$14),Aux!AC25,IF(AND(Aux!Q25&lt;&gt;"",(N(Aux!Q25)-4)&lt;='01_Criterios'!$C$15),Aux!AO25,"")))))</f>
        <v>62.622</v>
      </c>
      <c r="O25" s="6">
        <f>IF('03_Base_Indice'!$D25="","",IF('03_Base_Indice'!O25&lt;&gt;"",'03_Base_Indice'!O25,IF(AND(Aux!F25&lt;&gt;"",Aux!R25&lt;&gt;"",(N(Aux!R25)-N(Aux!F25)-1)&lt;='01_Criterios'!$C$13),Aux!AD25+(Aux!AP25-Aux!AD25)*(5-Aux!F25)/(Aux!R25-Aux!F25),IF(AND(Aux!F25&lt;&gt;"",(5-N(Aux!F25))&lt;='01_Criterios'!$C$14),Aux!AD25,IF(AND(Aux!R25&lt;&gt;"",(N(Aux!R25)-5)&lt;='01_Criterios'!$C$15),Aux!AP25,"")))))</f>
        <v>63.051000000000002</v>
      </c>
      <c r="P25" s="6">
        <f>IF('03_Base_Indice'!$D25="","",IF('03_Base_Indice'!P25&lt;&gt;"",'03_Base_Indice'!P25,IF(AND(Aux!G25&lt;&gt;"",Aux!S25&lt;&gt;"",(N(Aux!S25)-N(Aux!G25)-1)&lt;='01_Criterios'!$C$13),Aux!AE25+(Aux!AQ25-Aux!AE25)*(6-Aux!G25)/(Aux!S25-Aux!G25),IF(AND(Aux!G25&lt;&gt;"",(6-N(Aux!G25))&lt;='01_Criterios'!$C$14),Aux!AE25,IF(AND(Aux!S25&lt;&gt;"",(N(Aux!S25)-6)&lt;='01_Criterios'!$C$15),Aux!AQ25,"")))))</f>
        <v>63.116</v>
      </c>
      <c r="Q25" s="6">
        <f>IF('03_Base_Indice'!$D25="","",IF('03_Base_Indice'!Q25&lt;&gt;"",'03_Base_Indice'!Q25,IF(AND(Aux!H25&lt;&gt;"",Aux!T25&lt;&gt;"",(N(Aux!T25)-N(Aux!H25)-1)&lt;='01_Criterios'!$C$13),Aux!AF25+(Aux!AR25-Aux!AF25)*(7-Aux!H25)/(Aux!T25-Aux!H25),IF(AND(Aux!H25&lt;&gt;"",(7-N(Aux!H25))&lt;='01_Criterios'!$C$14),Aux!AF25,IF(AND(Aux!T25&lt;&gt;"",(N(Aux!T25)-7)&lt;='01_Criterios'!$C$15),Aux!AR25,"")))))</f>
        <v>62.957999999999998</v>
      </c>
      <c r="R25" s="6">
        <f>IF('03_Base_Indice'!$D25="","",IF('03_Base_Indice'!R25&lt;&gt;"",'03_Base_Indice'!R25,IF(AND(Aux!I25&lt;&gt;"",Aux!U25&lt;&gt;"",(N(Aux!U25)-N(Aux!I25)-1)&lt;='01_Criterios'!$C$13),Aux!AG25+(Aux!AS25-Aux!AG25)*(8-Aux!I25)/(Aux!U25-Aux!I25),IF(AND(Aux!I25&lt;&gt;"",(8-N(Aux!I25))&lt;='01_Criterios'!$C$14),Aux!AG25,IF(AND(Aux!U25&lt;&gt;"",(N(Aux!U25)-8)&lt;='01_Criterios'!$C$15),Aux!AS25,"")))))</f>
        <v>64.245999999999995</v>
      </c>
      <c r="S25" s="6">
        <f>IF('03_Base_Indice'!$D25="","",IF('03_Base_Indice'!S25&lt;&gt;"",'03_Base_Indice'!S25,IF(AND(Aux!J25&lt;&gt;"",Aux!V25&lt;&gt;"",(N(Aux!V25)-N(Aux!J25)-1)&lt;='01_Criterios'!$C$13),Aux!AH25+(Aux!AT25-Aux!AH25)*(9-Aux!J25)/(Aux!V25-Aux!J25),IF(AND(Aux!J25&lt;&gt;"",(9-N(Aux!J25))&lt;='01_Criterios'!$C$14),Aux!AH25,IF(AND(Aux!V25&lt;&gt;"",(N(Aux!V25)-9)&lt;='01_Criterios'!$C$15),Aux!AT25,"")))))</f>
        <v>64.617000000000004</v>
      </c>
      <c r="T25" s="6">
        <f>IF('03_Base_Indice'!$D25="","",IF('03_Base_Indice'!T25&lt;&gt;"",'03_Base_Indice'!T25,IF(AND(Aux!K25&lt;&gt;"",Aux!W25&lt;&gt;"",(N(Aux!W25)-N(Aux!K25)-1)&lt;='01_Criterios'!$C$13),Aux!AI25+(Aux!AU25-Aux!AI25)*(10-Aux!K25)/(Aux!W25-Aux!K25),IF(AND(Aux!K25&lt;&gt;"",(10-N(Aux!K25))&lt;='01_Criterios'!$C$14),Aux!AI25,IF(AND(Aux!W25&lt;&gt;"",(N(Aux!W25)-10)&lt;='01_Criterios'!$C$15),Aux!AU25,"")))))</f>
        <v>64.805000000000007</v>
      </c>
      <c r="U25" s="6">
        <f>IF('03_Base_Indice'!$D25="","",IF('03_Base_Indice'!U25&lt;&gt;"",'03_Base_Indice'!U25,IF(AND(Aux!L25&lt;&gt;"",Aux!X25&lt;&gt;"",(N(Aux!X25)-N(Aux!L25)-1)&lt;='01_Criterios'!$C$13),Aux!AJ25+(Aux!AV25-Aux!AJ25)*(11-Aux!L25)/(Aux!X25-Aux!L25),IF(AND(Aux!L25&lt;&gt;"",(11-N(Aux!L25))&lt;='01_Criterios'!$C$14),Aux!AJ25,IF(AND(Aux!X25&lt;&gt;"",(N(Aux!X25)-11)&lt;='01_Criterios'!$C$15),Aux!AV25,"")))))</f>
        <v>65</v>
      </c>
    </row>
    <row r="26" spans="1:21">
      <c r="A26" s="6" t="str">
        <f>IF('03_Base_Indice'!$A26="","",'03_Base_Indice'!$A26)</f>
        <v>3. Capital Humano</v>
      </c>
      <c r="B26" s="6">
        <f>'03_Base_Indice'!$B26</f>
        <v>2</v>
      </c>
      <c r="D26" s="6" t="str">
        <f>IF('03_Base_Indice'!$D26="","",'03_Base_Indice'!$D26)</f>
        <v>HUM006</v>
      </c>
      <c r="E26" s="6" t="str">
        <f>IF('03_Base_Indice'!$E26="","",'03_Base_Indice'!$E26)</f>
        <v>Mortalidade Infantil (por 1000)</v>
      </c>
      <c r="K26" s="6">
        <f>IF('03_Base_Indice'!$D26="","",IF('03_Base_Indice'!K26&lt;&gt;"",'03_Base_Indice'!K26,IF(AND(Aux!B26&lt;&gt;"",Aux!N26&lt;&gt;"",(N(Aux!N26)-N(Aux!B26)-1)&lt;='01_Criterios'!$C$13),Aux!Z26+(Aux!AL26-Aux!Z26)*(1-Aux!B26)/(Aux!N26-Aux!B26),IF(AND(Aux!B26&lt;&gt;"",(1-N(Aux!B26))&lt;='01_Criterios'!$C$14),Aux!Z26,IF(AND(Aux!N26&lt;&gt;"",(N(Aux!N26)-1)&lt;='01_Criterios'!$C$15),Aux!AL26,"")))))</f>
        <v>38.799999999999997</v>
      </c>
      <c r="L26" s="6">
        <f>IF('03_Base_Indice'!$D26="","",IF('03_Base_Indice'!L26&lt;&gt;"",'03_Base_Indice'!L26,IF(AND(Aux!C26&lt;&gt;"",Aux!O26&lt;&gt;"",(N(Aux!O26)-N(Aux!C26)-1)&lt;='01_Criterios'!$C$13),Aux!AA26+(Aux!AM26-Aux!AA26)*(2-Aux!C26)/(Aux!O26-Aux!C26),IF(AND(Aux!C26&lt;&gt;"",(2-N(Aux!C26))&lt;='01_Criterios'!$C$14),Aux!AA26,IF(AND(Aux!O26&lt;&gt;"",(N(Aux!O26)-2)&lt;='01_Criterios'!$C$15),Aux!AM26,"")))))</f>
        <v>37.6</v>
      </c>
      <c r="M26" s="6">
        <f>IF('03_Base_Indice'!$D26="","",IF('03_Base_Indice'!M26&lt;&gt;"",'03_Base_Indice'!M26,IF(AND(Aux!D26&lt;&gt;"",Aux!P26&lt;&gt;"",(N(Aux!P26)-N(Aux!D26)-1)&lt;='01_Criterios'!$C$13),Aux!AB26+(Aux!AN26-Aux!AB26)*(3-Aux!D26)/(Aux!P26-Aux!D26),IF(AND(Aux!D26&lt;&gt;"",(3-N(Aux!D26))&lt;='01_Criterios'!$C$14),Aux!AB26,IF(AND(Aux!P26&lt;&gt;"",(N(Aux!P26)-3)&lt;='01_Criterios'!$C$15),Aux!AN26,"")))))</f>
        <v>36.700000000000003</v>
      </c>
      <c r="N26" s="6">
        <f>IF('03_Base_Indice'!$D26="","",IF('03_Base_Indice'!N26&lt;&gt;"",'03_Base_Indice'!N26,IF(AND(Aux!E26&lt;&gt;"",Aux!Q26&lt;&gt;"",(N(Aux!Q26)-N(Aux!E26)-1)&lt;='01_Criterios'!$C$13),Aux!AC26+(Aux!AO26-Aux!AC26)*(4-Aux!E26)/(Aux!Q26-Aux!E26),IF(AND(Aux!E26&lt;&gt;"",(4-N(Aux!E26))&lt;='01_Criterios'!$C$14),Aux!AC26,IF(AND(Aux!Q26&lt;&gt;"",(N(Aux!Q26)-4)&lt;='01_Criterios'!$C$15),Aux!AO26,"")))))</f>
        <v>36</v>
      </c>
      <c r="O26" s="6">
        <f>IF('03_Base_Indice'!$D26="","",IF('03_Base_Indice'!O26&lt;&gt;"",'03_Base_Indice'!O26,IF(AND(Aux!F26&lt;&gt;"",Aux!R26&lt;&gt;"",(N(Aux!R26)-N(Aux!F26)-1)&lt;='01_Criterios'!$C$13),Aux!AD26+(Aux!AP26-Aux!AD26)*(5-Aux!F26)/(Aux!R26-Aux!F26),IF(AND(Aux!F26&lt;&gt;"",(5-N(Aux!F26))&lt;='01_Criterios'!$C$14),Aux!AD26,IF(AND(Aux!R26&lt;&gt;"",(N(Aux!R26)-5)&lt;='01_Criterios'!$C$15),Aux!AP26,"")))))</f>
        <v>35.5</v>
      </c>
      <c r="P26" s="6">
        <f>IF('03_Base_Indice'!$D26="","",IF('03_Base_Indice'!P26&lt;&gt;"",'03_Base_Indice'!P26,IF(AND(Aux!G26&lt;&gt;"",Aux!S26&lt;&gt;"",(N(Aux!S26)-N(Aux!G26)-1)&lt;='01_Criterios'!$C$13),Aux!AE26+(Aux!AQ26-Aux!AE26)*(6-Aux!G26)/(Aux!S26-Aux!G26),IF(AND(Aux!G26&lt;&gt;"",(6-N(Aux!G26))&lt;='01_Criterios'!$C$14),Aux!AE26,IF(AND(Aux!S26&lt;&gt;"",(N(Aux!S26)-6)&lt;='01_Criterios'!$C$15),Aux!AQ26,"")))))</f>
        <v>34.9</v>
      </c>
      <c r="Q26" s="6">
        <f>IF('03_Base_Indice'!$D26="","",IF('03_Base_Indice'!Q26&lt;&gt;"",'03_Base_Indice'!Q26,IF(AND(Aux!H26&lt;&gt;"",Aux!T26&lt;&gt;"",(N(Aux!T26)-N(Aux!H26)-1)&lt;='01_Criterios'!$C$13),Aux!AF26+(Aux!AR26-Aux!AF26)*(7-Aux!H26)/(Aux!T26-Aux!H26),IF(AND(Aux!H26&lt;&gt;"",(7-N(Aux!H26))&lt;='01_Criterios'!$C$14),Aux!AF26,IF(AND(Aux!T26&lt;&gt;"",(N(Aux!T26)-7)&lt;='01_Criterios'!$C$15),Aux!AR26,"")))))</f>
        <v>34.4</v>
      </c>
      <c r="R26" s="6">
        <f>IF('03_Base_Indice'!$D26="","",IF('03_Base_Indice'!R26&lt;&gt;"",'03_Base_Indice'!R26,IF(AND(Aux!I26&lt;&gt;"",Aux!U26&lt;&gt;"",(N(Aux!U26)-N(Aux!I26)-1)&lt;='01_Criterios'!$C$13),Aux!AG26+(Aux!AS26-Aux!AG26)*(8-Aux!I26)/(Aux!U26-Aux!I26),IF(AND(Aux!I26&lt;&gt;"",(8-N(Aux!I26))&lt;='01_Criterios'!$C$14),Aux!AG26,IF(AND(Aux!U26&lt;&gt;"",(N(Aux!U26)-8)&lt;='01_Criterios'!$C$15),Aux!AS26,"")))))</f>
        <v>33.700000000000003</v>
      </c>
      <c r="S26" s="6">
        <f>IF('03_Base_Indice'!$D26="","",IF('03_Base_Indice'!S26&lt;&gt;"",'03_Base_Indice'!S26,IF(AND(Aux!J26&lt;&gt;"",Aux!V26&lt;&gt;"",(N(Aux!V26)-N(Aux!J26)-1)&lt;='01_Criterios'!$C$13),Aux!AH26+(Aux!AT26-Aux!AH26)*(9-Aux!J26)/(Aux!V26-Aux!J26),IF(AND(Aux!J26&lt;&gt;"",(9-N(Aux!J26))&lt;='01_Criterios'!$C$14),Aux!AH26,IF(AND(Aux!V26&lt;&gt;"",(N(Aux!V26)-9)&lt;='01_Criterios'!$C$15),Aux!AT26,"")))))</f>
        <v>33</v>
      </c>
      <c r="T26" s="6">
        <f>IF('03_Base_Indice'!$D26="","",IF('03_Base_Indice'!T26&lt;&gt;"",'03_Base_Indice'!T26,IF(AND(Aux!K26&lt;&gt;"",Aux!W26&lt;&gt;"",(N(Aux!W26)-N(Aux!K26)-1)&lt;='01_Criterios'!$C$13),Aux!AI26+(Aux!AU26-Aux!AI26)*(10-Aux!K26)/(Aux!W26-Aux!K26),IF(AND(Aux!K26&lt;&gt;"",(10-N(Aux!K26))&lt;='01_Criterios'!$C$14),Aux!AI26,IF(AND(Aux!W26&lt;&gt;"",(N(Aux!W26)-10)&lt;='01_Criterios'!$C$15),Aux!AU26,"")))))</f>
        <v>32.1</v>
      </c>
      <c r="U26" s="6">
        <f>IF('03_Base_Indice'!$D26="","",IF('03_Base_Indice'!U26&lt;&gt;"",'03_Base_Indice'!U26,IF(AND(Aux!L26&lt;&gt;"",Aux!X26&lt;&gt;"",(N(Aux!X26)-N(Aux!L26)-1)&lt;='01_Criterios'!$C$13),Aux!AJ26+(Aux!AV26-Aux!AJ26)*(11-Aux!L26)/(Aux!X26-Aux!L26),IF(AND(Aux!L26&lt;&gt;"",(11-N(Aux!L26))&lt;='01_Criterios'!$C$14),Aux!AJ26,IF(AND(Aux!X26&lt;&gt;"",(N(Aux!X26)-11)&lt;='01_Criterios'!$C$15),Aux!AV26,"")))))</f>
        <v>32.1</v>
      </c>
    </row>
    <row r="27" spans="1:21">
      <c r="A27" s="6" t="str">
        <f>IF('03_Base_Indice'!$A27="","",'03_Base_Indice'!$A27)</f>
        <v>3. Capital Humano</v>
      </c>
      <c r="B27" s="6">
        <f>'03_Base_Indice'!$B27</f>
        <v>3</v>
      </c>
      <c r="D27" s="6" t="str">
        <f>IF('03_Base_Indice'!$D27="","",'03_Base_Indice'!$D27)</f>
        <v>HUM030</v>
      </c>
      <c r="E27" s="6" t="str">
        <f>IF('03_Base_Indice'!$E27="","",'03_Base_Indice'!$E27)</f>
        <v>Anos de escolaridade obrigatória</v>
      </c>
      <c r="K27" s="6">
        <f>IF('03_Base_Indice'!$D27="","",IF('03_Base_Indice'!K27&lt;&gt;"",'03_Base_Indice'!K27,IF(AND(Aux!B27&lt;&gt;"",Aux!N27&lt;&gt;"",(N(Aux!N27)-N(Aux!B27)-1)&lt;='01_Criterios'!$C$13),Aux!Z27+(Aux!AL27-Aux!Z27)*(1-Aux!B27)/(Aux!N27-Aux!B27),IF(AND(Aux!B27&lt;&gt;"",(1-N(Aux!B27))&lt;='01_Criterios'!$C$14),Aux!Z27,IF(AND(Aux!N27&lt;&gt;"",(N(Aux!N27)-1)&lt;='01_Criterios'!$C$15),Aux!AL27,"")))))</f>
        <v>6</v>
      </c>
      <c r="L27" s="6">
        <f>IF('03_Base_Indice'!$D27="","",IF('03_Base_Indice'!L27&lt;&gt;"",'03_Base_Indice'!L27,IF(AND(Aux!C27&lt;&gt;"",Aux!O27&lt;&gt;"",(N(Aux!O27)-N(Aux!C27)-1)&lt;='01_Criterios'!$C$13),Aux!AA27+(Aux!AM27-Aux!AA27)*(2-Aux!C27)/(Aux!O27-Aux!C27),IF(AND(Aux!C27&lt;&gt;"",(2-N(Aux!C27))&lt;='01_Criterios'!$C$14),Aux!AA27,IF(AND(Aux!O27&lt;&gt;"",(N(Aux!O27)-2)&lt;='01_Criterios'!$C$15),Aux!AM27,"")))))</f>
        <v>10</v>
      </c>
      <c r="M27" s="6">
        <f>IF('03_Base_Indice'!$D27="","",IF('03_Base_Indice'!M27&lt;&gt;"",'03_Base_Indice'!M27,IF(AND(Aux!D27&lt;&gt;"",Aux!P27&lt;&gt;"",(N(Aux!P27)-N(Aux!D27)-1)&lt;='01_Criterios'!$C$13),Aux!AB27+(Aux!AN27-Aux!AB27)*(3-Aux!D27)/(Aux!P27-Aux!D27),IF(AND(Aux!D27&lt;&gt;"",(3-N(Aux!D27))&lt;='01_Criterios'!$C$14),Aux!AB27,IF(AND(Aux!P27&lt;&gt;"",(N(Aux!P27)-3)&lt;='01_Criterios'!$C$15),Aux!AN27,"")))))</f>
        <v>10</v>
      </c>
      <c r="N27" s="6">
        <f>IF('03_Base_Indice'!$D27="","",IF('03_Base_Indice'!N27&lt;&gt;"",'03_Base_Indice'!N27,IF(AND(Aux!E27&lt;&gt;"",Aux!Q27&lt;&gt;"",(N(Aux!Q27)-N(Aux!E27)-1)&lt;='01_Criterios'!$C$13),Aux!AC27+(Aux!AO27-Aux!AC27)*(4-Aux!E27)/(Aux!Q27-Aux!E27),IF(AND(Aux!E27&lt;&gt;"",(4-N(Aux!E27))&lt;='01_Criterios'!$C$14),Aux!AC27,IF(AND(Aux!Q27&lt;&gt;"",(N(Aux!Q27)-4)&lt;='01_Criterios'!$C$15),Aux!AO27,"")))))</f>
        <v>10</v>
      </c>
      <c r="O27" s="6">
        <f>IF('03_Base_Indice'!$D27="","",IF('03_Base_Indice'!O27&lt;&gt;"",'03_Base_Indice'!O27,IF(AND(Aux!F27&lt;&gt;"",Aux!R27&lt;&gt;"",(N(Aux!R27)-N(Aux!F27)-1)&lt;='01_Criterios'!$C$13),Aux!AD27+(Aux!AP27-Aux!AD27)*(5-Aux!F27)/(Aux!R27-Aux!F27),IF(AND(Aux!F27&lt;&gt;"",(5-N(Aux!F27))&lt;='01_Criterios'!$C$14),Aux!AD27,IF(AND(Aux!R27&lt;&gt;"",(N(Aux!R27)-5)&lt;='01_Criterios'!$C$15),Aux!AP27,"")))))</f>
        <v>10</v>
      </c>
      <c r="P27" s="6">
        <f>IF('03_Base_Indice'!$D27="","",IF('03_Base_Indice'!P27&lt;&gt;"",'03_Base_Indice'!P27,IF(AND(Aux!G27&lt;&gt;"",Aux!S27&lt;&gt;"",(N(Aux!S27)-N(Aux!G27)-1)&lt;='01_Criterios'!$C$13),Aux!AE27+(Aux!AQ27-Aux!AE27)*(6-Aux!G27)/(Aux!S27-Aux!G27),IF(AND(Aux!G27&lt;&gt;"",(6-N(Aux!G27))&lt;='01_Criterios'!$C$14),Aux!AE27,IF(AND(Aux!S27&lt;&gt;"",(N(Aux!S27)-6)&lt;='01_Criterios'!$C$15),Aux!AQ27,"")))))</f>
        <v>10</v>
      </c>
      <c r="Q27" s="6">
        <f>IF('03_Base_Indice'!$D27="","",IF('03_Base_Indice'!Q27&lt;&gt;"",'03_Base_Indice'!Q27,IF(AND(Aux!H27&lt;&gt;"",Aux!T27&lt;&gt;"",(N(Aux!T27)-N(Aux!H27)-1)&lt;='01_Criterios'!$C$13),Aux!AF27+(Aux!AR27-Aux!AF27)*(7-Aux!H27)/(Aux!T27-Aux!H27),IF(AND(Aux!H27&lt;&gt;"",(7-N(Aux!H27))&lt;='01_Criterios'!$C$14),Aux!AF27,IF(AND(Aux!T27&lt;&gt;"",(N(Aux!T27)-7)&lt;='01_Criterios'!$C$15),Aux!AR27,"")))))</f>
        <v>10</v>
      </c>
      <c r="R27" s="6">
        <f>IF('03_Base_Indice'!$D27="","",IF('03_Base_Indice'!R27&lt;&gt;"",'03_Base_Indice'!R27,IF(AND(Aux!I27&lt;&gt;"",Aux!U27&lt;&gt;"",(N(Aux!U27)-N(Aux!I27)-1)&lt;='01_Criterios'!$C$13),Aux!AG27+(Aux!AS27-Aux!AG27)*(8-Aux!I27)/(Aux!U27-Aux!I27),IF(AND(Aux!I27&lt;&gt;"",(8-N(Aux!I27))&lt;='01_Criterios'!$C$14),Aux!AG27,IF(AND(Aux!U27&lt;&gt;"",(N(Aux!U27)-8)&lt;='01_Criterios'!$C$15),Aux!AS27,"")))))</f>
        <v>10</v>
      </c>
      <c r="S27" s="6">
        <f>IF('03_Base_Indice'!$D27="","",IF('03_Base_Indice'!S27&lt;&gt;"",'03_Base_Indice'!S27,IF(AND(Aux!J27&lt;&gt;"",Aux!V27&lt;&gt;"",(N(Aux!V27)-N(Aux!J27)-1)&lt;='01_Criterios'!$C$13),Aux!AH27+(Aux!AT27-Aux!AH27)*(9-Aux!J27)/(Aux!V27-Aux!J27),IF(AND(Aux!J27&lt;&gt;"",(9-N(Aux!J27))&lt;='01_Criterios'!$C$14),Aux!AH27,IF(AND(Aux!V27&lt;&gt;"",(N(Aux!V27)-9)&lt;='01_Criterios'!$C$15),Aux!AT27,"")))))</f>
        <v>10</v>
      </c>
      <c r="T27" s="6">
        <f>IF('03_Base_Indice'!$D27="","",IF('03_Base_Indice'!T27&lt;&gt;"",'03_Base_Indice'!T27,IF(AND(Aux!K27&lt;&gt;"",Aux!W27&lt;&gt;"",(N(Aux!W27)-N(Aux!K27)-1)&lt;='01_Criterios'!$C$13),Aux!AI27+(Aux!AU27-Aux!AI27)*(10-Aux!K27)/(Aux!W27-Aux!K27),IF(AND(Aux!K27&lt;&gt;"",(10-N(Aux!K27))&lt;='01_Criterios'!$C$14),Aux!AI27,IF(AND(Aux!W27&lt;&gt;"",(N(Aux!W27)-10)&lt;='01_Criterios'!$C$15),Aux!AU27,"")))))</f>
        <v>10</v>
      </c>
      <c r="U27" s="6">
        <f>IF('03_Base_Indice'!$D27="","",IF('03_Base_Indice'!U27&lt;&gt;"",'03_Base_Indice'!U27,IF(AND(Aux!L27&lt;&gt;"",Aux!X27&lt;&gt;"",(N(Aux!X27)-N(Aux!L27)-1)&lt;='01_Criterios'!$C$13),Aux!AJ27+(Aux!AV27-Aux!AJ27)*(11-Aux!L27)/(Aux!X27-Aux!L27),IF(AND(Aux!L27&lt;&gt;"",(11-N(Aux!L27))&lt;='01_Criterios'!$C$14),Aux!AJ27,IF(AND(Aux!X27&lt;&gt;"",(N(Aux!X27)-11)&lt;='01_Criterios'!$C$15),Aux!AV27,"")))))</f>
        <v>10</v>
      </c>
    </row>
    <row r="28" spans="1:21">
      <c r="A28" s="6" t="str">
        <f>IF('03_Base_Indice'!$A28="","",'03_Base_Indice'!$A28)</f>
        <v>3. Capital Humano</v>
      </c>
      <c r="B28" s="6">
        <f>'03_Base_Indice'!$B28</f>
        <v>4</v>
      </c>
      <c r="D28" s="6" t="str">
        <f>IF('03_Base_Indice'!$D28="","",'03_Base_Indice'!$D28)</f>
        <v>HUM010</v>
      </c>
      <c r="E28" s="6" t="str">
        <f>IF('03_Base_Indice'!$E28="","",'03_Base_Indice'!$E28)</f>
        <v>Despesa pública em educação (% PIB)</v>
      </c>
      <c r="K28" s="6">
        <f>IF('03_Base_Indice'!$D28="","",IF('03_Base_Indice'!K28&lt;&gt;"",'03_Base_Indice'!K28,IF(AND(Aux!B28&lt;&gt;"",Aux!N28&lt;&gt;"",(N(Aux!N28)-N(Aux!B28)-1)&lt;='01_Criterios'!$C$13),Aux!Z28+(Aux!AL28-Aux!Z28)*(1-Aux!B28)/(Aux!N28-Aux!B28),IF(AND(Aux!B28&lt;&gt;"",(1-N(Aux!B28))&lt;='01_Criterios'!$C$14),Aux!Z28,IF(AND(Aux!N28&lt;&gt;"",(N(Aux!N28)-1)&lt;='01_Criterios'!$C$15),Aux!AL28,"")))))</f>
        <v>3.48689580393413</v>
      </c>
      <c r="L28" s="6">
        <f>IF('03_Base_Indice'!$D28="","",IF('03_Base_Indice'!L28&lt;&gt;"",'03_Base_Indice'!L28,IF(AND(Aux!C28&lt;&gt;"",Aux!O28&lt;&gt;"",(N(Aux!O28)-N(Aux!C28)-1)&lt;='01_Criterios'!$C$13),Aux!AA28+(Aux!AM28-Aux!AA28)*(2-Aux!C28)/(Aux!O28-Aux!C28),IF(AND(Aux!C28&lt;&gt;"",(2-N(Aux!C28))&lt;='01_Criterios'!$C$14),Aux!AA28,IF(AND(Aux!O28&lt;&gt;"",(N(Aux!O28)-2)&lt;='01_Criterios'!$C$15),Aux!AM28,"")))))</f>
        <v>2.7549366458272502</v>
      </c>
      <c r="M28" s="6">
        <f>IF('03_Base_Indice'!$D28="","",IF('03_Base_Indice'!M28&lt;&gt;"",'03_Base_Indice'!M28,IF(AND(Aux!D28&lt;&gt;"",Aux!P28&lt;&gt;"",(N(Aux!P28)-N(Aux!D28)-1)&lt;='01_Criterios'!$C$13),Aux!AB28+(Aux!AN28-Aux!AB28)*(3-Aux!D28)/(Aux!P28-Aux!D28),IF(AND(Aux!D28&lt;&gt;"",(3-N(Aux!D28))&lt;='01_Criterios'!$C$14),Aux!AB28,IF(AND(Aux!P28&lt;&gt;"",(N(Aux!P28)-3)&lt;='01_Criterios'!$C$15),Aux!AN28,"")))))</f>
        <v>2.46687881104886</v>
      </c>
      <c r="N28" s="6">
        <f>IF('03_Base_Indice'!$D28="","",IF('03_Base_Indice'!N28&lt;&gt;"",'03_Base_Indice'!N28,IF(AND(Aux!E28&lt;&gt;"",Aux!Q28&lt;&gt;"",(N(Aux!Q28)-N(Aux!E28)-1)&lt;='01_Criterios'!$C$13),Aux!AC28+(Aux!AO28-Aux!AC28)*(4-Aux!E28)/(Aux!Q28-Aux!E28),IF(AND(Aux!E28&lt;&gt;"",(4-N(Aux!E28))&lt;='01_Criterios'!$C$14),Aux!AC28,IF(AND(Aux!Q28&lt;&gt;"",(N(Aux!Q28)-4)&lt;='01_Criterios'!$C$15),Aux!AO28,"")))))</f>
        <v>2.1835129894627499</v>
      </c>
      <c r="O28" s="6">
        <f>IF('03_Base_Indice'!$D28="","",IF('03_Base_Indice'!O28&lt;&gt;"",'03_Base_Indice'!O28,IF(AND(Aux!F28&lt;&gt;"",Aux!R28&lt;&gt;"",(N(Aux!R28)-N(Aux!F28)-1)&lt;='01_Criterios'!$C$13),Aux!AD28+(Aux!AP28-Aux!AD28)*(5-Aux!F28)/(Aux!R28-Aux!F28),IF(AND(Aux!F28&lt;&gt;"",(5-N(Aux!F28))&lt;='01_Criterios'!$C$14),Aux!AD28,IF(AND(Aux!R28&lt;&gt;"",(N(Aux!R28)-5)&lt;='01_Criterios'!$C$15),Aux!AP28,"")))))</f>
        <v>2.0730643818160299</v>
      </c>
      <c r="P28" s="6">
        <f>IF('03_Base_Indice'!$D28="","",IF('03_Base_Indice'!P28&lt;&gt;"",'03_Base_Indice'!P28,IF(AND(Aux!G28&lt;&gt;"",Aux!S28&lt;&gt;"",(N(Aux!S28)-N(Aux!G28)-1)&lt;='01_Criterios'!$C$13),Aux!AE28+(Aux!AQ28-Aux!AE28)*(6-Aux!G28)/(Aux!S28-Aux!G28),IF(AND(Aux!G28&lt;&gt;"",(6-N(Aux!G28))&lt;='01_Criterios'!$C$14),Aux!AE28,IF(AND(Aux!S28&lt;&gt;"",(N(Aux!S28)-6)&lt;='01_Criterios'!$C$15),Aux!AQ28,"")))))</f>
        <v>2.6674473368928502</v>
      </c>
      <c r="Q28" s="6">
        <f>IF('03_Base_Indice'!$D28="","",IF('03_Base_Indice'!Q28&lt;&gt;"",'03_Base_Indice'!Q28,IF(AND(Aux!H28&lt;&gt;"",Aux!T28&lt;&gt;"",(N(Aux!T28)-N(Aux!H28)-1)&lt;='01_Criterios'!$C$13),Aux!AF28+(Aux!AR28-Aux!AF28)*(7-Aux!H28)/(Aux!T28-Aux!H28),IF(AND(Aux!H28&lt;&gt;"",(7-N(Aux!H28))&lt;='01_Criterios'!$C$14),Aux!AF28,IF(AND(Aux!T28&lt;&gt;"",(N(Aux!T28)-7)&lt;='01_Criterios'!$C$15),Aux!AR28,"")))))</f>
        <v>2.29719689513241</v>
      </c>
      <c r="R28" s="6">
        <f>IF('03_Base_Indice'!$D28="","",IF('03_Base_Indice'!R28&lt;&gt;"",'03_Base_Indice'!R28,IF(AND(Aux!I28&lt;&gt;"",Aux!U28&lt;&gt;"",(N(Aux!U28)-N(Aux!I28)-1)&lt;='01_Criterios'!$C$13),Aux!AG28+(Aux!AS28-Aux!AG28)*(8-Aux!I28)/(Aux!U28-Aux!I28),IF(AND(Aux!I28&lt;&gt;"",(8-N(Aux!I28))&lt;='01_Criterios'!$C$14),Aux!AG28,IF(AND(Aux!U28&lt;&gt;"",(N(Aux!U28)-8)&lt;='01_Criterios'!$C$15),Aux!AS28,"")))))</f>
        <v>2.3853589841663299</v>
      </c>
      <c r="S28" s="6">
        <f>IF('03_Base_Indice'!$D28="","",IF('03_Base_Indice'!S28&lt;&gt;"",'03_Base_Indice'!S28,IF(AND(Aux!J28&lt;&gt;"",Aux!V28&lt;&gt;"",(N(Aux!V28)-N(Aux!J28)-1)&lt;='01_Criterios'!$C$13),Aux!AH28+(Aux!AT28-Aux!AH28)*(9-Aux!J28)/(Aux!V28-Aux!J28),IF(AND(Aux!J28&lt;&gt;"",(9-N(Aux!J28))&lt;='01_Criterios'!$C$14),Aux!AH28,IF(AND(Aux!V28&lt;&gt;"",(N(Aux!V28)-9)&lt;='01_Criterios'!$C$15),Aux!AT28,"")))))</f>
        <v>2.51273663315785</v>
      </c>
      <c r="T28" s="6">
        <f>IF('03_Base_Indice'!$D28="","",IF('03_Base_Indice'!T28&lt;&gt;"",'03_Base_Indice'!T28,IF(AND(Aux!K28&lt;&gt;"",Aux!W28&lt;&gt;"",(N(Aux!W28)-N(Aux!K28)-1)&lt;='01_Criterios'!$C$13),Aux!AI28+(Aux!AU28-Aux!AI28)*(10-Aux!K28)/(Aux!W28-Aux!K28),IF(AND(Aux!K28&lt;&gt;"",(10-N(Aux!K28))&lt;='01_Criterios'!$C$14),Aux!AI28,IF(AND(Aux!W28&lt;&gt;"",(N(Aux!W28)-10)&lt;='01_Criterios'!$C$15),Aux!AU28,"")))))</f>
        <v>2.51273663315785</v>
      </c>
      <c r="U28" s="6">
        <f>IF('03_Base_Indice'!$D28="","",IF('03_Base_Indice'!U28&lt;&gt;"",'03_Base_Indice'!U28,IF(AND(Aux!L28&lt;&gt;"",Aux!X28&lt;&gt;"",(N(Aux!X28)-N(Aux!L28)-1)&lt;='01_Criterios'!$C$13),Aux!AJ28+(Aux!AV28-Aux!AJ28)*(11-Aux!L28)/(Aux!X28-Aux!L28),IF(AND(Aux!L28&lt;&gt;"",(11-N(Aux!L28))&lt;='01_Criterios'!$C$14),Aux!AJ28,IF(AND(Aux!X28&lt;&gt;"",(N(Aux!X28)-11)&lt;='01_Criterios'!$C$15),Aux!AV28,"")))))</f>
        <v>2.51273663315785</v>
      </c>
    </row>
    <row r="29" spans="1:21">
      <c r="A29" s="6" t="str">
        <f>IF('03_Base_Indice'!$A29="","",'03_Base_Indice'!$A29)</f>
        <v>3. Capital Humano</v>
      </c>
      <c r="B29" s="6">
        <f>'03_Base_Indice'!$B29</f>
        <v>5</v>
      </c>
      <c r="D29" s="6" t="str">
        <f>IF('03_Base_Indice'!$D29="","",'03_Base_Indice'!$D29)</f>
        <v/>
      </c>
      <c r="E29" s="6" t="str">
        <f>IF('03_Base_Indice'!$E29="","",'03_Base_Indice'!$E29)</f>
        <v/>
      </c>
      <c r="K29" s="6" t="str">
        <f>IF('03_Base_Indice'!$D29="","",IF('03_Base_Indice'!K29&lt;&gt;"",'03_Base_Indice'!K29,IF(AND(Aux!B29&lt;&gt;"",Aux!N29&lt;&gt;"",(N(Aux!N29)-N(Aux!B29)-1)&lt;='01_Criterios'!$C$13),Aux!Z29+(Aux!AL29-Aux!Z29)*(1-Aux!B29)/(Aux!N29-Aux!B29),IF(AND(Aux!B29&lt;&gt;"",(1-N(Aux!B29))&lt;='01_Criterios'!$C$14),Aux!Z29,IF(AND(Aux!N29&lt;&gt;"",(N(Aux!N29)-1)&lt;='01_Criterios'!$C$15),Aux!AL29,"")))))</f>
        <v/>
      </c>
      <c r="L29" s="6" t="str">
        <f>IF('03_Base_Indice'!$D29="","",IF('03_Base_Indice'!L29&lt;&gt;"",'03_Base_Indice'!L29,IF(AND(Aux!C29&lt;&gt;"",Aux!O29&lt;&gt;"",(N(Aux!O29)-N(Aux!C29)-1)&lt;='01_Criterios'!$C$13),Aux!AA29+(Aux!AM29-Aux!AA29)*(2-Aux!C29)/(Aux!O29-Aux!C29),IF(AND(Aux!C29&lt;&gt;"",(2-N(Aux!C29))&lt;='01_Criterios'!$C$14),Aux!AA29,IF(AND(Aux!O29&lt;&gt;"",(N(Aux!O29)-2)&lt;='01_Criterios'!$C$15),Aux!AM29,"")))))</f>
        <v/>
      </c>
      <c r="M29" s="6" t="str">
        <f>IF('03_Base_Indice'!$D29="","",IF('03_Base_Indice'!M29&lt;&gt;"",'03_Base_Indice'!M29,IF(AND(Aux!D29&lt;&gt;"",Aux!P29&lt;&gt;"",(N(Aux!P29)-N(Aux!D29)-1)&lt;='01_Criterios'!$C$13),Aux!AB29+(Aux!AN29-Aux!AB29)*(3-Aux!D29)/(Aux!P29-Aux!D29),IF(AND(Aux!D29&lt;&gt;"",(3-N(Aux!D29))&lt;='01_Criterios'!$C$14),Aux!AB29,IF(AND(Aux!P29&lt;&gt;"",(N(Aux!P29)-3)&lt;='01_Criterios'!$C$15),Aux!AN29,"")))))</f>
        <v/>
      </c>
      <c r="N29" s="6" t="str">
        <f>IF('03_Base_Indice'!$D29="","",IF('03_Base_Indice'!N29&lt;&gt;"",'03_Base_Indice'!N29,IF(AND(Aux!E29&lt;&gt;"",Aux!Q29&lt;&gt;"",(N(Aux!Q29)-N(Aux!E29)-1)&lt;='01_Criterios'!$C$13),Aux!AC29+(Aux!AO29-Aux!AC29)*(4-Aux!E29)/(Aux!Q29-Aux!E29),IF(AND(Aux!E29&lt;&gt;"",(4-N(Aux!E29))&lt;='01_Criterios'!$C$14),Aux!AC29,IF(AND(Aux!Q29&lt;&gt;"",(N(Aux!Q29)-4)&lt;='01_Criterios'!$C$15),Aux!AO29,"")))))</f>
        <v/>
      </c>
      <c r="O29" s="6" t="str">
        <f>IF('03_Base_Indice'!$D29="","",IF('03_Base_Indice'!O29&lt;&gt;"",'03_Base_Indice'!O29,IF(AND(Aux!F29&lt;&gt;"",Aux!R29&lt;&gt;"",(N(Aux!R29)-N(Aux!F29)-1)&lt;='01_Criterios'!$C$13),Aux!AD29+(Aux!AP29-Aux!AD29)*(5-Aux!F29)/(Aux!R29-Aux!F29),IF(AND(Aux!F29&lt;&gt;"",(5-N(Aux!F29))&lt;='01_Criterios'!$C$14),Aux!AD29,IF(AND(Aux!R29&lt;&gt;"",(N(Aux!R29)-5)&lt;='01_Criterios'!$C$15),Aux!AP29,"")))))</f>
        <v/>
      </c>
      <c r="P29" s="6" t="str">
        <f>IF('03_Base_Indice'!$D29="","",IF('03_Base_Indice'!P29&lt;&gt;"",'03_Base_Indice'!P29,IF(AND(Aux!G29&lt;&gt;"",Aux!S29&lt;&gt;"",(N(Aux!S29)-N(Aux!G29)-1)&lt;='01_Criterios'!$C$13),Aux!AE29+(Aux!AQ29-Aux!AE29)*(6-Aux!G29)/(Aux!S29-Aux!G29),IF(AND(Aux!G29&lt;&gt;"",(6-N(Aux!G29))&lt;='01_Criterios'!$C$14),Aux!AE29,IF(AND(Aux!S29&lt;&gt;"",(N(Aux!S29)-6)&lt;='01_Criterios'!$C$15),Aux!AQ29,"")))))</f>
        <v/>
      </c>
      <c r="Q29" s="6" t="str">
        <f>IF('03_Base_Indice'!$D29="","",IF('03_Base_Indice'!Q29&lt;&gt;"",'03_Base_Indice'!Q29,IF(AND(Aux!H29&lt;&gt;"",Aux!T29&lt;&gt;"",(N(Aux!T29)-N(Aux!H29)-1)&lt;='01_Criterios'!$C$13),Aux!AF29+(Aux!AR29-Aux!AF29)*(7-Aux!H29)/(Aux!T29-Aux!H29),IF(AND(Aux!H29&lt;&gt;"",(7-N(Aux!H29))&lt;='01_Criterios'!$C$14),Aux!AF29,IF(AND(Aux!T29&lt;&gt;"",(N(Aux!T29)-7)&lt;='01_Criterios'!$C$15),Aux!AR29,"")))))</f>
        <v/>
      </c>
      <c r="R29" s="6" t="str">
        <f>IF('03_Base_Indice'!$D29="","",IF('03_Base_Indice'!R29&lt;&gt;"",'03_Base_Indice'!R29,IF(AND(Aux!I29&lt;&gt;"",Aux!U29&lt;&gt;"",(N(Aux!U29)-N(Aux!I29)-1)&lt;='01_Criterios'!$C$13),Aux!AG29+(Aux!AS29-Aux!AG29)*(8-Aux!I29)/(Aux!U29-Aux!I29),IF(AND(Aux!I29&lt;&gt;"",(8-N(Aux!I29))&lt;='01_Criterios'!$C$14),Aux!AG29,IF(AND(Aux!U29&lt;&gt;"",(N(Aux!U29)-8)&lt;='01_Criterios'!$C$15),Aux!AS29,"")))))</f>
        <v/>
      </c>
      <c r="S29" s="6" t="str">
        <f>IF('03_Base_Indice'!$D29="","",IF('03_Base_Indice'!S29&lt;&gt;"",'03_Base_Indice'!S29,IF(AND(Aux!J29&lt;&gt;"",Aux!V29&lt;&gt;"",(N(Aux!V29)-N(Aux!J29)-1)&lt;='01_Criterios'!$C$13),Aux!AH29+(Aux!AT29-Aux!AH29)*(9-Aux!J29)/(Aux!V29-Aux!J29),IF(AND(Aux!J29&lt;&gt;"",(9-N(Aux!J29))&lt;='01_Criterios'!$C$14),Aux!AH29,IF(AND(Aux!V29&lt;&gt;"",(N(Aux!V29)-9)&lt;='01_Criterios'!$C$15),Aux!AT29,"")))))</f>
        <v/>
      </c>
      <c r="T29" s="6" t="str">
        <f>IF('03_Base_Indice'!$D29="","",IF('03_Base_Indice'!T29&lt;&gt;"",'03_Base_Indice'!T29,IF(AND(Aux!K29&lt;&gt;"",Aux!W29&lt;&gt;"",(N(Aux!W29)-N(Aux!K29)-1)&lt;='01_Criterios'!$C$13),Aux!AI29+(Aux!AU29-Aux!AI29)*(10-Aux!K29)/(Aux!W29-Aux!K29),IF(AND(Aux!K29&lt;&gt;"",(10-N(Aux!K29))&lt;='01_Criterios'!$C$14),Aux!AI29,IF(AND(Aux!W29&lt;&gt;"",(N(Aux!W29)-10)&lt;='01_Criterios'!$C$15),Aux!AU29,"")))))</f>
        <v/>
      </c>
      <c r="U29" s="6" t="str">
        <f>IF('03_Base_Indice'!$D29="","",IF('03_Base_Indice'!U29&lt;&gt;"",'03_Base_Indice'!U29,IF(AND(Aux!L29&lt;&gt;"",Aux!X29&lt;&gt;"",(N(Aux!X29)-N(Aux!L29)-1)&lt;='01_Criterios'!$C$13),Aux!AJ29+(Aux!AV29-Aux!AJ29)*(11-Aux!L29)/(Aux!X29-Aux!L29),IF(AND(Aux!L29&lt;&gt;"",(11-N(Aux!L29))&lt;='01_Criterios'!$C$14),Aux!AJ29,IF(AND(Aux!X29&lt;&gt;"",(N(Aux!X29)-11)&lt;='01_Criterios'!$C$15),Aux!AV29,"")))))</f>
        <v/>
      </c>
    </row>
    <row r="30" spans="1:21">
      <c r="A30" s="6" t="str">
        <f>IF('03_Base_Indice'!$A30="","",'03_Base_Indice'!$A30)</f>
        <v>3. Capital Humano</v>
      </c>
      <c r="B30" s="6">
        <f>'03_Base_Indice'!$B30</f>
        <v>6</v>
      </c>
      <c r="D30" s="6" t="str">
        <f>IF('03_Base_Indice'!$D30="","",'03_Base_Indice'!$D30)</f>
        <v/>
      </c>
      <c r="E30" s="6" t="str">
        <f>IF('03_Base_Indice'!$E30="","",'03_Base_Indice'!$E30)</f>
        <v/>
      </c>
      <c r="K30" s="6" t="str">
        <f>IF('03_Base_Indice'!$D30="","",IF('03_Base_Indice'!K30&lt;&gt;"",'03_Base_Indice'!K30,IF(AND(Aux!B30&lt;&gt;"",Aux!N30&lt;&gt;"",(N(Aux!N30)-N(Aux!B30)-1)&lt;='01_Criterios'!$C$13),Aux!Z30+(Aux!AL30-Aux!Z30)*(1-Aux!B30)/(Aux!N30-Aux!B30),IF(AND(Aux!B30&lt;&gt;"",(1-N(Aux!B30))&lt;='01_Criterios'!$C$14),Aux!Z30,IF(AND(Aux!N30&lt;&gt;"",(N(Aux!N30)-1)&lt;='01_Criterios'!$C$15),Aux!AL30,"")))))</f>
        <v/>
      </c>
      <c r="L30" s="6" t="str">
        <f>IF('03_Base_Indice'!$D30="","",IF('03_Base_Indice'!L30&lt;&gt;"",'03_Base_Indice'!L30,IF(AND(Aux!C30&lt;&gt;"",Aux!O30&lt;&gt;"",(N(Aux!O30)-N(Aux!C30)-1)&lt;='01_Criterios'!$C$13),Aux!AA30+(Aux!AM30-Aux!AA30)*(2-Aux!C30)/(Aux!O30-Aux!C30),IF(AND(Aux!C30&lt;&gt;"",(2-N(Aux!C30))&lt;='01_Criterios'!$C$14),Aux!AA30,IF(AND(Aux!O30&lt;&gt;"",(N(Aux!O30)-2)&lt;='01_Criterios'!$C$15),Aux!AM30,"")))))</f>
        <v/>
      </c>
      <c r="M30" s="6" t="str">
        <f>IF('03_Base_Indice'!$D30="","",IF('03_Base_Indice'!M30&lt;&gt;"",'03_Base_Indice'!M30,IF(AND(Aux!D30&lt;&gt;"",Aux!P30&lt;&gt;"",(N(Aux!P30)-N(Aux!D30)-1)&lt;='01_Criterios'!$C$13),Aux!AB30+(Aux!AN30-Aux!AB30)*(3-Aux!D30)/(Aux!P30-Aux!D30),IF(AND(Aux!D30&lt;&gt;"",(3-N(Aux!D30))&lt;='01_Criterios'!$C$14),Aux!AB30,IF(AND(Aux!P30&lt;&gt;"",(N(Aux!P30)-3)&lt;='01_Criterios'!$C$15),Aux!AN30,"")))))</f>
        <v/>
      </c>
      <c r="N30" s="6" t="str">
        <f>IF('03_Base_Indice'!$D30="","",IF('03_Base_Indice'!N30&lt;&gt;"",'03_Base_Indice'!N30,IF(AND(Aux!E30&lt;&gt;"",Aux!Q30&lt;&gt;"",(N(Aux!Q30)-N(Aux!E30)-1)&lt;='01_Criterios'!$C$13),Aux!AC30+(Aux!AO30-Aux!AC30)*(4-Aux!E30)/(Aux!Q30-Aux!E30),IF(AND(Aux!E30&lt;&gt;"",(4-N(Aux!E30))&lt;='01_Criterios'!$C$14),Aux!AC30,IF(AND(Aux!Q30&lt;&gt;"",(N(Aux!Q30)-4)&lt;='01_Criterios'!$C$15),Aux!AO30,"")))))</f>
        <v/>
      </c>
      <c r="O30" s="6" t="str">
        <f>IF('03_Base_Indice'!$D30="","",IF('03_Base_Indice'!O30&lt;&gt;"",'03_Base_Indice'!O30,IF(AND(Aux!F30&lt;&gt;"",Aux!R30&lt;&gt;"",(N(Aux!R30)-N(Aux!F30)-1)&lt;='01_Criterios'!$C$13),Aux!AD30+(Aux!AP30-Aux!AD30)*(5-Aux!F30)/(Aux!R30-Aux!F30),IF(AND(Aux!F30&lt;&gt;"",(5-N(Aux!F30))&lt;='01_Criterios'!$C$14),Aux!AD30,IF(AND(Aux!R30&lt;&gt;"",(N(Aux!R30)-5)&lt;='01_Criterios'!$C$15),Aux!AP30,"")))))</f>
        <v/>
      </c>
      <c r="P30" s="6" t="str">
        <f>IF('03_Base_Indice'!$D30="","",IF('03_Base_Indice'!P30&lt;&gt;"",'03_Base_Indice'!P30,IF(AND(Aux!G30&lt;&gt;"",Aux!S30&lt;&gt;"",(N(Aux!S30)-N(Aux!G30)-1)&lt;='01_Criterios'!$C$13),Aux!AE30+(Aux!AQ30-Aux!AE30)*(6-Aux!G30)/(Aux!S30-Aux!G30),IF(AND(Aux!G30&lt;&gt;"",(6-N(Aux!G30))&lt;='01_Criterios'!$C$14),Aux!AE30,IF(AND(Aux!S30&lt;&gt;"",(N(Aux!S30)-6)&lt;='01_Criterios'!$C$15),Aux!AQ30,"")))))</f>
        <v/>
      </c>
      <c r="Q30" s="6" t="str">
        <f>IF('03_Base_Indice'!$D30="","",IF('03_Base_Indice'!Q30&lt;&gt;"",'03_Base_Indice'!Q30,IF(AND(Aux!H30&lt;&gt;"",Aux!T30&lt;&gt;"",(N(Aux!T30)-N(Aux!H30)-1)&lt;='01_Criterios'!$C$13),Aux!AF30+(Aux!AR30-Aux!AF30)*(7-Aux!H30)/(Aux!T30-Aux!H30),IF(AND(Aux!H30&lt;&gt;"",(7-N(Aux!H30))&lt;='01_Criterios'!$C$14),Aux!AF30,IF(AND(Aux!T30&lt;&gt;"",(N(Aux!T30)-7)&lt;='01_Criterios'!$C$15),Aux!AR30,"")))))</f>
        <v/>
      </c>
      <c r="R30" s="6" t="str">
        <f>IF('03_Base_Indice'!$D30="","",IF('03_Base_Indice'!R30&lt;&gt;"",'03_Base_Indice'!R30,IF(AND(Aux!I30&lt;&gt;"",Aux!U30&lt;&gt;"",(N(Aux!U30)-N(Aux!I30)-1)&lt;='01_Criterios'!$C$13),Aux!AG30+(Aux!AS30-Aux!AG30)*(8-Aux!I30)/(Aux!U30-Aux!I30),IF(AND(Aux!I30&lt;&gt;"",(8-N(Aux!I30))&lt;='01_Criterios'!$C$14),Aux!AG30,IF(AND(Aux!U30&lt;&gt;"",(N(Aux!U30)-8)&lt;='01_Criterios'!$C$15),Aux!AS30,"")))))</f>
        <v/>
      </c>
      <c r="S30" s="6" t="str">
        <f>IF('03_Base_Indice'!$D30="","",IF('03_Base_Indice'!S30&lt;&gt;"",'03_Base_Indice'!S30,IF(AND(Aux!J30&lt;&gt;"",Aux!V30&lt;&gt;"",(N(Aux!V30)-N(Aux!J30)-1)&lt;='01_Criterios'!$C$13),Aux!AH30+(Aux!AT30-Aux!AH30)*(9-Aux!J30)/(Aux!V30-Aux!J30),IF(AND(Aux!J30&lt;&gt;"",(9-N(Aux!J30))&lt;='01_Criterios'!$C$14),Aux!AH30,IF(AND(Aux!V30&lt;&gt;"",(N(Aux!V30)-9)&lt;='01_Criterios'!$C$15),Aux!AT30,"")))))</f>
        <v/>
      </c>
      <c r="T30" s="6" t="str">
        <f>IF('03_Base_Indice'!$D30="","",IF('03_Base_Indice'!T30&lt;&gt;"",'03_Base_Indice'!T30,IF(AND(Aux!K30&lt;&gt;"",Aux!W30&lt;&gt;"",(N(Aux!W30)-N(Aux!K30)-1)&lt;='01_Criterios'!$C$13),Aux!AI30+(Aux!AU30-Aux!AI30)*(10-Aux!K30)/(Aux!W30-Aux!K30),IF(AND(Aux!K30&lt;&gt;"",(10-N(Aux!K30))&lt;='01_Criterios'!$C$14),Aux!AI30,IF(AND(Aux!W30&lt;&gt;"",(N(Aux!W30)-10)&lt;='01_Criterios'!$C$15),Aux!AU30,"")))))</f>
        <v/>
      </c>
      <c r="U30" s="6" t="str">
        <f>IF('03_Base_Indice'!$D30="","",IF('03_Base_Indice'!U30&lt;&gt;"",'03_Base_Indice'!U30,IF(AND(Aux!L30&lt;&gt;"",Aux!X30&lt;&gt;"",(N(Aux!X30)-N(Aux!L30)-1)&lt;='01_Criterios'!$C$13),Aux!AJ30+(Aux!AV30-Aux!AJ30)*(11-Aux!L30)/(Aux!X30-Aux!L30),IF(AND(Aux!L30&lt;&gt;"",(11-N(Aux!L30))&lt;='01_Criterios'!$C$14),Aux!AJ30,IF(AND(Aux!X30&lt;&gt;"",(N(Aux!X30)-11)&lt;='01_Criterios'!$C$15),Aux!AV30,"")))))</f>
        <v/>
      </c>
    </row>
    <row r="31" spans="1:21">
      <c r="A31" s="6" t="str">
        <f>IF('03_Base_Indice'!$A31="","",'03_Base_Indice'!$A31)</f>
        <v>3. Capital Humano</v>
      </c>
      <c r="B31" s="6">
        <f>'03_Base_Indice'!$B31</f>
        <v>7</v>
      </c>
      <c r="D31" s="6" t="str">
        <f>IF('03_Base_Indice'!$D31="","",'03_Base_Indice'!$D31)</f>
        <v/>
      </c>
      <c r="E31" s="6" t="str">
        <f>IF('03_Base_Indice'!$E31="","",'03_Base_Indice'!$E31)</f>
        <v/>
      </c>
      <c r="K31" s="6" t="str">
        <f>IF('03_Base_Indice'!$D31="","",IF('03_Base_Indice'!K31&lt;&gt;"",'03_Base_Indice'!K31,IF(AND(Aux!B31&lt;&gt;"",Aux!N31&lt;&gt;"",(N(Aux!N31)-N(Aux!B31)-1)&lt;='01_Criterios'!$C$13),Aux!Z31+(Aux!AL31-Aux!Z31)*(1-Aux!B31)/(Aux!N31-Aux!B31),IF(AND(Aux!B31&lt;&gt;"",(1-N(Aux!B31))&lt;='01_Criterios'!$C$14),Aux!Z31,IF(AND(Aux!N31&lt;&gt;"",(N(Aux!N31)-1)&lt;='01_Criterios'!$C$15),Aux!AL31,"")))))</f>
        <v/>
      </c>
      <c r="L31" s="6" t="str">
        <f>IF('03_Base_Indice'!$D31="","",IF('03_Base_Indice'!L31&lt;&gt;"",'03_Base_Indice'!L31,IF(AND(Aux!C31&lt;&gt;"",Aux!O31&lt;&gt;"",(N(Aux!O31)-N(Aux!C31)-1)&lt;='01_Criterios'!$C$13),Aux!AA31+(Aux!AM31-Aux!AA31)*(2-Aux!C31)/(Aux!O31-Aux!C31),IF(AND(Aux!C31&lt;&gt;"",(2-N(Aux!C31))&lt;='01_Criterios'!$C$14),Aux!AA31,IF(AND(Aux!O31&lt;&gt;"",(N(Aux!O31)-2)&lt;='01_Criterios'!$C$15),Aux!AM31,"")))))</f>
        <v/>
      </c>
      <c r="M31" s="6" t="str">
        <f>IF('03_Base_Indice'!$D31="","",IF('03_Base_Indice'!M31&lt;&gt;"",'03_Base_Indice'!M31,IF(AND(Aux!D31&lt;&gt;"",Aux!P31&lt;&gt;"",(N(Aux!P31)-N(Aux!D31)-1)&lt;='01_Criterios'!$C$13),Aux!AB31+(Aux!AN31-Aux!AB31)*(3-Aux!D31)/(Aux!P31-Aux!D31),IF(AND(Aux!D31&lt;&gt;"",(3-N(Aux!D31))&lt;='01_Criterios'!$C$14),Aux!AB31,IF(AND(Aux!P31&lt;&gt;"",(N(Aux!P31)-3)&lt;='01_Criterios'!$C$15),Aux!AN31,"")))))</f>
        <v/>
      </c>
      <c r="N31" s="6" t="str">
        <f>IF('03_Base_Indice'!$D31="","",IF('03_Base_Indice'!N31&lt;&gt;"",'03_Base_Indice'!N31,IF(AND(Aux!E31&lt;&gt;"",Aux!Q31&lt;&gt;"",(N(Aux!Q31)-N(Aux!E31)-1)&lt;='01_Criterios'!$C$13),Aux!AC31+(Aux!AO31-Aux!AC31)*(4-Aux!E31)/(Aux!Q31-Aux!E31),IF(AND(Aux!E31&lt;&gt;"",(4-N(Aux!E31))&lt;='01_Criterios'!$C$14),Aux!AC31,IF(AND(Aux!Q31&lt;&gt;"",(N(Aux!Q31)-4)&lt;='01_Criterios'!$C$15),Aux!AO31,"")))))</f>
        <v/>
      </c>
      <c r="O31" s="6" t="str">
        <f>IF('03_Base_Indice'!$D31="","",IF('03_Base_Indice'!O31&lt;&gt;"",'03_Base_Indice'!O31,IF(AND(Aux!F31&lt;&gt;"",Aux!R31&lt;&gt;"",(N(Aux!R31)-N(Aux!F31)-1)&lt;='01_Criterios'!$C$13),Aux!AD31+(Aux!AP31-Aux!AD31)*(5-Aux!F31)/(Aux!R31-Aux!F31),IF(AND(Aux!F31&lt;&gt;"",(5-N(Aux!F31))&lt;='01_Criterios'!$C$14),Aux!AD31,IF(AND(Aux!R31&lt;&gt;"",(N(Aux!R31)-5)&lt;='01_Criterios'!$C$15),Aux!AP31,"")))))</f>
        <v/>
      </c>
      <c r="P31" s="6" t="str">
        <f>IF('03_Base_Indice'!$D31="","",IF('03_Base_Indice'!P31&lt;&gt;"",'03_Base_Indice'!P31,IF(AND(Aux!G31&lt;&gt;"",Aux!S31&lt;&gt;"",(N(Aux!S31)-N(Aux!G31)-1)&lt;='01_Criterios'!$C$13),Aux!AE31+(Aux!AQ31-Aux!AE31)*(6-Aux!G31)/(Aux!S31-Aux!G31),IF(AND(Aux!G31&lt;&gt;"",(6-N(Aux!G31))&lt;='01_Criterios'!$C$14),Aux!AE31,IF(AND(Aux!S31&lt;&gt;"",(N(Aux!S31)-6)&lt;='01_Criterios'!$C$15),Aux!AQ31,"")))))</f>
        <v/>
      </c>
      <c r="Q31" s="6" t="str">
        <f>IF('03_Base_Indice'!$D31="","",IF('03_Base_Indice'!Q31&lt;&gt;"",'03_Base_Indice'!Q31,IF(AND(Aux!H31&lt;&gt;"",Aux!T31&lt;&gt;"",(N(Aux!T31)-N(Aux!H31)-1)&lt;='01_Criterios'!$C$13),Aux!AF31+(Aux!AR31-Aux!AF31)*(7-Aux!H31)/(Aux!T31-Aux!H31),IF(AND(Aux!H31&lt;&gt;"",(7-N(Aux!H31))&lt;='01_Criterios'!$C$14),Aux!AF31,IF(AND(Aux!T31&lt;&gt;"",(N(Aux!T31)-7)&lt;='01_Criterios'!$C$15),Aux!AR31,"")))))</f>
        <v/>
      </c>
      <c r="R31" s="6" t="str">
        <f>IF('03_Base_Indice'!$D31="","",IF('03_Base_Indice'!R31&lt;&gt;"",'03_Base_Indice'!R31,IF(AND(Aux!I31&lt;&gt;"",Aux!U31&lt;&gt;"",(N(Aux!U31)-N(Aux!I31)-1)&lt;='01_Criterios'!$C$13),Aux!AG31+(Aux!AS31-Aux!AG31)*(8-Aux!I31)/(Aux!U31-Aux!I31),IF(AND(Aux!I31&lt;&gt;"",(8-N(Aux!I31))&lt;='01_Criterios'!$C$14),Aux!AG31,IF(AND(Aux!U31&lt;&gt;"",(N(Aux!U31)-8)&lt;='01_Criterios'!$C$15),Aux!AS31,"")))))</f>
        <v/>
      </c>
      <c r="S31" s="6" t="str">
        <f>IF('03_Base_Indice'!$D31="","",IF('03_Base_Indice'!S31&lt;&gt;"",'03_Base_Indice'!S31,IF(AND(Aux!J31&lt;&gt;"",Aux!V31&lt;&gt;"",(N(Aux!V31)-N(Aux!J31)-1)&lt;='01_Criterios'!$C$13),Aux!AH31+(Aux!AT31-Aux!AH31)*(9-Aux!J31)/(Aux!V31-Aux!J31),IF(AND(Aux!J31&lt;&gt;"",(9-N(Aux!J31))&lt;='01_Criterios'!$C$14),Aux!AH31,IF(AND(Aux!V31&lt;&gt;"",(N(Aux!V31)-9)&lt;='01_Criterios'!$C$15),Aux!AT31,"")))))</f>
        <v/>
      </c>
      <c r="T31" s="6" t="str">
        <f>IF('03_Base_Indice'!$D31="","",IF('03_Base_Indice'!T31&lt;&gt;"",'03_Base_Indice'!T31,IF(AND(Aux!K31&lt;&gt;"",Aux!W31&lt;&gt;"",(N(Aux!W31)-N(Aux!K31)-1)&lt;='01_Criterios'!$C$13),Aux!AI31+(Aux!AU31-Aux!AI31)*(10-Aux!K31)/(Aux!W31-Aux!K31),IF(AND(Aux!K31&lt;&gt;"",(10-N(Aux!K31))&lt;='01_Criterios'!$C$14),Aux!AI31,IF(AND(Aux!W31&lt;&gt;"",(N(Aux!W31)-10)&lt;='01_Criterios'!$C$15),Aux!AU31,"")))))</f>
        <v/>
      </c>
      <c r="U31" s="6" t="str">
        <f>IF('03_Base_Indice'!$D31="","",IF('03_Base_Indice'!U31&lt;&gt;"",'03_Base_Indice'!U31,IF(AND(Aux!L31&lt;&gt;"",Aux!X31&lt;&gt;"",(N(Aux!X31)-N(Aux!L31)-1)&lt;='01_Criterios'!$C$13),Aux!AJ31+(Aux!AV31-Aux!AJ31)*(11-Aux!L31)/(Aux!X31-Aux!L31),IF(AND(Aux!L31&lt;&gt;"",(11-N(Aux!L31))&lt;='01_Criterios'!$C$14),Aux!AJ31,IF(AND(Aux!X31&lt;&gt;"",(N(Aux!X31)-11)&lt;='01_Criterios'!$C$15),Aux!AV31,"")))))</f>
        <v/>
      </c>
    </row>
    <row r="32" spans="1:21">
      <c r="A32" s="6" t="str">
        <f>IF('03_Base_Indice'!$A32="","",'03_Base_Indice'!$A32)</f>
        <v>3. Capital Humano</v>
      </c>
      <c r="B32" s="6">
        <f>'03_Base_Indice'!$B32</f>
        <v>8</v>
      </c>
      <c r="D32" s="6" t="str">
        <f>IF('03_Base_Indice'!$D32="","",'03_Base_Indice'!$D32)</f>
        <v/>
      </c>
      <c r="E32" s="6" t="str">
        <f>IF('03_Base_Indice'!$E32="","",'03_Base_Indice'!$E32)</f>
        <v/>
      </c>
      <c r="K32" s="6" t="str">
        <f>IF('03_Base_Indice'!$D32="","",IF('03_Base_Indice'!K32&lt;&gt;"",'03_Base_Indice'!K32,IF(AND(Aux!B32&lt;&gt;"",Aux!N32&lt;&gt;"",(N(Aux!N32)-N(Aux!B32)-1)&lt;='01_Criterios'!$C$13),Aux!Z32+(Aux!AL32-Aux!Z32)*(1-Aux!B32)/(Aux!N32-Aux!B32),IF(AND(Aux!B32&lt;&gt;"",(1-N(Aux!B32))&lt;='01_Criterios'!$C$14),Aux!Z32,IF(AND(Aux!N32&lt;&gt;"",(N(Aux!N32)-1)&lt;='01_Criterios'!$C$15),Aux!AL32,"")))))</f>
        <v/>
      </c>
      <c r="L32" s="6" t="str">
        <f>IF('03_Base_Indice'!$D32="","",IF('03_Base_Indice'!L32&lt;&gt;"",'03_Base_Indice'!L32,IF(AND(Aux!C32&lt;&gt;"",Aux!O32&lt;&gt;"",(N(Aux!O32)-N(Aux!C32)-1)&lt;='01_Criterios'!$C$13),Aux!AA32+(Aux!AM32-Aux!AA32)*(2-Aux!C32)/(Aux!O32-Aux!C32),IF(AND(Aux!C32&lt;&gt;"",(2-N(Aux!C32))&lt;='01_Criterios'!$C$14),Aux!AA32,IF(AND(Aux!O32&lt;&gt;"",(N(Aux!O32)-2)&lt;='01_Criterios'!$C$15),Aux!AM32,"")))))</f>
        <v/>
      </c>
      <c r="M32" s="6" t="str">
        <f>IF('03_Base_Indice'!$D32="","",IF('03_Base_Indice'!M32&lt;&gt;"",'03_Base_Indice'!M32,IF(AND(Aux!D32&lt;&gt;"",Aux!P32&lt;&gt;"",(N(Aux!P32)-N(Aux!D32)-1)&lt;='01_Criterios'!$C$13),Aux!AB32+(Aux!AN32-Aux!AB32)*(3-Aux!D32)/(Aux!P32-Aux!D32),IF(AND(Aux!D32&lt;&gt;"",(3-N(Aux!D32))&lt;='01_Criterios'!$C$14),Aux!AB32,IF(AND(Aux!P32&lt;&gt;"",(N(Aux!P32)-3)&lt;='01_Criterios'!$C$15),Aux!AN32,"")))))</f>
        <v/>
      </c>
      <c r="N32" s="6" t="str">
        <f>IF('03_Base_Indice'!$D32="","",IF('03_Base_Indice'!N32&lt;&gt;"",'03_Base_Indice'!N32,IF(AND(Aux!E32&lt;&gt;"",Aux!Q32&lt;&gt;"",(N(Aux!Q32)-N(Aux!E32)-1)&lt;='01_Criterios'!$C$13),Aux!AC32+(Aux!AO32-Aux!AC32)*(4-Aux!E32)/(Aux!Q32-Aux!E32),IF(AND(Aux!E32&lt;&gt;"",(4-N(Aux!E32))&lt;='01_Criterios'!$C$14),Aux!AC32,IF(AND(Aux!Q32&lt;&gt;"",(N(Aux!Q32)-4)&lt;='01_Criterios'!$C$15),Aux!AO32,"")))))</f>
        <v/>
      </c>
      <c r="O32" s="6" t="str">
        <f>IF('03_Base_Indice'!$D32="","",IF('03_Base_Indice'!O32&lt;&gt;"",'03_Base_Indice'!O32,IF(AND(Aux!F32&lt;&gt;"",Aux!R32&lt;&gt;"",(N(Aux!R32)-N(Aux!F32)-1)&lt;='01_Criterios'!$C$13),Aux!AD32+(Aux!AP32-Aux!AD32)*(5-Aux!F32)/(Aux!R32-Aux!F32),IF(AND(Aux!F32&lt;&gt;"",(5-N(Aux!F32))&lt;='01_Criterios'!$C$14),Aux!AD32,IF(AND(Aux!R32&lt;&gt;"",(N(Aux!R32)-5)&lt;='01_Criterios'!$C$15),Aux!AP32,"")))))</f>
        <v/>
      </c>
      <c r="P32" s="6" t="str">
        <f>IF('03_Base_Indice'!$D32="","",IF('03_Base_Indice'!P32&lt;&gt;"",'03_Base_Indice'!P32,IF(AND(Aux!G32&lt;&gt;"",Aux!S32&lt;&gt;"",(N(Aux!S32)-N(Aux!G32)-1)&lt;='01_Criterios'!$C$13),Aux!AE32+(Aux!AQ32-Aux!AE32)*(6-Aux!G32)/(Aux!S32-Aux!G32),IF(AND(Aux!G32&lt;&gt;"",(6-N(Aux!G32))&lt;='01_Criterios'!$C$14),Aux!AE32,IF(AND(Aux!S32&lt;&gt;"",(N(Aux!S32)-6)&lt;='01_Criterios'!$C$15),Aux!AQ32,"")))))</f>
        <v/>
      </c>
      <c r="Q32" s="6" t="str">
        <f>IF('03_Base_Indice'!$D32="","",IF('03_Base_Indice'!Q32&lt;&gt;"",'03_Base_Indice'!Q32,IF(AND(Aux!H32&lt;&gt;"",Aux!T32&lt;&gt;"",(N(Aux!T32)-N(Aux!H32)-1)&lt;='01_Criterios'!$C$13),Aux!AF32+(Aux!AR32-Aux!AF32)*(7-Aux!H32)/(Aux!T32-Aux!H32),IF(AND(Aux!H32&lt;&gt;"",(7-N(Aux!H32))&lt;='01_Criterios'!$C$14),Aux!AF32,IF(AND(Aux!T32&lt;&gt;"",(N(Aux!T32)-7)&lt;='01_Criterios'!$C$15),Aux!AR32,"")))))</f>
        <v/>
      </c>
      <c r="R32" s="6" t="str">
        <f>IF('03_Base_Indice'!$D32="","",IF('03_Base_Indice'!R32&lt;&gt;"",'03_Base_Indice'!R32,IF(AND(Aux!I32&lt;&gt;"",Aux!U32&lt;&gt;"",(N(Aux!U32)-N(Aux!I32)-1)&lt;='01_Criterios'!$C$13),Aux!AG32+(Aux!AS32-Aux!AG32)*(8-Aux!I32)/(Aux!U32-Aux!I32),IF(AND(Aux!I32&lt;&gt;"",(8-N(Aux!I32))&lt;='01_Criterios'!$C$14),Aux!AG32,IF(AND(Aux!U32&lt;&gt;"",(N(Aux!U32)-8)&lt;='01_Criterios'!$C$15),Aux!AS32,"")))))</f>
        <v/>
      </c>
      <c r="S32" s="6" t="str">
        <f>IF('03_Base_Indice'!$D32="","",IF('03_Base_Indice'!S32&lt;&gt;"",'03_Base_Indice'!S32,IF(AND(Aux!J32&lt;&gt;"",Aux!V32&lt;&gt;"",(N(Aux!V32)-N(Aux!J32)-1)&lt;='01_Criterios'!$C$13),Aux!AH32+(Aux!AT32-Aux!AH32)*(9-Aux!J32)/(Aux!V32-Aux!J32),IF(AND(Aux!J32&lt;&gt;"",(9-N(Aux!J32))&lt;='01_Criterios'!$C$14),Aux!AH32,IF(AND(Aux!V32&lt;&gt;"",(N(Aux!V32)-9)&lt;='01_Criterios'!$C$15),Aux!AT32,"")))))</f>
        <v/>
      </c>
      <c r="T32" s="6" t="str">
        <f>IF('03_Base_Indice'!$D32="","",IF('03_Base_Indice'!T32&lt;&gt;"",'03_Base_Indice'!T32,IF(AND(Aux!K32&lt;&gt;"",Aux!W32&lt;&gt;"",(N(Aux!W32)-N(Aux!K32)-1)&lt;='01_Criterios'!$C$13),Aux!AI32+(Aux!AU32-Aux!AI32)*(10-Aux!K32)/(Aux!W32-Aux!K32),IF(AND(Aux!K32&lt;&gt;"",(10-N(Aux!K32))&lt;='01_Criterios'!$C$14),Aux!AI32,IF(AND(Aux!W32&lt;&gt;"",(N(Aux!W32)-10)&lt;='01_Criterios'!$C$15),Aux!AU32,"")))))</f>
        <v/>
      </c>
      <c r="U32" s="6" t="str">
        <f>IF('03_Base_Indice'!$D32="","",IF('03_Base_Indice'!U32&lt;&gt;"",'03_Base_Indice'!U32,IF(AND(Aux!L32&lt;&gt;"",Aux!X32&lt;&gt;"",(N(Aux!X32)-N(Aux!L32)-1)&lt;='01_Criterios'!$C$13),Aux!AJ32+(Aux!AV32-Aux!AJ32)*(11-Aux!L32)/(Aux!X32-Aux!L32),IF(AND(Aux!L32&lt;&gt;"",(11-N(Aux!L32))&lt;='01_Criterios'!$C$14),Aux!AJ32,IF(AND(Aux!X32&lt;&gt;"",(N(Aux!X32)-11)&lt;='01_Criterios'!$C$15),Aux!AV32,"")))))</f>
        <v/>
      </c>
    </row>
    <row r="33" spans="1:21">
      <c r="A33" s="6" t="str">
        <f>IF('03_Base_Indice'!$A33="","",'03_Base_Indice'!$A33)</f>
        <v>3. Capital Humano</v>
      </c>
      <c r="B33" s="6">
        <f>'03_Base_Indice'!$B33</f>
        <v>9</v>
      </c>
      <c r="D33" s="6" t="str">
        <f>IF('03_Base_Indice'!$D33="","",'03_Base_Indice'!$D33)</f>
        <v/>
      </c>
      <c r="E33" s="6" t="str">
        <f>IF('03_Base_Indice'!$E33="","",'03_Base_Indice'!$E33)</f>
        <v/>
      </c>
      <c r="K33" s="6" t="str">
        <f>IF('03_Base_Indice'!$D33="","",IF('03_Base_Indice'!K33&lt;&gt;"",'03_Base_Indice'!K33,IF(AND(Aux!B33&lt;&gt;"",Aux!N33&lt;&gt;"",(N(Aux!N33)-N(Aux!B33)-1)&lt;='01_Criterios'!$C$13),Aux!Z33+(Aux!AL33-Aux!Z33)*(1-Aux!B33)/(Aux!N33-Aux!B33),IF(AND(Aux!B33&lt;&gt;"",(1-N(Aux!B33))&lt;='01_Criterios'!$C$14),Aux!Z33,IF(AND(Aux!N33&lt;&gt;"",(N(Aux!N33)-1)&lt;='01_Criterios'!$C$15),Aux!AL33,"")))))</f>
        <v/>
      </c>
      <c r="L33" s="6" t="str">
        <f>IF('03_Base_Indice'!$D33="","",IF('03_Base_Indice'!L33&lt;&gt;"",'03_Base_Indice'!L33,IF(AND(Aux!C33&lt;&gt;"",Aux!O33&lt;&gt;"",(N(Aux!O33)-N(Aux!C33)-1)&lt;='01_Criterios'!$C$13),Aux!AA33+(Aux!AM33-Aux!AA33)*(2-Aux!C33)/(Aux!O33-Aux!C33),IF(AND(Aux!C33&lt;&gt;"",(2-N(Aux!C33))&lt;='01_Criterios'!$C$14),Aux!AA33,IF(AND(Aux!O33&lt;&gt;"",(N(Aux!O33)-2)&lt;='01_Criterios'!$C$15),Aux!AM33,"")))))</f>
        <v/>
      </c>
      <c r="M33" s="6" t="str">
        <f>IF('03_Base_Indice'!$D33="","",IF('03_Base_Indice'!M33&lt;&gt;"",'03_Base_Indice'!M33,IF(AND(Aux!D33&lt;&gt;"",Aux!P33&lt;&gt;"",(N(Aux!P33)-N(Aux!D33)-1)&lt;='01_Criterios'!$C$13),Aux!AB33+(Aux!AN33-Aux!AB33)*(3-Aux!D33)/(Aux!P33-Aux!D33),IF(AND(Aux!D33&lt;&gt;"",(3-N(Aux!D33))&lt;='01_Criterios'!$C$14),Aux!AB33,IF(AND(Aux!P33&lt;&gt;"",(N(Aux!P33)-3)&lt;='01_Criterios'!$C$15),Aux!AN33,"")))))</f>
        <v/>
      </c>
      <c r="N33" s="6" t="str">
        <f>IF('03_Base_Indice'!$D33="","",IF('03_Base_Indice'!N33&lt;&gt;"",'03_Base_Indice'!N33,IF(AND(Aux!E33&lt;&gt;"",Aux!Q33&lt;&gt;"",(N(Aux!Q33)-N(Aux!E33)-1)&lt;='01_Criterios'!$C$13),Aux!AC33+(Aux!AO33-Aux!AC33)*(4-Aux!E33)/(Aux!Q33-Aux!E33),IF(AND(Aux!E33&lt;&gt;"",(4-N(Aux!E33))&lt;='01_Criterios'!$C$14),Aux!AC33,IF(AND(Aux!Q33&lt;&gt;"",(N(Aux!Q33)-4)&lt;='01_Criterios'!$C$15),Aux!AO33,"")))))</f>
        <v/>
      </c>
      <c r="O33" s="6" t="str">
        <f>IF('03_Base_Indice'!$D33="","",IF('03_Base_Indice'!O33&lt;&gt;"",'03_Base_Indice'!O33,IF(AND(Aux!F33&lt;&gt;"",Aux!R33&lt;&gt;"",(N(Aux!R33)-N(Aux!F33)-1)&lt;='01_Criterios'!$C$13),Aux!AD33+(Aux!AP33-Aux!AD33)*(5-Aux!F33)/(Aux!R33-Aux!F33),IF(AND(Aux!F33&lt;&gt;"",(5-N(Aux!F33))&lt;='01_Criterios'!$C$14),Aux!AD33,IF(AND(Aux!R33&lt;&gt;"",(N(Aux!R33)-5)&lt;='01_Criterios'!$C$15),Aux!AP33,"")))))</f>
        <v/>
      </c>
      <c r="P33" s="6" t="str">
        <f>IF('03_Base_Indice'!$D33="","",IF('03_Base_Indice'!P33&lt;&gt;"",'03_Base_Indice'!P33,IF(AND(Aux!G33&lt;&gt;"",Aux!S33&lt;&gt;"",(N(Aux!S33)-N(Aux!G33)-1)&lt;='01_Criterios'!$C$13),Aux!AE33+(Aux!AQ33-Aux!AE33)*(6-Aux!G33)/(Aux!S33-Aux!G33),IF(AND(Aux!G33&lt;&gt;"",(6-N(Aux!G33))&lt;='01_Criterios'!$C$14),Aux!AE33,IF(AND(Aux!S33&lt;&gt;"",(N(Aux!S33)-6)&lt;='01_Criterios'!$C$15),Aux!AQ33,"")))))</f>
        <v/>
      </c>
      <c r="Q33" s="6" t="str">
        <f>IF('03_Base_Indice'!$D33="","",IF('03_Base_Indice'!Q33&lt;&gt;"",'03_Base_Indice'!Q33,IF(AND(Aux!H33&lt;&gt;"",Aux!T33&lt;&gt;"",(N(Aux!T33)-N(Aux!H33)-1)&lt;='01_Criterios'!$C$13),Aux!AF33+(Aux!AR33-Aux!AF33)*(7-Aux!H33)/(Aux!T33-Aux!H33),IF(AND(Aux!H33&lt;&gt;"",(7-N(Aux!H33))&lt;='01_Criterios'!$C$14),Aux!AF33,IF(AND(Aux!T33&lt;&gt;"",(N(Aux!T33)-7)&lt;='01_Criterios'!$C$15),Aux!AR33,"")))))</f>
        <v/>
      </c>
      <c r="R33" s="6" t="str">
        <f>IF('03_Base_Indice'!$D33="","",IF('03_Base_Indice'!R33&lt;&gt;"",'03_Base_Indice'!R33,IF(AND(Aux!I33&lt;&gt;"",Aux!U33&lt;&gt;"",(N(Aux!U33)-N(Aux!I33)-1)&lt;='01_Criterios'!$C$13),Aux!AG33+(Aux!AS33-Aux!AG33)*(8-Aux!I33)/(Aux!U33-Aux!I33),IF(AND(Aux!I33&lt;&gt;"",(8-N(Aux!I33))&lt;='01_Criterios'!$C$14),Aux!AG33,IF(AND(Aux!U33&lt;&gt;"",(N(Aux!U33)-8)&lt;='01_Criterios'!$C$15),Aux!AS33,"")))))</f>
        <v/>
      </c>
      <c r="S33" s="6" t="str">
        <f>IF('03_Base_Indice'!$D33="","",IF('03_Base_Indice'!S33&lt;&gt;"",'03_Base_Indice'!S33,IF(AND(Aux!J33&lt;&gt;"",Aux!V33&lt;&gt;"",(N(Aux!V33)-N(Aux!J33)-1)&lt;='01_Criterios'!$C$13),Aux!AH33+(Aux!AT33-Aux!AH33)*(9-Aux!J33)/(Aux!V33-Aux!J33),IF(AND(Aux!J33&lt;&gt;"",(9-N(Aux!J33))&lt;='01_Criterios'!$C$14),Aux!AH33,IF(AND(Aux!V33&lt;&gt;"",(N(Aux!V33)-9)&lt;='01_Criterios'!$C$15),Aux!AT33,"")))))</f>
        <v/>
      </c>
      <c r="T33" s="6" t="str">
        <f>IF('03_Base_Indice'!$D33="","",IF('03_Base_Indice'!T33&lt;&gt;"",'03_Base_Indice'!T33,IF(AND(Aux!K33&lt;&gt;"",Aux!W33&lt;&gt;"",(N(Aux!W33)-N(Aux!K33)-1)&lt;='01_Criterios'!$C$13),Aux!AI33+(Aux!AU33-Aux!AI33)*(10-Aux!K33)/(Aux!W33-Aux!K33),IF(AND(Aux!K33&lt;&gt;"",(10-N(Aux!K33))&lt;='01_Criterios'!$C$14),Aux!AI33,IF(AND(Aux!W33&lt;&gt;"",(N(Aux!W33)-10)&lt;='01_Criterios'!$C$15),Aux!AU33,"")))))</f>
        <v/>
      </c>
      <c r="U33" s="6" t="str">
        <f>IF('03_Base_Indice'!$D33="","",IF('03_Base_Indice'!U33&lt;&gt;"",'03_Base_Indice'!U33,IF(AND(Aux!L33&lt;&gt;"",Aux!X33&lt;&gt;"",(N(Aux!X33)-N(Aux!L33)-1)&lt;='01_Criterios'!$C$13),Aux!AJ33+(Aux!AV33-Aux!AJ33)*(11-Aux!L33)/(Aux!X33-Aux!L33),IF(AND(Aux!L33&lt;&gt;"",(11-N(Aux!L33))&lt;='01_Criterios'!$C$14),Aux!AJ33,IF(AND(Aux!X33&lt;&gt;"",(N(Aux!X33)-11)&lt;='01_Criterios'!$C$15),Aux!AV33,"")))))</f>
        <v/>
      </c>
    </row>
    <row r="34" spans="1:21">
      <c r="A34" s="6" t="str">
        <f>IF('03_Base_Indice'!$A34="","",'03_Base_Indice'!$A34)</f>
        <v>3. Capital Humano</v>
      </c>
      <c r="B34" s="6">
        <f>'03_Base_Indice'!$B34</f>
        <v>10</v>
      </c>
      <c r="D34" s="6" t="str">
        <f>IF('03_Base_Indice'!$D34="","",'03_Base_Indice'!$D34)</f>
        <v/>
      </c>
      <c r="E34" s="6" t="str">
        <f>IF('03_Base_Indice'!$E34="","",'03_Base_Indice'!$E34)</f>
        <v/>
      </c>
      <c r="K34" s="6" t="str">
        <f>IF('03_Base_Indice'!$D34="","",IF('03_Base_Indice'!K34&lt;&gt;"",'03_Base_Indice'!K34,IF(AND(Aux!B34&lt;&gt;"",Aux!N34&lt;&gt;"",(N(Aux!N34)-N(Aux!B34)-1)&lt;='01_Criterios'!$C$13),Aux!Z34+(Aux!AL34-Aux!Z34)*(1-Aux!B34)/(Aux!N34-Aux!B34),IF(AND(Aux!B34&lt;&gt;"",(1-N(Aux!B34))&lt;='01_Criterios'!$C$14),Aux!Z34,IF(AND(Aux!N34&lt;&gt;"",(N(Aux!N34)-1)&lt;='01_Criterios'!$C$15),Aux!AL34,"")))))</f>
        <v/>
      </c>
      <c r="L34" s="6" t="str">
        <f>IF('03_Base_Indice'!$D34="","",IF('03_Base_Indice'!L34&lt;&gt;"",'03_Base_Indice'!L34,IF(AND(Aux!C34&lt;&gt;"",Aux!O34&lt;&gt;"",(N(Aux!O34)-N(Aux!C34)-1)&lt;='01_Criterios'!$C$13),Aux!AA34+(Aux!AM34-Aux!AA34)*(2-Aux!C34)/(Aux!O34-Aux!C34),IF(AND(Aux!C34&lt;&gt;"",(2-N(Aux!C34))&lt;='01_Criterios'!$C$14),Aux!AA34,IF(AND(Aux!O34&lt;&gt;"",(N(Aux!O34)-2)&lt;='01_Criterios'!$C$15),Aux!AM34,"")))))</f>
        <v/>
      </c>
      <c r="M34" s="6" t="str">
        <f>IF('03_Base_Indice'!$D34="","",IF('03_Base_Indice'!M34&lt;&gt;"",'03_Base_Indice'!M34,IF(AND(Aux!D34&lt;&gt;"",Aux!P34&lt;&gt;"",(N(Aux!P34)-N(Aux!D34)-1)&lt;='01_Criterios'!$C$13),Aux!AB34+(Aux!AN34-Aux!AB34)*(3-Aux!D34)/(Aux!P34-Aux!D34),IF(AND(Aux!D34&lt;&gt;"",(3-N(Aux!D34))&lt;='01_Criterios'!$C$14),Aux!AB34,IF(AND(Aux!P34&lt;&gt;"",(N(Aux!P34)-3)&lt;='01_Criterios'!$C$15),Aux!AN34,"")))))</f>
        <v/>
      </c>
      <c r="N34" s="6" t="str">
        <f>IF('03_Base_Indice'!$D34="","",IF('03_Base_Indice'!N34&lt;&gt;"",'03_Base_Indice'!N34,IF(AND(Aux!E34&lt;&gt;"",Aux!Q34&lt;&gt;"",(N(Aux!Q34)-N(Aux!E34)-1)&lt;='01_Criterios'!$C$13),Aux!AC34+(Aux!AO34-Aux!AC34)*(4-Aux!E34)/(Aux!Q34-Aux!E34),IF(AND(Aux!E34&lt;&gt;"",(4-N(Aux!E34))&lt;='01_Criterios'!$C$14),Aux!AC34,IF(AND(Aux!Q34&lt;&gt;"",(N(Aux!Q34)-4)&lt;='01_Criterios'!$C$15),Aux!AO34,"")))))</f>
        <v/>
      </c>
      <c r="O34" s="6" t="str">
        <f>IF('03_Base_Indice'!$D34="","",IF('03_Base_Indice'!O34&lt;&gt;"",'03_Base_Indice'!O34,IF(AND(Aux!F34&lt;&gt;"",Aux!R34&lt;&gt;"",(N(Aux!R34)-N(Aux!F34)-1)&lt;='01_Criterios'!$C$13),Aux!AD34+(Aux!AP34-Aux!AD34)*(5-Aux!F34)/(Aux!R34-Aux!F34),IF(AND(Aux!F34&lt;&gt;"",(5-N(Aux!F34))&lt;='01_Criterios'!$C$14),Aux!AD34,IF(AND(Aux!R34&lt;&gt;"",(N(Aux!R34)-5)&lt;='01_Criterios'!$C$15),Aux!AP34,"")))))</f>
        <v/>
      </c>
      <c r="P34" s="6" t="str">
        <f>IF('03_Base_Indice'!$D34="","",IF('03_Base_Indice'!P34&lt;&gt;"",'03_Base_Indice'!P34,IF(AND(Aux!G34&lt;&gt;"",Aux!S34&lt;&gt;"",(N(Aux!S34)-N(Aux!G34)-1)&lt;='01_Criterios'!$C$13),Aux!AE34+(Aux!AQ34-Aux!AE34)*(6-Aux!G34)/(Aux!S34-Aux!G34),IF(AND(Aux!G34&lt;&gt;"",(6-N(Aux!G34))&lt;='01_Criterios'!$C$14),Aux!AE34,IF(AND(Aux!S34&lt;&gt;"",(N(Aux!S34)-6)&lt;='01_Criterios'!$C$15),Aux!AQ34,"")))))</f>
        <v/>
      </c>
      <c r="Q34" s="6" t="str">
        <f>IF('03_Base_Indice'!$D34="","",IF('03_Base_Indice'!Q34&lt;&gt;"",'03_Base_Indice'!Q34,IF(AND(Aux!H34&lt;&gt;"",Aux!T34&lt;&gt;"",(N(Aux!T34)-N(Aux!H34)-1)&lt;='01_Criterios'!$C$13),Aux!AF34+(Aux!AR34-Aux!AF34)*(7-Aux!H34)/(Aux!T34-Aux!H34),IF(AND(Aux!H34&lt;&gt;"",(7-N(Aux!H34))&lt;='01_Criterios'!$C$14),Aux!AF34,IF(AND(Aux!T34&lt;&gt;"",(N(Aux!T34)-7)&lt;='01_Criterios'!$C$15),Aux!AR34,"")))))</f>
        <v/>
      </c>
      <c r="R34" s="6" t="str">
        <f>IF('03_Base_Indice'!$D34="","",IF('03_Base_Indice'!R34&lt;&gt;"",'03_Base_Indice'!R34,IF(AND(Aux!I34&lt;&gt;"",Aux!U34&lt;&gt;"",(N(Aux!U34)-N(Aux!I34)-1)&lt;='01_Criterios'!$C$13),Aux!AG34+(Aux!AS34-Aux!AG34)*(8-Aux!I34)/(Aux!U34-Aux!I34),IF(AND(Aux!I34&lt;&gt;"",(8-N(Aux!I34))&lt;='01_Criterios'!$C$14),Aux!AG34,IF(AND(Aux!U34&lt;&gt;"",(N(Aux!U34)-8)&lt;='01_Criterios'!$C$15),Aux!AS34,"")))))</f>
        <v/>
      </c>
      <c r="S34" s="6" t="str">
        <f>IF('03_Base_Indice'!$D34="","",IF('03_Base_Indice'!S34&lt;&gt;"",'03_Base_Indice'!S34,IF(AND(Aux!J34&lt;&gt;"",Aux!V34&lt;&gt;"",(N(Aux!V34)-N(Aux!J34)-1)&lt;='01_Criterios'!$C$13),Aux!AH34+(Aux!AT34-Aux!AH34)*(9-Aux!J34)/(Aux!V34-Aux!J34),IF(AND(Aux!J34&lt;&gt;"",(9-N(Aux!J34))&lt;='01_Criterios'!$C$14),Aux!AH34,IF(AND(Aux!V34&lt;&gt;"",(N(Aux!V34)-9)&lt;='01_Criterios'!$C$15),Aux!AT34,"")))))</f>
        <v/>
      </c>
      <c r="T34" s="6" t="str">
        <f>IF('03_Base_Indice'!$D34="","",IF('03_Base_Indice'!T34&lt;&gt;"",'03_Base_Indice'!T34,IF(AND(Aux!K34&lt;&gt;"",Aux!W34&lt;&gt;"",(N(Aux!W34)-N(Aux!K34)-1)&lt;='01_Criterios'!$C$13),Aux!AI34+(Aux!AU34-Aux!AI34)*(10-Aux!K34)/(Aux!W34-Aux!K34),IF(AND(Aux!K34&lt;&gt;"",(10-N(Aux!K34))&lt;='01_Criterios'!$C$14),Aux!AI34,IF(AND(Aux!W34&lt;&gt;"",(N(Aux!W34)-10)&lt;='01_Criterios'!$C$15),Aux!AU34,"")))))</f>
        <v/>
      </c>
      <c r="U34" s="6" t="str">
        <f>IF('03_Base_Indice'!$D34="","",IF('03_Base_Indice'!U34&lt;&gt;"",'03_Base_Indice'!U34,IF(AND(Aux!L34&lt;&gt;"",Aux!X34&lt;&gt;"",(N(Aux!X34)-N(Aux!L34)-1)&lt;='01_Criterios'!$C$13),Aux!AJ34+(Aux!AV34-Aux!AJ34)*(11-Aux!L34)/(Aux!X34-Aux!L34),IF(AND(Aux!L34&lt;&gt;"",(11-N(Aux!L34))&lt;='01_Criterios'!$C$14),Aux!AJ34,IF(AND(Aux!X34&lt;&gt;"",(N(Aux!X34)-11)&lt;='01_Criterios'!$C$15),Aux!AV34,"")))))</f>
        <v/>
      </c>
    </row>
    <row r="35" spans="1:21">
      <c r="A35" s="6" t="str">
        <f>IF('03_Base_Indice'!$A35="","",'03_Base_Indice'!$A35)</f>
        <v>4. Inclusão Social e Protecção</v>
      </c>
      <c r="B35" s="6">
        <f>'03_Base_Indice'!$B35</f>
        <v>1</v>
      </c>
      <c r="D35" s="6" t="str">
        <f>IF('03_Base_Indice'!$D35="","",'03_Base_Indice'!$D35)</f>
        <v>INC005</v>
      </c>
      <c r="E35" s="6" t="str">
        <f>IF('03_Base_Indice'!$E35="","",'03_Base_Indice'!$E35)</f>
        <v>RNB per Capita (USD)</v>
      </c>
      <c r="K35" s="6">
        <f>IF('03_Base_Indice'!$D35="","",IF('03_Base_Indice'!K35&lt;&gt;"",'03_Base_Indice'!K35,IF(AND(Aux!B35&lt;&gt;"",Aux!N35&lt;&gt;"",(N(Aux!N35)-N(Aux!B35)-1)&lt;='01_Criterios'!$C$13),Aux!Z35+(Aux!AL35-Aux!Z35)*(1-Aux!B35)/(Aux!N35-Aux!B35),IF(AND(Aux!B35&lt;&gt;"",(1-N(Aux!B35))&lt;='01_Criterios'!$C$14),Aux!Z35,IF(AND(Aux!N35&lt;&gt;"",(N(Aux!N35)-1)&lt;='01_Criterios'!$C$15),Aux!AL35,"")))))</f>
        <v>4450</v>
      </c>
      <c r="L35" s="6">
        <f>IF('03_Base_Indice'!$D35="","",IF('03_Base_Indice'!L35&lt;&gt;"",'03_Base_Indice'!L35,IF(AND(Aux!C35&lt;&gt;"",Aux!O35&lt;&gt;"",(N(Aux!O35)-N(Aux!C35)-1)&lt;='01_Criterios'!$C$13),Aux!AA35+(Aux!AM35-Aux!AA35)*(2-Aux!C35)/(Aux!O35-Aux!C35),IF(AND(Aux!C35&lt;&gt;"",(2-N(Aux!C35))&lt;='01_Criterios'!$C$14),Aux!AA35,IF(AND(Aux!O35&lt;&gt;"",(N(Aux!O35)-2)&lt;='01_Criterios'!$C$15),Aux!AM35,"")))))</f>
        <v>2960</v>
      </c>
      <c r="M35" s="6">
        <f>IF('03_Base_Indice'!$D35="","",IF('03_Base_Indice'!M35&lt;&gt;"",'03_Base_Indice'!M35,IF(AND(Aux!D35&lt;&gt;"",Aux!P35&lt;&gt;"",(N(Aux!P35)-N(Aux!D35)-1)&lt;='01_Criterios'!$C$13),Aux!AB35+(Aux!AN35-Aux!AB35)*(3-Aux!D35)/(Aux!P35-Aux!D35),IF(AND(Aux!D35&lt;&gt;"",(3-N(Aux!D35))&lt;='01_Criterios'!$C$14),Aux!AB35,IF(AND(Aux!P35&lt;&gt;"",(N(Aux!P35)-3)&lt;='01_Criterios'!$C$15),Aux!AN35,"")))))</f>
        <v>2440</v>
      </c>
      <c r="N35" s="6">
        <f>IF('03_Base_Indice'!$D35="","",IF('03_Base_Indice'!N35&lt;&gt;"",'03_Base_Indice'!N35,IF(AND(Aux!E35&lt;&gt;"",Aux!Q35&lt;&gt;"",(N(Aux!Q35)-N(Aux!E35)-1)&lt;='01_Criterios'!$C$13),Aux!AC35+(Aux!AO35-Aux!AC35)*(4-Aux!E35)/(Aux!Q35-Aux!E35),IF(AND(Aux!E35&lt;&gt;"",(4-N(Aux!E35))&lt;='01_Criterios'!$C$14),Aux!AC35,IF(AND(Aux!Q35&lt;&gt;"",(N(Aux!Q35)-4)&lt;='01_Criterios'!$C$15),Aux!AO35,"")))))</f>
        <v>2300</v>
      </c>
      <c r="O35" s="6">
        <f>IF('03_Base_Indice'!$D35="","",IF('03_Base_Indice'!O35&lt;&gt;"",'03_Base_Indice'!O35,IF(AND(Aux!F35&lt;&gt;"",Aux!R35&lt;&gt;"",(N(Aux!R35)-N(Aux!F35)-1)&lt;='01_Criterios'!$C$13),Aux!AD35+(Aux!AP35-Aux!AD35)*(5-Aux!F35)/(Aux!R35-Aux!F35),IF(AND(Aux!F35&lt;&gt;"",(5-N(Aux!F35))&lt;='01_Criterios'!$C$14),Aux!AD35,IF(AND(Aux!R35&lt;&gt;"",(N(Aux!R35)-5)&lt;='01_Criterios'!$C$15),Aux!AP35,"")))))</f>
        <v>2460</v>
      </c>
      <c r="P35" s="6">
        <f>IF('03_Base_Indice'!$D35="","",IF('03_Base_Indice'!P35&lt;&gt;"",'03_Base_Indice'!P35,IF(AND(Aux!G35&lt;&gt;"",Aux!S35&lt;&gt;"",(N(Aux!S35)-N(Aux!G35)-1)&lt;='01_Criterios'!$C$13),Aux!AE35+(Aux!AQ35-Aux!AE35)*(6-Aux!G35)/(Aux!S35-Aux!G35),IF(AND(Aux!G35&lt;&gt;"",(6-N(Aux!G35))&lt;='01_Criterios'!$C$14),Aux!AE35,IF(AND(Aux!S35&lt;&gt;"",(N(Aux!S35)-6)&lt;='01_Criterios'!$C$15),Aux!AQ35,"")))))</f>
        <v>2000</v>
      </c>
      <c r="Q35" s="6">
        <f>IF('03_Base_Indice'!$D35="","",IF('03_Base_Indice'!Q35&lt;&gt;"",'03_Base_Indice'!Q35,IF(AND(Aux!H35&lt;&gt;"",Aux!T35&lt;&gt;"",(N(Aux!T35)-N(Aux!H35)-1)&lt;='01_Criterios'!$C$13),Aux!AF35+(Aux!AR35-Aux!AF35)*(7-Aux!H35)/(Aux!T35-Aux!H35),IF(AND(Aux!H35&lt;&gt;"",(7-N(Aux!H35))&lt;='01_Criterios'!$C$14),Aux!AF35,IF(AND(Aux!T35&lt;&gt;"",(N(Aux!T35)-7)&lt;='01_Criterios'!$C$15),Aux!AR35,"")))))</f>
        <v>1960</v>
      </c>
      <c r="R35" s="6">
        <f>IF('03_Base_Indice'!$D35="","",IF('03_Base_Indice'!R35&lt;&gt;"",'03_Base_Indice'!R35,IF(AND(Aux!I35&lt;&gt;"",Aux!U35&lt;&gt;"",(N(Aux!U35)-N(Aux!I35)-1)&lt;='01_Criterios'!$C$13),Aux!AG35+(Aux!AS35-Aux!AG35)*(8-Aux!I35)/(Aux!U35-Aux!I35),IF(AND(Aux!I35&lt;&gt;"",(8-N(Aux!I35))&lt;='01_Criterios'!$C$14),Aux!AG35,IF(AND(Aux!U35&lt;&gt;"",(N(Aux!U35)-8)&lt;='01_Criterios'!$C$15),Aux!AS35,"")))))</f>
        <v>2290</v>
      </c>
      <c r="S35" s="6">
        <f>IF('03_Base_Indice'!$D35="","",IF('03_Base_Indice'!S35&lt;&gt;"",'03_Base_Indice'!S35,IF(AND(Aux!J35&lt;&gt;"",Aux!V35&lt;&gt;"",(N(Aux!V35)-N(Aux!J35)-1)&lt;='01_Criterios'!$C$13),Aux!AH35+(Aux!AT35-Aux!AH35)*(9-Aux!J35)/(Aux!V35-Aux!J35),IF(AND(Aux!J35&lt;&gt;"",(9-N(Aux!J35))&lt;='01_Criterios'!$C$14),Aux!AH35,IF(AND(Aux!V35&lt;&gt;"",(N(Aux!V35)-9)&lt;='01_Criterios'!$C$15),Aux!AT35,"")))))</f>
        <v>2650</v>
      </c>
      <c r="T35" s="6">
        <f>IF('03_Base_Indice'!$D35="","",IF('03_Base_Indice'!T35&lt;&gt;"",'03_Base_Indice'!T35,IF(AND(Aux!K35&lt;&gt;"",Aux!W35&lt;&gt;"",(N(Aux!W35)-N(Aux!K35)-1)&lt;='01_Criterios'!$C$13),Aux!AI35+(Aux!AU35-Aux!AI35)*(10-Aux!K35)/(Aux!W35-Aux!K35),IF(AND(Aux!K35&lt;&gt;"",(10-N(Aux!K35))&lt;='01_Criterios'!$C$14),Aux!AI35,IF(AND(Aux!W35&lt;&gt;"",(N(Aux!W35)-10)&lt;='01_Criterios'!$C$15),Aux!AU35,"")))))</f>
        <v>2850</v>
      </c>
      <c r="U35" s="6">
        <f>IF('03_Base_Indice'!$D35="","",IF('03_Base_Indice'!U35&lt;&gt;"",'03_Base_Indice'!U35,IF(AND(Aux!L35&lt;&gt;"",Aux!X35&lt;&gt;"",(N(Aux!X35)-N(Aux!L35)-1)&lt;='01_Criterios'!$C$13),Aux!AJ35+(Aux!AV35-Aux!AJ35)*(11-Aux!L35)/(Aux!X35-Aux!L35),IF(AND(Aux!L35&lt;&gt;"",(11-N(Aux!L35))&lt;='01_Criterios'!$C$14),Aux!AJ35,IF(AND(Aux!X35&lt;&gt;"",(N(Aux!X35)-11)&lt;='01_Criterios'!$C$15),Aux!AV35,"")))))</f>
        <v>2860</v>
      </c>
    </row>
    <row r="36" spans="1:21">
      <c r="A36" s="6" t="str">
        <f>IF('03_Base_Indice'!$A36="","",'03_Base_Indice'!$A36)</f>
        <v>4. Inclusão Social e Protecção</v>
      </c>
      <c r="B36" s="6">
        <f>'03_Base_Indice'!$B36</f>
        <v>2</v>
      </c>
      <c r="D36" s="6" t="str">
        <f>IF('03_Base_Indice'!$D36="","",'03_Base_Indice'!$D36)</f>
        <v>INC04</v>
      </c>
      <c r="E36" s="6" t="str">
        <f>IF('03_Base_Indice'!$E36="","",'03_Base_Indice'!$E36)</f>
        <v>Global Gender Gap Index</v>
      </c>
      <c r="K36" s="6">
        <f>IF('03_Base_Indice'!$D36="","",IF('03_Base_Indice'!K36&lt;&gt;"",'03_Base_Indice'!K36,IF(AND(Aux!B36&lt;&gt;"",Aux!N36&lt;&gt;"",(N(Aux!N36)-N(Aux!B36)-1)&lt;='01_Criterios'!$C$13),Aux!Z36+(Aux!AL36-Aux!Z36)*(1-Aux!B36)/(Aux!N36-Aux!B36),IF(AND(Aux!B36&lt;&gt;"",(1-N(Aux!B36))&lt;='01_Criterios'!$C$14),Aux!Z36,IF(AND(Aux!N36&lt;&gt;"",(N(Aux!N36)-1)&lt;='01_Criterios'!$C$15),Aux!AL36,"")))))</f>
        <v>0.63700000000000001</v>
      </c>
      <c r="L36" s="6">
        <f>IF('03_Base_Indice'!$D36="","",IF('03_Base_Indice'!L36&lt;&gt;"",'03_Base_Indice'!L36,IF(AND(Aux!C36&lt;&gt;"",Aux!O36&lt;&gt;"",(N(Aux!O36)-N(Aux!C36)-1)&lt;='01_Criterios'!$C$13),Aux!AA36+(Aux!AM36-Aux!AA36)*(2-Aux!C36)/(Aux!O36-Aux!C36),IF(AND(Aux!C36&lt;&gt;"",(2-N(Aux!C36))&lt;='01_Criterios'!$C$14),Aux!AA36,IF(AND(Aux!O36&lt;&gt;"",(N(Aux!O36)-2)&lt;='01_Criterios'!$C$15),Aux!AM36,"")))))</f>
        <v>0.64300000000000002</v>
      </c>
      <c r="M36" s="6">
        <f>IF('03_Base_Indice'!$D36="","",IF('03_Base_Indice'!M36&lt;&gt;"",'03_Base_Indice'!M36,IF(AND(Aux!D36&lt;&gt;"",Aux!P36&lt;&gt;"",(N(Aux!P36)-N(Aux!D36)-1)&lt;='01_Criterios'!$C$13),Aux!AB36+(Aux!AN36-Aux!AB36)*(3-Aux!D36)/(Aux!P36-Aux!D36),IF(AND(Aux!D36&lt;&gt;"",(3-N(Aux!D36))&lt;='01_Criterios'!$C$14),Aux!AB36,IF(AND(Aux!P36&lt;&gt;"",(N(Aux!P36)-3)&lt;='01_Criterios'!$C$15),Aux!AN36,"")))))</f>
        <v>0.64</v>
      </c>
      <c r="N36" s="6">
        <f>IF('03_Base_Indice'!$D36="","",IF('03_Base_Indice'!N36&lt;&gt;"",'03_Base_Indice'!N36,IF(AND(Aux!E36&lt;&gt;"",Aux!Q36&lt;&gt;"",(N(Aux!Q36)-N(Aux!E36)-1)&lt;='01_Criterios'!$C$13),Aux!AC36+(Aux!AO36-Aux!AC36)*(4-Aux!E36)/(Aux!Q36-Aux!E36),IF(AND(Aux!E36&lt;&gt;"",(4-N(Aux!E36))&lt;='01_Criterios'!$C$14),Aux!AC36,IF(AND(Aux!Q36&lt;&gt;"",(N(Aux!Q36)-4)&lt;='01_Criterios'!$C$15),Aux!AO36,"")))))</f>
        <v>0.63300000000000001</v>
      </c>
      <c r="O36" s="6">
        <f>IF('03_Base_Indice'!$D36="","",IF('03_Base_Indice'!O36&lt;&gt;"",'03_Base_Indice'!O36,IF(AND(Aux!F36&lt;&gt;"",Aux!R36&lt;&gt;"",(N(Aux!R36)-N(Aux!F36)-1)&lt;='01_Criterios'!$C$13),Aux!AD36+(Aux!AP36-Aux!AD36)*(5-Aux!F36)/(Aux!R36-Aux!F36),IF(AND(Aux!F36&lt;&gt;"",(5-N(Aux!F36))&lt;='01_Criterios'!$C$14),Aux!AD36,IF(AND(Aux!R36&lt;&gt;"",(N(Aux!R36)-5)&lt;='01_Criterios'!$C$15),Aux!AP36,"")))))</f>
        <v>0.64650000000000007</v>
      </c>
      <c r="P36" s="6">
        <f>IF('03_Base_Indice'!$D36="","",IF('03_Base_Indice'!P36&lt;&gt;"",'03_Base_Indice'!P36,IF(AND(Aux!G36&lt;&gt;"",Aux!S36&lt;&gt;"",(N(Aux!S36)-N(Aux!G36)-1)&lt;='01_Criterios'!$C$13),Aux!AE36+(Aux!AQ36-Aux!AE36)*(6-Aux!G36)/(Aux!S36-Aux!G36),IF(AND(Aux!G36&lt;&gt;"",(6-N(Aux!G36))&lt;='01_Criterios'!$C$14),Aux!AE36,IF(AND(Aux!S36&lt;&gt;"",(N(Aux!S36)-6)&lt;='01_Criterios'!$C$15),Aux!AQ36,"")))))</f>
        <v>0.66</v>
      </c>
      <c r="Q36" s="6">
        <f>IF('03_Base_Indice'!$D36="","",IF('03_Base_Indice'!Q36&lt;&gt;"",'03_Base_Indice'!Q36,IF(AND(Aux!H36&lt;&gt;"",Aux!T36&lt;&gt;"",(N(Aux!T36)-N(Aux!H36)-1)&lt;='01_Criterios'!$C$13),Aux!AF36+(Aux!AR36-Aux!AF36)*(7-Aux!H36)/(Aux!T36-Aux!H36),IF(AND(Aux!H36&lt;&gt;"",(7-N(Aux!H36))&lt;='01_Criterios'!$C$14),Aux!AF36,IF(AND(Aux!T36&lt;&gt;"",(N(Aux!T36)-7)&lt;='01_Criterios'!$C$15),Aux!AR36,"")))))</f>
        <v>0.65700000000000003</v>
      </c>
      <c r="R36" s="6">
        <f>IF('03_Base_Indice'!$D36="","",IF('03_Base_Indice'!R36&lt;&gt;"",'03_Base_Indice'!R36,IF(AND(Aux!I36&lt;&gt;"",Aux!U36&lt;&gt;"",(N(Aux!U36)-N(Aux!I36)-1)&lt;='01_Criterios'!$C$13),Aux!AG36+(Aux!AS36-Aux!AG36)*(8-Aux!I36)/(Aux!U36-Aux!I36),IF(AND(Aux!I36&lt;&gt;"",(8-N(Aux!I36))&lt;='01_Criterios'!$C$14),Aux!AG36,IF(AND(Aux!U36&lt;&gt;"",(N(Aux!U36)-8)&lt;='01_Criterios'!$C$15),Aux!AS36,"")))))</f>
        <v>0.63800000000000001</v>
      </c>
      <c r="S36" s="6">
        <f>IF('03_Base_Indice'!$D36="","",IF('03_Base_Indice'!S36&lt;&gt;"",'03_Base_Indice'!S36,IF(AND(Aux!J36&lt;&gt;"",Aux!V36&lt;&gt;"",(N(Aux!V36)-N(Aux!J36)-1)&lt;='01_Criterios'!$C$13),Aux!AH36+(Aux!AT36-Aux!AH36)*(9-Aux!J36)/(Aux!V36-Aux!J36),IF(AND(Aux!J36&lt;&gt;"",(9-N(Aux!J36))&lt;='01_Criterios'!$C$14),Aux!AH36,IF(AND(Aux!V36&lt;&gt;"",(N(Aux!V36)-9)&lt;='01_Criterios'!$C$15),Aux!AT36,"")))))</f>
        <v>0.65600000000000003</v>
      </c>
      <c r="T36" s="6">
        <f>IF('03_Base_Indice'!$D36="","",IF('03_Base_Indice'!T36&lt;&gt;"",'03_Base_Indice'!T36,IF(AND(Aux!K36&lt;&gt;"",Aux!W36&lt;&gt;"",(N(Aux!W36)-N(Aux!K36)-1)&lt;='01_Criterios'!$C$13),Aux!AI36+(Aux!AU36-Aux!AI36)*(10-Aux!K36)/(Aux!W36-Aux!K36),IF(AND(Aux!K36&lt;&gt;"",(10-N(Aux!K36))&lt;='01_Criterios'!$C$14),Aux!AI36,IF(AND(Aux!W36&lt;&gt;"",(N(Aux!W36)-10)&lt;='01_Criterios'!$C$15),Aux!AU36,"")))))</f>
        <v>0.66800000000000004</v>
      </c>
      <c r="U36" s="6">
        <f>IF('03_Base_Indice'!$D36="","",IF('03_Base_Indice'!U36&lt;&gt;"",'03_Base_Indice'!U36,IF(AND(Aux!L36&lt;&gt;"",Aux!X36&lt;&gt;"",(N(Aux!X36)-N(Aux!L36)-1)&lt;='01_Criterios'!$C$13),Aux!AJ36+(Aux!AV36-Aux!AJ36)*(11-Aux!L36)/(Aux!X36-Aux!L36),IF(AND(Aux!L36&lt;&gt;"",(11-N(Aux!L36))&lt;='01_Criterios'!$C$14),Aux!AJ36,IF(AND(Aux!X36&lt;&gt;"",(N(Aux!X36)-11)&lt;='01_Criterios'!$C$15),Aux!AV36,"")))))</f>
        <v>0.66800000000000004</v>
      </c>
    </row>
    <row r="37" spans="1:21">
      <c r="A37" s="6" t="str">
        <f>IF('03_Base_Indice'!$A37="","",'03_Base_Indice'!$A37)</f>
        <v>4. Inclusão Social e Protecção</v>
      </c>
      <c r="B37" s="6">
        <f>'03_Base_Indice'!$B37</f>
        <v>3</v>
      </c>
      <c r="D37" s="6" t="str">
        <f>IF('03_Base_Indice'!$D37="","",'03_Base_Indice'!$D37)</f>
        <v>INC06</v>
      </c>
      <c r="E37" s="6" t="str">
        <f>IF('03_Base_Indice'!$E37="","",'03_Base_Indice'!$E37)</f>
        <v>Mulheres no parlamento</v>
      </c>
      <c r="K37" s="6">
        <f>IF('03_Base_Indice'!$D37="","",IF('03_Base_Indice'!K37&lt;&gt;"",'03_Base_Indice'!K37,IF(AND(Aux!B37&lt;&gt;"",Aux!N37&lt;&gt;"",(N(Aux!N37)-N(Aux!B37)-1)&lt;='01_Criterios'!$C$13),Aux!Z37+(Aux!AL37-Aux!Z37)*(1-Aux!B37)/(Aux!N37-Aux!B37),IF(AND(Aux!B37&lt;&gt;"",(1-N(Aux!B37))&lt;='01_Criterios'!$C$14),Aux!Z37,IF(AND(Aux!N37&lt;&gt;"",(N(Aux!N37)-1)&lt;='01_Criterios'!$C$15),Aux!AL37,"")))))</f>
        <v>36.818181818181799</v>
      </c>
      <c r="L37" s="6">
        <f>IF('03_Base_Indice'!$D37="","",IF('03_Base_Indice'!L37&lt;&gt;"",'03_Base_Indice'!L37,IF(AND(Aux!C37&lt;&gt;"",Aux!O37&lt;&gt;"",(N(Aux!O37)-N(Aux!C37)-1)&lt;='01_Criterios'!$C$13),Aux!AA37+(Aux!AM37-Aux!AA37)*(2-Aux!C37)/(Aux!O37-Aux!C37),IF(AND(Aux!C37&lt;&gt;"",(2-N(Aux!C37))&lt;='01_Criterios'!$C$14),Aux!AA37,IF(AND(Aux!O37&lt;&gt;"",(N(Aux!O37)-2)&lt;='01_Criterios'!$C$15),Aux!AM37,"")))))</f>
        <v>36.818181818181799</v>
      </c>
      <c r="M37" s="6">
        <f>IF('03_Base_Indice'!$D37="","",IF('03_Base_Indice'!M37&lt;&gt;"",'03_Base_Indice'!M37,IF(AND(Aux!D37&lt;&gt;"",Aux!P37&lt;&gt;"",(N(Aux!P37)-N(Aux!D37)-1)&lt;='01_Criterios'!$C$13),Aux!AB37+(Aux!AN37-Aux!AB37)*(3-Aux!D37)/(Aux!P37-Aux!D37),IF(AND(Aux!D37&lt;&gt;"",(3-N(Aux!D37))&lt;='01_Criterios'!$C$14),Aux!AB37,IF(AND(Aux!P37&lt;&gt;"",(N(Aux!P37)-3)&lt;='01_Criterios'!$C$15),Aux!AN37,"")))))</f>
        <v>30.454545454545499</v>
      </c>
      <c r="N37" s="6">
        <f>IF('03_Base_Indice'!$D37="","",IF('03_Base_Indice'!N37&lt;&gt;"",'03_Base_Indice'!N37,IF(AND(Aux!E37&lt;&gt;"",Aux!Q37&lt;&gt;"",(N(Aux!Q37)-N(Aux!E37)-1)&lt;='01_Criterios'!$C$13),Aux!AC37+(Aux!AO37-Aux!AC37)*(4-Aux!E37)/(Aux!Q37-Aux!E37),IF(AND(Aux!E37&lt;&gt;"",(4-N(Aux!E37))&lt;='01_Criterios'!$C$14),Aux!AC37,IF(AND(Aux!Q37&lt;&gt;"",(N(Aux!Q37)-4)&lt;='01_Criterios'!$C$15),Aux!AO37,"")))))</f>
        <v>30.454545454545499</v>
      </c>
      <c r="O37" s="6">
        <f>IF('03_Base_Indice'!$D37="","",IF('03_Base_Indice'!O37&lt;&gt;"",'03_Base_Indice'!O37,IF(AND(Aux!F37&lt;&gt;"",Aux!R37&lt;&gt;"",(N(Aux!R37)-N(Aux!F37)-1)&lt;='01_Criterios'!$C$13),Aux!AD37+(Aux!AP37-Aux!AD37)*(5-Aux!F37)/(Aux!R37-Aux!F37),IF(AND(Aux!F37&lt;&gt;"",(5-N(Aux!F37))&lt;='01_Criterios'!$C$14),Aux!AD37,IF(AND(Aux!R37&lt;&gt;"",(N(Aux!R37)-5)&lt;='01_Criterios'!$C$15),Aux!AP37,"")))))</f>
        <v>30</v>
      </c>
      <c r="P37" s="6">
        <f>IF('03_Base_Indice'!$D37="","",IF('03_Base_Indice'!P37&lt;&gt;"",'03_Base_Indice'!P37,IF(AND(Aux!G37&lt;&gt;"",Aux!S37&lt;&gt;"",(N(Aux!S37)-N(Aux!G37)-1)&lt;='01_Criterios'!$C$13),Aux!AE37+(Aux!AQ37-Aux!AE37)*(6-Aux!G37)/(Aux!S37-Aux!G37),IF(AND(Aux!G37&lt;&gt;"",(6-N(Aux!G37))&lt;='01_Criterios'!$C$14),Aux!AE37,IF(AND(Aux!S37&lt;&gt;"",(N(Aux!S37)-6)&lt;='01_Criterios'!$C$15),Aux!AQ37,"")))))</f>
        <v>30</v>
      </c>
      <c r="Q37" s="6">
        <f>IF('03_Base_Indice'!$D37="","",IF('03_Base_Indice'!Q37&lt;&gt;"",'03_Base_Indice'!Q37,IF(AND(Aux!H37&lt;&gt;"",Aux!T37&lt;&gt;"",(N(Aux!T37)-N(Aux!H37)-1)&lt;='01_Criterios'!$C$13),Aux!AF37+(Aux!AR37-Aux!AF37)*(7-Aux!H37)/(Aux!T37-Aux!H37),IF(AND(Aux!H37&lt;&gt;"",(7-N(Aux!H37))&lt;='01_Criterios'!$C$14),Aux!AF37,IF(AND(Aux!T37&lt;&gt;"",(N(Aux!T37)-7)&lt;='01_Criterios'!$C$15),Aux!AR37,"")))))</f>
        <v>29.545454545454501</v>
      </c>
      <c r="R37" s="6">
        <f>IF('03_Base_Indice'!$D37="","",IF('03_Base_Indice'!R37&lt;&gt;"",'03_Base_Indice'!R37,IF(AND(Aux!I37&lt;&gt;"",Aux!U37&lt;&gt;"",(N(Aux!U37)-N(Aux!I37)-1)&lt;='01_Criterios'!$C$13),Aux!AG37+(Aux!AS37-Aux!AG37)*(8-Aux!I37)/(Aux!U37-Aux!I37),IF(AND(Aux!I37&lt;&gt;"",(8-N(Aux!I37))&lt;='01_Criterios'!$C$14),Aux!AG37,IF(AND(Aux!U37&lt;&gt;"",(N(Aux!U37)-8)&lt;='01_Criterios'!$C$15),Aux!AS37,"")))))</f>
        <v>33.636363636363598</v>
      </c>
      <c r="S37" s="6">
        <f>IF('03_Base_Indice'!$D37="","",IF('03_Base_Indice'!S37&lt;&gt;"",'03_Base_Indice'!S37,IF(AND(Aux!J37&lt;&gt;"",Aux!V37&lt;&gt;"",(N(Aux!V37)-N(Aux!J37)-1)&lt;='01_Criterios'!$C$13),Aux!AH37+(Aux!AT37-Aux!AH37)*(9-Aux!J37)/(Aux!V37-Aux!J37),IF(AND(Aux!J37&lt;&gt;"",(9-N(Aux!J37))&lt;='01_Criterios'!$C$14),Aux!AH37,IF(AND(Aux!V37&lt;&gt;"",(N(Aux!V37)-9)&lt;='01_Criterios'!$C$15),Aux!AT37,"")))))</f>
        <v>33.636363636363598</v>
      </c>
      <c r="T37" s="6">
        <f>IF('03_Base_Indice'!$D37="","",IF('03_Base_Indice'!T37&lt;&gt;"",'03_Base_Indice'!T37,IF(AND(Aux!K37&lt;&gt;"",Aux!W37&lt;&gt;"",(N(Aux!W37)-N(Aux!K37)-1)&lt;='01_Criterios'!$C$13),Aux!AI37+(Aux!AU37-Aux!AI37)*(10-Aux!K37)/(Aux!W37-Aux!K37),IF(AND(Aux!K37&lt;&gt;"",(10-N(Aux!K37))&lt;='01_Criterios'!$C$14),Aux!AI37,IF(AND(Aux!W37&lt;&gt;"",(N(Aux!W37)-10)&lt;='01_Criterios'!$C$15),Aux!AU37,"")))))</f>
        <v>39.545454545454497</v>
      </c>
      <c r="U37" s="6">
        <f>IF('03_Base_Indice'!$D37="","",IF('03_Base_Indice'!U37&lt;&gt;"",'03_Base_Indice'!U37,IF(AND(Aux!L37&lt;&gt;"",Aux!X37&lt;&gt;"",(N(Aux!X37)-N(Aux!L37)-1)&lt;='01_Criterios'!$C$13),Aux!AJ37+(Aux!AV37-Aux!AJ37)*(11-Aux!L37)/(Aux!X37-Aux!L37),IF(AND(Aux!L37&lt;&gt;"",(11-N(Aux!L37))&lt;='01_Criterios'!$C$14),Aux!AJ37,IF(AND(Aux!X37&lt;&gt;"",(N(Aux!X37)-11)&lt;='01_Criterios'!$C$15),Aux!AV37,"")))))</f>
        <v>39.090909090909101</v>
      </c>
    </row>
    <row r="38" spans="1:21">
      <c r="A38" s="6" t="str">
        <f>IF('03_Base_Indice'!$A38="","",'03_Base_Indice'!$A38)</f>
        <v>4. Inclusão Social e Protecção</v>
      </c>
      <c r="B38" s="6">
        <f>'03_Base_Indice'!$B38</f>
        <v>4</v>
      </c>
      <c r="D38" s="6" t="str">
        <f>IF('03_Base_Indice'!$D38="","",'03_Base_Indice'!$D38)</f>
        <v/>
      </c>
      <c r="E38" s="6" t="str">
        <f>IF('03_Base_Indice'!$E38="","",'03_Base_Indice'!$E38)</f>
        <v/>
      </c>
      <c r="K38" s="6" t="str">
        <f>IF('03_Base_Indice'!$D38="","",IF('03_Base_Indice'!K38&lt;&gt;"",'03_Base_Indice'!K38,IF(AND(Aux!B38&lt;&gt;"",Aux!N38&lt;&gt;"",(N(Aux!N38)-N(Aux!B38)-1)&lt;='01_Criterios'!$C$13),Aux!Z38+(Aux!AL38-Aux!Z38)*(1-Aux!B38)/(Aux!N38-Aux!B38),IF(AND(Aux!B38&lt;&gt;"",(1-N(Aux!B38))&lt;='01_Criterios'!$C$14),Aux!Z38,IF(AND(Aux!N38&lt;&gt;"",(N(Aux!N38)-1)&lt;='01_Criterios'!$C$15),Aux!AL38,"")))))</f>
        <v/>
      </c>
      <c r="L38" s="6" t="str">
        <f>IF('03_Base_Indice'!$D38="","",IF('03_Base_Indice'!L38&lt;&gt;"",'03_Base_Indice'!L38,IF(AND(Aux!C38&lt;&gt;"",Aux!O38&lt;&gt;"",(N(Aux!O38)-N(Aux!C38)-1)&lt;='01_Criterios'!$C$13),Aux!AA38+(Aux!AM38-Aux!AA38)*(2-Aux!C38)/(Aux!O38-Aux!C38),IF(AND(Aux!C38&lt;&gt;"",(2-N(Aux!C38))&lt;='01_Criterios'!$C$14),Aux!AA38,IF(AND(Aux!O38&lt;&gt;"",(N(Aux!O38)-2)&lt;='01_Criterios'!$C$15),Aux!AM38,"")))))</f>
        <v/>
      </c>
      <c r="M38" s="6" t="str">
        <f>IF('03_Base_Indice'!$D38="","",IF('03_Base_Indice'!M38&lt;&gt;"",'03_Base_Indice'!M38,IF(AND(Aux!D38&lt;&gt;"",Aux!P38&lt;&gt;"",(N(Aux!P38)-N(Aux!D38)-1)&lt;='01_Criterios'!$C$13),Aux!AB38+(Aux!AN38-Aux!AB38)*(3-Aux!D38)/(Aux!P38-Aux!D38),IF(AND(Aux!D38&lt;&gt;"",(3-N(Aux!D38))&lt;='01_Criterios'!$C$14),Aux!AB38,IF(AND(Aux!P38&lt;&gt;"",(N(Aux!P38)-3)&lt;='01_Criterios'!$C$15),Aux!AN38,"")))))</f>
        <v/>
      </c>
      <c r="N38" s="6" t="str">
        <f>IF('03_Base_Indice'!$D38="","",IF('03_Base_Indice'!N38&lt;&gt;"",'03_Base_Indice'!N38,IF(AND(Aux!E38&lt;&gt;"",Aux!Q38&lt;&gt;"",(N(Aux!Q38)-N(Aux!E38)-1)&lt;='01_Criterios'!$C$13),Aux!AC38+(Aux!AO38-Aux!AC38)*(4-Aux!E38)/(Aux!Q38-Aux!E38),IF(AND(Aux!E38&lt;&gt;"",(4-N(Aux!E38))&lt;='01_Criterios'!$C$14),Aux!AC38,IF(AND(Aux!Q38&lt;&gt;"",(N(Aux!Q38)-4)&lt;='01_Criterios'!$C$15),Aux!AO38,"")))))</f>
        <v/>
      </c>
      <c r="O38" s="6" t="str">
        <f>IF('03_Base_Indice'!$D38="","",IF('03_Base_Indice'!O38&lt;&gt;"",'03_Base_Indice'!O38,IF(AND(Aux!F38&lt;&gt;"",Aux!R38&lt;&gt;"",(N(Aux!R38)-N(Aux!F38)-1)&lt;='01_Criterios'!$C$13),Aux!AD38+(Aux!AP38-Aux!AD38)*(5-Aux!F38)/(Aux!R38-Aux!F38),IF(AND(Aux!F38&lt;&gt;"",(5-N(Aux!F38))&lt;='01_Criterios'!$C$14),Aux!AD38,IF(AND(Aux!R38&lt;&gt;"",(N(Aux!R38)-5)&lt;='01_Criterios'!$C$15),Aux!AP38,"")))))</f>
        <v/>
      </c>
      <c r="P38" s="6" t="str">
        <f>IF('03_Base_Indice'!$D38="","",IF('03_Base_Indice'!P38&lt;&gt;"",'03_Base_Indice'!P38,IF(AND(Aux!G38&lt;&gt;"",Aux!S38&lt;&gt;"",(N(Aux!S38)-N(Aux!G38)-1)&lt;='01_Criterios'!$C$13),Aux!AE38+(Aux!AQ38-Aux!AE38)*(6-Aux!G38)/(Aux!S38-Aux!G38),IF(AND(Aux!G38&lt;&gt;"",(6-N(Aux!G38))&lt;='01_Criterios'!$C$14),Aux!AE38,IF(AND(Aux!S38&lt;&gt;"",(N(Aux!S38)-6)&lt;='01_Criterios'!$C$15),Aux!AQ38,"")))))</f>
        <v/>
      </c>
      <c r="Q38" s="6" t="str">
        <f>IF('03_Base_Indice'!$D38="","",IF('03_Base_Indice'!Q38&lt;&gt;"",'03_Base_Indice'!Q38,IF(AND(Aux!H38&lt;&gt;"",Aux!T38&lt;&gt;"",(N(Aux!T38)-N(Aux!H38)-1)&lt;='01_Criterios'!$C$13),Aux!AF38+(Aux!AR38-Aux!AF38)*(7-Aux!H38)/(Aux!T38-Aux!H38),IF(AND(Aux!H38&lt;&gt;"",(7-N(Aux!H38))&lt;='01_Criterios'!$C$14),Aux!AF38,IF(AND(Aux!T38&lt;&gt;"",(N(Aux!T38)-7)&lt;='01_Criterios'!$C$15),Aux!AR38,"")))))</f>
        <v/>
      </c>
      <c r="R38" s="6" t="str">
        <f>IF('03_Base_Indice'!$D38="","",IF('03_Base_Indice'!R38&lt;&gt;"",'03_Base_Indice'!R38,IF(AND(Aux!I38&lt;&gt;"",Aux!U38&lt;&gt;"",(N(Aux!U38)-N(Aux!I38)-1)&lt;='01_Criterios'!$C$13),Aux!AG38+(Aux!AS38-Aux!AG38)*(8-Aux!I38)/(Aux!U38-Aux!I38),IF(AND(Aux!I38&lt;&gt;"",(8-N(Aux!I38))&lt;='01_Criterios'!$C$14),Aux!AG38,IF(AND(Aux!U38&lt;&gt;"",(N(Aux!U38)-8)&lt;='01_Criterios'!$C$15),Aux!AS38,"")))))</f>
        <v/>
      </c>
      <c r="S38" s="6" t="str">
        <f>IF('03_Base_Indice'!$D38="","",IF('03_Base_Indice'!S38&lt;&gt;"",'03_Base_Indice'!S38,IF(AND(Aux!J38&lt;&gt;"",Aux!V38&lt;&gt;"",(N(Aux!V38)-N(Aux!J38)-1)&lt;='01_Criterios'!$C$13),Aux!AH38+(Aux!AT38-Aux!AH38)*(9-Aux!J38)/(Aux!V38-Aux!J38),IF(AND(Aux!J38&lt;&gt;"",(9-N(Aux!J38))&lt;='01_Criterios'!$C$14),Aux!AH38,IF(AND(Aux!V38&lt;&gt;"",(N(Aux!V38)-9)&lt;='01_Criterios'!$C$15),Aux!AT38,"")))))</f>
        <v/>
      </c>
      <c r="T38" s="6" t="str">
        <f>IF('03_Base_Indice'!$D38="","",IF('03_Base_Indice'!T38&lt;&gt;"",'03_Base_Indice'!T38,IF(AND(Aux!K38&lt;&gt;"",Aux!W38&lt;&gt;"",(N(Aux!W38)-N(Aux!K38)-1)&lt;='01_Criterios'!$C$13),Aux!AI38+(Aux!AU38-Aux!AI38)*(10-Aux!K38)/(Aux!W38-Aux!K38),IF(AND(Aux!K38&lt;&gt;"",(10-N(Aux!K38))&lt;='01_Criterios'!$C$14),Aux!AI38,IF(AND(Aux!W38&lt;&gt;"",(N(Aux!W38)-10)&lt;='01_Criterios'!$C$15),Aux!AU38,"")))))</f>
        <v/>
      </c>
      <c r="U38" s="6" t="str">
        <f>IF('03_Base_Indice'!$D38="","",IF('03_Base_Indice'!U38&lt;&gt;"",'03_Base_Indice'!U38,IF(AND(Aux!L38&lt;&gt;"",Aux!X38&lt;&gt;"",(N(Aux!X38)-N(Aux!L38)-1)&lt;='01_Criterios'!$C$13),Aux!AJ38+(Aux!AV38-Aux!AJ38)*(11-Aux!L38)/(Aux!X38-Aux!L38),IF(AND(Aux!L38&lt;&gt;"",(11-N(Aux!L38))&lt;='01_Criterios'!$C$14),Aux!AJ38,IF(AND(Aux!X38&lt;&gt;"",(N(Aux!X38)-11)&lt;='01_Criterios'!$C$15),Aux!AV38,"")))))</f>
        <v/>
      </c>
    </row>
    <row r="39" spans="1:21">
      <c r="A39" s="6" t="str">
        <f>IF('03_Base_Indice'!$A39="","",'03_Base_Indice'!$A39)</f>
        <v>4. Inclusão Social e Protecção</v>
      </c>
      <c r="B39" s="6">
        <f>'03_Base_Indice'!$B39</f>
        <v>5</v>
      </c>
      <c r="D39" s="6" t="str">
        <f>IF('03_Base_Indice'!$D39="","",'03_Base_Indice'!$D39)</f>
        <v/>
      </c>
      <c r="E39" s="6" t="str">
        <f>IF('03_Base_Indice'!$E39="","",'03_Base_Indice'!$E39)</f>
        <v/>
      </c>
      <c r="K39" s="6" t="str">
        <f>IF('03_Base_Indice'!$D39="","",IF('03_Base_Indice'!K39&lt;&gt;"",'03_Base_Indice'!K39,IF(AND(Aux!B39&lt;&gt;"",Aux!N39&lt;&gt;"",(N(Aux!N39)-N(Aux!B39)-1)&lt;='01_Criterios'!$C$13),Aux!Z39+(Aux!AL39-Aux!Z39)*(1-Aux!B39)/(Aux!N39-Aux!B39),IF(AND(Aux!B39&lt;&gt;"",(1-N(Aux!B39))&lt;='01_Criterios'!$C$14),Aux!Z39,IF(AND(Aux!N39&lt;&gt;"",(N(Aux!N39)-1)&lt;='01_Criterios'!$C$15),Aux!AL39,"")))))</f>
        <v/>
      </c>
      <c r="L39" s="6" t="str">
        <f>IF('03_Base_Indice'!$D39="","",IF('03_Base_Indice'!L39&lt;&gt;"",'03_Base_Indice'!L39,IF(AND(Aux!C39&lt;&gt;"",Aux!O39&lt;&gt;"",(N(Aux!O39)-N(Aux!C39)-1)&lt;='01_Criterios'!$C$13),Aux!AA39+(Aux!AM39-Aux!AA39)*(2-Aux!C39)/(Aux!O39-Aux!C39),IF(AND(Aux!C39&lt;&gt;"",(2-N(Aux!C39))&lt;='01_Criterios'!$C$14),Aux!AA39,IF(AND(Aux!O39&lt;&gt;"",(N(Aux!O39)-2)&lt;='01_Criterios'!$C$15),Aux!AM39,"")))))</f>
        <v/>
      </c>
      <c r="M39" s="6" t="str">
        <f>IF('03_Base_Indice'!$D39="","",IF('03_Base_Indice'!M39&lt;&gt;"",'03_Base_Indice'!M39,IF(AND(Aux!D39&lt;&gt;"",Aux!P39&lt;&gt;"",(N(Aux!P39)-N(Aux!D39)-1)&lt;='01_Criterios'!$C$13),Aux!AB39+(Aux!AN39-Aux!AB39)*(3-Aux!D39)/(Aux!P39-Aux!D39),IF(AND(Aux!D39&lt;&gt;"",(3-N(Aux!D39))&lt;='01_Criterios'!$C$14),Aux!AB39,IF(AND(Aux!P39&lt;&gt;"",(N(Aux!P39)-3)&lt;='01_Criterios'!$C$15),Aux!AN39,"")))))</f>
        <v/>
      </c>
      <c r="N39" s="6" t="str">
        <f>IF('03_Base_Indice'!$D39="","",IF('03_Base_Indice'!N39&lt;&gt;"",'03_Base_Indice'!N39,IF(AND(Aux!E39&lt;&gt;"",Aux!Q39&lt;&gt;"",(N(Aux!Q39)-N(Aux!E39)-1)&lt;='01_Criterios'!$C$13),Aux!AC39+(Aux!AO39-Aux!AC39)*(4-Aux!E39)/(Aux!Q39-Aux!E39),IF(AND(Aux!E39&lt;&gt;"",(4-N(Aux!E39))&lt;='01_Criterios'!$C$14),Aux!AC39,IF(AND(Aux!Q39&lt;&gt;"",(N(Aux!Q39)-4)&lt;='01_Criterios'!$C$15),Aux!AO39,"")))))</f>
        <v/>
      </c>
      <c r="O39" s="6" t="str">
        <f>IF('03_Base_Indice'!$D39="","",IF('03_Base_Indice'!O39&lt;&gt;"",'03_Base_Indice'!O39,IF(AND(Aux!F39&lt;&gt;"",Aux!R39&lt;&gt;"",(N(Aux!R39)-N(Aux!F39)-1)&lt;='01_Criterios'!$C$13),Aux!AD39+(Aux!AP39-Aux!AD39)*(5-Aux!F39)/(Aux!R39-Aux!F39),IF(AND(Aux!F39&lt;&gt;"",(5-N(Aux!F39))&lt;='01_Criterios'!$C$14),Aux!AD39,IF(AND(Aux!R39&lt;&gt;"",(N(Aux!R39)-5)&lt;='01_Criterios'!$C$15),Aux!AP39,"")))))</f>
        <v/>
      </c>
      <c r="P39" s="6" t="str">
        <f>IF('03_Base_Indice'!$D39="","",IF('03_Base_Indice'!P39&lt;&gt;"",'03_Base_Indice'!P39,IF(AND(Aux!G39&lt;&gt;"",Aux!S39&lt;&gt;"",(N(Aux!S39)-N(Aux!G39)-1)&lt;='01_Criterios'!$C$13),Aux!AE39+(Aux!AQ39-Aux!AE39)*(6-Aux!G39)/(Aux!S39-Aux!G39),IF(AND(Aux!G39&lt;&gt;"",(6-N(Aux!G39))&lt;='01_Criterios'!$C$14),Aux!AE39,IF(AND(Aux!S39&lt;&gt;"",(N(Aux!S39)-6)&lt;='01_Criterios'!$C$15),Aux!AQ39,"")))))</f>
        <v/>
      </c>
      <c r="Q39" s="6" t="str">
        <f>IF('03_Base_Indice'!$D39="","",IF('03_Base_Indice'!Q39&lt;&gt;"",'03_Base_Indice'!Q39,IF(AND(Aux!H39&lt;&gt;"",Aux!T39&lt;&gt;"",(N(Aux!T39)-N(Aux!H39)-1)&lt;='01_Criterios'!$C$13),Aux!AF39+(Aux!AR39-Aux!AF39)*(7-Aux!H39)/(Aux!T39-Aux!H39),IF(AND(Aux!H39&lt;&gt;"",(7-N(Aux!H39))&lt;='01_Criterios'!$C$14),Aux!AF39,IF(AND(Aux!T39&lt;&gt;"",(N(Aux!T39)-7)&lt;='01_Criterios'!$C$15),Aux!AR39,"")))))</f>
        <v/>
      </c>
      <c r="R39" s="6" t="str">
        <f>IF('03_Base_Indice'!$D39="","",IF('03_Base_Indice'!R39&lt;&gt;"",'03_Base_Indice'!R39,IF(AND(Aux!I39&lt;&gt;"",Aux!U39&lt;&gt;"",(N(Aux!U39)-N(Aux!I39)-1)&lt;='01_Criterios'!$C$13),Aux!AG39+(Aux!AS39-Aux!AG39)*(8-Aux!I39)/(Aux!U39-Aux!I39),IF(AND(Aux!I39&lt;&gt;"",(8-N(Aux!I39))&lt;='01_Criterios'!$C$14),Aux!AG39,IF(AND(Aux!U39&lt;&gt;"",(N(Aux!U39)-8)&lt;='01_Criterios'!$C$15),Aux!AS39,"")))))</f>
        <v/>
      </c>
      <c r="S39" s="6" t="str">
        <f>IF('03_Base_Indice'!$D39="","",IF('03_Base_Indice'!S39&lt;&gt;"",'03_Base_Indice'!S39,IF(AND(Aux!J39&lt;&gt;"",Aux!V39&lt;&gt;"",(N(Aux!V39)-N(Aux!J39)-1)&lt;='01_Criterios'!$C$13),Aux!AH39+(Aux!AT39-Aux!AH39)*(9-Aux!J39)/(Aux!V39-Aux!J39),IF(AND(Aux!J39&lt;&gt;"",(9-N(Aux!J39))&lt;='01_Criterios'!$C$14),Aux!AH39,IF(AND(Aux!V39&lt;&gt;"",(N(Aux!V39)-9)&lt;='01_Criterios'!$C$15),Aux!AT39,"")))))</f>
        <v/>
      </c>
      <c r="T39" s="6" t="str">
        <f>IF('03_Base_Indice'!$D39="","",IF('03_Base_Indice'!T39&lt;&gt;"",'03_Base_Indice'!T39,IF(AND(Aux!K39&lt;&gt;"",Aux!W39&lt;&gt;"",(N(Aux!W39)-N(Aux!K39)-1)&lt;='01_Criterios'!$C$13),Aux!AI39+(Aux!AU39-Aux!AI39)*(10-Aux!K39)/(Aux!W39-Aux!K39),IF(AND(Aux!K39&lt;&gt;"",(10-N(Aux!K39))&lt;='01_Criterios'!$C$14),Aux!AI39,IF(AND(Aux!W39&lt;&gt;"",(N(Aux!W39)-10)&lt;='01_Criterios'!$C$15),Aux!AU39,"")))))</f>
        <v/>
      </c>
      <c r="U39" s="6" t="str">
        <f>IF('03_Base_Indice'!$D39="","",IF('03_Base_Indice'!U39&lt;&gt;"",'03_Base_Indice'!U39,IF(AND(Aux!L39&lt;&gt;"",Aux!X39&lt;&gt;"",(N(Aux!X39)-N(Aux!L39)-1)&lt;='01_Criterios'!$C$13),Aux!AJ39+(Aux!AV39-Aux!AJ39)*(11-Aux!L39)/(Aux!X39-Aux!L39),IF(AND(Aux!L39&lt;&gt;"",(11-N(Aux!L39))&lt;='01_Criterios'!$C$14),Aux!AJ39,IF(AND(Aux!X39&lt;&gt;"",(N(Aux!X39)-11)&lt;='01_Criterios'!$C$15),Aux!AV39,"")))))</f>
        <v/>
      </c>
    </row>
    <row r="40" spans="1:21">
      <c r="A40" s="6" t="str">
        <f>IF('03_Base_Indice'!$A40="","",'03_Base_Indice'!$A40)</f>
        <v>4. Inclusão Social e Protecção</v>
      </c>
      <c r="B40" s="6">
        <f>'03_Base_Indice'!$B40</f>
        <v>6</v>
      </c>
      <c r="D40" s="6" t="str">
        <f>IF('03_Base_Indice'!$D40="","",'03_Base_Indice'!$D40)</f>
        <v/>
      </c>
      <c r="E40" s="6" t="str">
        <f>IF('03_Base_Indice'!$E40="","",'03_Base_Indice'!$E40)</f>
        <v/>
      </c>
      <c r="K40" s="6" t="str">
        <f>IF('03_Base_Indice'!$D40="","",IF('03_Base_Indice'!K40&lt;&gt;"",'03_Base_Indice'!K40,IF(AND(Aux!B40&lt;&gt;"",Aux!N40&lt;&gt;"",(N(Aux!N40)-N(Aux!B40)-1)&lt;='01_Criterios'!$C$13),Aux!Z40+(Aux!AL40-Aux!Z40)*(1-Aux!B40)/(Aux!N40-Aux!B40),IF(AND(Aux!B40&lt;&gt;"",(1-N(Aux!B40))&lt;='01_Criterios'!$C$14),Aux!Z40,IF(AND(Aux!N40&lt;&gt;"",(N(Aux!N40)-1)&lt;='01_Criterios'!$C$15),Aux!AL40,"")))))</f>
        <v/>
      </c>
      <c r="L40" s="6" t="str">
        <f>IF('03_Base_Indice'!$D40="","",IF('03_Base_Indice'!L40&lt;&gt;"",'03_Base_Indice'!L40,IF(AND(Aux!C40&lt;&gt;"",Aux!O40&lt;&gt;"",(N(Aux!O40)-N(Aux!C40)-1)&lt;='01_Criterios'!$C$13),Aux!AA40+(Aux!AM40-Aux!AA40)*(2-Aux!C40)/(Aux!O40-Aux!C40),IF(AND(Aux!C40&lt;&gt;"",(2-N(Aux!C40))&lt;='01_Criterios'!$C$14),Aux!AA40,IF(AND(Aux!O40&lt;&gt;"",(N(Aux!O40)-2)&lt;='01_Criterios'!$C$15),Aux!AM40,"")))))</f>
        <v/>
      </c>
      <c r="M40" s="6" t="str">
        <f>IF('03_Base_Indice'!$D40="","",IF('03_Base_Indice'!M40&lt;&gt;"",'03_Base_Indice'!M40,IF(AND(Aux!D40&lt;&gt;"",Aux!P40&lt;&gt;"",(N(Aux!P40)-N(Aux!D40)-1)&lt;='01_Criterios'!$C$13),Aux!AB40+(Aux!AN40-Aux!AB40)*(3-Aux!D40)/(Aux!P40-Aux!D40),IF(AND(Aux!D40&lt;&gt;"",(3-N(Aux!D40))&lt;='01_Criterios'!$C$14),Aux!AB40,IF(AND(Aux!P40&lt;&gt;"",(N(Aux!P40)-3)&lt;='01_Criterios'!$C$15),Aux!AN40,"")))))</f>
        <v/>
      </c>
      <c r="N40" s="6" t="str">
        <f>IF('03_Base_Indice'!$D40="","",IF('03_Base_Indice'!N40&lt;&gt;"",'03_Base_Indice'!N40,IF(AND(Aux!E40&lt;&gt;"",Aux!Q40&lt;&gt;"",(N(Aux!Q40)-N(Aux!E40)-1)&lt;='01_Criterios'!$C$13),Aux!AC40+(Aux!AO40-Aux!AC40)*(4-Aux!E40)/(Aux!Q40-Aux!E40),IF(AND(Aux!E40&lt;&gt;"",(4-N(Aux!E40))&lt;='01_Criterios'!$C$14),Aux!AC40,IF(AND(Aux!Q40&lt;&gt;"",(N(Aux!Q40)-4)&lt;='01_Criterios'!$C$15),Aux!AO40,"")))))</f>
        <v/>
      </c>
      <c r="O40" s="6" t="str">
        <f>IF('03_Base_Indice'!$D40="","",IF('03_Base_Indice'!O40&lt;&gt;"",'03_Base_Indice'!O40,IF(AND(Aux!F40&lt;&gt;"",Aux!R40&lt;&gt;"",(N(Aux!R40)-N(Aux!F40)-1)&lt;='01_Criterios'!$C$13),Aux!AD40+(Aux!AP40-Aux!AD40)*(5-Aux!F40)/(Aux!R40-Aux!F40),IF(AND(Aux!F40&lt;&gt;"",(5-N(Aux!F40))&lt;='01_Criterios'!$C$14),Aux!AD40,IF(AND(Aux!R40&lt;&gt;"",(N(Aux!R40)-5)&lt;='01_Criterios'!$C$15),Aux!AP40,"")))))</f>
        <v/>
      </c>
      <c r="P40" s="6" t="str">
        <f>IF('03_Base_Indice'!$D40="","",IF('03_Base_Indice'!P40&lt;&gt;"",'03_Base_Indice'!P40,IF(AND(Aux!G40&lt;&gt;"",Aux!S40&lt;&gt;"",(N(Aux!S40)-N(Aux!G40)-1)&lt;='01_Criterios'!$C$13),Aux!AE40+(Aux!AQ40-Aux!AE40)*(6-Aux!G40)/(Aux!S40-Aux!G40),IF(AND(Aux!G40&lt;&gt;"",(6-N(Aux!G40))&lt;='01_Criterios'!$C$14),Aux!AE40,IF(AND(Aux!S40&lt;&gt;"",(N(Aux!S40)-6)&lt;='01_Criterios'!$C$15),Aux!AQ40,"")))))</f>
        <v/>
      </c>
      <c r="Q40" s="6" t="str">
        <f>IF('03_Base_Indice'!$D40="","",IF('03_Base_Indice'!Q40&lt;&gt;"",'03_Base_Indice'!Q40,IF(AND(Aux!H40&lt;&gt;"",Aux!T40&lt;&gt;"",(N(Aux!T40)-N(Aux!H40)-1)&lt;='01_Criterios'!$C$13),Aux!AF40+(Aux!AR40-Aux!AF40)*(7-Aux!H40)/(Aux!T40-Aux!H40),IF(AND(Aux!H40&lt;&gt;"",(7-N(Aux!H40))&lt;='01_Criterios'!$C$14),Aux!AF40,IF(AND(Aux!T40&lt;&gt;"",(N(Aux!T40)-7)&lt;='01_Criterios'!$C$15),Aux!AR40,"")))))</f>
        <v/>
      </c>
      <c r="R40" s="6" t="str">
        <f>IF('03_Base_Indice'!$D40="","",IF('03_Base_Indice'!R40&lt;&gt;"",'03_Base_Indice'!R40,IF(AND(Aux!I40&lt;&gt;"",Aux!U40&lt;&gt;"",(N(Aux!U40)-N(Aux!I40)-1)&lt;='01_Criterios'!$C$13),Aux!AG40+(Aux!AS40-Aux!AG40)*(8-Aux!I40)/(Aux!U40-Aux!I40),IF(AND(Aux!I40&lt;&gt;"",(8-N(Aux!I40))&lt;='01_Criterios'!$C$14),Aux!AG40,IF(AND(Aux!U40&lt;&gt;"",(N(Aux!U40)-8)&lt;='01_Criterios'!$C$15),Aux!AS40,"")))))</f>
        <v/>
      </c>
      <c r="S40" s="6" t="str">
        <f>IF('03_Base_Indice'!$D40="","",IF('03_Base_Indice'!S40&lt;&gt;"",'03_Base_Indice'!S40,IF(AND(Aux!J40&lt;&gt;"",Aux!V40&lt;&gt;"",(N(Aux!V40)-N(Aux!J40)-1)&lt;='01_Criterios'!$C$13),Aux!AH40+(Aux!AT40-Aux!AH40)*(9-Aux!J40)/(Aux!V40-Aux!J40),IF(AND(Aux!J40&lt;&gt;"",(9-N(Aux!J40))&lt;='01_Criterios'!$C$14),Aux!AH40,IF(AND(Aux!V40&lt;&gt;"",(N(Aux!V40)-9)&lt;='01_Criterios'!$C$15),Aux!AT40,"")))))</f>
        <v/>
      </c>
      <c r="T40" s="6" t="str">
        <f>IF('03_Base_Indice'!$D40="","",IF('03_Base_Indice'!T40&lt;&gt;"",'03_Base_Indice'!T40,IF(AND(Aux!K40&lt;&gt;"",Aux!W40&lt;&gt;"",(N(Aux!W40)-N(Aux!K40)-1)&lt;='01_Criterios'!$C$13),Aux!AI40+(Aux!AU40-Aux!AI40)*(10-Aux!K40)/(Aux!W40-Aux!K40),IF(AND(Aux!K40&lt;&gt;"",(10-N(Aux!K40))&lt;='01_Criterios'!$C$14),Aux!AI40,IF(AND(Aux!W40&lt;&gt;"",(N(Aux!W40)-10)&lt;='01_Criterios'!$C$15),Aux!AU40,"")))))</f>
        <v/>
      </c>
      <c r="U40" s="6" t="str">
        <f>IF('03_Base_Indice'!$D40="","",IF('03_Base_Indice'!U40&lt;&gt;"",'03_Base_Indice'!U40,IF(AND(Aux!L40&lt;&gt;"",Aux!X40&lt;&gt;"",(N(Aux!X40)-N(Aux!L40)-1)&lt;='01_Criterios'!$C$13),Aux!AJ40+(Aux!AV40-Aux!AJ40)*(11-Aux!L40)/(Aux!X40-Aux!L40),IF(AND(Aux!L40&lt;&gt;"",(11-N(Aux!L40))&lt;='01_Criterios'!$C$14),Aux!AJ40,IF(AND(Aux!X40&lt;&gt;"",(N(Aux!X40)-11)&lt;='01_Criterios'!$C$15),Aux!AV40,"")))))</f>
        <v/>
      </c>
    </row>
    <row r="41" spans="1:21">
      <c r="A41" s="6" t="str">
        <f>IF('03_Base_Indice'!$A41="","",'03_Base_Indice'!$A41)</f>
        <v>4. Inclusão Social e Protecção</v>
      </c>
      <c r="B41" s="6">
        <f>'03_Base_Indice'!$B41</f>
        <v>7</v>
      </c>
      <c r="D41" s="6" t="str">
        <f>IF('03_Base_Indice'!$D41="","",'03_Base_Indice'!$D41)</f>
        <v/>
      </c>
      <c r="E41" s="6" t="str">
        <f>IF('03_Base_Indice'!$E41="","",'03_Base_Indice'!$E41)</f>
        <v/>
      </c>
      <c r="K41" s="6" t="str">
        <f>IF('03_Base_Indice'!$D41="","",IF('03_Base_Indice'!K41&lt;&gt;"",'03_Base_Indice'!K41,IF(AND(Aux!B41&lt;&gt;"",Aux!N41&lt;&gt;"",(N(Aux!N41)-N(Aux!B41)-1)&lt;='01_Criterios'!$C$13),Aux!Z41+(Aux!AL41-Aux!Z41)*(1-Aux!B41)/(Aux!N41-Aux!B41),IF(AND(Aux!B41&lt;&gt;"",(1-N(Aux!B41))&lt;='01_Criterios'!$C$14),Aux!Z41,IF(AND(Aux!N41&lt;&gt;"",(N(Aux!N41)-1)&lt;='01_Criterios'!$C$15),Aux!AL41,"")))))</f>
        <v/>
      </c>
      <c r="L41" s="6" t="str">
        <f>IF('03_Base_Indice'!$D41="","",IF('03_Base_Indice'!L41&lt;&gt;"",'03_Base_Indice'!L41,IF(AND(Aux!C41&lt;&gt;"",Aux!O41&lt;&gt;"",(N(Aux!O41)-N(Aux!C41)-1)&lt;='01_Criterios'!$C$13),Aux!AA41+(Aux!AM41-Aux!AA41)*(2-Aux!C41)/(Aux!O41-Aux!C41),IF(AND(Aux!C41&lt;&gt;"",(2-N(Aux!C41))&lt;='01_Criterios'!$C$14),Aux!AA41,IF(AND(Aux!O41&lt;&gt;"",(N(Aux!O41)-2)&lt;='01_Criterios'!$C$15),Aux!AM41,"")))))</f>
        <v/>
      </c>
      <c r="M41" s="6" t="str">
        <f>IF('03_Base_Indice'!$D41="","",IF('03_Base_Indice'!M41&lt;&gt;"",'03_Base_Indice'!M41,IF(AND(Aux!D41&lt;&gt;"",Aux!P41&lt;&gt;"",(N(Aux!P41)-N(Aux!D41)-1)&lt;='01_Criterios'!$C$13),Aux!AB41+(Aux!AN41-Aux!AB41)*(3-Aux!D41)/(Aux!P41-Aux!D41),IF(AND(Aux!D41&lt;&gt;"",(3-N(Aux!D41))&lt;='01_Criterios'!$C$14),Aux!AB41,IF(AND(Aux!P41&lt;&gt;"",(N(Aux!P41)-3)&lt;='01_Criterios'!$C$15),Aux!AN41,"")))))</f>
        <v/>
      </c>
      <c r="N41" s="6" t="str">
        <f>IF('03_Base_Indice'!$D41="","",IF('03_Base_Indice'!N41&lt;&gt;"",'03_Base_Indice'!N41,IF(AND(Aux!E41&lt;&gt;"",Aux!Q41&lt;&gt;"",(N(Aux!Q41)-N(Aux!E41)-1)&lt;='01_Criterios'!$C$13),Aux!AC41+(Aux!AO41-Aux!AC41)*(4-Aux!E41)/(Aux!Q41-Aux!E41),IF(AND(Aux!E41&lt;&gt;"",(4-N(Aux!E41))&lt;='01_Criterios'!$C$14),Aux!AC41,IF(AND(Aux!Q41&lt;&gt;"",(N(Aux!Q41)-4)&lt;='01_Criterios'!$C$15),Aux!AO41,"")))))</f>
        <v/>
      </c>
      <c r="O41" s="6" t="str">
        <f>IF('03_Base_Indice'!$D41="","",IF('03_Base_Indice'!O41&lt;&gt;"",'03_Base_Indice'!O41,IF(AND(Aux!F41&lt;&gt;"",Aux!R41&lt;&gt;"",(N(Aux!R41)-N(Aux!F41)-1)&lt;='01_Criterios'!$C$13),Aux!AD41+(Aux!AP41-Aux!AD41)*(5-Aux!F41)/(Aux!R41-Aux!F41),IF(AND(Aux!F41&lt;&gt;"",(5-N(Aux!F41))&lt;='01_Criterios'!$C$14),Aux!AD41,IF(AND(Aux!R41&lt;&gt;"",(N(Aux!R41)-5)&lt;='01_Criterios'!$C$15),Aux!AP41,"")))))</f>
        <v/>
      </c>
      <c r="P41" s="6" t="str">
        <f>IF('03_Base_Indice'!$D41="","",IF('03_Base_Indice'!P41&lt;&gt;"",'03_Base_Indice'!P41,IF(AND(Aux!G41&lt;&gt;"",Aux!S41&lt;&gt;"",(N(Aux!S41)-N(Aux!G41)-1)&lt;='01_Criterios'!$C$13),Aux!AE41+(Aux!AQ41-Aux!AE41)*(6-Aux!G41)/(Aux!S41-Aux!G41),IF(AND(Aux!G41&lt;&gt;"",(6-N(Aux!G41))&lt;='01_Criterios'!$C$14),Aux!AE41,IF(AND(Aux!S41&lt;&gt;"",(N(Aux!S41)-6)&lt;='01_Criterios'!$C$15),Aux!AQ41,"")))))</f>
        <v/>
      </c>
      <c r="Q41" s="6" t="str">
        <f>IF('03_Base_Indice'!$D41="","",IF('03_Base_Indice'!Q41&lt;&gt;"",'03_Base_Indice'!Q41,IF(AND(Aux!H41&lt;&gt;"",Aux!T41&lt;&gt;"",(N(Aux!T41)-N(Aux!H41)-1)&lt;='01_Criterios'!$C$13),Aux!AF41+(Aux!AR41-Aux!AF41)*(7-Aux!H41)/(Aux!T41-Aux!H41),IF(AND(Aux!H41&lt;&gt;"",(7-N(Aux!H41))&lt;='01_Criterios'!$C$14),Aux!AF41,IF(AND(Aux!T41&lt;&gt;"",(N(Aux!T41)-7)&lt;='01_Criterios'!$C$15),Aux!AR41,"")))))</f>
        <v/>
      </c>
      <c r="R41" s="6" t="str">
        <f>IF('03_Base_Indice'!$D41="","",IF('03_Base_Indice'!R41&lt;&gt;"",'03_Base_Indice'!R41,IF(AND(Aux!I41&lt;&gt;"",Aux!U41&lt;&gt;"",(N(Aux!U41)-N(Aux!I41)-1)&lt;='01_Criterios'!$C$13),Aux!AG41+(Aux!AS41-Aux!AG41)*(8-Aux!I41)/(Aux!U41-Aux!I41),IF(AND(Aux!I41&lt;&gt;"",(8-N(Aux!I41))&lt;='01_Criterios'!$C$14),Aux!AG41,IF(AND(Aux!U41&lt;&gt;"",(N(Aux!U41)-8)&lt;='01_Criterios'!$C$15),Aux!AS41,"")))))</f>
        <v/>
      </c>
      <c r="S41" s="6" t="str">
        <f>IF('03_Base_Indice'!$D41="","",IF('03_Base_Indice'!S41&lt;&gt;"",'03_Base_Indice'!S41,IF(AND(Aux!J41&lt;&gt;"",Aux!V41&lt;&gt;"",(N(Aux!V41)-N(Aux!J41)-1)&lt;='01_Criterios'!$C$13),Aux!AH41+(Aux!AT41-Aux!AH41)*(9-Aux!J41)/(Aux!V41-Aux!J41),IF(AND(Aux!J41&lt;&gt;"",(9-N(Aux!J41))&lt;='01_Criterios'!$C$14),Aux!AH41,IF(AND(Aux!V41&lt;&gt;"",(N(Aux!V41)-9)&lt;='01_Criterios'!$C$15),Aux!AT41,"")))))</f>
        <v/>
      </c>
      <c r="T41" s="6" t="str">
        <f>IF('03_Base_Indice'!$D41="","",IF('03_Base_Indice'!T41&lt;&gt;"",'03_Base_Indice'!T41,IF(AND(Aux!K41&lt;&gt;"",Aux!W41&lt;&gt;"",(N(Aux!W41)-N(Aux!K41)-1)&lt;='01_Criterios'!$C$13),Aux!AI41+(Aux!AU41-Aux!AI41)*(10-Aux!K41)/(Aux!W41-Aux!K41),IF(AND(Aux!K41&lt;&gt;"",(10-N(Aux!K41))&lt;='01_Criterios'!$C$14),Aux!AI41,IF(AND(Aux!W41&lt;&gt;"",(N(Aux!W41)-10)&lt;='01_Criterios'!$C$15),Aux!AU41,"")))))</f>
        <v/>
      </c>
      <c r="U41" s="6" t="str">
        <f>IF('03_Base_Indice'!$D41="","",IF('03_Base_Indice'!U41&lt;&gt;"",'03_Base_Indice'!U41,IF(AND(Aux!L41&lt;&gt;"",Aux!X41&lt;&gt;"",(N(Aux!X41)-N(Aux!L41)-1)&lt;='01_Criterios'!$C$13),Aux!AJ41+(Aux!AV41-Aux!AJ41)*(11-Aux!L41)/(Aux!X41-Aux!L41),IF(AND(Aux!L41&lt;&gt;"",(11-N(Aux!L41))&lt;='01_Criterios'!$C$14),Aux!AJ41,IF(AND(Aux!X41&lt;&gt;"",(N(Aux!X41)-11)&lt;='01_Criterios'!$C$15),Aux!AV41,"")))))</f>
        <v/>
      </c>
    </row>
    <row r="42" spans="1:21">
      <c r="A42" s="6" t="str">
        <f>IF('03_Base_Indice'!$A42="","",'03_Base_Indice'!$A42)</f>
        <v>4. Inclusão Social e Protecção</v>
      </c>
      <c r="B42" s="6">
        <f>'03_Base_Indice'!$B42</f>
        <v>8</v>
      </c>
      <c r="D42" s="6" t="str">
        <f>IF('03_Base_Indice'!$D42="","",'03_Base_Indice'!$D42)</f>
        <v/>
      </c>
      <c r="E42" s="6" t="str">
        <f>IF('03_Base_Indice'!$E42="","",'03_Base_Indice'!$E42)</f>
        <v/>
      </c>
      <c r="K42" s="6" t="str">
        <f>IF('03_Base_Indice'!$D42="","",IF('03_Base_Indice'!K42&lt;&gt;"",'03_Base_Indice'!K42,IF(AND(Aux!B42&lt;&gt;"",Aux!N42&lt;&gt;"",(N(Aux!N42)-N(Aux!B42)-1)&lt;='01_Criterios'!$C$13),Aux!Z42+(Aux!AL42-Aux!Z42)*(1-Aux!B42)/(Aux!N42-Aux!B42),IF(AND(Aux!B42&lt;&gt;"",(1-N(Aux!B42))&lt;='01_Criterios'!$C$14),Aux!Z42,IF(AND(Aux!N42&lt;&gt;"",(N(Aux!N42)-1)&lt;='01_Criterios'!$C$15),Aux!AL42,"")))))</f>
        <v/>
      </c>
      <c r="L42" s="6" t="str">
        <f>IF('03_Base_Indice'!$D42="","",IF('03_Base_Indice'!L42&lt;&gt;"",'03_Base_Indice'!L42,IF(AND(Aux!C42&lt;&gt;"",Aux!O42&lt;&gt;"",(N(Aux!O42)-N(Aux!C42)-1)&lt;='01_Criterios'!$C$13),Aux!AA42+(Aux!AM42-Aux!AA42)*(2-Aux!C42)/(Aux!O42-Aux!C42),IF(AND(Aux!C42&lt;&gt;"",(2-N(Aux!C42))&lt;='01_Criterios'!$C$14),Aux!AA42,IF(AND(Aux!O42&lt;&gt;"",(N(Aux!O42)-2)&lt;='01_Criterios'!$C$15),Aux!AM42,"")))))</f>
        <v/>
      </c>
      <c r="M42" s="6" t="str">
        <f>IF('03_Base_Indice'!$D42="","",IF('03_Base_Indice'!M42&lt;&gt;"",'03_Base_Indice'!M42,IF(AND(Aux!D42&lt;&gt;"",Aux!P42&lt;&gt;"",(N(Aux!P42)-N(Aux!D42)-1)&lt;='01_Criterios'!$C$13),Aux!AB42+(Aux!AN42-Aux!AB42)*(3-Aux!D42)/(Aux!P42-Aux!D42),IF(AND(Aux!D42&lt;&gt;"",(3-N(Aux!D42))&lt;='01_Criterios'!$C$14),Aux!AB42,IF(AND(Aux!P42&lt;&gt;"",(N(Aux!P42)-3)&lt;='01_Criterios'!$C$15),Aux!AN42,"")))))</f>
        <v/>
      </c>
      <c r="N42" s="6" t="str">
        <f>IF('03_Base_Indice'!$D42="","",IF('03_Base_Indice'!N42&lt;&gt;"",'03_Base_Indice'!N42,IF(AND(Aux!E42&lt;&gt;"",Aux!Q42&lt;&gt;"",(N(Aux!Q42)-N(Aux!E42)-1)&lt;='01_Criterios'!$C$13),Aux!AC42+(Aux!AO42-Aux!AC42)*(4-Aux!E42)/(Aux!Q42-Aux!E42),IF(AND(Aux!E42&lt;&gt;"",(4-N(Aux!E42))&lt;='01_Criterios'!$C$14),Aux!AC42,IF(AND(Aux!Q42&lt;&gt;"",(N(Aux!Q42)-4)&lt;='01_Criterios'!$C$15),Aux!AO42,"")))))</f>
        <v/>
      </c>
      <c r="O42" s="6" t="str">
        <f>IF('03_Base_Indice'!$D42="","",IF('03_Base_Indice'!O42&lt;&gt;"",'03_Base_Indice'!O42,IF(AND(Aux!F42&lt;&gt;"",Aux!R42&lt;&gt;"",(N(Aux!R42)-N(Aux!F42)-1)&lt;='01_Criterios'!$C$13),Aux!AD42+(Aux!AP42-Aux!AD42)*(5-Aux!F42)/(Aux!R42-Aux!F42),IF(AND(Aux!F42&lt;&gt;"",(5-N(Aux!F42))&lt;='01_Criterios'!$C$14),Aux!AD42,IF(AND(Aux!R42&lt;&gt;"",(N(Aux!R42)-5)&lt;='01_Criterios'!$C$15),Aux!AP42,"")))))</f>
        <v/>
      </c>
      <c r="P42" s="6" t="str">
        <f>IF('03_Base_Indice'!$D42="","",IF('03_Base_Indice'!P42&lt;&gt;"",'03_Base_Indice'!P42,IF(AND(Aux!G42&lt;&gt;"",Aux!S42&lt;&gt;"",(N(Aux!S42)-N(Aux!G42)-1)&lt;='01_Criterios'!$C$13),Aux!AE42+(Aux!AQ42-Aux!AE42)*(6-Aux!G42)/(Aux!S42-Aux!G42),IF(AND(Aux!G42&lt;&gt;"",(6-N(Aux!G42))&lt;='01_Criterios'!$C$14),Aux!AE42,IF(AND(Aux!S42&lt;&gt;"",(N(Aux!S42)-6)&lt;='01_Criterios'!$C$15),Aux!AQ42,"")))))</f>
        <v/>
      </c>
      <c r="Q42" s="6" t="str">
        <f>IF('03_Base_Indice'!$D42="","",IF('03_Base_Indice'!Q42&lt;&gt;"",'03_Base_Indice'!Q42,IF(AND(Aux!H42&lt;&gt;"",Aux!T42&lt;&gt;"",(N(Aux!T42)-N(Aux!H42)-1)&lt;='01_Criterios'!$C$13),Aux!AF42+(Aux!AR42-Aux!AF42)*(7-Aux!H42)/(Aux!T42-Aux!H42),IF(AND(Aux!H42&lt;&gt;"",(7-N(Aux!H42))&lt;='01_Criterios'!$C$14),Aux!AF42,IF(AND(Aux!T42&lt;&gt;"",(N(Aux!T42)-7)&lt;='01_Criterios'!$C$15),Aux!AR42,"")))))</f>
        <v/>
      </c>
      <c r="R42" s="6" t="str">
        <f>IF('03_Base_Indice'!$D42="","",IF('03_Base_Indice'!R42&lt;&gt;"",'03_Base_Indice'!R42,IF(AND(Aux!I42&lt;&gt;"",Aux!U42&lt;&gt;"",(N(Aux!U42)-N(Aux!I42)-1)&lt;='01_Criterios'!$C$13),Aux!AG42+(Aux!AS42-Aux!AG42)*(8-Aux!I42)/(Aux!U42-Aux!I42),IF(AND(Aux!I42&lt;&gt;"",(8-N(Aux!I42))&lt;='01_Criterios'!$C$14),Aux!AG42,IF(AND(Aux!U42&lt;&gt;"",(N(Aux!U42)-8)&lt;='01_Criterios'!$C$15),Aux!AS42,"")))))</f>
        <v/>
      </c>
      <c r="S42" s="6" t="str">
        <f>IF('03_Base_Indice'!$D42="","",IF('03_Base_Indice'!S42&lt;&gt;"",'03_Base_Indice'!S42,IF(AND(Aux!J42&lt;&gt;"",Aux!V42&lt;&gt;"",(N(Aux!V42)-N(Aux!J42)-1)&lt;='01_Criterios'!$C$13),Aux!AH42+(Aux!AT42-Aux!AH42)*(9-Aux!J42)/(Aux!V42-Aux!J42),IF(AND(Aux!J42&lt;&gt;"",(9-N(Aux!J42))&lt;='01_Criterios'!$C$14),Aux!AH42,IF(AND(Aux!V42&lt;&gt;"",(N(Aux!V42)-9)&lt;='01_Criterios'!$C$15),Aux!AT42,"")))))</f>
        <v/>
      </c>
      <c r="T42" s="6" t="str">
        <f>IF('03_Base_Indice'!$D42="","",IF('03_Base_Indice'!T42&lt;&gt;"",'03_Base_Indice'!T42,IF(AND(Aux!K42&lt;&gt;"",Aux!W42&lt;&gt;"",(N(Aux!W42)-N(Aux!K42)-1)&lt;='01_Criterios'!$C$13),Aux!AI42+(Aux!AU42-Aux!AI42)*(10-Aux!K42)/(Aux!W42-Aux!K42),IF(AND(Aux!K42&lt;&gt;"",(10-N(Aux!K42))&lt;='01_Criterios'!$C$14),Aux!AI42,IF(AND(Aux!W42&lt;&gt;"",(N(Aux!W42)-10)&lt;='01_Criterios'!$C$15),Aux!AU42,"")))))</f>
        <v/>
      </c>
      <c r="U42" s="6" t="str">
        <f>IF('03_Base_Indice'!$D42="","",IF('03_Base_Indice'!U42&lt;&gt;"",'03_Base_Indice'!U42,IF(AND(Aux!L42&lt;&gt;"",Aux!X42&lt;&gt;"",(N(Aux!X42)-N(Aux!L42)-1)&lt;='01_Criterios'!$C$13),Aux!AJ42+(Aux!AV42-Aux!AJ42)*(11-Aux!L42)/(Aux!X42-Aux!L42),IF(AND(Aux!L42&lt;&gt;"",(11-N(Aux!L42))&lt;='01_Criterios'!$C$14),Aux!AJ42,IF(AND(Aux!X42&lt;&gt;"",(N(Aux!X42)-11)&lt;='01_Criterios'!$C$15),Aux!AV42,"")))))</f>
        <v/>
      </c>
    </row>
    <row r="43" spans="1:21">
      <c r="A43" s="6" t="str">
        <f>IF('03_Base_Indice'!$A43="","",'03_Base_Indice'!$A43)</f>
        <v>4. Inclusão Social e Protecção</v>
      </c>
      <c r="B43" s="6">
        <f>'03_Base_Indice'!$B43</f>
        <v>9</v>
      </c>
      <c r="D43" s="6" t="str">
        <f>IF('03_Base_Indice'!$D43="","",'03_Base_Indice'!$D43)</f>
        <v/>
      </c>
      <c r="E43" s="6" t="str">
        <f>IF('03_Base_Indice'!$E43="","",'03_Base_Indice'!$E43)</f>
        <v/>
      </c>
      <c r="K43" s="6" t="str">
        <f>IF('03_Base_Indice'!$D43="","",IF('03_Base_Indice'!K43&lt;&gt;"",'03_Base_Indice'!K43,IF(AND(Aux!B43&lt;&gt;"",Aux!N43&lt;&gt;"",(N(Aux!N43)-N(Aux!B43)-1)&lt;='01_Criterios'!$C$13),Aux!Z43+(Aux!AL43-Aux!Z43)*(1-Aux!B43)/(Aux!N43-Aux!B43),IF(AND(Aux!B43&lt;&gt;"",(1-N(Aux!B43))&lt;='01_Criterios'!$C$14),Aux!Z43,IF(AND(Aux!N43&lt;&gt;"",(N(Aux!N43)-1)&lt;='01_Criterios'!$C$15),Aux!AL43,"")))))</f>
        <v/>
      </c>
      <c r="L43" s="6" t="str">
        <f>IF('03_Base_Indice'!$D43="","",IF('03_Base_Indice'!L43&lt;&gt;"",'03_Base_Indice'!L43,IF(AND(Aux!C43&lt;&gt;"",Aux!O43&lt;&gt;"",(N(Aux!O43)-N(Aux!C43)-1)&lt;='01_Criterios'!$C$13),Aux!AA43+(Aux!AM43-Aux!AA43)*(2-Aux!C43)/(Aux!O43-Aux!C43),IF(AND(Aux!C43&lt;&gt;"",(2-N(Aux!C43))&lt;='01_Criterios'!$C$14),Aux!AA43,IF(AND(Aux!O43&lt;&gt;"",(N(Aux!O43)-2)&lt;='01_Criterios'!$C$15),Aux!AM43,"")))))</f>
        <v/>
      </c>
      <c r="M43" s="6" t="str">
        <f>IF('03_Base_Indice'!$D43="","",IF('03_Base_Indice'!M43&lt;&gt;"",'03_Base_Indice'!M43,IF(AND(Aux!D43&lt;&gt;"",Aux!P43&lt;&gt;"",(N(Aux!P43)-N(Aux!D43)-1)&lt;='01_Criterios'!$C$13),Aux!AB43+(Aux!AN43-Aux!AB43)*(3-Aux!D43)/(Aux!P43-Aux!D43),IF(AND(Aux!D43&lt;&gt;"",(3-N(Aux!D43))&lt;='01_Criterios'!$C$14),Aux!AB43,IF(AND(Aux!P43&lt;&gt;"",(N(Aux!P43)-3)&lt;='01_Criterios'!$C$15),Aux!AN43,"")))))</f>
        <v/>
      </c>
      <c r="N43" s="6" t="str">
        <f>IF('03_Base_Indice'!$D43="","",IF('03_Base_Indice'!N43&lt;&gt;"",'03_Base_Indice'!N43,IF(AND(Aux!E43&lt;&gt;"",Aux!Q43&lt;&gt;"",(N(Aux!Q43)-N(Aux!E43)-1)&lt;='01_Criterios'!$C$13),Aux!AC43+(Aux!AO43-Aux!AC43)*(4-Aux!E43)/(Aux!Q43-Aux!E43),IF(AND(Aux!E43&lt;&gt;"",(4-N(Aux!E43))&lt;='01_Criterios'!$C$14),Aux!AC43,IF(AND(Aux!Q43&lt;&gt;"",(N(Aux!Q43)-4)&lt;='01_Criterios'!$C$15),Aux!AO43,"")))))</f>
        <v/>
      </c>
      <c r="O43" s="6" t="str">
        <f>IF('03_Base_Indice'!$D43="","",IF('03_Base_Indice'!O43&lt;&gt;"",'03_Base_Indice'!O43,IF(AND(Aux!F43&lt;&gt;"",Aux!R43&lt;&gt;"",(N(Aux!R43)-N(Aux!F43)-1)&lt;='01_Criterios'!$C$13),Aux!AD43+(Aux!AP43-Aux!AD43)*(5-Aux!F43)/(Aux!R43-Aux!F43),IF(AND(Aux!F43&lt;&gt;"",(5-N(Aux!F43))&lt;='01_Criterios'!$C$14),Aux!AD43,IF(AND(Aux!R43&lt;&gt;"",(N(Aux!R43)-5)&lt;='01_Criterios'!$C$15),Aux!AP43,"")))))</f>
        <v/>
      </c>
      <c r="P43" s="6" t="str">
        <f>IF('03_Base_Indice'!$D43="","",IF('03_Base_Indice'!P43&lt;&gt;"",'03_Base_Indice'!P43,IF(AND(Aux!G43&lt;&gt;"",Aux!S43&lt;&gt;"",(N(Aux!S43)-N(Aux!G43)-1)&lt;='01_Criterios'!$C$13),Aux!AE43+(Aux!AQ43-Aux!AE43)*(6-Aux!G43)/(Aux!S43-Aux!G43),IF(AND(Aux!G43&lt;&gt;"",(6-N(Aux!G43))&lt;='01_Criterios'!$C$14),Aux!AE43,IF(AND(Aux!S43&lt;&gt;"",(N(Aux!S43)-6)&lt;='01_Criterios'!$C$15),Aux!AQ43,"")))))</f>
        <v/>
      </c>
      <c r="Q43" s="6" t="str">
        <f>IF('03_Base_Indice'!$D43="","",IF('03_Base_Indice'!Q43&lt;&gt;"",'03_Base_Indice'!Q43,IF(AND(Aux!H43&lt;&gt;"",Aux!T43&lt;&gt;"",(N(Aux!T43)-N(Aux!H43)-1)&lt;='01_Criterios'!$C$13),Aux!AF43+(Aux!AR43-Aux!AF43)*(7-Aux!H43)/(Aux!T43-Aux!H43),IF(AND(Aux!H43&lt;&gt;"",(7-N(Aux!H43))&lt;='01_Criterios'!$C$14),Aux!AF43,IF(AND(Aux!T43&lt;&gt;"",(N(Aux!T43)-7)&lt;='01_Criterios'!$C$15),Aux!AR43,"")))))</f>
        <v/>
      </c>
      <c r="R43" s="6" t="str">
        <f>IF('03_Base_Indice'!$D43="","",IF('03_Base_Indice'!R43&lt;&gt;"",'03_Base_Indice'!R43,IF(AND(Aux!I43&lt;&gt;"",Aux!U43&lt;&gt;"",(N(Aux!U43)-N(Aux!I43)-1)&lt;='01_Criterios'!$C$13),Aux!AG43+(Aux!AS43-Aux!AG43)*(8-Aux!I43)/(Aux!U43-Aux!I43),IF(AND(Aux!I43&lt;&gt;"",(8-N(Aux!I43))&lt;='01_Criterios'!$C$14),Aux!AG43,IF(AND(Aux!U43&lt;&gt;"",(N(Aux!U43)-8)&lt;='01_Criterios'!$C$15),Aux!AS43,"")))))</f>
        <v/>
      </c>
      <c r="S43" s="6" t="str">
        <f>IF('03_Base_Indice'!$D43="","",IF('03_Base_Indice'!S43&lt;&gt;"",'03_Base_Indice'!S43,IF(AND(Aux!J43&lt;&gt;"",Aux!V43&lt;&gt;"",(N(Aux!V43)-N(Aux!J43)-1)&lt;='01_Criterios'!$C$13),Aux!AH43+(Aux!AT43-Aux!AH43)*(9-Aux!J43)/(Aux!V43-Aux!J43),IF(AND(Aux!J43&lt;&gt;"",(9-N(Aux!J43))&lt;='01_Criterios'!$C$14),Aux!AH43,IF(AND(Aux!V43&lt;&gt;"",(N(Aux!V43)-9)&lt;='01_Criterios'!$C$15),Aux!AT43,"")))))</f>
        <v/>
      </c>
      <c r="T43" s="6" t="str">
        <f>IF('03_Base_Indice'!$D43="","",IF('03_Base_Indice'!T43&lt;&gt;"",'03_Base_Indice'!T43,IF(AND(Aux!K43&lt;&gt;"",Aux!W43&lt;&gt;"",(N(Aux!W43)-N(Aux!K43)-1)&lt;='01_Criterios'!$C$13),Aux!AI43+(Aux!AU43-Aux!AI43)*(10-Aux!K43)/(Aux!W43-Aux!K43),IF(AND(Aux!K43&lt;&gt;"",(10-N(Aux!K43))&lt;='01_Criterios'!$C$14),Aux!AI43,IF(AND(Aux!W43&lt;&gt;"",(N(Aux!W43)-10)&lt;='01_Criterios'!$C$15),Aux!AU43,"")))))</f>
        <v/>
      </c>
      <c r="U43" s="6" t="str">
        <f>IF('03_Base_Indice'!$D43="","",IF('03_Base_Indice'!U43&lt;&gt;"",'03_Base_Indice'!U43,IF(AND(Aux!L43&lt;&gt;"",Aux!X43&lt;&gt;"",(N(Aux!X43)-N(Aux!L43)-1)&lt;='01_Criterios'!$C$13),Aux!AJ43+(Aux!AV43-Aux!AJ43)*(11-Aux!L43)/(Aux!X43-Aux!L43),IF(AND(Aux!L43&lt;&gt;"",(11-N(Aux!L43))&lt;='01_Criterios'!$C$14),Aux!AJ43,IF(AND(Aux!X43&lt;&gt;"",(N(Aux!X43)-11)&lt;='01_Criterios'!$C$15),Aux!AV43,"")))))</f>
        <v/>
      </c>
    </row>
    <row r="44" spans="1:21">
      <c r="A44" s="6" t="str">
        <f>IF('03_Base_Indice'!$A44="","",'03_Base_Indice'!$A44)</f>
        <v>4. Inclusão Social e Protecção</v>
      </c>
      <c r="B44" s="6">
        <f>'03_Base_Indice'!$B44</f>
        <v>10</v>
      </c>
      <c r="D44" s="6" t="str">
        <f>IF('03_Base_Indice'!$D44="","",'03_Base_Indice'!$D44)</f>
        <v/>
      </c>
      <c r="E44" s="6" t="str">
        <f>IF('03_Base_Indice'!$E44="","",'03_Base_Indice'!$E44)</f>
        <v/>
      </c>
      <c r="K44" s="6" t="str">
        <f>IF('03_Base_Indice'!$D44="","",IF('03_Base_Indice'!K44&lt;&gt;"",'03_Base_Indice'!K44,IF(AND(Aux!B44&lt;&gt;"",Aux!N44&lt;&gt;"",(N(Aux!N44)-N(Aux!B44)-1)&lt;='01_Criterios'!$C$13),Aux!Z44+(Aux!AL44-Aux!Z44)*(1-Aux!B44)/(Aux!N44-Aux!B44),IF(AND(Aux!B44&lt;&gt;"",(1-N(Aux!B44))&lt;='01_Criterios'!$C$14),Aux!Z44,IF(AND(Aux!N44&lt;&gt;"",(N(Aux!N44)-1)&lt;='01_Criterios'!$C$15),Aux!AL44,"")))))</f>
        <v/>
      </c>
      <c r="L44" s="6" t="str">
        <f>IF('03_Base_Indice'!$D44="","",IF('03_Base_Indice'!L44&lt;&gt;"",'03_Base_Indice'!L44,IF(AND(Aux!C44&lt;&gt;"",Aux!O44&lt;&gt;"",(N(Aux!O44)-N(Aux!C44)-1)&lt;='01_Criterios'!$C$13),Aux!AA44+(Aux!AM44-Aux!AA44)*(2-Aux!C44)/(Aux!O44-Aux!C44),IF(AND(Aux!C44&lt;&gt;"",(2-N(Aux!C44))&lt;='01_Criterios'!$C$14),Aux!AA44,IF(AND(Aux!O44&lt;&gt;"",(N(Aux!O44)-2)&lt;='01_Criterios'!$C$15),Aux!AM44,"")))))</f>
        <v/>
      </c>
      <c r="M44" s="6" t="str">
        <f>IF('03_Base_Indice'!$D44="","",IF('03_Base_Indice'!M44&lt;&gt;"",'03_Base_Indice'!M44,IF(AND(Aux!D44&lt;&gt;"",Aux!P44&lt;&gt;"",(N(Aux!P44)-N(Aux!D44)-1)&lt;='01_Criterios'!$C$13),Aux!AB44+(Aux!AN44-Aux!AB44)*(3-Aux!D44)/(Aux!P44-Aux!D44),IF(AND(Aux!D44&lt;&gt;"",(3-N(Aux!D44))&lt;='01_Criterios'!$C$14),Aux!AB44,IF(AND(Aux!P44&lt;&gt;"",(N(Aux!P44)-3)&lt;='01_Criterios'!$C$15),Aux!AN44,"")))))</f>
        <v/>
      </c>
      <c r="N44" s="6" t="str">
        <f>IF('03_Base_Indice'!$D44="","",IF('03_Base_Indice'!N44&lt;&gt;"",'03_Base_Indice'!N44,IF(AND(Aux!E44&lt;&gt;"",Aux!Q44&lt;&gt;"",(N(Aux!Q44)-N(Aux!E44)-1)&lt;='01_Criterios'!$C$13),Aux!AC44+(Aux!AO44-Aux!AC44)*(4-Aux!E44)/(Aux!Q44-Aux!E44),IF(AND(Aux!E44&lt;&gt;"",(4-N(Aux!E44))&lt;='01_Criterios'!$C$14),Aux!AC44,IF(AND(Aux!Q44&lt;&gt;"",(N(Aux!Q44)-4)&lt;='01_Criterios'!$C$15),Aux!AO44,"")))))</f>
        <v/>
      </c>
      <c r="O44" s="6" t="str">
        <f>IF('03_Base_Indice'!$D44="","",IF('03_Base_Indice'!O44&lt;&gt;"",'03_Base_Indice'!O44,IF(AND(Aux!F44&lt;&gt;"",Aux!R44&lt;&gt;"",(N(Aux!R44)-N(Aux!F44)-1)&lt;='01_Criterios'!$C$13),Aux!AD44+(Aux!AP44-Aux!AD44)*(5-Aux!F44)/(Aux!R44-Aux!F44),IF(AND(Aux!F44&lt;&gt;"",(5-N(Aux!F44))&lt;='01_Criterios'!$C$14),Aux!AD44,IF(AND(Aux!R44&lt;&gt;"",(N(Aux!R44)-5)&lt;='01_Criterios'!$C$15),Aux!AP44,"")))))</f>
        <v/>
      </c>
      <c r="P44" s="6" t="str">
        <f>IF('03_Base_Indice'!$D44="","",IF('03_Base_Indice'!P44&lt;&gt;"",'03_Base_Indice'!P44,IF(AND(Aux!G44&lt;&gt;"",Aux!S44&lt;&gt;"",(N(Aux!S44)-N(Aux!G44)-1)&lt;='01_Criterios'!$C$13),Aux!AE44+(Aux!AQ44-Aux!AE44)*(6-Aux!G44)/(Aux!S44-Aux!G44),IF(AND(Aux!G44&lt;&gt;"",(6-N(Aux!G44))&lt;='01_Criterios'!$C$14),Aux!AE44,IF(AND(Aux!S44&lt;&gt;"",(N(Aux!S44)-6)&lt;='01_Criterios'!$C$15),Aux!AQ44,"")))))</f>
        <v/>
      </c>
      <c r="Q44" s="6" t="str">
        <f>IF('03_Base_Indice'!$D44="","",IF('03_Base_Indice'!Q44&lt;&gt;"",'03_Base_Indice'!Q44,IF(AND(Aux!H44&lt;&gt;"",Aux!T44&lt;&gt;"",(N(Aux!T44)-N(Aux!H44)-1)&lt;='01_Criterios'!$C$13),Aux!AF44+(Aux!AR44-Aux!AF44)*(7-Aux!H44)/(Aux!T44-Aux!H44),IF(AND(Aux!H44&lt;&gt;"",(7-N(Aux!H44))&lt;='01_Criterios'!$C$14),Aux!AF44,IF(AND(Aux!T44&lt;&gt;"",(N(Aux!T44)-7)&lt;='01_Criterios'!$C$15),Aux!AR44,"")))))</f>
        <v/>
      </c>
      <c r="R44" s="6" t="str">
        <f>IF('03_Base_Indice'!$D44="","",IF('03_Base_Indice'!R44&lt;&gt;"",'03_Base_Indice'!R44,IF(AND(Aux!I44&lt;&gt;"",Aux!U44&lt;&gt;"",(N(Aux!U44)-N(Aux!I44)-1)&lt;='01_Criterios'!$C$13),Aux!AG44+(Aux!AS44-Aux!AG44)*(8-Aux!I44)/(Aux!U44-Aux!I44),IF(AND(Aux!I44&lt;&gt;"",(8-N(Aux!I44))&lt;='01_Criterios'!$C$14),Aux!AG44,IF(AND(Aux!U44&lt;&gt;"",(N(Aux!U44)-8)&lt;='01_Criterios'!$C$15),Aux!AS44,"")))))</f>
        <v/>
      </c>
      <c r="S44" s="6" t="str">
        <f>IF('03_Base_Indice'!$D44="","",IF('03_Base_Indice'!S44&lt;&gt;"",'03_Base_Indice'!S44,IF(AND(Aux!J44&lt;&gt;"",Aux!V44&lt;&gt;"",(N(Aux!V44)-N(Aux!J44)-1)&lt;='01_Criterios'!$C$13),Aux!AH44+(Aux!AT44-Aux!AH44)*(9-Aux!J44)/(Aux!V44-Aux!J44),IF(AND(Aux!J44&lt;&gt;"",(9-N(Aux!J44))&lt;='01_Criterios'!$C$14),Aux!AH44,IF(AND(Aux!V44&lt;&gt;"",(N(Aux!V44)-9)&lt;='01_Criterios'!$C$15),Aux!AT44,"")))))</f>
        <v/>
      </c>
      <c r="T44" s="6" t="str">
        <f>IF('03_Base_Indice'!$D44="","",IF('03_Base_Indice'!T44&lt;&gt;"",'03_Base_Indice'!T44,IF(AND(Aux!K44&lt;&gt;"",Aux!W44&lt;&gt;"",(N(Aux!W44)-N(Aux!K44)-1)&lt;='01_Criterios'!$C$13),Aux!AI44+(Aux!AU44-Aux!AI44)*(10-Aux!K44)/(Aux!W44-Aux!K44),IF(AND(Aux!K44&lt;&gt;"",(10-N(Aux!K44))&lt;='01_Criterios'!$C$14),Aux!AI44,IF(AND(Aux!W44&lt;&gt;"",(N(Aux!W44)-10)&lt;='01_Criterios'!$C$15),Aux!AU44,"")))))</f>
        <v/>
      </c>
      <c r="U44" s="6" t="str">
        <f>IF('03_Base_Indice'!$D44="","",IF('03_Base_Indice'!U44&lt;&gt;"",'03_Base_Indice'!U44,IF(AND(Aux!L44&lt;&gt;"",Aux!X44&lt;&gt;"",(N(Aux!X44)-N(Aux!L44)-1)&lt;='01_Criterios'!$C$13),Aux!AJ44+(Aux!AV44-Aux!AJ44)*(11-Aux!L44)/(Aux!X44-Aux!L44),IF(AND(Aux!L44&lt;&gt;"",(11-N(Aux!L44))&lt;='01_Criterios'!$C$14),Aux!AJ44,IF(AND(Aux!X44&lt;&gt;"",(N(Aux!X44)-11)&lt;='01_Criterios'!$C$15),Aux!AV44,"")))))</f>
        <v/>
      </c>
    </row>
    <row r="45" spans="1:21">
      <c r="A45" s="6" t="str">
        <f>IF('03_Base_Indice'!$A45="","",'03_Base_Indice'!$A45)</f>
        <v>5. Infraestruturas e Serviços</v>
      </c>
      <c r="B45" s="6">
        <f>'03_Base_Indice'!$B45</f>
        <v>1</v>
      </c>
      <c r="D45" s="6" t="str">
        <f>IF('03_Base_Indice'!$D45="","",'03_Base_Indice'!$D45)</f>
        <v>INF002</v>
      </c>
      <c r="E45" s="6" t="str">
        <f>IF('03_Base_Indice'!$E45="","",'03_Base_Indice'!$E45)</f>
        <v>Acesso a Água Potável</v>
      </c>
      <c r="K45" s="6">
        <f>IF('03_Base_Indice'!$D45="","",IF('03_Base_Indice'!K45&lt;&gt;"",'03_Base_Indice'!K45,IF(AND(Aux!B45&lt;&gt;"",Aux!N45&lt;&gt;"",(N(Aux!N45)-N(Aux!B45)-1)&lt;='01_Criterios'!$C$13),Aux!Z45+(Aux!AL45-Aux!Z45)*(1-Aux!B45)/(Aux!N45-Aux!B45),IF(AND(Aux!B45&lt;&gt;"",(1-N(Aux!B45))&lt;='01_Criterios'!$C$14),Aux!Z45,IF(AND(Aux!N45&lt;&gt;"",(N(Aux!N45)-1)&lt;='01_Criterios'!$C$15),Aux!AL45,"")))))</f>
        <v>58.619631200767699</v>
      </c>
      <c r="L45" s="6">
        <f>IF('03_Base_Indice'!$D45="","",IF('03_Base_Indice'!L45&lt;&gt;"",'03_Base_Indice'!L45,IF(AND(Aux!C45&lt;&gt;"",Aux!O45&lt;&gt;"",(N(Aux!O45)-N(Aux!C45)-1)&lt;='01_Criterios'!$C$13),Aux!AA45+(Aux!AM45-Aux!AA45)*(2-Aux!C45)/(Aux!O45-Aux!C45),IF(AND(Aux!C45&lt;&gt;"",(2-N(Aux!C45))&lt;='01_Criterios'!$C$14),Aux!AA45,IF(AND(Aux!O45&lt;&gt;"",(N(Aux!O45)-2)&lt;='01_Criterios'!$C$15),Aux!AM45,"")))))</f>
        <v>60.192062018551901</v>
      </c>
      <c r="M45" s="6">
        <f>IF('03_Base_Indice'!$D45="","",IF('03_Base_Indice'!M45&lt;&gt;"",'03_Base_Indice'!M45,IF(AND(Aux!D45&lt;&gt;"",Aux!P45&lt;&gt;"",(N(Aux!P45)-N(Aux!D45)-1)&lt;='01_Criterios'!$C$13),Aux!AB45+(Aux!AN45-Aux!AB45)*(3-Aux!D45)/(Aux!P45-Aux!D45),IF(AND(Aux!D45&lt;&gt;"",(3-N(Aux!D45))&lt;='01_Criterios'!$C$14),Aux!AB45,IF(AND(Aux!P45&lt;&gt;"",(N(Aux!P45)-3)&lt;='01_Criterios'!$C$15),Aux!AN45,"")))))</f>
        <v>61.773512210454101</v>
      </c>
      <c r="N45" s="6">
        <f>IF('03_Base_Indice'!$D45="","",IF('03_Base_Indice'!N45&lt;&gt;"",'03_Base_Indice'!N45,IF(AND(Aux!E45&lt;&gt;"",Aux!Q45&lt;&gt;"",(N(Aux!Q45)-N(Aux!E45)-1)&lt;='01_Criterios'!$C$13),Aux!AC45+(Aux!AO45-Aux!AC45)*(4-Aux!E45)/(Aux!Q45-Aux!E45),IF(AND(Aux!E45&lt;&gt;"",(4-N(Aux!E45))&lt;='01_Criterios'!$C$14),Aux!AC45,IF(AND(Aux!Q45&lt;&gt;"",(N(Aux!Q45)-4)&lt;='01_Criterios'!$C$15),Aux!AO45,"")))))</f>
        <v>63.362790738802097</v>
      </c>
      <c r="O45" s="6">
        <f>IF('03_Base_Indice'!$D45="","",IF('03_Base_Indice'!O45&lt;&gt;"",'03_Base_Indice'!O45,IF(AND(Aux!F45&lt;&gt;"",Aux!R45&lt;&gt;"",(N(Aux!R45)-N(Aux!F45)-1)&lt;='01_Criterios'!$C$13),Aux!AD45+(Aux!AP45-Aux!AD45)*(5-Aux!F45)/(Aux!R45-Aux!F45),IF(AND(Aux!F45&lt;&gt;"",(5-N(Aux!F45))&lt;='01_Criterios'!$C$14),Aux!AD45,IF(AND(Aux!R45&lt;&gt;"",(N(Aux!R45)-5)&lt;='01_Criterios'!$C$15),Aux!AP45,"")))))</f>
        <v>64.159911037306699</v>
      </c>
      <c r="P45" s="6">
        <f>IF('03_Base_Indice'!$D45="","",IF('03_Base_Indice'!P45&lt;&gt;"",'03_Base_Indice'!P45,IF(AND(Aux!G45&lt;&gt;"",Aux!S45&lt;&gt;"",(N(Aux!S45)-N(Aux!G45)-1)&lt;='01_Criterios'!$C$13),Aux!AE45+(Aux!AQ45-Aux!AE45)*(6-Aux!G45)/(Aux!S45-Aux!G45),IF(AND(Aux!G45&lt;&gt;"",(6-N(Aux!G45))&lt;='01_Criterios'!$C$14),Aux!AE45,IF(AND(Aux!S45&lt;&gt;"",(N(Aux!S45)-6)&lt;='01_Criterios'!$C$15),Aux!AQ45,"")))))</f>
        <v>64.944030543653795</v>
      </c>
      <c r="Q45" s="6">
        <f>IF('03_Base_Indice'!$D45="","",IF('03_Base_Indice'!Q45&lt;&gt;"",'03_Base_Indice'!Q45,IF(AND(Aux!H45&lt;&gt;"",Aux!T45&lt;&gt;"",(N(Aux!T45)-N(Aux!H45)-1)&lt;='01_Criterios'!$C$13),Aux!AF45+(Aux!AR45-Aux!AF45)*(7-Aux!H45)/(Aux!T45-Aux!H45),IF(AND(Aux!H45&lt;&gt;"",(7-N(Aux!H45))&lt;='01_Criterios'!$C$14),Aux!AF45,IF(AND(Aux!T45&lt;&gt;"",(N(Aux!T45)-7)&lt;='01_Criterios'!$C$15),Aux!AR45,"")))))</f>
        <v>65.716257719435006</v>
      </c>
      <c r="R45" s="6">
        <f>IF('03_Base_Indice'!$D45="","",IF('03_Base_Indice'!R45&lt;&gt;"",'03_Base_Indice'!R45,IF(AND(Aux!I45&lt;&gt;"",Aux!U45&lt;&gt;"",(N(Aux!U45)-N(Aux!I45)-1)&lt;='01_Criterios'!$C$13),Aux!AG45+(Aux!AS45-Aux!AG45)*(8-Aux!I45)/(Aux!U45-Aux!I45),IF(AND(Aux!I45&lt;&gt;"",(8-N(Aux!I45))&lt;='01_Criterios'!$C$14),Aux!AG45,IF(AND(Aux!U45&lt;&gt;"",(N(Aux!U45)-8)&lt;='01_Criterios'!$C$15),Aux!AS45,"")))))</f>
        <v>66.476327319779998</v>
      </c>
      <c r="S45" s="6">
        <f>IF('03_Base_Indice'!$D45="","",IF('03_Base_Indice'!S45&lt;&gt;"",'03_Base_Indice'!S45,IF(AND(Aux!J45&lt;&gt;"",Aux!V45&lt;&gt;"",(N(Aux!V45)-N(Aux!J45)-1)&lt;='01_Criterios'!$C$13),Aux!AH45+(Aux!AT45-Aux!AH45)*(9-Aux!J45)/(Aux!V45-Aux!J45),IF(AND(Aux!J45&lt;&gt;"",(9-N(Aux!J45))&lt;='01_Criterios'!$C$14),Aux!AH45,IF(AND(Aux!V45&lt;&gt;"",(N(Aux!V45)-9)&lt;='01_Criterios'!$C$15),Aux!AT45,"")))))</f>
        <v>67.224425258849706</v>
      </c>
      <c r="T45" s="6">
        <f>IF('03_Base_Indice'!$D45="","",IF('03_Base_Indice'!T45&lt;&gt;"",'03_Base_Indice'!T45,IF(AND(Aux!K45&lt;&gt;"",Aux!W45&lt;&gt;"",(N(Aux!W45)-N(Aux!K45)-1)&lt;='01_Criterios'!$C$13),Aux!AI45+(Aux!AU45-Aux!AI45)*(10-Aux!K45)/(Aux!W45-Aux!K45),IF(AND(Aux!K45&lt;&gt;"",(10-N(Aux!K45))&lt;='01_Criterios'!$C$14),Aux!AI45,IF(AND(Aux!W45&lt;&gt;"",(N(Aux!W45)-10)&lt;='01_Criterios'!$C$15),Aux!AU45,"")))))</f>
        <v>67.960742224211202</v>
      </c>
      <c r="U45" s="6">
        <f>IF('03_Base_Indice'!$D45="","",IF('03_Base_Indice'!U45&lt;&gt;"",'03_Base_Indice'!U45,IF(AND(Aux!L45&lt;&gt;"",Aux!X45&lt;&gt;"",(N(Aux!X45)-N(Aux!L45)-1)&lt;='01_Criterios'!$C$13),Aux!AJ45+(Aux!AV45-Aux!AJ45)*(11-Aux!L45)/(Aux!X45-Aux!L45),IF(AND(Aux!L45&lt;&gt;"",(11-N(Aux!L45))&lt;='01_Criterios'!$C$14),Aux!AJ45,IF(AND(Aux!X45&lt;&gt;"",(N(Aux!X45)-11)&lt;='01_Criterios'!$C$15),Aux!AV45,"")))))</f>
        <v>67.960742224211202</v>
      </c>
    </row>
    <row r="46" spans="1:21">
      <c r="A46" s="6" t="str">
        <f>IF('03_Base_Indice'!$A46="","",'03_Base_Indice'!$A46)</f>
        <v>5. Infraestruturas e Serviços</v>
      </c>
      <c r="B46" s="6">
        <f>'03_Base_Indice'!$B46</f>
        <v>2</v>
      </c>
      <c r="D46" s="6" t="str">
        <f>IF('03_Base_Indice'!$D46="","",'03_Base_Indice'!$D46)</f>
        <v>INF006</v>
      </c>
      <c r="E46" s="6" t="str">
        <f>IF('03_Base_Indice'!$E46="","",'03_Base_Indice'!$E46)</f>
        <v>Densidade Rodoviária (km/1000km²)</v>
      </c>
      <c r="K46" s="6">
        <f>IF('03_Base_Indice'!$D46="","",IF('03_Base_Indice'!K46&lt;&gt;"",'03_Base_Indice'!K46,IF(AND(Aux!B46&lt;&gt;"",Aux!N46&lt;&gt;"",(N(Aux!N46)-N(Aux!B46)-1)&lt;='01_Criterios'!$C$13),Aux!Z46+(Aux!AL46-Aux!Z46)*(1-Aux!B46)/(Aux!N46-Aux!B46),IF(AND(Aux!B46&lt;&gt;"",(1-N(Aux!B46))&lt;='01_Criterios'!$C$14),Aux!Z46,IF(AND(Aux!N46&lt;&gt;"",(N(Aux!N46)-1)&lt;='01_Criterios'!$C$15),Aux!AL46,"")))))</f>
        <v>29</v>
      </c>
      <c r="L46" s="6">
        <f>IF('03_Base_Indice'!$D46="","",IF('03_Base_Indice'!L46&lt;&gt;"",'03_Base_Indice'!L46,IF(AND(Aux!C46&lt;&gt;"",Aux!O46&lt;&gt;"",(N(Aux!O46)-N(Aux!C46)-1)&lt;='01_Criterios'!$C$13),Aux!AA46+(Aux!AM46-Aux!AA46)*(2-Aux!C46)/(Aux!O46-Aux!C46),IF(AND(Aux!C46&lt;&gt;"",(2-N(Aux!C46))&lt;='01_Criterios'!$C$14),Aux!AA46,IF(AND(Aux!O46&lt;&gt;"",(N(Aux!O46)-2)&lt;='01_Criterios'!$C$15),Aux!AM46,"")))))</f>
        <v>29</v>
      </c>
      <c r="M46" s="6">
        <f>IF('03_Base_Indice'!$D46="","",IF('03_Base_Indice'!M46&lt;&gt;"",'03_Base_Indice'!M46,IF(AND(Aux!D46&lt;&gt;"",Aux!P46&lt;&gt;"",(N(Aux!P46)-N(Aux!D46)-1)&lt;='01_Criterios'!$C$13),Aux!AB46+(Aux!AN46-Aux!AB46)*(3-Aux!D46)/(Aux!P46-Aux!D46),IF(AND(Aux!D46&lt;&gt;"",(3-N(Aux!D46))&lt;='01_Criterios'!$C$14),Aux!AB46,IF(AND(Aux!P46&lt;&gt;"",(N(Aux!P46)-3)&lt;='01_Criterios'!$C$15),Aux!AN46,"")))))</f>
        <v>29</v>
      </c>
      <c r="N46" s="6">
        <f>IF('03_Base_Indice'!$D46="","",IF('03_Base_Indice'!N46&lt;&gt;"",'03_Base_Indice'!N46,IF(AND(Aux!E46&lt;&gt;"",Aux!Q46&lt;&gt;"",(N(Aux!Q46)-N(Aux!E46)-1)&lt;='01_Criterios'!$C$13),Aux!AC46+(Aux!AO46-Aux!AC46)*(4-Aux!E46)/(Aux!Q46-Aux!E46),IF(AND(Aux!E46&lt;&gt;"",(4-N(Aux!E46))&lt;='01_Criterios'!$C$14),Aux!AC46,IF(AND(Aux!Q46&lt;&gt;"",(N(Aux!Q46)-4)&lt;='01_Criterios'!$C$15),Aux!AO46,"")))))</f>
        <v>29</v>
      </c>
      <c r="O46" s="6">
        <f>IF('03_Base_Indice'!$D46="","",IF('03_Base_Indice'!O46&lt;&gt;"",'03_Base_Indice'!O46,IF(AND(Aux!F46&lt;&gt;"",Aux!R46&lt;&gt;"",(N(Aux!R46)-N(Aux!F46)-1)&lt;='01_Criterios'!$C$13),Aux!AD46+(Aux!AP46-Aux!AD46)*(5-Aux!F46)/(Aux!R46-Aux!F46),IF(AND(Aux!F46&lt;&gt;"",(5-N(Aux!F46))&lt;='01_Criterios'!$C$14),Aux!AD46,IF(AND(Aux!R46&lt;&gt;"",(N(Aux!R46)-5)&lt;='01_Criterios'!$C$15),Aux!AP46,"")))))</f>
        <v>29</v>
      </c>
      <c r="P46" s="6">
        <f>IF('03_Base_Indice'!$D46="","",IF('03_Base_Indice'!P46&lt;&gt;"",'03_Base_Indice'!P46,IF(AND(Aux!G46&lt;&gt;"",Aux!S46&lt;&gt;"",(N(Aux!S46)-N(Aux!G46)-1)&lt;='01_Criterios'!$C$13),Aux!AE46+(Aux!AQ46-Aux!AE46)*(6-Aux!G46)/(Aux!S46-Aux!G46),IF(AND(Aux!G46&lt;&gt;"",(6-N(Aux!G46))&lt;='01_Criterios'!$C$14),Aux!AE46,IF(AND(Aux!S46&lt;&gt;"",(N(Aux!S46)-6)&lt;='01_Criterios'!$C$15),Aux!AQ46,"")))))</f>
        <v>30</v>
      </c>
      <c r="Q46" s="6">
        <f>IF('03_Base_Indice'!$D46="","",IF('03_Base_Indice'!Q46&lt;&gt;"",'03_Base_Indice'!Q46,IF(AND(Aux!H46&lt;&gt;"",Aux!T46&lt;&gt;"",(N(Aux!T46)-N(Aux!H46)-1)&lt;='01_Criterios'!$C$13),Aux!AF46+(Aux!AR46-Aux!AF46)*(7-Aux!H46)/(Aux!T46-Aux!H46),IF(AND(Aux!H46&lt;&gt;"",(7-N(Aux!H46))&lt;='01_Criterios'!$C$14),Aux!AF46,IF(AND(Aux!T46&lt;&gt;"",(N(Aux!T46)-7)&lt;='01_Criterios'!$C$15),Aux!AR46,"")))))</f>
        <v>31</v>
      </c>
      <c r="R46" s="6">
        <f>IF('03_Base_Indice'!$D46="","",IF('03_Base_Indice'!R46&lt;&gt;"",'03_Base_Indice'!R46,IF(AND(Aux!I46&lt;&gt;"",Aux!U46&lt;&gt;"",(N(Aux!U46)-N(Aux!I46)-1)&lt;='01_Criterios'!$C$13),Aux!AG46+(Aux!AS46-Aux!AG46)*(8-Aux!I46)/(Aux!U46-Aux!I46),IF(AND(Aux!I46&lt;&gt;"",(8-N(Aux!I46))&lt;='01_Criterios'!$C$14),Aux!AG46,IF(AND(Aux!U46&lt;&gt;"",(N(Aux!U46)-8)&lt;='01_Criterios'!$C$15),Aux!AS46,"")))))</f>
        <v>31</v>
      </c>
      <c r="S46" s="6">
        <f>IF('03_Base_Indice'!$D46="","",IF('03_Base_Indice'!S46&lt;&gt;"",'03_Base_Indice'!S46,IF(AND(Aux!J46&lt;&gt;"",Aux!V46&lt;&gt;"",(N(Aux!V46)-N(Aux!J46)-1)&lt;='01_Criterios'!$C$13),Aux!AH46+(Aux!AT46-Aux!AH46)*(9-Aux!J46)/(Aux!V46-Aux!J46),IF(AND(Aux!J46&lt;&gt;"",(9-N(Aux!J46))&lt;='01_Criterios'!$C$14),Aux!AH46,IF(AND(Aux!V46&lt;&gt;"",(N(Aux!V46)-9)&lt;='01_Criterios'!$C$15),Aux!AT46,"")))))</f>
        <v>32</v>
      </c>
      <c r="T46" s="6">
        <f>IF('03_Base_Indice'!$D46="","",IF('03_Base_Indice'!T46&lt;&gt;"",'03_Base_Indice'!T46,IF(AND(Aux!K46&lt;&gt;"",Aux!W46&lt;&gt;"",(N(Aux!W46)-N(Aux!K46)-1)&lt;='01_Criterios'!$C$13),Aux!AI46+(Aux!AU46-Aux!AI46)*(10-Aux!K46)/(Aux!W46-Aux!K46),IF(AND(Aux!K46&lt;&gt;"",(10-N(Aux!K46))&lt;='01_Criterios'!$C$14),Aux!AI46,IF(AND(Aux!W46&lt;&gt;"",(N(Aux!W46)-10)&lt;='01_Criterios'!$C$15),Aux!AU46,"")))))</f>
        <v>33</v>
      </c>
      <c r="U46" s="6">
        <f>IF('03_Base_Indice'!$D46="","",IF('03_Base_Indice'!U46&lt;&gt;"",'03_Base_Indice'!U46,IF(AND(Aux!L46&lt;&gt;"",Aux!X46&lt;&gt;"",(N(Aux!X46)-N(Aux!L46)-1)&lt;='01_Criterios'!$C$13),Aux!AJ46+(Aux!AV46-Aux!AJ46)*(11-Aux!L46)/(Aux!X46-Aux!L46),IF(AND(Aux!L46&lt;&gt;"",(11-N(Aux!L46))&lt;='01_Criterios'!$C$14),Aux!AJ46,IF(AND(Aux!X46&lt;&gt;"",(N(Aux!X46)-11)&lt;='01_Criterios'!$C$15),Aux!AV46,"")))))</f>
        <v>33</v>
      </c>
    </row>
    <row r="47" spans="1:21">
      <c r="A47" s="6" t="str">
        <f>IF('03_Base_Indice'!$A47="","",'03_Base_Indice'!$A47)</f>
        <v>5. Infraestruturas e Serviços</v>
      </c>
      <c r="B47" s="6">
        <f>'03_Base_Indice'!$B47</f>
        <v>3</v>
      </c>
      <c r="D47" s="6" t="str">
        <f>IF('03_Base_Indice'!$D47="","",'03_Base_Indice'!$D47)</f>
        <v>INF001</v>
      </c>
      <c r="E47" s="6" t="str">
        <f>IF('03_Base_Indice'!$E47="","",'03_Base_Indice'!$E47)</f>
        <v>Taxa de Electrificação</v>
      </c>
      <c r="K47" s="6">
        <f>IF('03_Base_Indice'!$D47="","",IF('03_Base_Indice'!K47&lt;&gt;"",'03_Base_Indice'!K47,IF(AND(Aux!B47&lt;&gt;"",Aux!N47&lt;&gt;"",(N(Aux!N47)-N(Aux!B47)-1)&lt;='01_Criterios'!$C$13),Aux!Z47+(Aux!AL47-Aux!Z47)*(1-Aux!B47)/(Aux!N47-Aux!B47),IF(AND(Aux!B47&lt;&gt;"",(1-N(Aux!B47))&lt;='01_Criterios'!$C$14),Aux!Z47,IF(AND(Aux!N47&lt;&gt;"",(N(Aux!N47)-1)&lt;='01_Criterios'!$C$15),Aux!AL47,"")))))</f>
        <v>42</v>
      </c>
      <c r="L47" s="6">
        <f>IF('03_Base_Indice'!$D47="","",IF('03_Base_Indice'!L47&lt;&gt;"",'03_Base_Indice'!L47,IF(AND(Aux!C47&lt;&gt;"",Aux!O47&lt;&gt;"",(N(Aux!O47)-N(Aux!C47)-1)&lt;='01_Criterios'!$C$13),Aux!AA47+(Aux!AM47-Aux!AA47)*(2-Aux!C47)/(Aux!O47-Aux!C47),IF(AND(Aux!C47&lt;&gt;"",(2-N(Aux!C47))&lt;='01_Criterios'!$C$14),Aux!AA47,IF(AND(Aux!O47&lt;&gt;"",(N(Aux!O47)-2)&lt;='01_Criterios'!$C$15),Aux!AM47,"")))))</f>
        <v>41.8</v>
      </c>
      <c r="M47" s="6">
        <f>IF('03_Base_Indice'!$D47="","",IF('03_Base_Indice'!M47&lt;&gt;"",'03_Base_Indice'!M47,IF(AND(Aux!D47&lt;&gt;"",Aux!P47&lt;&gt;"",(N(Aux!P47)-N(Aux!D47)-1)&lt;='01_Criterios'!$C$13),Aux!AB47+(Aux!AN47-Aux!AB47)*(3-Aux!D47)/(Aux!P47-Aux!D47),IF(AND(Aux!D47&lt;&gt;"",(3-N(Aux!D47))&lt;='01_Criterios'!$C$14),Aux!AB47,IF(AND(Aux!P47&lt;&gt;"",(N(Aux!P47)-3)&lt;='01_Criterios'!$C$15),Aux!AN47,"")))))</f>
        <v>42.9</v>
      </c>
      <c r="N47" s="6">
        <f>IF('03_Base_Indice'!$D47="","",IF('03_Base_Indice'!N47&lt;&gt;"",'03_Base_Indice'!N47,IF(AND(Aux!E47&lt;&gt;"",Aux!Q47&lt;&gt;"",(N(Aux!Q47)-N(Aux!E47)-1)&lt;='01_Criterios'!$C$13),Aux!AC47+(Aux!AO47-Aux!AC47)*(4-Aux!E47)/(Aux!Q47-Aux!E47),IF(AND(Aux!E47&lt;&gt;"",(4-N(Aux!E47))&lt;='01_Criterios'!$C$14),Aux!AC47,IF(AND(Aux!Q47&lt;&gt;"",(N(Aux!Q47)-4)&lt;='01_Criterios'!$C$15),Aux!AO47,"")))))</f>
        <v>45.3</v>
      </c>
      <c r="O47" s="6">
        <f>IF('03_Base_Indice'!$D47="","",IF('03_Base_Indice'!O47&lt;&gt;"",'03_Base_Indice'!O47,IF(AND(Aux!F47&lt;&gt;"",Aux!R47&lt;&gt;"",(N(Aux!R47)-N(Aux!F47)-1)&lt;='01_Criterios'!$C$13),Aux!AD47+(Aux!AP47-Aux!AD47)*(5-Aux!F47)/(Aux!R47-Aux!F47),IF(AND(Aux!F47&lt;&gt;"",(5-N(Aux!F47))&lt;='01_Criterios'!$C$14),Aux!AD47,IF(AND(Aux!R47&lt;&gt;"",(N(Aux!R47)-5)&lt;='01_Criterios'!$C$15),Aux!AP47,"")))))</f>
        <v>45.6</v>
      </c>
      <c r="P47" s="6">
        <f>IF('03_Base_Indice'!$D47="","",IF('03_Base_Indice'!P47&lt;&gt;"",'03_Base_Indice'!P47,IF(AND(Aux!G47&lt;&gt;"",Aux!S47&lt;&gt;"",(N(Aux!S47)-N(Aux!G47)-1)&lt;='01_Criterios'!$C$13),Aux!AE47+(Aux!AQ47-Aux!AE47)*(6-Aux!G47)/(Aux!S47-Aux!G47),IF(AND(Aux!G47&lt;&gt;"",(6-N(Aux!G47))&lt;='01_Criterios'!$C$14),Aux!AE47,IF(AND(Aux!S47&lt;&gt;"",(N(Aux!S47)-6)&lt;='01_Criterios'!$C$15),Aux!AQ47,"")))))</f>
        <v>47</v>
      </c>
      <c r="Q47" s="6">
        <f>IF('03_Base_Indice'!$D47="","",IF('03_Base_Indice'!Q47&lt;&gt;"",'03_Base_Indice'!Q47,IF(AND(Aux!H47&lt;&gt;"",Aux!T47&lt;&gt;"",(N(Aux!T47)-N(Aux!H47)-1)&lt;='01_Criterios'!$C$13),Aux!AF47+(Aux!AR47-Aux!AF47)*(7-Aux!H47)/(Aux!T47-Aux!H47),IF(AND(Aux!H47&lt;&gt;"",(7-N(Aux!H47))&lt;='01_Criterios'!$C$14),Aux!AF47,IF(AND(Aux!T47&lt;&gt;"",(N(Aux!T47)-7)&lt;='01_Criterios'!$C$15),Aux!AR47,"")))))</f>
        <v>48.2</v>
      </c>
      <c r="R47" s="6">
        <f>IF('03_Base_Indice'!$D47="","",IF('03_Base_Indice'!R47&lt;&gt;"",'03_Base_Indice'!R47,IF(AND(Aux!I47&lt;&gt;"",Aux!U47&lt;&gt;"",(N(Aux!U47)-N(Aux!I47)-1)&lt;='01_Criterios'!$C$13),Aux!AG47+(Aux!AS47-Aux!AG47)*(8-Aux!I47)/(Aux!U47-Aux!I47),IF(AND(Aux!I47&lt;&gt;"",(8-N(Aux!I47))&lt;='01_Criterios'!$C$14),Aux!AG47,IF(AND(Aux!U47&lt;&gt;"",(N(Aux!U47)-8)&lt;='01_Criterios'!$C$15),Aux!AS47,"")))))</f>
        <v>48.5</v>
      </c>
      <c r="S47" s="6">
        <f>IF('03_Base_Indice'!$D47="","",IF('03_Base_Indice'!S47&lt;&gt;"",'03_Base_Indice'!S47,IF(AND(Aux!J47&lt;&gt;"",Aux!V47&lt;&gt;"",(N(Aux!V47)-N(Aux!J47)-1)&lt;='01_Criterios'!$C$13),Aux!AH47+(Aux!AT47-Aux!AH47)*(9-Aux!J47)/(Aux!V47-Aux!J47),IF(AND(Aux!J47&lt;&gt;"",(9-N(Aux!J47))&lt;='01_Criterios'!$C$14),Aux!AH47,IF(AND(Aux!V47&lt;&gt;"",(N(Aux!V47)-9)&lt;='01_Criterios'!$C$15),Aux!AT47,"")))))</f>
        <v>51.1</v>
      </c>
      <c r="T47" s="6">
        <f>IF('03_Base_Indice'!$D47="","",IF('03_Base_Indice'!T47&lt;&gt;"",'03_Base_Indice'!T47,IF(AND(Aux!K47&lt;&gt;"",Aux!W47&lt;&gt;"",(N(Aux!W47)-N(Aux!K47)-1)&lt;='01_Criterios'!$C$13),Aux!AI47+(Aux!AU47-Aux!AI47)*(10-Aux!K47)/(Aux!W47-Aux!K47),IF(AND(Aux!K47&lt;&gt;"",(10-N(Aux!K47))&lt;='01_Criterios'!$C$14),Aux!AI47,IF(AND(Aux!W47&lt;&gt;"",(N(Aux!W47)-10)&lt;='01_Criterios'!$C$15),Aux!AU47,"")))))</f>
        <v>51.1</v>
      </c>
      <c r="U47" s="6">
        <f>IF('03_Base_Indice'!$D47="","",IF('03_Base_Indice'!U47&lt;&gt;"",'03_Base_Indice'!U47,IF(AND(Aux!L47&lt;&gt;"",Aux!X47&lt;&gt;"",(N(Aux!X47)-N(Aux!L47)-1)&lt;='01_Criterios'!$C$13),Aux!AJ47+(Aux!AV47-Aux!AJ47)*(11-Aux!L47)/(Aux!X47-Aux!L47),IF(AND(Aux!L47&lt;&gt;"",(11-N(Aux!L47))&lt;='01_Criterios'!$C$14),Aux!AJ47,IF(AND(Aux!X47&lt;&gt;"",(N(Aux!X47)-11)&lt;='01_Criterios'!$C$15),Aux!AV47,"")))))</f>
        <v>51.1</v>
      </c>
    </row>
    <row r="48" spans="1:21">
      <c r="A48" s="6" t="str">
        <f>IF('03_Base_Indice'!$A48="","",'03_Base_Indice'!$A48)</f>
        <v>5. Infraestruturas e Serviços</v>
      </c>
      <c r="B48" s="6">
        <f>'03_Base_Indice'!$B48</f>
        <v>4</v>
      </c>
      <c r="D48" s="6" t="str">
        <f>IF('03_Base_Indice'!$D48="","",'03_Base_Indice'!$D48)</f>
        <v>INF05</v>
      </c>
      <c r="E48" s="6" t="str">
        <f>IF('03_Base_Indice'!$E48="","",'03_Base_Indice'!$E48)</f>
        <v>Acesso a energia limpa para cozinhar</v>
      </c>
      <c r="K48" s="6">
        <f>IF('03_Base_Indice'!$D48="","",IF('03_Base_Indice'!K48&lt;&gt;"",'03_Base_Indice'!K48,IF(AND(Aux!B48&lt;&gt;"",Aux!N48&lt;&gt;"",(N(Aux!N48)-N(Aux!B48)-1)&lt;='01_Criterios'!$C$13),Aux!Z48+(Aux!AL48-Aux!Z48)*(1-Aux!B48)/(Aux!N48-Aux!B48),IF(AND(Aux!B48&lt;&gt;"",(1-N(Aux!B48))&lt;='01_Criterios'!$C$14),Aux!Z48,IF(AND(Aux!N48&lt;&gt;"",(N(Aux!N48)-1)&lt;='01_Criterios'!$C$15),Aux!AL48,"")))))</f>
        <v>47</v>
      </c>
      <c r="L48" s="6">
        <f>IF('03_Base_Indice'!$D48="","",IF('03_Base_Indice'!L48&lt;&gt;"",'03_Base_Indice'!L48,IF(AND(Aux!C48&lt;&gt;"",Aux!O48&lt;&gt;"",(N(Aux!O48)-N(Aux!C48)-1)&lt;='01_Criterios'!$C$13),Aux!AA48+(Aux!AM48-Aux!AA48)*(2-Aux!C48)/(Aux!O48-Aux!C48),IF(AND(Aux!C48&lt;&gt;"",(2-N(Aux!C48))&lt;='01_Criterios'!$C$14),Aux!AA48,IF(AND(Aux!O48&lt;&gt;"",(N(Aux!O48)-2)&lt;='01_Criterios'!$C$15),Aux!AM48,"")))))</f>
        <v>48</v>
      </c>
      <c r="M48" s="6">
        <f>IF('03_Base_Indice'!$D48="","",IF('03_Base_Indice'!M48&lt;&gt;"",'03_Base_Indice'!M48,IF(AND(Aux!D48&lt;&gt;"",Aux!P48&lt;&gt;"",(N(Aux!P48)-N(Aux!D48)-1)&lt;='01_Criterios'!$C$13),Aux!AB48+(Aux!AN48-Aux!AB48)*(3-Aux!D48)/(Aux!P48-Aux!D48),IF(AND(Aux!D48&lt;&gt;"",(3-N(Aux!D48))&lt;='01_Criterios'!$C$14),Aux!AB48,IF(AND(Aux!P48&lt;&gt;"",(N(Aux!P48)-3)&lt;='01_Criterios'!$C$15),Aux!AN48,"")))))</f>
        <v>48.2</v>
      </c>
      <c r="N48" s="6">
        <f>IF('03_Base_Indice'!$D48="","",IF('03_Base_Indice'!N48&lt;&gt;"",'03_Base_Indice'!N48,IF(AND(Aux!E48&lt;&gt;"",Aux!Q48&lt;&gt;"",(N(Aux!Q48)-N(Aux!E48)-1)&lt;='01_Criterios'!$C$13),Aux!AC48+(Aux!AO48-Aux!AC48)*(4-Aux!E48)/(Aux!Q48-Aux!E48),IF(AND(Aux!E48&lt;&gt;"",(4-N(Aux!E48))&lt;='01_Criterios'!$C$14),Aux!AC48,IF(AND(Aux!Q48&lt;&gt;"",(N(Aux!Q48)-4)&lt;='01_Criterios'!$C$15),Aux!AO48,"")))))</f>
        <v>48.8</v>
      </c>
      <c r="O48" s="6">
        <f>IF('03_Base_Indice'!$D48="","",IF('03_Base_Indice'!O48&lt;&gt;"",'03_Base_Indice'!O48,IF(AND(Aux!F48&lt;&gt;"",Aux!R48&lt;&gt;"",(N(Aux!R48)-N(Aux!F48)-1)&lt;='01_Criterios'!$C$13),Aux!AD48+(Aux!AP48-Aux!AD48)*(5-Aux!F48)/(Aux!R48-Aux!F48),IF(AND(Aux!F48&lt;&gt;"",(5-N(Aux!F48))&lt;='01_Criterios'!$C$14),Aux!AD48,IF(AND(Aux!R48&lt;&gt;"",(N(Aux!R48)-5)&lt;='01_Criterios'!$C$15),Aux!AP48,"")))))</f>
        <v>49.2</v>
      </c>
      <c r="P48" s="6">
        <f>IF('03_Base_Indice'!$D48="","",IF('03_Base_Indice'!P48&lt;&gt;"",'03_Base_Indice'!P48,IF(AND(Aux!G48&lt;&gt;"",Aux!S48&lt;&gt;"",(N(Aux!S48)-N(Aux!G48)-1)&lt;='01_Criterios'!$C$13),Aux!AE48+(Aux!AQ48-Aux!AE48)*(6-Aux!G48)/(Aux!S48-Aux!G48),IF(AND(Aux!G48&lt;&gt;"",(6-N(Aux!G48))&lt;='01_Criterios'!$C$14),Aux!AE48,IF(AND(Aux!S48&lt;&gt;"",(N(Aux!S48)-6)&lt;='01_Criterios'!$C$15),Aux!AQ48,"")))))</f>
        <v>49.4</v>
      </c>
      <c r="Q48" s="6">
        <f>IF('03_Base_Indice'!$D48="","",IF('03_Base_Indice'!Q48&lt;&gt;"",'03_Base_Indice'!Q48,IF(AND(Aux!H48&lt;&gt;"",Aux!T48&lt;&gt;"",(N(Aux!T48)-N(Aux!H48)-1)&lt;='01_Criterios'!$C$13),Aux!AF48+(Aux!AR48-Aux!AF48)*(7-Aux!H48)/(Aux!T48-Aux!H48),IF(AND(Aux!H48&lt;&gt;"",(7-N(Aux!H48))&lt;='01_Criterios'!$C$14),Aux!AF48,IF(AND(Aux!T48&lt;&gt;"",(N(Aux!T48)-7)&lt;='01_Criterios'!$C$15),Aux!AR48,"")))))</f>
        <v>49.8</v>
      </c>
      <c r="R48" s="6">
        <f>IF('03_Base_Indice'!$D48="","",IF('03_Base_Indice'!R48&lt;&gt;"",'03_Base_Indice'!R48,IF(AND(Aux!I48&lt;&gt;"",Aux!U48&lt;&gt;"",(N(Aux!U48)-N(Aux!I48)-1)&lt;='01_Criterios'!$C$13),Aux!AG48+(Aux!AS48-Aux!AG48)*(8-Aux!I48)/(Aux!U48-Aux!I48),IF(AND(Aux!I48&lt;&gt;"",(8-N(Aux!I48))&lt;='01_Criterios'!$C$14),Aux!AG48,IF(AND(Aux!U48&lt;&gt;"",(N(Aux!U48)-8)&lt;='01_Criterios'!$C$15),Aux!AS48,"")))))</f>
        <v>50</v>
      </c>
      <c r="S48" s="6">
        <f>IF('03_Base_Indice'!$D48="","",IF('03_Base_Indice'!S48&lt;&gt;"",'03_Base_Indice'!S48,IF(AND(Aux!J48&lt;&gt;"",Aux!V48&lt;&gt;"",(N(Aux!V48)-N(Aux!J48)-1)&lt;='01_Criterios'!$C$13),Aux!AH48+(Aux!AT48-Aux!AH48)*(9-Aux!J48)/(Aux!V48-Aux!J48),IF(AND(Aux!J48&lt;&gt;"",(9-N(Aux!J48))&lt;='01_Criterios'!$C$14),Aux!AH48,IF(AND(Aux!V48&lt;&gt;"",(N(Aux!V48)-9)&lt;='01_Criterios'!$C$15),Aux!AT48,"")))))</f>
        <v>50.2</v>
      </c>
      <c r="T48" s="6">
        <f>IF('03_Base_Indice'!$D48="","",IF('03_Base_Indice'!T48&lt;&gt;"",'03_Base_Indice'!T48,IF(AND(Aux!K48&lt;&gt;"",Aux!W48&lt;&gt;"",(N(Aux!W48)-N(Aux!K48)-1)&lt;='01_Criterios'!$C$13),Aux!AI48+(Aux!AU48-Aux!AI48)*(10-Aux!K48)/(Aux!W48-Aux!K48),IF(AND(Aux!K48&lt;&gt;"",(10-N(Aux!K48))&lt;='01_Criterios'!$C$14),Aux!AI48,IF(AND(Aux!W48&lt;&gt;"",(N(Aux!W48)-10)&lt;='01_Criterios'!$C$15),Aux!AU48,"")))))</f>
        <v>50.2</v>
      </c>
      <c r="U48" s="6">
        <f>IF('03_Base_Indice'!$D48="","",IF('03_Base_Indice'!U48&lt;&gt;"",'03_Base_Indice'!U48,IF(AND(Aux!L48&lt;&gt;"",Aux!X48&lt;&gt;"",(N(Aux!X48)-N(Aux!L48)-1)&lt;='01_Criterios'!$C$13),Aux!AJ48+(Aux!AV48-Aux!AJ48)*(11-Aux!L48)/(Aux!X48-Aux!L48),IF(AND(Aux!L48&lt;&gt;"",(11-N(Aux!L48))&lt;='01_Criterios'!$C$14),Aux!AJ48,IF(AND(Aux!X48&lt;&gt;"",(N(Aux!X48)-11)&lt;='01_Criterios'!$C$15),Aux!AV48,"")))))</f>
        <v>50.2</v>
      </c>
    </row>
    <row r="49" spans="1:21">
      <c r="A49" s="6" t="str">
        <f>IF('03_Base_Indice'!$A49="","",'03_Base_Indice'!$A49)</f>
        <v>5. Infraestruturas e Serviços</v>
      </c>
      <c r="B49" s="6">
        <f>'03_Base_Indice'!$B49</f>
        <v>5</v>
      </c>
      <c r="D49" s="6" t="str">
        <f>IF('03_Base_Indice'!$D49="","",'03_Base_Indice'!$D49)</f>
        <v>INF024</v>
      </c>
      <c r="E49" s="6" t="str">
        <f>IF('03_Base_Indice'!$E49="","",'03_Base_Indice'!$E49)</f>
        <v>Tráfego portuário de contentores</v>
      </c>
      <c r="K49" s="6">
        <f>IF('03_Base_Indice'!$D49="","",IF('03_Base_Indice'!K49&lt;&gt;"",'03_Base_Indice'!K49,IF(AND(Aux!B49&lt;&gt;"",Aux!N49&lt;&gt;"",(N(Aux!N49)-N(Aux!B49)-1)&lt;='01_Criterios'!$C$13),Aux!Z49+(Aux!AL49-Aux!Z49)*(1-Aux!B49)/(Aux!N49-Aux!B49),IF(AND(Aux!B49&lt;&gt;"",(1-N(Aux!B49))&lt;='01_Criterios'!$C$14),Aux!Z49,IF(AND(Aux!N49&lt;&gt;"",(N(Aux!N49)-1)&lt;='01_Criterios'!$C$15),Aux!AL49,"")))))</f>
        <v>814965</v>
      </c>
      <c r="L49" s="6">
        <f>IF('03_Base_Indice'!$D49="","",IF('03_Base_Indice'!L49&lt;&gt;"",'03_Base_Indice'!L49,IF(AND(Aux!C49&lt;&gt;"",Aux!O49&lt;&gt;"",(N(Aux!O49)-N(Aux!C49)-1)&lt;='01_Criterios'!$C$13),Aux!AA49+(Aux!AM49-Aux!AA49)*(2-Aux!C49)/(Aux!O49-Aux!C49),IF(AND(Aux!C49&lt;&gt;"",(2-N(Aux!C49))&lt;='01_Criterios'!$C$14),Aux!AA49,IF(AND(Aux!O49&lt;&gt;"",(N(Aux!O49)-2)&lt;='01_Criterios'!$C$15),Aux!AM49,"")))))</f>
        <v>572298</v>
      </c>
      <c r="M49" s="6">
        <f>IF('03_Base_Indice'!$D49="","",IF('03_Base_Indice'!M49&lt;&gt;"",'03_Base_Indice'!M49,IF(AND(Aux!D49&lt;&gt;"",Aux!P49&lt;&gt;"",(N(Aux!P49)-N(Aux!D49)-1)&lt;='01_Criterios'!$C$13),Aux!AB49+(Aux!AN49-Aux!AB49)*(3-Aux!D49)/(Aux!P49-Aux!D49),IF(AND(Aux!D49&lt;&gt;"",(3-N(Aux!D49))&lt;='01_Criterios'!$C$14),Aux!AB49,IF(AND(Aux!P49&lt;&gt;"",(N(Aux!P49)-3)&lt;='01_Criterios'!$C$15),Aux!AN49,"")))))</f>
        <v>735431</v>
      </c>
      <c r="N49" s="6">
        <f>IF('03_Base_Indice'!$D49="","",IF('03_Base_Indice'!N49&lt;&gt;"",'03_Base_Indice'!N49,IF(AND(Aux!E49&lt;&gt;"",Aux!Q49&lt;&gt;"",(N(Aux!Q49)-N(Aux!E49)-1)&lt;='01_Criterios'!$C$13),Aux!AC49+(Aux!AO49-Aux!AC49)*(4-Aux!E49)/(Aux!Q49-Aux!E49),IF(AND(Aux!E49&lt;&gt;"",(4-N(Aux!E49))&lt;='01_Criterios'!$C$14),Aux!AC49,IF(AND(Aux!Q49&lt;&gt;"",(N(Aux!Q49)-4)&lt;='01_Criterios'!$C$15),Aux!AO49,"")))))</f>
        <v>618238</v>
      </c>
      <c r="O49" s="6">
        <f>IF('03_Base_Indice'!$D49="","",IF('03_Base_Indice'!O49&lt;&gt;"",'03_Base_Indice'!O49,IF(AND(Aux!F49&lt;&gt;"",Aux!R49&lt;&gt;"",(N(Aux!R49)-N(Aux!F49)-1)&lt;='01_Criterios'!$C$13),Aux!AD49+(Aux!AP49-Aux!AD49)*(5-Aux!F49)/(Aux!R49-Aux!F49),IF(AND(Aux!F49&lt;&gt;"",(5-N(Aux!F49))&lt;='01_Criterios'!$C$14),Aux!AD49,IF(AND(Aux!R49&lt;&gt;"",(N(Aux!R49)-5)&lt;='01_Criterios'!$C$15),Aux!AP49,"")))))</f>
        <v>700123</v>
      </c>
      <c r="P49" s="6">
        <f>IF('03_Base_Indice'!$D49="","",IF('03_Base_Indice'!P49&lt;&gt;"",'03_Base_Indice'!P49,IF(AND(Aux!G49&lt;&gt;"",Aux!S49&lt;&gt;"",(N(Aux!S49)-N(Aux!G49)-1)&lt;='01_Criterios'!$C$13),Aux!AE49+(Aux!AQ49-Aux!AE49)*(6-Aux!G49)/(Aux!S49-Aux!G49),IF(AND(Aux!G49&lt;&gt;"",(6-N(Aux!G49))&lt;='01_Criterios'!$C$14),Aux!AE49,IF(AND(Aux!S49&lt;&gt;"",(N(Aux!S49)-6)&lt;='01_Criterios'!$C$15),Aux!AQ49,"")))))</f>
        <v>590128</v>
      </c>
      <c r="Q49" s="6">
        <f>IF('03_Base_Indice'!$D49="","",IF('03_Base_Indice'!Q49&lt;&gt;"",'03_Base_Indice'!Q49,IF(AND(Aux!H49&lt;&gt;"",Aux!T49&lt;&gt;"",(N(Aux!T49)-N(Aux!H49)-1)&lt;='01_Criterios'!$C$13),Aux!AF49+(Aux!AR49-Aux!AF49)*(7-Aux!H49)/(Aux!T49-Aux!H49),IF(AND(Aux!H49&lt;&gt;"",(7-N(Aux!H49))&lt;='01_Criterios'!$C$14),Aux!AF49,IF(AND(Aux!T49&lt;&gt;"",(N(Aux!T49)-7)&lt;='01_Criterios'!$C$15),Aux!AR49,"")))))</f>
        <v>628348</v>
      </c>
      <c r="R49" s="6">
        <f>IF('03_Base_Indice'!$D49="","",IF('03_Base_Indice'!R49&lt;&gt;"",'03_Base_Indice'!R49,IF(AND(Aux!I49&lt;&gt;"",Aux!U49&lt;&gt;"",(N(Aux!U49)-N(Aux!I49)-1)&lt;='01_Criterios'!$C$13),Aux!AG49+(Aux!AS49-Aux!AG49)*(8-Aux!I49)/(Aux!U49-Aux!I49),IF(AND(Aux!I49&lt;&gt;"",(8-N(Aux!I49))&lt;='01_Criterios'!$C$14),Aux!AG49,IF(AND(Aux!U49&lt;&gt;"",(N(Aux!U49)-8)&lt;='01_Criterios'!$C$15),Aux!AS49,"")))))</f>
        <v>678333</v>
      </c>
      <c r="S49" s="6">
        <f>IF('03_Base_Indice'!$D49="","",IF('03_Base_Indice'!S49&lt;&gt;"",'03_Base_Indice'!S49,IF(AND(Aux!J49&lt;&gt;"",Aux!V49&lt;&gt;"",(N(Aux!V49)-N(Aux!J49)-1)&lt;='01_Criterios'!$C$13),Aux!AH49+(Aux!AT49-Aux!AH49)*(9-Aux!J49)/(Aux!V49-Aux!J49),IF(AND(Aux!J49&lt;&gt;"",(9-N(Aux!J49))&lt;='01_Criterios'!$C$14),Aux!AH49,IF(AND(Aux!V49&lt;&gt;"",(N(Aux!V49)-9)&lt;='01_Criterios'!$C$15),Aux!AT49,"")))))</f>
        <v>662054</v>
      </c>
      <c r="T49" s="6">
        <f>IF('03_Base_Indice'!$D49="","",IF('03_Base_Indice'!T49&lt;&gt;"",'03_Base_Indice'!T49,IF(AND(Aux!K49&lt;&gt;"",Aux!W49&lt;&gt;"",(N(Aux!W49)-N(Aux!K49)-1)&lt;='01_Criterios'!$C$13),Aux!AI49+(Aux!AU49-Aux!AI49)*(10-Aux!K49)/(Aux!W49-Aux!K49),IF(AND(Aux!K49&lt;&gt;"",(10-N(Aux!K49))&lt;='01_Criterios'!$C$14),Aux!AI49,IF(AND(Aux!W49&lt;&gt;"",(N(Aux!W49)-10)&lt;='01_Criterios'!$C$15),Aux!AU49,"")))))</f>
        <v>709221</v>
      </c>
      <c r="U49" s="6">
        <f>IF('03_Base_Indice'!$D49="","",IF('03_Base_Indice'!U49&lt;&gt;"",'03_Base_Indice'!U49,IF(AND(Aux!L49&lt;&gt;"",Aux!X49&lt;&gt;"",(N(Aux!X49)-N(Aux!L49)-1)&lt;='01_Criterios'!$C$13),Aux!AJ49+(Aux!AV49-Aux!AJ49)*(11-Aux!L49)/(Aux!X49-Aux!L49),IF(AND(Aux!L49&lt;&gt;"",(11-N(Aux!L49))&lt;='01_Criterios'!$C$14),Aux!AJ49,IF(AND(Aux!X49&lt;&gt;"",(N(Aux!X49)-11)&lt;='01_Criterios'!$C$15),Aux!AV49,"")))))</f>
        <v>709221</v>
      </c>
    </row>
    <row r="50" spans="1:21">
      <c r="A50" s="6" t="str">
        <f>IF('03_Base_Indice'!$A50="","",'03_Base_Indice'!$A50)</f>
        <v>5. Infraestruturas e Serviços</v>
      </c>
      <c r="B50" s="6">
        <f>'03_Base_Indice'!$B50</f>
        <v>6</v>
      </c>
      <c r="D50" s="6" t="str">
        <f>IF('03_Base_Indice'!$D50="","",'03_Base_Indice'!$D50)</f>
        <v/>
      </c>
      <c r="E50" s="6" t="str">
        <f>IF('03_Base_Indice'!$E50="","",'03_Base_Indice'!$E50)</f>
        <v/>
      </c>
      <c r="K50" s="6" t="str">
        <f>IF('03_Base_Indice'!$D50="","",IF('03_Base_Indice'!K50&lt;&gt;"",'03_Base_Indice'!K50,IF(AND(Aux!B50&lt;&gt;"",Aux!N50&lt;&gt;"",(N(Aux!N50)-N(Aux!B50)-1)&lt;='01_Criterios'!$C$13),Aux!Z50+(Aux!AL50-Aux!Z50)*(1-Aux!B50)/(Aux!N50-Aux!B50),IF(AND(Aux!B50&lt;&gt;"",(1-N(Aux!B50))&lt;='01_Criterios'!$C$14),Aux!Z50,IF(AND(Aux!N50&lt;&gt;"",(N(Aux!N50)-1)&lt;='01_Criterios'!$C$15),Aux!AL50,"")))))</f>
        <v/>
      </c>
      <c r="L50" s="6" t="str">
        <f>IF('03_Base_Indice'!$D50="","",IF('03_Base_Indice'!L50&lt;&gt;"",'03_Base_Indice'!L50,IF(AND(Aux!C50&lt;&gt;"",Aux!O50&lt;&gt;"",(N(Aux!O50)-N(Aux!C50)-1)&lt;='01_Criterios'!$C$13),Aux!AA50+(Aux!AM50-Aux!AA50)*(2-Aux!C50)/(Aux!O50-Aux!C50),IF(AND(Aux!C50&lt;&gt;"",(2-N(Aux!C50))&lt;='01_Criterios'!$C$14),Aux!AA50,IF(AND(Aux!O50&lt;&gt;"",(N(Aux!O50)-2)&lt;='01_Criterios'!$C$15),Aux!AM50,"")))))</f>
        <v/>
      </c>
      <c r="M50" s="6" t="str">
        <f>IF('03_Base_Indice'!$D50="","",IF('03_Base_Indice'!M50&lt;&gt;"",'03_Base_Indice'!M50,IF(AND(Aux!D50&lt;&gt;"",Aux!P50&lt;&gt;"",(N(Aux!P50)-N(Aux!D50)-1)&lt;='01_Criterios'!$C$13),Aux!AB50+(Aux!AN50-Aux!AB50)*(3-Aux!D50)/(Aux!P50-Aux!D50),IF(AND(Aux!D50&lt;&gt;"",(3-N(Aux!D50))&lt;='01_Criterios'!$C$14),Aux!AB50,IF(AND(Aux!P50&lt;&gt;"",(N(Aux!P50)-3)&lt;='01_Criterios'!$C$15),Aux!AN50,"")))))</f>
        <v/>
      </c>
      <c r="N50" s="6" t="str">
        <f>IF('03_Base_Indice'!$D50="","",IF('03_Base_Indice'!N50&lt;&gt;"",'03_Base_Indice'!N50,IF(AND(Aux!E50&lt;&gt;"",Aux!Q50&lt;&gt;"",(N(Aux!Q50)-N(Aux!E50)-1)&lt;='01_Criterios'!$C$13),Aux!AC50+(Aux!AO50-Aux!AC50)*(4-Aux!E50)/(Aux!Q50-Aux!E50),IF(AND(Aux!E50&lt;&gt;"",(4-N(Aux!E50))&lt;='01_Criterios'!$C$14),Aux!AC50,IF(AND(Aux!Q50&lt;&gt;"",(N(Aux!Q50)-4)&lt;='01_Criterios'!$C$15),Aux!AO50,"")))))</f>
        <v/>
      </c>
      <c r="O50" s="6" t="str">
        <f>IF('03_Base_Indice'!$D50="","",IF('03_Base_Indice'!O50&lt;&gt;"",'03_Base_Indice'!O50,IF(AND(Aux!F50&lt;&gt;"",Aux!R50&lt;&gt;"",(N(Aux!R50)-N(Aux!F50)-1)&lt;='01_Criterios'!$C$13),Aux!AD50+(Aux!AP50-Aux!AD50)*(5-Aux!F50)/(Aux!R50-Aux!F50),IF(AND(Aux!F50&lt;&gt;"",(5-N(Aux!F50))&lt;='01_Criterios'!$C$14),Aux!AD50,IF(AND(Aux!R50&lt;&gt;"",(N(Aux!R50)-5)&lt;='01_Criterios'!$C$15),Aux!AP50,"")))))</f>
        <v/>
      </c>
      <c r="P50" s="6" t="str">
        <f>IF('03_Base_Indice'!$D50="","",IF('03_Base_Indice'!P50&lt;&gt;"",'03_Base_Indice'!P50,IF(AND(Aux!G50&lt;&gt;"",Aux!S50&lt;&gt;"",(N(Aux!S50)-N(Aux!G50)-1)&lt;='01_Criterios'!$C$13),Aux!AE50+(Aux!AQ50-Aux!AE50)*(6-Aux!G50)/(Aux!S50-Aux!G50),IF(AND(Aux!G50&lt;&gt;"",(6-N(Aux!G50))&lt;='01_Criterios'!$C$14),Aux!AE50,IF(AND(Aux!S50&lt;&gt;"",(N(Aux!S50)-6)&lt;='01_Criterios'!$C$15),Aux!AQ50,"")))))</f>
        <v/>
      </c>
      <c r="Q50" s="6" t="str">
        <f>IF('03_Base_Indice'!$D50="","",IF('03_Base_Indice'!Q50&lt;&gt;"",'03_Base_Indice'!Q50,IF(AND(Aux!H50&lt;&gt;"",Aux!T50&lt;&gt;"",(N(Aux!T50)-N(Aux!H50)-1)&lt;='01_Criterios'!$C$13),Aux!AF50+(Aux!AR50-Aux!AF50)*(7-Aux!H50)/(Aux!T50-Aux!H50),IF(AND(Aux!H50&lt;&gt;"",(7-N(Aux!H50))&lt;='01_Criterios'!$C$14),Aux!AF50,IF(AND(Aux!T50&lt;&gt;"",(N(Aux!T50)-7)&lt;='01_Criterios'!$C$15),Aux!AR50,"")))))</f>
        <v/>
      </c>
      <c r="R50" s="6" t="str">
        <f>IF('03_Base_Indice'!$D50="","",IF('03_Base_Indice'!R50&lt;&gt;"",'03_Base_Indice'!R50,IF(AND(Aux!I50&lt;&gt;"",Aux!U50&lt;&gt;"",(N(Aux!U50)-N(Aux!I50)-1)&lt;='01_Criterios'!$C$13),Aux!AG50+(Aux!AS50-Aux!AG50)*(8-Aux!I50)/(Aux!U50-Aux!I50),IF(AND(Aux!I50&lt;&gt;"",(8-N(Aux!I50))&lt;='01_Criterios'!$C$14),Aux!AG50,IF(AND(Aux!U50&lt;&gt;"",(N(Aux!U50)-8)&lt;='01_Criterios'!$C$15),Aux!AS50,"")))))</f>
        <v/>
      </c>
      <c r="S50" s="6" t="str">
        <f>IF('03_Base_Indice'!$D50="","",IF('03_Base_Indice'!S50&lt;&gt;"",'03_Base_Indice'!S50,IF(AND(Aux!J50&lt;&gt;"",Aux!V50&lt;&gt;"",(N(Aux!V50)-N(Aux!J50)-1)&lt;='01_Criterios'!$C$13),Aux!AH50+(Aux!AT50-Aux!AH50)*(9-Aux!J50)/(Aux!V50-Aux!J50),IF(AND(Aux!J50&lt;&gt;"",(9-N(Aux!J50))&lt;='01_Criterios'!$C$14),Aux!AH50,IF(AND(Aux!V50&lt;&gt;"",(N(Aux!V50)-9)&lt;='01_Criterios'!$C$15),Aux!AT50,"")))))</f>
        <v/>
      </c>
      <c r="T50" s="6" t="str">
        <f>IF('03_Base_Indice'!$D50="","",IF('03_Base_Indice'!T50&lt;&gt;"",'03_Base_Indice'!T50,IF(AND(Aux!K50&lt;&gt;"",Aux!W50&lt;&gt;"",(N(Aux!W50)-N(Aux!K50)-1)&lt;='01_Criterios'!$C$13),Aux!AI50+(Aux!AU50-Aux!AI50)*(10-Aux!K50)/(Aux!W50-Aux!K50),IF(AND(Aux!K50&lt;&gt;"",(10-N(Aux!K50))&lt;='01_Criterios'!$C$14),Aux!AI50,IF(AND(Aux!W50&lt;&gt;"",(N(Aux!W50)-10)&lt;='01_Criterios'!$C$15),Aux!AU50,"")))))</f>
        <v/>
      </c>
      <c r="U50" s="6" t="str">
        <f>IF('03_Base_Indice'!$D50="","",IF('03_Base_Indice'!U50&lt;&gt;"",'03_Base_Indice'!U50,IF(AND(Aux!L50&lt;&gt;"",Aux!X50&lt;&gt;"",(N(Aux!X50)-N(Aux!L50)-1)&lt;='01_Criterios'!$C$13),Aux!AJ50+(Aux!AV50-Aux!AJ50)*(11-Aux!L50)/(Aux!X50-Aux!L50),IF(AND(Aux!L50&lt;&gt;"",(11-N(Aux!L50))&lt;='01_Criterios'!$C$14),Aux!AJ50,IF(AND(Aux!X50&lt;&gt;"",(N(Aux!X50)-11)&lt;='01_Criterios'!$C$15),Aux!AV50,"")))))</f>
        <v/>
      </c>
    </row>
    <row r="51" spans="1:21">
      <c r="A51" s="6" t="str">
        <f>IF('03_Base_Indice'!$A51="","",'03_Base_Indice'!$A51)</f>
        <v>5. Infraestruturas e Serviços</v>
      </c>
      <c r="B51" s="6">
        <f>'03_Base_Indice'!$B51</f>
        <v>7</v>
      </c>
      <c r="D51" s="6" t="str">
        <f>IF('03_Base_Indice'!$D51="","",'03_Base_Indice'!$D51)</f>
        <v/>
      </c>
      <c r="E51" s="6" t="str">
        <f>IF('03_Base_Indice'!$E51="","",'03_Base_Indice'!$E51)</f>
        <v/>
      </c>
      <c r="K51" s="6" t="str">
        <f>IF('03_Base_Indice'!$D51="","",IF('03_Base_Indice'!K51&lt;&gt;"",'03_Base_Indice'!K51,IF(AND(Aux!B51&lt;&gt;"",Aux!N51&lt;&gt;"",(N(Aux!N51)-N(Aux!B51)-1)&lt;='01_Criterios'!$C$13),Aux!Z51+(Aux!AL51-Aux!Z51)*(1-Aux!B51)/(Aux!N51-Aux!B51),IF(AND(Aux!B51&lt;&gt;"",(1-N(Aux!B51))&lt;='01_Criterios'!$C$14),Aux!Z51,IF(AND(Aux!N51&lt;&gt;"",(N(Aux!N51)-1)&lt;='01_Criterios'!$C$15),Aux!AL51,"")))))</f>
        <v/>
      </c>
      <c r="L51" s="6" t="str">
        <f>IF('03_Base_Indice'!$D51="","",IF('03_Base_Indice'!L51&lt;&gt;"",'03_Base_Indice'!L51,IF(AND(Aux!C51&lt;&gt;"",Aux!O51&lt;&gt;"",(N(Aux!O51)-N(Aux!C51)-1)&lt;='01_Criterios'!$C$13),Aux!AA51+(Aux!AM51-Aux!AA51)*(2-Aux!C51)/(Aux!O51-Aux!C51),IF(AND(Aux!C51&lt;&gt;"",(2-N(Aux!C51))&lt;='01_Criterios'!$C$14),Aux!AA51,IF(AND(Aux!O51&lt;&gt;"",(N(Aux!O51)-2)&lt;='01_Criterios'!$C$15),Aux!AM51,"")))))</f>
        <v/>
      </c>
      <c r="M51" s="6" t="str">
        <f>IF('03_Base_Indice'!$D51="","",IF('03_Base_Indice'!M51&lt;&gt;"",'03_Base_Indice'!M51,IF(AND(Aux!D51&lt;&gt;"",Aux!P51&lt;&gt;"",(N(Aux!P51)-N(Aux!D51)-1)&lt;='01_Criterios'!$C$13),Aux!AB51+(Aux!AN51-Aux!AB51)*(3-Aux!D51)/(Aux!P51-Aux!D51),IF(AND(Aux!D51&lt;&gt;"",(3-N(Aux!D51))&lt;='01_Criterios'!$C$14),Aux!AB51,IF(AND(Aux!P51&lt;&gt;"",(N(Aux!P51)-3)&lt;='01_Criterios'!$C$15),Aux!AN51,"")))))</f>
        <v/>
      </c>
      <c r="N51" s="6" t="str">
        <f>IF('03_Base_Indice'!$D51="","",IF('03_Base_Indice'!N51&lt;&gt;"",'03_Base_Indice'!N51,IF(AND(Aux!E51&lt;&gt;"",Aux!Q51&lt;&gt;"",(N(Aux!Q51)-N(Aux!E51)-1)&lt;='01_Criterios'!$C$13),Aux!AC51+(Aux!AO51-Aux!AC51)*(4-Aux!E51)/(Aux!Q51-Aux!E51),IF(AND(Aux!E51&lt;&gt;"",(4-N(Aux!E51))&lt;='01_Criterios'!$C$14),Aux!AC51,IF(AND(Aux!Q51&lt;&gt;"",(N(Aux!Q51)-4)&lt;='01_Criterios'!$C$15),Aux!AO51,"")))))</f>
        <v/>
      </c>
      <c r="O51" s="6" t="str">
        <f>IF('03_Base_Indice'!$D51="","",IF('03_Base_Indice'!O51&lt;&gt;"",'03_Base_Indice'!O51,IF(AND(Aux!F51&lt;&gt;"",Aux!R51&lt;&gt;"",(N(Aux!R51)-N(Aux!F51)-1)&lt;='01_Criterios'!$C$13),Aux!AD51+(Aux!AP51-Aux!AD51)*(5-Aux!F51)/(Aux!R51-Aux!F51),IF(AND(Aux!F51&lt;&gt;"",(5-N(Aux!F51))&lt;='01_Criterios'!$C$14),Aux!AD51,IF(AND(Aux!R51&lt;&gt;"",(N(Aux!R51)-5)&lt;='01_Criterios'!$C$15),Aux!AP51,"")))))</f>
        <v/>
      </c>
      <c r="P51" s="6" t="str">
        <f>IF('03_Base_Indice'!$D51="","",IF('03_Base_Indice'!P51&lt;&gt;"",'03_Base_Indice'!P51,IF(AND(Aux!G51&lt;&gt;"",Aux!S51&lt;&gt;"",(N(Aux!S51)-N(Aux!G51)-1)&lt;='01_Criterios'!$C$13),Aux!AE51+(Aux!AQ51-Aux!AE51)*(6-Aux!G51)/(Aux!S51-Aux!G51),IF(AND(Aux!G51&lt;&gt;"",(6-N(Aux!G51))&lt;='01_Criterios'!$C$14),Aux!AE51,IF(AND(Aux!S51&lt;&gt;"",(N(Aux!S51)-6)&lt;='01_Criterios'!$C$15),Aux!AQ51,"")))))</f>
        <v/>
      </c>
      <c r="Q51" s="6" t="str">
        <f>IF('03_Base_Indice'!$D51="","",IF('03_Base_Indice'!Q51&lt;&gt;"",'03_Base_Indice'!Q51,IF(AND(Aux!H51&lt;&gt;"",Aux!T51&lt;&gt;"",(N(Aux!T51)-N(Aux!H51)-1)&lt;='01_Criterios'!$C$13),Aux!AF51+(Aux!AR51-Aux!AF51)*(7-Aux!H51)/(Aux!T51-Aux!H51),IF(AND(Aux!H51&lt;&gt;"",(7-N(Aux!H51))&lt;='01_Criterios'!$C$14),Aux!AF51,IF(AND(Aux!T51&lt;&gt;"",(N(Aux!T51)-7)&lt;='01_Criterios'!$C$15),Aux!AR51,"")))))</f>
        <v/>
      </c>
      <c r="R51" s="6" t="str">
        <f>IF('03_Base_Indice'!$D51="","",IF('03_Base_Indice'!R51&lt;&gt;"",'03_Base_Indice'!R51,IF(AND(Aux!I51&lt;&gt;"",Aux!U51&lt;&gt;"",(N(Aux!U51)-N(Aux!I51)-1)&lt;='01_Criterios'!$C$13),Aux!AG51+(Aux!AS51-Aux!AG51)*(8-Aux!I51)/(Aux!U51-Aux!I51),IF(AND(Aux!I51&lt;&gt;"",(8-N(Aux!I51))&lt;='01_Criterios'!$C$14),Aux!AG51,IF(AND(Aux!U51&lt;&gt;"",(N(Aux!U51)-8)&lt;='01_Criterios'!$C$15),Aux!AS51,"")))))</f>
        <v/>
      </c>
      <c r="S51" s="6" t="str">
        <f>IF('03_Base_Indice'!$D51="","",IF('03_Base_Indice'!S51&lt;&gt;"",'03_Base_Indice'!S51,IF(AND(Aux!J51&lt;&gt;"",Aux!V51&lt;&gt;"",(N(Aux!V51)-N(Aux!J51)-1)&lt;='01_Criterios'!$C$13),Aux!AH51+(Aux!AT51-Aux!AH51)*(9-Aux!J51)/(Aux!V51-Aux!J51),IF(AND(Aux!J51&lt;&gt;"",(9-N(Aux!J51))&lt;='01_Criterios'!$C$14),Aux!AH51,IF(AND(Aux!V51&lt;&gt;"",(N(Aux!V51)-9)&lt;='01_Criterios'!$C$15),Aux!AT51,"")))))</f>
        <v/>
      </c>
      <c r="T51" s="6" t="str">
        <f>IF('03_Base_Indice'!$D51="","",IF('03_Base_Indice'!T51&lt;&gt;"",'03_Base_Indice'!T51,IF(AND(Aux!K51&lt;&gt;"",Aux!W51&lt;&gt;"",(N(Aux!W51)-N(Aux!K51)-1)&lt;='01_Criterios'!$C$13),Aux!AI51+(Aux!AU51-Aux!AI51)*(10-Aux!K51)/(Aux!W51-Aux!K51),IF(AND(Aux!K51&lt;&gt;"",(10-N(Aux!K51))&lt;='01_Criterios'!$C$14),Aux!AI51,IF(AND(Aux!W51&lt;&gt;"",(N(Aux!W51)-10)&lt;='01_Criterios'!$C$15),Aux!AU51,"")))))</f>
        <v/>
      </c>
      <c r="U51" s="6" t="str">
        <f>IF('03_Base_Indice'!$D51="","",IF('03_Base_Indice'!U51&lt;&gt;"",'03_Base_Indice'!U51,IF(AND(Aux!L51&lt;&gt;"",Aux!X51&lt;&gt;"",(N(Aux!X51)-N(Aux!L51)-1)&lt;='01_Criterios'!$C$13),Aux!AJ51+(Aux!AV51-Aux!AJ51)*(11-Aux!L51)/(Aux!X51-Aux!L51),IF(AND(Aux!L51&lt;&gt;"",(11-N(Aux!L51))&lt;='01_Criterios'!$C$14),Aux!AJ51,IF(AND(Aux!X51&lt;&gt;"",(N(Aux!X51)-11)&lt;='01_Criterios'!$C$15),Aux!AV51,"")))))</f>
        <v/>
      </c>
    </row>
    <row r="52" spans="1:21">
      <c r="A52" s="6" t="str">
        <f>IF('03_Base_Indice'!$A52="","",'03_Base_Indice'!$A52)</f>
        <v>5. Infraestruturas e Serviços</v>
      </c>
      <c r="B52" s="6">
        <f>'03_Base_Indice'!$B52</f>
        <v>8</v>
      </c>
      <c r="D52" s="6" t="str">
        <f>IF('03_Base_Indice'!$D52="","",'03_Base_Indice'!$D52)</f>
        <v/>
      </c>
      <c r="E52" s="6" t="str">
        <f>IF('03_Base_Indice'!$E52="","",'03_Base_Indice'!$E52)</f>
        <v/>
      </c>
      <c r="K52" s="6" t="str">
        <f>IF('03_Base_Indice'!$D52="","",IF('03_Base_Indice'!K52&lt;&gt;"",'03_Base_Indice'!K52,IF(AND(Aux!B52&lt;&gt;"",Aux!N52&lt;&gt;"",(N(Aux!N52)-N(Aux!B52)-1)&lt;='01_Criterios'!$C$13),Aux!Z52+(Aux!AL52-Aux!Z52)*(1-Aux!B52)/(Aux!N52-Aux!B52),IF(AND(Aux!B52&lt;&gt;"",(1-N(Aux!B52))&lt;='01_Criterios'!$C$14),Aux!Z52,IF(AND(Aux!N52&lt;&gt;"",(N(Aux!N52)-1)&lt;='01_Criterios'!$C$15),Aux!AL52,"")))))</f>
        <v/>
      </c>
      <c r="L52" s="6" t="str">
        <f>IF('03_Base_Indice'!$D52="","",IF('03_Base_Indice'!L52&lt;&gt;"",'03_Base_Indice'!L52,IF(AND(Aux!C52&lt;&gt;"",Aux!O52&lt;&gt;"",(N(Aux!O52)-N(Aux!C52)-1)&lt;='01_Criterios'!$C$13),Aux!AA52+(Aux!AM52-Aux!AA52)*(2-Aux!C52)/(Aux!O52-Aux!C52),IF(AND(Aux!C52&lt;&gt;"",(2-N(Aux!C52))&lt;='01_Criterios'!$C$14),Aux!AA52,IF(AND(Aux!O52&lt;&gt;"",(N(Aux!O52)-2)&lt;='01_Criterios'!$C$15),Aux!AM52,"")))))</f>
        <v/>
      </c>
      <c r="M52" s="6" t="str">
        <f>IF('03_Base_Indice'!$D52="","",IF('03_Base_Indice'!M52&lt;&gt;"",'03_Base_Indice'!M52,IF(AND(Aux!D52&lt;&gt;"",Aux!P52&lt;&gt;"",(N(Aux!P52)-N(Aux!D52)-1)&lt;='01_Criterios'!$C$13),Aux!AB52+(Aux!AN52-Aux!AB52)*(3-Aux!D52)/(Aux!P52-Aux!D52),IF(AND(Aux!D52&lt;&gt;"",(3-N(Aux!D52))&lt;='01_Criterios'!$C$14),Aux!AB52,IF(AND(Aux!P52&lt;&gt;"",(N(Aux!P52)-3)&lt;='01_Criterios'!$C$15),Aux!AN52,"")))))</f>
        <v/>
      </c>
      <c r="N52" s="6" t="str">
        <f>IF('03_Base_Indice'!$D52="","",IF('03_Base_Indice'!N52&lt;&gt;"",'03_Base_Indice'!N52,IF(AND(Aux!E52&lt;&gt;"",Aux!Q52&lt;&gt;"",(N(Aux!Q52)-N(Aux!E52)-1)&lt;='01_Criterios'!$C$13),Aux!AC52+(Aux!AO52-Aux!AC52)*(4-Aux!E52)/(Aux!Q52-Aux!E52),IF(AND(Aux!E52&lt;&gt;"",(4-N(Aux!E52))&lt;='01_Criterios'!$C$14),Aux!AC52,IF(AND(Aux!Q52&lt;&gt;"",(N(Aux!Q52)-4)&lt;='01_Criterios'!$C$15),Aux!AO52,"")))))</f>
        <v/>
      </c>
      <c r="O52" s="6" t="str">
        <f>IF('03_Base_Indice'!$D52="","",IF('03_Base_Indice'!O52&lt;&gt;"",'03_Base_Indice'!O52,IF(AND(Aux!F52&lt;&gt;"",Aux!R52&lt;&gt;"",(N(Aux!R52)-N(Aux!F52)-1)&lt;='01_Criterios'!$C$13),Aux!AD52+(Aux!AP52-Aux!AD52)*(5-Aux!F52)/(Aux!R52-Aux!F52),IF(AND(Aux!F52&lt;&gt;"",(5-N(Aux!F52))&lt;='01_Criterios'!$C$14),Aux!AD52,IF(AND(Aux!R52&lt;&gt;"",(N(Aux!R52)-5)&lt;='01_Criterios'!$C$15),Aux!AP52,"")))))</f>
        <v/>
      </c>
      <c r="P52" s="6" t="str">
        <f>IF('03_Base_Indice'!$D52="","",IF('03_Base_Indice'!P52&lt;&gt;"",'03_Base_Indice'!P52,IF(AND(Aux!G52&lt;&gt;"",Aux!S52&lt;&gt;"",(N(Aux!S52)-N(Aux!G52)-1)&lt;='01_Criterios'!$C$13),Aux!AE52+(Aux!AQ52-Aux!AE52)*(6-Aux!G52)/(Aux!S52-Aux!G52),IF(AND(Aux!G52&lt;&gt;"",(6-N(Aux!G52))&lt;='01_Criterios'!$C$14),Aux!AE52,IF(AND(Aux!S52&lt;&gt;"",(N(Aux!S52)-6)&lt;='01_Criterios'!$C$15),Aux!AQ52,"")))))</f>
        <v/>
      </c>
      <c r="Q52" s="6" t="str">
        <f>IF('03_Base_Indice'!$D52="","",IF('03_Base_Indice'!Q52&lt;&gt;"",'03_Base_Indice'!Q52,IF(AND(Aux!H52&lt;&gt;"",Aux!T52&lt;&gt;"",(N(Aux!T52)-N(Aux!H52)-1)&lt;='01_Criterios'!$C$13),Aux!AF52+(Aux!AR52-Aux!AF52)*(7-Aux!H52)/(Aux!T52-Aux!H52),IF(AND(Aux!H52&lt;&gt;"",(7-N(Aux!H52))&lt;='01_Criterios'!$C$14),Aux!AF52,IF(AND(Aux!T52&lt;&gt;"",(N(Aux!T52)-7)&lt;='01_Criterios'!$C$15),Aux!AR52,"")))))</f>
        <v/>
      </c>
      <c r="R52" s="6" t="str">
        <f>IF('03_Base_Indice'!$D52="","",IF('03_Base_Indice'!R52&lt;&gt;"",'03_Base_Indice'!R52,IF(AND(Aux!I52&lt;&gt;"",Aux!U52&lt;&gt;"",(N(Aux!U52)-N(Aux!I52)-1)&lt;='01_Criterios'!$C$13),Aux!AG52+(Aux!AS52-Aux!AG52)*(8-Aux!I52)/(Aux!U52-Aux!I52),IF(AND(Aux!I52&lt;&gt;"",(8-N(Aux!I52))&lt;='01_Criterios'!$C$14),Aux!AG52,IF(AND(Aux!U52&lt;&gt;"",(N(Aux!U52)-8)&lt;='01_Criterios'!$C$15),Aux!AS52,"")))))</f>
        <v/>
      </c>
      <c r="S52" s="6" t="str">
        <f>IF('03_Base_Indice'!$D52="","",IF('03_Base_Indice'!S52&lt;&gt;"",'03_Base_Indice'!S52,IF(AND(Aux!J52&lt;&gt;"",Aux!V52&lt;&gt;"",(N(Aux!V52)-N(Aux!J52)-1)&lt;='01_Criterios'!$C$13),Aux!AH52+(Aux!AT52-Aux!AH52)*(9-Aux!J52)/(Aux!V52-Aux!J52),IF(AND(Aux!J52&lt;&gt;"",(9-N(Aux!J52))&lt;='01_Criterios'!$C$14),Aux!AH52,IF(AND(Aux!V52&lt;&gt;"",(N(Aux!V52)-9)&lt;='01_Criterios'!$C$15),Aux!AT52,"")))))</f>
        <v/>
      </c>
      <c r="T52" s="6" t="str">
        <f>IF('03_Base_Indice'!$D52="","",IF('03_Base_Indice'!T52&lt;&gt;"",'03_Base_Indice'!T52,IF(AND(Aux!K52&lt;&gt;"",Aux!W52&lt;&gt;"",(N(Aux!W52)-N(Aux!K52)-1)&lt;='01_Criterios'!$C$13),Aux!AI52+(Aux!AU52-Aux!AI52)*(10-Aux!K52)/(Aux!W52-Aux!K52),IF(AND(Aux!K52&lt;&gt;"",(10-N(Aux!K52))&lt;='01_Criterios'!$C$14),Aux!AI52,IF(AND(Aux!W52&lt;&gt;"",(N(Aux!W52)-10)&lt;='01_Criterios'!$C$15),Aux!AU52,"")))))</f>
        <v/>
      </c>
      <c r="U52" s="6" t="str">
        <f>IF('03_Base_Indice'!$D52="","",IF('03_Base_Indice'!U52&lt;&gt;"",'03_Base_Indice'!U52,IF(AND(Aux!L52&lt;&gt;"",Aux!X52&lt;&gt;"",(N(Aux!X52)-N(Aux!L52)-1)&lt;='01_Criterios'!$C$13),Aux!AJ52+(Aux!AV52-Aux!AJ52)*(11-Aux!L52)/(Aux!X52-Aux!L52),IF(AND(Aux!L52&lt;&gt;"",(11-N(Aux!L52))&lt;='01_Criterios'!$C$14),Aux!AJ52,IF(AND(Aux!X52&lt;&gt;"",(N(Aux!X52)-11)&lt;='01_Criterios'!$C$15),Aux!AV52,"")))))</f>
        <v/>
      </c>
    </row>
    <row r="53" spans="1:21">
      <c r="A53" s="6" t="str">
        <f>IF('03_Base_Indice'!$A53="","",'03_Base_Indice'!$A53)</f>
        <v>5. Infraestruturas e Serviços</v>
      </c>
      <c r="B53" s="6">
        <f>'03_Base_Indice'!$B53</f>
        <v>9</v>
      </c>
      <c r="D53" s="6" t="str">
        <f>IF('03_Base_Indice'!$D53="","",'03_Base_Indice'!$D53)</f>
        <v/>
      </c>
      <c r="E53" s="6" t="str">
        <f>IF('03_Base_Indice'!$E53="","",'03_Base_Indice'!$E53)</f>
        <v/>
      </c>
      <c r="K53" s="6" t="str">
        <f>IF('03_Base_Indice'!$D53="","",IF('03_Base_Indice'!K53&lt;&gt;"",'03_Base_Indice'!K53,IF(AND(Aux!B53&lt;&gt;"",Aux!N53&lt;&gt;"",(N(Aux!N53)-N(Aux!B53)-1)&lt;='01_Criterios'!$C$13),Aux!Z53+(Aux!AL53-Aux!Z53)*(1-Aux!B53)/(Aux!N53-Aux!B53),IF(AND(Aux!B53&lt;&gt;"",(1-N(Aux!B53))&lt;='01_Criterios'!$C$14),Aux!Z53,IF(AND(Aux!N53&lt;&gt;"",(N(Aux!N53)-1)&lt;='01_Criterios'!$C$15),Aux!AL53,"")))))</f>
        <v/>
      </c>
      <c r="L53" s="6" t="str">
        <f>IF('03_Base_Indice'!$D53="","",IF('03_Base_Indice'!L53&lt;&gt;"",'03_Base_Indice'!L53,IF(AND(Aux!C53&lt;&gt;"",Aux!O53&lt;&gt;"",(N(Aux!O53)-N(Aux!C53)-1)&lt;='01_Criterios'!$C$13),Aux!AA53+(Aux!AM53-Aux!AA53)*(2-Aux!C53)/(Aux!O53-Aux!C53),IF(AND(Aux!C53&lt;&gt;"",(2-N(Aux!C53))&lt;='01_Criterios'!$C$14),Aux!AA53,IF(AND(Aux!O53&lt;&gt;"",(N(Aux!O53)-2)&lt;='01_Criterios'!$C$15),Aux!AM53,"")))))</f>
        <v/>
      </c>
      <c r="M53" s="6" t="str">
        <f>IF('03_Base_Indice'!$D53="","",IF('03_Base_Indice'!M53&lt;&gt;"",'03_Base_Indice'!M53,IF(AND(Aux!D53&lt;&gt;"",Aux!P53&lt;&gt;"",(N(Aux!P53)-N(Aux!D53)-1)&lt;='01_Criterios'!$C$13),Aux!AB53+(Aux!AN53-Aux!AB53)*(3-Aux!D53)/(Aux!P53-Aux!D53),IF(AND(Aux!D53&lt;&gt;"",(3-N(Aux!D53))&lt;='01_Criterios'!$C$14),Aux!AB53,IF(AND(Aux!P53&lt;&gt;"",(N(Aux!P53)-3)&lt;='01_Criterios'!$C$15),Aux!AN53,"")))))</f>
        <v/>
      </c>
      <c r="N53" s="6" t="str">
        <f>IF('03_Base_Indice'!$D53="","",IF('03_Base_Indice'!N53&lt;&gt;"",'03_Base_Indice'!N53,IF(AND(Aux!E53&lt;&gt;"",Aux!Q53&lt;&gt;"",(N(Aux!Q53)-N(Aux!E53)-1)&lt;='01_Criterios'!$C$13),Aux!AC53+(Aux!AO53-Aux!AC53)*(4-Aux!E53)/(Aux!Q53-Aux!E53),IF(AND(Aux!E53&lt;&gt;"",(4-N(Aux!E53))&lt;='01_Criterios'!$C$14),Aux!AC53,IF(AND(Aux!Q53&lt;&gt;"",(N(Aux!Q53)-4)&lt;='01_Criterios'!$C$15),Aux!AO53,"")))))</f>
        <v/>
      </c>
      <c r="O53" s="6" t="str">
        <f>IF('03_Base_Indice'!$D53="","",IF('03_Base_Indice'!O53&lt;&gt;"",'03_Base_Indice'!O53,IF(AND(Aux!F53&lt;&gt;"",Aux!R53&lt;&gt;"",(N(Aux!R53)-N(Aux!F53)-1)&lt;='01_Criterios'!$C$13),Aux!AD53+(Aux!AP53-Aux!AD53)*(5-Aux!F53)/(Aux!R53-Aux!F53),IF(AND(Aux!F53&lt;&gt;"",(5-N(Aux!F53))&lt;='01_Criterios'!$C$14),Aux!AD53,IF(AND(Aux!R53&lt;&gt;"",(N(Aux!R53)-5)&lt;='01_Criterios'!$C$15),Aux!AP53,"")))))</f>
        <v/>
      </c>
      <c r="P53" s="6" t="str">
        <f>IF('03_Base_Indice'!$D53="","",IF('03_Base_Indice'!P53&lt;&gt;"",'03_Base_Indice'!P53,IF(AND(Aux!G53&lt;&gt;"",Aux!S53&lt;&gt;"",(N(Aux!S53)-N(Aux!G53)-1)&lt;='01_Criterios'!$C$13),Aux!AE53+(Aux!AQ53-Aux!AE53)*(6-Aux!G53)/(Aux!S53-Aux!G53),IF(AND(Aux!G53&lt;&gt;"",(6-N(Aux!G53))&lt;='01_Criterios'!$C$14),Aux!AE53,IF(AND(Aux!S53&lt;&gt;"",(N(Aux!S53)-6)&lt;='01_Criterios'!$C$15),Aux!AQ53,"")))))</f>
        <v/>
      </c>
      <c r="Q53" s="6" t="str">
        <f>IF('03_Base_Indice'!$D53="","",IF('03_Base_Indice'!Q53&lt;&gt;"",'03_Base_Indice'!Q53,IF(AND(Aux!H53&lt;&gt;"",Aux!T53&lt;&gt;"",(N(Aux!T53)-N(Aux!H53)-1)&lt;='01_Criterios'!$C$13),Aux!AF53+(Aux!AR53-Aux!AF53)*(7-Aux!H53)/(Aux!T53-Aux!H53),IF(AND(Aux!H53&lt;&gt;"",(7-N(Aux!H53))&lt;='01_Criterios'!$C$14),Aux!AF53,IF(AND(Aux!T53&lt;&gt;"",(N(Aux!T53)-7)&lt;='01_Criterios'!$C$15),Aux!AR53,"")))))</f>
        <v/>
      </c>
      <c r="R53" s="6" t="str">
        <f>IF('03_Base_Indice'!$D53="","",IF('03_Base_Indice'!R53&lt;&gt;"",'03_Base_Indice'!R53,IF(AND(Aux!I53&lt;&gt;"",Aux!U53&lt;&gt;"",(N(Aux!U53)-N(Aux!I53)-1)&lt;='01_Criterios'!$C$13),Aux!AG53+(Aux!AS53-Aux!AG53)*(8-Aux!I53)/(Aux!U53-Aux!I53),IF(AND(Aux!I53&lt;&gt;"",(8-N(Aux!I53))&lt;='01_Criterios'!$C$14),Aux!AG53,IF(AND(Aux!U53&lt;&gt;"",(N(Aux!U53)-8)&lt;='01_Criterios'!$C$15),Aux!AS53,"")))))</f>
        <v/>
      </c>
      <c r="S53" s="6" t="str">
        <f>IF('03_Base_Indice'!$D53="","",IF('03_Base_Indice'!S53&lt;&gt;"",'03_Base_Indice'!S53,IF(AND(Aux!J53&lt;&gt;"",Aux!V53&lt;&gt;"",(N(Aux!V53)-N(Aux!J53)-1)&lt;='01_Criterios'!$C$13),Aux!AH53+(Aux!AT53-Aux!AH53)*(9-Aux!J53)/(Aux!V53-Aux!J53),IF(AND(Aux!J53&lt;&gt;"",(9-N(Aux!J53))&lt;='01_Criterios'!$C$14),Aux!AH53,IF(AND(Aux!V53&lt;&gt;"",(N(Aux!V53)-9)&lt;='01_Criterios'!$C$15),Aux!AT53,"")))))</f>
        <v/>
      </c>
      <c r="T53" s="6" t="str">
        <f>IF('03_Base_Indice'!$D53="","",IF('03_Base_Indice'!T53&lt;&gt;"",'03_Base_Indice'!T53,IF(AND(Aux!K53&lt;&gt;"",Aux!W53&lt;&gt;"",(N(Aux!W53)-N(Aux!K53)-1)&lt;='01_Criterios'!$C$13),Aux!AI53+(Aux!AU53-Aux!AI53)*(10-Aux!K53)/(Aux!W53-Aux!K53),IF(AND(Aux!K53&lt;&gt;"",(10-N(Aux!K53))&lt;='01_Criterios'!$C$14),Aux!AI53,IF(AND(Aux!W53&lt;&gt;"",(N(Aux!W53)-10)&lt;='01_Criterios'!$C$15),Aux!AU53,"")))))</f>
        <v/>
      </c>
      <c r="U53" s="6" t="str">
        <f>IF('03_Base_Indice'!$D53="","",IF('03_Base_Indice'!U53&lt;&gt;"",'03_Base_Indice'!U53,IF(AND(Aux!L53&lt;&gt;"",Aux!X53&lt;&gt;"",(N(Aux!X53)-N(Aux!L53)-1)&lt;='01_Criterios'!$C$13),Aux!AJ53+(Aux!AV53-Aux!AJ53)*(11-Aux!L53)/(Aux!X53-Aux!L53),IF(AND(Aux!L53&lt;&gt;"",(11-N(Aux!L53))&lt;='01_Criterios'!$C$14),Aux!AJ53,IF(AND(Aux!X53&lt;&gt;"",(N(Aux!X53)-11)&lt;='01_Criterios'!$C$15),Aux!AV53,"")))))</f>
        <v/>
      </c>
    </row>
    <row r="54" spans="1:21">
      <c r="A54" s="6" t="str">
        <f>IF('03_Base_Indice'!$A54="","",'03_Base_Indice'!$A54)</f>
        <v>5. Infraestruturas e Serviços</v>
      </c>
      <c r="B54" s="6">
        <f>'03_Base_Indice'!$B54</f>
        <v>10</v>
      </c>
      <c r="D54" s="6" t="str">
        <f>IF('03_Base_Indice'!$D54="","",'03_Base_Indice'!$D54)</f>
        <v/>
      </c>
      <c r="E54" s="6" t="str">
        <f>IF('03_Base_Indice'!$E54="","",'03_Base_Indice'!$E54)</f>
        <v/>
      </c>
      <c r="K54" s="6" t="str">
        <f>IF('03_Base_Indice'!$D54="","",IF('03_Base_Indice'!K54&lt;&gt;"",'03_Base_Indice'!K54,IF(AND(Aux!B54&lt;&gt;"",Aux!N54&lt;&gt;"",(N(Aux!N54)-N(Aux!B54)-1)&lt;='01_Criterios'!$C$13),Aux!Z54+(Aux!AL54-Aux!Z54)*(1-Aux!B54)/(Aux!N54-Aux!B54),IF(AND(Aux!B54&lt;&gt;"",(1-N(Aux!B54))&lt;='01_Criterios'!$C$14),Aux!Z54,IF(AND(Aux!N54&lt;&gt;"",(N(Aux!N54)-1)&lt;='01_Criterios'!$C$15),Aux!AL54,"")))))</f>
        <v/>
      </c>
      <c r="L54" s="6" t="str">
        <f>IF('03_Base_Indice'!$D54="","",IF('03_Base_Indice'!L54&lt;&gt;"",'03_Base_Indice'!L54,IF(AND(Aux!C54&lt;&gt;"",Aux!O54&lt;&gt;"",(N(Aux!O54)-N(Aux!C54)-1)&lt;='01_Criterios'!$C$13),Aux!AA54+(Aux!AM54-Aux!AA54)*(2-Aux!C54)/(Aux!O54-Aux!C54),IF(AND(Aux!C54&lt;&gt;"",(2-N(Aux!C54))&lt;='01_Criterios'!$C$14),Aux!AA54,IF(AND(Aux!O54&lt;&gt;"",(N(Aux!O54)-2)&lt;='01_Criterios'!$C$15),Aux!AM54,"")))))</f>
        <v/>
      </c>
      <c r="M54" s="6" t="str">
        <f>IF('03_Base_Indice'!$D54="","",IF('03_Base_Indice'!M54&lt;&gt;"",'03_Base_Indice'!M54,IF(AND(Aux!D54&lt;&gt;"",Aux!P54&lt;&gt;"",(N(Aux!P54)-N(Aux!D54)-1)&lt;='01_Criterios'!$C$13),Aux!AB54+(Aux!AN54-Aux!AB54)*(3-Aux!D54)/(Aux!P54-Aux!D54),IF(AND(Aux!D54&lt;&gt;"",(3-N(Aux!D54))&lt;='01_Criterios'!$C$14),Aux!AB54,IF(AND(Aux!P54&lt;&gt;"",(N(Aux!P54)-3)&lt;='01_Criterios'!$C$15),Aux!AN54,"")))))</f>
        <v/>
      </c>
      <c r="N54" s="6" t="str">
        <f>IF('03_Base_Indice'!$D54="","",IF('03_Base_Indice'!N54&lt;&gt;"",'03_Base_Indice'!N54,IF(AND(Aux!E54&lt;&gt;"",Aux!Q54&lt;&gt;"",(N(Aux!Q54)-N(Aux!E54)-1)&lt;='01_Criterios'!$C$13),Aux!AC54+(Aux!AO54-Aux!AC54)*(4-Aux!E54)/(Aux!Q54-Aux!E54),IF(AND(Aux!E54&lt;&gt;"",(4-N(Aux!E54))&lt;='01_Criterios'!$C$14),Aux!AC54,IF(AND(Aux!Q54&lt;&gt;"",(N(Aux!Q54)-4)&lt;='01_Criterios'!$C$15),Aux!AO54,"")))))</f>
        <v/>
      </c>
      <c r="O54" s="6" t="str">
        <f>IF('03_Base_Indice'!$D54="","",IF('03_Base_Indice'!O54&lt;&gt;"",'03_Base_Indice'!O54,IF(AND(Aux!F54&lt;&gt;"",Aux!R54&lt;&gt;"",(N(Aux!R54)-N(Aux!F54)-1)&lt;='01_Criterios'!$C$13),Aux!AD54+(Aux!AP54-Aux!AD54)*(5-Aux!F54)/(Aux!R54-Aux!F54),IF(AND(Aux!F54&lt;&gt;"",(5-N(Aux!F54))&lt;='01_Criterios'!$C$14),Aux!AD54,IF(AND(Aux!R54&lt;&gt;"",(N(Aux!R54)-5)&lt;='01_Criterios'!$C$15),Aux!AP54,"")))))</f>
        <v/>
      </c>
      <c r="P54" s="6" t="str">
        <f>IF('03_Base_Indice'!$D54="","",IF('03_Base_Indice'!P54&lt;&gt;"",'03_Base_Indice'!P54,IF(AND(Aux!G54&lt;&gt;"",Aux!S54&lt;&gt;"",(N(Aux!S54)-N(Aux!G54)-1)&lt;='01_Criterios'!$C$13),Aux!AE54+(Aux!AQ54-Aux!AE54)*(6-Aux!G54)/(Aux!S54-Aux!G54),IF(AND(Aux!G54&lt;&gt;"",(6-N(Aux!G54))&lt;='01_Criterios'!$C$14),Aux!AE54,IF(AND(Aux!S54&lt;&gt;"",(N(Aux!S54)-6)&lt;='01_Criterios'!$C$15),Aux!AQ54,"")))))</f>
        <v/>
      </c>
      <c r="Q54" s="6" t="str">
        <f>IF('03_Base_Indice'!$D54="","",IF('03_Base_Indice'!Q54&lt;&gt;"",'03_Base_Indice'!Q54,IF(AND(Aux!H54&lt;&gt;"",Aux!T54&lt;&gt;"",(N(Aux!T54)-N(Aux!H54)-1)&lt;='01_Criterios'!$C$13),Aux!AF54+(Aux!AR54-Aux!AF54)*(7-Aux!H54)/(Aux!T54-Aux!H54),IF(AND(Aux!H54&lt;&gt;"",(7-N(Aux!H54))&lt;='01_Criterios'!$C$14),Aux!AF54,IF(AND(Aux!T54&lt;&gt;"",(N(Aux!T54)-7)&lt;='01_Criterios'!$C$15),Aux!AR54,"")))))</f>
        <v/>
      </c>
      <c r="R54" s="6" t="str">
        <f>IF('03_Base_Indice'!$D54="","",IF('03_Base_Indice'!R54&lt;&gt;"",'03_Base_Indice'!R54,IF(AND(Aux!I54&lt;&gt;"",Aux!U54&lt;&gt;"",(N(Aux!U54)-N(Aux!I54)-1)&lt;='01_Criterios'!$C$13),Aux!AG54+(Aux!AS54-Aux!AG54)*(8-Aux!I54)/(Aux!U54-Aux!I54),IF(AND(Aux!I54&lt;&gt;"",(8-N(Aux!I54))&lt;='01_Criterios'!$C$14),Aux!AG54,IF(AND(Aux!U54&lt;&gt;"",(N(Aux!U54)-8)&lt;='01_Criterios'!$C$15),Aux!AS54,"")))))</f>
        <v/>
      </c>
      <c r="S54" s="6" t="str">
        <f>IF('03_Base_Indice'!$D54="","",IF('03_Base_Indice'!S54&lt;&gt;"",'03_Base_Indice'!S54,IF(AND(Aux!J54&lt;&gt;"",Aux!V54&lt;&gt;"",(N(Aux!V54)-N(Aux!J54)-1)&lt;='01_Criterios'!$C$13),Aux!AH54+(Aux!AT54-Aux!AH54)*(9-Aux!J54)/(Aux!V54-Aux!J54),IF(AND(Aux!J54&lt;&gt;"",(9-N(Aux!J54))&lt;='01_Criterios'!$C$14),Aux!AH54,IF(AND(Aux!V54&lt;&gt;"",(N(Aux!V54)-9)&lt;='01_Criterios'!$C$15),Aux!AT54,"")))))</f>
        <v/>
      </c>
      <c r="T54" s="6" t="str">
        <f>IF('03_Base_Indice'!$D54="","",IF('03_Base_Indice'!T54&lt;&gt;"",'03_Base_Indice'!T54,IF(AND(Aux!K54&lt;&gt;"",Aux!W54&lt;&gt;"",(N(Aux!W54)-N(Aux!K54)-1)&lt;='01_Criterios'!$C$13),Aux!AI54+(Aux!AU54-Aux!AI54)*(10-Aux!K54)/(Aux!W54-Aux!K54),IF(AND(Aux!K54&lt;&gt;"",(10-N(Aux!K54))&lt;='01_Criterios'!$C$14),Aux!AI54,IF(AND(Aux!W54&lt;&gt;"",(N(Aux!W54)-10)&lt;='01_Criterios'!$C$15),Aux!AU54,"")))))</f>
        <v/>
      </c>
      <c r="U54" s="6" t="str">
        <f>IF('03_Base_Indice'!$D54="","",IF('03_Base_Indice'!U54&lt;&gt;"",'03_Base_Indice'!U54,IF(AND(Aux!L54&lt;&gt;"",Aux!X54&lt;&gt;"",(N(Aux!X54)-N(Aux!L54)-1)&lt;='01_Criterios'!$C$13),Aux!AJ54+(Aux!AV54-Aux!AJ54)*(11-Aux!L54)/(Aux!X54-Aux!L54),IF(AND(Aux!L54&lt;&gt;"",(11-N(Aux!L54))&lt;='01_Criterios'!$C$14),Aux!AJ54,IF(AND(Aux!X54&lt;&gt;"",(N(Aux!X54)-11)&lt;='01_Criterios'!$C$15),Aux!AV54,"")))))</f>
        <v/>
      </c>
    </row>
    <row r="55" spans="1:21">
      <c r="A55" s="6" t="str">
        <f>IF('03_Base_Indice'!$A55="","",'03_Base_Indice'!$A55)</f>
        <v>6. Mercado de Trabalho</v>
      </c>
      <c r="B55" s="6">
        <f>'03_Base_Indice'!$B55</f>
        <v>1</v>
      </c>
      <c r="D55" s="6" t="str">
        <f>IF('03_Base_Indice'!$D55="","",'03_Base_Indice'!$D55)</f>
        <v>LAB001</v>
      </c>
      <c r="E55" s="6" t="str">
        <f>IF('03_Base_Indice'!$E55="","",'03_Base_Indice'!$E55)</f>
        <v>Taxa de Emprego</v>
      </c>
      <c r="K55" s="6">
        <f>IF('03_Base_Indice'!$D55="","",IF('03_Base_Indice'!K55&lt;&gt;"",'03_Base_Indice'!K55,IF(AND(Aux!B55&lt;&gt;"",Aux!N55&lt;&gt;"",(N(Aux!N55)-N(Aux!B55)-1)&lt;='01_Criterios'!$C$13),Aux!Z55+(Aux!AL55-Aux!Z55)*(1-Aux!B55)/(Aux!N55-Aux!B55),IF(AND(Aux!B55&lt;&gt;"",(1-N(Aux!B55))&lt;='01_Criterios'!$C$14),Aux!Z55,IF(AND(Aux!N55&lt;&gt;"",(N(Aux!N55)-1)&lt;='01_Criterios'!$C$15),Aux!AL55,"")))))</f>
        <v>63.637999999999998</v>
      </c>
      <c r="L55" s="6">
        <f>IF('03_Base_Indice'!$D55="","",IF('03_Base_Indice'!L55&lt;&gt;"",'03_Base_Indice'!L55,IF(AND(Aux!C55&lt;&gt;"",Aux!O55&lt;&gt;"",(N(Aux!O55)-N(Aux!C55)-1)&lt;='01_Criterios'!$C$13),Aux!AA55+(Aux!AM55-Aux!AA55)*(2-Aux!C55)/(Aux!O55-Aux!C55),IF(AND(Aux!C55&lt;&gt;"",(2-N(Aux!C55))&lt;='01_Criterios'!$C$14),Aux!AA55,IF(AND(Aux!O55&lt;&gt;"",(N(Aux!O55)-2)&lt;='01_Criterios'!$C$15),Aux!AM55,"")))))</f>
        <v>63.320999999999998</v>
      </c>
      <c r="M55" s="6">
        <f>IF('03_Base_Indice'!$D55="","",IF('03_Base_Indice'!M55&lt;&gt;"",'03_Base_Indice'!M55,IF(AND(Aux!D55&lt;&gt;"",Aux!P55&lt;&gt;"",(N(Aux!P55)-N(Aux!D55)-1)&lt;='01_Criterios'!$C$13),Aux!AB55+(Aux!AN55-Aux!AB55)*(3-Aux!D55)/(Aux!P55-Aux!D55),IF(AND(Aux!D55&lt;&gt;"",(3-N(Aux!D55))&lt;='01_Criterios'!$C$14),Aux!AB55,IF(AND(Aux!P55&lt;&gt;"",(N(Aux!P55)-3)&lt;='01_Criterios'!$C$15),Aux!AN55,"")))))</f>
        <v>63.045000000000002</v>
      </c>
      <c r="N55" s="6">
        <f>IF('03_Base_Indice'!$D55="","",IF('03_Base_Indice'!N55&lt;&gt;"",'03_Base_Indice'!N55,IF(AND(Aux!E55&lt;&gt;"",Aux!Q55&lt;&gt;"",(N(Aux!Q55)-N(Aux!E55)-1)&lt;='01_Criterios'!$C$13),Aux!AC55+(Aux!AO55-Aux!AC55)*(4-Aux!E55)/(Aux!Q55-Aux!E55),IF(AND(Aux!E55&lt;&gt;"",(4-N(Aux!E55))&lt;='01_Criterios'!$C$14),Aux!AC55,IF(AND(Aux!Q55&lt;&gt;"",(N(Aux!Q55)-4)&lt;='01_Criterios'!$C$15),Aux!AO55,"")))))</f>
        <v>62.811999999999998</v>
      </c>
      <c r="O55" s="6">
        <f>IF('03_Base_Indice'!$D55="","",IF('03_Base_Indice'!O55&lt;&gt;"",'03_Base_Indice'!O55,IF(AND(Aux!F55&lt;&gt;"",Aux!R55&lt;&gt;"",(N(Aux!R55)-N(Aux!F55)-1)&lt;='01_Criterios'!$C$13),Aux!AD55+(Aux!AP55-Aux!AD55)*(5-Aux!F55)/(Aux!R55-Aux!F55),IF(AND(Aux!F55&lt;&gt;"",(5-N(Aux!F55))&lt;='01_Criterios'!$C$14),Aux!AD55,IF(AND(Aux!R55&lt;&gt;"",(N(Aux!R55)-5)&lt;='01_Criterios'!$C$15),Aux!AP55,"")))))</f>
        <v>62.643999999999998</v>
      </c>
      <c r="P55" s="6">
        <f>IF('03_Base_Indice'!$D55="","",IF('03_Base_Indice'!P55&lt;&gt;"",'03_Base_Indice'!P55,IF(AND(Aux!G55&lt;&gt;"",Aux!S55&lt;&gt;"",(N(Aux!S55)-N(Aux!G55)-1)&lt;='01_Criterios'!$C$13),Aux!AE55+(Aux!AQ55-Aux!AE55)*(6-Aux!G55)/(Aux!S55-Aux!G55),IF(AND(Aux!G55&lt;&gt;"",(6-N(Aux!G55))&lt;='01_Criterios'!$C$14),Aux!AE55,IF(AND(Aux!S55&lt;&gt;"",(N(Aux!S55)-6)&lt;='01_Criterios'!$C$15),Aux!AQ55,"")))))</f>
        <v>61.078000000000003</v>
      </c>
      <c r="Q55" s="6">
        <f>IF('03_Base_Indice'!$D55="","",IF('03_Base_Indice'!Q55&lt;&gt;"",'03_Base_Indice'!Q55,IF(AND(Aux!H55&lt;&gt;"",Aux!T55&lt;&gt;"",(N(Aux!T55)-N(Aux!H55)-1)&lt;='01_Criterios'!$C$13),Aux!AF55+(Aux!AR55-Aux!AF55)*(7-Aux!H55)/(Aux!T55-Aux!H55),IF(AND(Aux!H55&lt;&gt;"",(7-N(Aux!H55))&lt;='01_Criterios'!$C$14),Aux!AF55,IF(AND(Aux!T55&lt;&gt;"",(N(Aux!T55)-7)&lt;='01_Criterios'!$C$15),Aux!AR55,"")))))</f>
        <v>64.305999999999997</v>
      </c>
      <c r="R55" s="6">
        <f>IF('03_Base_Indice'!$D55="","",IF('03_Base_Indice'!R55&lt;&gt;"",'03_Base_Indice'!R55,IF(AND(Aux!I55&lt;&gt;"",Aux!U55&lt;&gt;"",(N(Aux!U55)-N(Aux!I55)-1)&lt;='01_Criterios'!$C$13),Aux!AG55+(Aux!AS55-Aux!AG55)*(8-Aux!I55)/(Aux!U55-Aux!I55),IF(AND(Aux!I55&lt;&gt;"",(8-N(Aux!I55))&lt;='01_Criterios'!$C$14),Aux!AG55,IF(AND(Aux!U55&lt;&gt;"",(N(Aux!U55)-8)&lt;='01_Criterios'!$C$15),Aux!AS55,"")))))</f>
        <v>64.619</v>
      </c>
      <c r="S55" s="6">
        <f>IF('03_Base_Indice'!$D55="","",IF('03_Base_Indice'!S55&lt;&gt;"",'03_Base_Indice'!S55,IF(AND(Aux!J55&lt;&gt;"",Aux!V55&lt;&gt;"",(N(Aux!V55)-N(Aux!J55)-1)&lt;='01_Criterios'!$C$13),Aux!AH55+(Aux!AT55-Aux!AH55)*(9-Aux!J55)/(Aux!V55-Aux!J55),IF(AND(Aux!J55&lt;&gt;"",(9-N(Aux!J55))&lt;='01_Criterios'!$C$14),Aux!AH55,IF(AND(Aux!V55&lt;&gt;"",(N(Aux!V55)-9)&lt;='01_Criterios'!$C$15),Aux!AT55,"")))))</f>
        <v>64.369</v>
      </c>
      <c r="T55" s="6">
        <f>IF('03_Base_Indice'!$D55="","",IF('03_Base_Indice'!T55&lt;&gt;"",'03_Base_Indice'!T55,IF(AND(Aux!K55&lt;&gt;"",Aux!W55&lt;&gt;"",(N(Aux!W55)-N(Aux!K55)-1)&lt;='01_Criterios'!$C$13),Aux!AI55+(Aux!AU55-Aux!AI55)*(10-Aux!K55)/(Aux!W55-Aux!K55),IF(AND(Aux!K55&lt;&gt;"",(10-N(Aux!K55))&lt;='01_Criterios'!$C$14),Aux!AI55,IF(AND(Aux!W55&lt;&gt;"",(N(Aux!W55)-10)&lt;='01_Criterios'!$C$15),Aux!AU55,"")))))</f>
        <v>64.382999999999996</v>
      </c>
      <c r="U55" s="6">
        <f>IF('03_Base_Indice'!$D55="","",IF('03_Base_Indice'!U55&lt;&gt;"",'03_Base_Indice'!U55,IF(AND(Aux!L55&lt;&gt;"",Aux!X55&lt;&gt;"",(N(Aux!X55)-N(Aux!L55)-1)&lt;='01_Criterios'!$C$13),Aux!AJ55+(Aux!AV55-Aux!AJ55)*(11-Aux!L55)/(Aux!X55-Aux!L55),IF(AND(Aux!L55&lt;&gt;"",(11-N(Aux!L55))&lt;='01_Criterios'!$C$14),Aux!AJ55,IF(AND(Aux!X55&lt;&gt;"",(N(Aux!X55)-11)&lt;='01_Criterios'!$C$15),Aux!AV55,"")))))</f>
        <v>64.236000000000004</v>
      </c>
    </row>
    <row r="56" spans="1:21">
      <c r="A56" s="6" t="str">
        <f>IF('03_Base_Indice'!$A56="","",'03_Base_Indice'!$A56)</f>
        <v>6. Mercado de Trabalho</v>
      </c>
      <c r="B56" s="6">
        <f>'03_Base_Indice'!$B56</f>
        <v>2</v>
      </c>
      <c r="D56" s="6" t="str">
        <f>IF('03_Base_Indice'!$D56="","",'03_Base_Indice'!$D56)</f>
        <v>LAB002</v>
      </c>
      <c r="E56" s="6" t="str">
        <f>IF('03_Base_Indice'!$E56="","",'03_Base_Indice'!$E56)</f>
        <v>Taxa de Desemprego</v>
      </c>
      <c r="K56" s="6">
        <f>IF('03_Base_Indice'!$D56="","",IF('03_Base_Indice'!K56&lt;&gt;"",'03_Base_Indice'!K56,IF(AND(Aux!B56&lt;&gt;"",Aux!N56&lt;&gt;"",(N(Aux!N56)-N(Aux!B56)-1)&lt;='01_Criterios'!$C$13),Aux!Z56+(Aux!AL56-Aux!Z56)*(1-Aux!B56)/(Aux!N56-Aux!B56),IF(AND(Aux!B56&lt;&gt;"",(1-N(Aux!B56))&lt;='01_Criterios'!$C$14),Aux!Z56,IF(AND(Aux!N56&lt;&gt;"",(N(Aux!N56)-1)&lt;='01_Criterios'!$C$15),Aux!AL56,"")))))</f>
        <v>16.472000000000001</v>
      </c>
      <c r="L56" s="6">
        <f>IF('03_Base_Indice'!$D56="","",IF('03_Base_Indice'!L56&lt;&gt;"",'03_Base_Indice'!L56,IF(AND(Aux!C56&lt;&gt;"",Aux!O56&lt;&gt;"",(N(Aux!O56)-N(Aux!C56)-1)&lt;='01_Criterios'!$C$13),Aux!AA56+(Aux!AM56-Aux!AA56)*(2-Aux!C56)/(Aux!O56-Aux!C56),IF(AND(Aux!C56&lt;&gt;"",(2-N(Aux!C56))&lt;='01_Criterios'!$C$14),Aux!AA56,IF(AND(Aux!O56&lt;&gt;"",(N(Aux!O56)-2)&lt;='01_Criterios'!$C$15),Aux!AM56,"")))))</f>
        <v>16.571999999999999</v>
      </c>
      <c r="M56" s="6">
        <f>IF('03_Base_Indice'!$D56="","",IF('03_Base_Indice'!M56&lt;&gt;"",'03_Base_Indice'!M56,IF(AND(Aux!D56&lt;&gt;"",Aux!P56&lt;&gt;"",(N(Aux!P56)-N(Aux!D56)-1)&lt;='01_Criterios'!$C$13),Aux!AB56+(Aux!AN56-Aux!AB56)*(3-Aux!D56)/(Aux!P56-Aux!D56),IF(AND(Aux!D56&lt;&gt;"",(3-N(Aux!D56))&lt;='01_Criterios'!$C$14),Aux!AB56,IF(AND(Aux!P56&lt;&gt;"",(N(Aux!P56)-3)&lt;='01_Criterios'!$C$15),Aux!AN56,"")))))</f>
        <v>16.617000000000001</v>
      </c>
      <c r="N56" s="6">
        <f>IF('03_Base_Indice'!$D56="","",IF('03_Base_Indice'!N56&lt;&gt;"",'03_Base_Indice'!N56,IF(AND(Aux!E56&lt;&gt;"",Aux!Q56&lt;&gt;"",(N(Aux!Q56)-N(Aux!E56)-1)&lt;='01_Criterios'!$C$13),Aux!AC56+(Aux!AO56-Aux!AC56)*(4-Aux!E56)/(Aux!Q56-Aux!E56),IF(AND(Aux!E56&lt;&gt;"",(4-N(Aux!E56))&lt;='01_Criterios'!$C$14),Aux!AC56,IF(AND(Aux!Q56&lt;&gt;"",(N(Aux!Q56)-4)&lt;='01_Criterios'!$C$15),Aux!AO56,"")))))</f>
        <v>16.602</v>
      </c>
      <c r="O56" s="6">
        <f>IF('03_Base_Indice'!$D56="","",IF('03_Base_Indice'!O56&lt;&gt;"",'03_Base_Indice'!O56,IF(AND(Aux!F56&lt;&gt;"",Aux!R56&lt;&gt;"",(N(Aux!R56)-N(Aux!F56)-1)&lt;='01_Criterios'!$C$13),Aux!AD56+(Aux!AP56-Aux!AD56)*(5-Aux!F56)/(Aux!R56-Aux!F56),IF(AND(Aux!F56&lt;&gt;"",(5-N(Aux!F56))&lt;='01_Criterios'!$C$14),Aux!AD56,IF(AND(Aux!R56&lt;&gt;"",(N(Aux!R56)-5)&lt;='01_Criterios'!$C$15),Aux!AP56,"")))))</f>
        <v>16.497</v>
      </c>
      <c r="P56" s="6">
        <f>IF('03_Base_Indice'!$D56="","",IF('03_Base_Indice'!P56&lt;&gt;"",'03_Base_Indice'!P56,IF(AND(Aux!G56&lt;&gt;"",Aux!S56&lt;&gt;"",(N(Aux!S56)-N(Aux!G56)-1)&lt;='01_Criterios'!$C$13),Aux!AE56+(Aux!AQ56-Aux!AE56)*(6-Aux!G56)/(Aux!S56-Aux!G56),IF(AND(Aux!G56&lt;&gt;"",(6-N(Aux!G56))&lt;='01_Criterios'!$C$14),Aux!AE56,IF(AND(Aux!S56&lt;&gt;"",(N(Aux!S56)-6)&lt;='01_Criterios'!$C$15),Aux!AQ56,"")))))</f>
        <v>16.696000000000002</v>
      </c>
      <c r="Q56" s="6">
        <f>IF('03_Base_Indice'!$D56="","",IF('03_Base_Indice'!Q56&lt;&gt;"",'03_Base_Indice'!Q56,IF(AND(Aux!H56&lt;&gt;"",Aux!T56&lt;&gt;"",(N(Aux!T56)-N(Aux!H56)-1)&lt;='01_Criterios'!$C$13),Aux!AF56+(Aux!AR56-Aux!AF56)*(7-Aux!H56)/(Aux!T56-Aux!H56),IF(AND(Aux!H56&lt;&gt;"",(7-N(Aux!H56))&lt;='01_Criterios'!$C$14),Aux!AF56,IF(AND(Aux!T56&lt;&gt;"",(N(Aux!T56)-7)&lt;='01_Criterios'!$C$15),Aux!AR56,"")))))</f>
        <v>15.798999999999999</v>
      </c>
      <c r="R56" s="6">
        <f>IF('03_Base_Indice'!$D56="","",IF('03_Base_Indice'!R56&lt;&gt;"",'03_Base_Indice'!R56,IF(AND(Aux!I56&lt;&gt;"",Aux!U56&lt;&gt;"",(N(Aux!U56)-N(Aux!I56)-1)&lt;='01_Criterios'!$C$13),Aux!AG56+(Aux!AS56-Aux!AG56)*(8-Aux!I56)/(Aux!U56-Aux!I56),IF(AND(Aux!I56&lt;&gt;"",(8-N(Aux!I56))&lt;='01_Criterios'!$C$14),Aux!AG56,IF(AND(Aux!U56&lt;&gt;"",(N(Aux!U56)-8)&lt;='01_Criterios'!$C$15),Aux!AS56,"")))))</f>
        <v>14.124000000000001</v>
      </c>
      <c r="S56" s="6">
        <f>IF('03_Base_Indice'!$D56="","",IF('03_Base_Indice'!S56&lt;&gt;"",'03_Base_Indice'!S56,IF(AND(Aux!J56&lt;&gt;"",Aux!V56&lt;&gt;"",(N(Aux!V56)-N(Aux!J56)-1)&lt;='01_Criterios'!$C$13),Aux!AH56+(Aux!AT56-Aux!AH56)*(9-Aux!J56)/(Aux!V56-Aux!J56),IF(AND(Aux!J56&lt;&gt;"",(9-N(Aux!J56))&lt;='01_Criterios'!$C$14),Aux!AH56,IF(AND(Aux!V56&lt;&gt;"",(N(Aux!V56)-9)&lt;='01_Criterios'!$C$15),Aux!AT56,"")))))</f>
        <v>14.051</v>
      </c>
      <c r="T56" s="6">
        <f>IF('03_Base_Indice'!$D56="","",IF('03_Base_Indice'!T56&lt;&gt;"",'03_Base_Indice'!T56,IF(AND(Aux!K56&lt;&gt;"",Aux!W56&lt;&gt;"",(N(Aux!W56)-N(Aux!K56)-1)&lt;='01_Criterios'!$C$13),Aux!AI56+(Aux!AU56-Aux!AI56)*(10-Aux!K56)/(Aux!W56-Aux!K56),IF(AND(Aux!K56&lt;&gt;"",(10-N(Aux!K56))&lt;='01_Criterios'!$C$14),Aux!AI56,IF(AND(Aux!W56&lt;&gt;"",(N(Aux!W56)-10)&lt;='01_Criterios'!$C$15),Aux!AU56,"")))))</f>
        <v>14.02</v>
      </c>
      <c r="U56" s="6">
        <f>IF('03_Base_Indice'!$D56="","",IF('03_Base_Indice'!U56&lt;&gt;"",'03_Base_Indice'!U56,IF(AND(Aux!L56&lt;&gt;"",Aux!X56&lt;&gt;"",(N(Aux!X56)-N(Aux!L56)-1)&lt;='01_Criterios'!$C$13),Aux!AJ56+(Aux!AV56-Aux!AJ56)*(11-Aux!L56)/(Aux!X56-Aux!L56),IF(AND(Aux!L56&lt;&gt;"",(11-N(Aux!L56))&lt;='01_Criterios'!$C$14),Aux!AJ56,IF(AND(Aux!X56&lt;&gt;"",(N(Aux!X56)-11)&lt;='01_Criterios'!$C$15),Aux!AV56,"")))))</f>
        <v>14.108000000000001</v>
      </c>
    </row>
    <row r="57" spans="1:21">
      <c r="A57" s="6" t="str">
        <f>IF('03_Base_Indice'!$A57="","",'03_Base_Indice'!$A57)</f>
        <v>6. Mercado de Trabalho</v>
      </c>
      <c r="B57" s="6">
        <f>'03_Base_Indice'!$B57</f>
        <v>3</v>
      </c>
      <c r="D57" s="6" t="str">
        <f>IF('03_Base_Indice'!$D57="","",'03_Base_Indice'!$D57)</f>
        <v>LAB003</v>
      </c>
      <c r="E57" s="6" t="str">
        <f>IF('03_Base_Indice'!$E57="","",'03_Base_Indice'!$E57)</f>
        <v>Desemprego Juvenil (15-25)</v>
      </c>
      <c r="K57" s="6">
        <f>IF('03_Base_Indice'!$D57="","",IF('03_Base_Indice'!K57&lt;&gt;"",'03_Base_Indice'!K57,IF(AND(Aux!B57&lt;&gt;"",Aux!N57&lt;&gt;"",(N(Aux!N57)-N(Aux!B57)-1)&lt;='01_Criterios'!$C$13),Aux!Z57+(Aux!AL57-Aux!Z57)*(1-Aux!B57)/(Aux!N57-Aux!B57),IF(AND(Aux!B57&lt;&gt;"",(1-N(Aux!B57))&lt;='01_Criterios'!$C$14),Aux!Z57,IF(AND(Aux!N57&lt;&gt;"",(N(Aux!N57)-1)&lt;='01_Criterios'!$C$15),Aux!AL57,"")))))</f>
        <v>35.122</v>
      </c>
      <c r="L57" s="6">
        <f>IF('03_Base_Indice'!$D57="","",IF('03_Base_Indice'!L57&lt;&gt;"",'03_Base_Indice'!L57,IF(AND(Aux!C57&lt;&gt;"",Aux!O57&lt;&gt;"",(N(Aux!O57)-N(Aux!C57)-1)&lt;='01_Criterios'!$C$13),Aux!AA57+(Aux!AM57-Aux!AA57)*(2-Aux!C57)/(Aux!O57-Aux!C57),IF(AND(Aux!C57&lt;&gt;"",(2-N(Aux!C57))&lt;='01_Criterios'!$C$14),Aux!AA57,IF(AND(Aux!O57&lt;&gt;"",(N(Aux!O57)-2)&lt;='01_Criterios'!$C$15),Aux!AM57,"")))))</f>
        <v>34.482999999999997</v>
      </c>
      <c r="M57" s="6">
        <f>IF('03_Base_Indice'!$D57="","",IF('03_Base_Indice'!M57&lt;&gt;"",'03_Base_Indice'!M57,IF(AND(Aux!D57&lt;&gt;"",Aux!P57&lt;&gt;"",(N(Aux!P57)-N(Aux!D57)-1)&lt;='01_Criterios'!$C$13),Aux!AB57+(Aux!AN57-Aux!AB57)*(3-Aux!D57)/(Aux!P57-Aux!D57),IF(AND(Aux!D57&lt;&gt;"",(3-N(Aux!D57))&lt;='01_Criterios'!$C$14),Aux!AB57,IF(AND(Aux!P57&lt;&gt;"",(N(Aux!P57)-3)&lt;='01_Criterios'!$C$15),Aux!AN57,"")))))</f>
        <v>33.725000000000001</v>
      </c>
      <c r="N57" s="6">
        <f>IF('03_Base_Indice'!$D57="","",IF('03_Base_Indice'!N57&lt;&gt;"",'03_Base_Indice'!N57,IF(AND(Aux!E57&lt;&gt;"",Aux!Q57&lt;&gt;"",(N(Aux!Q57)-N(Aux!E57)-1)&lt;='01_Criterios'!$C$13),Aux!AC57+(Aux!AO57-Aux!AC57)*(4-Aux!E57)/(Aux!Q57-Aux!E57),IF(AND(Aux!E57&lt;&gt;"",(4-N(Aux!E57))&lt;='01_Criterios'!$C$14),Aux!AC57,IF(AND(Aux!Q57&lt;&gt;"",(N(Aux!Q57)-4)&lt;='01_Criterios'!$C$15),Aux!AO57,"")))))</f>
        <v>32.854999999999997</v>
      </c>
      <c r="O57" s="6">
        <f>IF('03_Base_Indice'!$D57="","",IF('03_Base_Indice'!O57&lt;&gt;"",'03_Base_Indice'!O57,IF(AND(Aux!F57&lt;&gt;"",Aux!R57&lt;&gt;"",(N(Aux!R57)-N(Aux!F57)-1)&lt;='01_Criterios'!$C$13),Aux!AD57+(Aux!AP57-Aux!AD57)*(5-Aux!F57)/(Aux!R57-Aux!F57),IF(AND(Aux!F57&lt;&gt;"",(5-N(Aux!F57))&lt;='01_Criterios'!$C$14),Aux!AD57,IF(AND(Aux!R57&lt;&gt;"",(N(Aux!R57)-5)&lt;='01_Criterios'!$C$15),Aux!AP57,"")))))</f>
        <v>31.832000000000001</v>
      </c>
      <c r="P57" s="6">
        <f>IF('03_Base_Indice'!$D57="","",IF('03_Base_Indice'!P57&lt;&gt;"",'03_Base_Indice'!P57,IF(AND(Aux!G57&lt;&gt;"",Aux!S57&lt;&gt;"",(N(Aux!S57)-N(Aux!G57)-1)&lt;='01_Criterios'!$C$13),Aux!AE57+(Aux!AQ57-Aux!AE57)*(6-Aux!G57)/(Aux!S57-Aux!G57),IF(AND(Aux!G57&lt;&gt;"",(6-N(Aux!G57))&lt;='01_Criterios'!$C$14),Aux!AE57,IF(AND(Aux!S57&lt;&gt;"",(N(Aux!S57)-6)&lt;='01_Criterios'!$C$15),Aux!AQ57,"")))))</f>
        <v>33.076000000000001</v>
      </c>
      <c r="Q57" s="6">
        <f>IF('03_Base_Indice'!$D57="","",IF('03_Base_Indice'!Q57&lt;&gt;"",'03_Base_Indice'!Q57,IF(AND(Aux!H57&lt;&gt;"",Aux!T57&lt;&gt;"",(N(Aux!T57)-N(Aux!H57)-1)&lt;='01_Criterios'!$C$13),Aux!AF57+(Aux!AR57-Aux!AF57)*(7-Aux!H57)/(Aux!T57-Aux!H57),IF(AND(Aux!H57&lt;&gt;"",(7-N(Aux!H57))&lt;='01_Criterios'!$C$14),Aux!AF57,IF(AND(Aux!T57&lt;&gt;"",(N(Aux!T57)-7)&lt;='01_Criterios'!$C$15),Aux!AR57,"")))))</f>
        <v>30.170999999999999</v>
      </c>
      <c r="R57" s="6">
        <f>IF('03_Base_Indice'!$D57="","",IF('03_Base_Indice'!R57&lt;&gt;"",'03_Base_Indice'!R57,IF(AND(Aux!I57&lt;&gt;"",Aux!U57&lt;&gt;"",(N(Aux!U57)-N(Aux!I57)-1)&lt;='01_Criterios'!$C$13),Aux!AG57+(Aux!AS57-Aux!AG57)*(8-Aux!I57)/(Aux!U57-Aux!I57),IF(AND(Aux!I57&lt;&gt;"",(8-N(Aux!I57))&lt;='01_Criterios'!$C$14),Aux!AG57,IF(AND(Aux!U57&lt;&gt;"",(N(Aux!U57)-8)&lt;='01_Criterios'!$C$15),Aux!AS57,"")))))</f>
        <v>27.143000000000001</v>
      </c>
      <c r="S57" s="6">
        <f>IF('03_Base_Indice'!$D57="","",IF('03_Base_Indice'!S57&lt;&gt;"",'03_Base_Indice'!S57,IF(AND(Aux!J57&lt;&gt;"",Aux!V57&lt;&gt;"",(N(Aux!V57)-N(Aux!J57)-1)&lt;='01_Criterios'!$C$13),Aux!AH57+(Aux!AT57-Aux!AH57)*(9-Aux!J57)/(Aux!V57-Aux!J57),IF(AND(Aux!J57&lt;&gt;"",(9-N(Aux!J57))&lt;='01_Criterios'!$C$14),Aux!AH57,IF(AND(Aux!V57&lt;&gt;"",(N(Aux!V57)-9)&lt;='01_Criterios'!$C$15),Aux!AT57,"")))))</f>
        <v>26.834</v>
      </c>
      <c r="T57" s="6">
        <f>IF('03_Base_Indice'!$D57="","",IF('03_Base_Indice'!T57&lt;&gt;"",'03_Base_Indice'!T57,IF(AND(Aux!K57&lt;&gt;"",Aux!W57&lt;&gt;"",(N(Aux!W57)-N(Aux!K57)-1)&lt;='01_Criterios'!$C$13),Aux!AI57+(Aux!AU57-Aux!AI57)*(10-Aux!K57)/(Aux!W57-Aux!K57),IF(AND(Aux!K57&lt;&gt;"",(10-N(Aux!K57))&lt;='01_Criterios'!$C$14),Aux!AI57,IF(AND(Aux!W57&lt;&gt;"",(N(Aux!W57)-10)&lt;='01_Criterios'!$C$15),Aux!AU57,"")))))</f>
        <v>26.74</v>
      </c>
      <c r="U57" s="6">
        <f>IF('03_Base_Indice'!$D57="","",IF('03_Base_Indice'!U57&lt;&gt;"",'03_Base_Indice'!U57,IF(AND(Aux!L57&lt;&gt;"",Aux!X57&lt;&gt;"",(N(Aux!X57)-N(Aux!L57)-1)&lt;='01_Criterios'!$C$13),Aux!AJ57+(Aux!AV57-Aux!AJ57)*(11-Aux!L57)/(Aux!X57-Aux!L57),IF(AND(Aux!L57&lt;&gt;"",(11-N(Aux!L57))&lt;='01_Criterios'!$C$14),Aux!AJ57,IF(AND(Aux!X57&lt;&gt;"",(N(Aux!X57)-11)&lt;='01_Criterios'!$C$15),Aux!AV57,"")))))</f>
        <v>27.228999999999999</v>
      </c>
    </row>
    <row r="58" spans="1:21">
      <c r="A58" s="6" t="str">
        <f>IF('03_Base_Indice'!$A58="","",'03_Base_Indice'!$A58)</f>
        <v>6. Mercado de Trabalho</v>
      </c>
      <c r="B58" s="6">
        <f>'03_Base_Indice'!$B58</f>
        <v>4</v>
      </c>
      <c r="D58" s="6" t="str">
        <f>IF('03_Base_Indice'!$D58="","",'03_Base_Indice'!$D58)</f>
        <v>LAB016</v>
      </c>
      <c r="E58" s="6" t="str">
        <f>IF('03_Base_Indice'!$E58="","",'03_Base_Indice'!$E58)</f>
        <v>Participação feminina na força de trabalho - OIT modelada</v>
      </c>
      <c r="K58" s="6">
        <f>IF('03_Base_Indice'!$D58="","",IF('03_Base_Indice'!K58&lt;&gt;"",'03_Base_Indice'!K58,IF(AND(Aux!B58&lt;&gt;"",Aux!N58&lt;&gt;"",(N(Aux!N58)-N(Aux!B58)-1)&lt;='01_Criterios'!$C$13),Aux!Z58+(Aux!AL58-Aux!Z58)*(1-Aux!B58)/(Aux!N58-Aux!B58),IF(AND(Aux!B58&lt;&gt;"",(1-N(Aux!B58))&lt;='01_Criterios'!$C$14),Aux!Z58,IF(AND(Aux!N58&lt;&gt;"",(N(Aux!N58)-1)&lt;='01_Criterios'!$C$15),Aux!AL58,"")))))</f>
        <v>73.933000000000007</v>
      </c>
      <c r="L58" s="6">
        <f>IF('03_Base_Indice'!$D58="","",IF('03_Base_Indice'!L58&lt;&gt;"",'03_Base_Indice'!L58,IF(AND(Aux!C58&lt;&gt;"",Aux!O58&lt;&gt;"",(N(Aux!O58)-N(Aux!C58)-1)&lt;='01_Criterios'!$C$13),Aux!AA58+(Aux!AM58-Aux!AA58)*(2-Aux!C58)/(Aux!O58-Aux!C58),IF(AND(Aux!C58&lt;&gt;"",(2-N(Aux!C58))&lt;='01_Criterios'!$C$14),Aux!AA58,IF(AND(Aux!O58&lt;&gt;"",(N(Aux!O58)-2)&lt;='01_Criterios'!$C$15),Aux!AM58,"")))))</f>
        <v>73.697000000000003</v>
      </c>
      <c r="M58" s="6">
        <f>IF('03_Base_Indice'!$D58="","",IF('03_Base_Indice'!M58&lt;&gt;"",'03_Base_Indice'!M58,IF(AND(Aux!D58&lt;&gt;"",Aux!P58&lt;&gt;"",(N(Aux!P58)-N(Aux!D58)-1)&lt;='01_Criterios'!$C$13),Aux!AB58+(Aux!AN58-Aux!AB58)*(3-Aux!D58)/(Aux!P58-Aux!D58),IF(AND(Aux!D58&lt;&gt;"",(3-N(Aux!D58))&lt;='01_Criterios'!$C$14),Aux!AB58,IF(AND(Aux!P58&lt;&gt;"",(N(Aux!P58)-3)&lt;='01_Criterios'!$C$15),Aux!AN58,"")))))</f>
        <v>73.460999999999999</v>
      </c>
      <c r="N58" s="6">
        <f>IF('03_Base_Indice'!$D58="","",IF('03_Base_Indice'!N58&lt;&gt;"",'03_Base_Indice'!N58,IF(AND(Aux!E58&lt;&gt;"",Aux!Q58&lt;&gt;"",(N(Aux!Q58)-N(Aux!E58)-1)&lt;='01_Criterios'!$C$13),Aux!AC58+(Aux!AO58-Aux!AC58)*(4-Aux!E58)/(Aux!Q58-Aux!E58),IF(AND(Aux!E58&lt;&gt;"",(4-N(Aux!E58))&lt;='01_Criterios'!$C$14),Aux!AC58,IF(AND(Aux!Q58&lt;&gt;"",(N(Aux!Q58)-4)&lt;='01_Criterios'!$C$15),Aux!AO58,"")))))</f>
        <v>73.224000000000004</v>
      </c>
      <c r="O58" s="6">
        <f>IF('03_Base_Indice'!$D58="","",IF('03_Base_Indice'!O58&lt;&gt;"",'03_Base_Indice'!O58,IF(AND(Aux!F58&lt;&gt;"",Aux!R58&lt;&gt;"",(N(Aux!R58)-N(Aux!F58)-1)&lt;='01_Criterios'!$C$13),Aux!AD58+(Aux!AP58-Aux!AD58)*(5-Aux!F58)/(Aux!R58-Aux!F58),IF(AND(Aux!F58&lt;&gt;"",(5-N(Aux!F58))&lt;='01_Criterios'!$C$14),Aux!AD58,IF(AND(Aux!R58&lt;&gt;"",(N(Aux!R58)-5)&lt;='01_Criterios'!$C$15),Aux!AP58,"")))))</f>
        <v>72.984999999999999</v>
      </c>
      <c r="P58" s="6">
        <f>IF('03_Base_Indice'!$D58="","",IF('03_Base_Indice'!P58&lt;&gt;"",'03_Base_Indice'!P58,IF(AND(Aux!G58&lt;&gt;"",Aux!S58&lt;&gt;"",(N(Aux!S58)-N(Aux!G58)-1)&lt;='01_Criterios'!$C$13),Aux!AE58+(Aux!AQ58-Aux!AE58)*(6-Aux!G58)/(Aux!S58-Aux!G58),IF(AND(Aux!G58&lt;&gt;"",(6-N(Aux!G58))&lt;='01_Criterios'!$C$14),Aux!AE58,IF(AND(Aux!S58&lt;&gt;"",(N(Aux!S58)-6)&lt;='01_Criterios'!$C$15),Aux!AQ58,"")))))</f>
        <v>71.341999999999999</v>
      </c>
      <c r="Q58" s="6">
        <f>IF('03_Base_Indice'!$D58="","",IF('03_Base_Indice'!Q58&lt;&gt;"",'03_Base_Indice'!Q58,IF(AND(Aux!H58&lt;&gt;"",Aux!T58&lt;&gt;"",(N(Aux!T58)-N(Aux!H58)-1)&lt;='01_Criterios'!$C$13),Aux!AF58+(Aux!AR58-Aux!AF58)*(7-Aux!H58)/(Aux!T58-Aux!H58),IF(AND(Aux!H58&lt;&gt;"",(7-N(Aux!H58))&lt;='01_Criterios'!$C$14),Aux!AF58,IF(AND(Aux!T58&lt;&gt;"",(N(Aux!T58)-7)&lt;='01_Criterios'!$C$15),Aux!AR58,"")))))</f>
        <v>74.694999999999993</v>
      </c>
      <c r="R58" s="6">
        <f>IF('03_Base_Indice'!$D58="","",IF('03_Base_Indice'!R58&lt;&gt;"",'03_Base_Indice'!R58,IF(AND(Aux!I58&lt;&gt;"",Aux!U58&lt;&gt;"",(N(Aux!U58)-N(Aux!I58)-1)&lt;='01_Criterios'!$C$13),Aux!AG58+(Aux!AS58-Aux!AG58)*(8-Aux!I58)/(Aux!U58-Aux!I58),IF(AND(Aux!I58&lt;&gt;"",(8-N(Aux!I58))&lt;='01_Criterios'!$C$14),Aux!AG58,IF(AND(Aux!U58&lt;&gt;"",(N(Aux!U58)-8)&lt;='01_Criterios'!$C$15),Aux!AS58,"")))))</f>
        <v>74.018000000000001</v>
      </c>
      <c r="S58" s="6">
        <f>IF('03_Base_Indice'!$D58="","",IF('03_Base_Indice'!S58&lt;&gt;"",'03_Base_Indice'!S58,IF(AND(Aux!J58&lt;&gt;"",Aux!V58&lt;&gt;"",(N(Aux!V58)-N(Aux!J58)-1)&lt;='01_Criterios'!$C$13),Aux!AH58+(Aux!AT58-Aux!AH58)*(9-Aux!J58)/(Aux!V58-Aux!J58),IF(AND(Aux!J58&lt;&gt;"",(9-N(Aux!J58))&lt;='01_Criterios'!$C$14),Aux!AH58,IF(AND(Aux!V58&lt;&gt;"",(N(Aux!V58)-9)&lt;='01_Criterios'!$C$15),Aux!AT58,"")))))</f>
        <v>72.317999999999998</v>
      </c>
      <c r="T58" s="6">
        <f>IF('03_Base_Indice'!$D58="","",IF('03_Base_Indice'!T58&lt;&gt;"",'03_Base_Indice'!T58,IF(AND(Aux!K58&lt;&gt;"",Aux!W58&lt;&gt;"",(N(Aux!W58)-N(Aux!K58)-1)&lt;='01_Criterios'!$C$13),Aux!AI58+(Aux!AU58-Aux!AI58)*(10-Aux!K58)/(Aux!W58-Aux!K58),IF(AND(Aux!K58&lt;&gt;"",(10-N(Aux!K58))&lt;='01_Criterios'!$C$14),Aux!AI58,IF(AND(Aux!W58&lt;&gt;"",(N(Aux!W58)-10)&lt;='01_Criterios'!$C$15),Aux!AU58,"")))))</f>
        <v>72.358999999999995</v>
      </c>
      <c r="U58" s="6">
        <f>IF('03_Base_Indice'!$D58="","",IF('03_Base_Indice'!U58&lt;&gt;"",'03_Base_Indice'!U58,IF(AND(Aux!L58&lt;&gt;"",Aux!X58&lt;&gt;"",(N(Aux!X58)-N(Aux!L58)-1)&lt;='01_Criterios'!$C$13),Aux!AJ58+(Aux!AV58-Aux!AJ58)*(11-Aux!L58)/(Aux!X58-Aux!L58),IF(AND(Aux!L58&lt;&gt;"",(11-N(Aux!L58))&lt;='01_Criterios'!$C$14),Aux!AJ58,IF(AND(Aux!X58&lt;&gt;"",(N(Aux!X58)-11)&lt;='01_Criterios'!$C$15),Aux!AV58,"")))))</f>
        <v>72.224000000000004</v>
      </c>
    </row>
    <row r="59" spans="1:21">
      <c r="A59" s="6" t="str">
        <f>IF('03_Base_Indice'!$A59="","",'03_Base_Indice'!$A59)</f>
        <v>6. Mercado de Trabalho</v>
      </c>
      <c r="B59" s="6">
        <f>'03_Base_Indice'!$B59</f>
        <v>5</v>
      </c>
      <c r="D59" s="6" t="str">
        <f>IF('03_Base_Indice'!$D59="","",'03_Base_Indice'!$D59)</f>
        <v>LAB025</v>
      </c>
      <c r="E59" s="6" t="str">
        <f>IF('03_Base_Indice'!$E59="","",'03_Base_Indice'!$E59)</f>
        <v>Produto por trabalhador - OIT</v>
      </c>
      <c r="K59" s="6">
        <f>IF('03_Base_Indice'!$D59="","",IF('03_Base_Indice'!K59&lt;&gt;"",'03_Base_Indice'!K59,IF(AND(Aux!B59&lt;&gt;"",Aux!N59&lt;&gt;"",(N(Aux!N59)-N(Aux!B59)-1)&lt;='01_Criterios'!$C$13),Aux!Z59+(Aux!AL59-Aux!Z59)*(1-Aux!B59)/(Aux!N59-Aux!B59),IF(AND(Aux!B59&lt;&gt;"",(1-N(Aux!B59))&lt;='01_Criterios'!$C$14),Aux!Z59,IF(AND(Aux!N59&lt;&gt;"",(N(Aux!N59)-1)&lt;='01_Criterios'!$C$15),Aux!AL59,"")))))</f>
        <v>9228.44</v>
      </c>
      <c r="L59" s="6">
        <f>IF('03_Base_Indice'!$D59="","",IF('03_Base_Indice'!L59&lt;&gt;"",'03_Base_Indice'!L59,IF(AND(Aux!C59&lt;&gt;"",Aux!O59&lt;&gt;"",(N(Aux!O59)-N(Aux!C59)-1)&lt;='01_Criterios'!$C$13),Aux!AA59+(Aux!AM59-Aux!AA59)*(2-Aux!C59)/(Aux!O59-Aux!C59),IF(AND(Aux!C59&lt;&gt;"",(2-N(Aux!C59))&lt;='01_Criterios'!$C$14),Aux!AA59,IF(AND(Aux!O59&lt;&gt;"",(N(Aux!O59)-2)&lt;='01_Criterios'!$C$15),Aux!AM59,"")))))</f>
        <v>8719.17</v>
      </c>
      <c r="M59" s="6">
        <f>IF('03_Base_Indice'!$D59="","",IF('03_Base_Indice'!M59&lt;&gt;"",'03_Base_Indice'!M59,IF(AND(Aux!D59&lt;&gt;"",Aux!P59&lt;&gt;"",(N(Aux!P59)-N(Aux!D59)-1)&lt;='01_Criterios'!$C$13),Aux!AB59+(Aux!AN59-Aux!AB59)*(3-Aux!D59)/(Aux!P59-Aux!D59),IF(AND(Aux!D59&lt;&gt;"",(3-N(Aux!D59))&lt;='01_Criterios'!$C$14),Aux!AB59,IF(AND(Aux!P59&lt;&gt;"",(N(Aux!P59)-3)&lt;='01_Criterios'!$C$15),Aux!AN59,"")))))</f>
        <v>8435.4</v>
      </c>
      <c r="N59" s="6">
        <f>IF('03_Base_Indice'!$D59="","",IF('03_Base_Indice'!N59&lt;&gt;"",'03_Base_Indice'!N59,IF(AND(Aux!E59&lt;&gt;"",Aux!Q59&lt;&gt;"",(N(Aux!Q59)-N(Aux!E59)-1)&lt;='01_Criterios'!$C$13),Aux!AC59+(Aux!AO59-Aux!AC59)*(4-Aux!E59)/(Aux!Q59-Aux!E59),IF(AND(Aux!E59&lt;&gt;"",(4-N(Aux!E59))&lt;='01_Criterios'!$C$14),Aux!AC59,IF(AND(Aux!Q59&lt;&gt;"",(N(Aux!Q59)-4)&lt;='01_Criterios'!$C$15),Aux!AO59,"")))))</f>
        <v>8063.77</v>
      </c>
      <c r="O59" s="6">
        <f>IF('03_Base_Indice'!$D59="","",IF('03_Base_Indice'!O59&lt;&gt;"",'03_Base_Indice'!O59,IF(AND(Aux!F59&lt;&gt;"",Aux!R59&lt;&gt;"",(N(Aux!R59)-N(Aux!F59)-1)&lt;='01_Criterios'!$C$13),Aux!AD59+(Aux!AP59-Aux!AD59)*(5-Aux!F59)/(Aux!R59-Aux!F59),IF(AND(Aux!F59&lt;&gt;"",(5-N(Aux!F59))&lt;='01_Criterios'!$C$14),Aux!AD59,IF(AND(Aux!R59&lt;&gt;"",(N(Aux!R59)-5)&lt;='01_Criterios'!$C$15),Aux!AP59,"")))))</f>
        <v>7749.11</v>
      </c>
      <c r="P59" s="6">
        <f>IF('03_Base_Indice'!$D59="","",IF('03_Base_Indice'!P59&lt;&gt;"",'03_Base_Indice'!P59,IF(AND(Aux!G59&lt;&gt;"",Aux!S59&lt;&gt;"",(N(Aux!S59)-N(Aux!G59)-1)&lt;='01_Criterios'!$C$13),Aux!AE59+(Aux!AQ59-Aux!AE59)*(6-Aux!G59)/(Aux!S59-Aux!G59),IF(AND(Aux!G59&lt;&gt;"",(6-N(Aux!G59))&lt;='01_Criterios'!$C$14),Aux!AE59,IF(AND(Aux!S59&lt;&gt;"",(N(Aux!S59)-6)&lt;='01_Criterios'!$C$15),Aux!AQ59,"")))))</f>
        <v>7369.04</v>
      </c>
      <c r="Q59" s="6">
        <f>IF('03_Base_Indice'!$D59="","",IF('03_Base_Indice'!Q59&lt;&gt;"",'03_Base_Indice'!Q59,IF(AND(Aux!H59&lt;&gt;"",Aux!T59&lt;&gt;"",(N(Aux!T59)-N(Aux!H59)-1)&lt;='01_Criterios'!$C$13),Aux!AF59+(Aux!AR59-Aux!AF59)*(7-Aux!H59)/(Aux!T59-Aux!H59),IF(AND(Aux!H59&lt;&gt;"",(7-N(Aux!H59))&lt;='01_Criterios'!$C$14),Aux!AF59,IF(AND(Aux!T59&lt;&gt;"",(N(Aux!T59)-7)&lt;='01_Criterios'!$C$15),Aux!AR59,"")))))</f>
        <v>6908.52</v>
      </c>
      <c r="R59" s="6">
        <f>IF('03_Base_Indice'!$D59="","",IF('03_Base_Indice'!R59&lt;&gt;"",'03_Base_Indice'!R59,IF(AND(Aux!I59&lt;&gt;"",Aux!U59&lt;&gt;"",(N(Aux!U59)-N(Aux!I59)-1)&lt;='01_Criterios'!$C$13),Aux!AG59+(Aux!AS59-Aux!AG59)*(8-Aux!I59)/(Aux!U59-Aux!I59),IF(AND(Aux!I59&lt;&gt;"",(8-N(Aux!I59))&lt;='01_Criterios'!$C$14),Aux!AG59,IF(AND(Aux!U59&lt;&gt;"",(N(Aux!U59)-8)&lt;='01_Criterios'!$C$15),Aux!AS59,"")))))</f>
        <v>6924.37</v>
      </c>
      <c r="S59" s="6">
        <f>IF('03_Base_Indice'!$D59="","",IF('03_Base_Indice'!S59&lt;&gt;"",'03_Base_Indice'!S59,IF(AND(Aux!J59&lt;&gt;"",Aux!V59&lt;&gt;"",(N(Aux!V59)-N(Aux!J59)-1)&lt;='01_Criterios'!$C$13),Aux!AH59+(Aux!AT59-Aux!AH59)*(9-Aux!J59)/(Aux!V59-Aux!J59),IF(AND(Aux!J59&lt;&gt;"",(9-N(Aux!J59))&lt;='01_Criterios'!$C$14),Aux!AH59,IF(AND(Aux!V59&lt;&gt;"",(N(Aux!V59)-9)&lt;='01_Criterios'!$C$15),Aux!AT59,"")))))</f>
        <v>6802.66</v>
      </c>
      <c r="T59" s="6">
        <f>IF('03_Base_Indice'!$D59="","",IF('03_Base_Indice'!T59&lt;&gt;"",'03_Base_Indice'!T59,IF(AND(Aux!K59&lt;&gt;"",Aux!W59&lt;&gt;"",(N(Aux!W59)-N(Aux!K59)-1)&lt;='01_Criterios'!$C$13),Aux!AI59+(Aux!AU59-Aux!AI59)*(10-Aux!K59)/(Aux!W59-Aux!K59),IF(AND(Aux!K59&lt;&gt;"",(10-N(Aux!K59))&lt;='01_Criterios'!$C$14),Aux!AI59,IF(AND(Aux!W59&lt;&gt;"",(N(Aux!W59)-10)&lt;='01_Criterios'!$C$15),Aux!AU59,"")))))</f>
        <v>6861.8</v>
      </c>
      <c r="U59" s="6">
        <f>IF('03_Base_Indice'!$D59="","",IF('03_Base_Indice'!U59&lt;&gt;"",'03_Base_Indice'!U59,IF(AND(Aux!L59&lt;&gt;"",Aux!X59&lt;&gt;"",(N(Aux!X59)-N(Aux!L59)-1)&lt;='01_Criterios'!$C$13),Aux!AJ59+(Aux!AV59-Aux!AJ59)*(11-Aux!L59)/(Aux!X59-Aux!L59),IF(AND(Aux!L59&lt;&gt;"",(11-N(Aux!L59))&lt;='01_Criterios'!$C$14),Aux!AJ59,IF(AND(Aux!X59&lt;&gt;"",(N(Aux!X59)-11)&lt;='01_Criterios'!$C$15),Aux!AV59,"")))))</f>
        <v>6782.91</v>
      </c>
    </row>
    <row r="60" spans="1:21">
      <c r="A60" s="6" t="str">
        <f>IF('03_Base_Indice'!$A60="","",'03_Base_Indice'!$A60)</f>
        <v>6. Mercado de Trabalho</v>
      </c>
      <c r="B60" s="6">
        <f>'03_Base_Indice'!$B60</f>
        <v>6</v>
      </c>
      <c r="D60" s="6" t="str">
        <f>IF('03_Base_Indice'!$D60="","",'03_Base_Indice'!$D60)</f>
        <v/>
      </c>
      <c r="E60" s="6" t="str">
        <f>IF('03_Base_Indice'!$E60="","",'03_Base_Indice'!$E60)</f>
        <v/>
      </c>
      <c r="K60" s="6" t="str">
        <f>IF('03_Base_Indice'!$D60="","",IF('03_Base_Indice'!K60&lt;&gt;"",'03_Base_Indice'!K60,IF(AND(Aux!B60&lt;&gt;"",Aux!N60&lt;&gt;"",(N(Aux!N60)-N(Aux!B60)-1)&lt;='01_Criterios'!$C$13),Aux!Z60+(Aux!AL60-Aux!Z60)*(1-Aux!B60)/(Aux!N60-Aux!B60),IF(AND(Aux!B60&lt;&gt;"",(1-N(Aux!B60))&lt;='01_Criterios'!$C$14),Aux!Z60,IF(AND(Aux!N60&lt;&gt;"",(N(Aux!N60)-1)&lt;='01_Criterios'!$C$15),Aux!AL60,"")))))</f>
        <v/>
      </c>
      <c r="L60" s="6" t="str">
        <f>IF('03_Base_Indice'!$D60="","",IF('03_Base_Indice'!L60&lt;&gt;"",'03_Base_Indice'!L60,IF(AND(Aux!C60&lt;&gt;"",Aux!O60&lt;&gt;"",(N(Aux!O60)-N(Aux!C60)-1)&lt;='01_Criterios'!$C$13),Aux!AA60+(Aux!AM60-Aux!AA60)*(2-Aux!C60)/(Aux!O60-Aux!C60),IF(AND(Aux!C60&lt;&gt;"",(2-N(Aux!C60))&lt;='01_Criterios'!$C$14),Aux!AA60,IF(AND(Aux!O60&lt;&gt;"",(N(Aux!O60)-2)&lt;='01_Criterios'!$C$15),Aux!AM60,"")))))</f>
        <v/>
      </c>
      <c r="M60" s="6" t="str">
        <f>IF('03_Base_Indice'!$D60="","",IF('03_Base_Indice'!M60&lt;&gt;"",'03_Base_Indice'!M60,IF(AND(Aux!D60&lt;&gt;"",Aux!P60&lt;&gt;"",(N(Aux!P60)-N(Aux!D60)-1)&lt;='01_Criterios'!$C$13),Aux!AB60+(Aux!AN60-Aux!AB60)*(3-Aux!D60)/(Aux!P60-Aux!D60),IF(AND(Aux!D60&lt;&gt;"",(3-N(Aux!D60))&lt;='01_Criterios'!$C$14),Aux!AB60,IF(AND(Aux!P60&lt;&gt;"",(N(Aux!P60)-3)&lt;='01_Criterios'!$C$15),Aux!AN60,"")))))</f>
        <v/>
      </c>
      <c r="N60" s="6" t="str">
        <f>IF('03_Base_Indice'!$D60="","",IF('03_Base_Indice'!N60&lt;&gt;"",'03_Base_Indice'!N60,IF(AND(Aux!E60&lt;&gt;"",Aux!Q60&lt;&gt;"",(N(Aux!Q60)-N(Aux!E60)-1)&lt;='01_Criterios'!$C$13),Aux!AC60+(Aux!AO60-Aux!AC60)*(4-Aux!E60)/(Aux!Q60-Aux!E60),IF(AND(Aux!E60&lt;&gt;"",(4-N(Aux!E60))&lt;='01_Criterios'!$C$14),Aux!AC60,IF(AND(Aux!Q60&lt;&gt;"",(N(Aux!Q60)-4)&lt;='01_Criterios'!$C$15),Aux!AO60,"")))))</f>
        <v/>
      </c>
      <c r="O60" s="6" t="str">
        <f>IF('03_Base_Indice'!$D60="","",IF('03_Base_Indice'!O60&lt;&gt;"",'03_Base_Indice'!O60,IF(AND(Aux!F60&lt;&gt;"",Aux!R60&lt;&gt;"",(N(Aux!R60)-N(Aux!F60)-1)&lt;='01_Criterios'!$C$13),Aux!AD60+(Aux!AP60-Aux!AD60)*(5-Aux!F60)/(Aux!R60-Aux!F60),IF(AND(Aux!F60&lt;&gt;"",(5-N(Aux!F60))&lt;='01_Criterios'!$C$14),Aux!AD60,IF(AND(Aux!R60&lt;&gt;"",(N(Aux!R60)-5)&lt;='01_Criterios'!$C$15),Aux!AP60,"")))))</f>
        <v/>
      </c>
      <c r="P60" s="6" t="str">
        <f>IF('03_Base_Indice'!$D60="","",IF('03_Base_Indice'!P60&lt;&gt;"",'03_Base_Indice'!P60,IF(AND(Aux!G60&lt;&gt;"",Aux!S60&lt;&gt;"",(N(Aux!S60)-N(Aux!G60)-1)&lt;='01_Criterios'!$C$13),Aux!AE60+(Aux!AQ60-Aux!AE60)*(6-Aux!G60)/(Aux!S60-Aux!G60),IF(AND(Aux!G60&lt;&gt;"",(6-N(Aux!G60))&lt;='01_Criterios'!$C$14),Aux!AE60,IF(AND(Aux!S60&lt;&gt;"",(N(Aux!S60)-6)&lt;='01_Criterios'!$C$15),Aux!AQ60,"")))))</f>
        <v/>
      </c>
      <c r="Q60" s="6" t="str">
        <f>IF('03_Base_Indice'!$D60="","",IF('03_Base_Indice'!Q60&lt;&gt;"",'03_Base_Indice'!Q60,IF(AND(Aux!H60&lt;&gt;"",Aux!T60&lt;&gt;"",(N(Aux!T60)-N(Aux!H60)-1)&lt;='01_Criterios'!$C$13),Aux!AF60+(Aux!AR60-Aux!AF60)*(7-Aux!H60)/(Aux!T60-Aux!H60),IF(AND(Aux!H60&lt;&gt;"",(7-N(Aux!H60))&lt;='01_Criterios'!$C$14),Aux!AF60,IF(AND(Aux!T60&lt;&gt;"",(N(Aux!T60)-7)&lt;='01_Criterios'!$C$15),Aux!AR60,"")))))</f>
        <v/>
      </c>
      <c r="R60" s="6" t="str">
        <f>IF('03_Base_Indice'!$D60="","",IF('03_Base_Indice'!R60&lt;&gt;"",'03_Base_Indice'!R60,IF(AND(Aux!I60&lt;&gt;"",Aux!U60&lt;&gt;"",(N(Aux!U60)-N(Aux!I60)-1)&lt;='01_Criterios'!$C$13),Aux!AG60+(Aux!AS60-Aux!AG60)*(8-Aux!I60)/(Aux!U60-Aux!I60),IF(AND(Aux!I60&lt;&gt;"",(8-N(Aux!I60))&lt;='01_Criterios'!$C$14),Aux!AG60,IF(AND(Aux!U60&lt;&gt;"",(N(Aux!U60)-8)&lt;='01_Criterios'!$C$15),Aux!AS60,"")))))</f>
        <v/>
      </c>
      <c r="S60" s="6" t="str">
        <f>IF('03_Base_Indice'!$D60="","",IF('03_Base_Indice'!S60&lt;&gt;"",'03_Base_Indice'!S60,IF(AND(Aux!J60&lt;&gt;"",Aux!V60&lt;&gt;"",(N(Aux!V60)-N(Aux!J60)-1)&lt;='01_Criterios'!$C$13),Aux!AH60+(Aux!AT60-Aux!AH60)*(9-Aux!J60)/(Aux!V60-Aux!J60),IF(AND(Aux!J60&lt;&gt;"",(9-N(Aux!J60))&lt;='01_Criterios'!$C$14),Aux!AH60,IF(AND(Aux!V60&lt;&gt;"",(N(Aux!V60)-9)&lt;='01_Criterios'!$C$15),Aux!AT60,"")))))</f>
        <v/>
      </c>
      <c r="T60" s="6" t="str">
        <f>IF('03_Base_Indice'!$D60="","",IF('03_Base_Indice'!T60&lt;&gt;"",'03_Base_Indice'!T60,IF(AND(Aux!K60&lt;&gt;"",Aux!W60&lt;&gt;"",(N(Aux!W60)-N(Aux!K60)-1)&lt;='01_Criterios'!$C$13),Aux!AI60+(Aux!AU60-Aux!AI60)*(10-Aux!K60)/(Aux!W60-Aux!K60),IF(AND(Aux!K60&lt;&gt;"",(10-N(Aux!K60))&lt;='01_Criterios'!$C$14),Aux!AI60,IF(AND(Aux!W60&lt;&gt;"",(N(Aux!W60)-10)&lt;='01_Criterios'!$C$15),Aux!AU60,"")))))</f>
        <v/>
      </c>
      <c r="U60" s="6" t="str">
        <f>IF('03_Base_Indice'!$D60="","",IF('03_Base_Indice'!U60&lt;&gt;"",'03_Base_Indice'!U60,IF(AND(Aux!L60&lt;&gt;"",Aux!X60&lt;&gt;"",(N(Aux!X60)-N(Aux!L60)-1)&lt;='01_Criterios'!$C$13),Aux!AJ60+(Aux!AV60-Aux!AJ60)*(11-Aux!L60)/(Aux!X60-Aux!L60),IF(AND(Aux!L60&lt;&gt;"",(11-N(Aux!L60))&lt;='01_Criterios'!$C$14),Aux!AJ60,IF(AND(Aux!X60&lt;&gt;"",(N(Aux!X60)-11)&lt;='01_Criterios'!$C$15),Aux!AV60,"")))))</f>
        <v/>
      </c>
    </row>
    <row r="61" spans="1:21">
      <c r="A61" s="6" t="str">
        <f>IF('03_Base_Indice'!$A61="","",'03_Base_Indice'!$A61)</f>
        <v>6. Mercado de Trabalho</v>
      </c>
      <c r="B61" s="6">
        <f>'03_Base_Indice'!$B61</f>
        <v>7</v>
      </c>
      <c r="D61" s="6" t="str">
        <f>IF('03_Base_Indice'!$D61="","",'03_Base_Indice'!$D61)</f>
        <v/>
      </c>
      <c r="E61" s="6" t="str">
        <f>IF('03_Base_Indice'!$E61="","",'03_Base_Indice'!$E61)</f>
        <v/>
      </c>
      <c r="K61" s="6" t="str">
        <f>IF('03_Base_Indice'!$D61="","",IF('03_Base_Indice'!K61&lt;&gt;"",'03_Base_Indice'!K61,IF(AND(Aux!B61&lt;&gt;"",Aux!N61&lt;&gt;"",(N(Aux!N61)-N(Aux!B61)-1)&lt;='01_Criterios'!$C$13),Aux!Z61+(Aux!AL61-Aux!Z61)*(1-Aux!B61)/(Aux!N61-Aux!B61),IF(AND(Aux!B61&lt;&gt;"",(1-N(Aux!B61))&lt;='01_Criterios'!$C$14),Aux!Z61,IF(AND(Aux!N61&lt;&gt;"",(N(Aux!N61)-1)&lt;='01_Criterios'!$C$15),Aux!AL61,"")))))</f>
        <v/>
      </c>
      <c r="L61" s="6" t="str">
        <f>IF('03_Base_Indice'!$D61="","",IF('03_Base_Indice'!L61&lt;&gt;"",'03_Base_Indice'!L61,IF(AND(Aux!C61&lt;&gt;"",Aux!O61&lt;&gt;"",(N(Aux!O61)-N(Aux!C61)-1)&lt;='01_Criterios'!$C$13),Aux!AA61+(Aux!AM61-Aux!AA61)*(2-Aux!C61)/(Aux!O61-Aux!C61),IF(AND(Aux!C61&lt;&gt;"",(2-N(Aux!C61))&lt;='01_Criterios'!$C$14),Aux!AA61,IF(AND(Aux!O61&lt;&gt;"",(N(Aux!O61)-2)&lt;='01_Criterios'!$C$15),Aux!AM61,"")))))</f>
        <v/>
      </c>
      <c r="M61" s="6" t="str">
        <f>IF('03_Base_Indice'!$D61="","",IF('03_Base_Indice'!M61&lt;&gt;"",'03_Base_Indice'!M61,IF(AND(Aux!D61&lt;&gt;"",Aux!P61&lt;&gt;"",(N(Aux!P61)-N(Aux!D61)-1)&lt;='01_Criterios'!$C$13),Aux!AB61+(Aux!AN61-Aux!AB61)*(3-Aux!D61)/(Aux!P61-Aux!D61),IF(AND(Aux!D61&lt;&gt;"",(3-N(Aux!D61))&lt;='01_Criterios'!$C$14),Aux!AB61,IF(AND(Aux!P61&lt;&gt;"",(N(Aux!P61)-3)&lt;='01_Criterios'!$C$15),Aux!AN61,"")))))</f>
        <v/>
      </c>
      <c r="N61" s="6" t="str">
        <f>IF('03_Base_Indice'!$D61="","",IF('03_Base_Indice'!N61&lt;&gt;"",'03_Base_Indice'!N61,IF(AND(Aux!E61&lt;&gt;"",Aux!Q61&lt;&gt;"",(N(Aux!Q61)-N(Aux!E61)-1)&lt;='01_Criterios'!$C$13),Aux!AC61+(Aux!AO61-Aux!AC61)*(4-Aux!E61)/(Aux!Q61-Aux!E61),IF(AND(Aux!E61&lt;&gt;"",(4-N(Aux!E61))&lt;='01_Criterios'!$C$14),Aux!AC61,IF(AND(Aux!Q61&lt;&gt;"",(N(Aux!Q61)-4)&lt;='01_Criterios'!$C$15),Aux!AO61,"")))))</f>
        <v/>
      </c>
      <c r="O61" s="6" t="str">
        <f>IF('03_Base_Indice'!$D61="","",IF('03_Base_Indice'!O61&lt;&gt;"",'03_Base_Indice'!O61,IF(AND(Aux!F61&lt;&gt;"",Aux!R61&lt;&gt;"",(N(Aux!R61)-N(Aux!F61)-1)&lt;='01_Criterios'!$C$13),Aux!AD61+(Aux!AP61-Aux!AD61)*(5-Aux!F61)/(Aux!R61-Aux!F61),IF(AND(Aux!F61&lt;&gt;"",(5-N(Aux!F61))&lt;='01_Criterios'!$C$14),Aux!AD61,IF(AND(Aux!R61&lt;&gt;"",(N(Aux!R61)-5)&lt;='01_Criterios'!$C$15),Aux!AP61,"")))))</f>
        <v/>
      </c>
      <c r="P61" s="6" t="str">
        <f>IF('03_Base_Indice'!$D61="","",IF('03_Base_Indice'!P61&lt;&gt;"",'03_Base_Indice'!P61,IF(AND(Aux!G61&lt;&gt;"",Aux!S61&lt;&gt;"",(N(Aux!S61)-N(Aux!G61)-1)&lt;='01_Criterios'!$C$13),Aux!AE61+(Aux!AQ61-Aux!AE61)*(6-Aux!G61)/(Aux!S61-Aux!G61),IF(AND(Aux!G61&lt;&gt;"",(6-N(Aux!G61))&lt;='01_Criterios'!$C$14),Aux!AE61,IF(AND(Aux!S61&lt;&gt;"",(N(Aux!S61)-6)&lt;='01_Criterios'!$C$15),Aux!AQ61,"")))))</f>
        <v/>
      </c>
      <c r="Q61" s="6" t="str">
        <f>IF('03_Base_Indice'!$D61="","",IF('03_Base_Indice'!Q61&lt;&gt;"",'03_Base_Indice'!Q61,IF(AND(Aux!H61&lt;&gt;"",Aux!T61&lt;&gt;"",(N(Aux!T61)-N(Aux!H61)-1)&lt;='01_Criterios'!$C$13),Aux!AF61+(Aux!AR61-Aux!AF61)*(7-Aux!H61)/(Aux!T61-Aux!H61),IF(AND(Aux!H61&lt;&gt;"",(7-N(Aux!H61))&lt;='01_Criterios'!$C$14),Aux!AF61,IF(AND(Aux!T61&lt;&gt;"",(N(Aux!T61)-7)&lt;='01_Criterios'!$C$15),Aux!AR61,"")))))</f>
        <v/>
      </c>
      <c r="R61" s="6" t="str">
        <f>IF('03_Base_Indice'!$D61="","",IF('03_Base_Indice'!R61&lt;&gt;"",'03_Base_Indice'!R61,IF(AND(Aux!I61&lt;&gt;"",Aux!U61&lt;&gt;"",(N(Aux!U61)-N(Aux!I61)-1)&lt;='01_Criterios'!$C$13),Aux!AG61+(Aux!AS61-Aux!AG61)*(8-Aux!I61)/(Aux!U61-Aux!I61),IF(AND(Aux!I61&lt;&gt;"",(8-N(Aux!I61))&lt;='01_Criterios'!$C$14),Aux!AG61,IF(AND(Aux!U61&lt;&gt;"",(N(Aux!U61)-8)&lt;='01_Criterios'!$C$15),Aux!AS61,"")))))</f>
        <v/>
      </c>
      <c r="S61" s="6" t="str">
        <f>IF('03_Base_Indice'!$D61="","",IF('03_Base_Indice'!S61&lt;&gt;"",'03_Base_Indice'!S61,IF(AND(Aux!J61&lt;&gt;"",Aux!V61&lt;&gt;"",(N(Aux!V61)-N(Aux!J61)-1)&lt;='01_Criterios'!$C$13),Aux!AH61+(Aux!AT61-Aux!AH61)*(9-Aux!J61)/(Aux!V61-Aux!J61),IF(AND(Aux!J61&lt;&gt;"",(9-N(Aux!J61))&lt;='01_Criterios'!$C$14),Aux!AH61,IF(AND(Aux!V61&lt;&gt;"",(N(Aux!V61)-9)&lt;='01_Criterios'!$C$15),Aux!AT61,"")))))</f>
        <v/>
      </c>
      <c r="T61" s="6" t="str">
        <f>IF('03_Base_Indice'!$D61="","",IF('03_Base_Indice'!T61&lt;&gt;"",'03_Base_Indice'!T61,IF(AND(Aux!K61&lt;&gt;"",Aux!W61&lt;&gt;"",(N(Aux!W61)-N(Aux!K61)-1)&lt;='01_Criterios'!$C$13),Aux!AI61+(Aux!AU61-Aux!AI61)*(10-Aux!K61)/(Aux!W61-Aux!K61),IF(AND(Aux!K61&lt;&gt;"",(10-N(Aux!K61))&lt;='01_Criterios'!$C$14),Aux!AI61,IF(AND(Aux!W61&lt;&gt;"",(N(Aux!W61)-10)&lt;='01_Criterios'!$C$15),Aux!AU61,"")))))</f>
        <v/>
      </c>
      <c r="U61" s="6" t="str">
        <f>IF('03_Base_Indice'!$D61="","",IF('03_Base_Indice'!U61&lt;&gt;"",'03_Base_Indice'!U61,IF(AND(Aux!L61&lt;&gt;"",Aux!X61&lt;&gt;"",(N(Aux!X61)-N(Aux!L61)-1)&lt;='01_Criterios'!$C$13),Aux!AJ61+(Aux!AV61-Aux!AJ61)*(11-Aux!L61)/(Aux!X61-Aux!L61),IF(AND(Aux!L61&lt;&gt;"",(11-N(Aux!L61))&lt;='01_Criterios'!$C$14),Aux!AJ61,IF(AND(Aux!X61&lt;&gt;"",(N(Aux!X61)-11)&lt;='01_Criterios'!$C$15),Aux!AV61,"")))))</f>
        <v/>
      </c>
    </row>
    <row r="62" spans="1:21">
      <c r="A62" s="6" t="str">
        <f>IF('03_Base_Indice'!$A62="","",'03_Base_Indice'!$A62)</f>
        <v>6. Mercado de Trabalho</v>
      </c>
      <c r="B62" s="6">
        <f>'03_Base_Indice'!$B62</f>
        <v>8</v>
      </c>
      <c r="D62" s="6" t="str">
        <f>IF('03_Base_Indice'!$D62="","",'03_Base_Indice'!$D62)</f>
        <v/>
      </c>
      <c r="E62" s="6" t="str">
        <f>IF('03_Base_Indice'!$E62="","",'03_Base_Indice'!$E62)</f>
        <v/>
      </c>
      <c r="K62" s="6" t="str">
        <f>IF('03_Base_Indice'!$D62="","",IF('03_Base_Indice'!K62&lt;&gt;"",'03_Base_Indice'!K62,IF(AND(Aux!B62&lt;&gt;"",Aux!N62&lt;&gt;"",(N(Aux!N62)-N(Aux!B62)-1)&lt;='01_Criterios'!$C$13),Aux!Z62+(Aux!AL62-Aux!Z62)*(1-Aux!B62)/(Aux!N62-Aux!B62),IF(AND(Aux!B62&lt;&gt;"",(1-N(Aux!B62))&lt;='01_Criterios'!$C$14),Aux!Z62,IF(AND(Aux!N62&lt;&gt;"",(N(Aux!N62)-1)&lt;='01_Criterios'!$C$15),Aux!AL62,"")))))</f>
        <v/>
      </c>
      <c r="L62" s="6" t="str">
        <f>IF('03_Base_Indice'!$D62="","",IF('03_Base_Indice'!L62&lt;&gt;"",'03_Base_Indice'!L62,IF(AND(Aux!C62&lt;&gt;"",Aux!O62&lt;&gt;"",(N(Aux!O62)-N(Aux!C62)-1)&lt;='01_Criterios'!$C$13),Aux!AA62+(Aux!AM62-Aux!AA62)*(2-Aux!C62)/(Aux!O62-Aux!C62),IF(AND(Aux!C62&lt;&gt;"",(2-N(Aux!C62))&lt;='01_Criterios'!$C$14),Aux!AA62,IF(AND(Aux!O62&lt;&gt;"",(N(Aux!O62)-2)&lt;='01_Criterios'!$C$15),Aux!AM62,"")))))</f>
        <v/>
      </c>
      <c r="M62" s="6" t="str">
        <f>IF('03_Base_Indice'!$D62="","",IF('03_Base_Indice'!M62&lt;&gt;"",'03_Base_Indice'!M62,IF(AND(Aux!D62&lt;&gt;"",Aux!P62&lt;&gt;"",(N(Aux!P62)-N(Aux!D62)-1)&lt;='01_Criterios'!$C$13),Aux!AB62+(Aux!AN62-Aux!AB62)*(3-Aux!D62)/(Aux!P62-Aux!D62),IF(AND(Aux!D62&lt;&gt;"",(3-N(Aux!D62))&lt;='01_Criterios'!$C$14),Aux!AB62,IF(AND(Aux!P62&lt;&gt;"",(N(Aux!P62)-3)&lt;='01_Criterios'!$C$15),Aux!AN62,"")))))</f>
        <v/>
      </c>
      <c r="N62" s="6" t="str">
        <f>IF('03_Base_Indice'!$D62="","",IF('03_Base_Indice'!N62&lt;&gt;"",'03_Base_Indice'!N62,IF(AND(Aux!E62&lt;&gt;"",Aux!Q62&lt;&gt;"",(N(Aux!Q62)-N(Aux!E62)-1)&lt;='01_Criterios'!$C$13),Aux!AC62+(Aux!AO62-Aux!AC62)*(4-Aux!E62)/(Aux!Q62-Aux!E62),IF(AND(Aux!E62&lt;&gt;"",(4-N(Aux!E62))&lt;='01_Criterios'!$C$14),Aux!AC62,IF(AND(Aux!Q62&lt;&gt;"",(N(Aux!Q62)-4)&lt;='01_Criterios'!$C$15),Aux!AO62,"")))))</f>
        <v/>
      </c>
      <c r="O62" s="6" t="str">
        <f>IF('03_Base_Indice'!$D62="","",IF('03_Base_Indice'!O62&lt;&gt;"",'03_Base_Indice'!O62,IF(AND(Aux!F62&lt;&gt;"",Aux!R62&lt;&gt;"",(N(Aux!R62)-N(Aux!F62)-1)&lt;='01_Criterios'!$C$13),Aux!AD62+(Aux!AP62-Aux!AD62)*(5-Aux!F62)/(Aux!R62-Aux!F62),IF(AND(Aux!F62&lt;&gt;"",(5-N(Aux!F62))&lt;='01_Criterios'!$C$14),Aux!AD62,IF(AND(Aux!R62&lt;&gt;"",(N(Aux!R62)-5)&lt;='01_Criterios'!$C$15),Aux!AP62,"")))))</f>
        <v/>
      </c>
      <c r="P62" s="6" t="str">
        <f>IF('03_Base_Indice'!$D62="","",IF('03_Base_Indice'!P62&lt;&gt;"",'03_Base_Indice'!P62,IF(AND(Aux!G62&lt;&gt;"",Aux!S62&lt;&gt;"",(N(Aux!S62)-N(Aux!G62)-1)&lt;='01_Criterios'!$C$13),Aux!AE62+(Aux!AQ62-Aux!AE62)*(6-Aux!G62)/(Aux!S62-Aux!G62),IF(AND(Aux!G62&lt;&gt;"",(6-N(Aux!G62))&lt;='01_Criterios'!$C$14),Aux!AE62,IF(AND(Aux!S62&lt;&gt;"",(N(Aux!S62)-6)&lt;='01_Criterios'!$C$15),Aux!AQ62,"")))))</f>
        <v/>
      </c>
      <c r="Q62" s="6" t="str">
        <f>IF('03_Base_Indice'!$D62="","",IF('03_Base_Indice'!Q62&lt;&gt;"",'03_Base_Indice'!Q62,IF(AND(Aux!H62&lt;&gt;"",Aux!T62&lt;&gt;"",(N(Aux!T62)-N(Aux!H62)-1)&lt;='01_Criterios'!$C$13),Aux!AF62+(Aux!AR62-Aux!AF62)*(7-Aux!H62)/(Aux!T62-Aux!H62),IF(AND(Aux!H62&lt;&gt;"",(7-N(Aux!H62))&lt;='01_Criterios'!$C$14),Aux!AF62,IF(AND(Aux!T62&lt;&gt;"",(N(Aux!T62)-7)&lt;='01_Criterios'!$C$15),Aux!AR62,"")))))</f>
        <v/>
      </c>
      <c r="R62" s="6" t="str">
        <f>IF('03_Base_Indice'!$D62="","",IF('03_Base_Indice'!R62&lt;&gt;"",'03_Base_Indice'!R62,IF(AND(Aux!I62&lt;&gt;"",Aux!U62&lt;&gt;"",(N(Aux!U62)-N(Aux!I62)-1)&lt;='01_Criterios'!$C$13),Aux!AG62+(Aux!AS62-Aux!AG62)*(8-Aux!I62)/(Aux!U62-Aux!I62),IF(AND(Aux!I62&lt;&gt;"",(8-N(Aux!I62))&lt;='01_Criterios'!$C$14),Aux!AG62,IF(AND(Aux!U62&lt;&gt;"",(N(Aux!U62)-8)&lt;='01_Criterios'!$C$15),Aux!AS62,"")))))</f>
        <v/>
      </c>
      <c r="S62" s="6" t="str">
        <f>IF('03_Base_Indice'!$D62="","",IF('03_Base_Indice'!S62&lt;&gt;"",'03_Base_Indice'!S62,IF(AND(Aux!J62&lt;&gt;"",Aux!V62&lt;&gt;"",(N(Aux!V62)-N(Aux!J62)-1)&lt;='01_Criterios'!$C$13),Aux!AH62+(Aux!AT62-Aux!AH62)*(9-Aux!J62)/(Aux!V62-Aux!J62),IF(AND(Aux!J62&lt;&gt;"",(9-N(Aux!J62))&lt;='01_Criterios'!$C$14),Aux!AH62,IF(AND(Aux!V62&lt;&gt;"",(N(Aux!V62)-9)&lt;='01_Criterios'!$C$15),Aux!AT62,"")))))</f>
        <v/>
      </c>
      <c r="T62" s="6" t="str">
        <f>IF('03_Base_Indice'!$D62="","",IF('03_Base_Indice'!T62&lt;&gt;"",'03_Base_Indice'!T62,IF(AND(Aux!K62&lt;&gt;"",Aux!W62&lt;&gt;"",(N(Aux!W62)-N(Aux!K62)-1)&lt;='01_Criterios'!$C$13),Aux!AI62+(Aux!AU62-Aux!AI62)*(10-Aux!K62)/(Aux!W62-Aux!K62),IF(AND(Aux!K62&lt;&gt;"",(10-N(Aux!K62))&lt;='01_Criterios'!$C$14),Aux!AI62,IF(AND(Aux!W62&lt;&gt;"",(N(Aux!W62)-10)&lt;='01_Criterios'!$C$15),Aux!AU62,"")))))</f>
        <v/>
      </c>
      <c r="U62" s="6" t="str">
        <f>IF('03_Base_Indice'!$D62="","",IF('03_Base_Indice'!U62&lt;&gt;"",'03_Base_Indice'!U62,IF(AND(Aux!L62&lt;&gt;"",Aux!X62&lt;&gt;"",(N(Aux!X62)-N(Aux!L62)-1)&lt;='01_Criterios'!$C$13),Aux!AJ62+(Aux!AV62-Aux!AJ62)*(11-Aux!L62)/(Aux!X62-Aux!L62),IF(AND(Aux!L62&lt;&gt;"",(11-N(Aux!L62))&lt;='01_Criterios'!$C$14),Aux!AJ62,IF(AND(Aux!X62&lt;&gt;"",(N(Aux!X62)-11)&lt;='01_Criterios'!$C$15),Aux!AV62,"")))))</f>
        <v/>
      </c>
    </row>
    <row r="63" spans="1:21">
      <c r="A63" s="6" t="str">
        <f>IF('03_Base_Indice'!$A63="","",'03_Base_Indice'!$A63)</f>
        <v>6. Mercado de Trabalho</v>
      </c>
      <c r="B63" s="6">
        <f>'03_Base_Indice'!$B63</f>
        <v>9</v>
      </c>
      <c r="D63" s="6" t="str">
        <f>IF('03_Base_Indice'!$D63="","",'03_Base_Indice'!$D63)</f>
        <v/>
      </c>
      <c r="E63" s="6" t="str">
        <f>IF('03_Base_Indice'!$E63="","",'03_Base_Indice'!$E63)</f>
        <v/>
      </c>
      <c r="K63" s="6" t="str">
        <f>IF('03_Base_Indice'!$D63="","",IF('03_Base_Indice'!K63&lt;&gt;"",'03_Base_Indice'!K63,IF(AND(Aux!B63&lt;&gt;"",Aux!N63&lt;&gt;"",(N(Aux!N63)-N(Aux!B63)-1)&lt;='01_Criterios'!$C$13),Aux!Z63+(Aux!AL63-Aux!Z63)*(1-Aux!B63)/(Aux!N63-Aux!B63),IF(AND(Aux!B63&lt;&gt;"",(1-N(Aux!B63))&lt;='01_Criterios'!$C$14),Aux!Z63,IF(AND(Aux!N63&lt;&gt;"",(N(Aux!N63)-1)&lt;='01_Criterios'!$C$15),Aux!AL63,"")))))</f>
        <v/>
      </c>
      <c r="L63" s="6" t="str">
        <f>IF('03_Base_Indice'!$D63="","",IF('03_Base_Indice'!L63&lt;&gt;"",'03_Base_Indice'!L63,IF(AND(Aux!C63&lt;&gt;"",Aux!O63&lt;&gt;"",(N(Aux!O63)-N(Aux!C63)-1)&lt;='01_Criterios'!$C$13),Aux!AA63+(Aux!AM63-Aux!AA63)*(2-Aux!C63)/(Aux!O63-Aux!C63),IF(AND(Aux!C63&lt;&gt;"",(2-N(Aux!C63))&lt;='01_Criterios'!$C$14),Aux!AA63,IF(AND(Aux!O63&lt;&gt;"",(N(Aux!O63)-2)&lt;='01_Criterios'!$C$15),Aux!AM63,"")))))</f>
        <v/>
      </c>
      <c r="M63" s="6" t="str">
        <f>IF('03_Base_Indice'!$D63="","",IF('03_Base_Indice'!M63&lt;&gt;"",'03_Base_Indice'!M63,IF(AND(Aux!D63&lt;&gt;"",Aux!P63&lt;&gt;"",(N(Aux!P63)-N(Aux!D63)-1)&lt;='01_Criterios'!$C$13),Aux!AB63+(Aux!AN63-Aux!AB63)*(3-Aux!D63)/(Aux!P63-Aux!D63),IF(AND(Aux!D63&lt;&gt;"",(3-N(Aux!D63))&lt;='01_Criterios'!$C$14),Aux!AB63,IF(AND(Aux!P63&lt;&gt;"",(N(Aux!P63)-3)&lt;='01_Criterios'!$C$15),Aux!AN63,"")))))</f>
        <v/>
      </c>
      <c r="N63" s="6" t="str">
        <f>IF('03_Base_Indice'!$D63="","",IF('03_Base_Indice'!N63&lt;&gt;"",'03_Base_Indice'!N63,IF(AND(Aux!E63&lt;&gt;"",Aux!Q63&lt;&gt;"",(N(Aux!Q63)-N(Aux!E63)-1)&lt;='01_Criterios'!$C$13),Aux!AC63+(Aux!AO63-Aux!AC63)*(4-Aux!E63)/(Aux!Q63-Aux!E63),IF(AND(Aux!E63&lt;&gt;"",(4-N(Aux!E63))&lt;='01_Criterios'!$C$14),Aux!AC63,IF(AND(Aux!Q63&lt;&gt;"",(N(Aux!Q63)-4)&lt;='01_Criterios'!$C$15),Aux!AO63,"")))))</f>
        <v/>
      </c>
      <c r="O63" s="6" t="str">
        <f>IF('03_Base_Indice'!$D63="","",IF('03_Base_Indice'!O63&lt;&gt;"",'03_Base_Indice'!O63,IF(AND(Aux!F63&lt;&gt;"",Aux!R63&lt;&gt;"",(N(Aux!R63)-N(Aux!F63)-1)&lt;='01_Criterios'!$C$13),Aux!AD63+(Aux!AP63-Aux!AD63)*(5-Aux!F63)/(Aux!R63-Aux!F63),IF(AND(Aux!F63&lt;&gt;"",(5-N(Aux!F63))&lt;='01_Criterios'!$C$14),Aux!AD63,IF(AND(Aux!R63&lt;&gt;"",(N(Aux!R63)-5)&lt;='01_Criterios'!$C$15),Aux!AP63,"")))))</f>
        <v/>
      </c>
      <c r="P63" s="6" t="str">
        <f>IF('03_Base_Indice'!$D63="","",IF('03_Base_Indice'!P63&lt;&gt;"",'03_Base_Indice'!P63,IF(AND(Aux!G63&lt;&gt;"",Aux!S63&lt;&gt;"",(N(Aux!S63)-N(Aux!G63)-1)&lt;='01_Criterios'!$C$13),Aux!AE63+(Aux!AQ63-Aux!AE63)*(6-Aux!G63)/(Aux!S63-Aux!G63),IF(AND(Aux!G63&lt;&gt;"",(6-N(Aux!G63))&lt;='01_Criterios'!$C$14),Aux!AE63,IF(AND(Aux!S63&lt;&gt;"",(N(Aux!S63)-6)&lt;='01_Criterios'!$C$15),Aux!AQ63,"")))))</f>
        <v/>
      </c>
      <c r="Q63" s="6" t="str">
        <f>IF('03_Base_Indice'!$D63="","",IF('03_Base_Indice'!Q63&lt;&gt;"",'03_Base_Indice'!Q63,IF(AND(Aux!H63&lt;&gt;"",Aux!T63&lt;&gt;"",(N(Aux!T63)-N(Aux!H63)-1)&lt;='01_Criterios'!$C$13),Aux!AF63+(Aux!AR63-Aux!AF63)*(7-Aux!H63)/(Aux!T63-Aux!H63),IF(AND(Aux!H63&lt;&gt;"",(7-N(Aux!H63))&lt;='01_Criterios'!$C$14),Aux!AF63,IF(AND(Aux!T63&lt;&gt;"",(N(Aux!T63)-7)&lt;='01_Criterios'!$C$15),Aux!AR63,"")))))</f>
        <v/>
      </c>
      <c r="R63" s="6" t="str">
        <f>IF('03_Base_Indice'!$D63="","",IF('03_Base_Indice'!R63&lt;&gt;"",'03_Base_Indice'!R63,IF(AND(Aux!I63&lt;&gt;"",Aux!U63&lt;&gt;"",(N(Aux!U63)-N(Aux!I63)-1)&lt;='01_Criterios'!$C$13),Aux!AG63+(Aux!AS63-Aux!AG63)*(8-Aux!I63)/(Aux!U63-Aux!I63),IF(AND(Aux!I63&lt;&gt;"",(8-N(Aux!I63))&lt;='01_Criterios'!$C$14),Aux!AG63,IF(AND(Aux!U63&lt;&gt;"",(N(Aux!U63)-8)&lt;='01_Criterios'!$C$15),Aux!AS63,"")))))</f>
        <v/>
      </c>
      <c r="S63" s="6" t="str">
        <f>IF('03_Base_Indice'!$D63="","",IF('03_Base_Indice'!S63&lt;&gt;"",'03_Base_Indice'!S63,IF(AND(Aux!J63&lt;&gt;"",Aux!V63&lt;&gt;"",(N(Aux!V63)-N(Aux!J63)-1)&lt;='01_Criterios'!$C$13),Aux!AH63+(Aux!AT63-Aux!AH63)*(9-Aux!J63)/(Aux!V63-Aux!J63),IF(AND(Aux!J63&lt;&gt;"",(9-N(Aux!J63))&lt;='01_Criterios'!$C$14),Aux!AH63,IF(AND(Aux!V63&lt;&gt;"",(N(Aux!V63)-9)&lt;='01_Criterios'!$C$15),Aux!AT63,"")))))</f>
        <v/>
      </c>
      <c r="T63" s="6" t="str">
        <f>IF('03_Base_Indice'!$D63="","",IF('03_Base_Indice'!T63&lt;&gt;"",'03_Base_Indice'!T63,IF(AND(Aux!K63&lt;&gt;"",Aux!W63&lt;&gt;"",(N(Aux!W63)-N(Aux!K63)-1)&lt;='01_Criterios'!$C$13),Aux!AI63+(Aux!AU63-Aux!AI63)*(10-Aux!K63)/(Aux!W63-Aux!K63),IF(AND(Aux!K63&lt;&gt;"",(10-N(Aux!K63))&lt;='01_Criterios'!$C$14),Aux!AI63,IF(AND(Aux!W63&lt;&gt;"",(N(Aux!W63)-10)&lt;='01_Criterios'!$C$15),Aux!AU63,"")))))</f>
        <v/>
      </c>
      <c r="U63" s="6" t="str">
        <f>IF('03_Base_Indice'!$D63="","",IF('03_Base_Indice'!U63&lt;&gt;"",'03_Base_Indice'!U63,IF(AND(Aux!L63&lt;&gt;"",Aux!X63&lt;&gt;"",(N(Aux!X63)-N(Aux!L63)-1)&lt;='01_Criterios'!$C$13),Aux!AJ63+(Aux!AV63-Aux!AJ63)*(11-Aux!L63)/(Aux!X63-Aux!L63),IF(AND(Aux!L63&lt;&gt;"",(11-N(Aux!L63))&lt;='01_Criterios'!$C$14),Aux!AJ63,IF(AND(Aux!X63&lt;&gt;"",(N(Aux!X63)-11)&lt;='01_Criterios'!$C$15),Aux!AV63,"")))))</f>
        <v/>
      </c>
    </row>
    <row r="64" spans="1:21">
      <c r="A64" s="6" t="str">
        <f>IF('03_Base_Indice'!$A64="","",'03_Base_Indice'!$A64)</f>
        <v>6. Mercado de Trabalho</v>
      </c>
      <c r="B64" s="6">
        <f>'03_Base_Indice'!$B64</f>
        <v>10</v>
      </c>
      <c r="D64" s="6" t="str">
        <f>IF('03_Base_Indice'!$D64="","",'03_Base_Indice'!$D64)</f>
        <v/>
      </c>
      <c r="E64" s="6" t="str">
        <f>IF('03_Base_Indice'!$E64="","",'03_Base_Indice'!$E64)</f>
        <v/>
      </c>
      <c r="K64" s="6" t="str">
        <f>IF('03_Base_Indice'!$D64="","",IF('03_Base_Indice'!K64&lt;&gt;"",'03_Base_Indice'!K64,IF(AND(Aux!B64&lt;&gt;"",Aux!N64&lt;&gt;"",(N(Aux!N64)-N(Aux!B64)-1)&lt;='01_Criterios'!$C$13),Aux!Z64+(Aux!AL64-Aux!Z64)*(1-Aux!B64)/(Aux!N64-Aux!B64),IF(AND(Aux!B64&lt;&gt;"",(1-N(Aux!B64))&lt;='01_Criterios'!$C$14),Aux!Z64,IF(AND(Aux!N64&lt;&gt;"",(N(Aux!N64)-1)&lt;='01_Criterios'!$C$15),Aux!AL64,"")))))</f>
        <v/>
      </c>
      <c r="L64" s="6" t="str">
        <f>IF('03_Base_Indice'!$D64="","",IF('03_Base_Indice'!L64&lt;&gt;"",'03_Base_Indice'!L64,IF(AND(Aux!C64&lt;&gt;"",Aux!O64&lt;&gt;"",(N(Aux!O64)-N(Aux!C64)-1)&lt;='01_Criterios'!$C$13),Aux!AA64+(Aux!AM64-Aux!AA64)*(2-Aux!C64)/(Aux!O64-Aux!C64),IF(AND(Aux!C64&lt;&gt;"",(2-N(Aux!C64))&lt;='01_Criterios'!$C$14),Aux!AA64,IF(AND(Aux!O64&lt;&gt;"",(N(Aux!O64)-2)&lt;='01_Criterios'!$C$15),Aux!AM64,"")))))</f>
        <v/>
      </c>
      <c r="M64" s="6" t="str">
        <f>IF('03_Base_Indice'!$D64="","",IF('03_Base_Indice'!M64&lt;&gt;"",'03_Base_Indice'!M64,IF(AND(Aux!D64&lt;&gt;"",Aux!P64&lt;&gt;"",(N(Aux!P64)-N(Aux!D64)-1)&lt;='01_Criterios'!$C$13),Aux!AB64+(Aux!AN64-Aux!AB64)*(3-Aux!D64)/(Aux!P64-Aux!D64),IF(AND(Aux!D64&lt;&gt;"",(3-N(Aux!D64))&lt;='01_Criterios'!$C$14),Aux!AB64,IF(AND(Aux!P64&lt;&gt;"",(N(Aux!P64)-3)&lt;='01_Criterios'!$C$15),Aux!AN64,"")))))</f>
        <v/>
      </c>
      <c r="N64" s="6" t="str">
        <f>IF('03_Base_Indice'!$D64="","",IF('03_Base_Indice'!N64&lt;&gt;"",'03_Base_Indice'!N64,IF(AND(Aux!E64&lt;&gt;"",Aux!Q64&lt;&gt;"",(N(Aux!Q64)-N(Aux!E64)-1)&lt;='01_Criterios'!$C$13),Aux!AC64+(Aux!AO64-Aux!AC64)*(4-Aux!E64)/(Aux!Q64-Aux!E64),IF(AND(Aux!E64&lt;&gt;"",(4-N(Aux!E64))&lt;='01_Criterios'!$C$14),Aux!AC64,IF(AND(Aux!Q64&lt;&gt;"",(N(Aux!Q64)-4)&lt;='01_Criterios'!$C$15),Aux!AO64,"")))))</f>
        <v/>
      </c>
      <c r="O64" s="6" t="str">
        <f>IF('03_Base_Indice'!$D64="","",IF('03_Base_Indice'!O64&lt;&gt;"",'03_Base_Indice'!O64,IF(AND(Aux!F64&lt;&gt;"",Aux!R64&lt;&gt;"",(N(Aux!R64)-N(Aux!F64)-1)&lt;='01_Criterios'!$C$13),Aux!AD64+(Aux!AP64-Aux!AD64)*(5-Aux!F64)/(Aux!R64-Aux!F64),IF(AND(Aux!F64&lt;&gt;"",(5-N(Aux!F64))&lt;='01_Criterios'!$C$14),Aux!AD64,IF(AND(Aux!R64&lt;&gt;"",(N(Aux!R64)-5)&lt;='01_Criterios'!$C$15),Aux!AP64,"")))))</f>
        <v/>
      </c>
      <c r="P64" s="6" t="str">
        <f>IF('03_Base_Indice'!$D64="","",IF('03_Base_Indice'!P64&lt;&gt;"",'03_Base_Indice'!P64,IF(AND(Aux!G64&lt;&gt;"",Aux!S64&lt;&gt;"",(N(Aux!S64)-N(Aux!G64)-1)&lt;='01_Criterios'!$C$13),Aux!AE64+(Aux!AQ64-Aux!AE64)*(6-Aux!G64)/(Aux!S64-Aux!G64),IF(AND(Aux!G64&lt;&gt;"",(6-N(Aux!G64))&lt;='01_Criterios'!$C$14),Aux!AE64,IF(AND(Aux!S64&lt;&gt;"",(N(Aux!S64)-6)&lt;='01_Criterios'!$C$15),Aux!AQ64,"")))))</f>
        <v/>
      </c>
      <c r="Q64" s="6" t="str">
        <f>IF('03_Base_Indice'!$D64="","",IF('03_Base_Indice'!Q64&lt;&gt;"",'03_Base_Indice'!Q64,IF(AND(Aux!H64&lt;&gt;"",Aux!T64&lt;&gt;"",(N(Aux!T64)-N(Aux!H64)-1)&lt;='01_Criterios'!$C$13),Aux!AF64+(Aux!AR64-Aux!AF64)*(7-Aux!H64)/(Aux!T64-Aux!H64),IF(AND(Aux!H64&lt;&gt;"",(7-N(Aux!H64))&lt;='01_Criterios'!$C$14),Aux!AF64,IF(AND(Aux!T64&lt;&gt;"",(N(Aux!T64)-7)&lt;='01_Criterios'!$C$15),Aux!AR64,"")))))</f>
        <v/>
      </c>
      <c r="R64" s="6" t="str">
        <f>IF('03_Base_Indice'!$D64="","",IF('03_Base_Indice'!R64&lt;&gt;"",'03_Base_Indice'!R64,IF(AND(Aux!I64&lt;&gt;"",Aux!U64&lt;&gt;"",(N(Aux!U64)-N(Aux!I64)-1)&lt;='01_Criterios'!$C$13),Aux!AG64+(Aux!AS64-Aux!AG64)*(8-Aux!I64)/(Aux!U64-Aux!I64),IF(AND(Aux!I64&lt;&gt;"",(8-N(Aux!I64))&lt;='01_Criterios'!$C$14),Aux!AG64,IF(AND(Aux!U64&lt;&gt;"",(N(Aux!U64)-8)&lt;='01_Criterios'!$C$15),Aux!AS64,"")))))</f>
        <v/>
      </c>
      <c r="S64" s="6" t="str">
        <f>IF('03_Base_Indice'!$D64="","",IF('03_Base_Indice'!S64&lt;&gt;"",'03_Base_Indice'!S64,IF(AND(Aux!J64&lt;&gt;"",Aux!V64&lt;&gt;"",(N(Aux!V64)-N(Aux!J64)-1)&lt;='01_Criterios'!$C$13),Aux!AH64+(Aux!AT64-Aux!AH64)*(9-Aux!J64)/(Aux!V64-Aux!J64),IF(AND(Aux!J64&lt;&gt;"",(9-N(Aux!J64))&lt;='01_Criterios'!$C$14),Aux!AH64,IF(AND(Aux!V64&lt;&gt;"",(N(Aux!V64)-9)&lt;='01_Criterios'!$C$15),Aux!AT64,"")))))</f>
        <v/>
      </c>
      <c r="T64" s="6" t="str">
        <f>IF('03_Base_Indice'!$D64="","",IF('03_Base_Indice'!T64&lt;&gt;"",'03_Base_Indice'!T64,IF(AND(Aux!K64&lt;&gt;"",Aux!W64&lt;&gt;"",(N(Aux!W64)-N(Aux!K64)-1)&lt;='01_Criterios'!$C$13),Aux!AI64+(Aux!AU64-Aux!AI64)*(10-Aux!K64)/(Aux!W64-Aux!K64),IF(AND(Aux!K64&lt;&gt;"",(10-N(Aux!K64))&lt;='01_Criterios'!$C$14),Aux!AI64,IF(AND(Aux!W64&lt;&gt;"",(N(Aux!W64)-10)&lt;='01_Criterios'!$C$15),Aux!AU64,"")))))</f>
        <v/>
      </c>
      <c r="U64" s="6" t="str">
        <f>IF('03_Base_Indice'!$D64="","",IF('03_Base_Indice'!U64&lt;&gt;"",'03_Base_Indice'!U64,IF(AND(Aux!L64&lt;&gt;"",Aux!X64&lt;&gt;"",(N(Aux!X64)-N(Aux!L64)-1)&lt;='01_Criterios'!$C$13),Aux!AJ64+(Aux!AV64-Aux!AJ64)*(11-Aux!L64)/(Aux!X64-Aux!L64),IF(AND(Aux!L64&lt;&gt;"",(11-N(Aux!L64))&lt;='01_Criterios'!$C$14),Aux!AJ64,IF(AND(Aux!X64&lt;&gt;"",(N(Aux!X64)-11)&lt;='01_Criterios'!$C$15),Aux!AV64,"")))))</f>
        <v/>
      </c>
    </row>
    <row r="65" spans="1:21">
      <c r="A65" s="6" t="str">
        <f>IF('03_Base_Indice'!$A65="","",'03_Base_Indice'!$A65)</f>
        <v>7. Segurança Alimentar e Saúde</v>
      </c>
      <c r="B65" s="6">
        <f>'03_Base_Indice'!$B65</f>
        <v>1</v>
      </c>
      <c r="D65" s="6" t="str">
        <f>IF('03_Base_Indice'!$D65="","",'03_Base_Indice'!$D65)</f>
        <v>SAU003</v>
      </c>
      <c r="E65" s="6" t="str">
        <f>IF('03_Base_Indice'!$E65="","",'03_Base_Indice'!$E65)</f>
        <v>Mortalidade Materna (por 100k)</v>
      </c>
      <c r="K65" s="6">
        <f>IF('03_Base_Indice'!$D65="","",IF('03_Base_Indice'!K65&lt;&gt;"",'03_Base_Indice'!K65,IF(AND(Aux!B65&lt;&gt;"",Aux!N65&lt;&gt;"",(N(Aux!N65)-N(Aux!B65)-1)&lt;='01_Criterios'!$C$13),Aux!Z65+(Aux!AL65-Aux!Z65)*(1-Aux!B65)/(Aux!N65-Aux!B65),IF(AND(Aux!B65&lt;&gt;"",(1-N(Aux!B65))&lt;='01_Criterios'!$C$14),Aux!Z65,IF(AND(Aux!N65&lt;&gt;"",(N(Aux!N65)-1)&lt;='01_Criterios'!$C$15),Aux!AL65,"")))))</f>
        <v>249</v>
      </c>
      <c r="L65" s="6">
        <f>IF('03_Base_Indice'!$D65="","",IF('03_Base_Indice'!L65&lt;&gt;"",'03_Base_Indice'!L65,IF(AND(Aux!C65&lt;&gt;"",Aux!O65&lt;&gt;"",(N(Aux!O65)-N(Aux!C65)-1)&lt;='01_Criterios'!$C$13),Aux!AA65+(Aux!AM65-Aux!AA65)*(2-Aux!C65)/(Aux!O65-Aux!C65),IF(AND(Aux!C65&lt;&gt;"",(2-N(Aux!C65))&lt;='01_Criterios'!$C$14),Aux!AA65,IF(AND(Aux!O65&lt;&gt;"",(N(Aux!O65)-2)&lt;='01_Criterios'!$C$15),Aux!AM65,"")))))</f>
        <v>236</v>
      </c>
      <c r="M65" s="6">
        <f>IF('03_Base_Indice'!$D65="","",IF('03_Base_Indice'!M65&lt;&gt;"",'03_Base_Indice'!M65,IF(AND(Aux!D65&lt;&gt;"",Aux!P65&lt;&gt;"",(N(Aux!P65)-N(Aux!D65)-1)&lt;='01_Criterios'!$C$13),Aux!AB65+(Aux!AN65-Aux!AB65)*(3-Aux!D65)/(Aux!P65-Aux!D65),IF(AND(Aux!D65&lt;&gt;"",(3-N(Aux!D65))&lt;='01_Criterios'!$C$14),Aux!AB65,IF(AND(Aux!P65&lt;&gt;"",(N(Aux!P65)-3)&lt;='01_Criterios'!$C$15),Aux!AN65,"")))))</f>
        <v>220</v>
      </c>
      <c r="N65" s="6">
        <f>IF('03_Base_Indice'!$D65="","",IF('03_Base_Indice'!N65&lt;&gt;"",'03_Base_Indice'!N65,IF(AND(Aux!E65&lt;&gt;"",Aux!Q65&lt;&gt;"",(N(Aux!Q65)-N(Aux!E65)-1)&lt;='01_Criterios'!$C$13),Aux!AC65+(Aux!AO65-Aux!AC65)*(4-Aux!E65)/(Aux!Q65-Aux!E65),IF(AND(Aux!E65&lt;&gt;"",(4-N(Aux!E65))&lt;='01_Criterios'!$C$14),Aux!AC65,IF(AND(Aux!Q65&lt;&gt;"",(N(Aux!Q65)-4)&lt;='01_Criterios'!$C$15),Aux!AO65,"")))))</f>
        <v>208</v>
      </c>
      <c r="O65" s="6">
        <f>IF('03_Base_Indice'!$D65="","",IF('03_Base_Indice'!O65&lt;&gt;"",'03_Base_Indice'!O65,IF(AND(Aux!F65&lt;&gt;"",Aux!R65&lt;&gt;"",(N(Aux!R65)-N(Aux!F65)-1)&lt;='01_Criterios'!$C$13),Aux!AD65+(Aux!AP65-Aux!AD65)*(5-Aux!F65)/(Aux!R65-Aux!F65),IF(AND(Aux!F65&lt;&gt;"",(5-N(Aux!F65))&lt;='01_Criterios'!$C$14),Aux!AD65,IF(AND(Aux!R65&lt;&gt;"",(N(Aux!R65)-5)&lt;='01_Criterios'!$C$15),Aux!AP65,"")))))</f>
        <v>202</v>
      </c>
      <c r="P65" s="6">
        <f>IF('03_Base_Indice'!$D65="","",IF('03_Base_Indice'!P65&lt;&gt;"",'03_Base_Indice'!P65,IF(AND(Aux!G65&lt;&gt;"",Aux!S65&lt;&gt;"",(N(Aux!S65)-N(Aux!G65)-1)&lt;='01_Criterios'!$C$13),Aux!AE65+(Aux!AQ65-Aux!AE65)*(6-Aux!G65)/(Aux!S65-Aux!G65),IF(AND(Aux!G65&lt;&gt;"",(6-N(Aux!G65))&lt;='01_Criterios'!$C$14),Aux!AE65,IF(AND(Aux!S65&lt;&gt;"",(N(Aux!S65)-6)&lt;='01_Criterios'!$C$15),Aux!AQ65,"")))))</f>
        <v>195</v>
      </c>
      <c r="Q65" s="6">
        <f>IF('03_Base_Indice'!$D65="","",IF('03_Base_Indice'!Q65&lt;&gt;"",'03_Base_Indice'!Q65,IF(AND(Aux!H65&lt;&gt;"",Aux!T65&lt;&gt;"",(N(Aux!T65)-N(Aux!H65)-1)&lt;='01_Criterios'!$C$13),Aux!AF65+(Aux!AR65-Aux!AF65)*(7-Aux!H65)/(Aux!T65-Aux!H65),IF(AND(Aux!H65&lt;&gt;"",(7-N(Aux!H65))&lt;='01_Criterios'!$C$14),Aux!AF65,IF(AND(Aux!T65&lt;&gt;"",(N(Aux!T65)-7)&lt;='01_Criterios'!$C$15),Aux!AR65,"")))))</f>
        <v>211</v>
      </c>
      <c r="R65" s="6">
        <f>IF('03_Base_Indice'!$D65="","",IF('03_Base_Indice'!R65&lt;&gt;"",'03_Base_Indice'!R65,IF(AND(Aux!I65&lt;&gt;"",Aux!U65&lt;&gt;"",(N(Aux!U65)-N(Aux!I65)-1)&lt;='01_Criterios'!$C$13),Aux!AG65+(Aux!AS65-Aux!AG65)*(8-Aux!I65)/(Aux!U65-Aux!I65),IF(AND(Aux!I65&lt;&gt;"",(8-N(Aux!I65))&lt;='01_Criterios'!$C$14),Aux!AG65,IF(AND(Aux!U65&lt;&gt;"",(N(Aux!U65)-8)&lt;='01_Criterios'!$C$15),Aux!AS65,"")))))</f>
        <v>185</v>
      </c>
      <c r="S65" s="6">
        <f>IF('03_Base_Indice'!$D65="","",IF('03_Base_Indice'!S65&lt;&gt;"",'03_Base_Indice'!S65,IF(AND(Aux!J65&lt;&gt;"",Aux!V65&lt;&gt;"",(N(Aux!V65)-N(Aux!J65)-1)&lt;='01_Criterios'!$C$13),Aux!AH65+(Aux!AT65-Aux!AH65)*(9-Aux!J65)/(Aux!V65-Aux!J65),IF(AND(Aux!J65&lt;&gt;"",(9-N(Aux!J65))&lt;='01_Criterios'!$C$14),Aux!AH65,IF(AND(Aux!V65&lt;&gt;"",(N(Aux!V65)-9)&lt;='01_Criterios'!$C$15),Aux!AT65,"")))))</f>
        <v>183</v>
      </c>
      <c r="T65" s="6">
        <f>IF('03_Base_Indice'!$D65="","",IF('03_Base_Indice'!T65&lt;&gt;"",'03_Base_Indice'!T65,IF(AND(Aux!K65&lt;&gt;"",Aux!W65&lt;&gt;"",(N(Aux!W65)-N(Aux!K65)-1)&lt;='01_Criterios'!$C$13),Aux!AI65+(Aux!AU65-Aux!AI65)*(10-Aux!K65)/(Aux!W65-Aux!K65),IF(AND(Aux!K65&lt;&gt;"",(10-N(Aux!K65))&lt;='01_Criterios'!$C$14),Aux!AI65,IF(AND(Aux!W65&lt;&gt;"",(N(Aux!W65)-10)&lt;='01_Criterios'!$C$15),Aux!AU65,"")))))</f>
        <v>185</v>
      </c>
      <c r="U65" s="6">
        <f>IF('03_Base_Indice'!$D65="","",IF('03_Base_Indice'!U65&lt;&gt;"",'03_Base_Indice'!U65,IF(AND(Aux!L65&lt;&gt;"",Aux!X65&lt;&gt;"",(N(Aux!X65)-N(Aux!L65)-1)&lt;='01_Criterios'!$C$13),Aux!AJ65+(Aux!AV65-Aux!AJ65)*(11-Aux!L65)/(Aux!X65-Aux!L65),IF(AND(Aux!L65&lt;&gt;"",(11-N(Aux!L65))&lt;='01_Criterios'!$C$14),Aux!AJ65,IF(AND(Aux!X65&lt;&gt;"",(N(Aux!X65)-11)&lt;='01_Criterios'!$C$15),Aux!AV65,"")))))</f>
        <v>170</v>
      </c>
    </row>
    <row r="66" spans="1:21">
      <c r="A66" s="6" t="str">
        <f>IF('03_Base_Indice'!$A66="","",'03_Base_Indice'!$A66)</f>
        <v>7. Segurança Alimentar e Saúde</v>
      </c>
      <c r="B66" s="6">
        <f>'03_Base_Indice'!$B66</f>
        <v>2</v>
      </c>
      <c r="D66" s="6" t="str">
        <f>IF('03_Base_Indice'!$D66="","",'03_Base_Indice'!$D66)</f>
        <v>SAU006</v>
      </c>
      <c r="E66" s="6" t="str">
        <f>IF('03_Base_Indice'!$E66="","",'03_Base_Indice'!$E66)</f>
        <v>Cobertura Vacinal (%)</v>
      </c>
      <c r="K66" s="6">
        <f>IF('03_Base_Indice'!$D66="","",IF('03_Base_Indice'!K66&lt;&gt;"",'03_Base_Indice'!K66,IF(AND(Aux!B66&lt;&gt;"",Aux!N66&lt;&gt;"",(N(Aux!N66)-N(Aux!B66)-1)&lt;='01_Criterios'!$C$13),Aux!Z66+(Aux!AL66-Aux!Z66)*(1-Aux!B66)/(Aux!N66-Aux!B66),IF(AND(Aux!B66&lt;&gt;"",(1-N(Aux!B66))&lt;='01_Criterios'!$C$14),Aux!Z66,IF(AND(Aux!N66&lt;&gt;"",(N(Aux!N66)-1)&lt;='01_Criterios'!$C$15),Aux!AL66,"")))))</f>
        <v>52</v>
      </c>
      <c r="L66" s="6">
        <f>IF('03_Base_Indice'!$D66="","",IF('03_Base_Indice'!L66&lt;&gt;"",'03_Base_Indice'!L66,IF(AND(Aux!C66&lt;&gt;"",Aux!O66&lt;&gt;"",(N(Aux!O66)-N(Aux!C66)-1)&lt;='01_Criterios'!$C$13),Aux!AA66+(Aux!AM66-Aux!AA66)*(2-Aux!C66)/(Aux!O66-Aux!C66),IF(AND(Aux!C66&lt;&gt;"",(2-N(Aux!C66))&lt;='01_Criterios'!$C$14),Aux!AA66,IF(AND(Aux!O66&lt;&gt;"",(N(Aux!O66)-2)&lt;='01_Criterios'!$C$15),Aux!AM66,"")))))</f>
        <v>49</v>
      </c>
      <c r="M66" s="6">
        <f>IF('03_Base_Indice'!$D66="","",IF('03_Base_Indice'!M66&lt;&gt;"",'03_Base_Indice'!M66,IF(AND(Aux!D66&lt;&gt;"",Aux!P66&lt;&gt;"",(N(Aux!P66)-N(Aux!D66)-1)&lt;='01_Criterios'!$C$13),Aux!AB66+(Aux!AN66-Aux!AB66)*(3-Aux!D66)/(Aux!P66-Aux!D66),IF(AND(Aux!D66&lt;&gt;"",(3-N(Aux!D66))&lt;='01_Criterios'!$C$14),Aux!AB66,IF(AND(Aux!P66&lt;&gt;"",(N(Aux!P66)-3)&lt;='01_Criterios'!$C$15),Aux!AN66,"")))))</f>
        <v>47</v>
      </c>
      <c r="N66" s="6">
        <f>IF('03_Base_Indice'!$D66="","",IF('03_Base_Indice'!N66&lt;&gt;"",'03_Base_Indice'!N66,IF(AND(Aux!E66&lt;&gt;"",Aux!Q66&lt;&gt;"",(N(Aux!Q66)-N(Aux!E66)-1)&lt;='01_Criterios'!$C$13),Aux!AC66+(Aux!AO66-Aux!AC66)*(4-Aux!E66)/(Aux!Q66-Aux!E66),IF(AND(Aux!E66&lt;&gt;"",(4-N(Aux!E66))&lt;='01_Criterios'!$C$14),Aux!AC66,IF(AND(Aux!Q66&lt;&gt;"",(N(Aux!Q66)-4)&lt;='01_Criterios'!$C$15),Aux!AO66,"")))))</f>
        <v>56</v>
      </c>
      <c r="O66" s="6">
        <f>IF('03_Base_Indice'!$D66="","",IF('03_Base_Indice'!O66&lt;&gt;"",'03_Base_Indice'!O66,IF(AND(Aux!F66&lt;&gt;"",Aux!R66&lt;&gt;"",(N(Aux!R66)-N(Aux!F66)-1)&lt;='01_Criterios'!$C$13),Aux!AD66+(Aux!AP66-Aux!AD66)*(5-Aux!F66)/(Aux!R66-Aux!F66),IF(AND(Aux!F66&lt;&gt;"",(5-N(Aux!F66))&lt;='01_Criterios'!$C$14),Aux!AD66,IF(AND(Aux!R66&lt;&gt;"",(N(Aux!R66)-5)&lt;='01_Criterios'!$C$15),Aux!AP66,"")))))</f>
        <v>59</v>
      </c>
      <c r="P66" s="6">
        <f>IF('03_Base_Indice'!$D66="","",IF('03_Base_Indice'!P66&lt;&gt;"",'03_Base_Indice'!P66,IF(AND(Aux!G66&lt;&gt;"",Aux!S66&lt;&gt;"",(N(Aux!S66)-N(Aux!G66)-1)&lt;='01_Criterios'!$C$13),Aux!AE66+(Aux!AQ66-Aux!AE66)*(6-Aux!G66)/(Aux!S66-Aux!G66),IF(AND(Aux!G66&lt;&gt;"",(6-N(Aux!G66))&lt;='01_Criterios'!$C$14),Aux!AE66,IF(AND(Aux!S66&lt;&gt;"",(N(Aux!S66)-6)&lt;='01_Criterios'!$C$15),Aux!AQ66,"")))))</f>
        <v>54</v>
      </c>
      <c r="Q66" s="6">
        <f>IF('03_Base_Indice'!$D66="","",IF('03_Base_Indice'!Q66&lt;&gt;"",'03_Base_Indice'!Q66,IF(AND(Aux!H66&lt;&gt;"",Aux!T66&lt;&gt;"",(N(Aux!T66)-N(Aux!H66)-1)&lt;='01_Criterios'!$C$13),Aux!AF66+(Aux!AR66-Aux!AF66)*(7-Aux!H66)/(Aux!T66-Aux!H66),IF(AND(Aux!H66&lt;&gt;"",(7-N(Aux!H66))&lt;='01_Criterios'!$C$14),Aux!AF66,IF(AND(Aux!T66&lt;&gt;"",(N(Aux!T66)-7)&lt;='01_Criterios'!$C$15),Aux!AR66,"")))))</f>
        <v>48</v>
      </c>
      <c r="R66" s="6">
        <f>IF('03_Base_Indice'!$D66="","",IF('03_Base_Indice'!R66&lt;&gt;"",'03_Base_Indice'!R66,IF(AND(Aux!I66&lt;&gt;"",Aux!U66&lt;&gt;"",(N(Aux!U66)-N(Aux!I66)-1)&lt;='01_Criterios'!$C$13),Aux!AG66+(Aux!AS66-Aux!AG66)*(8-Aux!I66)/(Aux!U66-Aux!I66),IF(AND(Aux!I66&lt;&gt;"",(8-N(Aux!I66))&lt;='01_Criterios'!$C$14),Aux!AG66,IF(AND(Aux!U66&lt;&gt;"",(N(Aux!U66)-8)&lt;='01_Criterios'!$C$15),Aux!AS66,"")))))</f>
        <v>50</v>
      </c>
      <c r="S66" s="6">
        <f>IF('03_Base_Indice'!$D66="","",IF('03_Base_Indice'!S66&lt;&gt;"",'03_Base_Indice'!S66,IF(AND(Aux!J66&lt;&gt;"",Aux!V66&lt;&gt;"",(N(Aux!V66)-N(Aux!J66)-1)&lt;='01_Criterios'!$C$13),Aux!AH66+(Aux!AT66-Aux!AH66)*(9-Aux!J66)/(Aux!V66-Aux!J66),IF(AND(Aux!J66&lt;&gt;"",(9-N(Aux!J66))&lt;='01_Criterios'!$C$14),Aux!AH66,IF(AND(Aux!V66&lt;&gt;"",(N(Aux!V66)-9)&lt;='01_Criterios'!$C$15),Aux!AT66,"")))))</f>
        <v>63</v>
      </c>
      <c r="T66" s="6">
        <f>IF('03_Base_Indice'!$D66="","",IF('03_Base_Indice'!T66&lt;&gt;"",'03_Base_Indice'!T66,IF(AND(Aux!K66&lt;&gt;"",Aux!W66&lt;&gt;"",(N(Aux!W66)-N(Aux!K66)-1)&lt;='01_Criterios'!$C$13),Aux!AI66+(Aux!AU66-Aux!AI66)*(10-Aux!K66)/(Aux!W66-Aux!K66),IF(AND(Aux!K66&lt;&gt;"",(10-N(Aux!K66))&lt;='01_Criterios'!$C$14),Aux!AI66,IF(AND(Aux!W66&lt;&gt;"",(N(Aux!W66)-10)&lt;='01_Criterios'!$C$15),Aux!AU66,"")))))</f>
        <v>53</v>
      </c>
      <c r="U66" s="6">
        <f>IF('03_Base_Indice'!$D66="","",IF('03_Base_Indice'!U66&lt;&gt;"",'03_Base_Indice'!U66,IF(AND(Aux!L66&lt;&gt;"",Aux!X66&lt;&gt;"",(N(Aux!X66)-N(Aux!L66)-1)&lt;='01_Criterios'!$C$13),Aux!AJ66+(Aux!AV66-Aux!AJ66)*(11-Aux!L66)/(Aux!X66-Aux!L66),IF(AND(Aux!L66&lt;&gt;"",(11-N(Aux!L66))&lt;='01_Criterios'!$C$14),Aux!AJ66,IF(AND(Aux!X66&lt;&gt;"",(N(Aux!X66)-11)&lt;='01_Criterios'!$C$15),Aux!AV66,"")))))</f>
        <v>53</v>
      </c>
    </row>
    <row r="67" spans="1:21">
      <c r="A67" s="6" t="str">
        <f>IF('03_Base_Indice'!$A67="","",'03_Base_Indice'!$A67)</f>
        <v>7. Segurança Alimentar e Saúde</v>
      </c>
      <c r="B67" s="6">
        <f>'03_Base_Indice'!$B67</f>
        <v>3</v>
      </c>
      <c r="D67" s="6" t="str">
        <f>IF('03_Base_Indice'!$D67="","",'03_Base_Indice'!$D67)</f>
        <v>SAU002</v>
      </c>
      <c r="E67" s="6" t="str">
        <f>IF('03_Base_Indice'!$E67="","",'03_Base_Indice'!$E67)</f>
        <v>Prevalência de Desnutrição</v>
      </c>
      <c r="K67" s="6">
        <f>IF('03_Base_Indice'!$D67="","",IF('03_Base_Indice'!K67&lt;&gt;"",'03_Base_Indice'!K67,IF(AND(Aux!B67&lt;&gt;"",Aux!N67&lt;&gt;"",(N(Aux!N67)-N(Aux!B67)-1)&lt;='01_Criterios'!$C$13),Aux!Z67+(Aux!AL67-Aux!Z67)*(1-Aux!B67)/(Aux!N67-Aux!B67),IF(AND(Aux!B67&lt;&gt;"",(1-N(Aux!B67))&lt;='01_Criterios'!$C$14),Aux!Z67,IF(AND(Aux!N67&lt;&gt;"",(N(Aux!N67)-1)&lt;='01_Criterios'!$C$15),Aux!AL67,"")))))</f>
        <v>14.2</v>
      </c>
      <c r="L67" s="6">
        <f>IF('03_Base_Indice'!$D67="","",IF('03_Base_Indice'!L67&lt;&gt;"",'03_Base_Indice'!L67,IF(AND(Aux!C67&lt;&gt;"",Aux!O67&lt;&gt;"",(N(Aux!O67)-N(Aux!C67)-1)&lt;='01_Criterios'!$C$13),Aux!AA67+(Aux!AM67-Aux!AA67)*(2-Aux!C67)/(Aux!O67-Aux!C67),IF(AND(Aux!C67&lt;&gt;"",(2-N(Aux!C67))&lt;='01_Criterios'!$C$14),Aux!AA67,IF(AND(Aux!O67&lt;&gt;"",(N(Aux!O67)-2)&lt;='01_Criterios'!$C$15),Aux!AM67,"")))))</f>
        <v>15.2</v>
      </c>
      <c r="M67" s="6">
        <f>IF('03_Base_Indice'!$D67="","",IF('03_Base_Indice'!M67&lt;&gt;"",'03_Base_Indice'!M67,IF(AND(Aux!D67&lt;&gt;"",Aux!P67&lt;&gt;"",(N(Aux!P67)-N(Aux!D67)-1)&lt;='01_Criterios'!$C$13),Aux!AB67+(Aux!AN67-Aux!AB67)*(3-Aux!D67)/(Aux!P67-Aux!D67),IF(AND(Aux!D67&lt;&gt;"",(3-N(Aux!D67))&lt;='01_Criterios'!$C$14),Aux!AB67,IF(AND(Aux!P67&lt;&gt;"",(N(Aux!P67)-3)&lt;='01_Criterios'!$C$15),Aux!AN67,"")))))</f>
        <v>15.4</v>
      </c>
      <c r="N67" s="6">
        <f>IF('03_Base_Indice'!$D67="","",IF('03_Base_Indice'!N67&lt;&gt;"",'03_Base_Indice'!N67,IF(AND(Aux!E67&lt;&gt;"",Aux!Q67&lt;&gt;"",(N(Aux!Q67)-N(Aux!E67)-1)&lt;='01_Criterios'!$C$13),Aux!AC67+(Aux!AO67-Aux!AC67)*(4-Aux!E67)/(Aux!Q67-Aux!E67),IF(AND(Aux!E67&lt;&gt;"",(4-N(Aux!E67))&lt;='01_Criterios'!$C$14),Aux!AC67,IF(AND(Aux!Q67&lt;&gt;"",(N(Aux!Q67)-4)&lt;='01_Criterios'!$C$15),Aux!AO67,"")))))</f>
        <v>15.9</v>
      </c>
      <c r="O67" s="6">
        <f>IF('03_Base_Indice'!$D67="","",IF('03_Base_Indice'!O67&lt;&gt;"",'03_Base_Indice'!O67,IF(AND(Aux!F67&lt;&gt;"",Aux!R67&lt;&gt;"",(N(Aux!R67)-N(Aux!F67)-1)&lt;='01_Criterios'!$C$13),Aux!AD67+(Aux!AP67-Aux!AD67)*(5-Aux!F67)/(Aux!R67-Aux!F67),IF(AND(Aux!F67&lt;&gt;"",(5-N(Aux!F67))&lt;='01_Criterios'!$C$14),Aux!AD67,IF(AND(Aux!R67&lt;&gt;"",(N(Aux!R67)-5)&lt;='01_Criterios'!$C$15),Aux!AP67,"")))))</f>
        <v>18.2</v>
      </c>
      <c r="P67" s="6">
        <f>IF('03_Base_Indice'!$D67="","",IF('03_Base_Indice'!P67&lt;&gt;"",'03_Base_Indice'!P67,IF(AND(Aux!G67&lt;&gt;"",Aux!S67&lt;&gt;"",(N(Aux!S67)-N(Aux!G67)-1)&lt;='01_Criterios'!$C$13),Aux!AE67+(Aux!AQ67-Aux!AE67)*(6-Aux!G67)/(Aux!S67-Aux!G67),IF(AND(Aux!G67&lt;&gt;"",(6-N(Aux!G67))&lt;='01_Criterios'!$C$14),Aux!AE67,IF(AND(Aux!S67&lt;&gt;"",(N(Aux!S67)-6)&lt;='01_Criterios'!$C$15),Aux!AQ67,"")))))</f>
        <v>20.8</v>
      </c>
      <c r="Q67" s="6">
        <f>IF('03_Base_Indice'!$D67="","",IF('03_Base_Indice'!Q67&lt;&gt;"",'03_Base_Indice'!Q67,IF(AND(Aux!H67&lt;&gt;"",Aux!T67&lt;&gt;"",(N(Aux!T67)-N(Aux!H67)-1)&lt;='01_Criterios'!$C$13),Aux!AF67+(Aux!AR67-Aux!AF67)*(7-Aux!H67)/(Aux!T67-Aux!H67),IF(AND(Aux!H67&lt;&gt;"",(7-N(Aux!H67))&lt;='01_Criterios'!$C$14),Aux!AF67,IF(AND(Aux!T67&lt;&gt;"",(N(Aux!T67)-7)&lt;='01_Criterios'!$C$15),Aux!AR67,"")))))</f>
        <v>22.6</v>
      </c>
      <c r="R67" s="6">
        <f>IF('03_Base_Indice'!$D67="","",IF('03_Base_Indice'!R67&lt;&gt;"",'03_Base_Indice'!R67,IF(AND(Aux!I67&lt;&gt;"",Aux!U67&lt;&gt;"",(N(Aux!U67)-N(Aux!I67)-1)&lt;='01_Criterios'!$C$13),Aux!AG67+(Aux!AS67-Aux!AG67)*(8-Aux!I67)/(Aux!U67-Aux!I67),IF(AND(Aux!I67&lt;&gt;"",(8-N(Aux!I67))&lt;='01_Criterios'!$C$14),Aux!AG67,IF(AND(Aux!U67&lt;&gt;"",(N(Aux!U67)-8)&lt;='01_Criterios'!$C$15),Aux!AS67,"")))))</f>
        <v>23.1</v>
      </c>
      <c r="S67" s="6">
        <f>IF('03_Base_Indice'!$D67="","",IF('03_Base_Indice'!S67&lt;&gt;"",'03_Base_Indice'!S67,IF(AND(Aux!J67&lt;&gt;"",Aux!V67&lt;&gt;"",(N(Aux!V67)-N(Aux!J67)-1)&lt;='01_Criterios'!$C$13),Aux!AH67+(Aux!AT67-Aux!AH67)*(9-Aux!J67)/(Aux!V67-Aux!J67),IF(AND(Aux!J67&lt;&gt;"",(9-N(Aux!J67))&lt;='01_Criterios'!$C$14),Aux!AH67,IF(AND(Aux!V67&lt;&gt;"",(N(Aux!V67)-9)&lt;='01_Criterios'!$C$15),Aux!AT67,"")))))</f>
        <v>22.5</v>
      </c>
      <c r="T67" s="6">
        <f>IF('03_Base_Indice'!$D67="","",IF('03_Base_Indice'!T67&lt;&gt;"",'03_Base_Indice'!T67,IF(AND(Aux!K67&lt;&gt;"",Aux!W67&lt;&gt;"",(N(Aux!W67)-N(Aux!K67)-1)&lt;='01_Criterios'!$C$13),Aux!AI67+(Aux!AU67-Aux!AI67)*(10-Aux!K67)/(Aux!W67-Aux!K67),IF(AND(Aux!K67&lt;&gt;"",(10-N(Aux!K67))&lt;='01_Criterios'!$C$14),Aux!AI67,IF(AND(Aux!W67&lt;&gt;"",(N(Aux!W67)-10)&lt;='01_Criterios'!$C$15),Aux!AU67,"")))))</f>
        <v>22.5</v>
      </c>
      <c r="U67" s="6">
        <f>IF('03_Base_Indice'!$D67="","",IF('03_Base_Indice'!U67&lt;&gt;"",'03_Base_Indice'!U67,IF(AND(Aux!L67&lt;&gt;"",Aux!X67&lt;&gt;"",(N(Aux!X67)-N(Aux!L67)-1)&lt;='01_Criterios'!$C$13),Aux!AJ67+(Aux!AV67-Aux!AJ67)*(11-Aux!L67)/(Aux!X67-Aux!L67),IF(AND(Aux!L67&lt;&gt;"",(11-N(Aux!L67))&lt;='01_Criterios'!$C$14),Aux!AJ67,IF(AND(Aux!X67&lt;&gt;"",(N(Aux!X67)-11)&lt;='01_Criterios'!$C$15),Aux!AV67,"")))))</f>
        <v>22.5</v>
      </c>
    </row>
    <row r="68" spans="1:21">
      <c r="A68" s="6" t="str">
        <f>IF('03_Base_Indice'!$A68="","",'03_Base_Indice'!$A68)</f>
        <v>7. Segurança Alimentar e Saúde</v>
      </c>
      <c r="B68" s="6">
        <f>'03_Base_Indice'!$B68</f>
        <v>4</v>
      </c>
      <c r="D68" s="6" t="str">
        <f>IF('03_Base_Indice'!$D68="","",'03_Base_Indice'!$D68)</f>
        <v>SAU004</v>
      </c>
      <c r="E68" s="6" t="str">
        <f>IF('03_Base_Indice'!$E68="","",'03_Base_Indice'!$E68)</f>
        <v>Despesas Saúde (% PIB)</v>
      </c>
      <c r="K68" s="6">
        <f>IF('03_Base_Indice'!$D68="","",IF('03_Base_Indice'!K68&lt;&gt;"",'03_Base_Indice'!K68,IF(AND(Aux!B68&lt;&gt;"",Aux!N68&lt;&gt;"",(N(Aux!N68)-N(Aux!B68)-1)&lt;='01_Criterios'!$C$13),Aux!Z68+(Aux!AL68-Aux!Z68)*(1-Aux!B68)/(Aux!N68-Aux!B68),IF(AND(Aux!B68&lt;&gt;"",(1-N(Aux!B68))&lt;='01_Criterios'!$C$14),Aux!Z68,IF(AND(Aux!N68&lt;&gt;"",(N(Aux!N68)-1)&lt;='01_Criterios'!$C$15),Aux!AL68,"")))))</f>
        <v>2.2996687900000001</v>
      </c>
      <c r="L68" s="6">
        <f>IF('03_Base_Indice'!$D68="","",IF('03_Base_Indice'!L68&lt;&gt;"",'03_Base_Indice'!L68,IF(AND(Aux!C68&lt;&gt;"",Aux!O68&lt;&gt;"",(N(Aux!O68)-N(Aux!C68)-1)&lt;='01_Criterios'!$C$13),Aux!AA68+(Aux!AM68-Aux!AA68)*(2-Aux!C68)/(Aux!O68-Aux!C68),IF(AND(Aux!C68&lt;&gt;"",(2-N(Aux!C68))&lt;='01_Criterios'!$C$14),Aux!AA68,IF(AND(Aux!O68&lt;&gt;"",(N(Aux!O68)-2)&lt;='01_Criterios'!$C$15),Aux!AM68,"")))))</f>
        <v>2.3906872300000002</v>
      </c>
      <c r="M68" s="6">
        <f>IF('03_Base_Indice'!$D68="","",IF('03_Base_Indice'!M68&lt;&gt;"",'03_Base_Indice'!M68,IF(AND(Aux!D68&lt;&gt;"",Aux!P68&lt;&gt;"",(N(Aux!P68)-N(Aux!D68)-1)&lt;='01_Criterios'!$C$13),Aux!AB68+(Aux!AN68-Aux!AB68)*(3-Aux!D68)/(Aux!P68-Aux!D68),IF(AND(Aux!D68&lt;&gt;"",(3-N(Aux!D68))&lt;='01_Criterios'!$C$14),Aux!AB68,IF(AND(Aux!P68&lt;&gt;"",(N(Aux!P68)-3)&lt;='01_Criterios'!$C$15),Aux!AN68,"")))))</f>
        <v>2.4379425000000001</v>
      </c>
      <c r="N68" s="6">
        <f>IF('03_Base_Indice'!$D68="","",IF('03_Base_Indice'!N68&lt;&gt;"",'03_Base_Indice'!N68,IF(AND(Aux!E68&lt;&gt;"",Aux!Q68&lt;&gt;"",(N(Aux!Q68)-N(Aux!E68)-1)&lt;='01_Criterios'!$C$13),Aux!AC68+(Aux!AO68-Aux!AC68)*(4-Aux!E68)/(Aux!Q68-Aux!E68),IF(AND(Aux!E68&lt;&gt;"",(4-N(Aux!E68))&lt;='01_Criterios'!$C$14),Aux!AC68,IF(AND(Aux!Q68&lt;&gt;"",(N(Aux!Q68)-4)&lt;='01_Criterios'!$C$15),Aux!AO68,"")))))</f>
        <v>2.2988748600000002</v>
      </c>
      <c r="O68" s="6">
        <f>IF('03_Base_Indice'!$D68="","",IF('03_Base_Indice'!O68&lt;&gt;"",'03_Base_Indice'!O68,IF(AND(Aux!F68&lt;&gt;"",Aux!R68&lt;&gt;"",(N(Aux!R68)-N(Aux!F68)-1)&lt;='01_Criterios'!$C$13),Aux!AD68+(Aux!AP68-Aux!AD68)*(5-Aux!F68)/(Aux!R68-Aux!F68),IF(AND(Aux!F68&lt;&gt;"",(5-N(Aux!F68))&lt;='01_Criterios'!$C$14),Aux!AD68,IF(AND(Aux!R68&lt;&gt;"",(N(Aux!R68)-5)&lt;='01_Criterios'!$C$15),Aux!AP68,"")))))</f>
        <v>2.2039427800000002</v>
      </c>
      <c r="P68" s="6">
        <f>IF('03_Base_Indice'!$D68="","",IF('03_Base_Indice'!P68&lt;&gt;"",'03_Base_Indice'!P68,IF(AND(Aux!G68&lt;&gt;"",Aux!S68&lt;&gt;"",(N(Aux!S68)-N(Aux!G68)-1)&lt;='01_Criterios'!$C$13),Aux!AE68+(Aux!AQ68-Aux!AE68)*(6-Aux!G68)/(Aux!S68-Aux!G68),IF(AND(Aux!G68&lt;&gt;"",(6-N(Aux!G68))&lt;='01_Criterios'!$C$14),Aux!AE68,IF(AND(Aux!S68&lt;&gt;"",(N(Aux!S68)-6)&lt;='01_Criterios'!$C$15),Aux!AQ68,"")))))</f>
        <v>2.8168890499999999</v>
      </c>
      <c r="Q68" s="6">
        <f>IF('03_Base_Indice'!$D68="","",IF('03_Base_Indice'!Q68&lt;&gt;"",'03_Base_Indice'!Q68,IF(AND(Aux!H68&lt;&gt;"",Aux!T68&lt;&gt;"",(N(Aux!T68)-N(Aux!H68)-1)&lt;='01_Criterios'!$C$13),Aux!AF68+(Aux!AR68-Aux!AF68)*(7-Aux!H68)/(Aux!T68-Aux!H68),IF(AND(Aux!H68&lt;&gt;"",(7-N(Aux!H68))&lt;='01_Criterios'!$C$14),Aux!AF68,IF(AND(Aux!T68&lt;&gt;"",(N(Aux!T68)-7)&lt;='01_Criterios'!$C$15),Aux!AR68,"")))))</f>
        <v>2.7398710300000002</v>
      </c>
      <c r="R68" s="6">
        <f>IF('03_Base_Indice'!$D68="","",IF('03_Base_Indice'!R68&lt;&gt;"",'03_Base_Indice'!R68,IF(AND(Aux!I68&lt;&gt;"",Aux!U68&lt;&gt;"",(N(Aux!U68)-N(Aux!I68)-1)&lt;='01_Criterios'!$C$13),Aux!AG68+(Aux!AS68-Aux!AG68)*(8-Aux!I68)/(Aux!U68-Aux!I68),IF(AND(Aux!I68&lt;&gt;"",(8-N(Aux!I68))&lt;='01_Criterios'!$C$14),Aux!AG68,IF(AND(Aux!U68&lt;&gt;"",(N(Aux!U68)-8)&lt;='01_Criterios'!$C$15),Aux!AS68,"")))))</f>
        <v>2.60041046</v>
      </c>
      <c r="S68" s="6">
        <f>IF('03_Base_Indice'!$D68="","",IF('03_Base_Indice'!S68&lt;&gt;"",'03_Base_Indice'!S68,IF(AND(Aux!J68&lt;&gt;"",Aux!V68&lt;&gt;"",(N(Aux!V68)-N(Aux!J68)-1)&lt;='01_Criterios'!$C$13),Aux!AH68+(Aux!AT68-Aux!AH68)*(9-Aux!J68)/(Aux!V68-Aux!J68),IF(AND(Aux!J68&lt;&gt;"",(9-N(Aux!J68))&lt;='01_Criterios'!$C$14),Aux!AH68,IF(AND(Aux!V68&lt;&gt;"",(N(Aux!V68)-9)&lt;='01_Criterios'!$C$15),Aux!AT68,"")))))</f>
        <v>2.54692864</v>
      </c>
      <c r="T68" s="6">
        <f>IF('03_Base_Indice'!$D68="","",IF('03_Base_Indice'!T68&lt;&gt;"",'03_Base_Indice'!T68,IF(AND(Aux!K68&lt;&gt;"",Aux!W68&lt;&gt;"",(N(Aux!W68)-N(Aux!K68)-1)&lt;='01_Criterios'!$C$13),Aux!AI68+(Aux!AU68-Aux!AI68)*(10-Aux!K68)/(Aux!W68-Aux!K68),IF(AND(Aux!K68&lt;&gt;"",(10-N(Aux!K68))&lt;='01_Criterios'!$C$14),Aux!AI68,IF(AND(Aux!W68&lt;&gt;"",(N(Aux!W68)-10)&lt;='01_Criterios'!$C$15),Aux!AU68,"")))))</f>
        <v>2.54692864</v>
      </c>
      <c r="U68" s="6">
        <f>IF('03_Base_Indice'!$D68="","",IF('03_Base_Indice'!U68&lt;&gt;"",'03_Base_Indice'!U68,IF(AND(Aux!L68&lt;&gt;"",Aux!X68&lt;&gt;"",(N(Aux!X68)-N(Aux!L68)-1)&lt;='01_Criterios'!$C$13),Aux!AJ68+(Aux!AV68-Aux!AJ68)*(11-Aux!L68)/(Aux!X68-Aux!L68),IF(AND(Aux!L68&lt;&gt;"",(11-N(Aux!L68))&lt;='01_Criterios'!$C$14),Aux!AJ68,IF(AND(Aux!X68&lt;&gt;"",(N(Aux!X68)-11)&lt;='01_Criterios'!$C$15),Aux!AV68,"")))))</f>
        <v>2.54692864</v>
      </c>
    </row>
    <row r="69" spans="1:21">
      <c r="A69" s="6" t="str">
        <f>IF('03_Base_Indice'!$A69="","",'03_Base_Indice'!$A69)</f>
        <v>7. Segurança Alimentar e Saúde</v>
      </c>
      <c r="B69" s="6">
        <f>'03_Base_Indice'!$B69</f>
        <v>5</v>
      </c>
      <c r="D69" s="6" t="str">
        <f>IF('03_Base_Indice'!$D69="","",'03_Base_Indice'!$D69)</f>
        <v>SAU020</v>
      </c>
      <c r="E69" s="6" t="str">
        <f>IF('03_Base_Indice'!$E69="","",'03_Base_Indice'!$E69)</f>
        <v>Incidência de malária</v>
      </c>
      <c r="K69" s="6">
        <f>IF('03_Base_Indice'!$D69="","",IF('03_Base_Indice'!K69&lt;&gt;"",'03_Base_Indice'!K69,IF(AND(Aux!B69&lt;&gt;"",Aux!N69&lt;&gt;"",(N(Aux!N69)-N(Aux!B69)-1)&lt;='01_Criterios'!$C$13),Aux!Z69+(Aux!AL69-Aux!Z69)*(1-Aux!B69)/(Aux!N69-Aux!B69),IF(AND(Aux!B69&lt;&gt;"",(1-N(Aux!B69))&lt;='01_Criterios'!$C$14),Aux!Z69,IF(AND(Aux!N69&lt;&gt;"",(N(Aux!N69)-1)&lt;='01_Criterios'!$C$15),Aux!AL69,"")))))</f>
        <v>174.47</v>
      </c>
      <c r="L69" s="6">
        <f>IF('03_Base_Indice'!$D69="","",IF('03_Base_Indice'!L69&lt;&gt;"",'03_Base_Indice'!L69,IF(AND(Aux!C69&lt;&gt;"",Aux!O69&lt;&gt;"",(N(Aux!O69)-N(Aux!C69)-1)&lt;='01_Criterios'!$C$13),Aux!AA69+(Aux!AM69-Aux!AA69)*(2-Aux!C69)/(Aux!O69-Aux!C69),IF(AND(Aux!C69&lt;&gt;"",(2-N(Aux!C69))&lt;='01_Criterios'!$C$14),Aux!AA69,IF(AND(Aux!O69&lt;&gt;"",(N(Aux!O69)-2)&lt;='01_Criterios'!$C$15),Aux!AM69,"")))))</f>
        <v>189.78</v>
      </c>
      <c r="M69" s="6">
        <f>IF('03_Base_Indice'!$D69="","",IF('03_Base_Indice'!M69&lt;&gt;"",'03_Base_Indice'!M69,IF(AND(Aux!D69&lt;&gt;"",Aux!P69&lt;&gt;"",(N(Aux!P69)-N(Aux!D69)-1)&lt;='01_Criterios'!$C$13),Aux!AB69+(Aux!AN69-Aux!AB69)*(3-Aux!D69)/(Aux!P69-Aux!D69),IF(AND(Aux!D69&lt;&gt;"",(3-N(Aux!D69))&lt;='01_Criterios'!$C$14),Aux!AB69,IF(AND(Aux!P69&lt;&gt;"",(N(Aux!P69)-3)&lt;='01_Criterios'!$C$15),Aux!AN69,"")))))</f>
        <v>215.31</v>
      </c>
      <c r="N69" s="6">
        <f>IF('03_Base_Indice'!$D69="","",IF('03_Base_Indice'!N69&lt;&gt;"",'03_Base_Indice'!N69,IF(AND(Aux!E69&lt;&gt;"",Aux!Q69&lt;&gt;"",(N(Aux!Q69)-N(Aux!E69)-1)&lt;='01_Criterios'!$C$13),Aux!AC69+(Aux!AO69-Aux!AC69)*(4-Aux!E69)/(Aux!Q69-Aux!E69),IF(AND(Aux!E69&lt;&gt;"",(4-N(Aux!E69))&lt;='01_Criterios'!$C$14),Aux!AC69,IF(AND(Aux!Q69&lt;&gt;"",(N(Aux!Q69)-4)&lt;='01_Criterios'!$C$15),Aux!AO69,"")))))</f>
        <v>232.44</v>
      </c>
      <c r="O69" s="6">
        <f>IF('03_Base_Indice'!$D69="","",IF('03_Base_Indice'!O69&lt;&gt;"",'03_Base_Indice'!O69,IF(AND(Aux!F69&lt;&gt;"",Aux!R69&lt;&gt;"",(N(Aux!R69)-N(Aux!F69)-1)&lt;='01_Criterios'!$C$13),Aux!AD69+(Aux!AP69-Aux!AD69)*(5-Aux!F69)/(Aux!R69-Aux!F69),IF(AND(Aux!F69&lt;&gt;"",(5-N(Aux!F69))&lt;='01_Criterios'!$C$14),Aux!AD69,IF(AND(Aux!R69&lt;&gt;"",(N(Aux!R69)-5)&lt;='01_Criterios'!$C$15),Aux!AP69,"")))))</f>
        <v>243.1</v>
      </c>
      <c r="P69" s="6">
        <f>IF('03_Base_Indice'!$D69="","",IF('03_Base_Indice'!P69&lt;&gt;"",'03_Base_Indice'!P69,IF(AND(Aux!G69&lt;&gt;"",Aux!S69&lt;&gt;"",(N(Aux!S69)-N(Aux!G69)-1)&lt;='01_Criterios'!$C$13),Aux!AE69+(Aux!AQ69-Aux!AE69)*(6-Aux!G69)/(Aux!S69-Aux!G69),IF(AND(Aux!G69&lt;&gt;"",(6-N(Aux!G69))&lt;='01_Criterios'!$C$14),Aux!AE69,IF(AND(Aux!S69&lt;&gt;"",(N(Aux!S69)-6)&lt;='01_Criterios'!$C$15),Aux!AQ69,"")))))</f>
        <v>244.53</v>
      </c>
      <c r="Q69" s="6">
        <f>IF('03_Base_Indice'!$D69="","",IF('03_Base_Indice'!Q69&lt;&gt;"",'03_Base_Indice'!Q69,IF(AND(Aux!H69&lt;&gt;"",Aux!T69&lt;&gt;"",(N(Aux!T69)-N(Aux!H69)-1)&lt;='01_Criterios'!$C$13),Aux!AF69+(Aux!AR69-Aux!AF69)*(7-Aux!H69)/(Aux!T69-Aux!H69),IF(AND(Aux!H69&lt;&gt;"",(7-N(Aux!H69))&lt;='01_Criterios'!$C$14),Aux!AF69,IF(AND(Aux!T69&lt;&gt;"",(N(Aux!T69)-7)&lt;='01_Criterios'!$C$15),Aux!AR69,"")))))</f>
        <v>258.61</v>
      </c>
      <c r="R69" s="6">
        <f>IF('03_Base_Indice'!$D69="","",IF('03_Base_Indice'!R69&lt;&gt;"",'03_Base_Indice'!R69,IF(AND(Aux!I69&lt;&gt;"",Aux!U69&lt;&gt;"",(N(Aux!U69)-N(Aux!I69)-1)&lt;='01_Criterios'!$C$13),Aux!AG69+(Aux!AS69-Aux!AG69)*(8-Aux!I69)/(Aux!U69-Aux!I69),IF(AND(Aux!I69&lt;&gt;"",(8-N(Aux!I69))&lt;='01_Criterios'!$C$14),Aux!AG69,IF(AND(Aux!U69&lt;&gt;"",(N(Aux!U69)-8)&lt;='01_Criterios'!$C$15),Aux!AS69,"")))))</f>
        <v>260.08999999999997</v>
      </c>
      <c r="S69" s="6">
        <f>IF('03_Base_Indice'!$D69="","",IF('03_Base_Indice'!S69&lt;&gt;"",'03_Base_Indice'!S69,IF(AND(Aux!J69&lt;&gt;"",Aux!V69&lt;&gt;"",(N(Aux!V69)-N(Aux!J69)-1)&lt;='01_Criterios'!$C$13),Aux!AH69+(Aux!AT69-Aux!AH69)*(9-Aux!J69)/(Aux!V69-Aux!J69),IF(AND(Aux!J69&lt;&gt;"",(9-N(Aux!J69))&lt;='01_Criterios'!$C$14),Aux!AH69,IF(AND(Aux!V69&lt;&gt;"",(N(Aux!V69)-9)&lt;='01_Criterios'!$C$15),Aux!AT69,"")))))</f>
        <v>255.47</v>
      </c>
      <c r="T69" s="6">
        <f>IF('03_Base_Indice'!$D69="","",IF('03_Base_Indice'!T69&lt;&gt;"",'03_Base_Indice'!T69,IF(AND(Aux!K69&lt;&gt;"",Aux!W69&lt;&gt;"",(N(Aux!W69)-N(Aux!K69)-1)&lt;='01_Criterios'!$C$13),Aux!AI69+(Aux!AU69-Aux!AI69)*(10-Aux!K69)/(Aux!W69-Aux!K69),IF(AND(Aux!K69&lt;&gt;"",(10-N(Aux!K69))&lt;='01_Criterios'!$C$14),Aux!AI69,IF(AND(Aux!W69&lt;&gt;"",(N(Aux!W69)-10)&lt;='01_Criterios'!$C$15),Aux!AU69,"")))))</f>
        <v>258.89999999999998</v>
      </c>
      <c r="U69" s="6">
        <f>IF('03_Base_Indice'!$D69="","",IF('03_Base_Indice'!U69&lt;&gt;"",'03_Base_Indice'!U69,IF(AND(Aux!L69&lt;&gt;"",Aux!X69&lt;&gt;"",(N(Aux!X69)-N(Aux!L69)-1)&lt;='01_Criterios'!$C$13),Aux!AJ69+(Aux!AV69-Aux!AJ69)*(11-Aux!L69)/(Aux!X69-Aux!L69),IF(AND(Aux!L69&lt;&gt;"",(11-N(Aux!L69))&lt;='01_Criterios'!$C$14),Aux!AJ69,IF(AND(Aux!X69&lt;&gt;"",(N(Aux!X69)-11)&lt;='01_Criterios'!$C$15),Aux!AV69,"")))))</f>
        <v>258.89999999999998</v>
      </c>
    </row>
    <row r="70" spans="1:21">
      <c r="A70" s="6" t="str">
        <f>IF('03_Base_Indice'!$A70="","",'03_Base_Indice'!$A70)</f>
        <v>7. Segurança Alimentar e Saúde</v>
      </c>
      <c r="B70" s="6">
        <f>'03_Base_Indice'!$B70</f>
        <v>6</v>
      </c>
      <c r="D70" s="6" t="str">
        <f>IF('03_Base_Indice'!$D70="","",'03_Base_Indice'!$D70)</f>
        <v>SAU04</v>
      </c>
      <c r="E70" s="6" t="str">
        <f>IF('03_Base_Indice'!$E70="","",'03_Base_Indice'!$E70)</f>
        <v>Mortalidade de menores de 5 anos</v>
      </c>
      <c r="K70" s="6">
        <f>IF('03_Base_Indice'!$D70="","",IF('03_Base_Indice'!K70&lt;&gt;"",'03_Base_Indice'!K70,IF(AND(Aux!B70&lt;&gt;"",Aux!N70&lt;&gt;"",(N(Aux!N70)-N(Aux!B70)-1)&lt;='01_Criterios'!$C$13),Aux!Z70+(Aux!AL70-Aux!Z70)*(1-Aux!B70)/(Aux!N70-Aux!B70),IF(AND(Aux!B70&lt;&gt;"",(1-N(Aux!B70))&lt;='01_Criterios'!$C$14),Aux!Z70,IF(AND(Aux!N70&lt;&gt;"",(N(Aux!N70)-1)&lt;='01_Criterios'!$C$15),Aux!AL70,"")))))</f>
        <v>61.8</v>
      </c>
      <c r="L70" s="6">
        <f>IF('03_Base_Indice'!$D70="","",IF('03_Base_Indice'!L70&lt;&gt;"",'03_Base_Indice'!L70,IF(AND(Aux!C70&lt;&gt;"",Aux!O70&lt;&gt;"",(N(Aux!O70)-N(Aux!C70)-1)&lt;='01_Criterios'!$C$13),Aux!AA70+(Aux!AM70-Aux!AA70)*(2-Aux!C70)/(Aux!O70-Aux!C70),IF(AND(Aux!C70&lt;&gt;"",(2-N(Aux!C70))&lt;='01_Criterios'!$C$14),Aux!AA70,IF(AND(Aux!O70&lt;&gt;"",(N(Aux!O70)-2)&lt;='01_Criterios'!$C$15),Aux!AM70,"")))))</f>
        <v>59.6</v>
      </c>
      <c r="M70" s="6">
        <f>IF('03_Base_Indice'!$D70="","",IF('03_Base_Indice'!M70&lt;&gt;"",'03_Base_Indice'!M70,IF(AND(Aux!D70&lt;&gt;"",Aux!P70&lt;&gt;"",(N(Aux!P70)-N(Aux!D70)-1)&lt;='01_Criterios'!$C$13),Aux!AB70+(Aux!AN70-Aux!AB70)*(3-Aux!D70)/(Aux!P70-Aux!D70),IF(AND(Aux!D70&lt;&gt;"",(3-N(Aux!D70))&lt;='01_Criterios'!$C$14),Aux!AB70,IF(AND(Aux!P70&lt;&gt;"",(N(Aux!P70)-3)&lt;='01_Criterios'!$C$15),Aux!AN70,"")))))</f>
        <v>57.9</v>
      </c>
      <c r="N70" s="6">
        <f>IF('03_Base_Indice'!$D70="","",IF('03_Base_Indice'!N70&lt;&gt;"",'03_Base_Indice'!N70,IF(AND(Aux!E70&lt;&gt;"",Aux!Q70&lt;&gt;"",(N(Aux!Q70)-N(Aux!E70)-1)&lt;='01_Criterios'!$C$13),Aux!AC70+(Aux!AO70-Aux!AC70)*(4-Aux!E70)/(Aux!Q70-Aux!E70),IF(AND(Aux!E70&lt;&gt;"",(4-N(Aux!E70))&lt;='01_Criterios'!$C$14),Aux!AC70,IF(AND(Aux!Q70&lt;&gt;"",(N(Aux!Q70)-4)&lt;='01_Criterios'!$C$15),Aux!AO70,"")))))</f>
        <v>56.5</v>
      </c>
      <c r="O70" s="6">
        <f>IF('03_Base_Indice'!$D70="","",IF('03_Base_Indice'!O70&lt;&gt;"",'03_Base_Indice'!O70,IF(AND(Aux!F70&lt;&gt;"",Aux!R70&lt;&gt;"",(N(Aux!R70)-N(Aux!F70)-1)&lt;='01_Criterios'!$C$13),Aux!AD70+(Aux!AP70-Aux!AD70)*(5-Aux!F70)/(Aux!R70-Aux!F70),IF(AND(Aux!F70&lt;&gt;"",(5-N(Aux!F70))&lt;='01_Criterios'!$C$14),Aux!AD70,IF(AND(Aux!R70&lt;&gt;"",(N(Aux!R70)-5)&lt;='01_Criterios'!$C$15),Aux!AP70,"")))))</f>
        <v>55.3</v>
      </c>
      <c r="P70" s="6">
        <f>IF('03_Base_Indice'!$D70="","",IF('03_Base_Indice'!P70&lt;&gt;"",'03_Base_Indice'!P70,IF(AND(Aux!G70&lt;&gt;"",Aux!S70&lt;&gt;"",(N(Aux!S70)-N(Aux!G70)-1)&lt;='01_Criterios'!$C$13),Aux!AE70+(Aux!AQ70-Aux!AE70)*(6-Aux!G70)/(Aux!S70-Aux!G70),IF(AND(Aux!G70&lt;&gt;"",(6-N(Aux!G70))&lt;='01_Criterios'!$C$14),Aux!AE70,IF(AND(Aux!S70&lt;&gt;"",(N(Aux!S70)-6)&lt;='01_Criterios'!$C$15),Aux!AQ70,"")))))</f>
        <v>54.2</v>
      </c>
      <c r="Q70" s="6">
        <f>IF('03_Base_Indice'!$D70="","",IF('03_Base_Indice'!Q70&lt;&gt;"",'03_Base_Indice'!Q70,IF(AND(Aux!H70&lt;&gt;"",Aux!T70&lt;&gt;"",(N(Aux!T70)-N(Aux!H70)-1)&lt;='01_Criterios'!$C$13),Aux!AF70+(Aux!AR70-Aux!AF70)*(7-Aux!H70)/(Aux!T70-Aux!H70),IF(AND(Aux!H70&lt;&gt;"",(7-N(Aux!H70))&lt;='01_Criterios'!$C$14),Aux!AF70,IF(AND(Aux!T70&lt;&gt;"",(N(Aux!T70)-7)&lt;='01_Criterios'!$C$15),Aux!AR70,"")))))</f>
        <v>53.2</v>
      </c>
      <c r="R70" s="6">
        <f>IF('03_Base_Indice'!$D70="","",IF('03_Base_Indice'!R70&lt;&gt;"",'03_Base_Indice'!R70,IF(AND(Aux!I70&lt;&gt;"",Aux!U70&lt;&gt;"",(N(Aux!U70)-N(Aux!I70)-1)&lt;='01_Criterios'!$C$13),Aux!AG70+(Aux!AS70-Aux!AG70)*(8-Aux!I70)/(Aux!U70-Aux!I70),IF(AND(Aux!I70&lt;&gt;"",(8-N(Aux!I70))&lt;='01_Criterios'!$C$14),Aux!AG70,IF(AND(Aux!U70&lt;&gt;"",(N(Aux!U70)-8)&lt;='01_Criterios'!$C$15),Aux!AS70,"")))))</f>
        <v>51.9</v>
      </c>
      <c r="S70" s="6">
        <f>IF('03_Base_Indice'!$D70="","",IF('03_Base_Indice'!S70&lt;&gt;"",'03_Base_Indice'!S70,IF(AND(Aux!J70&lt;&gt;"",Aux!V70&lt;&gt;"",(N(Aux!V70)-N(Aux!J70)-1)&lt;='01_Criterios'!$C$13),Aux!AH70+(Aux!AT70-Aux!AH70)*(9-Aux!J70)/(Aux!V70-Aux!J70),IF(AND(Aux!J70&lt;&gt;"",(9-N(Aux!J70))&lt;='01_Criterios'!$C$14),Aux!AH70,IF(AND(Aux!V70&lt;&gt;"",(N(Aux!V70)-9)&lt;='01_Criterios'!$C$15),Aux!AT70,"")))))</f>
        <v>50.5</v>
      </c>
      <c r="T70" s="6">
        <f>IF('03_Base_Indice'!$D70="","",IF('03_Base_Indice'!T70&lt;&gt;"",'03_Base_Indice'!T70,IF(AND(Aux!K70&lt;&gt;"",Aux!W70&lt;&gt;"",(N(Aux!W70)-N(Aux!K70)-1)&lt;='01_Criterios'!$C$13),Aux!AI70+(Aux!AU70-Aux!AI70)*(10-Aux!K70)/(Aux!W70-Aux!K70),IF(AND(Aux!K70&lt;&gt;"",(10-N(Aux!K70))&lt;='01_Criterios'!$C$14),Aux!AI70,IF(AND(Aux!W70&lt;&gt;"",(N(Aux!W70)-10)&lt;='01_Criterios'!$C$15),Aux!AU70,"")))))</f>
        <v>49</v>
      </c>
      <c r="U70" s="6">
        <f>IF('03_Base_Indice'!$D70="","",IF('03_Base_Indice'!U70&lt;&gt;"",'03_Base_Indice'!U70,IF(AND(Aux!L70&lt;&gt;"",Aux!X70&lt;&gt;"",(N(Aux!X70)-N(Aux!L70)-1)&lt;='01_Criterios'!$C$13),Aux!AJ70+(Aux!AV70-Aux!AJ70)*(11-Aux!L70)/(Aux!X70-Aux!L70),IF(AND(Aux!L70&lt;&gt;"",(11-N(Aux!L70))&lt;='01_Criterios'!$C$14),Aux!AJ70,IF(AND(Aux!X70&lt;&gt;"",(N(Aux!X70)-11)&lt;='01_Criterios'!$C$15),Aux!AV70,"")))))</f>
        <v>49</v>
      </c>
    </row>
    <row r="71" spans="1:21">
      <c r="A71" s="6" t="str">
        <f>IF('03_Base_Indice'!$A71="","",'03_Base_Indice'!$A71)</f>
        <v>7. Segurança Alimentar e Saúde</v>
      </c>
      <c r="B71" s="6">
        <f>'03_Base_Indice'!$B71</f>
        <v>7</v>
      </c>
      <c r="D71" s="6" t="str">
        <f>IF('03_Base_Indice'!$D71="","",'03_Base_Indice'!$D71)</f>
        <v>SAU017</v>
      </c>
      <c r="E71" s="6" t="str">
        <f>IF('03_Base_Indice'!$E71="","",'03_Base_Indice'!$E71)</f>
        <v>Despesa direta das famílias em saúde</v>
      </c>
      <c r="K71" s="6">
        <f>IF('03_Base_Indice'!$D71="","",IF('03_Base_Indice'!K71&lt;&gt;"",'03_Base_Indice'!K71,IF(AND(Aux!B71&lt;&gt;"",Aux!N71&lt;&gt;"",(N(Aux!N71)-N(Aux!B71)-1)&lt;='01_Criterios'!$C$13),Aux!Z71+(Aux!AL71-Aux!Z71)*(1-Aux!B71)/(Aux!N71-Aux!B71),IF(AND(Aux!B71&lt;&gt;"",(1-N(Aux!B71))&lt;='01_Criterios'!$C$14),Aux!Z71,IF(AND(Aux!N71&lt;&gt;"",(N(Aux!N71)-1)&lt;='01_Criterios'!$C$15),Aux!AL71,"")))))</f>
        <v>33.523166660000001</v>
      </c>
      <c r="L71" s="6">
        <f>IF('03_Base_Indice'!$D71="","",IF('03_Base_Indice'!L71&lt;&gt;"",'03_Base_Indice'!L71,IF(AND(Aux!C71&lt;&gt;"",Aux!O71&lt;&gt;"",(N(Aux!O71)-N(Aux!C71)-1)&lt;='01_Criterios'!$C$13),Aux!AA71+(Aux!AM71-Aux!AA71)*(2-Aux!C71)/(Aux!O71-Aux!C71),IF(AND(Aux!C71&lt;&gt;"",(2-N(Aux!C71))&lt;='01_Criterios'!$C$14),Aux!AA71,IF(AND(Aux!O71&lt;&gt;"",(N(Aux!O71)-2)&lt;='01_Criterios'!$C$15),Aux!AM71,"")))))</f>
        <v>35.208930969999997</v>
      </c>
      <c r="M71" s="6">
        <f>IF('03_Base_Indice'!$D71="","",IF('03_Base_Indice'!M71&lt;&gt;"",'03_Base_Indice'!M71,IF(AND(Aux!D71&lt;&gt;"",Aux!P71&lt;&gt;"",(N(Aux!P71)-N(Aux!D71)-1)&lt;='01_Criterios'!$C$13),Aux!AB71+(Aux!AN71-Aux!AB71)*(3-Aux!D71)/(Aux!P71-Aux!D71),IF(AND(Aux!D71&lt;&gt;"",(3-N(Aux!D71))&lt;='01_Criterios'!$C$14),Aux!AB71,IF(AND(Aux!P71&lt;&gt;"",(N(Aux!P71)-3)&lt;='01_Criterios'!$C$15),Aux!AN71,"")))))</f>
        <v>34.121013640000001</v>
      </c>
      <c r="N71" s="6">
        <f>IF('03_Base_Indice'!$D71="","",IF('03_Base_Indice'!N71&lt;&gt;"",'03_Base_Indice'!N71,IF(AND(Aux!E71&lt;&gt;"",Aux!Q71&lt;&gt;"",(N(Aux!Q71)-N(Aux!E71)-1)&lt;='01_Criterios'!$C$13),Aux!AC71+(Aux!AO71-Aux!AC71)*(4-Aux!E71)/(Aux!Q71-Aux!E71),IF(AND(Aux!E71&lt;&gt;"",(4-N(Aux!E71))&lt;='01_Criterios'!$C$14),Aux!AC71,IF(AND(Aux!Q71&lt;&gt;"",(N(Aux!Q71)-4)&lt;='01_Criterios'!$C$15),Aux!AO71,"")))))</f>
        <v>36.247333529999999</v>
      </c>
      <c r="O71" s="6">
        <f>IF('03_Base_Indice'!$D71="","",IF('03_Base_Indice'!O71&lt;&gt;"",'03_Base_Indice'!O71,IF(AND(Aux!F71&lt;&gt;"",Aux!R71&lt;&gt;"",(N(Aux!R71)-N(Aux!F71)-1)&lt;='01_Criterios'!$C$13),Aux!AD71+(Aux!AP71-Aux!AD71)*(5-Aux!F71)/(Aux!R71-Aux!F71),IF(AND(Aux!F71&lt;&gt;"",(5-N(Aux!F71))&lt;='01_Criterios'!$C$14),Aux!AD71,IF(AND(Aux!R71&lt;&gt;"",(N(Aux!R71)-5)&lt;='01_Criterios'!$C$15),Aux!AP71,"")))))</f>
        <v>33.143085480000003</v>
      </c>
      <c r="P71" s="6">
        <f>IF('03_Base_Indice'!$D71="","",IF('03_Base_Indice'!P71&lt;&gt;"",'03_Base_Indice'!P71,IF(AND(Aux!G71&lt;&gt;"",Aux!S71&lt;&gt;"",(N(Aux!S71)-N(Aux!G71)-1)&lt;='01_Criterios'!$C$13),Aux!AE71+(Aux!AQ71-Aux!AE71)*(6-Aux!G71)/(Aux!S71-Aux!G71),IF(AND(Aux!G71&lt;&gt;"",(6-N(Aux!G71))&lt;='01_Criterios'!$C$14),Aux!AE71,IF(AND(Aux!S71&lt;&gt;"",(N(Aux!S71)-6)&lt;='01_Criterios'!$C$15),Aux!AQ71,"")))))</f>
        <v>28.62218094</v>
      </c>
      <c r="Q71" s="6">
        <f>IF('03_Base_Indice'!$D71="","",IF('03_Base_Indice'!Q71&lt;&gt;"",'03_Base_Indice'!Q71,IF(AND(Aux!H71&lt;&gt;"",Aux!T71&lt;&gt;"",(N(Aux!T71)-N(Aux!H71)-1)&lt;='01_Criterios'!$C$13),Aux!AF71+(Aux!AR71-Aux!AF71)*(7-Aux!H71)/(Aux!T71-Aux!H71),IF(AND(Aux!H71&lt;&gt;"",(7-N(Aux!H71))&lt;='01_Criterios'!$C$14),Aux!AF71,IF(AND(Aux!T71&lt;&gt;"",(N(Aux!T71)-7)&lt;='01_Criterios'!$C$15),Aux!AR71,"")))))</f>
        <v>26.11725616</v>
      </c>
      <c r="R71" s="6">
        <f>IF('03_Base_Indice'!$D71="","",IF('03_Base_Indice'!R71&lt;&gt;"",'03_Base_Indice'!R71,IF(AND(Aux!I71&lt;&gt;"",Aux!U71&lt;&gt;"",(N(Aux!U71)-N(Aux!I71)-1)&lt;='01_Criterios'!$C$13),Aux!AG71+(Aux!AS71-Aux!AG71)*(8-Aux!I71)/(Aux!U71-Aux!I71),IF(AND(Aux!I71&lt;&gt;"",(8-N(Aux!I71))&lt;='01_Criterios'!$C$14),Aux!AG71,IF(AND(Aux!U71&lt;&gt;"",(N(Aux!U71)-8)&lt;='01_Criterios'!$C$15),Aux!AS71,"")))))</f>
        <v>30.038616179999998</v>
      </c>
      <c r="S71" s="6">
        <f>IF('03_Base_Indice'!$D71="","",IF('03_Base_Indice'!S71&lt;&gt;"",'03_Base_Indice'!S71,IF(AND(Aux!J71&lt;&gt;"",Aux!V71&lt;&gt;"",(N(Aux!V71)-N(Aux!J71)-1)&lt;='01_Criterios'!$C$13),Aux!AH71+(Aux!AT71-Aux!AH71)*(9-Aux!J71)/(Aux!V71-Aux!J71),IF(AND(Aux!J71&lt;&gt;"",(9-N(Aux!J71))&lt;='01_Criterios'!$C$14),Aux!AH71,IF(AND(Aux!V71&lt;&gt;"",(N(Aux!V71)-9)&lt;='01_Criterios'!$C$15),Aux!AT71,"")))))</f>
        <v>32.546676640000001</v>
      </c>
      <c r="T71" s="6">
        <f>IF('03_Base_Indice'!$D71="","",IF('03_Base_Indice'!T71&lt;&gt;"",'03_Base_Indice'!T71,IF(AND(Aux!K71&lt;&gt;"",Aux!W71&lt;&gt;"",(N(Aux!W71)-N(Aux!K71)-1)&lt;='01_Criterios'!$C$13),Aux!AI71+(Aux!AU71-Aux!AI71)*(10-Aux!K71)/(Aux!W71-Aux!K71),IF(AND(Aux!K71&lt;&gt;"",(10-N(Aux!K71))&lt;='01_Criterios'!$C$14),Aux!AI71,IF(AND(Aux!W71&lt;&gt;"",(N(Aux!W71)-10)&lt;='01_Criterios'!$C$15),Aux!AU71,"")))))</f>
        <v>32.546676640000001</v>
      </c>
      <c r="U71" s="6">
        <f>IF('03_Base_Indice'!$D71="","",IF('03_Base_Indice'!U71&lt;&gt;"",'03_Base_Indice'!U71,IF(AND(Aux!L71&lt;&gt;"",Aux!X71&lt;&gt;"",(N(Aux!X71)-N(Aux!L71)-1)&lt;='01_Criterios'!$C$13),Aux!AJ71+(Aux!AV71-Aux!AJ71)*(11-Aux!L71)/(Aux!X71-Aux!L71),IF(AND(Aux!L71&lt;&gt;"",(11-N(Aux!L71))&lt;='01_Criterios'!$C$14),Aux!AJ71,IF(AND(Aux!X71&lt;&gt;"",(N(Aux!X71)-11)&lt;='01_Criterios'!$C$15),Aux!AV71,"")))))</f>
        <v>32.546676640000001</v>
      </c>
    </row>
    <row r="72" spans="1:21">
      <c r="A72" s="6" t="str">
        <f>IF('03_Base_Indice'!$A72="","",'03_Base_Indice'!$A72)</f>
        <v>7. Segurança Alimentar e Saúde</v>
      </c>
      <c r="B72" s="6">
        <f>'03_Base_Indice'!$B72</f>
        <v>8</v>
      </c>
      <c r="D72" s="6" t="str">
        <f>IF('03_Base_Indice'!$D72="","",'03_Base_Indice'!$D72)</f>
        <v/>
      </c>
      <c r="E72" s="6" t="str">
        <f>IF('03_Base_Indice'!$E72="","",'03_Base_Indice'!$E72)</f>
        <v/>
      </c>
      <c r="K72" s="6" t="str">
        <f>IF('03_Base_Indice'!$D72="","",IF('03_Base_Indice'!K72&lt;&gt;"",'03_Base_Indice'!K72,IF(AND(Aux!B72&lt;&gt;"",Aux!N72&lt;&gt;"",(N(Aux!N72)-N(Aux!B72)-1)&lt;='01_Criterios'!$C$13),Aux!Z72+(Aux!AL72-Aux!Z72)*(1-Aux!B72)/(Aux!N72-Aux!B72),IF(AND(Aux!B72&lt;&gt;"",(1-N(Aux!B72))&lt;='01_Criterios'!$C$14),Aux!Z72,IF(AND(Aux!N72&lt;&gt;"",(N(Aux!N72)-1)&lt;='01_Criterios'!$C$15),Aux!AL72,"")))))</f>
        <v/>
      </c>
      <c r="L72" s="6" t="str">
        <f>IF('03_Base_Indice'!$D72="","",IF('03_Base_Indice'!L72&lt;&gt;"",'03_Base_Indice'!L72,IF(AND(Aux!C72&lt;&gt;"",Aux!O72&lt;&gt;"",(N(Aux!O72)-N(Aux!C72)-1)&lt;='01_Criterios'!$C$13),Aux!AA72+(Aux!AM72-Aux!AA72)*(2-Aux!C72)/(Aux!O72-Aux!C72),IF(AND(Aux!C72&lt;&gt;"",(2-N(Aux!C72))&lt;='01_Criterios'!$C$14),Aux!AA72,IF(AND(Aux!O72&lt;&gt;"",(N(Aux!O72)-2)&lt;='01_Criterios'!$C$15),Aux!AM72,"")))))</f>
        <v/>
      </c>
      <c r="M72" s="6" t="str">
        <f>IF('03_Base_Indice'!$D72="","",IF('03_Base_Indice'!M72&lt;&gt;"",'03_Base_Indice'!M72,IF(AND(Aux!D72&lt;&gt;"",Aux!P72&lt;&gt;"",(N(Aux!P72)-N(Aux!D72)-1)&lt;='01_Criterios'!$C$13),Aux!AB72+(Aux!AN72-Aux!AB72)*(3-Aux!D72)/(Aux!P72-Aux!D72),IF(AND(Aux!D72&lt;&gt;"",(3-N(Aux!D72))&lt;='01_Criterios'!$C$14),Aux!AB72,IF(AND(Aux!P72&lt;&gt;"",(N(Aux!P72)-3)&lt;='01_Criterios'!$C$15),Aux!AN72,"")))))</f>
        <v/>
      </c>
      <c r="N72" s="6" t="str">
        <f>IF('03_Base_Indice'!$D72="","",IF('03_Base_Indice'!N72&lt;&gt;"",'03_Base_Indice'!N72,IF(AND(Aux!E72&lt;&gt;"",Aux!Q72&lt;&gt;"",(N(Aux!Q72)-N(Aux!E72)-1)&lt;='01_Criterios'!$C$13),Aux!AC72+(Aux!AO72-Aux!AC72)*(4-Aux!E72)/(Aux!Q72-Aux!E72),IF(AND(Aux!E72&lt;&gt;"",(4-N(Aux!E72))&lt;='01_Criterios'!$C$14),Aux!AC72,IF(AND(Aux!Q72&lt;&gt;"",(N(Aux!Q72)-4)&lt;='01_Criterios'!$C$15),Aux!AO72,"")))))</f>
        <v/>
      </c>
      <c r="O72" s="6" t="str">
        <f>IF('03_Base_Indice'!$D72="","",IF('03_Base_Indice'!O72&lt;&gt;"",'03_Base_Indice'!O72,IF(AND(Aux!F72&lt;&gt;"",Aux!R72&lt;&gt;"",(N(Aux!R72)-N(Aux!F72)-1)&lt;='01_Criterios'!$C$13),Aux!AD72+(Aux!AP72-Aux!AD72)*(5-Aux!F72)/(Aux!R72-Aux!F72),IF(AND(Aux!F72&lt;&gt;"",(5-N(Aux!F72))&lt;='01_Criterios'!$C$14),Aux!AD72,IF(AND(Aux!R72&lt;&gt;"",(N(Aux!R72)-5)&lt;='01_Criterios'!$C$15),Aux!AP72,"")))))</f>
        <v/>
      </c>
      <c r="P72" s="6" t="str">
        <f>IF('03_Base_Indice'!$D72="","",IF('03_Base_Indice'!P72&lt;&gt;"",'03_Base_Indice'!P72,IF(AND(Aux!G72&lt;&gt;"",Aux!S72&lt;&gt;"",(N(Aux!S72)-N(Aux!G72)-1)&lt;='01_Criterios'!$C$13),Aux!AE72+(Aux!AQ72-Aux!AE72)*(6-Aux!G72)/(Aux!S72-Aux!G72),IF(AND(Aux!G72&lt;&gt;"",(6-N(Aux!G72))&lt;='01_Criterios'!$C$14),Aux!AE72,IF(AND(Aux!S72&lt;&gt;"",(N(Aux!S72)-6)&lt;='01_Criterios'!$C$15),Aux!AQ72,"")))))</f>
        <v/>
      </c>
      <c r="Q72" s="6" t="str">
        <f>IF('03_Base_Indice'!$D72="","",IF('03_Base_Indice'!Q72&lt;&gt;"",'03_Base_Indice'!Q72,IF(AND(Aux!H72&lt;&gt;"",Aux!T72&lt;&gt;"",(N(Aux!T72)-N(Aux!H72)-1)&lt;='01_Criterios'!$C$13),Aux!AF72+(Aux!AR72-Aux!AF72)*(7-Aux!H72)/(Aux!T72-Aux!H72),IF(AND(Aux!H72&lt;&gt;"",(7-N(Aux!H72))&lt;='01_Criterios'!$C$14),Aux!AF72,IF(AND(Aux!T72&lt;&gt;"",(N(Aux!T72)-7)&lt;='01_Criterios'!$C$15),Aux!AR72,"")))))</f>
        <v/>
      </c>
      <c r="R72" s="6" t="str">
        <f>IF('03_Base_Indice'!$D72="","",IF('03_Base_Indice'!R72&lt;&gt;"",'03_Base_Indice'!R72,IF(AND(Aux!I72&lt;&gt;"",Aux!U72&lt;&gt;"",(N(Aux!U72)-N(Aux!I72)-1)&lt;='01_Criterios'!$C$13),Aux!AG72+(Aux!AS72-Aux!AG72)*(8-Aux!I72)/(Aux!U72-Aux!I72),IF(AND(Aux!I72&lt;&gt;"",(8-N(Aux!I72))&lt;='01_Criterios'!$C$14),Aux!AG72,IF(AND(Aux!U72&lt;&gt;"",(N(Aux!U72)-8)&lt;='01_Criterios'!$C$15),Aux!AS72,"")))))</f>
        <v/>
      </c>
      <c r="S72" s="6" t="str">
        <f>IF('03_Base_Indice'!$D72="","",IF('03_Base_Indice'!S72&lt;&gt;"",'03_Base_Indice'!S72,IF(AND(Aux!J72&lt;&gt;"",Aux!V72&lt;&gt;"",(N(Aux!V72)-N(Aux!J72)-1)&lt;='01_Criterios'!$C$13),Aux!AH72+(Aux!AT72-Aux!AH72)*(9-Aux!J72)/(Aux!V72-Aux!J72),IF(AND(Aux!J72&lt;&gt;"",(9-N(Aux!J72))&lt;='01_Criterios'!$C$14),Aux!AH72,IF(AND(Aux!V72&lt;&gt;"",(N(Aux!V72)-9)&lt;='01_Criterios'!$C$15),Aux!AT72,"")))))</f>
        <v/>
      </c>
      <c r="T72" s="6" t="str">
        <f>IF('03_Base_Indice'!$D72="","",IF('03_Base_Indice'!T72&lt;&gt;"",'03_Base_Indice'!T72,IF(AND(Aux!K72&lt;&gt;"",Aux!W72&lt;&gt;"",(N(Aux!W72)-N(Aux!K72)-1)&lt;='01_Criterios'!$C$13),Aux!AI72+(Aux!AU72-Aux!AI72)*(10-Aux!K72)/(Aux!W72-Aux!K72),IF(AND(Aux!K72&lt;&gt;"",(10-N(Aux!K72))&lt;='01_Criterios'!$C$14),Aux!AI72,IF(AND(Aux!W72&lt;&gt;"",(N(Aux!W72)-10)&lt;='01_Criterios'!$C$15),Aux!AU72,"")))))</f>
        <v/>
      </c>
      <c r="U72" s="6" t="str">
        <f>IF('03_Base_Indice'!$D72="","",IF('03_Base_Indice'!U72&lt;&gt;"",'03_Base_Indice'!U72,IF(AND(Aux!L72&lt;&gt;"",Aux!X72&lt;&gt;"",(N(Aux!X72)-N(Aux!L72)-1)&lt;='01_Criterios'!$C$13),Aux!AJ72+(Aux!AV72-Aux!AJ72)*(11-Aux!L72)/(Aux!X72-Aux!L72),IF(AND(Aux!L72&lt;&gt;"",(11-N(Aux!L72))&lt;='01_Criterios'!$C$14),Aux!AJ72,IF(AND(Aux!X72&lt;&gt;"",(N(Aux!X72)-11)&lt;='01_Criterios'!$C$15),Aux!AV72,"")))))</f>
        <v/>
      </c>
    </row>
    <row r="73" spans="1:21">
      <c r="A73" s="6" t="str">
        <f>IF('03_Base_Indice'!$A73="","",'03_Base_Indice'!$A73)</f>
        <v>7. Segurança Alimentar e Saúde</v>
      </c>
      <c r="B73" s="6">
        <f>'03_Base_Indice'!$B73</f>
        <v>9</v>
      </c>
      <c r="D73" s="6" t="str">
        <f>IF('03_Base_Indice'!$D73="","",'03_Base_Indice'!$D73)</f>
        <v/>
      </c>
      <c r="E73" s="6" t="str">
        <f>IF('03_Base_Indice'!$E73="","",'03_Base_Indice'!$E73)</f>
        <v/>
      </c>
      <c r="K73" s="6" t="str">
        <f>IF('03_Base_Indice'!$D73="","",IF('03_Base_Indice'!K73&lt;&gt;"",'03_Base_Indice'!K73,IF(AND(Aux!B73&lt;&gt;"",Aux!N73&lt;&gt;"",(N(Aux!N73)-N(Aux!B73)-1)&lt;='01_Criterios'!$C$13),Aux!Z73+(Aux!AL73-Aux!Z73)*(1-Aux!B73)/(Aux!N73-Aux!B73),IF(AND(Aux!B73&lt;&gt;"",(1-N(Aux!B73))&lt;='01_Criterios'!$C$14),Aux!Z73,IF(AND(Aux!N73&lt;&gt;"",(N(Aux!N73)-1)&lt;='01_Criterios'!$C$15),Aux!AL73,"")))))</f>
        <v/>
      </c>
      <c r="L73" s="6" t="str">
        <f>IF('03_Base_Indice'!$D73="","",IF('03_Base_Indice'!L73&lt;&gt;"",'03_Base_Indice'!L73,IF(AND(Aux!C73&lt;&gt;"",Aux!O73&lt;&gt;"",(N(Aux!O73)-N(Aux!C73)-1)&lt;='01_Criterios'!$C$13),Aux!AA73+(Aux!AM73-Aux!AA73)*(2-Aux!C73)/(Aux!O73-Aux!C73),IF(AND(Aux!C73&lt;&gt;"",(2-N(Aux!C73))&lt;='01_Criterios'!$C$14),Aux!AA73,IF(AND(Aux!O73&lt;&gt;"",(N(Aux!O73)-2)&lt;='01_Criterios'!$C$15),Aux!AM73,"")))))</f>
        <v/>
      </c>
      <c r="M73" s="6" t="str">
        <f>IF('03_Base_Indice'!$D73="","",IF('03_Base_Indice'!M73&lt;&gt;"",'03_Base_Indice'!M73,IF(AND(Aux!D73&lt;&gt;"",Aux!P73&lt;&gt;"",(N(Aux!P73)-N(Aux!D73)-1)&lt;='01_Criterios'!$C$13),Aux!AB73+(Aux!AN73-Aux!AB73)*(3-Aux!D73)/(Aux!P73-Aux!D73),IF(AND(Aux!D73&lt;&gt;"",(3-N(Aux!D73))&lt;='01_Criterios'!$C$14),Aux!AB73,IF(AND(Aux!P73&lt;&gt;"",(N(Aux!P73)-3)&lt;='01_Criterios'!$C$15),Aux!AN73,"")))))</f>
        <v/>
      </c>
      <c r="N73" s="6" t="str">
        <f>IF('03_Base_Indice'!$D73="","",IF('03_Base_Indice'!N73&lt;&gt;"",'03_Base_Indice'!N73,IF(AND(Aux!E73&lt;&gt;"",Aux!Q73&lt;&gt;"",(N(Aux!Q73)-N(Aux!E73)-1)&lt;='01_Criterios'!$C$13),Aux!AC73+(Aux!AO73-Aux!AC73)*(4-Aux!E73)/(Aux!Q73-Aux!E73),IF(AND(Aux!E73&lt;&gt;"",(4-N(Aux!E73))&lt;='01_Criterios'!$C$14),Aux!AC73,IF(AND(Aux!Q73&lt;&gt;"",(N(Aux!Q73)-4)&lt;='01_Criterios'!$C$15),Aux!AO73,"")))))</f>
        <v/>
      </c>
      <c r="O73" s="6" t="str">
        <f>IF('03_Base_Indice'!$D73="","",IF('03_Base_Indice'!O73&lt;&gt;"",'03_Base_Indice'!O73,IF(AND(Aux!F73&lt;&gt;"",Aux!R73&lt;&gt;"",(N(Aux!R73)-N(Aux!F73)-1)&lt;='01_Criterios'!$C$13),Aux!AD73+(Aux!AP73-Aux!AD73)*(5-Aux!F73)/(Aux!R73-Aux!F73),IF(AND(Aux!F73&lt;&gt;"",(5-N(Aux!F73))&lt;='01_Criterios'!$C$14),Aux!AD73,IF(AND(Aux!R73&lt;&gt;"",(N(Aux!R73)-5)&lt;='01_Criterios'!$C$15),Aux!AP73,"")))))</f>
        <v/>
      </c>
      <c r="P73" s="6" t="str">
        <f>IF('03_Base_Indice'!$D73="","",IF('03_Base_Indice'!P73&lt;&gt;"",'03_Base_Indice'!P73,IF(AND(Aux!G73&lt;&gt;"",Aux!S73&lt;&gt;"",(N(Aux!S73)-N(Aux!G73)-1)&lt;='01_Criterios'!$C$13),Aux!AE73+(Aux!AQ73-Aux!AE73)*(6-Aux!G73)/(Aux!S73-Aux!G73),IF(AND(Aux!G73&lt;&gt;"",(6-N(Aux!G73))&lt;='01_Criterios'!$C$14),Aux!AE73,IF(AND(Aux!S73&lt;&gt;"",(N(Aux!S73)-6)&lt;='01_Criterios'!$C$15),Aux!AQ73,"")))))</f>
        <v/>
      </c>
      <c r="Q73" s="6" t="str">
        <f>IF('03_Base_Indice'!$D73="","",IF('03_Base_Indice'!Q73&lt;&gt;"",'03_Base_Indice'!Q73,IF(AND(Aux!H73&lt;&gt;"",Aux!T73&lt;&gt;"",(N(Aux!T73)-N(Aux!H73)-1)&lt;='01_Criterios'!$C$13),Aux!AF73+(Aux!AR73-Aux!AF73)*(7-Aux!H73)/(Aux!T73-Aux!H73),IF(AND(Aux!H73&lt;&gt;"",(7-N(Aux!H73))&lt;='01_Criterios'!$C$14),Aux!AF73,IF(AND(Aux!T73&lt;&gt;"",(N(Aux!T73)-7)&lt;='01_Criterios'!$C$15),Aux!AR73,"")))))</f>
        <v/>
      </c>
      <c r="R73" s="6" t="str">
        <f>IF('03_Base_Indice'!$D73="","",IF('03_Base_Indice'!R73&lt;&gt;"",'03_Base_Indice'!R73,IF(AND(Aux!I73&lt;&gt;"",Aux!U73&lt;&gt;"",(N(Aux!U73)-N(Aux!I73)-1)&lt;='01_Criterios'!$C$13),Aux!AG73+(Aux!AS73-Aux!AG73)*(8-Aux!I73)/(Aux!U73-Aux!I73),IF(AND(Aux!I73&lt;&gt;"",(8-N(Aux!I73))&lt;='01_Criterios'!$C$14),Aux!AG73,IF(AND(Aux!U73&lt;&gt;"",(N(Aux!U73)-8)&lt;='01_Criterios'!$C$15),Aux!AS73,"")))))</f>
        <v/>
      </c>
      <c r="S73" s="6" t="str">
        <f>IF('03_Base_Indice'!$D73="","",IF('03_Base_Indice'!S73&lt;&gt;"",'03_Base_Indice'!S73,IF(AND(Aux!J73&lt;&gt;"",Aux!V73&lt;&gt;"",(N(Aux!V73)-N(Aux!J73)-1)&lt;='01_Criterios'!$C$13),Aux!AH73+(Aux!AT73-Aux!AH73)*(9-Aux!J73)/(Aux!V73-Aux!J73),IF(AND(Aux!J73&lt;&gt;"",(9-N(Aux!J73))&lt;='01_Criterios'!$C$14),Aux!AH73,IF(AND(Aux!V73&lt;&gt;"",(N(Aux!V73)-9)&lt;='01_Criterios'!$C$15),Aux!AT73,"")))))</f>
        <v/>
      </c>
      <c r="T73" s="6" t="str">
        <f>IF('03_Base_Indice'!$D73="","",IF('03_Base_Indice'!T73&lt;&gt;"",'03_Base_Indice'!T73,IF(AND(Aux!K73&lt;&gt;"",Aux!W73&lt;&gt;"",(N(Aux!W73)-N(Aux!K73)-1)&lt;='01_Criterios'!$C$13),Aux!AI73+(Aux!AU73-Aux!AI73)*(10-Aux!K73)/(Aux!W73-Aux!K73),IF(AND(Aux!K73&lt;&gt;"",(10-N(Aux!K73))&lt;='01_Criterios'!$C$14),Aux!AI73,IF(AND(Aux!W73&lt;&gt;"",(N(Aux!W73)-10)&lt;='01_Criterios'!$C$15),Aux!AU73,"")))))</f>
        <v/>
      </c>
      <c r="U73" s="6" t="str">
        <f>IF('03_Base_Indice'!$D73="","",IF('03_Base_Indice'!U73&lt;&gt;"",'03_Base_Indice'!U73,IF(AND(Aux!L73&lt;&gt;"",Aux!X73&lt;&gt;"",(N(Aux!X73)-N(Aux!L73)-1)&lt;='01_Criterios'!$C$13),Aux!AJ73+(Aux!AV73-Aux!AJ73)*(11-Aux!L73)/(Aux!X73-Aux!L73),IF(AND(Aux!L73&lt;&gt;"",(11-N(Aux!L73))&lt;='01_Criterios'!$C$14),Aux!AJ73,IF(AND(Aux!X73&lt;&gt;"",(N(Aux!X73)-11)&lt;='01_Criterios'!$C$15),Aux!AV73,"")))))</f>
        <v/>
      </c>
    </row>
    <row r="74" spans="1:21">
      <c r="A74" s="6" t="str">
        <f>IF('03_Base_Indice'!$A74="","",'03_Base_Indice'!$A74)</f>
        <v>7. Segurança Alimentar e Saúde</v>
      </c>
      <c r="B74" s="6">
        <f>'03_Base_Indice'!$B74</f>
        <v>10</v>
      </c>
      <c r="D74" s="6" t="str">
        <f>IF('03_Base_Indice'!$D74="","",'03_Base_Indice'!$D74)</f>
        <v/>
      </c>
      <c r="E74" s="6" t="str">
        <f>IF('03_Base_Indice'!$E74="","",'03_Base_Indice'!$E74)</f>
        <v/>
      </c>
      <c r="K74" s="6" t="str">
        <f>IF('03_Base_Indice'!$D74="","",IF('03_Base_Indice'!K74&lt;&gt;"",'03_Base_Indice'!K74,IF(AND(Aux!B74&lt;&gt;"",Aux!N74&lt;&gt;"",(N(Aux!N74)-N(Aux!B74)-1)&lt;='01_Criterios'!$C$13),Aux!Z74+(Aux!AL74-Aux!Z74)*(1-Aux!B74)/(Aux!N74-Aux!B74),IF(AND(Aux!B74&lt;&gt;"",(1-N(Aux!B74))&lt;='01_Criterios'!$C$14),Aux!Z74,IF(AND(Aux!N74&lt;&gt;"",(N(Aux!N74)-1)&lt;='01_Criterios'!$C$15),Aux!AL74,"")))))</f>
        <v/>
      </c>
      <c r="L74" s="6" t="str">
        <f>IF('03_Base_Indice'!$D74="","",IF('03_Base_Indice'!L74&lt;&gt;"",'03_Base_Indice'!L74,IF(AND(Aux!C74&lt;&gt;"",Aux!O74&lt;&gt;"",(N(Aux!O74)-N(Aux!C74)-1)&lt;='01_Criterios'!$C$13),Aux!AA74+(Aux!AM74-Aux!AA74)*(2-Aux!C74)/(Aux!O74-Aux!C74),IF(AND(Aux!C74&lt;&gt;"",(2-N(Aux!C74))&lt;='01_Criterios'!$C$14),Aux!AA74,IF(AND(Aux!O74&lt;&gt;"",(N(Aux!O74)-2)&lt;='01_Criterios'!$C$15),Aux!AM74,"")))))</f>
        <v/>
      </c>
      <c r="M74" s="6" t="str">
        <f>IF('03_Base_Indice'!$D74="","",IF('03_Base_Indice'!M74&lt;&gt;"",'03_Base_Indice'!M74,IF(AND(Aux!D74&lt;&gt;"",Aux!P74&lt;&gt;"",(N(Aux!P74)-N(Aux!D74)-1)&lt;='01_Criterios'!$C$13),Aux!AB74+(Aux!AN74-Aux!AB74)*(3-Aux!D74)/(Aux!P74-Aux!D74),IF(AND(Aux!D74&lt;&gt;"",(3-N(Aux!D74))&lt;='01_Criterios'!$C$14),Aux!AB74,IF(AND(Aux!P74&lt;&gt;"",(N(Aux!P74)-3)&lt;='01_Criterios'!$C$15),Aux!AN74,"")))))</f>
        <v/>
      </c>
      <c r="N74" s="6" t="str">
        <f>IF('03_Base_Indice'!$D74="","",IF('03_Base_Indice'!N74&lt;&gt;"",'03_Base_Indice'!N74,IF(AND(Aux!E74&lt;&gt;"",Aux!Q74&lt;&gt;"",(N(Aux!Q74)-N(Aux!E74)-1)&lt;='01_Criterios'!$C$13),Aux!AC74+(Aux!AO74-Aux!AC74)*(4-Aux!E74)/(Aux!Q74-Aux!E74),IF(AND(Aux!E74&lt;&gt;"",(4-N(Aux!E74))&lt;='01_Criterios'!$C$14),Aux!AC74,IF(AND(Aux!Q74&lt;&gt;"",(N(Aux!Q74)-4)&lt;='01_Criterios'!$C$15),Aux!AO74,"")))))</f>
        <v/>
      </c>
      <c r="O74" s="6" t="str">
        <f>IF('03_Base_Indice'!$D74="","",IF('03_Base_Indice'!O74&lt;&gt;"",'03_Base_Indice'!O74,IF(AND(Aux!F74&lt;&gt;"",Aux!R74&lt;&gt;"",(N(Aux!R74)-N(Aux!F74)-1)&lt;='01_Criterios'!$C$13),Aux!AD74+(Aux!AP74-Aux!AD74)*(5-Aux!F74)/(Aux!R74-Aux!F74),IF(AND(Aux!F74&lt;&gt;"",(5-N(Aux!F74))&lt;='01_Criterios'!$C$14),Aux!AD74,IF(AND(Aux!R74&lt;&gt;"",(N(Aux!R74)-5)&lt;='01_Criterios'!$C$15),Aux!AP74,"")))))</f>
        <v/>
      </c>
      <c r="P74" s="6" t="str">
        <f>IF('03_Base_Indice'!$D74="","",IF('03_Base_Indice'!P74&lt;&gt;"",'03_Base_Indice'!P74,IF(AND(Aux!G74&lt;&gt;"",Aux!S74&lt;&gt;"",(N(Aux!S74)-N(Aux!G74)-1)&lt;='01_Criterios'!$C$13),Aux!AE74+(Aux!AQ74-Aux!AE74)*(6-Aux!G74)/(Aux!S74-Aux!G74),IF(AND(Aux!G74&lt;&gt;"",(6-N(Aux!G74))&lt;='01_Criterios'!$C$14),Aux!AE74,IF(AND(Aux!S74&lt;&gt;"",(N(Aux!S74)-6)&lt;='01_Criterios'!$C$15),Aux!AQ74,"")))))</f>
        <v/>
      </c>
      <c r="Q74" s="6" t="str">
        <f>IF('03_Base_Indice'!$D74="","",IF('03_Base_Indice'!Q74&lt;&gt;"",'03_Base_Indice'!Q74,IF(AND(Aux!H74&lt;&gt;"",Aux!T74&lt;&gt;"",(N(Aux!T74)-N(Aux!H74)-1)&lt;='01_Criterios'!$C$13),Aux!AF74+(Aux!AR74-Aux!AF74)*(7-Aux!H74)/(Aux!T74-Aux!H74),IF(AND(Aux!H74&lt;&gt;"",(7-N(Aux!H74))&lt;='01_Criterios'!$C$14),Aux!AF74,IF(AND(Aux!T74&lt;&gt;"",(N(Aux!T74)-7)&lt;='01_Criterios'!$C$15),Aux!AR74,"")))))</f>
        <v/>
      </c>
      <c r="R74" s="6" t="str">
        <f>IF('03_Base_Indice'!$D74="","",IF('03_Base_Indice'!R74&lt;&gt;"",'03_Base_Indice'!R74,IF(AND(Aux!I74&lt;&gt;"",Aux!U74&lt;&gt;"",(N(Aux!U74)-N(Aux!I74)-1)&lt;='01_Criterios'!$C$13),Aux!AG74+(Aux!AS74-Aux!AG74)*(8-Aux!I74)/(Aux!U74-Aux!I74),IF(AND(Aux!I74&lt;&gt;"",(8-N(Aux!I74))&lt;='01_Criterios'!$C$14),Aux!AG74,IF(AND(Aux!U74&lt;&gt;"",(N(Aux!U74)-8)&lt;='01_Criterios'!$C$15),Aux!AS74,"")))))</f>
        <v/>
      </c>
      <c r="S74" s="6" t="str">
        <f>IF('03_Base_Indice'!$D74="","",IF('03_Base_Indice'!S74&lt;&gt;"",'03_Base_Indice'!S74,IF(AND(Aux!J74&lt;&gt;"",Aux!V74&lt;&gt;"",(N(Aux!V74)-N(Aux!J74)-1)&lt;='01_Criterios'!$C$13),Aux!AH74+(Aux!AT74-Aux!AH74)*(9-Aux!J74)/(Aux!V74-Aux!J74),IF(AND(Aux!J74&lt;&gt;"",(9-N(Aux!J74))&lt;='01_Criterios'!$C$14),Aux!AH74,IF(AND(Aux!V74&lt;&gt;"",(N(Aux!V74)-9)&lt;='01_Criterios'!$C$15),Aux!AT74,"")))))</f>
        <v/>
      </c>
      <c r="T74" s="6" t="str">
        <f>IF('03_Base_Indice'!$D74="","",IF('03_Base_Indice'!T74&lt;&gt;"",'03_Base_Indice'!T74,IF(AND(Aux!K74&lt;&gt;"",Aux!W74&lt;&gt;"",(N(Aux!W74)-N(Aux!K74)-1)&lt;='01_Criterios'!$C$13),Aux!AI74+(Aux!AU74-Aux!AI74)*(10-Aux!K74)/(Aux!W74-Aux!K74),IF(AND(Aux!K74&lt;&gt;"",(10-N(Aux!K74))&lt;='01_Criterios'!$C$14),Aux!AI74,IF(AND(Aux!W74&lt;&gt;"",(N(Aux!W74)-10)&lt;='01_Criterios'!$C$15),Aux!AU74,"")))))</f>
        <v/>
      </c>
      <c r="U74" s="6" t="str">
        <f>IF('03_Base_Indice'!$D74="","",IF('03_Base_Indice'!U74&lt;&gt;"",'03_Base_Indice'!U74,IF(AND(Aux!L74&lt;&gt;"",Aux!X74&lt;&gt;"",(N(Aux!X74)-N(Aux!L74)-1)&lt;='01_Criterios'!$C$13),Aux!AJ74+(Aux!AV74-Aux!AJ74)*(11-Aux!L74)/(Aux!X74-Aux!L74),IF(AND(Aux!L74&lt;&gt;"",(11-N(Aux!L74))&lt;='01_Criterios'!$C$14),Aux!AJ74,IF(AND(Aux!X74&lt;&gt;"",(N(Aux!X74)-11)&lt;='01_Criterios'!$C$15),Aux!AV74,"")))))</f>
        <v/>
      </c>
    </row>
    <row r="75" spans="1:21">
      <c r="A75" s="6" t="str">
        <f>IF('03_Base_Indice'!$A75="","",'03_Base_Indice'!$A75)</f>
        <v>8. Diversificação Produtiva e Setor Privado</v>
      </c>
      <c r="B75" s="6">
        <f>'03_Base_Indice'!$B75</f>
        <v>1</v>
      </c>
      <c r="D75" s="6" t="str">
        <f>IF('03_Base_Indice'!$D75="","",'03_Base_Indice'!$D75)</f>
        <v>DIV017</v>
      </c>
      <c r="E75" s="6" t="str">
        <f>IF('03_Base_Indice'!$E75="","",'03_Base_Indice'!$E75)</f>
        <v>Crescimento do PIB não petrolífero</v>
      </c>
      <c r="K75" s="6">
        <f>IF('03_Base_Indice'!$D75="","",IF('03_Base_Indice'!K75&lt;&gt;"",'03_Base_Indice'!K75,IF(AND(Aux!B75&lt;&gt;"",Aux!N75&lt;&gt;"",(N(Aux!N75)-N(Aux!B75)-1)&lt;='01_Criterios'!$C$13),Aux!Z75+(Aux!AL75-Aux!Z75)*(1-Aux!B75)/(Aux!N75-Aux!B75),IF(AND(Aux!B75&lt;&gt;"",(1-N(Aux!B75))&lt;='01_Criterios'!$C$14),Aux!Z75,IF(AND(Aux!N75&lt;&gt;"",(N(Aux!N75)-1)&lt;='01_Criterios'!$C$15),Aux!AL75,"")))))</f>
        <v>-3.6888000000000001</v>
      </c>
      <c r="L75" s="6">
        <f>IF('03_Base_Indice'!$D75="","",IF('03_Base_Indice'!L75&lt;&gt;"",'03_Base_Indice'!L75,IF(AND(Aux!C75&lt;&gt;"",Aux!O75&lt;&gt;"",(N(Aux!O75)-N(Aux!C75)-1)&lt;='01_Criterios'!$C$13),Aux!AA75+(Aux!AM75-Aux!AA75)*(2-Aux!C75)/(Aux!O75-Aux!C75),IF(AND(Aux!C75&lt;&gt;"",(2-N(Aux!C75))&lt;='01_Criterios'!$C$14),Aux!AA75,IF(AND(Aux!O75&lt;&gt;"",(N(Aux!O75)-2)&lt;='01_Criterios'!$C$15),Aux!AM75,"")))))</f>
        <v>0.92749999999999999</v>
      </c>
      <c r="M75" s="6">
        <f>IF('03_Base_Indice'!$D75="","",IF('03_Base_Indice'!M75&lt;&gt;"",'03_Base_Indice'!M75,IF(AND(Aux!D75&lt;&gt;"",Aux!P75&lt;&gt;"",(N(Aux!P75)-N(Aux!D75)-1)&lt;='01_Criterios'!$C$13),Aux!AB75+(Aux!AN75-Aux!AB75)*(3-Aux!D75)/(Aux!P75-Aux!D75),IF(AND(Aux!D75&lt;&gt;"",(3-N(Aux!D75))&lt;='01_Criterios'!$C$14),Aux!AB75,IF(AND(Aux!P75&lt;&gt;"",(N(Aux!P75)-3)&lt;='01_Criterios'!$C$15),Aux!AN75,"")))))</f>
        <v>3.9201000000000001</v>
      </c>
      <c r="N75" s="6">
        <f>IF('03_Base_Indice'!$D75="","",IF('03_Base_Indice'!N75&lt;&gt;"",'03_Base_Indice'!N75,IF(AND(Aux!E75&lt;&gt;"",Aux!Q75&lt;&gt;"",(N(Aux!Q75)-N(Aux!E75)-1)&lt;='01_Criterios'!$C$13),Aux!AC75+(Aux!AO75-Aux!AC75)*(4-Aux!E75)/(Aux!Q75-Aux!E75),IF(AND(Aux!E75&lt;&gt;"",(4-N(Aux!E75))&lt;='01_Criterios'!$C$14),Aux!AC75,IF(AND(Aux!Q75&lt;&gt;"",(N(Aux!Q75)-4)&lt;='01_Criterios'!$C$15),Aux!AO75,"")))))</f>
        <v>3.1939000000000002</v>
      </c>
      <c r="O75" s="6">
        <f>IF('03_Base_Indice'!$D75="","",IF('03_Base_Indice'!O75&lt;&gt;"",'03_Base_Indice'!O75,IF(AND(Aux!F75&lt;&gt;"",Aux!R75&lt;&gt;"",(N(Aux!R75)-N(Aux!F75)-1)&lt;='01_Criterios'!$C$13),Aux!AD75+(Aux!AP75-Aux!AD75)*(5-Aux!F75)/(Aux!R75-Aux!F75),IF(AND(Aux!F75&lt;&gt;"",(5-N(Aux!F75))&lt;='01_Criterios'!$C$14),Aux!AD75,IF(AND(Aux!R75&lt;&gt;"",(N(Aux!R75)-5)&lt;='01_Criterios'!$C$15),Aux!AP75,"")))))</f>
        <v>1.2479</v>
      </c>
      <c r="P75" s="6">
        <f>IF('03_Base_Indice'!$D75="","",IF('03_Base_Indice'!P75&lt;&gt;"",'03_Base_Indice'!P75,IF(AND(Aux!G75&lt;&gt;"",Aux!S75&lt;&gt;"",(N(Aux!S75)-N(Aux!G75)-1)&lt;='01_Criterios'!$C$13),Aux!AE75+(Aux!AQ75-Aux!AE75)*(6-Aux!G75)/(Aux!S75-Aux!G75),IF(AND(Aux!G75&lt;&gt;"",(6-N(Aux!G75))&lt;='01_Criterios'!$C$14),Aux!AE75,IF(AND(Aux!S75&lt;&gt;"",(N(Aux!S75)-6)&lt;='01_Criterios'!$C$15),Aux!AQ75,"")))))</f>
        <v>-4.7728000000000002</v>
      </c>
      <c r="Q75" s="6">
        <f>IF('03_Base_Indice'!$D75="","",IF('03_Base_Indice'!Q75&lt;&gt;"",'03_Base_Indice'!Q75,IF(AND(Aux!H75&lt;&gt;"",Aux!T75&lt;&gt;"",(N(Aux!T75)-N(Aux!H75)-1)&lt;='01_Criterios'!$C$13),Aux!AF75+(Aux!AR75-Aux!AF75)*(7-Aux!H75)/(Aux!T75-Aux!H75),IF(AND(Aux!H75&lt;&gt;"",(7-N(Aux!H75))&lt;='01_Criterios'!$C$14),Aux!AF75,IF(AND(Aux!T75&lt;&gt;"",(N(Aux!T75)-7)&lt;='01_Criterios'!$C$15),Aux!AR75,"")))))</f>
        <v>5.3132999999999999</v>
      </c>
      <c r="R75" s="6">
        <f>IF('03_Base_Indice'!$D75="","",IF('03_Base_Indice'!R75&lt;&gt;"",'03_Base_Indice'!R75,IF(AND(Aux!I75&lt;&gt;"",Aux!U75&lt;&gt;"",(N(Aux!U75)-N(Aux!I75)-1)&lt;='01_Criterios'!$C$13),Aux!AG75+(Aux!AS75-Aux!AG75)*(8-Aux!I75)/(Aux!U75-Aux!I75),IF(AND(Aux!I75&lt;&gt;"",(8-N(Aux!I75))&lt;='01_Criterios'!$C$14),Aux!AG75,IF(AND(Aux!U75&lt;&gt;"",(N(Aux!U75)-8)&lt;='01_Criterios'!$C$15),Aux!AS75,"")))))</f>
        <v>3.1457000000000002</v>
      </c>
      <c r="S75" s="6">
        <f>IF('03_Base_Indice'!$D75="","",IF('03_Base_Indice'!S75&lt;&gt;"",'03_Base_Indice'!S75,IF(AND(Aux!J75&lt;&gt;"",Aux!V75&lt;&gt;"",(N(Aux!V75)-N(Aux!J75)-1)&lt;='01_Criterios'!$C$13),Aux!AH75+(Aux!AT75-Aux!AH75)*(9-Aux!J75)/(Aux!V75-Aux!J75),IF(AND(Aux!J75&lt;&gt;"",(9-N(Aux!J75))&lt;='01_Criterios'!$C$14),Aux!AH75,IF(AND(Aux!V75&lt;&gt;"",(N(Aux!V75)-9)&lt;='01_Criterios'!$C$15),Aux!AT75,"")))))</f>
        <v>2.3972000000000002</v>
      </c>
      <c r="T75" s="6">
        <f>IF('03_Base_Indice'!$D75="","",IF('03_Base_Indice'!T75&lt;&gt;"",'03_Base_Indice'!T75,IF(AND(Aux!K75&lt;&gt;"",Aux!W75&lt;&gt;"",(N(Aux!W75)-N(Aux!K75)-1)&lt;='01_Criterios'!$C$13),Aux!AI75+(Aux!AU75-Aux!AI75)*(10-Aux!K75)/(Aux!W75-Aux!K75),IF(AND(Aux!K75&lt;&gt;"",(10-N(Aux!K75))&lt;='01_Criterios'!$C$14),Aux!AI75,IF(AND(Aux!W75&lt;&gt;"",(N(Aux!W75)-10)&lt;='01_Criterios'!$C$15),Aux!AU75,"")))))</f>
        <v>5.3951000000000002</v>
      </c>
      <c r="U75" s="6">
        <f>IF('03_Base_Indice'!$D75="","",IF('03_Base_Indice'!U75&lt;&gt;"",'03_Base_Indice'!U75,IF(AND(Aux!L75&lt;&gt;"",Aux!X75&lt;&gt;"",(N(Aux!X75)-N(Aux!L75)-1)&lt;='01_Criterios'!$C$13),Aux!AJ75+(Aux!AV75-Aux!AJ75)*(11-Aux!L75)/(Aux!X75-Aux!L75),IF(AND(Aux!L75&lt;&gt;"",(11-N(Aux!L75))&lt;='01_Criterios'!$C$14),Aux!AJ75,IF(AND(Aux!X75&lt;&gt;"",(N(Aux!X75)-11)&lt;='01_Criterios'!$C$15),Aux!AV75,"")))))</f>
        <v>5.3792999999999997</v>
      </c>
    </row>
    <row r="76" spans="1:21">
      <c r="A76" s="6" t="str">
        <f>IF('03_Base_Indice'!$A76="","",'03_Base_Indice'!$A76)</f>
        <v>8. Diversificação Produtiva e Setor Privado</v>
      </c>
      <c r="B76" s="6">
        <f>'03_Base_Indice'!$B76</f>
        <v>2</v>
      </c>
      <c r="D76" s="6" t="str">
        <f>IF('03_Base_Indice'!$D76="","",'03_Base_Indice'!$D76)</f>
        <v>DIV007</v>
      </c>
      <c r="E76" s="6" t="str">
        <f>IF('03_Base_Indice'!$E76="","",'03_Base_Indice'!$E76)</f>
        <v>Indústria transformadora no PIB</v>
      </c>
      <c r="K76" s="6">
        <f>IF('03_Base_Indice'!$D76="","",IF('03_Base_Indice'!K76&lt;&gt;"",'03_Base_Indice'!K76,IF(AND(Aux!B76&lt;&gt;"",Aux!N76&lt;&gt;"",(N(Aux!N76)-N(Aux!B76)-1)&lt;='01_Criterios'!$C$13),Aux!Z76+(Aux!AL76-Aux!Z76)*(1-Aux!B76)/(Aux!N76-Aux!B76),IF(AND(Aux!B76&lt;&gt;"",(1-N(Aux!B76))&lt;='01_Criterios'!$C$14),Aux!Z76,IF(AND(Aux!N76&lt;&gt;"",(N(Aux!N76)-1)&lt;='01_Criterios'!$C$15),Aux!AL76,"")))))</f>
        <v>5.2405155964762598</v>
      </c>
      <c r="L76" s="6">
        <f>IF('03_Base_Indice'!$D76="","",IF('03_Base_Indice'!L76&lt;&gt;"",'03_Base_Indice'!L76,IF(AND(Aux!C76&lt;&gt;"",Aux!O76&lt;&gt;"",(N(Aux!O76)-N(Aux!C76)-1)&lt;='01_Criterios'!$C$13),Aux!AA76+(Aux!AM76-Aux!AA76)*(2-Aux!C76)/(Aux!O76-Aux!C76),IF(AND(Aux!C76&lt;&gt;"",(2-N(Aux!C76))&lt;='01_Criterios'!$C$14),Aux!AA76,IF(AND(Aux!O76&lt;&gt;"",(N(Aux!O76)-2)&lt;='01_Criterios'!$C$15),Aux!AM76,"")))))</f>
        <v>5.7827889949915674</v>
      </c>
      <c r="M76" s="6">
        <f>IF('03_Base_Indice'!$D76="","",IF('03_Base_Indice'!M76&lt;&gt;"",'03_Base_Indice'!M76,IF(AND(Aux!D76&lt;&gt;"",Aux!P76&lt;&gt;"",(N(Aux!P76)-N(Aux!D76)-1)&lt;='01_Criterios'!$C$13),Aux!AB76+(Aux!AN76-Aux!AB76)*(3-Aux!D76)/(Aux!P76-Aux!D76),IF(AND(Aux!D76&lt;&gt;"",(3-N(Aux!D76))&lt;='01_Criterios'!$C$14),Aux!AB76,IF(AND(Aux!P76&lt;&gt;"",(N(Aux!P76)-3)&lt;='01_Criterios'!$C$15),Aux!AN76,"")))))</f>
        <v>5.7289694447204722</v>
      </c>
      <c r="N76" s="6">
        <f>IF('03_Base_Indice'!$D76="","",IF('03_Base_Indice'!N76&lt;&gt;"",'03_Base_Indice'!N76,IF(AND(Aux!E76&lt;&gt;"",Aux!Q76&lt;&gt;"",(N(Aux!Q76)-N(Aux!E76)-1)&lt;='01_Criterios'!$C$13),Aux!AC76+(Aux!AO76-Aux!AC76)*(4-Aux!E76)/(Aux!Q76-Aux!E76),IF(AND(Aux!E76&lt;&gt;"",(4-N(Aux!E76))&lt;='01_Criterios'!$C$14),Aux!AC76,IF(AND(Aux!Q76&lt;&gt;"",(N(Aux!Q76)-4)&lt;='01_Criterios'!$C$15),Aux!AO76,"")))))</f>
        <v>5.3407462950965883</v>
      </c>
      <c r="O76" s="6">
        <f>IF('03_Base_Indice'!$D76="","",IF('03_Base_Indice'!O76&lt;&gt;"",'03_Base_Indice'!O76,IF(AND(Aux!F76&lt;&gt;"",Aux!R76&lt;&gt;"",(N(Aux!R76)-N(Aux!F76)-1)&lt;='01_Criterios'!$C$13),Aux!AD76+(Aux!AP76-Aux!AD76)*(5-Aux!F76)/(Aux!R76-Aux!F76),IF(AND(Aux!F76&lt;&gt;"",(5-N(Aux!F76))&lt;='01_Criterios'!$C$14),Aux!AD76,IF(AND(Aux!R76&lt;&gt;"",(N(Aux!R76)-5)&lt;='01_Criterios'!$C$15),Aux!AP76,"")))))</f>
        <v>5.4114487722420552</v>
      </c>
      <c r="P76" s="6">
        <f>IF('03_Base_Indice'!$D76="","",IF('03_Base_Indice'!P76&lt;&gt;"",'03_Base_Indice'!P76,IF(AND(Aux!G76&lt;&gt;"",Aux!S76&lt;&gt;"",(N(Aux!S76)-N(Aux!G76)-1)&lt;='01_Criterios'!$C$13),Aux!AE76+(Aux!AQ76-Aux!AE76)*(6-Aux!G76)/(Aux!S76-Aux!G76),IF(AND(Aux!G76&lt;&gt;"",(6-N(Aux!G76))&lt;='01_Criterios'!$C$14),Aux!AE76,IF(AND(Aux!S76&lt;&gt;"",(N(Aux!S76)-6)&lt;='01_Criterios'!$C$15),Aux!AQ76,"")))))</f>
        <v>6.097457181842449</v>
      </c>
      <c r="Q76" s="6">
        <f>IF('03_Base_Indice'!$D76="","",IF('03_Base_Indice'!Q76&lt;&gt;"",'03_Base_Indice'!Q76,IF(AND(Aux!H76&lt;&gt;"",Aux!T76&lt;&gt;"",(N(Aux!T76)-N(Aux!H76)-1)&lt;='01_Criterios'!$C$13),Aux!AF76+(Aux!AR76-Aux!AF76)*(7-Aux!H76)/(Aux!T76-Aux!H76),IF(AND(Aux!H76&lt;&gt;"",(7-N(Aux!H76))&lt;='01_Criterios'!$C$14),Aux!AF76,IF(AND(Aux!T76&lt;&gt;"",(N(Aux!T76)-7)&lt;='01_Criterios'!$C$15),Aux!AR76,"")))))</f>
        <v>6.1937375601327727</v>
      </c>
      <c r="R76" s="6">
        <f>IF('03_Base_Indice'!$D76="","",IF('03_Base_Indice'!R76&lt;&gt;"",'03_Base_Indice'!R76,IF(AND(Aux!I76&lt;&gt;"",Aux!U76&lt;&gt;"",(N(Aux!U76)-N(Aux!I76)-1)&lt;='01_Criterios'!$C$13),Aux!AG76+(Aux!AS76-Aux!AG76)*(8-Aux!I76)/(Aux!U76-Aux!I76),IF(AND(Aux!I76&lt;&gt;"",(8-N(Aux!I76))&lt;='01_Criterios'!$C$14),Aux!AG76,IF(AND(Aux!U76&lt;&gt;"",(N(Aux!U76)-8)&lt;='01_Criterios'!$C$15),Aux!AS76,"")))))</f>
        <v>6.7164781373690721</v>
      </c>
      <c r="S76" s="6">
        <f>IF('03_Base_Indice'!$D76="","",IF('03_Base_Indice'!S76&lt;&gt;"",'03_Base_Indice'!S76,IF(AND(Aux!J76&lt;&gt;"",Aux!V76&lt;&gt;"",(N(Aux!V76)-N(Aux!J76)-1)&lt;='01_Criterios'!$C$13),Aux!AH76+(Aux!AT76-Aux!AH76)*(9-Aux!J76)/(Aux!V76-Aux!J76),IF(AND(Aux!J76&lt;&gt;"",(9-N(Aux!J76))&lt;='01_Criterios'!$C$14),Aux!AH76,IF(AND(Aux!V76&lt;&gt;"",(N(Aux!V76)-9)&lt;='01_Criterios'!$C$15),Aux!AT76,"")))))</f>
        <v>7.4006662444250626</v>
      </c>
      <c r="T76" s="6">
        <f>IF('03_Base_Indice'!$D76="","",IF('03_Base_Indice'!T76&lt;&gt;"",'03_Base_Indice'!T76,IF(AND(Aux!K76&lt;&gt;"",Aux!W76&lt;&gt;"",(N(Aux!W76)-N(Aux!K76)-1)&lt;='01_Criterios'!$C$13),Aux!AI76+(Aux!AU76-Aux!AI76)*(10-Aux!K76)/(Aux!W76-Aux!K76),IF(AND(Aux!K76&lt;&gt;"",(10-N(Aux!K76))&lt;='01_Criterios'!$C$14),Aux!AI76,IF(AND(Aux!W76&lt;&gt;"",(N(Aux!W76)-10)&lt;='01_Criterios'!$C$15),Aux!AU76,"")))))</f>
        <v>6.5761625979595326</v>
      </c>
      <c r="U76" s="6">
        <f>IF('03_Base_Indice'!$D76="","",IF('03_Base_Indice'!U76&lt;&gt;"",'03_Base_Indice'!U76,IF(AND(Aux!L76&lt;&gt;"",Aux!X76&lt;&gt;"",(N(Aux!X76)-N(Aux!L76)-1)&lt;='01_Criterios'!$C$13),Aux!AJ76+(Aux!AV76-Aux!AJ76)*(11-Aux!L76)/(Aux!X76-Aux!L76),IF(AND(Aux!L76&lt;&gt;"",(11-N(Aux!L76))&lt;='01_Criterios'!$C$14),Aux!AJ76,IF(AND(Aux!X76&lt;&gt;"",(N(Aux!X76)-11)&lt;='01_Criterios'!$C$15),Aux!AV76,"")))))</f>
        <v>6.7926209696117086</v>
      </c>
    </row>
    <row r="77" spans="1:21">
      <c r="A77" s="6" t="str">
        <f>IF('03_Base_Indice'!$A77="","",'03_Base_Indice'!$A77)</f>
        <v>8. Diversificação Produtiva e Setor Privado</v>
      </c>
      <c r="B77" s="6">
        <f>'03_Base_Indice'!$B77</f>
        <v>3</v>
      </c>
      <c r="D77" s="6" t="str">
        <f>IF('03_Base_Indice'!$D77="","",'03_Base_Indice'!$D77)</f>
        <v>DIV015</v>
      </c>
      <c r="E77" s="6" t="str">
        <f>IF('03_Base_Indice'!$E77="","",'03_Base_Indice'!$E77)</f>
        <v>Crédito doméstico ao setor privado</v>
      </c>
      <c r="K77" s="6">
        <f>IF('03_Base_Indice'!$D77="","",IF('03_Base_Indice'!K77&lt;&gt;"",'03_Base_Indice'!K77,IF(AND(Aux!B77&lt;&gt;"",Aux!N77&lt;&gt;"",(N(Aux!N77)-N(Aux!B77)-1)&lt;='01_Criterios'!$C$13),Aux!Z77+(Aux!AL77-Aux!Z77)*(1-Aux!B77)/(Aux!N77-Aux!B77),IF(AND(Aux!B77&lt;&gt;"",(1-N(Aux!B77))&lt;='01_Criterios'!$C$14),Aux!Z77,IF(AND(Aux!N77&lt;&gt;"",(N(Aux!N77)-1)&lt;='01_Criterios'!$C$15),Aux!AL77,"")))))</f>
        <v>22.2749280175045</v>
      </c>
      <c r="L77" s="6">
        <f>IF('03_Base_Indice'!$D77="","",IF('03_Base_Indice'!L77&lt;&gt;"",'03_Base_Indice'!L77,IF(AND(Aux!C77&lt;&gt;"",Aux!O77&lt;&gt;"",(N(Aux!O77)-N(Aux!C77)-1)&lt;='01_Criterios'!$C$13),Aux!AA77+(Aux!AM77-Aux!AA77)*(2-Aux!C77)/(Aux!O77-Aux!C77),IF(AND(Aux!C77&lt;&gt;"",(2-N(Aux!C77))&lt;='01_Criterios'!$C$14),Aux!AA77,IF(AND(Aux!O77&lt;&gt;"",(N(Aux!O77)-2)&lt;='01_Criterios'!$C$15),Aux!AM77,"")))))</f>
        <v>18.318007502950611</v>
      </c>
      <c r="M77" s="6">
        <f>IF('03_Base_Indice'!$D77="","",IF('03_Base_Indice'!M77&lt;&gt;"",'03_Base_Indice'!M77,IF(AND(Aux!D77&lt;&gt;"",Aux!P77&lt;&gt;"",(N(Aux!P77)-N(Aux!D77)-1)&lt;='01_Criterios'!$C$13),Aux!AB77+(Aux!AN77-Aux!AB77)*(3-Aux!D77)/(Aux!P77-Aux!D77),IF(AND(Aux!D77&lt;&gt;"",(3-N(Aux!D77))&lt;='01_Criterios'!$C$14),Aux!AB77,IF(AND(Aux!P77&lt;&gt;"",(N(Aux!P77)-3)&lt;='01_Criterios'!$C$15),Aux!AN77,"")))))</f>
        <v>14.63025795529294</v>
      </c>
      <c r="N77" s="6">
        <f>IF('03_Base_Indice'!$D77="","",IF('03_Base_Indice'!N77&lt;&gt;"",'03_Base_Indice'!N77,IF(AND(Aux!E77&lt;&gt;"",Aux!Q77&lt;&gt;"",(N(Aux!Q77)-N(Aux!E77)-1)&lt;='01_Criterios'!$C$13),Aux!AC77+(Aux!AO77-Aux!AC77)*(4-Aux!E77)/(Aux!Q77-Aux!E77),IF(AND(Aux!E77&lt;&gt;"",(4-N(Aux!E77))&lt;='01_Criterios'!$C$14),Aux!AC77,IF(AND(Aux!Q77&lt;&gt;"",(N(Aux!Q77)-4)&lt;='01_Criterios'!$C$15),Aux!AO77,"")))))</f>
        <v>13.11091760109753</v>
      </c>
      <c r="O77" s="6">
        <f>IF('03_Base_Indice'!$D77="","",IF('03_Base_Indice'!O77&lt;&gt;"",'03_Base_Indice'!O77,IF(AND(Aux!F77&lt;&gt;"",Aux!R77&lt;&gt;"",(N(Aux!R77)-N(Aux!F77)-1)&lt;='01_Criterios'!$C$13),Aux!AD77+(Aux!AP77-Aux!AD77)*(5-Aux!F77)/(Aux!R77-Aux!F77),IF(AND(Aux!F77&lt;&gt;"",(5-N(Aux!F77))&lt;='01_Criterios'!$C$14),Aux!AD77,IF(AND(Aux!R77&lt;&gt;"",(N(Aux!R77)-5)&lt;='01_Criterios'!$C$15),Aux!AP77,"")))))</f>
        <v>13.395602867586071</v>
      </c>
      <c r="P77" s="6">
        <f>IF('03_Base_Indice'!$D77="","",IF('03_Base_Indice'!P77&lt;&gt;"",'03_Base_Indice'!P77,IF(AND(Aux!G77&lt;&gt;"",Aux!S77&lt;&gt;"",(N(Aux!S77)-N(Aux!G77)-1)&lt;='01_Criterios'!$C$13),Aux!AE77+(Aux!AQ77-Aux!AE77)*(6-Aux!G77)/(Aux!S77-Aux!G77),IF(AND(Aux!G77&lt;&gt;"",(6-N(Aux!G77))&lt;='01_Criterios'!$C$14),Aux!AE77,IF(AND(Aux!S77&lt;&gt;"",(N(Aux!S77)-6)&lt;='01_Criterios'!$C$15),Aux!AQ77,"")))))</f>
        <v>11.376559084367299</v>
      </c>
      <c r="Q77" s="6">
        <f>IF('03_Base_Indice'!$D77="","",IF('03_Base_Indice'!Q77&lt;&gt;"",'03_Base_Indice'!Q77,IF(AND(Aux!H77&lt;&gt;"",Aux!T77&lt;&gt;"",(N(Aux!T77)-N(Aux!H77)-1)&lt;='01_Criterios'!$C$13),Aux!AF77+(Aux!AR77-Aux!AF77)*(7-Aux!H77)/(Aux!T77-Aux!H77),IF(AND(Aux!H77&lt;&gt;"",(7-N(Aux!H77))&lt;='01_Criterios'!$C$14),Aux!AF77,IF(AND(Aux!T77&lt;&gt;"",(N(Aux!T77)-7)&lt;='01_Criterios'!$C$15),Aux!AR77,"")))))</f>
        <v>8.8443017464105509</v>
      </c>
      <c r="R77" s="6">
        <f>IF('03_Base_Indice'!$D77="","",IF('03_Base_Indice'!R77&lt;&gt;"",'03_Base_Indice'!R77,IF(AND(Aux!I77&lt;&gt;"",Aux!U77&lt;&gt;"",(N(Aux!U77)-N(Aux!I77)-1)&lt;='01_Criterios'!$C$13),Aux!AG77+(Aux!AS77-Aux!AG77)*(8-Aux!I77)/(Aux!U77-Aux!I77),IF(AND(Aux!I77&lt;&gt;"",(8-N(Aux!I77))&lt;='01_Criterios'!$C$14),Aux!AG77,IF(AND(Aux!U77&lt;&gt;"",(N(Aux!U77)-8)&lt;='01_Criterios'!$C$15),Aux!AS77,"")))))</f>
        <v>7.0250619443541522</v>
      </c>
      <c r="S77" s="6">
        <f>IF('03_Base_Indice'!$D77="","",IF('03_Base_Indice'!S77&lt;&gt;"",'03_Base_Indice'!S77,IF(AND(Aux!J77&lt;&gt;"",Aux!V77&lt;&gt;"",(N(Aux!V77)-N(Aux!J77)-1)&lt;='01_Criterios'!$C$13),Aux!AH77+(Aux!AT77-Aux!AH77)*(9-Aux!J77)/(Aux!V77-Aux!J77),IF(AND(Aux!J77&lt;&gt;"",(9-N(Aux!J77))&lt;='01_Criterios'!$C$14),Aux!AH77,IF(AND(Aux!V77&lt;&gt;"",(N(Aux!V77)-9)&lt;='01_Criterios'!$C$15),Aux!AT77,"")))))</f>
        <v>7.6457337441609194</v>
      </c>
      <c r="T77" s="6">
        <f>IF('03_Base_Indice'!$D77="","",IF('03_Base_Indice'!T77&lt;&gt;"",'03_Base_Indice'!T77,IF(AND(Aux!K77&lt;&gt;"",Aux!W77&lt;&gt;"",(N(Aux!W77)-N(Aux!K77)-1)&lt;='01_Criterios'!$C$13),Aux!AI77+(Aux!AU77-Aux!AI77)*(10-Aux!K77)/(Aux!W77-Aux!K77),IF(AND(Aux!K77&lt;&gt;"",(10-N(Aux!K77))&lt;='01_Criterios'!$C$14),Aux!AI77,IF(AND(Aux!W77&lt;&gt;"",(N(Aux!W77)-10)&lt;='01_Criterios'!$C$15),Aux!AU77,"")))))</f>
        <v>7.1689264092656177</v>
      </c>
      <c r="U77" s="6">
        <f>IF('03_Base_Indice'!$D77="","",IF('03_Base_Indice'!U77&lt;&gt;"",'03_Base_Indice'!U77,IF(AND(Aux!L77&lt;&gt;"",Aux!X77&lt;&gt;"",(N(Aux!X77)-N(Aux!L77)-1)&lt;='01_Criterios'!$C$13),Aux!AJ77+(Aux!AV77-Aux!AJ77)*(11-Aux!L77)/(Aux!X77-Aux!L77),IF(AND(Aux!L77&lt;&gt;"",(11-N(Aux!L77))&lt;='01_Criterios'!$C$14),Aux!AJ77,IF(AND(Aux!X77&lt;&gt;"",(N(Aux!X77)-11)&lt;='01_Criterios'!$C$15),Aux!AV77,"")))))</f>
        <v>6.5808829663826964</v>
      </c>
    </row>
    <row r="78" spans="1:21">
      <c r="A78" s="6" t="str">
        <f>IF('03_Base_Indice'!$A78="","",'03_Base_Indice'!$A78)</f>
        <v>8. Diversificação Produtiva e Setor Privado</v>
      </c>
      <c r="B78" s="6">
        <f>'03_Base_Indice'!$B78</f>
        <v>4</v>
      </c>
      <c r="D78" s="6" t="str">
        <f>IF('03_Base_Indice'!$D78="","",'03_Base_Indice'!$D78)</f>
        <v>DIV001</v>
      </c>
      <c r="E78" s="6" t="str">
        <f>IF('03_Base_Indice'!$E78="","",'03_Base_Indice'!$E78)</f>
        <v>Productive Capacities Index - geral</v>
      </c>
      <c r="K78" s="6">
        <f>IF('03_Base_Indice'!$D78="","",IF('03_Base_Indice'!K78&lt;&gt;"",'03_Base_Indice'!K78,IF(AND(Aux!B78&lt;&gt;"",Aux!N78&lt;&gt;"",(N(Aux!N78)-N(Aux!B78)-1)&lt;='01_Criterios'!$C$13),Aux!Z78+(Aux!AL78-Aux!Z78)*(1-Aux!B78)/(Aux!N78-Aux!B78),IF(AND(Aux!B78&lt;&gt;"",(1-N(Aux!B78))&lt;='01_Criterios'!$C$14),Aux!Z78,IF(AND(Aux!N78&lt;&gt;"",(N(Aux!N78)-1)&lt;='01_Criterios'!$C$15),Aux!AL78,"")))))</f>
        <v>28.97</v>
      </c>
      <c r="L78" s="6">
        <f>IF('03_Base_Indice'!$D78="","",IF('03_Base_Indice'!L78&lt;&gt;"",'03_Base_Indice'!L78,IF(AND(Aux!C78&lt;&gt;"",Aux!O78&lt;&gt;"",(N(Aux!O78)-N(Aux!C78)-1)&lt;='01_Criterios'!$C$13),Aux!AA78+(Aux!AM78-Aux!AA78)*(2-Aux!C78)/(Aux!O78-Aux!C78),IF(AND(Aux!C78&lt;&gt;"",(2-N(Aux!C78))&lt;='01_Criterios'!$C$14),Aux!AA78,IF(AND(Aux!O78&lt;&gt;"",(N(Aux!O78)-2)&lt;='01_Criterios'!$C$15),Aux!AM78,"")))))</f>
        <v>28.79</v>
      </c>
      <c r="M78" s="6">
        <f>IF('03_Base_Indice'!$D78="","",IF('03_Base_Indice'!M78&lt;&gt;"",'03_Base_Indice'!M78,IF(AND(Aux!D78&lt;&gt;"",Aux!P78&lt;&gt;"",(N(Aux!P78)-N(Aux!D78)-1)&lt;='01_Criterios'!$C$13),Aux!AB78+(Aux!AN78-Aux!AB78)*(3-Aux!D78)/(Aux!P78-Aux!D78),IF(AND(Aux!D78&lt;&gt;"",(3-N(Aux!D78))&lt;='01_Criterios'!$C$14),Aux!AB78,IF(AND(Aux!P78&lt;&gt;"",(N(Aux!P78)-3)&lt;='01_Criterios'!$C$15),Aux!AN78,"")))))</f>
        <v>28.49</v>
      </c>
      <c r="N78" s="6">
        <f>IF('03_Base_Indice'!$D78="","",IF('03_Base_Indice'!N78&lt;&gt;"",'03_Base_Indice'!N78,IF(AND(Aux!E78&lt;&gt;"",Aux!Q78&lt;&gt;"",(N(Aux!Q78)-N(Aux!E78)-1)&lt;='01_Criterios'!$C$13),Aux!AC78+(Aux!AO78-Aux!AC78)*(4-Aux!E78)/(Aux!Q78-Aux!E78),IF(AND(Aux!E78&lt;&gt;"",(4-N(Aux!E78))&lt;='01_Criterios'!$C$14),Aux!AC78,IF(AND(Aux!Q78&lt;&gt;"",(N(Aux!Q78)-4)&lt;='01_Criterios'!$C$15),Aux!AO78,"")))))</f>
        <v>27.9</v>
      </c>
      <c r="O78" s="6">
        <f>IF('03_Base_Indice'!$D78="","",IF('03_Base_Indice'!O78&lt;&gt;"",'03_Base_Indice'!O78,IF(AND(Aux!F78&lt;&gt;"",Aux!R78&lt;&gt;"",(N(Aux!R78)-N(Aux!F78)-1)&lt;='01_Criterios'!$C$13),Aux!AD78+(Aux!AP78-Aux!AD78)*(5-Aux!F78)/(Aux!R78-Aux!F78),IF(AND(Aux!F78&lt;&gt;"",(5-N(Aux!F78))&lt;='01_Criterios'!$C$14),Aux!AD78,IF(AND(Aux!R78&lt;&gt;"",(N(Aux!R78)-5)&lt;='01_Criterios'!$C$15),Aux!AP78,"")))))</f>
        <v>28</v>
      </c>
      <c r="P78" s="6">
        <f>IF('03_Base_Indice'!$D78="","",IF('03_Base_Indice'!P78&lt;&gt;"",'03_Base_Indice'!P78,IF(AND(Aux!G78&lt;&gt;"",Aux!S78&lt;&gt;"",(N(Aux!S78)-N(Aux!G78)-1)&lt;='01_Criterios'!$C$13),Aux!AE78+(Aux!AQ78-Aux!AE78)*(6-Aux!G78)/(Aux!S78-Aux!G78),IF(AND(Aux!G78&lt;&gt;"",(6-N(Aux!G78))&lt;='01_Criterios'!$C$14),Aux!AE78,IF(AND(Aux!S78&lt;&gt;"",(N(Aux!S78)-6)&lt;='01_Criterios'!$C$15),Aux!AQ78,"")))))</f>
        <v>26.45</v>
      </c>
      <c r="Q78" s="6">
        <f>IF('03_Base_Indice'!$D78="","",IF('03_Base_Indice'!Q78&lt;&gt;"",'03_Base_Indice'!Q78,IF(AND(Aux!H78&lt;&gt;"",Aux!T78&lt;&gt;"",(N(Aux!T78)-N(Aux!H78)-1)&lt;='01_Criterios'!$C$13),Aux!AF78+(Aux!AR78-Aux!AF78)*(7-Aux!H78)/(Aux!T78-Aux!H78),IF(AND(Aux!H78&lt;&gt;"",(7-N(Aux!H78))&lt;='01_Criterios'!$C$14),Aux!AF78,IF(AND(Aux!T78&lt;&gt;"",(N(Aux!T78)-7)&lt;='01_Criterios'!$C$15),Aux!AR78,"")))))</f>
        <v>26.18</v>
      </c>
      <c r="R78" s="6">
        <f>IF('03_Base_Indice'!$D78="","",IF('03_Base_Indice'!R78&lt;&gt;"",'03_Base_Indice'!R78,IF(AND(Aux!I78&lt;&gt;"",Aux!U78&lt;&gt;"",(N(Aux!U78)-N(Aux!I78)-1)&lt;='01_Criterios'!$C$13),Aux!AG78+(Aux!AS78-Aux!AG78)*(8-Aux!I78)/(Aux!U78-Aux!I78),IF(AND(Aux!I78&lt;&gt;"",(8-N(Aux!I78))&lt;='01_Criterios'!$C$14),Aux!AG78,IF(AND(Aux!U78&lt;&gt;"",(N(Aux!U78)-8)&lt;='01_Criterios'!$C$15),Aux!AS78,"")))))</f>
        <v>27.19</v>
      </c>
      <c r="S78" s="6">
        <f>IF('03_Base_Indice'!$D78="","",IF('03_Base_Indice'!S78&lt;&gt;"",'03_Base_Indice'!S78,IF(AND(Aux!J78&lt;&gt;"",Aux!V78&lt;&gt;"",(N(Aux!V78)-N(Aux!J78)-1)&lt;='01_Criterios'!$C$13),Aux!AH78+(Aux!AT78-Aux!AH78)*(9-Aux!J78)/(Aux!V78-Aux!J78),IF(AND(Aux!J78&lt;&gt;"",(9-N(Aux!J78))&lt;='01_Criterios'!$C$14),Aux!AH78,IF(AND(Aux!V78&lt;&gt;"",(N(Aux!V78)-9)&lt;='01_Criterios'!$C$15),Aux!AT78,"")))))</f>
        <v>27.93</v>
      </c>
      <c r="T78" s="6">
        <f>IF('03_Base_Indice'!$D78="","",IF('03_Base_Indice'!T78&lt;&gt;"",'03_Base_Indice'!T78,IF(AND(Aux!K78&lt;&gt;"",Aux!W78&lt;&gt;"",(N(Aux!W78)-N(Aux!K78)-1)&lt;='01_Criterios'!$C$13),Aux!AI78+(Aux!AU78-Aux!AI78)*(10-Aux!K78)/(Aux!W78-Aux!K78),IF(AND(Aux!K78&lt;&gt;"",(10-N(Aux!K78))&lt;='01_Criterios'!$C$14),Aux!AI78,IF(AND(Aux!W78&lt;&gt;"",(N(Aux!W78)-10)&lt;='01_Criterios'!$C$15),Aux!AU78,"")))))</f>
        <v>27.69</v>
      </c>
      <c r="U78" s="6">
        <f>IF('03_Base_Indice'!$D78="","",IF('03_Base_Indice'!U78&lt;&gt;"",'03_Base_Indice'!U78,IF(AND(Aux!L78&lt;&gt;"",Aux!X78&lt;&gt;"",(N(Aux!X78)-N(Aux!L78)-1)&lt;='01_Criterios'!$C$13),Aux!AJ78+(Aux!AV78-Aux!AJ78)*(11-Aux!L78)/(Aux!X78-Aux!L78),IF(AND(Aux!L78&lt;&gt;"",(11-N(Aux!L78))&lt;='01_Criterios'!$C$14),Aux!AJ78,IF(AND(Aux!X78&lt;&gt;"",(N(Aux!X78)-11)&lt;='01_Criterios'!$C$15),Aux!AV78,"")))))</f>
        <v>27.69</v>
      </c>
    </row>
    <row r="79" spans="1:21">
      <c r="A79" s="6" t="str">
        <f>IF('03_Base_Indice'!$A79="","",'03_Base_Indice'!$A79)</f>
        <v>8. Diversificação Produtiva e Setor Privado</v>
      </c>
      <c r="B79" s="6">
        <f>'03_Base_Indice'!$B79</f>
        <v>5</v>
      </c>
      <c r="D79" s="6" t="str">
        <f>IF('03_Base_Indice'!$D79="","",'03_Base_Indice'!$D79)</f>
        <v>DIV010</v>
      </c>
      <c r="E79" s="6" t="str">
        <f>IF('03_Base_Indice'!$E79="","",'03_Base_Indice'!$E79)</f>
        <v>Combustíveis nas exportações de mercadorias</v>
      </c>
      <c r="K79" s="6">
        <f>IF('03_Base_Indice'!$D79="","",IF('03_Base_Indice'!K79&lt;&gt;"",'03_Base_Indice'!K79,IF(AND(Aux!B79&lt;&gt;"",Aux!N79&lt;&gt;"",(N(Aux!N79)-N(Aux!B79)-1)&lt;='01_Criterios'!$C$13),Aux!Z79+(Aux!AL79-Aux!Z79)*(1-Aux!B79)/(Aux!N79-Aux!B79),IF(AND(Aux!B79&lt;&gt;"",(1-N(Aux!B79))&lt;='01_Criterios'!$C$14),Aux!Z79,IF(AND(Aux!N79&lt;&gt;"",(N(Aux!N79)-1)&lt;='01_Criterios'!$C$15),Aux!AL79,"")))))</f>
        <v>94.015907975316097</v>
      </c>
      <c r="L79" s="6">
        <f>IF('03_Base_Indice'!$D79="","",IF('03_Base_Indice'!L79&lt;&gt;"",'03_Base_Indice'!L79,IF(AND(Aux!C79&lt;&gt;"",Aux!O79&lt;&gt;"",(N(Aux!O79)-N(Aux!C79)-1)&lt;='01_Criterios'!$C$13),Aux!AA79+(Aux!AM79-Aux!AA79)*(2-Aux!C79)/(Aux!O79-Aux!C79),IF(AND(Aux!C79&lt;&gt;"",(2-N(Aux!C79))&lt;='01_Criterios'!$C$14),Aux!AA79,IF(AND(Aux!O79&lt;&gt;"",(N(Aux!O79)-2)&lt;='01_Criterios'!$C$15),Aux!AM79,"")))))</f>
        <v>92.701054773629295</v>
      </c>
      <c r="M79" s="6">
        <f>IF('03_Base_Indice'!$D79="","",IF('03_Base_Indice'!M79&lt;&gt;"",'03_Base_Indice'!M79,IF(AND(Aux!D79&lt;&gt;"",Aux!P79&lt;&gt;"",(N(Aux!P79)-N(Aux!D79)-1)&lt;='01_Criterios'!$C$13),Aux!AB79+(Aux!AN79-Aux!AB79)*(3-Aux!D79)/(Aux!P79-Aux!D79),IF(AND(Aux!D79&lt;&gt;"",(3-N(Aux!D79))&lt;='01_Criterios'!$C$14),Aux!AB79,IF(AND(Aux!P79&lt;&gt;"",(N(Aux!P79)-3)&lt;='01_Criterios'!$C$15),Aux!AN79,"")))))</f>
        <v>94.691255061968405</v>
      </c>
      <c r="N79" s="6">
        <f>IF('03_Base_Indice'!$D79="","",IF('03_Base_Indice'!N79&lt;&gt;"",'03_Base_Indice'!N79,IF(AND(Aux!E79&lt;&gt;"",Aux!Q79&lt;&gt;"",(N(Aux!Q79)-N(Aux!E79)-1)&lt;='01_Criterios'!$C$13),Aux!AC79+(Aux!AO79-Aux!AC79)*(4-Aux!E79)/(Aux!Q79-Aux!E79),IF(AND(Aux!E79&lt;&gt;"",(4-N(Aux!E79))&lt;='01_Criterios'!$C$14),Aux!AC79,IF(AND(Aux!Q79&lt;&gt;"",(N(Aux!Q79)-4)&lt;='01_Criterios'!$C$15),Aux!AO79,"")))))</f>
        <v>95.672320216927602</v>
      </c>
      <c r="O79" s="6">
        <f>IF('03_Base_Indice'!$D79="","",IF('03_Base_Indice'!O79&lt;&gt;"",'03_Base_Indice'!O79,IF(AND(Aux!F79&lt;&gt;"",Aux!R79&lt;&gt;"",(N(Aux!R79)-N(Aux!F79)-1)&lt;='01_Criterios'!$C$13),Aux!AD79+(Aux!AP79-Aux!AD79)*(5-Aux!F79)/(Aux!R79-Aux!F79),IF(AND(Aux!F79&lt;&gt;"",(5-N(Aux!F79))&lt;='01_Criterios'!$C$14),Aux!AD79,IF(AND(Aux!R79&lt;&gt;"",(N(Aux!R79)-5)&lt;='01_Criterios'!$C$15),Aux!AP79,"")))))</f>
        <v>95.249248327343906</v>
      </c>
      <c r="P79" s="6">
        <f>IF('03_Base_Indice'!$D79="","",IF('03_Base_Indice'!P79&lt;&gt;"",'03_Base_Indice'!P79,IF(AND(Aux!G79&lt;&gt;"",Aux!S79&lt;&gt;"",(N(Aux!S79)-N(Aux!G79)-1)&lt;='01_Criterios'!$C$13),Aux!AE79+(Aux!AQ79-Aux!AE79)*(6-Aux!G79)/(Aux!S79-Aux!G79),IF(AND(Aux!G79&lt;&gt;"",(6-N(Aux!G79))&lt;='01_Criterios'!$C$14),Aux!AE79,IF(AND(Aux!S79&lt;&gt;"",(N(Aux!S79)-6)&lt;='01_Criterios'!$C$15),Aux!AQ79,"")))))</f>
        <v>93.051290074937796</v>
      </c>
      <c r="Q79" s="6">
        <f>IF('03_Base_Indice'!$D79="","",IF('03_Base_Indice'!Q79&lt;&gt;"",'03_Base_Indice'!Q79,IF(AND(Aux!H79&lt;&gt;"",Aux!T79&lt;&gt;"",(N(Aux!T79)-N(Aux!H79)-1)&lt;='01_Criterios'!$C$13),Aux!AF79+(Aux!AR79-Aux!AF79)*(7-Aux!H79)/(Aux!T79-Aux!H79),IF(AND(Aux!H79&lt;&gt;"",(7-N(Aux!H79))&lt;='01_Criterios'!$C$14),Aux!AF79,IF(AND(Aux!T79&lt;&gt;"",(N(Aux!T79)-7)&lt;='01_Criterios'!$C$15),Aux!AR79,"")))))</f>
        <v>94.163746439545903</v>
      </c>
      <c r="R79" s="6">
        <f>IF('03_Base_Indice'!$D79="","",IF('03_Base_Indice'!R79&lt;&gt;"",'03_Base_Indice'!R79,IF(AND(Aux!I79&lt;&gt;"",Aux!U79&lt;&gt;"",(N(Aux!U79)-N(Aux!I79)-1)&lt;='01_Criterios'!$C$13),Aux!AG79+(Aux!AS79-Aux!AG79)*(8-Aux!I79)/(Aux!U79-Aux!I79),IF(AND(Aux!I79&lt;&gt;"",(8-N(Aux!I79))&lt;='01_Criterios'!$C$14),Aux!AG79,IF(AND(Aux!U79&lt;&gt;"",(N(Aux!U79)-8)&lt;='01_Criterios'!$C$15),Aux!AS79,"")))))</f>
        <v>94.923343563070205</v>
      </c>
      <c r="S79" s="6">
        <f>IF('03_Base_Indice'!$D79="","",IF('03_Base_Indice'!S79&lt;&gt;"",'03_Base_Indice'!S79,IF(AND(Aux!J79&lt;&gt;"",Aux!V79&lt;&gt;"",(N(Aux!V79)-N(Aux!J79)-1)&lt;='01_Criterios'!$C$13),Aux!AH79+(Aux!AT79-Aux!AH79)*(9-Aux!J79)/(Aux!V79-Aux!J79),IF(AND(Aux!J79&lt;&gt;"",(9-N(Aux!J79))&lt;='01_Criterios'!$C$14),Aux!AH79,IF(AND(Aux!V79&lt;&gt;"",(N(Aux!V79)-9)&lt;='01_Criterios'!$C$15),Aux!AT79,"")))))</f>
        <v>94.171086280141694</v>
      </c>
      <c r="T79" s="6">
        <f>IF('03_Base_Indice'!$D79="","",IF('03_Base_Indice'!T79&lt;&gt;"",'03_Base_Indice'!T79,IF(AND(Aux!K79&lt;&gt;"",Aux!W79&lt;&gt;"",(N(Aux!W79)-N(Aux!K79)-1)&lt;='01_Criterios'!$C$13),Aux!AI79+(Aux!AU79-Aux!AI79)*(10-Aux!K79)/(Aux!W79-Aux!K79),IF(AND(Aux!K79&lt;&gt;"",(10-N(Aux!K79))&lt;='01_Criterios'!$C$14),Aux!AI79,IF(AND(Aux!W79&lt;&gt;"",(N(Aux!W79)-10)&lt;='01_Criterios'!$C$15),Aux!AU79,"")))))</f>
        <v>94.134773630931804</v>
      </c>
      <c r="U79" s="6">
        <f>IF('03_Base_Indice'!$D79="","",IF('03_Base_Indice'!U79&lt;&gt;"",'03_Base_Indice'!U79,IF(AND(Aux!L79&lt;&gt;"",Aux!X79&lt;&gt;"",(N(Aux!X79)-N(Aux!L79)-1)&lt;='01_Criterios'!$C$13),Aux!AJ79+(Aux!AV79-Aux!AJ79)*(11-Aux!L79)/(Aux!X79-Aux!L79),IF(AND(Aux!L79&lt;&gt;"",(11-N(Aux!L79))&lt;='01_Criterios'!$C$14),Aux!AJ79,IF(AND(Aux!X79&lt;&gt;"",(N(Aux!X79)-11)&lt;='01_Criterios'!$C$15),Aux!AV79,"")))))</f>
        <v>94.134773630931804</v>
      </c>
    </row>
    <row r="80" spans="1:21">
      <c r="A80" s="6" t="str">
        <f>IF('03_Base_Indice'!$A80="","",'03_Base_Indice'!$A80)</f>
        <v>8. Diversificação Produtiva e Setor Privado</v>
      </c>
      <c r="B80" s="6">
        <f>'03_Base_Indice'!$B80</f>
        <v>6</v>
      </c>
      <c r="D80" s="6" t="str">
        <f>IF('03_Base_Indice'!$D80="","",'03_Base_Indice'!$D80)</f>
        <v/>
      </c>
      <c r="E80" s="6" t="str">
        <f>IF('03_Base_Indice'!$E80="","",'03_Base_Indice'!$E80)</f>
        <v/>
      </c>
      <c r="K80" s="6" t="str">
        <f>IF('03_Base_Indice'!$D80="","",IF('03_Base_Indice'!K80&lt;&gt;"",'03_Base_Indice'!K80,IF(AND(Aux!B80&lt;&gt;"",Aux!N80&lt;&gt;"",(N(Aux!N80)-N(Aux!B80)-1)&lt;='01_Criterios'!$C$13),Aux!Z80+(Aux!AL80-Aux!Z80)*(1-Aux!B80)/(Aux!N80-Aux!B80),IF(AND(Aux!B80&lt;&gt;"",(1-N(Aux!B80))&lt;='01_Criterios'!$C$14),Aux!Z80,IF(AND(Aux!N80&lt;&gt;"",(N(Aux!N80)-1)&lt;='01_Criterios'!$C$15),Aux!AL80,"")))))</f>
        <v/>
      </c>
      <c r="L80" s="6" t="str">
        <f>IF('03_Base_Indice'!$D80="","",IF('03_Base_Indice'!L80&lt;&gt;"",'03_Base_Indice'!L80,IF(AND(Aux!C80&lt;&gt;"",Aux!O80&lt;&gt;"",(N(Aux!O80)-N(Aux!C80)-1)&lt;='01_Criterios'!$C$13),Aux!AA80+(Aux!AM80-Aux!AA80)*(2-Aux!C80)/(Aux!O80-Aux!C80),IF(AND(Aux!C80&lt;&gt;"",(2-N(Aux!C80))&lt;='01_Criterios'!$C$14),Aux!AA80,IF(AND(Aux!O80&lt;&gt;"",(N(Aux!O80)-2)&lt;='01_Criterios'!$C$15),Aux!AM80,"")))))</f>
        <v/>
      </c>
      <c r="M80" s="6" t="str">
        <f>IF('03_Base_Indice'!$D80="","",IF('03_Base_Indice'!M80&lt;&gt;"",'03_Base_Indice'!M80,IF(AND(Aux!D80&lt;&gt;"",Aux!P80&lt;&gt;"",(N(Aux!P80)-N(Aux!D80)-1)&lt;='01_Criterios'!$C$13),Aux!AB80+(Aux!AN80-Aux!AB80)*(3-Aux!D80)/(Aux!P80-Aux!D80),IF(AND(Aux!D80&lt;&gt;"",(3-N(Aux!D80))&lt;='01_Criterios'!$C$14),Aux!AB80,IF(AND(Aux!P80&lt;&gt;"",(N(Aux!P80)-3)&lt;='01_Criterios'!$C$15),Aux!AN80,"")))))</f>
        <v/>
      </c>
      <c r="N80" s="6" t="str">
        <f>IF('03_Base_Indice'!$D80="","",IF('03_Base_Indice'!N80&lt;&gt;"",'03_Base_Indice'!N80,IF(AND(Aux!E80&lt;&gt;"",Aux!Q80&lt;&gt;"",(N(Aux!Q80)-N(Aux!E80)-1)&lt;='01_Criterios'!$C$13),Aux!AC80+(Aux!AO80-Aux!AC80)*(4-Aux!E80)/(Aux!Q80-Aux!E80),IF(AND(Aux!E80&lt;&gt;"",(4-N(Aux!E80))&lt;='01_Criterios'!$C$14),Aux!AC80,IF(AND(Aux!Q80&lt;&gt;"",(N(Aux!Q80)-4)&lt;='01_Criterios'!$C$15),Aux!AO80,"")))))</f>
        <v/>
      </c>
      <c r="O80" s="6" t="str">
        <f>IF('03_Base_Indice'!$D80="","",IF('03_Base_Indice'!O80&lt;&gt;"",'03_Base_Indice'!O80,IF(AND(Aux!F80&lt;&gt;"",Aux!R80&lt;&gt;"",(N(Aux!R80)-N(Aux!F80)-1)&lt;='01_Criterios'!$C$13),Aux!AD80+(Aux!AP80-Aux!AD80)*(5-Aux!F80)/(Aux!R80-Aux!F80),IF(AND(Aux!F80&lt;&gt;"",(5-N(Aux!F80))&lt;='01_Criterios'!$C$14),Aux!AD80,IF(AND(Aux!R80&lt;&gt;"",(N(Aux!R80)-5)&lt;='01_Criterios'!$C$15),Aux!AP80,"")))))</f>
        <v/>
      </c>
      <c r="P80" s="6" t="str">
        <f>IF('03_Base_Indice'!$D80="","",IF('03_Base_Indice'!P80&lt;&gt;"",'03_Base_Indice'!P80,IF(AND(Aux!G80&lt;&gt;"",Aux!S80&lt;&gt;"",(N(Aux!S80)-N(Aux!G80)-1)&lt;='01_Criterios'!$C$13),Aux!AE80+(Aux!AQ80-Aux!AE80)*(6-Aux!G80)/(Aux!S80-Aux!G80),IF(AND(Aux!G80&lt;&gt;"",(6-N(Aux!G80))&lt;='01_Criterios'!$C$14),Aux!AE80,IF(AND(Aux!S80&lt;&gt;"",(N(Aux!S80)-6)&lt;='01_Criterios'!$C$15),Aux!AQ80,"")))))</f>
        <v/>
      </c>
      <c r="Q80" s="6" t="str">
        <f>IF('03_Base_Indice'!$D80="","",IF('03_Base_Indice'!Q80&lt;&gt;"",'03_Base_Indice'!Q80,IF(AND(Aux!H80&lt;&gt;"",Aux!T80&lt;&gt;"",(N(Aux!T80)-N(Aux!H80)-1)&lt;='01_Criterios'!$C$13),Aux!AF80+(Aux!AR80-Aux!AF80)*(7-Aux!H80)/(Aux!T80-Aux!H80),IF(AND(Aux!H80&lt;&gt;"",(7-N(Aux!H80))&lt;='01_Criterios'!$C$14),Aux!AF80,IF(AND(Aux!T80&lt;&gt;"",(N(Aux!T80)-7)&lt;='01_Criterios'!$C$15),Aux!AR80,"")))))</f>
        <v/>
      </c>
      <c r="R80" s="6" t="str">
        <f>IF('03_Base_Indice'!$D80="","",IF('03_Base_Indice'!R80&lt;&gt;"",'03_Base_Indice'!R80,IF(AND(Aux!I80&lt;&gt;"",Aux!U80&lt;&gt;"",(N(Aux!U80)-N(Aux!I80)-1)&lt;='01_Criterios'!$C$13),Aux!AG80+(Aux!AS80-Aux!AG80)*(8-Aux!I80)/(Aux!U80-Aux!I80),IF(AND(Aux!I80&lt;&gt;"",(8-N(Aux!I80))&lt;='01_Criterios'!$C$14),Aux!AG80,IF(AND(Aux!U80&lt;&gt;"",(N(Aux!U80)-8)&lt;='01_Criterios'!$C$15),Aux!AS80,"")))))</f>
        <v/>
      </c>
      <c r="S80" s="6" t="str">
        <f>IF('03_Base_Indice'!$D80="","",IF('03_Base_Indice'!S80&lt;&gt;"",'03_Base_Indice'!S80,IF(AND(Aux!J80&lt;&gt;"",Aux!V80&lt;&gt;"",(N(Aux!V80)-N(Aux!J80)-1)&lt;='01_Criterios'!$C$13),Aux!AH80+(Aux!AT80-Aux!AH80)*(9-Aux!J80)/(Aux!V80-Aux!J80),IF(AND(Aux!J80&lt;&gt;"",(9-N(Aux!J80))&lt;='01_Criterios'!$C$14),Aux!AH80,IF(AND(Aux!V80&lt;&gt;"",(N(Aux!V80)-9)&lt;='01_Criterios'!$C$15),Aux!AT80,"")))))</f>
        <v/>
      </c>
      <c r="T80" s="6" t="str">
        <f>IF('03_Base_Indice'!$D80="","",IF('03_Base_Indice'!T80&lt;&gt;"",'03_Base_Indice'!T80,IF(AND(Aux!K80&lt;&gt;"",Aux!W80&lt;&gt;"",(N(Aux!W80)-N(Aux!K80)-1)&lt;='01_Criterios'!$C$13),Aux!AI80+(Aux!AU80-Aux!AI80)*(10-Aux!K80)/(Aux!W80-Aux!K80),IF(AND(Aux!K80&lt;&gt;"",(10-N(Aux!K80))&lt;='01_Criterios'!$C$14),Aux!AI80,IF(AND(Aux!W80&lt;&gt;"",(N(Aux!W80)-10)&lt;='01_Criterios'!$C$15),Aux!AU80,"")))))</f>
        <v/>
      </c>
      <c r="U80" s="6" t="str">
        <f>IF('03_Base_Indice'!$D80="","",IF('03_Base_Indice'!U80&lt;&gt;"",'03_Base_Indice'!U80,IF(AND(Aux!L80&lt;&gt;"",Aux!X80&lt;&gt;"",(N(Aux!X80)-N(Aux!L80)-1)&lt;='01_Criterios'!$C$13),Aux!AJ80+(Aux!AV80-Aux!AJ80)*(11-Aux!L80)/(Aux!X80-Aux!L80),IF(AND(Aux!L80&lt;&gt;"",(11-N(Aux!L80))&lt;='01_Criterios'!$C$14),Aux!AJ80,IF(AND(Aux!X80&lt;&gt;"",(N(Aux!X80)-11)&lt;='01_Criterios'!$C$15),Aux!AV80,"")))))</f>
        <v/>
      </c>
    </row>
    <row r="81" spans="1:21">
      <c r="A81" s="6" t="str">
        <f>IF('03_Base_Indice'!$A81="","",'03_Base_Indice'!$A81)</f>
        <v>8. Diversificação Produtiva e Setor Privado</v>
      </c>
      <c r="B81" s="6">
        <f>'03_Base_Indice'!$B81</f>
        <v>7</v>
      </c>
      <c r="D81" s="6" t="str">
        <f>IF('03_Base_Indice'!$D81="","",'03_Base_Indice'!$D81)</f>
        <v/>
      </c>
      <c r="E81" s="6" t="str">
        <f>IF('03_Base_Indice'!$E81="","",'03_Base_Indice'!$E81)</f>
        <v/>
      </c>
      <c r="K81" s="6" t="str">
        <f>IF('03_Base_Indice'!$D81="","",IF('03_Base_Indice'!K81&lt;&gt;"",'03_Base_Indice'!K81,IF(AND(Aux!B81&lt;&gt;"",Aux!N81&lt;&gt;"",(N(Aux!N81)-N(Aux!B81)-1)&lt;='01_Criterios'!$C$13),Aux!Z81+(Aux!AL81-Aux!Z81)*(1-Aux!B81)/(Aux!N81-Aux!B81),IF(AND(Aux!B81&lt;&gt;"",(1-N(Aux!B81))&lt;='01_Criterios'!$C$14),Aux!Z81,IF(AND(Aux!N81&lt;&gt;"",(N(Aux!N81)-1)&lt;='01_Criterios'!$C$15),Aux!AL81,"")))))</f>
        <v/>
      </c>
      <c r="L81" s="6" t="str">
        <f>IF('03_Base_Indice'!$D81="","",IF('03_Base_Indice'!L81&lt;&gt;"",'03_Base_Indice'!L81,IF(AND(Aux!C81&lt;&gt;"",Aux!O81&lt;&gt;"",(N(Aux!O81)-N(Aux!C81)-1)&lt;='01_Criterios'!$C$13),Aux!AA81+(Aux!AM81-Aux!AA81)*(2-Aux!C81)/(Aux!O81-Aux!C81),IF(AND(Aux!C81&lt;&gt;"",(2-N(Aux!C81))&lt;='01_Criterios'!$C$14),Aux!AA81,IF(AND(Aux!O81&lt;&gt;"",(N(Aux!O81)-2)&lt;='01_Criterios'!$C$15),Aux!AM81,"")))))</f>
        <v/>
      </c>
      <c r="M81" s="6" t="str">
        <f>IF('03_Base_Indice'!$D81="","",IF('03_Base_Indice'!M81&lt;&gt;"",'03_Base_Indice'!M81,IF(AND(Aux!D81&lt;&gt;"",Aux!P81&lt;&gt;"",(N(Aux!P81)-N(Aux!D81)-1)&lt;='01_Criterios'!$C$13),Aux!AB81+(Aux!AN81-Aux!AB81)*(3-Aux!D81)/(Aux!P81-Aux!D81),IF(AND(Aux!D81&lt;&gt;"",(3-N(Aux!D81))&lt;='01_Criterios'!$C$14),Aux!AB81,IF(AND(Aux!P81&lt;&gt;"",(N(Aux!P81)-3)&lt;='01_Criterios'!$C$15),Aux!AN81,"")))))</f>
        <v/>
      </c>
      <c r="N81" s="6" t="str">
        <f>IF('03_Base_Indice'!$D81="","",IF('03_Base_Indice'!N81&lt;&gt;"",'03_Base_Indice'!N81,IF(AND(Aux!E81&lt;&gt;"",Aux!Q81&lt;&gt;"",(N(Aux!Q81)-N(Aux!E81)-1)&lt;='01_Criterios'!$C$13),Aux!AC81+(Aux!AO81-Aux!AC81)*(4-Aux!E81)/(Aux!Q81-Aux!E81),IF(AND(Aux!E81&lt;&gt;"",(4-N(Aux!E81))&lt;='01_Criterios'!$C$14),Aux!AC81,IF(AND(Aux!Q81&lt;&gt;"",(N(Aux!Q81)-4)&lt;='01_Criterios'!$C$15),Aux!AO81,"")))))</f>
        <v/>
      </c>
      <c r="O81" s="6" t="str">
        <f>IF('03_Base_Indice'!$D81="","",IF('03_Base_Indice'!O81&lt;&gt;"",'03_Base_Indice'!O81,IF(AND(Aux!F81&lt;&gt;"",Aux!R81&lt;&gt;"",(N(Aux!R81)-N(Aux!F81)-1)&lt;='01_Criterios'!$C$13),Aux!AD81+(Aux!AP81-Aux!AD81)*(5-Aux!F81)/(Aux!R81-Aux!F81),IF(AND(Aux!F81&lt;&gt;"",(5-N(Aux!F81))&lt;='01_Criterios'!$C$14),Aux!AD81,IF(AND(Aux!R81&lt;&gt;"",(N(Aux!R81)-5)&lt;='01_Criterios'!$C$15),Aux!AP81,"")))))</f>
        <v/>
      </c>
      <c r="P81" s="6" t="str">
        <f>IF('03_Base_Indice'!$D81="","",IF('03_Base_Indice'!P81&lt;&gt;"",'03_Base_Indice'!P81,IF(AND(Aux!G81&lt;&gt;"",Aux!S81&lt;&gt;"",(N(Aux!S81)-N(Aux!G81)-1)&lt;='01_Criterios'!$C$13),Aux!AE81+(Aux!AQ81-Aux!AE81)*(6-Aux!G81)/(Aux!S81-Aux!G81),IF(AND(Aux!G81&lt;&gt;"",(6-N(Aux!G81))&lt;='01_Criterios'!$C$14),Aux!AE81,IF(AND(Aux!S81&lt;&gt;"",(N(Aux!S81)-6)&lt;='01_Criterios'!$C$15),Aux!AQ81,"")))))</f>
        <v/>
      </c>
      <c r="Q81" s="6" t="str">
        <f>IF('03_Base_Indice'!$D81="","",IF('03_Base_Indice'!Q81&lt;&gt;"",'03_Base_Indice'!Q81,IF(AND(Aux!H81&lt;&gt;"",Aux!T81&lt;&gt;"",(N(Aux!T81)-N(Aux!H81)-1)&lt;='01_Criterios'!$C$13),Aux!AF81+(Aux!AR81-Aux!AF81)*(7-Aux!H81)/(Aux!T81-Aux!H81),IF(AND(Aux!H81&lt;&gt;"",(7-N(Aux!H81))&lt;='01_Criterios'!$C$14),Aux!AF81,IF(AND(Aux!T81&lt;&gt;"",(N(Aux!T81)-7)&lt;='01_Criterios'!$C$15),Aux!AR81,"")))))</f>
        <v/>
      </c>
      <c r="R81" s="6" t="str">
        <f>IF('03_Base_Indice'!$D81="","",IF('03_Base_Indice'!R81&lt;&gt;"",'03_Base_Indice'!R81,IF(AND(Aux!I81&lt;&gt;"",Aux!U81&lt;&gt;"",(N(Aux!U81)-N(Aux!I81)-1)&lt;='01_Criterios'!$C$13),Aux!AG81+(Aux!AS81-Aux!AG81)*(8-Aux!I81)/(Aux!U81-Aux!I81),IF(AND(Aux!I81&lt;&gt;"",(8-N(Aux!I81))&lt;='01_Criterios'!$C$14),Aux!AG81,IF(AND(Aux!U81&lt;&gt;"",(N(Aux!U81)-8)&lt;='01_Criterios'!$C$15),Aux!AS81,"")))))</f>
        <v/>
      </c>
      <c r="S81" s="6" t="str">
        <f>IF('03_Base_Indice'!$D81="","",IF('03_Base_Indice'!S81&lt;&gt;"",'03_Base_Indice'!S81,IF(AND(Aux!J81&lt;&gt;"",Aux!V81&lt;&gt;"",(N(Aux!V81)-N(Aux!J81)-1)&lt;='01_Criterios'!$C$13),Aux!AH81+(Aux!AT81-Aux!AH81)*(9-Aux!J81)/(Aux!V81-Aux!J81),IF(AND(Aux!J81&lt;&gt;"",(9-N(Aux!J81))&lt;='01_Criterios'!$C$14),Aux!AH81,IF(AND(Aux!V81&lt;&gt;"",(N(Aux!V81)-9)&lt;='01_Criterios'!$C$15),Aux!AT81,"")))))</f>
        <v/>
      </c>
      <c r="T81" s="6" t="str">
        <f>IF('03_Base_Indice'!$D81="","",IF('03_Base_Indice'!T81&lt;&gt;"",'03_Base_Indice'!T81,IF(AND(Aux!K81&lt;&gt;"",Aux!W81&lt;&gt;"",(N(Aux!W81)-N(Aux!K81)-1)&lt;='01_Criterios'!$C$13),Aux!AI81+(Aux!AU81-Aux!AI81)*(10-Aux!K81)/(Aux!W81-Aux!K81),IF(AND(Aux!K81&lt;&gt;"",(10-N(Aux!K81))&lt;='01_Criterios'!$C$14),Aux!AI81,IF(AND(Aux!W81&lt;&gt;"",(N(Aux!W81)-10)&lt;='01_Criterios'!$C$15),Aux!AU81,"")))))</f>
        <v/>
      </c>
      <c r="U81" s="6" t="str">
        <f>IF('03_Base_Indice'!$D81="","",IF('03_Base_Indice'!U81&lt;&gt;"",'03_Base_Indice'!U81,IF(AND(Aux!L81&lt;&gt;"",Aux!X81&lt;&gt;"",(N(Aux!X81)-N(Aux!L81)-1)&lt;='01_Criterios'!$C$13),Aux!AJ81+(Aux!AV81-Aux!AJ81)*(11-Aux!L81)/(Aux!X81-Aux!L81),IF(AND(Aux!L81&lt;&gt;"",(11-N(Aux!L81))&lt;='01_Criterios'!$C$14),Aux!AJ81,IF(AND(Aux!X81&lt;&gt;"",(N(Aux!X81)-11)&lt;='01_Criterios'!$C$15),Aux!AV81,"")))))</f>
        <v/>
      </c>
    </row>
    <row r="82" spans="1:21">
      <c r="A82" s="6" t="str">
        <f>IF('03_Base_Indice'!$A82="","",'03_Base_Indice'!$A82)</f>
        <v>8. Diversificação Produtiva e Setor Privado</v>
      </c>
      <c r="B82" s="6">
        <f>'03_Base_Indice'!$B82</f>
        <v>8</v>
      </c>
      <c r="D82" s="6" t="str">
        <f>IF('03_Base_Indice'!$D82="","",'03_Base_Indice'!$D82)</f>
        <v/>
      </c>
      <c r="E82" s="6" t="str">
        <f>IF('03_Base_Indice'!$E82="","",'03_Base_Indice'!$E82)</f>
        <v/>
      </c>
      <c r="K82" s="6" t="str">
        <f>IF('03_Base_Indice'!$D82="","",IF('03_Base_Indice'!K82&lt;&gt;"",'03_Base_Indice'!K82,IF(AND(Aux!B82&lt;&gt;"",Aux!N82&lt;&gt;"",(N(Aux!N82)-N(Aux!B82)-1)&lt;='01_Criterios'!$C$13),Aux!Z82+(Aux!AL82-Aux!Z82)*(1-Aux!B82)/(Aux!N82-Aux!B82),IF(AND(Aux!B82&lt;&gt;"",(1-N(Aux!B82))&lt;='01_Criterios'!$C$14),Aux!Z82,IF(AND(Aux!N82&lt;&gt;"",(N(Aux!N82)-1)&lt;='01_Criterios'!$C$15),Aux!AL82,"")))))</f>
        <v/>
      </c>
      <c r="L82" s="6" t="str">
        <f>IF('03_Base_Indice'!$D82="","",IF('03_Base_Indice'!L82&lt;&gt;"",'03_Base_Indice'!L82,IF(AND(Aux!C82&lt;&gt;"",Aux!O82&lt;&gt;"",(N(Aux!O82)-N(Aux!C82)-1)&lt;='01_Criterios'!$C$13),Aux!AA82+(Aux!AM82-Aux!AA82)*(2-Aux!C82)/(Aux!O82-Aux!C82),IF(AND(Aux!C82&lt;&gt;"",(2-N(Aux!C82))&lt;='01_Criterios'!$C$14),Aux!AA82,IF(AND(Aux!O82&lt;&gt;"",(N(Aux!O82)-2)&lt;='01_Criterios'!$C$15),Aux!AM82,"")))))</f>
        <v/>
      </c>
      <c r="M82" s="6" t="str">
        <f>IF('03_Base_Indice'!$D82="","",IF('03_Base_Indice'!M82&lt;&gt;"",'03_Base_Indice'!M82,IF(AND(Aux!D82&lt;&gt;"",Aux!P82&lt;&gt;"",(N(Aux!P82)-N(Aux!D82)-1)&lt;='01_Criterios'!$C$13),Aux!AB82+(Aux!AN82-Aux!AB82)*(3-Aux!D82)/(Aux!P82-Aux!D82),IF(AND(Aux!D82&lt;&gt;"",(3-N(Aux!D82))&lt;='01_Criterios'!$C$14),Aux!AB82,IF(AND(Aux!P82&lt;&gt;"",(N(Aux!P82)-3)&lt;='01_Criterios'!$C$15),Aux!AN82,"")))))</f>
        <v/>
      </c>
      <c r="N82" s="6" t="str">
        <f>IF('03_Base_Indice'!$D82="","",IF('03_Base_Indice'!N82&lt;&gt;"",'03_Base_Indice'!N82,IF(AND(Aux!E82&lt;&gt;"",Aux!Q82&lt;&gt;"",(N(Aux!Q82)-N(Aux!E82)-1)&lt;='01_Criterios'!$C$13),Aux!AC82+(Aux!AO82-Aux!AC82)*(4-Aux!E82)/(Aux!Q82-Aux!E82),IF(AND(Aux!E82&lt;&gt;"",(4-N(Aux!E82))&lt;='01_Criterios'!$C$14),Aux!AC82,IF(AND(Aux!Q82&lt;&gt;"",(N(Aux!Q82)-4)&lt;='01_Criterios'!$C$15),Aux!AO82,"")))))</f>
        <v/>
      </c>
      <c r="O82" s="6" t="str">
        <f>IF('03_Base_Indice'!$D82="","",IF('03_Base_Indice'!O82&lt;&gt;"",'03_Base_Indice'!O82,IF(AND(Aux!F82&lt;&gt;"",Aux!R82&lt;&gt;"",(N(Aux!R82)-N(Aux!F82)-1)&lt;='01_Criterios'!$C$13),Aux!AD82+(Aux!AP82-Aux!AD82)*(5-Aux!F82)/(Aux!R82-Aux!F82),IF(AND(Aux!F82&lt;&gt;"",(5-N(Aux!F82))&lt;='01_Criterios'!$C$14),Aux!AD82,IF(AND(Aux!R82&lt;&gt;"",(N(Aux!R82)-5)&lt;='01_Criterios'!$C$15),Aux!AP82,"")))))</f>
        <v/>
      </c>
      <c r="P82" s="6" t="str">
        <f>IF('03_Base_Indice'!$D82="","",IF('03_Base_Indice'!P82&lt;&gt;"",'03_Base_Indice'!P82,IF(AND(Aux!G82&lt;&gt;"",Aux!S82&lt;&gt;"",(N(Aux!S82)-N(Aux!G82)-1)&lt;='01_Criterios'!$C$13),Aux!AE82+(Aux!AQ82-Aux!AE82)*(6-Aux!G82)/(Aux!S82-Aux!G82),IF(AND(Aux!G82&lt;&gt;"",(6-N(Aux!G82))&lt;='01_Criterios'!$C$14),Aux!AE82,IF(AND(Aux!S82&lt;&gt;"",(N(Aux!S82)-6)&lt;='01_Criterios'!$C$15),Aux!AQ82,"")))))</f>
        <v/>
      </c>
      <c r="Q82" s="6" t="str">
        <f>IF('03_Base_Indice'!$D82="","",IF('03_Base_Indice'!Q82&lt;&gt;"",'03_Base_Indice'!Q82,IF(AND(Aux!H82&lt;&gt;"",Aux!T82&lt;&gt;"",(N(Aux!T82)-N(Aux!H82)-1)&lt;='01_Criterios'!$C$13),Aux!AF82+(Aux!AR82-Aux!AF82)*(7-Aux!H82)/(Aux!T82-Aux!H82),IF(AND(Aux!H82&lt;&gt;"",(7-N(Aux!H82))&lt;='01_Criterios'!$C$14),Aux!AF82,IF(AND(Aux!T82&lt;&gt;"",(N(Aux!T82)-7)&lt;='01_Criterios'!$C$15),Aux!AR82,"")))))</f>
        <v/>
      </c>
      <c r="R82" s="6" t="str">
        <f>IF('03_Base_Indice'!$D82="","",IF('03_Base_Indice'!R82&lt;&gt;"",'03_Base_Indice'!R82,IF(AND(Aux!I82&lt;&gt;"",Aux!U82&lt;&gt;"",(N(Aux!U82)-N(Aux!I82)-1)&lt;='01_Criterios'!$C$13),Aux!AG82+(Aux!AS82-Aux!AG82)*(8-Aux!I82)/(Aux!U82-Aux!I82),IF(AND(Aux!I82&lt;&gt;"",(8-N(Aux!I82))&lt;='01_Criterios'!$C$14),Aux!AG82,IF(AND(Aux!U82&lt;&gt;"",(N(Aux!U82)-8)&lt;='01_Criterios'!$C$15),Aux!AS82,"")))))</f>
        <v/>
      </c>
      <c r="S82" s="6" t="str">
        <f>IF('03_Base_Indice'!$D82="","",IF('03_Base_Indice'!S82&lt;&gt;"",'03_Base_Indice'!S82,IF(AND(Aux!J82&lt;&gt;"",Aux!V82&lt;&gt;"",(N(Aux!V82)-N(Aux!J82)-1)&lt;='01_Criterios'!$C$13),Aux!AH82+(Aux!AT82-Aux!AH82)*(9-Aux!J82)/(Aux!V82-Aux!J82),IF(AND(Aux!J82&lt;&gt;"",(9-N(Aux!J82))&lt;='01_Criterios'!$C$14),Aux!AH82,IF(AND(Aux!V82&lt;&gt;"",(N(Aux!V82)-9)&lt;='01_Criterios'!$C$15),Aux!AT82,"")))))</f>
        <v/>
      </c>
      <c r="T82" s="6" t="str">
        <f>IF('03_Base_Indice'!$D82="","",IF('03_Base_Indice'!T82&lt;&gt;"",'03_Base_Indice'!T82,IF(AND(Aux!K82&lt;&gt;"",Aux!W82&lt;&gt;"",(N(Aux!W82)-N(Aux!K82)-1)&lt;='01_Criterios'!$C$13),Aux!AI82+(Aux!AU82-Aux!AI82)*(10-Aux!K82)/(Aux!W82-Aux!K82),IF(AND(Aux!K82&lt;&gt;"",(10-N(Aux!K82))&lt;='01_Criterios'!$C$14),Aux!AI82,IF(AND(Aux!W82&lt;&gt;"",(N(Aux!W82)-10)&lt;='01_Criterios'!$C$15),Aux!AU82,"")))))</f>
        <v/>
      </c>
      <c r="U82" s="6" t="str">
        <f>IF('03_Base_Indice'!$D82="","",IF('03_Base_Indice'!U82&lt;&gt;"",'03_Base_Indice'!U82,IF(AND(Aux!L82&lt;&gt;"",Aux!X82&lt;&gt;"",(N(Aux!X82)-N(Aux!L82)-1)&lt;='01_Criterios'!$C$13),Aux!AJ82+(Aux!AV82-Aux!AJ82)*(11-Aux!L82)/(Aux!X82-Aux!L82),IF(AND(Aux!L82&lt;&gt;"",(11-N(Aux!L82))&lt;='01_Criterios'!$C$14),Aux!AJ82,IF(AND(Aux!X82&lt;&gt;"",(N(Aux!X82)-11)&lt;='01_Criterios'!$C$15),Aux!AV82,"")))))</f>
        <v/>
      </c>
    </row>
    <row r="83" spans="1:21">
      <c r="A83" s="6" t="str">
        <f>IF('03_Base_Indice'!$A83="","",'03_Base_Indice'!$A83)</f>
        <v>8. Diversificação Produtiva e Setor Privado</v>
      </c>
      <c r="B83" s="6">
        <f>'03_Base_Indice'!$B83</f>
        <v>9</v>
      </c>
      <c r="D83" s="6" t="str">
        <f>IF('03_Base_Indice'!$D83="","",'03_Base_Indice'!$D83)</f>
        <v/>
      </c>
      <c r="E83" s="6" t="str">
        <f>IF('03_Base_Indice'!$E83="","",'03_Base_Indice'!$E83)</f>
        <v/>
      </c>
      <c r="K83" s="6" t="str">
        <f>IF('03_Base_Indice'!$D83="","",IF('03_Base_Indice'!K83&lt;&gt;"",'03_Base_Indice'!K83,IF(AND(Aux!B83&lt;&gt;"",Aux!N83&lt;&gt;"",(N(Aux!N83)-N(Aux!B83)-1)&lt;='01_Criterios'!$C$13),Aux!Z83+(Aux!AL83-Aux!Z83)*(1-Aux!B83)/(Aux!N83-Aux!B83),IF(AND(Aux!B83&lt;&gt;"",(1-N(Aux!B83))&lt;='01_Criterios'!$C$14),Aux!Z83,IF(AND(Aux!N83&lt;&gt;"",(N(Aux!N83)-1)&lt;='01_Criterios'!$C$15),Aux!AL83,"")))))</f>
        <v/>
      </c>
      <c r="L83" s="6" t="str">
        <f>IF('03_Base_Indice'!$D83="","",IF('03_Base_Indice'!L83&lt;&gt;"",'03_Base_Indice'!L83,IF(AND(Aux!C83&lt;&gt;"",Aux!O83&lt;&gt;"",(N(Aux!O83)-N(Aux!C83)-1)&lt;='01_Criterios'!$C$13),Aux!AA83+(Aux!AM83-Aux!AA83)*(2-Aux!C83)/(Aux!O83-Aux!C83),IF(AND(Aux!C83&lt;&gt;"",(2-N(Aux!C83))&lt;='01_Criterios'!$C$14),Aux!AA83,IF(AND(Aux!O83&lt;&gt;"",(N(Aux!O83)-2)&lt;='01_Criterios'!$C$15),Aux!AM83,"")))))</f>
        <v/>
      </c>
      <c r="M83" s="6" t="str">
        <f>IF('03_Base_Indice'!$D83="","",IF('03_Base_Indice'!M83&lt;&gt;"",'03_Base_Indice'!M83,IF(AND(Aux!D83&lt;&gt;"",Aux!P83&lt;&gt;"",(N(Aux!P83)-N(Aux!D83)-1)&lt;='01_Criterios'!$C$13),Aux!AB83+(Aux!AN83-Aux!AB83)*(3-Aux!D83)/(Aux!P83-Aux!D83),IF(AND(Aux!D83&lt;&gt;"",(3-N(Aux!D83))&lt;='01_Criterios'!$C$14),Aux!AB83,IF(AND(Aux!P83&lt;&gt;"",(N(Aux!P83)-3)&lt;='01_Criterios'!$C$15),Aux!AN83,"")))))</f>
        <v/>
      </c>
      <c r="N83" s="6" t="str">
        <f>IF('03_Base_Indice'!$D83="","",IF('03_Base_Indice'!N83&lt;&gt;"",'03_Base_Indice'!N83,IF(AND(Aux!E83&lt;&gt;"",Aux!Q83&lt;&gt;"",(N(Aux!Q83)-N(Aux!E83)-1)&lt;='01_Criterios'!$C$13),Aux!AC83+(Aux!AO83-Aux!AC83)*(4-Aux!E83)/(Aux!Q83-Aux!E83),IF(AND(Aux!E83&lt;&gt;"",(4-N(Aux!E83))&lt;='01_Criterios'!$C$14),Aux!AC83,IF(AND(Aux!Q83&lt;&gt;"",(N(Aux!Q83)-4)&lt;='01_Criterios'!$C$15),Aux!AO83,"")))))</f>
        <v/>
      </c>
      <c r="O83" s="6" t="str">
        <f>IF('03_Base_Indice'!$D83="","",IF('03_Base_Indice'!O83&lt;&gt;"",'03_Base_Indice'!O83,IF(AND(Aux!F83&lt;&gt;"",Aux!R83&lt;&gt;"",(N(Aux!R83)-N(Aux!F83)-1)&lt;='01_Criterios'!$C$13),Aux!AD83+(Aux!AP83-Aux!AD83)*(5-Aux!F83)/(Aux!R83-Aux!F83),IF(AND(Aux!F83&lt;&gt;"",(5-N(Aux!F83))&lt;='01_Criterios'!$C$14),Aux!AD83,IF(AND(Aux!R83&lt;&gt;"",(N(Aux!R83)-5)&lt;='01_Criterios'!$C$15),Aux!AP83,"")))))</f>
        <v/>
      </c>
      <c r="P83" s="6" t="str">
        <f>IF('03_Base_Indice'!$D83="","",IF('03_Base_Indice'!P83&lt;&gt;"",'03_Base_Indice'!P83,IF(AND(Aux!G83&lt;&gt;"",Aux!S83&lt;&gt;"",(N(Aux!S83)-N(Aux!G83)-1)&lt;='01_Criterios'!$C$13),Aux!AE83+(Aux!AQ83-Aux!AE83)*(6-Aux!G83)/(Aux!S83-Aux!G83),IF(AND(Aux!G83&lt;&gt;"",(6-N(Aux!G83))&lt;='01_Criterios'!$C$14),Aux!AE83,IF(AND(Aux!S83&lt;&gt;"",(N(Aux!S83)-6)&lt;='01_Criterios'!$C$15),Aux!AQ83,"")))))</f>
        <v/>
      </c>
      <c r="Q83" s="6" t="str">
        <f>IF('03_Base_Indice'!$D83="","",IF('03_Base_Indice'!Q83&lt;&gt;"",'03_Base_Indice'!Q83,IF(AND(Aux!H83&lt;&gt;"",Aux!T83&lt;&gt;"",(N(Aux!T83)-N(Aux!H83)-1)&lt;='01_Criterios'!$C$13),Aux!AF83+(Aux!AR83-Aux!AF83)*(7-Aux!H83)/(Aux!T83-Aux!H83),IF(AND(Aux!H83&lt;&gt;"",(7-N(Aux!H83))&lt;='01_Criterios'!$C$14),Aux!AF83,IF(AND(Aux!T83&lt;&gt;"",(N(Aux!T83)-7)&lt;='01_Criterios'!$C$15),Aux!AR83,"")))))</f>
        <v/>
      </c>
      <c r="R83" s="6" t="str">
        <f>IF('03_Base_Indice'!$D83="","",IF('03_Base_Indice'!R83&lt;&gt;"",'03_Base_Indice'!R83,IF(AND(Aux!I83&lt;&gt;"",Aux!U83&lt;&gt;"",(N(Aux!U83)-N(Aux!I83)-1)&lt;='01_Criterios'!$C$13),Aux!AG83+(Aux!AS83-Aux!AG83)*(8-Aux!I83)/(Aux!U83-Aux!I83),IF(AND(Aux!I83&lt;&gt;"",(8-N(Aux!I83))&lt;='01_Criterios'!$C$14),Aux!AG83,IF(AND(Aux!U83&lt;&gt;"",(N(Aux!U83)-8)&lt;='01_Criterios'!$C$15),Aux!AS83,"")))))</f>
        <v/>
      </c>
      <c r="S83" s="6" t="str">
        <f>IF('03_Base_Indice'!$D83="","",IF('03_Base_Indice'!S83&lt;&gt;"",'03_Base_Indice'!S83,IF(AND(Aux!J83&lt;&gt;"",Aux!V83&lt;&gt;"",(N(Aux!V83)-N(Aux!J83)-1)&lt;='01_Criterios'!$C$13),Aux!AH83+(Aux!AT83-Aux!AH83)*(9-Aux!J83)/(Aux!V83-Aux!J83),IF(AND(Aux!J83&lt;&gt;"",(9-N(Aux!J83))&lt;='01_Criterios'!$C$14),Aux!AH83,IF(AND(Aux!V83&lt;&gt;"",(N(Aux!V83)-9)&lt;='01_Criterios'!$C$15),Aux!AT83,"")))))</f>
        <v/>
      </c>
      <c r="T83" s="6" t="str">
        <f>IF('03_Base_Indice'!$D83="","",IF('03_Base_Indice'!T83&lt;&gt;"",'03_Base_Indice'!T83,IF(AND(Aux!K83&lt;&gt;"",Aux!W83&lt;&gt;"",(N(Aux!W83)-N(Aux!K83)-1)&lt;='01_Criterios'!$C$13),Aux!AI83+(Aux!AU83-Aux!AI83)*(10-Aux!K83)/(Aux!W83-Aux!K83),IF(AND(Aux!K83&lt;&gt;"",(10-N(Aux!K83))&lt;='01_Criterios'!$C$14),Aux!AI83,IF(AND(Aux!W83&lt;&gt;"",(N(Aux!W83)-10)&lt;='01_Criterios'!$C$15),Aux!AU83,"")))))</f>
        <v/>
      </c>
      <c r="U83" s="6" t="str">
        <f>IF('03_Base_Indice'!$D83="","",IF('03_Base_Indice'!U83&lt;&gt;"",'03_Base_Indice'!U83,IF(AND(Aux!L83&lt;&gt;"",Aux!X83&lt;&gt;"",(N(Aux!X83)-N(Aux!L83)-1)&lt;='01_Criterios'!$C$13),Aux!AJ83+(Aux!AV83-Aux!AJ83)*(11-Aux!L83)/(Aux!X83-Aux!L83),IF(AND(Aux!L83&lt;&gt;"",(11-N(Aux!L83))&lt;='01_Criterios'!$C$14),Aux!AJ83,IF(AND(Aux!X83&lt;&gt;"",(N(Aux!X83)-11)&lt;='01_Criterios'!$C$15),Aux!AV83,"")))))</f>
        <v/>
      </c>
    </row>
    <row r="84" spans="1:21">
      <c r="A84" s="6" t="str">
        <f>IF('03_Base_Indice'!$A84="","",'03_Base_Indice'!$A84)</f>
        <v>8. Diversificação Produtiva e Setor Privado</v>
      </c>
      <c r="B84" s="6">
        <f>'03_Base_Indice'!$B84</f>
        <v>10</v>
      </c>
      <c r="D84" s="6" t="str">
        <f>IF('03_Base_Indice'!$D84="","",'03_Base_Indice'!$D84)</f>
        <v/>
      </c>
      <c r="E84" s="6" t="str">
        <f>IF('03_Base_Indice'!$E84="","",'03_Base_Indice'!$E84)</f>
        <v/>
      </c>
      <c r="K84" s="6" t="str">
        <f>IF('03_Base_Indice'!$D84="","",IF('03_Base_Indice'!K84&lt;&gt;"",'03_Base_Indice'!K84,IF(AND(Aux!B84&lt;&gt;"",Aux!N84&lt;&gt;"",(N(Aux!N84)-N(Aux!B84)-1)&lt;='01_Criterios'!$C$13),Aux!Z84+(Aux!AL84-Aux!Z84)*(1-Aux!B84)/(Aux!N84-Aux!B84),IF(AND(Aux!B84&lt;&gt;"",(1-N(Aux!B84))&lt;='01_Criterios'!$C$14),Aux!Z84,IF(AND(Aux!N84&lt;&gt;"",(N(Aux!N84)-1)&lt;='01_Criterios'!$C$15),Aux!AL84,"")))))</f>
        <v/>
      </c>
      <c r="L84" s="6" t="str">
        <f>IF('03_Base_Indice'!$D84="","",IF('03_Base_Indice'!L84&lt;&gt;"",'03_Base_Indice'!L84,IF(AND(Aux!C84&lt;&gt;"",Aux!O84&lt;&gt;"",(N(Aux!O84)-N(Aux!C84)-1)&lt;='01_Criterios'!$C$13),Aux!AA84+(Aux!AM84-Aux!AA84)*(2-Aux!C84)/(Aux!O84-Aux!C84),IF(AND(Aux!C84&lt;&gt;"",(2-N(Aux!C84))&lt;='01_Criterios'!$C$14),Aux!AA84,IF(AND(Aux!O84&lt;&gt;"",(N(Aux!O84)-2)&lt;='01_Criterios'!$C$15),Aux!AM84,"")))))</f>
        <v/>
      </c>
      <c r="M84" s="6" t="str">
        <f>IF('03_Base_Indice'!$D84="","",IF('03_Base_Indice'!M84&lt;&gt;"",'03_Base_Indice'!M84,IF(AND(Aux!D84&lt;&gt;"",Aux!P84&lt;&gt;"",(N(Aux!P84)-N(Aux!D84)-1)&lt;='01_Criterios'!$C$13),Aux!AB84+(Aux!AN84-Aux!AB84)*(3-Aux!D84)/(Aux!P84-Aux!D84),IF(AND(Aux!D84&lt;&gt;"",(3-N(Aux!D84))&lt;='01_Criterios'!$C$14),Aux!AB84,IF(AND(Aux!P84&lt;&gt;"",(N(Aux!P84)-3)&lt;='01_Criterios'!$C$15),Aux!AN84,"")))))</f>
        <v/>
      </c>
      <c r="N84" s="6" t="str">
        <f>IF('03_Base_Indice'!$D84="","",IF('03_Base_Indice'!N84&lt;&gt;"",'03_Base_Indice'!N84,IF(AND(Aux!E84&lt;&gt;"",Aux!Q84&lt;&gt;"",(N(Aux!Q84)-N(Aux!E84)-1)&lt;='01_Criterios'!$C$13),Aux!AC84+(Aux!AO84-Aux!AC84)*(4-Aux!E84)/(Aux!Q84-Aux!E84),IF(AND(Aux!E84&lt;&gt;"",(4-N(Aux!E84))&lt;='01_Criterios'!$C$14),Aux!AC84,IF(AND(Aux!Q84&lt;&gt;"",(N(Aux!Q84)-4)&lt;='01_Criterios'!$C$15),Aux!AO84,"")))))</f>
        <v/>
      </c>
      <c r="O84" s="6" t="str">
        <f>IF('03_Base_Indice'!$D84="","",IF('03_Base_Indice'!O84&lt;&gt;"",'03_Base_Indice'!O84,IF(AND(Aux!F84&lt;&gt;"",Aux!R84&lt;&gt;"",(N(Aux!R84)-N(Aux!F84)-1)&lt;='01_Criterios'!$C$13),Aux!AD84+(Aux!AP84-Aux!AD84)*(5-Aux!F84)/(Aux!R84-Aux!F84),IF(AND(Aux!F84&lt;&gt;"",(5-N(Aux!F84))&lt;='01_Criterios'!$C$14),Aux!AD84,IF(AND(Aux!R84&lt;&gt;"",(N(Aux!R84)-5)&lt;='01_Criterios'!$C$15),Aux!AP84,"")))))</f>
        <v/>
      </c>
      <c r="P84" s="6" t="str">
        <f>IF('03_Base_Indice'!$D84="","",IF('03_Base_Indice'!P84&lt;&gt;"",'03_Base_Indice'!P84,IF(AND(Aux!G84&lt;&gt;"",Aux!S84&lt;&gt;"",(N(Aux!S84)-N(Aux!G84)-1)&lt;='01_Criterios'!$C$13),Aux!AE84+(Aux!AQ84-Aux!AE84)*(6-Aux!G84)/(Aux!S84-Aux!G84),IF(AND(Aux!G84&lt;&gt;"",(6-N(Aux!G84))&lt;='01_Criterios'!$C$14),Aux!AE84,IF(AND(Aux!S84&lt;&gt;"",(N(Aux!S84)-6)&lt;='01_Criterios'!$C$15),Aux!AQ84,"")))))</f>
        <v/>
      </c>
      <c r="Q84" s="6" t="str">
        <f>IF('03_Base_Indice'!$D84="","",IF('03_Base_Indice'!Q84&lt;&gt;"",'03_Base_Indice'!Q84,IF(AND(Aux!H84&lt;&gt;"",Aux!T84&lt;&gt;"",(N(Aux!T84)-N(Aux!H84)-1)&lt;='01_Criterios'!$C$13),Aux!AF84+(Aux!AR84-Aux!AF84)*(7-Aux!H84)/(Aux!T84-Aux!H84),IF(AND(Aux!H84&lt;&gt;"",(7-N(Aux!H84))&lt;='01_Criterios'!$C$14),Aux!AF84,IF(AND(Aux!T84&lt;&gt;"",(N(Aux!T84)-7)&lt;='01_Criterios'!$C$15),Aux!AR84,"")))))</f>
        <v/>
      </c>
      <c r="R84" s="6" t="str">
        <f>IF('03_Base_Indice'!$D84="","",IF('03_Base_Indice'!R84&lt;&gt;"",'03_Base_Indice'!R84,IF(AND(Aux!I84&lt;&gt;"",Aux!U84&lt;&gt;"",(N(Aux!U84)-N(Aux!I84)-1)&lt;='01_Criterios'!$C$13),Aux!AG84+(Aux!AS84-Aux!AG84)*(8-Aux!I84)/(Aux!U84-Aux!I84),IF(AND(Aux!I84&lt;&gt;"",(8-N(Aux!I84))&lt;='01_Criterios'!$C$14),Aux!AG84,IF(AND(Aux!U84&lt;&gt;"",(N(Aux!U84)-8)&lt;='01_Criterios'!$C$15),Aux!AS84,"")))))</f>
        <v/>
      </c>
      <c r="S84" s="6" t="str">
        <f>IF('03_Base_Indice'!$D84="","",IF('03_Base_Indice'!S84&lt;&gt;"",'03_Base_Indice'!S84,IF(AND(Aux!J84&lt;&gt;"",Aux!V84&lt;&gt;"",(N(Aux!V84)-N(Aux!J84)-1)&lt;='01_Criterios'!$C$13),Aux!AH84+(Aux!AT84-Aux!AH84)*(9-Aux!J84)/(Aux!V84-Aux!J84),IF(AND(Aux!J84&lt;&gt;"",(9-N(Aux!J84))&lt;='01_Criterios'!$C$14),Aux!AH84,IF(AND(Aux!V84&lt;&gt;"",(N(Aux!V84)-9)&lt;='01_Criterios'!$C$15),Aux!AT84,"")))))</f>
        <v/>
      </c>
      <c r="T84" s="6" t="str">
        <f>IF('03_Base_Indice'!$D84="","",IF('03_Base_Indice'!T84&lt;&gt;"",'03_Base_Indice'!T84,IF(AND(Aux!K84&lt;&gt;"",Aux!W84&lt;&gt;"",(N(Aux!W84)-N(Aux!K84)-1)&lt;='01_Criterios'!$C$13),Aux!AI84+(Aux!AU84-Aux!AI84)*(10-Aux!K84)/(Aux!W84-Aux!K84),IF(AND(Aux!K84&lt;&gt;"",(10-N(Aux!K84))&lt;='01_Criterios'!$C$14),Aux!AI84,IF(AND(Aux!W84&lt;&gt;"",(N(Aux!W84)-10)&lt;='01_Criterios'!$C$15),Aux!AU84,"")))))</f>
        <v/>
      </c>
      <c r="U84" s="6" t="str">
        <f>IF('03_Base_Indice'!$D84="","",IF('03_Base_Indice'!U84&lt;&gt;"",'03_Base_Indice'!U84,IF(AND(Aux!L84&lt;&gt;"",Aux!X84&lt;&gt;"",(N(Aux!X84)-N(Aux!L84)-1)&lt;='01_Criterios'!$C$13),Aux!AJ84+(Aux!AV84-Aux!AJ84)*(11-Aux!L84)/(Aux!X84-Aux!L84),IF(AND(Aux!L84&lt;&gt;"",(11-N(Aux!L84))&lt;='01_Criterios'!$C$14),Aux!AJ84,IF(AND(Aux!X84&lt;&gt;"",(N(Aux!X84)-11)&lt;='01_Criterios'!$C$15),Aux!AV84,"")))))</f>
        <v/>
      </c>
    </row>
    <row r="85" spans="1:21">
      <c r="A85" s="6" t="str">
        <f>IF('03_Base_Indice'!$A85="","",'03_Base_Indice'!$A85)</f>
        <v>9. Ambiente, Clima e Resiliência</v>
      </c>
      <c r="B85" s="6">
        <f>'03_Base_Indice'!$B85</f>
        <v>1</v>
      </c>
      <c r="D85" s="6" t="str">
        <f>IF('03_Base_Indice'!$D85="","",'03_Base_Indice'!$D85)</f>
        <v/>
      </c>
      <c r="E85" s="6" t="str">
        <f>IF('03_Base_Indice'!$E85="","",'03_Base_Indice'!$E85)</f>
        <v/>
      </c>
      <c r="K85" s="6" t="str">
        <f>IF('03_Base_Indice'!$D85="","",IF('03_Base_Indice'!K85&lt;&gt;"",'03_Base_Indice'!K85,IF(AND(Aux!B85&lt;&gt;"",Aux!N85&lt;&gt;"",(N(Aux!N85)-N(Aux!B85)-1)&lt;='01_Criterios'!$C$13),Aux!Z85+(Aux!AL85-Aux!Z85)*(1-Aux!B85)/(Aux!N85-Aux!B85),IF(AND(Aux!B85&lt;&gt;"",(1-N(Aux!B85))&lt;='01_Criterios'!$C$14),Aux!Z85,IF(AND(Aux!N85&lt;&gt;"",(N(Aux!N85)-1)&lt;='01_Criterios'!$C$15),Aux!AL85,"")))))</f>
        <v/>
      </c>
      <c r="L85" s="6" t="str">
        <f>IF('03_Base_Indice'!$D85="","",IF('03_Base_Indice'!L85&lt;&gt;"",'03_Base_Indice'!L85,IF(AND(Aux!C85&lt;&gt;"",Aux!O85&lt;&gt;"",(N(Aux!O85)-N(Aux!C85)-1)&lt;='01_Criterios'!$C$13),Aux!AA85+(Aux!AM85-Aux!AA85)*(2-Aux!C85)/(Aux!O85-Aux!C85),IF(AND(Aux!C85&lt;&gt;"",(2-N(Aux!C85))&lt;='01_Criterios'!$C$14),Aux!AA85,IF(AND(Aux!O85&lt;&gt;"",(N(Aux!O85)-2)&lt;='01_Criterios'!$C$15),Aux!AM85,"")))))</f>
        <v/>
      </c>
      <c r="M85" s="6" t="str">
        <f>IF('03_Base_Indice'!$D85="","",IF('03_Base_Indice'!M85&lt;&gt;"",'03_Base_Indice'!M85,IF(AND(Aux!D85&lt;&gt;"",Aux!P85&lt;&gt;"",(N(Aux!P85)-N(Aux!D85)-1)&lt;='01_Criterios'!$C$13),Aux!AB85+(Aux!AN85-Aux!AB85)*(3-Aux!D85)/(Aux!P85-Aux!D85),IF(AND(Aux!D85&lt;&gt;"",(3-N(Aux!D85))&lt;='01_Criterios'!$C$14),Aux!AB85,IF(AND(Aux!P85&lt;&gt;"",(N(Aux!P85)-3)&lt;='01_Criterios'!$C$15),Aux!AN85,"")))))</f>
        <v/>
      </c>
      <c r="N85" s="6" t="str">
        <f>IF('03_Base_Indice'!$D85="","",IF('03_Base_Indice'!N85&lt;&gt;"",'03_Base_Indice'!N85,IF(AND(Aux!E85&lt;&gt;"",Aux!Q85&lt;&gt;"",(N(Aux!Q85)-N(Aux!E85)-1)&lt;='01_Criterios'!$C$13),Aux!AC85+(Aux!AO85-Aux!AC85)*(4-Aux!E85)/(Aux!Q85-Aux!E85),IF(AND(Aux!E85&lt;&gt;"",(4-N(Aux!E85))&lt;='01_Criterios'!$C$14),Aux!AC85,IF(AND(Aux!Q85&lt;&gt;"",(N(Aux!Q85)-4)&lt;='01_Criterios'!$C$15),Aux!AO85,"")))))</f>
        <v/>
      </c>
      <c r="O85" s="6" t="str">
        <f>IF('03_Base_Indice'!$D85="","",IF('03_Base_Indice'!O85&lt;&gt;"",'03_Base_Indice'!O85,IF(AND(Aux!F85&lt;&gt;"",Aux!R85&lt;&gt;"",(N(Aux!R85)-N(Aux!F85)-1)&lt;='01_Criterios'!$C$13),Aux!AD85+(Aux!AP85-Aux!AD85)*(5-Aux!F85)/(Aux!R85-Aux!F85),IF(AND(Aux!F85&lt;&gt;"",(5-N(Aux!F85))&lt;='01_Criterios'!$C$14),Aux!AD85,IF(AND(Aux!R85&lt;&gt;"",(N(Aux!R85)-5)&lt;='01_Criterios'!$C$15),Aux!AP85,"")))))</f>
        <v/>
      </c>
      <c r="P85" s="6" t="str">
        <f>IF('03_Base_Indice'!$D85="","",IF('03_Base_Indice'!P85&lt;&gt;"",'03_Base_Indice'!P85,IF(AND(Aux!G85&lt;&gt;"",Aux!S85&lt;&gt;"",(N(Aux!S85)-N(Aux!G85)-1)&lt;='01_Criterios'!$C$13),Aux!AE85+(Aux!AQ85-Aux!AE85)*(6-Aux!G85)/(Aux!S85-Aux!G85),IF(AND(Aux!G85&lt;&gt;"",(6-N(Aux!G85))&lt;='01_Criterios'!$C$14),Aux!AE85,IF(AND(Aux!S85&lt;&gt;"",(N(Aux!S85)-6)&lt;='01_Criterios'!$C$15),Aux!AQ85,"")))))</f>
        <v/>
      </c>
      <c r="Q85" s="6" t="str">
        <f>IF('03_Base_Indice'!$D85="","",IF('03_Base_Indice'!Q85&lt;&gt;"",'03_Base_Indice'!Q85,IF(AND(Aux!H85&lt;&gt;"",Aux!T85&lt;&gt;"",(N(Aux!T85)-N(Aux!H85)-1)&lt;='01_Criterios'!$C$13),Aux!AF85+(Aux!AR85-Aux!AF85)*(7-Aux!H85)/(Aux!T85-Aux!H85),IF(AND(Aux!H85&lt;&gt;"",(7-N(Aux!H85))&lt;='01_Criterios'!$C$14),Aux!AF85,IF(AND(Aux!T85&lt;&gt;"",(N(Aux!T85)-7)&lt;='01_Criterios'!$C$15),Aux!AR85,"")))))</f>
        <v/>
      </c>
      <c r="R85" s="6" t="str">
        <f>IF('03_Base_Indice'!$D85="","",IF('03_Base_Indice'!R85&lt;&gt;"",'03_Base_Indice'!R85,IF(AND(Aux!I85&lt;&gt;"",Aux!U85&lt;&gt;"",(N(Aux!U85)-N(Aux!I85)-1)&lt;='01_Criterios'!$C$13),Aux!AG85+(Aux!AS85-Aux!AG85)*(8-Aux!I85)/(Aux!U85-Aux!I85),IF(AND(Aux!I85&lt;&gt;"",(8-N(Aux!I85))&lt;='01_Criterios'!$C$14),Aux!AG85,IF(AND(Aux!U85&lt;&gt;"",(N(Aux!U85)-8)&lt;='01_Criterios'!$C$15),Aux!AS85,"")))))</f>
        <v/>
      </c>
      <c r="S85" s="6" t="str">
        <f>IF('03_Base_Indice'!$D85="","",IF('03_Base_Indice'!S85&lt;&gt;"",'03_Base_Indice'!S85,IF(AND(Aux!J85&lt;&gt;"",Aux!V85&lt;&gt;"",(N(Aux!V85)-N(Aux!J85)-1)&lt;='01_Criterios'!$C$13),Aux!AH85+(Aux!AT85-Aux!AH85)*(9-Aux!J85)/(Aux!V85-Aux!J85),IF(AND(Aux!J85&lt;&gt;"",(9-N(Aux!J85))&lt;='01_Criterios'!$C$14),Aux!AH85,IF(AND(Aux!V85&lt;&gt;"",(N(Aux!V85)-9)&lt;='01_Criterios'!$C$15),Aux!AT85,"")))))</f>
        <v/>
      </c>
      <c r="T85" s="6" t="str">
        <f>IF('03_Base_Indice'!$D85="","",IF('03_Base_Indice'!T85&lt;&gt;"",'03_Base_Indice'!T85,IF(AND(Aux!K85&lt;&gt;"",Aux!W85&lt;&gt;"",(N(Aux!W85)-N(Aux!K85)-1)&lt;='01_Criterios'!$C$13),Aux!AI85+(Aux!AU85-Aux!AI85)*(10-Aux!K85)/(Aux!W85-Aux!K85),IF(AND(Aux!K85&lt;&gt;"",(10-N(Aux!K85))&lt;='01_Criterios'!$C$14),Aux!AI85,IF(AND(Aux!W85&lt;&gt;"",(N(Aux!W85)-10)&lt;='01_Criterios'!$C$15),Aux!AU85,"")))))</f>
        <v/>
      </c>
      <c r="U85" s="6" t="str">
        <f>IF('03_Base_Indice'!$D85="","",IF('03_Base_Indice'!U85&lt;&gt;"",'03_Base_Indice'!U85,IF(AND(Aux!L85&lt;&gt;"",Aux!X85&lt;&gt;"",(N(Aux!X85)-N(Aux!L85)-1)&lt;='01_Criterios'!$C$13),Aux!AJ85+(Aux!AV85-Aux!AJ85)*(11-Aux!L85)/(Aux!X85-Aux!L85),IF(AND(Aux!L85&lt;&gt;"",(11-N(Aux!L85))&lt;='01_Criterios'!$C$14),Aux!AJ85,IF(AND(Aux!X85&lt;&gt;"",(N(Aux!X85)-11)&lt;='01_Criterios'!$C$15),Aux!AV85,"")))))</f>
        <v/>
      </c>
    </row>
    <row r="86" spans="1:21">
      <c r="A86" s="6" t="str">
        <f>IF('03_Base_Indice'!$A86="","",'03_Base_Indice'!$A86)</f>
        <v>9. Ambiente, Clima e Resiliência</v>
      </c>
      <c r="B86" s="6">
        <f>'03_Base_Indice'!$B86</f>
        <v>2</v>
      </c>
      <c r="D86" s="6" t="str">
        <f>IF('03_Base_Indice'!$D86="","",'03_Base_Indice'!$D86)</f>
        <v/>
      </c>
      <c r="E86" s="6" t="str">
        <f>IF('03_Base_Indice'!$E86="","",'03_Base_Indice'!$E86)</f>
        <v/>
      </c>
      <c r="K86" s="6" t="str">
        <f>IF('03_Base_Indice'!$D86="","",IF('03_Base_Indice'!K86&lt;&gt;"",'03_Base_Indice'!K86,IF(AND(Aux!B86&lt;&gt;"",Aux!N86&lt;&gt;"",(N(Aux!N86)-N(Aux!B86)-1)&lt;='01_Criterios'!$C$13),Aux!Z86+(Aux!AL86-Aux!Z86)*(1-Aux!B86)/(Aux!N86-Aux!B86),IF(AND(Aux!B86&lt;&gt;"",(1-N(Aux!B86))&lt;='01_Criterios'!$C$14),Aux!Z86,IF(AND(Aux!N86&lt;&gt;"",(N(Aux!N86)-1)&lt;='01_Criterios'!$C$15),Aux!AL86,"")))))</f>
        <v/>
      </c>
      <c r="L86" s="6" t="str">
        <f>IF('03_Base_Indice'!$D86="","",IF('03_Base_Indice'!L86&lt;&gt;"",'03_Base_Indice'!L86,IF(AND(Aux!C86&lt;&gt;"",Aux!O86&lt;&gt;"",(N(Aux!O86)-N(Aux!C86)-1)&lt;='01_Criterios'!$C$13),Aux!AA86+(Aux!AM86-Aux!AA86)*(2-Aux!C86)/(Aux!O86-Aux!C86),IF(AND(Aux!C86&lt;&gt;"",(2-N(Aux!C86))&lt;='01_Criterios'!$C$14),Aux!AA86,IF(AND(Aux!O86&lt;&gt;"",(N(Aux!O86)-2)&lt;='01_Criterios'!$C$15),Aux!AM86,"")))))</f>
        <v/>
      </c>
      <c r="M86" s="6" t="str">
        <f>IF('03_Base_Indice'!$D86="","",IF('03_Base_Indice'!M86&lt;&gt;"",'03_Base_Indice'!M86,IF(AND(Aux!D86&lt;&gt;"",Aux!P86&lt;&gt;"",(N(Aux!P86)-N(Aux!D86)-1)&lt;='01_Criterios'!$C$13),Aux!AB86+(Aux!AN86-Aux!AB86)*(3-Aux!D86)/(Aux!P86-Aux!D86),IF(AND(Aux!D86&lt;&gt;"",(3-N(Aux!D86))&lt;='01_Criterios'!$C$14),Aux!AB86,IF(AND(Aux!P86&lt;&gt;"",(N(Aux!P86)-3)&lt;='01_Criterios'!$C$15),Aux!AN86,"")))))</f>
        <v/>
      </c>
      <c r="N86" s="6" t="str">
        <f>IF('03_Base_Indice'!$D86="","",IF('03_Base_Indice'!N86&lt;&gt;"",'03_Base_Indice'!N86,IF(AND(Aux!E86&lt;&gt;"",Aux!Q86&lt;&gt;"",(N(Aux!Q86)-N(Aux!E86)-1)&lt;='01_Criterios'!$C$13),Aux!AC86+(Aux!AO86-Aux!AC86)*(4-Aux!E86)/(Aux!Q86-Aux!E86),IF(AND(Aux!E86&lt;&gt;"",(4-N(Aux!E86))&lt;='01_Criterios'!$C$14),Aux!AC86,IF(AND(Aux!Q86&lt;&gt;"",(N(Aux!Q86)-4)&lt;='01_Criterios'!$C$15),Aux!AO86,"")))))</f>
        <v/>
      </c>
      <c r="O86" s="6" t="str">
        <f>IF('03_Base_Indice'!$D86="","",IF('03_Base_Indice'!O86&lt;&gt;"",'03_Base_Indice'!O86,IF(AND(Aux!F86&lt;&gt;"",Aux!R86&lt;&gt;"",(N(Aux!R86)-N(Aux!F86)-1)&lt;='01_Criterios'!$C$13),Aux!AD86+(Aux!AP86-Aux!AD86)*(5-Aux!F86)/(Aux!R86-Aux!F86),IF(AND(Aux!F86&lt;&gt;"",(5-N(Aux!F86))&lt;='01_Criterios'!$C$14),Aux!AD86,IF(AND(Aux!R86&lt;&gt;"",(N(Aux!R86)-5)&lt;='01_Criterios'!$C$15),Aux!AP86,"")))))</f>
        <v/>
      </c>
      <c r="P86" s="6" t="str">
        <f>IF('03_Base_Indice'!$D86="","",IF('03_Base_Indice'!P86&lt;&gt;"",'03_Base_Indice'!P86,IF(AND(Aux!G86&lt;&gt;"",Aux!S86&lt;&gt;"",(N(Aux!S86)-N(Aux!G86)-1)&lt;='01_Criterios'!$C$13),Aux!AE86+(Aux!AQ86-Aux!AE86)*(6-Aux!G86)/(Aux!S86-Aux!G86),IF(AND(Aux!G86&lt;&gt;"",(6-N(Aux!G86))&lt;='01_Criterios'!$C$14),Aux!AE86,IF(AND(Aux!S86&lt;&gt;"",(N(Aux!S86)-6)&lt;='01_Criterios'!$C$15),Aux!AQ86,"")))))</f>
        <v/>
      </c>
      <c r="Q86" s="6" t="str">
        <f>IF('03_Base_Indice'!$D86="","",IF('03_Base_Indice'!Q86&lt;&gt;"",'03_Base_Indice'!Q86,IF(AND(Aux!H86&lt;&gt;"",Aux!T86&lt;&gt;"",(N(Aux!T86)-N(Aux!H86)-1)&lt;='01_Criterios'!$C$13),Aux!AF86+(Aux!AR86-Aux!AF86)*(7-Aux!H86)/(Aux!T86-Aux!H86),IF(AND(Aux!H86&lt;&gt;"",(7-N(Aux!H86))&lt;='01_Criterios'!$C$14),Aux!AF86,IF(AND(Aux!T86&lt;&gt;"",(N(Aux!T86)-7)&lt;='01_Criterios'!$C$15),Aux!AR86,"")))))</f>
        <v/>
      </c>
      <c r="R86" s="6" t="str">
        <f>IF('03_Base_Indice'!$D86="","",IF('03_Base_Indice'!R86&lt;&gt;"",'03_Base_Indice'!R86,IF(AND(Aux!I86&lt;&gt;"",Aux!U86&lt;&gt;"",(N(Aux!U86)-N(Aux!I86)-1)&lt;='01_Criterios'!$C$13),Aux!AG86+(Aux!AS86-Aux!AG86)*(8-Aux!I86)/(Aux!U86-Aux!I86),IF(AND(Aux!I86&lt;&gt;"",(8-N(Aux!I86))&lt;='01_Criterios'!$C$14),Aux!AG86,IF(AND(Aux!U86&lt;&gt;"",(N(Aux!U86)-8)&lt;='01_Criterios'!$C$15),Aux!AS86,"")))))</f>
        <v/>
      </c>
      <c r="S86" s="6" t="str">
        <f>IF('03_Base_Indice'!$D86="","",IF('03_Base_Indice'!S86&lt;&gt;"",'03_Base_Indice'!S86,IF(AND(Aux!J86&lt;&gt;"",Aux!V86&lt;&gt;"",(N(Aux!V86)-N(Aux!J86)-1)&lt;='01_Criterios'!$C$13),Aux!AH86+(Aux!AT86-Aux!AH86)*(9-Aux!J86)/(Aux!V86-Aux!J86),IF(AND(Aux!J86&lt;&gt;"",(9-N(Aux!J86))&lt;='01_Criterios'!$C$14),Aux!AH86,IF(AND(Aux!V86&lt;&gt;"",(N(Aux!V86)-9)&lt;='01_Criterios'!$C$15),Aux!AT86,"")))))</f>
        <v/>
      </c>
      <c r="T86" s="6" t="str">
        <f>IF('03_Base_Indice'!$D86="","",IF('03_Base_Indice'!T86&lt;&gt;"",'03_Base_Indice'!T86,IF(AND(Aux!K86&lt;&gt;"",Aux!W86&lt;&gt;"",(N(Aux!W86)-N(Aux!K86)-1)&lt;='01_Criterios'!$C$13),Aux!AI86+(Aux!AU86-Aux!AI86)*(10-Aux!K86)/(Aux!W86-Aux!K86),IF(AND(Aux!K86&lt;&gt;"",(10-N(Aux!K86))&lt;='01_Criterios'!$C$14),Aux!AI86,IF(AND(Aux!W86&lt;&gt;"",(N(Aux!W86)-10)&lt;='01_Criterios'!$C$15),Aux!AU86,"")))))</f>
        <v/>
      </c>
      <c r="U86" s="6" t="str">
        <f>IF('03_Base_Indice'!$D86="","",IF('03_Base_Indice'!U86&lt;&gt;"",'03_Base_Indice'!U86,IF(AND(Aux!L86&lt;&gt;"",Aux!X86&lt;&gt;"",(N(Aux!X86)-N(Aux!L86)-1)&lt;='01_Criterios'!$C$13),Aux!AJ86+(Aux!AV86-Aux!AJ86)*(11-Aux!L86)/(Aux!X86-Aux!L86),IF(AND(Aux!L86&lt;&gt;"",(11-N(Aux!L86))&lt;='01_Criterios'!$C$14),Aux!AJ86,IF(AND(Aux!X86&lt;&gt;"",(N(Aux!X86)-11)&lt;='01_Criterios'!$C$15),Aux!AV86,"")))))</f>
        <v/>
      </c>
    </row>
    <row r="87" spans="1:21">
      <c r="A87" s="6" t="str">
        <f>IF('03_Base_Indice'!$A87="","",'03_Base_Indice'!$A87)</f>
        <v>9. Ambiente, Clima e Resiliência</v>
      </c>
      <c r="B87" s="6">
        <f>'03_Base_Indice'!$B87</f>
        <v>3</v>
      </c>
      <c r="D87" s="6" t="str">
        <f>IF('03_Base_Indice'!$D87="","",'03_Base_Indice'!$D87)</f>
        <v/>
      </c>
      <c r="E87" s="6" t="str">
        <f>IF('03_Base_Indice'!$E87="","",'03_Base_Indice'!$E87)</f>
        <v/>
      </c>
      <c r="K87" s="6" t="str">
        <f>IF('03_Base_Indice'!$D87="","",IF('03_Base_Indice'!K87&lt;&gt;"",'03_Base_Indice'!K87,IF(AND(Aux!B87&lt;&gt;"",Aux!N87&lt;&gt;"",(N(Aux!N87)-N(Aux!B87)-1)&lt;='01_Criterios'!$C$13),Aux!Z87+(Aux!AL87-Aux!Z87)*(1-Aux!B87)/(Aux!N87-Aux!B87),IF(AND(Aux!B87&lt;&gt;"",(1-N(Aux!B87))&lt;='01_Criterios'!$C$14),Aux!Z87,IF(AND(Aux!N87&lt;&gt;"",(N(Aux!N87)-1)&lt;='01_Criterios'!$C$15),Aux!AL87,"")))))</f>
        <v/>
      </c>
      <c r="L87" s="6" t="str">
        <f>IF('03_Base_Indice'!$D87="","",IF('03_Base_Indice'!L87&lt;&gt;"",'03_Base_Indice'!L87,IF(AND(Aux!C87&lt;&gt;"",Aux!O87&lt;&gt;"",(N(Aux!O87)-N(Aux!C87)-1)&lt;='01_Criterios'!$C$13),Aux!AA87+(Aux!AM87-Aux!AA87)*(2-Aux!C87)/(Aux!O87-Aux!C87),IF(AND(Aux!C87&lt;&gt;"",(2-N(Aux!C87))&lt;='01_Criterios'!$C$14),Aux!AA87,IF(AND(Aux!O87&lt;&gt;"",(N(Aux!O87)-2)&lt;='01_Criterios'!$C$15),Aux!AM87,"")))))</f>
        <v/>
      </c>
      <c r="M87" s="6" t="str">
        <f>IF('03_Base_Indice'!$D87="","",IF('03_Base_Indice'!M87&lt;&gt;"",'03_Base_Indice'!M87,IF(AND(Aux!D87&lt;&gt;"",Aux!P87&lt;&gt;"",(N(Aux!P87)-N(Aux!D87)-1)&lt;='01_Criterios'!$C$13),Aux!AB87+(Aux!AN87-Aux!AB87)*(3-Aux!D87)/(Aux!P87-Aux!D87),IF(AND(Aux!D87&lt;&gt;"",(3-N(Aux!D87))&lt;='01_Criterios'!$C$14),Aux!AB87,IF(AND(Aux!P87&lt;&gt;"",(N(Aux!P87)-3)&lt;='01_Criterios'!$C$15),Aux!AN87,"")))))</f>
        <v/>
      </c>
      <c r="N87" s="6" t="str">
        <f>IF('03_Base_Indice'!$D87="","",IF('03_Base_Indice'!N87&lt;&gt;"",'03_Base_Indice'!N87,IF(AND(Aux!E87&lt;&gt;"",Aux!Q87&lt;&gt;"",(N(Aux!Q87)-N(Aux!E87)-1)&lt;='01_Criterios'!$C$13),Aux!AC87+(Aux!AO87-Aux!AC87)*(4-Aux!E87)/(Aux!Q87-Aux!E87),IF(AND(Aux!E87&lt;&gt;"",(4-N(Aux!E87))&lt;='01_Criterios'!$C$14),Aux!AC87,IF(AND(Aux!Q87&lt;&gt;"",(N(Aux!Q87)-4)&lt;='01_Criterios'!$C$15),Aux!AO87,"")))))</f>
        <v/>
      </c>
      <c r="O87" s="6" t="str">
        <f>IF('03_Base_Indice'!$D87="","",IF('03_Base_Indice'!O87&lt;&gt;"",'03_Base_Indice'!O87,IF(AND(Aux!F87&lt;&gt;"",Aux!R87&lt;&gt;"",(N(Aux!R87)-N(Aux!F87)-1)&lt;='01_Criterios'!$C$13),Aux!AD87+(Aux!AP87-Aux!AD87)*(5-Aux!F87)/(Aux!R87-Aux!F87),IF(AND(Aux!F87&lt;&gt;"",(5-N(Aux!F87))&lt;='01_Criterios'!$C$14),Aux!AD87,IF(AND(Aux!R87&lt;&gt;"",(N(Aux!R87)-5)&lt;='01_Criterios'!$C$15),Aux!AP87,"")))))</f>
        <v/>
      </c>
      <c r="P87" s="6" t="str">
        <f>IF('03_Base_Indice'!$D87="","",IF('03_Base_Indice'!P87&lt;&gt;"",'03_Base_Indice'!P87,IF(AND(Aux!G87&lt;&gt;"",Aux!S87&lt;&gt;"",(N(Aux!S87)-N(Aux!G87)-1)&lt;='01_Criterios'!$C$13),Aux!AE87+(Aux!AQ87-Aux!AE87)*(6-Aux!G87)/(Aux!S87-Aux!G87),IF(AND(Aux!G87&lt;&gt;"",(6-N(Aux!G87))&lt;='01_Criterios'!$C$14),Aux!AE87,IF(AND(Aux!S87&lt;&gt;"",(N(Aux!S87)-6)&lt;='01_Criterios'!$C$15),Aux!AQ87,"")))))</f>
        <v/>
      </c>
      <c r="Q87" s="6" t="str">
        <f>IF('03_Base_Indice'!$D87="","",IF('03_Base_Indice'!Q87&lt;&gt;"",'03_Base_Indice'!Q87,IF(AND(Aux!H87&lt;&gt;"",Aux!T87&lt;&gt;"",(N(Aux!T87)-N(Aux!H87)-1)&lt;='01_Criterios'!$C$13),Aux!AF87+(Aux!AR87-Aux!AF87)*(7-Aux!H87)/(Aux!T87-Aux!H87),IF(AND(Aux!H87&lt;&gt;"",(7-N(Aux!H87))&lt;='01_Criterios'!$C$14),Aux!AF87,IF(AND(Aux!T87&lt;&gt;"",(N(Aux!T87)-7)&lt;='01_Criterios'!$C$15),Aux!AR87,"")))))</f>
        <v/>
      </c>
      <c r="R87" s="6" t="str">
        <f>IF('03_Base_Indice'!$D87="","",IF('03_Base_Indice'!R87&lt;&gt;"",'03_Base_Indice'!R87,IF(AND(Aux!I87&lt;&gt;"",Aux!U87&lt;&gt;"",(N(Aux!U87)-N(Aux!I87)-1)&lt;='01_Criterios'!$C$13),Aux!AG87+(Aux!AS87-Aux!AG87)*(8-Aux!I87)/(Aux!U87-Aux!I87),IF(AND(Aux!I87&lt;&gt;"",(8-N(Aux!I87))&lt;='01_Criterios'!$C$14),Aux!AG87,IF(AND(Aux!U87&lt;&gt;"",(N(Aux!U87)-8)&lt;='01_Criterios'!$C$15),Aux!AS87,"")))))</f>
        <v/>
      </c>
      <c r="S87" s="6" t="str">
        <f>IF('03_Base_Indice'!$D87="","",IF('03_Base_Indice'!S87&lt;&gt;"",'03_Base_Indice'!S87,IF(AND(Aux!J87&lt;&gt;"",Aux!V87&lt;&gt;"",(N(Aux!V87)-N(Aux!J87)-1)&lt;='01_Criterios'!$C$13),Aux!AH87+(Aux!AT87-Aux!AH87)*(9-Aux!J87)/(Aux!V87-Aux!J87),IF(AND(Aux!J87&lt;&gt;"",(9-N(Aux!J87))&lt;='01_Criterios'!$C$14),Aux!AH87,IF(AND(Aux!V87&lt;&gt;"",(N(Aux!V87)-9)&lt;='01_Criterios'!$C$15),Aux!AT87,"")))))</f>
        <v/>
      </c>
      <c r="T87" s="6" t="str">
        <f>IF('03_Base_Indice'!$D87="","",IF('03_Base_Indice'!T87&lt;&gt;"",'03_Base_Indice'!T87,IF(AND(Aux!K87&lt;&gt;"",Aux!W87&lt;&gt;"",(N(Aux!W87)-N(Aux!K87)-1)&lt;='01_Criterios'!$C$13),Aux!AI87+(Aux!AU87-Aux!AI87)*(10-Aux!K87)/(Aux!W87-Aux!K87),IF(AND(Aux!K87&lt;&gt;"",(10-N(Aux!K87))&lt;='01_Criterios'!$C$14),Aux!AI87,IF(AND(Aux!W87&lt;&gt;"",(N(Aux!W87)-10)&lt;='01_Criterios'!$C$15),Aux!AU87,"")))))</f>
        <v/>
      </c>
      <c r="U87" s="6" t="str">
        <f>IF('03_Base_Indice'!$D87="","",IF('03_Base_Indice'!U87&lt;&gt;"",'03_Base_Indice'!U87,IF(AND(Aux!L87&lt;&gt;"",Aux!X87&lt;&gt;"",(N(Aux!X87)-N(Aux!L87)-1)&lt;='01_Criterios'!$C$13),Aux!AJ87+(Aux!AV87-Aux!AJ87)*(11-Aux!L87)/(Aux!X87-Aux!L87),IF(AND(Aux!L87&lt;&gt;"",(11-N(Aux!L87))&lt;='01_Criterios'!$C$14),Aux!AJ87,IF(AND(Aux!X87&lt;&gt;"",(N(Aux!X87)-11)&lt;='01_Criterios'!$C$15),Aux!AV87,"")))))</f>
        <v/>
      </c>
    </row>
    <row r="88" spans="1:21">
      <c r="A88" s="6" t="str">
        <f>IF('03_Base_Indice'!$A88="","",'03_Base_Indice'!$A88)</f>
        <v>9. Ambiente, Clima e Resiliência</v>
      </c>
      <c r="B88" s="6">
        <f>'03_Base_Indice'!$B88</f>
        <v>4</v>
      </c>
      <c r="D88" s="6" t="str">
        <f>IF('03_Base_Indice'!$D88="","",'03_Base_Indice'!$D88)</f>
        <v/>
      </c>
      <c r="E88" s="6" t="str">
        <f>IF('03_Base_Indice'!$E88="","",'03_Base_Indice'!$E88)</f>
        <v/>
      </c>
      <c r="K88" s="6" t="str">
        <f>IF('03_Base_Indice'!$D88="","",IF('03_Base_Indice'!K88&lt;&gt;"",'03_Base_Indice'!K88,IF(AND(Aux!B88&lt;&gt;"",Aux!N88&lt;&gt;"",(N(Aux!N88)-N(Aux!B88)-1)&lt;='01_Criterios'!$C$13),Aux!Z88+(Aux!AL88-Aux!Z88)*(1-Aux!B88)/(Aux!N88-Aux!B88),IF(AND(Aux!B88&lt;&gt;"",(1-N(Aux!B88))&lt;='01_Criterios'!$C$14),Aux!Z88,IF(AND(Aux!N88&lt;&gt;"",(N(Aux!N88)-1)&lt;='01_Criterios'!$C$15),Aux!AL88,"")))))</f>
        <v/>
      </c>
      <c r="L88" s="6" t="str">
        <f>IF('03_Base_Indice'!$D88="","",IF('03_Base_Indice'!L88&lt;&gt;"",'03_Base_Indice'!L88,IF(AND(Aux!C88&lt;&gt;"",Aux!O88&lt;&gt;"",(N(Aux!O88)-N(Aux!C88)-1)&lt;='01_Criterios'!$C$13),Aux!AA88+(Aux!AM88-Aux!AA88)*(2-Aux!C88)/(Aux!O88-Aux!C88),IF(AND(Aux!C88&lt;&gt;"",(2-N(Aux!C88))&lt;='01_Criterios'!$C$14),Aux!AA88,IF(AND(Aux!O88&lt;&gt;"",(N(Aux!O88)-2)&lt;='01_Criterios'!$C$15),Aux!AM88,"")))))</f>
        <v/>
      </c>
      <c r="M88" s="6" t="str">
        <f>IF('03_Base_Indice'!$D88="","",IF('03_Base_Indice'!M88&lt;&gt;"",'03_Base_Indice'!M88,IF(AND(Aux!D88&lt;&gt;"",Aux!P88&lt;&gt;"",(N(Aux!P88)-N(Aux!D88)-1)&lt;='01_Criterios'!$C$13),Aux!AB88+(Aux!AN88-Aux!AB88)*(3-Aux!D88)/(Aux!P88-Aux!D88),IF(AND(Aux!D88&lt;&gt;"",(3-N(Aux!D88))&lt;='01_Criterios'!$C$14),Aux!AB88,IF(AND(Aux!P88&lt;&gt;"",(N(Aux!P88)-3)&lt;='01_Criterios'!$C$15),Aux!AN88,"")))))</f>
        <v/>
      </c>
      <c r="N88" s="6" t="str">
        <f>IF('03_Base_Indice'!$D88="","",IF('03_Base_Indice'!N88&lt;&gt;"",'03_Base_Indice'!N88,IF(AND(Aux!E88&lt;&gt;"",Aux!Q88&lt;&gt;"",(N(Aux!Q88)-N(Aux!E88)-1)&lt;='01_Criterios'!$C$13),Aux!AC88+(Aux!AO88-Aux!AC88)*(4-Aux!E88)/(Aux!Q88-Aux!E88),IF(AND(Aux!E88&lt;&gt;"",(4-N(Aux!E88))&lt;='01_Criterios'!$C$14),Aux!AC88,IF(AND(Aux!Q88&lt;&gt;"",(N(Aux!Q88)-4)&lt;='01_Criterios'!$C$15),Aux!AO88,"")))))</f>
        <v/>
      </c>
      <c r="O88" s="6" t="str">
        <f>IF('03_Base_Indice'!$D88="","",IF('03_Base_Indice'!O88&lt;&gt;"",'03_Base_Indice'!O88,IF(AND(Aux!F88&lt;&gt;"",Aux!R88&lt;&gt;"",(N(Aux!R88)-N(Aux!F88)-1)&lt;='01_Criterios'!$C$13),Aux!AD88+(Aux!AP88-Aux!AD88)*(5-Aux!F88)/(Aux!R88-Aux!F88),IF(AND(Aux!F88&lt;&gt;"",(5-N(Aux!F88))&lt;='01_Criterios'!$C$14),Aux!AD88,IF(AND(Aux!R88&lt;&gt;"",(N(Aux!R88)-5)&lt;='01_Criterios'!$C$15),Aux!AP88,"")))))</f>
        <v/>
      </c>
      <c r="P88" s="6" t="str">
        <f>IF('03_Base_Indice'!$D88="","",IF('03_Base_Indice'!P88&lt;&gt;"",'03_Base_Indice'!P88,IF(AND(Aux!G88&lt;&gt;"",Aux!S88&lt;&gt;"",(N(Aux!S88)-N(Aux!G88)-1)&lt;='01_Criterios'!$C$13),Aux!AE88+(Aux!AQ88-Aux!AE88)*(6-Aux!G88)/(Aux!S88-Aux!G88),IF(AND(Aux!G88&lt;&gt;"",(6-N(Aux!G88))&lt;='01_Criterios'!$C$14),Aux!AE88,IF(AND(Aux!S88&lt;&gt;"",(N(Aux!S88)-6)&lt;='01_Criterios'!$C$15),Aux!AQ88,"")))))</f>
        <v/>
      </c>
      <c r="Q88" s="6" t="str">
        <f>IF('03_Base_Indice'!$D88="","",IF('03_Base_Indice'!Q88&lt;&gt;"",'03_Base_Indice'!Q88,IF(AND(Aux!H88&lt;&gt;"",Aux!T88&lt;&gt;"",(N(Aux!T88)-N(Aux!H88)-1)&lt;='01_Criterios'!$C$13),Aux!AF88+(Aux!AR88-Aux!AF88)*(7-Aux!H88)/(Aux!T88-Aux!H88),IF(AND(Aux!H88&lt;&gt;"",(7-N(Aux!H88))&lt;='01_Criterios'!$C$14),Aux!AF88,IF(AND(Aux!T88&lt;&gt;"",(N(Aux!T88)-7)&lt;='01_Criterios'!$C$15),Aux!AR88,"")))))</f>
        <v/>
      </c>
      <c r="R88" s="6" t="str">
        <f>IF('03_Base_Indice'!$D88="","",IF('03_Base_Indice'!R88&lt;&gt;"",'03_Base_Indice'!R88,IF(AND(Aux!I88&lt;&gt;"",Aux!U88&lt;&gt;"",(N(Aux!U88)-N(Aux!I88)-1)&lt;='01_Criterios'!$C$13),Aux!AG88+(Aux!AS88-Aux!AG88)*(8-Aux!I88)/(Aux!U88-Aux!I88),IF(AND(Aux!I88&lt;&gt;"",(8-N(Aux!I88))&lt;='01_Criterios'!$C$14),Aux!AG88,IF(AND(Aux!U88&lt;&gt;"",(N(Aux!U88)-8)&lt;='01_Criterios'!$C$15),Aux!AS88,"")))))</f>
        <v/>
      </c>
      <c r="S88" s="6" t="str">
        <f>IF('03_Base_Indice'!$D88="","",IF('03_Base_Indice'!S88&lt;&gt;"",'03_Base_Indice'!S88,IF(AND(Aux!J88&lt;&gt;"",Aux!V88&lt;&gt;"",(N(Aux!V88)-N(Aux!J88)-1)&lt;='01_Criterios'!$C$13),Aux!AH88+(Aux!AT88-Aux!AH88)*(9-Aux!J88)/(Aux!V88-Aux!J88),IF(AND(Aux!J88&lt;&gt;"",(9-N(Aux!J88))&lt;='01_Criterios'!$C$14),Aux!AH88,IF(AND(Aux!V88&lt;&gt;"",(N(Aux!V88)-9)&lt;='01_Criterios'!$C$15),Aux!AT88,"")))))</f>
        <v/>
      </c>
      <c r="T88" s="6" t="str">
        <f>IF('03_Base_Indice'!$D88="","",IF('03_Base_Indice'!T88&lt;&gt;"",'03_Base_Indice'!T88,IF(AND(Aux!K88&lt;&gt;"",Aux!W88&lt;&gt;"",(N(Aux!W88)-N(Aux!K88)-1)&lt;='01_Criterios'!$C$13),Aux!AI88+(Aux!AU88-Aux!AI88)*(10-Aux!K88)/(Aux!W88-Aux!K88),IF(AND(Aux!K88&lt;&gt;"",(10-N(Aux!K88))&lt;='01_Criterios'!$C$14),Aux!AI88,IF(AND(Aux!W88&lt;&gt;"",(N(Aux!W88)-10)&lt;='01_Criterios'!$C$15),Aux!AU88,"")))))</f>
        <v/>
      </c>
      <c r="U88" s="6" t="str">
        <f>IF('03_Base_Indice'!$D88="","",IF('03_Base_Indice'!U88&lt;&gt;"",'03_Base_Indice'!U88,IF(AND(Aux!L88&lt;&gt;"",Aux!X88&lt;&gt;"",(N(Aux!X88)-N(Aux!L88)-1)&lt;='01_Criterios'!$C$13),Aux!AJ88+(Aux!AV88-Aux!AJ88)*(11-Aux!L88)/(Aux!X88-Aux!L88),IF(AND(Aux!L88&lt;&gt;"",(11-N(Aux!L88))&lt;='01_Criterios'!$C$14),Aux!AJ88,IF(AND(Aux!X88&lt;&gt;"",(N(Aux!X88)-11)&lt;='01_Criterios'!$C$15),Aux!AV88,"")))))</f>
        <v/>
      </c>
    </row>
    <row r="89" spans="1:21">
      <c r="A89" s="6" t="str">
        <f>IF('03_Base_Indice'!$A89="","",'03_Base_Indice'!$A89)</f>
        <v>9. Ambiente, Clima e Resiliência</v>
      </c>
      <c r="B89" s="6">
        <f>'03_Base_Indice'!$B89</f>
        <v>5</v>
      </c>
      <c r="D89" s="6" t="str">
        <f>IF('03_Base_Indice'!$D89="","",'03_Base_Indice'!$D89)</f>
        <v/>
      </c>
      <c r="E89" s="6" t="str">
        <f>IF('03_Base_Indice'!$E89="","",'03_Base_Indice'!$E89)</f>
        <v/>
      </c>
      <c r="K89" s="6" t="str">
        <f>IF('03_Base_Indice'!$D89="","",IF('03_Base_Indice'!K89&lt;&gt;"",'03_Base_Indice'!K89,IF(AND(Aux!B89&lt;&gt;"",Aux!N89&lt;&gt;"",(N(Aux!N89)-N(Aux!B89)-1)&lt;='01_Criterios'!$C$13),Aux!Z89+(Aux!AL89-Aux!Z89)*(1-Aux!B89)/(Aux!N89-Aux!B89),IF(AND(Aux!B89&lt;&gt;"",(1-N(Aux!B89))&lt;='01_Criterios'!$C$14),Aux!Z89,IF(AND(Aux!N89&lt;&gt;"",(N(Aux!N89)-1)&lt;='01_Criterios'!$C$15),Aux!AL89,"")))))</f>
        <v/>
      </c>
      <c r="L89" s="6" t="str">
        <f>IF('03_Base_Indice'!$D89="","",IF('03_Base_Indice'!L89&lt;&gt;"",'03_Base_Indice'!L89,IF(AND(Aux!C89&lt;&gt;"",Aux!O89&lt;&gt;"",(N(Aux!O89)-N(Aux!C89)-1)&lt;='01_Criterios'!$C$13),Aux!AA89+(Aux!AM89-Aux!AA89)*(2-Aux!C89)/(Aux!O89-Aux!C89),IF(AND(Aux!C89&lt;&gt;"",(2-N(Aux!C89))&lt;='01_Criterios'!$C$14),Aux!AA89,IF(AND(Aux!O89&lt;&gt;"",(N(Aux!O89)-2)&lt;='01_Criterios'!$C$15),Aux!AM89,"")))))</f>
        <v/>
      </c>
      <c r="M89" s="6" t="str">
        <f>IF('03_Base_Indice'!$D89="","",IF('03_Base_Indice'!M89&lt;&gt;"",'03_Base_Indice'!M89,IF(AND(Aux!D89&lt;&gt;"",Aux!P89&lt;&gt;"",(N(Aux!P89)-N(Aux!D89)-1)&lt;='01_Criterios'!$C$13),Aux!AB89+(Aux!AN89-Aux!AB89)*(3-Aux!D89)/(Aux!P89-Aux!D89),IF(AND(Aux!D89&lt;&gt;"",(3-N(Aux!D89))&lt;='01_Criterios'!$C$14),Aux!AB89,IF(AND(Aux!P89&lt;&gt;"",(N(Aux!P89)-3)&lt;='01_Criterios'!$C$15),Aux!AN89,"")))))</f>
        <v/>
      </c>
      <c r="N89" s="6" t="str">
        <f>IF('03_Base_Indice'!$D89="","",IF('03_Base_Indice'!N89&lt;&gt;"",'03_Base_Indice'!N89,IF(AND(Aux!E89&lt;&gt;"",Aux!Q89&lt;&gt;"",(N(Aux!Q89)-N(Aux!E89)-1)&lt;='01_Criterios'!$C$13),Aux!AC89+(Aux!AO89-Aux!AC89)*(4-Aux!E89)/(Aux!Q89-Aux!E89),IF(AND(Aux!E89&lt;&gt;"",(4-N(Aux!E89))&lt;='01_Criterios'!$C$14),Aux!AC89,IF(AND(Aux!Q89&lt;&gt;"",(N(Aux!Q89)-4)&lt;='01_Criterios'!$C$15),Aux!AO89,"")))))</f>
        <v/>
      </c>
      <c r="O89" s="6" t="str">
        <f>IF('03_Base_Indice'!$D89="","",IF('03_Base_Indice'!O89&lt;&gt;"",'03_Base_Indice'!O89,IF(AND(Aux!F89&lt;&gt;"",Aux!R89&lt;&gt;"",(N(Aux!R89)-N(Aux!F89)-1)&lt;='01_Criterios'!$C$13),Aux!AD89+(Aux!AP89-Aux!AD89)*(5-Aux!F89)/(Aux!R89-Aux!F89),IF(AND(Aux!F89&lt;&gt;"",(5-N(Aux!F89))&lt;='01_Criterios'!$C$14),Aux!AD89,IF(AND(Aux!R89&lt;&gt;"",(N(Aux!R89)-5)&lt;='01_Criterios'!$C$15),Aux!AP89,"")))))</f>
        <v/>
      </c>
      <c r="P89" s="6" t="str">
        <f>IF('03_Base_Indice'!$D89="","",IF('03_Base_Indice'!P89&lt;&gt;"",'03_Base_Indice'!P89,IF(AND(Aux!G89&lt;&gt;"",Aux!S89&lt;&gt;"",(N(Aux!S89)-N(Aux!G89)-1)&lt;='01_Criterios'!$C$13),Aux!AE89+(Aux!AQ89-Aux!AE89)*(6-Aux!G89)/(Aux!S89-Aux!G89),IF(AND(Aux!G89&lt;&gt;"",(6-N(Aux!G89))&lt;='01_Criterios'!$C$14),Aux!AE89,IF(AND(Aux!S89&lt;&gt;"",(N(Aux!S89)-6)&lt;='01_Criterios'!$C$15),Aux!AQ89,"")))))</f>
        <v/>
      </c>
      <c r="Q89" s="6" t="str">
        <f>IF('03_Base_Indice'!$D89="","",IF('03_Base_Indice'!Q89&lt;&gt;"",'03_Base_Indice'!Q89,IF(AND(Aux!H89&lt;&gt;"",Aux!T89&lt;&gt;"",(N(Aux!T89)-N(Aux!H89)-1)&lt;='01_Criterios'!$C$13),Aux!AF89+(Aux!AR89-Aux!AF89)*(7-Aux!H89)/(Aux!T89-Aux!H89),IF(AND(Aux!H89&lt;&gt;"",(7-N(Aux!H89))&lt;='01_Criterios'!$C$14),Aux!AF89,IF(AND(Aux!T89&lt;&gt;"",(N(Aux!T89)-7)&lt;='01_Criterios'!$C$15),Aux!AR89,"")))))</f>
        <v/>
      </c>
      <c r="R89" s="6" t="str">
        <f>IF('03_Base_Indice'!$D89="","",IF('03_Base_Indice'!R89&lt;&gt;"",'03_Base_Indice'!R89,IF(AND(Aux!I89&lt;&gt;"",Aux!U89&lt;&gt;"",(N(Aux!U89)-N(Aux!I89)-1)&lt;='01_Criterios'!$C$13),Aux!AG89+(Aux!AS89-Aux!AG89)*(8-Aux!I89)/(Aux!U89-Aux!I89),IF(AND(Aux!I89&lt;&gt;"",(8-N(Aux!I89))&lt;='01_Criterios'!$C$14),Aux!AG89,IF(AND(Aux!U89&lt;&gt;"",(N(Aux!U89)-8)&lt;='01_Criterios'!$C$15),Aux!AS89,"")))))</f>
        <v/>
      </c>
      <c r="S89" s="6" t="str">
        <f>IF('03_Base_Indice'!$D89="","",IF('03_Base_Indice'!S89&lt;&gt;"",'03_Base_Indice'!S89,IF(AND(Aux!J89&lt;&gt;"",Aux!V89&lt;&gt;"",(N(Aux!V89)-N(Aux!J89)-1)&lt;='01_Criterios'!$C$13),Aux!AH89+(Aux!AT89-Aux!AH89)*(9-Aux!J89)/(Aux!V89-Aux!J89),IF(AND(Aux!J89&lt;&gt;"",(9-N(Aux!J89))&lt;='01_Criterios'!$C$14),Aux!AH89,IF(AND(Aux!V89&lt;&gt;"",(N(Aux!V89)-9)&lt;='01_Criterios'!$C$15),Aux!AT89,"")))))</f>
        <v/>
      </c>
      <c r="T89" s="6" t="str">
        <f>IF('03_Base_Indice'!$D89="","",IF('03_Base_Indice'!T89&lt;&gt;"",'03_Base_Indice'!T89,IF(AND(Aux!K89&lt;&gt;"",Aux!W89&lt;&gt;"",(N(Aux!W89)-N(Aux!K89)-1)&lt;='01_Criterios'!$C$13),Aux!AI89+(Aux!AU89-Aux!AI89)*(10-Aux!K89)/(Aux!W89-Aux!K89),IF(AND(Aux!K89&lt;&gt;"",(10-N(Aux!K89))&lt;='01_Criterios'!$C$14),Aux!AI89,IF(AND(Aux!W89&lt;&gt;"",(N(Aux!W89)-10)&lt;='01_Criterios'!$C$15),Aux!AU89,"")))))</f>
        <v/>
      </c>
      <c r="U89" s="6" t="str">
        <f>IF('03_Base_Indice'!$D89="","",IF('03_Base_Indice'!U89&lt;&gt;"",'03_Base_Indice'!U89,IF(AND(Aux!L89&lt;&gt;"",Aux!X89&lt;&gt;"",(N(Aux!X89)-N(Aux!L89)-1)&lt;='01_Criterios'!$C$13),Aux!AJ89+(Aux!AV89-Aux!AJ89)*(11-Aux!L89)/(Aux!X89-Aux!L89),IF(AND(Aux!L89&lt;&gt;"",(11-N(Aux!L89))&lt;='01_Criterios'!$C$14),Aux!AJ89,IF(AND(Aux!X89&lt;&gt;"",(N(Aux!X89)-11)&lt;='01_Criterios'!$C$15),Aux!AV89,"")))))</f>
        <v/>
      </c>
    </row>
    <row r="90" spans="1:21">
      <c r="A90" s="6" t="str">
        <f>IF('03_Base_Indice'!$A90="","",'03_Base_Indice'!$A90)</f>
        <v>9. Ambiente, Clima e Resiliência</v>
      </c>
      <c r="B90" s="6">
        <f>'03_Base_Indice'!$B90</f>
        <v>6</v>
      </c>
      <c r="D90" s="6" t="str">
        <f>IF('03_Base_Indice'!$D90="","",'03_Base_Indice'!$D90)</f>
        <v/>
      </c>
      <c r="E90" s="6" t="str">
        <f>IF('03_Base_Indice'!$E90="","",'03_Base_Indice'!$E90)</f>
        <v/>
      </c>
      <c r="K90" s="6" t="str">
        <f>IF('03_Base_Indice'!$D90="","",IF('03_Base_Indice'!K90&lt;&gt;"",'03_Base_Indice'!K90,IF(AND(Aux!B90&lt;&gt;"",Aux!N90&lt;&gt;"",(N(Aux!N90)-N(Aux!B90)-1)&lt;='01_Criterios'!$C$13),Aux!Z90+(Aux!AL90-Aux!Z90)*(1-Aux!B90)/(Aux!N90-Aux!B90),IF(AND(Aux!B90&lt;&gt;"",(1-N(Aux!B90))&lt;='01_Criterios'!$C$14),Aux!Z90,IF(AND(Aux!N90&lt;&gt;"",(N(Aux!N90)-1)&lt;='01_Criterios'!$C$15),Aux!AL90,"")))))</f>
        <v/>
      </c>
      <c r="L90" s="6" t="str">
        <f>IF('03_Base_Indice'!$D90="","",IF('03_Base_Indice'!L90&lt;&gt;"",'03_Base_Indice'!L90,IF(AND(Aux!C90&lt;&gt;"",Aux!O90&lt;&gt;"",(N(Aux!O90)-N(Aux!C90)-1)&lt;='01_Criterios'!$C$13),Aux!AA90+(Aux!AM90-Aux!AA90)*(2-Aux!C90)/(Aux!O90-Aux!C90),IF(AND(Aux!C90&lt;&gt;"",(2-N(Aux!C90))&lt;='01_Criterios'!$C$14),Aux!AA90,IF(AND(Aux!O90&lt;&gt;"",(N(Aux!O90)-2)&lt;='01_Criterios'!$C$15),Aux!AM90,"")))))</f>
        <v/>
      </c>
      <c r="M90" s="6" t="str">
        <f>IF('03_Base_Indice'!$D90="","",IF('03_Base_Indice'!M90&lt;&gt;"",'03_Base_Indice'!M90,IF(AND(Aux!D90&lt;&gt;"",Aux!P90&lt;&gt;"",(N(Aux!P90)-N(Aux!D90)-1)&lt;='01_Criterios'!$C$13),Aux!AB90+(Aux!AN90-Aux!AB90)*(3-Aux!D90)/(Aux!P90-Aux!D90),IF(AND(Aux!D90&lt;&gt;"",(3-N(Aux!D90))&lt;='01_Criterios'!$C$14),Aux!AB90,IF(AND(Aux!P90&lt;&gt;"",(N(Aux!P90)-3)&lt;='01_Criterios'!$C$15),Aux!AN90,"")))))</f>
        <v/>
      </c>
      <c r="N90" s="6" t="str">
        <f>IF('03_Base_Indice'!$D90="","",IF('03_Base_Indice'!N90&lt;&gt;"",'03_Base_Indice'!N90,IF(AND(Aux!E90&lt;&gt;"",Aux!Q90&lt;&gt;"",(N(Aux!Q90)-N(Aux!E90)-1)&lt;='01_Criterios'!$C$13),Aux!AC90+(Aux!AO90-Aux!AC90)*(4-Aux!E90)/(Aux!Q90-Aux!E90),IF(AND(Aux!E90&lt;&gt;"",(4-N(Aux!E90))&lt;='01_Criterios'!$C$14),Aux!AC90,IF(AND(Aux!Q90&lt;&gt;"",(N(Aux!Q90)-4)&lt;='01_Criterios'!$C$15),Aux!AO90,"")))))</f>
        <v/>
      </c>
      <c r="O90" s="6" t="str">
        <f>IF('03_Base_Indice'!$D90="","",IF('03_Base_Indice'!O90&lt;&gt;"",'03_Base_Indice'!O90,IF(AND(Aux!F90&lt;&gt;"",Aux!R90&lt;&gt;"",(N(Aux!R90)-N(Aux!F90)-1)&lt;='01_Criterios'!$C$13),Aux!AD90+(Aux!AP90-Aux!AD90)*(5-Aux!F90)/(Aux!R90-Aux!F90),IF(AND(Aux!F90&lt;&gt;"",(5-N(Aux!F90))&lt;='01_Criterios'!$C$14),Aux!AD90,IF(AND(Aux!R90&lt;&gt;"",(N(Aux!R90)-5)&lt;='01_Criterios'!$C$15),Aux!AP90,"")))))</f>
        <v/>
      </c>
      <c r="P90" s="6" t="str">
        <f>IF('03_Base_Indice'!$D90="","",IF('03_Base_Indice'!P90&lt;&gt;"",'03_Base_Indice'!P90,IF(AND(Aux!G90&lt;&gt;"",Aux!S90&lt;&gt;"",(N(Aux!S90)-N(Aux!G90)-1)&lt;='01_Criterios'!$C$13),Aux!AE90+(Aux!AQ90-Aux!AE90)*(6-Aux!G90)/(Aux!S90-Aux!G90),IF(AND(Aux!G90&lt;&gt;"",(6-N(Aux!G90))&lt;='01_Criterios'!$C$14),Aux!AE90,IF(AND(Aux!S90&lt;&gt;"",(N(Aux!S90)-6)&lt;='01_Criterios'!$C$15),Aux!AQ90,"")))))</f>
        <v/>
      </c>
      <c r="Q90" s="6" t="str">
        <f>IF('03_Base_Indice'!$D90="","",IF('03_Base_Indice'!Q90&lt;&gt;"",'03_Base_Indice'!Q90,IF(AND(Aux!H90&lt;&gt;"",Aux!T90&lt;&gt;"",(N(Aux!T90)-N(Aux!H90)-1)&lt;='01_Criterios'!$C$13),Aux!AF90+(Aux!AR90-Aux!AF90)*(7-Aux!H90)/(Aux!T90-Aux!H90),IF(AND(Aux!H90&lt;&gt;"",(7-N(Aux!H90))&lt;='01_Criterios'!$C$14),Aux!AF90,IF(AND(Aux!T90&lt;&gt;"",(N(Aux!T90)-7)&lt;='01_Criterios'!$C$15),Aux!AR90,"")))))</f>
        <v/>
      </c>
      <c r="R90" s="6" t="str">
        <f>IF('03_Base_Indice'!$D90="","",IF('03_Base_Indice'!R90&lt;&gt;"",'03_Base_Indice'!R90,IF(AND(Aux!I90&lt;&gt;"",Aux!U90&lt;&gt;"",(N(Aux!U90)-N(Aux!I90)-1)&lt;='01_Criterios'!$C$13),Aux!AG90+(Aux!AS90-Aux!AG90)*(8-Aux!I90)/(Aux!U90-Aux!I90),IF(AND(Aux!I90&lt;&gt;"",(8-N(Aux!I90))&lt;='01_Criterios'!$C$14),Aux!AG90,IF(AND(Aux!U90&lt;&gt;"",(N(Aux!U90)-8)&lt;='01_Criterios'!$C$15),Aux!AS90,"")))))</f>
        <v/>
      </c>
      <c r="S90" s="6" t="str">
        <f>IF('03_Base_Indice'!$D90="","",IF('03_Base_Indice'!S90&lt;&gt;"",'03_Base_Indice'!S90,IF(AND(Aux!J90&lt;&gt;"",Aux!V90&lt;&gt;"",(N(Aux!V90)-N(Aux!J90)-1)&lt;='01_Criterios'!$C$13),Aux!AH90+(Aux!AT90-Aux!AH90)*(9-Aux!J90)/(Aux!V90-Aux!J90),IF(AND(Aux!J90&lt;&gt;"",(9-N(Aux!J90))&lt;='01_Criterios'!$C$14),Aux!AH90,IF(AND(Aux!V90&lt;&gt;"",(N(Aux!V90)-9)&lt;='01_Criterios'!$C$15),Aux!AT90,"")))))</f>
        <v/>
      </c>
      <c r="T90" s="6" t="str">
        <f>IF('03_Base_Indice'!$D90="","",IF('03_Base_Indice'!T90&lt;&gt;"",'03_Base_Indice'!T90,IF(AND(Aux!K90&lt;&gt;"",Aux!W90&lt;&gt;"",(N(Aux!W90)-N(Aux!K90)-1)&lt;='01_Criterios'!$C$13),Aux!AI90+(Aux!AU90-Aux!AI90)*(10-Aux!K90)/(Aux!W90-Aux!K90),IF(AND(Aux!K90&lt;&gt;"",(10-N(Aux!K90))&lt;='01_Criterios'!$C$14),Aux!AI90,IF(AND(Aux!W90&lt;&gt;"",(N(Aux!W90)-10)&lt;='01_Criterios'!$C$15),Aux!AU90,"")))))</f>
        <v/>
      </c>
      <c r="U90" s="6" t="str">
        <f>IF('03_Base_Indice'!$D90="","",IF('03_Base_Indice'!U90&lt;&gt;"",'03_Base_Indice'!U90,IF(AND(Aux!L90&lt;&gt;"",Aux!X90&lt;&gt;"",(N(Aux!X90)-N(Aux!L90)-1)&lt;='01_Criterios'!$C$13),Aux!AJ90+(Aux!AV90-Aux!AJ90)*(11-Aux!L90)/(Aux!X90-Aux!L90),IF(AND(Aux!L90&lt;&gt;"",(11-N(Aux!L90))&lt;='01_Criterios'!$C$14),Aux!AJ90,IF(AND(Aux!X90&lt;&gt;"",(N(Aux!X90)-11)&lt;='01_Criterios'!$C$15),Aux!AV90,"")))))</f>
        <v/>
      </c>
    </row>
    <row r="91" spans="1:21">
      <c r="A91" s="6" t="str">
        <f>IF('03_Base_Indice'!$A91="","",'03_Base_Indice'!$A91)</f>
        <v>9. Ambiente, Clima e Resiliência</v>
      </c>
      <c r="B91" s="6">
        <f>'03_Base_Indice'!$B91</f>
        <v>7</v>
      </c>
      <c r="D91" s="6" t="str">
        <f>IF('03_Base_Indice'!$D91="","",'03_Base_Indice'!$D91)</f>
        <v/>
      </c>
      <c r="E91" s="6" t="str">
        <f>IF('03_Base_Indice'!$E91="","",'03_Base_Indice'!$E91)</f>
        <v/>
      </c>
      <c r="K91" s="6" t="str">
        <f>IF('03_Base_Indice'!$D91="","",IF('03_Base_Indice'!K91&lt;&gt;"",'03_Base_Indice'!K91,IF(AND(Aux!B91&lt;&gt;"",Aux!N91&lt;&gt;"",(N(Aux!N91)-N(Aux!B91)-1)&lt;='01_Criterios'!$C$13),Aux!Z91+(Aux!AL91-Aux!Z91)*(1-Aux!B91)/(Aux!N91-Aux!B91),IF(AND(Aux!B91&lt;&gt;"",(1-N(Aux!B91))&lt;='01_Criterios'!$C$14),Aux!Z91,IF(AND(Aux!N91&lt;&gt;"",(N(Aux!N91)-1)&lt;='01_Criterios'!$C$15),Aux!AL91,"")))))</f>
        <v/>
      </c>
      <c r="L91" s="6" t="str">
        <f>IF('03_Base_Indice'!$D91="","",IF('03_Base_Indice'!L91&lt;&gt;"",'03_Base_Indice'!L91,IF(AND(Aux!C91&lt;&gt;"",Aux!O91&lt;&gt;"",(N(Aux!O91)-N(Aux!C91)-1)&lt;='01_Criterios'!$C$13),Aux!AA91+(Aux!AM91-Aux!AA91)*(2-Aux!C91)/(Aux!O91-Aux!C91),IF(AND(Aux!C91&lt;&gt;"",(2-N(Aux!C91))&lt;='01_Criterios'!$C$14),Aux!AA91,IF(AND(Aux!O91&lt;&gt;"",(N(Aux!O91)-2)&lt;='01_Criterios'!$C$15),Aux!AM91,"")))))</f>
        <v/>
      </c>
      <c r="M91" s="6" t="str">
        <f>IF('03_Base_Indice'!$D91="","",IF('03_Base_Indice'!M91&lt;&gt;"",'03_Base_Indice'!M91,IF(AND(Aux!D91&lt;&gt;"",Aux!P91&lt;&gt;"",(N(Aux!P91)-N(Aux!D91)-1)&lt;='01_Criterios'!$C$13),Aux!AB91+(Aux!AN91-Aux!AB91)*(3-Aux!D91)/(Aux!P91-Aux!D91),IF(AND(Aux!D91&lt;&gt;"",(3-N(Aux!D91))&lt;='01_Criterios'!$C$14),Aux!AB91,IF(AND(Aux!P91&lt;&gt;"",(N(Aux!P91)-3)&lt;='01_Criterios'!$C$15),Aux!AN91,"")))))</f>
        <v/>
      </c>
      <c r="N91" s="6" t="str">
        <f>IF('03_Base_Indice'!$D91="","",IF('03_Base_Indice'!N91&lt;&gt;"",'03_Base_Indice'!N91,IF(AND(Aux!E91&lt;&gt;"",Aux!Q91&lt;&gt;"",(N(Aux!Q91)-N(Aux!E91)-1)&lt;='01_Criterios'!$C$13),Aux!AC91+(Aux!AO91-Aux!AC91)*(4-Aux!E91)/(Aux!Q91-Aux!E91),IF(AND(Aux!E91&lt;&gt;"",(4-N(Aux!E91))&lt;='01_Criterios'!$C$14),Aux!AC91,IF(AND(Aux!Q91&lt;&gt;"",(N(Aux!Q91)-4)&lt;='01_Criterios'!$C$15),Aux!AO91,"")))))</f>
        <v/>
      </c>
      <c r="O91" s="6" t="str">
        <f>IF('03_Base_Indice'!$D91="","",IF('03_Base_Indice'!O91&lt;&gt;"",'03_Base_Indice'!O91,IF(AND(Aux!F91&lt;&gt;"",Aux!R91&lt;&gt;"",(N(Aux!R91)-N(Aux!F91)-1)&lt;='01_Criterios'!$C$13),Aux!AD91+(Aux!AP91-Aux!AD91)*(5-Aux!F91)/(Aux!R91-Aux!F91),IF(AND(Aux!F91&lt;&gt;"",(5-N(Aux!F91))&lt;='01_Criterios'!$C$14),Aux!AD91,IF(AND(Aux!R91&lt;&gt;"",(N(Aux!R91)-5)&lt;='01_Criterios'!$C$15),Aux!AP91,"")))))</f>
        <v/>
      </c>
      <c r="P91" s="6" t="str">
        <f>IF('03_Base_Indice'!$D91="","",IF('03_Base_Indice'!P91&lt;&gt;"",'03_Base_Indice'!P91,IF(AND(Aux!G91&lt;&gt;"",Aux!S91&lt;&gt;"",(N(Aux!S91)-N(Aux!G91)-1)&lt;='01_Criterios'!$C$13),Aux!AE91+(Aux!AQ91-Aux!AE91)*(6-Aux!G91)/(Aux!S91-Aux!G91),IF(AND(Aux!G91&lt;&gt;"",(6-N(Aux!G91))&lt;='01_Criterios'!$C$14),Aux!AE91,IF(AND(Aux!S91&lt;&gt;"",(N(Aux!S91)-6)&lt;='01_Criterios'!$C$15),Aux!AQ91,"")))))</f>
        <v/>
      </c>
      <c r="Q91" s="6" t="str">
        <f>IF('03_Base_Indice'!$D91="","",IF('03_Base_Indice'!Q91&lt;&gt;"",'03_Base_Indice'!Q91,IF(AND(Aux!H91&lt;&gt;"",Aux!T91&lt;&gt;"",(N(Aux!T91)-N(Aux!H91)-1)&lt;='01_Criterios'!$C$13),Aux!AF91+(Aux!AR91-Aux!AF91)*(7-Aux!H91)/(Aux!T91-Aux!H91),IF(AND(Aux!H91&lt;&gt;"",(7-N(Aux!H91))&lt;='01_Criterios'!$C$14),Aux!AF91,IF(AND(Aux!T91&lt;&gt;"",(N(Aux!T91)-7)&lt;='01_Criterios'!$C$15),Aux!AR91,"")))))</f>
        <v/>
      </c>
      <c r="R91" s="6" t="str">
        <f>IF('03_Base_Indice'!$D91="","",IF('03_Base_Indice'!R91&lt;&gt;"",'03_Base_Indice'!R91,IF(AND(Aux!I91&lt;&gt;"",Aux!U91&lt;&gt;"",(N(Aux!U91)-N(Aux!I91)-1)&lt;='01_Criterios'!$C$13),Aux!AG91+(Aux!AS91-Aux!AG91)*(8-Aux!I91)/(Aux!U91-Aux!I91),IF(AND(Aux!I91&lt;&gt;"",(8-N(Aux!I91))&lt;='01_Criterios'!$C$14),Aux!AG91,IF(AND(Aux!U91&lt;&gt;"",(N(Aux!U91)-8)&lt;='01_Criterios'!$C$15),Aux!AS91,"")))))</f>
        <v/>
      </c>
      <c r="S91" s="6" t="str">
        <f>IF('03_Base_Indice'!$D91="","",IF('03_Base_Indice'!S91&lt;&gt;"",'03_Base_Indice'!S91,IF(AND(Aux!J91&lt;&gt;"",Aux!V91&lt;&gt;"",(N(Aux!V91)-N(Aux!J91)-1)&lt;='01_Criterios'!$C$13),Aux!AH91+(Aux!AT91-Aux!AH91)*(9-Aux!J91)/(Aux!V91-Aux!J91),IF(AND(Aux!J91&lt;&gt;"",(9-N(Aux!J91))&lt;='01_Criterios'!$C$14),Aux!AH91,IF(AND(Aux!V91&lt;&gt;"",(N(Aux!V91)-9)&lt;='01_Criterios'!$C$15),Aux!AT91,"")))))</f>
        <v/>
      </c>
      <c r="T91" s="6" t="str">
        <f>IF('03_Base_Indice'!$D91="","",IF('03_Base_Indice'!T91&lt;&gt;"",'03_Base_Indice'!T91,IF(AND(Aux!K91&lt;&gt;"",Aux!W91&lt;&gt;"",(N(Aux!W91)-N(Aux!K91)-1)&lt;='01_Criterios'!$C$13),Aux!AI91+(Aux!AU91-Aux!AI91)*(10-Aux!K91)/(Aux!W91-Aux!K91),IF(AND(Aux!K91&lt;&gt;"",(10-N(Aux!K91))&lt;='01_Criterios'!$C$14),Aux!AI91,IF(AND(Aux!W91&lt;&gt;"",(N(Aux!W91)-10)&lt;='01_Criterios'!$C$15),Aux!AU91,"")))))</f>
        <v/>
      </c>
      <c r="U91" s="6" t="str">
        <f>IF('03_Base_Indice'!$D91="","",IF('03_Base_Indice'!U91&lt;&gt;"",'03_Base_Indice'!U91,IF(AND(Aux!L91&lt;&gt;"",Aux!X91&lt;&gt;"",(N(Aux!X91)-N(Aux!L91)-1)&lt;='01_Criterios'!$C$13),Aux!AJ91+(Aux!AV91-Aux!AJ91)*(11-Aux!L91)/(Aux!X91-Aux!L91),IF(AND(Aux!L91&lt;&gt;"",(11-N(Aux!L91))&lt;='01_Criterios'!$C$14),Aux!AJ91,IF(AND(Aux!X91&lt;&gt;"",(N(Aux!X91)-11)&lt;='01_Criterios'!$C$15),Aux!AV91,"")))))</f>
        <v/>
      </c>
    </row>
    <row r="92" spans="1:21">
      <c r="A92" s="6" t="str">
        <f>IF('03_Base_Indice'!$A92="","",'03_Base_Indice'!$A92)</f>
        <v>9. Ambiente, Clima e Resiliência</v>
      </c>
      <c r="B92" s="6">
        <f>'03_Base_Indice'!$B92</f>
        <v>8</v>
      </c>
      <c r="D92" s="6" t="str">
        <f>IF('03_Base_Indice'!$D92="","",'03_Base_Indice'!$D92)</f>
        <v/>
      </c>
      <c r="E92" s="6" t="str">
        <f>IF('03_Base_Indice'!$E92="","",'03_Base_Indice'!$E92)</f>
        <v/>
      </c>
      <c r="K92" s="6" t="str">
        <f>IF('03_Base_Indice'!$D92="","",IF('03_Base_Indice'!K92&lt;&gt;"",'03_Base_Indice'!K92,IF(AND(Aux!B92&lt;&gt;"",Aux!N92&lt;&gt;"",(N(Aux!N92)-N(Aux!B92)-1)&lt;='01_Criterios'!$C$13),Aux!Z92+(Aux!AL92-Aux!Z92)*(1-Aux!B92)/(Aux!N92-Aux!B92),IF(AND(Aux!B92&lt;&gt;"",(1-N(Aux!B92))&lt;='01_Criterios'!$C$14),Aux!Z92,IF(AND(Aux!N92&lt;&gt;"",(N(Aux!N92)-1)&lt;='01_Criterios'!$C$15),Aux!AL92,"")))))</f>
        <v/>
      </c>
      <c r="L92" s="6" t="str">
        <f>IF('03_Base_Indice'!$D92="","",IF('03_Base_Indice'!L92&lt;&gt;"",'03_Base_Indice'!L92,IF(AND(Aux!C92&lt;&gt;"",Aux!O92&lt;&gt;"",(N(Aux!O92)-N(Aux!C92)-1)&lt;='01_Criterios'!$C$13),Aux!AA92+(Aux!AM92-Aux!AA92)*(2-Aux!C92)/(Aux!O92-Aux!C92),IF(AND(Aux!C92&lt;&gt;"",(2-N(Aux!C92))&lt;='01_Criterios'!$C$14),Aux!AA92,IF(AND(Aux!O92&lt;&gt;"",(N(Aux!O92)-2)&lt;='01_Criterios'!$C$15),Aux!AM92,"")))))</f>
        <v/>
      </c>
      <c r="M92" s="6" t="str">
        <f>IF('03_Base_Indice'!$D92="","",IF('03_Base_Indice'!M92&lt;&gt;"",'03_Base_Indice'!M92,IF(AND(Aux!D92&lt;&gt;"",Aux!P92&lt;&gt;"",(N(Aux!P92)-N(Aux!D92)-1)&lt;='01_Criterios'!$C$13),Aux!AB92+(Aux!AN92-Aux!AB92)*(3-Aux!D92)/(Aux!P92-Aux!D92),IF(AND(Aux!D92&lt;&gt;"",(3-N(Aux!D92))&lt;='01_Criterios'!$C$14),Aux!AB92,IF(AND(Aux!P92&lt;&gt;"",(N(Aux!P92)-3)&lt;='01_Criterios'!$C$15),Aux!AN92,"")))))</f>
        <v/>
      </c>
      <c r="N92" s="6" t="str">
        <f>IF('03_Base_Indice'!$D92="","",IF('03_Base_Indice'!N92&lt;&gt;"",'03_Base_Indice'!N92,IF(AND(Aux!E92&lt;&gt;"",Aux!Q92&lt;&gt;"",(N(Aux!Q92)-N(Aux!E92)-1)&lt;='01_Criterios'!$C$13),Aux!AC92+(Aux!AO92-Aux!AC92)*(4-Aux!E92)/(Aux!Q92-Aux!E92),IF(AND(Aux!E92&lt;&gt;"",(4-N(Aux!E92))&lt;='01_Criterios'!$C$14),Aux!AC92,IF(AND(Aux!Q92&lt;&gt;"",(N(Aux!Q92)-4)&lt;='01_Criterios'!$C$15),Aux!AO92,"")))))</f>
        <v/>
      </c>
      <c r="O92" s="6" t="str">
        <f>IF('03_Base_Indice'!$D92="","",IF('03_Base_Indice'!O92&lt;&gt;"",'03_Base_Indice'!O92,IF(AND(Aux!F92&lt;&gt;"",Aux!R92&lt;&gt;"",(N(Aux!R92)-N(Aux!F92)-1)&lt;='01_Criterios'!$C$13),Aux!AD92+(Aux!AP92-Aux!AD92)*(5-Aux!F92)/(Aux!R92-Aux!F92),IF(AND(Aux!F92&lt;&gt;"",(5-N(Aux!F92))&lt;='01_Criterios'!$C$14),Aux!AD92,IF(AND(Aux!R92&lt;&gt;"",(N(Aux!R92)-5)&lt;='01_Criterios'!$C$15),Aux!AP92,"")))))</f>
        <v/>
      </c>
      <c r="P92" s="6" t="str">
        <f>IF('03_Base_Indice'!$D92="","",IF('03_Base_Indice'!P92&lt;&gt;"",'03_Base_Indice'!P92,IF(AND(Aux!G92&lt;&gt;"",Aux!S92&lt;&gt;"",(N(Aux!S92)-N(Aux!G92)-1)&lt;='01_Criterios'!$C$13),Aux!AE92+(Aux!AQ92-Aux!AE92)*(6-Aux!G92)/(Aux!S92-Aux!G92),IF(AND(Aux!G92&lt;&gt;"",(6-N(Aux!G92))&lt;='01_Criterios'!$C$14),Aux!AE92,IF(AND(Aux!S92&lt;&gt;"",(N(Aux!S92)-6)&lt;='01_Criterios'!$C$15),Aux!AQ92,"")))))</f>
        <v/>
      </c>
      <c r="Q92" s="6" t="str">
        <f>IF('03_Base_Indice'!$D92="","",IF('03_Base_Indice'!Q92&lt;&gt;"",'03_Base_Indice'!Q92,IF(AND(Aux!H92&lt;&gt;"",Aux!T92&lt;&gt;"",(N(Aux!T92)-N(Aux!H92)-1)&lt;='01_Criterios'!$C$13),Aux!AF92+(Aux!AR92-Aux!AF92)*(7-Aux!H92)/(Aux!T92-Aux!H92),IF(AND(Aux!H92&lt;&gt;"",(7-N(Aux!H92))&lt;='01_Criterios'!$C$14),Aux!AF92,IF(AND(Aux!T92&lt;&gt;"",(N(Aux!T92)-7)&lt;='01_Criterios'!$C$15),Aux!AR92,"")))))</f>
        <v/>
      </c>
      <c r="R92" s="6" t="str">
        <f>IF('03_Base_Indice'!$D92="","",IF('03_Base_Indice'!R92&lt;&gt;"",'03_Base_Indice'!R92,IF(AND(Aux!I92&lt;&gt;"",Aux!U92&lt;&gt;"",(N(Aux!U92)-N(Aux!I92)-1)&lt;='01_Criterios'!$C$13),Aux!AG92+(Aux!AS92-Aux!AG92)*(8-Aux!I92)/(Aux!U92-Aux!I92),IF(AND(Aux!I92&lt;&gt;"",(8-N(Aux!I92))&lt;='01_Criterios'!$C$14),Aux!AG92,IF(AND(Aux!U92&lt;&gt;"",(N(Aux!U92)-8)&lt;='01_Criterios'!$C$15),Aux!AS92,"")))))</f>
        <v/>
      </c>
      <c r="S92" s="6" t="str">
        <f>IF('03_Base_Indice'!$D92="","",IF('03_Base_Indice'!S92&lt;&gt;"",'03_Base_Indice'!S92,IF(AND(Aux!J92&lt;&gt;"",Aux!V92&lt;&gt;"",(N(Aux!V92)-N(Aux!J92)-1)&lt;='01_Criterios'!$C$13),Aux!AH92+(Aux!AT92-Aux!AH92)*(9-Aux!J92)/(Aux!V92-Aux!J92),IF(AND(Aux!J92&lt;&gt;"",(9-N(Aux!J92))&lt;='01_Criterios'!$C$14),Aux!AH92,IF(AND(Aux!V92&lt;&gt;"",(N(Aux!V92)-9)&lt;='01_Criterios'!$C$15),Aux!AT92,"")))))</f>
        <v/>
      </c>
      <c r="T92" s="6" t="str">
        <f>IF('03_Base_Indice'!$D92="","",IF('03_Base_Indice'!T92&lt;&gt;"",'03_Base_Indice'!T92,IF(AND(Aux!K92&lt;&gt;"",Aux!W92&lt;&gt;"",(N(Aux!W92)-N(Aux!K92)-1)&lt;='01_Criterios'!$C$13),Aux!AI92+(Aux!AU92-Aux!AI92)*(10-Aux!K92)/(Aux!W92-Aux!K92),IF(AND(Aux!K92&lt;&gt;"",(10-N(Aux!K92))&lt;='01_Criterios'!$C$14),Aux!AI92,IF(AND(Aux!W92&lt;&gt;"",(N(Aux!W92)-10)&lt;='01_Criterios'!$C$15),Aux!AU92,"")))))</f>
        <v/>
      </c>
      <c r="U92" s="6" t="str">
        <f>IF('03_Base_Indice'!$D92="","",IF('03_Base_Indice'!U92&lt;&gt;"",'03_Base_Indice'!U92,IF(AND(Aux!L92&lt;&gt;"",Aux!X92&lt;&gt;"",(N(Aux!X92)-N(Aux!L92)-1)&lt;='01_Criterios'!$C$13),Aux!AJ92+(Aux!AV92-Aux!AJ92)*(11-Aux!L92)/(Aux!X92-Aux!L92),IF(AND(Aux!L92&lt;&gt;"",(11-N(Aux!L92))&lt;='01_Criterios'!$C$14),Aux!AJ92,IF(AND(Aux!X92&lt;&gt;"",(N(Aux!X92)-11)&lt;='01_Criterios'!$C$15),Aux!AV92,"")))))</f>
        <v/>
      </c>
    </row>
    <row r="93" spans="1:21">
      <c r="A93" s="6" t="str">
        <f>IF('03_Base_Indice'!$A93="","",'03_Base_Indice'!$A93)</f>
        <v>9. Ambiente, Clima e Resiliência</v>
      </c>
      <c r="B93" s="6">
        <f>'03_Base_Indice'!$B93</f>
        <v>9</v>
      </c>
      <c r="D93" s="6" t="str">
        <f>IF('03_Base_Indice'!$D93="","",'03_Base_Indice'!$D93)</f>
        <v/>
      </c>
      <c r="E93" s="6" t="str">
        <f>IF('03_Base_Indice'!$E93="","",'03_Base_Indice'!$E93)</f>
        <v/>
      </c>
      <c r="K93" s="6" t="str">
        <f>IF('03_Base_Indice'!$D93="","",IF('03_Base_Indice'!K93&lt;&gt;"",'03_Base_Indice'!K93,IF(AND(Aux!B93&lt;&gt;"",Aux!N93&lt;&gt;"",(N(Aux!N93)-N(Aux!B93)-1)&lt;='01_Criterios'!$C$13),Aux!Z93+(Aux!AL93-Aux!Z93)*(1-Aux!B93)/(Aux!N93-Aux!B93),IF(AND(Aux!B93&lt;&gt;"",(1-N(Aux!B93))&lt;='01_Criterios'!$C$14),Aux!Z93,IF(AND(Aux!N93&lt;&gt;"",(N(Aux!N93)-1)&lt;='01_Criterios'!$C$15),Aux!AL93,"")))))</f>
        <v/>
      </c>
      <c r="L93" s="6" t="str">
        <f>IF('03_Base_Indice'!$D93="","",IF('03_Base_Indice'!L93&lt;&gt;"",'03_Base_Indice'!L93,IF(AND(Aux!C93&lt;&gt;"",Aux!O93&lt;&gt;"",(N(Aux!O93)-N(Aux!C93)-1)&lt;='01_Criterios'!$C$13),Aux!AA93+(Aux!AM93-Aux!AA93)*(2-Aux!C93)/(Aux!O93-Aux!C93),IF(AND(Aux!C93&lt;&gt;"",(2-N(Aux!C93))&lt;='01_Criterios'!$C$14),Aux!AA93,IF(AND(Aux!O93&lt;&gt;"",(N(Aux!O93)-2)&lt;='01_Criterios'!$C$15),Aux!AM93,"")))))</f>
        <v/>
      </c>
      <c r="M93" s="6" t="str">
        <f>IF('03_Base_Indice'!$D93="","",IF('03_Base_Indice'!M93&lt;&gt;"",'03_Base_Indice'!M93,IF(AND(Aux!D93&lt;&gt;"",Aux!P93&lt;&gt;"",(N(Aux!P93)-N(Aux!D93)-1)&lt;='01_Criterios'!$C$13),Aux!AB93+(Aux!AN93-Aux!AB93)*(3-Aux!D93)/(Aux!P93-Aux!D93),IF(AND(Aux!D93&lt;&gt;"",(3-N(Aux!D93))&lt;='01_Criterios'!$C$14),Aux!AB93,IF(AND(Aux!P93&lt;&gt;"",(N(Aux!P93)-3)&lt;='01_Criterios'!$C$15),Aux!AN93,"")))))</f>
        <v/>
      </c>
      <c r="N93" s="6" t="str">
        <f>IF('03_Base_Indice'!$D93="","",IF('03_Base_Indice'!N93&lt;&gt;"",'03_Base_Indice'!N93,IF(AND(Aux!E93&lt;&gt;"",Aux!Q93&lt;&gt;"",(N(Aux!Q93)-N(Aux!E93)-1)&lt;='01_Criterios'!$C$13),Aux!AC93+(Aux!AO93-Aux!AC93)*(4-Aux!E93)/(Aux!Q93-Aux!E93),IF(AND(Aux!E93&lt;&gt;"",(4-N(Aux!E93))&lt;='01_Criterios'!$C$14),Aux!AC93,IF(AND(Aux!Q93&lt;&gt;"",(N(Aux!Q93)-4)&lt;='01_Criterios'!$C$15),Aux!AO93,"")))))</f>
        <v/>
      </c>
      <c r="O93" s="6" t="str">
        <f>IF('03_Base_Indice'!$D93="","",IF('03_Base_Indice'!O93&lt;&gt;"",'03_Base_Indice'!O93,IF(AND(Aux!F93&lt;&gt;"",Aux!R93&lt;&gt;"",(N(Aux!R93)-N(Aux!F93)-1)&lt;='01_Criterios'!$C$13),Aux!AD93+(Aux!AP93-Aux!AD93)*(5-Aux!F93)/(Aux!R93-Aux!F93),IF(AND(Aux!F93&lt;&gt;"",(5-N(Aux!F93))&lt;='01_Criterios'!$C$14),Aux!AD93,IF(AND(Aux!R93&lt;&gt;"",(N(Aux!R93)-5)&lt;='01_Criterios'!$C$15),Aux!AP93,"")))))</f>
        <v/>
      </c>
      <c r="P93" s="6" t="str">
        <f>IF('03_Base_Indice'!$D93="","",IF('03_Base_Indice'!P93&lt;&gt;"",'03_Base_Indice'!P93,IF(AND(Aux!G93&lt;&gt;"",Aux!S93&lt;&gt;"",(N(Aux!S93)-N(Aux!G93)-1)&lt;='01_Criterios'!$C$13),Aux!AE93+(Aux!AQ93-Aux!AE93)*(6-Aux!G93)/(Aux!S93-Aux!G93),IF(AND(Aux!G93&lt;&gt;"",(6-N(Aux!G93))&lt;='01_Criterios'!$C$14),Aux!AE93,IF(AND(Aux!S93&lt;&gt;"",(N(Aux!S93)-6)&lt;='01_Criterios'!$C$15),Aux!AQ93,"")))))</f>
        <v/>
      </c>
      <c r="Q93" s="6" t="str">
        <f>IF('03_Base_Indice'!$D93="","",IF('03_Base_Indice'!Q93&lt;&gt;"",'03_Base_Indice'!Q93,IF(AND(Aux!H93&lt;&gt;"",Aux!T93&lt;&gt;"",(N(Aux!T93)-N(Aux!H93)-1)&lt;='01_Criterios'!$C$13),Aux!AF93+(Aux!AR93-Aux!AF93)*(7-Aux!H93)/(Aux!T93-Aux!H93),IF(AND(Aux!H93&lt;&gt;"",(7-N(Aux!H93))&lt;='01_Criterios'!$C$14),Aux!AF93,IF(AND(Aux!T93&lt;&gt;"",(N(Aux!T93)-7)&lt;='01_Criterios'!$C$15),Aux!AR93,"")))))</f>
        <v/>
      </c>
      <c r="R93" s="6" t="str">
        <f>IF('03_Base_Indice'!$D93="","",IF('03_Base_Indice'!R93&lt;&gt;"",'03_Base_Indice'!R93,IF(AND(Aux!I93&lt;&gt;"",Aux!U93&lt;&gt;"",(N(Aux!U93)-N(Aux!I93)-1)&lt;='01_Criterios'!$C$13),Aux!AG93+(Aux!AS93-Aux!AG93)*(8-Aux!I93)/(Aux!U93-Aux!I93),IF(AND(Aux!I93&lt;&gt;"",(8-N(Aux!I93))&lt;='01_Criterios'!$C$14),Aux!AG93,IF(AND(Aux!U93&lt;&gt;"",(N(Aux!U93)-8)&lt;='01_Criterios'!$C$15),Aux!AS93,"")))))</f>
        <v/>
      </c>
      <c r="S93" s="6" t="str">
        <f>IF('03_Base_Indice'!$D93="","",IF('03_Base_Indice'!S93&lt;&gt;"",'03_Base_Indice'!S93,IF(AND(Aux!J93&lt;&gt;"",Aux!V93&lt;&gt;"",(N(Aux!V93)-N(Aux!J93)-1)&lt;='01_Criterios'!$C$13),Aux!AH93+(Aux!AT93-Aux!AH93)*(9-Aux!J93)/(Aux!V93-Aux!J93),IF(AND(Aux!J93&lt;&gt;"",(9-N(Aux!J93))&lt;='01_Criterios'!$C$14),Aux!AH93,IF(AND(Aux!V93&lt;&gt;"",(N(Aux!V93)-9)&lt;='01_Criterios'!$C$15),Aux!AT93,"")))))</f>
        <v/>
      </c>
      <c r="T93" s="6" t="str">
        <f>IF('03_Base_Indice'!$D93="","",IF('03_Base_Indice'!T93&lt;&gt;"",'03_Base_Indice'!T93,IF(AND(Aux!K93&lt;&gt;"",Aux!W93&lt;&gt;"",(N(Aux!W93)-N(Aux!K93)-1)&lt;='01_Criterios'!$C$13),Aux!AI93+(Aux!AU93-Aux!AI93)*(10-Aux!K93)/(Aux!W93-Aux!K93),IF(AND(Aux!K93&lt;&gt;"",(10-N(Aux!K93))&lt;='01_Criterios'!$C$14),Aux!AI93,IF(AND(Aux!W93&lt;&gt;"",(N(Aux!W93)-10)&lt;='01_Criterios'!$C$15),Aux!AU93,"")))))</f>
        <v/>
      </c>
      <c r="U93" s="6" t="str">
        <f>IF('03_Base_Indice'!$D93="","",IF('03_Base_Indice'!U93&lt;&gt;"",'03_Base_Indice'!U93,IF(AND(Aux!L93&lt;&gt;"",Aux!X93&lt;&gt;"",(N(Aux!X93)-N(Aux!L93)-1)&lt;='01_Criterios'!$C$13),Aux!AJ93+(Aux!AV93-Aux!AJ93)*(11-Aux!L93)/(Aux!X93-Aux!L93),IF(AND(Aux!L93&lt;&gt;"",(11-N(Aux!L93))&lt;='01_Criterios'!$C$14),Aux!AJ93,IF(AND(Aux!X93&lt;&gt;"",(N(Aux!X93)-11)&lt;='01_Criterios'!$C$15),Aux!AV93,"")))))</f>
        <v/>
      </c>
    </row>
    <row r="94" spans="1:21">
      <c r="A94" s="6" t="str">
        <f>IF('03_Base_Indice'!$A94="","",'03_Base_Indice'!$A94)</f>
        <v>9. Ambiente, Clima e Resiliência</v>
      </c>
      <c r="B94" s="6">
        <f>'03_Base_Indice'!$B94</f>
        <v>10</v>
      </c>
      <c r="D94" s="6" t="str">
        <f>IF('03_Base_Indice'!$D94="","",'03_Base_Indice'!$D94)</f>
        <v/>
      </c>
      <c r="E94" s="6" t="str">
        <f>IF('03_Base_Indice'!$E94="","",'03_Base_Indice'!$E94)</f>
        <v/>
      </c>
      <c r="K94" s="6" t="str">
        <f>IF('03_Base_Indice'!$D94="","",IF('03_Base_Indice'!K94&lt;&gt;"",'03_Base_Indice'!K94,IF(AND(Aux!B94&lt;&gt;"",Aux!N94&lt;&gt;"",(N(Aux!N94)-N(Aux!B94)-1)&lt;='01_Criterios'!$C$13),Aux!Z94+(Aux!AL94-Aux!Z94)*(1-Aux!B94)/(Aux!N94-Aux!B94),IF(AND(Aux!B94&lt;&gt;"",(1-N(Aux!B94))&lt;='01_Criterios'!$C$14),Aux!Z94,IF(AND(Aux!N94&lt;&gt;"",(N(Aux!N94)-1)&lt;='01_Criterios'!$C$15),Aux!AL94,"")))))</f>
        <v/>
      </c>
      <c r="L94" s="6" t="str">
        <f>IF('03_Base_Indice'!$D94="","",IF('03_Base_Indice'!L94&lt;&gt;"",'03_Base_Indice'!L94,IF(AND(Aux!C94&lt;&gt;"",Aux!O94&lt;&gt;"",(N(Aux!O94)-N(Aux!C94)-1)&lt;='01_Criterios'!$C$13),Aux!AA94+(Aux!AM94-Aux!AA94)*(2-Aux!C94)/(Aux!O94-Aux!C94),IF(AND(Aux!C94&lt;&gt;"",(2-N(Aux!C94))&lt;='01_Criterios'!$C$14),Aux!AA94,IF(AND(Aux!O94&lt;&gt;"",(N(Aux!O94)-2)&lt;='01_Criterios'!$C$15),Aux!AM94,"")))))</f>
        <v/>
      </c>
      <c r="M94" s="6" t="str">
        <f>IF('03_Base_Indice'!$D94="","",IF('03_Base_Indice'!M94&lt;&gt;"",'03_Base_Indice'!M94,IF(AND(Aux!D94&lt;&gt;"",Aux!P94&lt;&gt;"",(N(Aux!P94)-N(Aux!D94)-1)&lt;='01_Criterios'!$C$13),Aux!AB94+(Aux!AN94-Aux!AB94)*(3-Aux!D94)/(Aux!P94-Aux!D94),IF(AND(Aux!D94&lt;&gt;"",(3-N(Aux!D94))&lt;='01_Criterios'!$C$14),Aux!AB94,IF(AND(Aux!P94&lt;&gt;"",(N(Aux!P94)-3)&lt;='01_Criterios'!$C$15),Aux!AN94,"")))))</f>
        <v/>
      </c>
      <c r="N94" s="6" t="str">
        <f>IF('03_Base_Indice'!$D94="","",IF('03_Base_Indice'!N94&lt;&gt;"",'03_Base_Indice'!N94,IF(AND(Aux!E94&lt;&gt;"",Aux!Q94&lt;&gt;"",(N(Aux!Q94)-N(Aux!E94)-1)&lt;='01_Criterios'!$C$13),Aux!AC94+(Aux!AO94-Aux!AC94)*(4-Aux!E94)/(Aux!Q94-Aux!E94),IF(AND(Aux!E94&lt;&gt;"",(4-N(Aux!E94))&lt;='01_Criterios'!$C$14),Aux!AC94,IF(AND(Aux!Q94&lt;&gt;"",(N(Aux!Q94)-4)&lt;='01_Criterios'!$C$15),Aux!AO94,"")))))</f>
        <v/>
      </c>
      <c r="O94" s="6" t="str">
        <f>IF('03_Base_Indice'!$D94="","",IF('03_Base_Indice'!O94&lt;&gt;"",'03_Base_Indice'!O94,IF(AND(Aux!F94&lt;&gt;"",Aux!R94&lt;&gt;"",(N(Aux!R94)-N(Aux!F94)-1)&lt;='01_Criterios'!$C$13),Aux!AD94+(Aux!AP94-Aux!AD94)*(5-Aux!F94)/(Aux!R94-Aux!F94),IF(AND(Aux!F94&lt;&gt;"",(5-N(Aux!F94))&lt;='01_Criterios'!$C$14),Aux!AD94,IF(AND(Aux!R94&lt;&gt;"",(N(Aux!R94)-5)&lt;='01_Criterios'!$C$15),Aux!AP94,"")))))</f>
        <v/>
      </c>
      <c r="P94" s="6" t="str">
        <f>IF('03_Base_Indice'!$D94="","",IF('03_Base_Indice'!P94&lt;&gt;"",'03_Base_Indice'!P94,IF(AND(Aux!G94&lt;&gt;"",Aux!S94&lt;&gt;"",(N(Aux!S94)-N(Aux!G94)-1)&lt;='01_Criterios'!$C$13),Aux!AE94+(Aux!AQ94-Aux!AE94)*(6-Aux!G94)/(Aux!S94-Aux!G94),IF(AND(Aux!G94&lt;&gt;"",(6-N(Aux!G94))&lt;='01_Criterios'!$C$14),Aux!AE94,IF(AND(Aux!S94&lt;&gt;"",(N(Aux!S94)-6)&lt;='01_Criterios'!$C$15),Aux!AQ94,"")))))</f>
        <v/>
      </c>
      <c r="Q94" s="6" t="str">
        <f>IF('03_Base_Indice'!$D94="","",IF('03_Base_Indice'!Q94&lt;&gt;"",'03_Base_Indice'!Q94,IF(AND(Aux!H94&lt;&gt;"",Aux!T94&lt;&gt;"",(N(Aux!T94)-N(Aux!H94)-1)&lt;='01_Criterios'!$C$13),Aux!AF94+(Aux!AR94-Aux!AF94)*(7-Aux!H94)/(Aux!T94-Aux!H94),IF(AND(Aux!H94&lt;&gt;"",(7-N(Aux!H94))&lt;='01_Criterios'!$C$14),Aux!AF94,IF(AND(Aux!T94&lt;&gt;"",(N(Aux!T94)-7)&lt;='01_Criterios'!$C$15),Aux!AR94,"")))))</f>
        <v/>
      </c>
      <c r="R94" s="6" t="str">
        <f>IF('03_Base_Indice'!$D94="","",IF('03_Base_Indice'!R94&lt;&gt;"",'03_Base_Indice'!R94,IF(AND(Aux!I94&lt;&gt;"",Aux!U94&lt;&gt;"",(N(Aux!U94)-N(Aux!I94)-1)&lt;='01_Criterios'!$C$13),Aux!AG94+(Aux!AS94-Aux!AG94)*(8-Aux!I94)/(Aux!U94-Aux!I94),IF(AND(Aux!I94&lt;&gt;"",(8-N(Aux!I94))&lt;='01_Criterios'!$C$14),Aux!AG94,IF(AND(Aux!U94&lt;&gt;"",(N(Aux!U94)-8)&lt;='01_Criterios'!$C$15),Aux!AS94,"")))))</f>
        <v/>
      </c>
      <c r="S94" s="6" t="str">
        <f>IF('03_Base_Indice'!$D94="","",IF('03_Base_Indice'!S94&lt;&gt;"",'03_Base_Indice'!S94,IF(AND(Aux!J94&lt;&gt;"",Aux!V94&lt;&gt;"",(N(Aux!V94)-N(Aux!J94)-1)&lt;='01_Criterios'!$C$13),Aux!AH94+(Aux!AT94-Aux!AH94)*(9-Aux!J94)/(Aux!V94-Aux!J94),IF(AND(Aux!J94&lt;&gt;"",(9-N(Aux!J94))&lt;='01_Criterios'!$C$14),Aux!AH94,IF(AND(Aux!V94&lt;&gt;"",(N(Aux!V94)-9)&lt;='01_Criterios'!$C$15),Aux!AT94,"")))))</f>
        <v/>
      </c>
      <c r="T94" s="6" t="str">
        <f>IF('03_Base_Indice'!$D94="","",IF('03_Base_Indice'!T94&lt;&gt;"",'03_Base_Indice'!T94,IF(AND(Aux!K94&lt;&gt;"",Aux!W94&lt;&gt;"",(N(Aux!W94)-N(Aux!K94)-1)&lt;='01_Criterios'!$C$13),Aux!AI94+(Aux!AU94-Aux!AI94)*(10-Aux!K94)/(Aux!W94-Aux!K94),IF(AND(Aux!K94&lt;&gt;"",(10-N(Aux!K94))&lt;='01_Criterios'!$C$14),Aux!AI94,IF(AND(Aux!W94&lt;&gt;"",(N(Aux!W94)-10)&lt;='01_Criterios'!$C$15),Aux!AU94,"")))))</f>
        <v/>
      </c>
      <c r="U94" s="6" t="str">
        <f>IF('03_Base_Indice'!$D94="","",IF('03_Base_Indice'!U94&lt;&gt;"",'03_Base_Indice'!U94,IF(AND(Aux!L94&lt;&gt;"",Aux!X94&lt;&gt;"",(N(Aux!X94)-N(Aux!L94)-1)&lt;='01_Criterios'!$C$13),Aux!AJ94+(Aux!AV94-Aux!AJ94)*(11-Aux!L94)/(Aux!X94-Aux!L94),IF(AND(Aux!L94&lt;&gt;"",(11-N(Aux!L94))&lt;='01_Criterios'!$C$14),Aux!AJ94,IF(AND(Aux!X94&lt;&gt;"",(N(Aux!X94)-11)&lt;='01_Criterios'!$C$15),Aux!AV94,"")))))</f>
        <v/>
      </c>
    </row>
    <row r="95" spans="1:21">
      <c r="A95" s="6" t="str">
        <f>IF('03_Base_Indice'!$A95="","",'03_Base_Indice'!$A95)</f>
        <v>10. Demografia, Território e Urbanização</v>
      </c>
      <c r="B95" s="6">
        <f>'03_Base_Indice'!$B95</f>
        <v>1</v>
      </c>
      <c r="D95" s="6" t="str">
        <f>IF('03_Base_Indice'!$D95="","",'03_Base_Indice'!$D95)</f>
        <v/>
      </c>
      <c r="E95" s="6" t="str">
        <f>IF('03_Base_Indice'!$E95="","",'03_Base_Indice'!$E95)</f>
        <v/>
      </c>
      <c r="K95" s="6" t="str">
        <f>IF('03_Base_Indice'!$D95="","",IF('03_Base_Indice'!K95&lt;&gt;"",'03_Base_Indice'!K95,IF(AND(Aux!B95&lt;&gt;"",Aux!N95&lt;&gt;"",(N(Aux!N95)-N(Aux!B95)-1)&lt;='01_Criterios'!$C$13),Aux!Z95+(Aux!AL95-Aux!Z95)*(1-Aux!B95)/(Aux!N95-Aux!B95),IF(AND(Aux!B95&lt;&gt;"",(1-N(Aux!B95))&lt;='01_Criterios'!$C$14),Aux!Z95,IF(AND(Aux!N95&lt;&gt;"",(N(Aux!N95)-1)&lt;='01_Criterios'!$C$15),Aux!AL95,"")))))</f>
        <v/>
      </c>
      <c r="L95" s="6" t="str">
        <f>IF('03_Base_Indice'!$D95="","",IF('03_Base_Indice'!L95&lt;&gt;"",'03_Base_Indice'!L95,IF(AND(Aux!C95&lt;&gt;"",Aux!O95&lt;&gt;"",(N(Aux!O95)-N(Aux!C95)-1)&lt;='01_Criterios'!$C$13),Aux!AA95+(Aux!AM95-Aux!AA95)*(2-Aux!C95)/(Aux!O95-Aux!C95),IF(AND(Aux!C95&lt;&gt;"",(2-N(Aux!C95))&lt;='01_Criterios'!$C$14),Aux!AA95,IF(AND(Aux!O95&lt;&gt;"",(N(Aux!O95)-2)&lt;='01_Criterios'!$C$15),Aux!AM95,"")))))</f>
        <v/>
      </c>
      <c r="M95" s="6" t="str">
        <f>IF('03_Base_Indice'!$D95="","",IF('03_Base_Indice'!M95&lt;&gt;"",'03_Base_Indice'!M95,IF(AND(Aux!D95&lt;&gt;"",Aux!P95&lt;&gt;"",(N(Aux!P95)-N(Aux!D95)-1)&lt;='01_Criterios'!$C$13),Aux!AB95+(Aux!AN95-Aux!AB95)*(3-Aux!D95)/(Aux!P95-Aux!D95),IF(AND(Aux!D95&lt;&gt;"",(3-N(Aux!D95))&lt;='01_Criterios'!$C$14),Aux!AB95,IF(AND(Aux!P95&lt;&gt;"",(N(Aux!P95)-3)&lt;='01_Criterios'!$C$15),Aux!AN95,"")))))</f>
        <v/>
      </c>
      <c r="N95" s="6" t="str">
        <f>IF('03_Base_Indice'!$D95="","",IF('03_Base_Indice'!N95&lt;&gt;"",'03_Base_Indice'!N95,IF(AND(Aux!E95&lt;&gt;"",Aux!Q95&lt;&gt;"",(N(Aux!Q95)-N(Aux!E95)-1)&lt;='01_Criterios'!$C$13),Aux!AC95+(Aux!AO95-Aux!AC95)*(4-Aux!E95)/(Aux!Q95-Aux!E95),IF(AND(Aux!E95&lt;&gt;"",(4-N(Aux!E95))&lt;='01_Criterios'!$C$14),Aux!AC95,IF(AND(Aux!Q95&lt;&gt;"",(N(Aux!Q95)-4)&lt;='01_Criterios'!$C$15),Aux!AO95,"")))))</f>
        <v/>
      </c>
      <c r="O95" s="6" t="str">
        <f>IF('03_Base_Indice'!$D95="","",IF('03_Base_Indice'!O95&lt;&gt;"",'03_Base_Indice'!O95,IF(AND(Aux!F95&lt;&gt;"",Aux!R95&lt;&gt;"",(N(Aux!R95)-N(Aux!F95)-1)&lt;='01_Criterios'!$C$13),Aux!AD95+(Aux!AP95-Aux!AD95)*(5-Aux!F95)/(Aux!R95-Aux!F95),IF(AND(Aux!F95&lt;&gt;"",(5-N(Aux!F95))&lt;='01_Criterios'!$C$14),Aux!AD95,IF(AND(Aux!R95&lt;&gt;"",(N(Aux!R95)-5)&lt;='01_Criterios'!$C$15),Aux!AP95,"")))))</f>
        <v/>
      </c>
      <c r="P95" s="6" t="str">
        <f>IF('03_Base_Indice'!$D95="","",IF('03_Base_Indice'!P95&lt;&gt;"",'03_Base_Indice'!P95,IF(AND(Aux!G95&lt;&gt;"",Aux!S95&lt;&gt;"",(N(Aux!S95)-N(Aux!G95)-1)&lt;='01_Criterios'!$C$13),Aux!AE95+(Aux!AQ95-Aux!AE95)*(6-Aux!G95)/(Aux!S95-Aux!G95),IF(AND(Aux!G95&lt;&gt;"",(6-N(Aux!G95))&lt;='01_Criterios'!$C$14),Aux!AE95,IF(AND(Aux!S95&lt;&gt;"",(N(Aux!S95)-6)&lt;='01_Criterios'!$C$15),Aux!AQ95,"")))))</f>
        <v/>
      </c>
      <c r="Q95" s="6" t="str">
        <f>IF('03_Base_Indice'!$D95="","",IF('03_Base_Indice'!Q95&lt;&gt;"",'03_Base_Indice'!Q95,IF(AND(Aux!H95&lt;&gt;"",Aux!T95&lt;&gt;"",(N(Aux!T95)-N(Aux!H95)-1)&lt;='01_Criterios'!$C$13),Aux!AF95+(Aux!AR95-Aux!AF95)*(7-Aux!H95)/(Aux!T95-Aux!H95),IF(AND(Aux!H95&lt;&gt;"",(7-N(Aux!H95))&lt;='01_Criterios'!$C$14),Aux!AF95,IF(AND(Aux!T95&lt;&gt;"",(N(Aux!T95)-7)&lt;='01_Criterios'!$C$15),Aux!AR95,"")))))</f>
        <v/>
      </c>
      <c r="R95" s="6" t="str">
        <f>IF('03_Base_Indice'!$D95="","",IF('03_Base_Indice'!R95&lt;&gt;"",'03_Base_Indice'!R95,IF(AND(Aux!I95&lt;&gt;"",Aux!U95&lt;&gt;"",(N(Aux!U95)-N(Aux!I95)-1)&lt;='01_Criterios'!$C$13),Aux!AG95+(Aux!AS95-Aux!AG95)*(8-Aux!I95)/(Aux!U95-Aux!I95),IF(AND(Aux!I95&lt;&gt;"",(8-N(Aux!I95))&lt;='01_Criterios'!$C$14),Aux!AG95,IF(AND(Aux!U95&lt;&gt;"",(N(Aux!U95)-8)&lt;='01_Criterios'!$C$15),Aux!AS95,"")))))</f>
        <v/>
      </c>
      <c r="S95" s="6" t="str">
        <f>IF('03_Base_Indice'!$D95="","",IF('03_Base_Indice'!S95&lt;&gt;"",'03_Base_Indice'!S95,IF(AND(Aux!J95&lt;&gt;"",Aux!V95&lt;&gt;"",(N(Aux!V95)-N(Aux!J95)-1)&lt;='01_Criterios'!$C$13),Aux!AH95+(Aux!AT95-Aux!AH95)*(9-Aux!J95)/(Aux!V95-Aux!J95),IF(AND(Aux!J95&lt;&gt;"",(9-N(Aux!J95))&lt;='01_Criterios'!$C$14),Aux!AH95,IF(AND(Aux!V95&lt;&gt;"",(N(Aux!V95)-9)&lt;='01_Criterios'!$C$15),Aux!AT95,"")))))</f>
        <v/>
      </c>
      <c r="T95" s="6" t="str">
        <f>IF('03_Base_Indice'!$D95="","",IF('03_Base_Indice'!T95&lt;&gt;"",'03_Base_Indice'!T95,IF(AND(Aux!K95&lt;&gt;"",Aux!W95&lt;&gt;"",(N(Aux!W95)-N(Aux!K95)-1)&lt;='01_Criterios'!$C$13),Aux!AI95+(Aux!AU95-Aux!AI95)*(10-Aux!K95)/(Aux!W95-Aux!K95),IF(AND(Aux!K95&lt;&gt;"",(10-N(Aux!K95))&lt;='01_Criterios'!$C$14),Aux!AI95,IF(AND(Aux!W95&lt;&gt;"",(N(Aux!W95)-10)&lt;='01_Criterios'!$C$15),Aux!AU95,"")))))</f>
        <v/>
      </c>
      <c r="U95" s="6" t="str">
        <f>IF('03_Base_Indice'!$D95="","",IF('03_Base_Indice'!U95&lt;&gt;"",'03_Base_Indice'!U95,IF(AND(Aux!L95&lt;&gt;"",Aux!X95&lt;&gt;"",(N(Aux!X95)-N(Aux!L95)-1)&lt;='01_Criterios'!$C$13),Aux!AJ95+(Aux!AV95-Aux!AJ95)*(11-Aux!L95)/(Aux!X95-Aux!L95),IF(AND(Aux!L95&lt;&gt;"",(11-N(Aux!L95))&lt;='01_Criterios'!$C$14),Aux!AJ95,IF(AND(Aux!X95&lt;&gt;"",(N(Aux!X95)-11)&lt;='01_Criterios'!$C$15),Aux!AV95,"")))))</f>
        <v/>
      </c>
    </row>
    <row r="96" spans="1:21">
      <c r="A96" s="6" t="str">
        <f>IF('03_Base_Indice'!$A96="","",'03_Base_Indice'!$A96)</f>
        <v>10. Demografia, Território e Urbanização</v>
      </c>
      <c r="B96" s="6">
        <f>'03_Base_Indice'!$B96</f>
        <v>2</v>
      </c>
      <c r="D96" s="6" t="str">
        <f>IF('03_Base_Indice'!$D96="","",'03_Base_Indice'!$D96)</f>
        <v/>
      </c>
      <c r="E96" s="6" t="str">
        <f>IF('03_Base_Indice'!$E96="","",'03_Base_Indice'!$E96)</f>
        <v/>
      </c>
      <c r="K96" s="6" t="str">
        <f>IF('03_Base_Indice'!$D96="","",IF('03_Base_Indice'!K96&lt;&gt;"",'03_Base_Indice'!K96,IF(AND(Aux!B96&lt;&gt;"",Aux!N96&lt;&gt;"",(N(Aux!N96)-N(Aux!B96)-1)&lt;='01_Criterios'!$C$13),Aux!Z96+(Aux!AL96-Aux!Z96)*(1-Aux!B96)/(Aux!N96-Aux!B96),IF(AND(Aux!B96&lt;&gt;"",(1-N(Aux!B96))&lt;='01_Criterios'!$C$14),Aux!Z96,IF(AND(Aux!N96&lt;&gt;"",(N(Aux!N96)-1)&lt;='01_Criterios'!$C$15),Aux!AL96,"")))))</f>
        <v/>
      </c>
      <c r="L96" s="6" t="str">
        <f>IF('03_Base_Indice'!$D96="","",IF('03_Base_Indice'!L96&lt;&gt;"",'03_Base_Indice'!L96,IF(AND(Aux!C96&lt;&gt;"",Aux!O96&lt;&gt;"",(N(Aux!O96)-N(Aux!C96)-1)&lt;='01_Criterios'!$C$13),Aux!AA96+(Aux!AM96-Aux!AA96)*(2-Aux!C96)/(Aux!O96-Aux!C96),IF(AND(Aux!C96&lt;&gt;"",(2-N(Aux!C96))&lt;='01_Criterios'!$C$14),Aux!AA96,IF(AND(Aux!O96&lt;&gt;"",(N(Aux!O96)-2)&lt;='01_Criterios'!$C$15),Aux!AM96,"")))))</f>
        <v/>
      </c>
      <c r="M96" s="6" t="str">
        <f>IF('03_Base_Indice'!$D96="","",IF('03_Base_Indice'!M96&lt;&gt;"",'03_Base_Indice'!M96,IF(AND(Aux!D96&lt;&gt;"",Aux!P96&lt;&gt;"",(N(Aux!P96)-N(Aux!D96)-1)&lt;='01_Criterios'!$C$13),Aux!AB96+(Aux!AN96-Aux!AB96)*(3-Aux!D96)/(Aux!P96-Aux!D96),IF(AND(Aux!D96&lt;&gt;"",(3-N(Aux!D96))&lt;='01_Criterios'!$C$14),Aux!AB96,IF(AND(Aux!P96&lt;&gt;"",(N(Aux!P96)-3)&lt;='01_Criterios'!$C$15),Aux!AN96,"")))))</f>
        <v/>
      </c>
      <c r="N96" s="6" t="str">
        <f>IF('03_Base_Indice'!$D96="","",IF('03_Base_Indice'!N96&lt;&gt;"",'03_Base_Indice'!N96,IF(AND(Aux!E96&lt;&gt;"",Aux!Q96&lt;&gt;"",(N(Aux!Q96)-N(Aux!E96)-1)&lt;='01_Criterios'!$C$13),Aux!AC96+(Aux!AO96-Aux!AC96)*(4-Aux!E96)/(Aux!Q96-Aux!E96),IF(AND(Aux!E96&lt;&gt;"",(4-N(Aux!E96))&lt;='01_Criterios'!$C$14),Aux!AC96,IF(AND(Aux!Q96&lt;&gt;"",(N(Aux!Q96)-4)&lt;='01_Criterios'!$C$15),Aux!AO96,"")))))</f>
        <v/>
      </c>
      <c r="O96" s="6" t="str">
        <f>IF('03_Base_Indice'!$D96="","",IF('03_Base_Indice'!O96&lt;&gt;"",'03_Base_Indice'!O96,IF(AND(Aux!F96&lt;&gt;"",Aux!R96&lt;&gt;"",(N(Aux!R96)-N(Aux!F96)-1)&lt;='01_Criterios'!$C$13),Aux!AD96+(Aux!AP96-Aux!AD96)*(5-Aux!F96)/(Aux!R96-Aux!F96),IF(AND(Aux!F96&lt;&gt;"",(5-N(Aux!F96))&lt;='01_Criterios'!$C$14),Aux!AD96,IF(AND(Aux!R96&lt;&gt;"",(N(Aux!R96)-5)&lt;='01_Criterios'!$C$15),Aux!AP96,"")))))</f>
        <v/>
      </c>
      <c r="P96" s="6" t="str">
        <f>IF('03_Base_Indice'!$D96="","",IF('03_Base_Indice'!P96&lt;&gt;"",'03_Base_Indice'!P96,IF(AND(Aux!G96&lt;&gt;"",Aux!S96&lt;&gt;"",(N(Aux!S96)-N(Aux!G96)-1)&lt;='01_Criterios'!$C$13),Aux!AE96+(Aux!AQ96-Aux!AE96)*(6-Aux!G96)/(Aux!S96-Aux!G96),IF(AND(Aux!G96&lt;&gt;"",(6-N(Aux!G96))&lt;='01_Criterios'!$C$14),Aux!AE96,IF(AND(Aux!S96&lt;&gt;"",(N(Aux!S96)-6)&lt;='01_Criterios'!$C$15),Aux!AQ96,"")))))</f>
        <v/>
      </c>
      <c r="Q96" s="6" t="str">
        <f>IF('03_Base_Indice'!$D96="","",IF('03_Base_Indice'!Q96&lt;&gt;"",'03_Base_Indice'!Q96,IF(AND(Aux!H96&lt;&gt;"",Aux!T96&lt;&gt;"",(N(Aux!T96)-N(Aux!H96)-1)&lt;='01_Criterios'!$C$13),Aux!AF96+(Aux!AR96-Aux!AF96)*(7-Aux!H96)/(Aux!T96-Aux!H96),IF(AND(Aux!H96&lt;&gt;"",(7-N(Aux!H96))&lt;='01_Criterios'!$C$14),Aux!AF96,IF(AND(Aux!T96&lt;&gt;"",(N(Aux!T96)-7)&lt;='01_Criterios'!$C$15),Aux!AR96,"")))))</f>
        <v/>
      </c>
      <c r="R96" s="6" t="str">
        <f>IF('03_Base_Indice'!$D96="","",IF('03_Base_Indice'!R96&lt;&gt;"",'03_Base_Indice'!R96,IF(AND(Aux!I96&lt;&gt;"",Aux!U96&lt;&gt;"",(N(Aux!U96)-N(Aux!I96)-1)&lt;='01_Criterios'!$C$13),Aux!AG96+(Aux!AS96-Aux!AG96)*(8-Aux!I96)/(Aux!U96-Aux!I96),IF(AND(Aux!I96&lt;&gt;"",(8-N(Aux!I96))&lt;='01_Criterios'!$C$14),Aux!AG96,IF(AND(Aux!U96&lt;&gt;"",(N(Aux!U96)-8)&lt;='01_Criterios'!$C$15),Aux!AS96,"")))))</f>
        <v/>
      </c>
      <c r="S96" s="6" t="str">
        <f>IF('03_Base_Indice'!$D96="","",IF('03_Base_Indice'!S96&lt;&gt;"",'03_Base_Indice'!S96,IF(AND(Aux!J96&lt;&gt;"",Aux!V96&lt;&gt;"",(N(Aux!V96)-N(Aux!J96)-1)&lt;='01_Criterios'!$C$13),Aux!AH96+(Aux!AT96-Aux!AH96)*(9-Aux!J96)/(Aux!V96-Aux!J96),IF(AND(Aux!J96&lt;&gt;"",(9-N(Aux!J96))&lt;='01_Criterios'!$C$14),Aux!AH96,IF(AND(Aux!V96&lt;&gt;"",(N(Aux!V96)-9)&lt;='01_Criterios'!$C$15),Aux!AT96,"")))))</f>
        <v/>
      </c>
      <c r="T96" s="6" t="str">
        <f>IF('03_Base_Indice'!$D96="","",IF('03_Base_Indice'!T96&lt;&gt;"",'03_Base_Indice'!T96,IF(AND(Aux!K96&lt;&gt;"",Aux!W96&lt;&gt;"",(N(Aux!W96)-N(Aux!K96)-1)&lt;='01_Criterios'!$C$13),Aux!AI96+(Aux!AU96-Aux!AI96)*(10-Aux!K96)/(Aux!W96-Aux!K96),IF(AND(Aux!K96&lt;&gt;"",(10-N(Aux!K96))&lt;='01_Criterios'!$C$14),Aux!AI96,IF(AND(Aux!W96&lt;&gt;"",(N(Aux!W96)-10)&lt;='01_Criterios'!$C$15),Aux!AU96,"")))))</f>
        <v/>
      </c>
      <c r="U96" s="6" t="str">
        <f>IF('03_Base_Indice'!$D96="","",IF('03_Base_Indice'!U96&lt;&gt;"",'03_Base_Indice'!U96,IF(AND(Aux!L96&lt;&gt;"",Aux!X96&lt;&gt;"",(N(Aux!X96)-N(Aux!L96)-1)&lt;='01_Criterios'!$C$13),Aux!AJ96+(Aux!AV96-Aux!AJ96)*(11-Aux!L96)/(Aux!X96-Aux!L96),IF(AND(Aux!L96&lt;&gt;"",(11-N(Aux!L96))&lt;='01_Criterios'!$C$14),Aux!AJ96,IF(AND(Aux!X96&lt;&gt;"",(N(Aux!X96)-11)&lt;='01_Criterios'!$C$15),Aux!AV96,"")))))</f>
        <v/>
      </c>
    </row>
    <row r="97" spans="1:21">
      <c r="A97" s="6" t="str">
        <f>IF('03_Base_Indice'!$A97="","",'03_Base_Indice'!$A97)</f>
        <v>10. Demografia, Território e Urbanização</v>
      </c>
      <c r="B97" s="6">
        <f>'03_Base_Indice'!$B97</f>
        <v>3</v>
      </c>
      <c r="D97" s="6" t="str">
        <f>IF('03_Base_Indice'!$D97="","",'03_Base_Indice'!$D97)</f>
        <v/>
      </c>
      <c r="E97" s="6" t="str">
        <f>IF('03_Base_Indice'!$E97="","",'03_Base_Indice'!$E97)</f>
        <v/>
      </c>
      <c r="K97" s="6" t="str">
        <f>IF('03_Base_Indice'!$D97="","",IF('03_Base_Indice'!K97&lt;&gt;"",'03_Base_Indice'!K97,IF(AND(Aux!B97&lt;&gt;"",Aux!N97&lt;&gt;"",(N(Aux!N97)-N(Aux!B97)-1)&lt;='01_Criterios'!$C$13),Aux!Z97+(Aux!AL97-Aux!Z97)*(1-Aux!B97)/(Aux!N97-Aux!B97),IF(AND(Aux!B97&lt;&gt;"",(1-N(Aux!B97))&lt;='01_Criterios'!$C$14),Aux!Z97,IF(AND(Aux!N97&lt;&gt;"",(N(Aux!N97)-1)&lt;='01_Criterios'!$C$15),Aux!AL97,"")))))</f>
        <v/>
      </c>
      <c r="L97" s="6" t="str">
        <f>IF('03_Base_Indice'!$D97="","",IF('03_Base_Indice'!L97&lt;&gt;"",'03_Base_Indice'!L97,IF(AND(Aux!C97&lt;&gt;"",Aux!O97&lt;&gt;"",(N(Aux!O97)-N(Aux!C97)-1)&lt;='01_Criterios'!$C$13),Aux!AA97+(Aux!AM97-Aux!AA97)*(2-Aux!C97)/(Aux!O97-Aux!C97),IF(AND(Aux!C97&lt;&gt;"",(2-N(Aux!C97))&lt;='01_Criterios'!$C$14),Aux!AA97,IF(AND(Aux!O97&lt;&gt;"",(N(Aux!O97)-2)&lt;='01_Criterios'!$C$15),Aux!AM97,"")))))</f>
        <v/>
      </c>
      <c r="M97" s="6" t="str">
        <f>IF('03_Base_Indice'!$D97="","",IF('03_Base_Indice'!M97&lt;&gt;"",'03_Base_Indice'!M97,IF(AND(Aux!D97&lt;&gt;"",Aux!P97&lt;&gt;"",(N(Aux!P97)-N(Aux!D97)-1)&lt;='01_Criterios'!$C$13),Aux!AB97+(Aux!AN97-Aux!AB97)*(3-Aux!D97)/(Aux!P97-Aux!D97),IF(AND(Aux!D97&lt;&gt;"",(3-N(Aux!D97))&lt;='01_Criterios'!$C$14),Aux!AB97,IF(AND(Aux!P97&lt;&gt;"",(N(Aux!P97)-3)&lt;='01_Criterios'!$C$15),Aux!AN97,"")))))</f>
        <v/>
      </c>
      <c r="N97" s="6" t="str">
        <f>IF('03_Base_Indice'!$D97="","",IF('03_Base_Indice'!N97&lt;&gt;"",'03_Base_Indice'!N97,IF(AND(Aux!E97&lt;&gt;"",Aux!Q97&lt;&gt;"",(N(Aux!Q97)-N(Aux!E97)-1)&lt;='01_Criterios'!$C$13),Aux!AC97+(Aux!AO97-Aux!AC97)*(4-Aux!E97)/(Aux!Q97-Aux!E97),IF(AND(Aux!E97&lt;&gt;"",(4-N(Aux!E97))&lt;='01_Criterios'!$C$14),Aux!AC97,IF(AND(Aux!Q97&lt;&gt;"",(N(Aux!Q97)-4)&lt;='01_Criterios'!$C$15),Aux!AO97,"")))))</f>
        <v/>
      </c>
      <c r="O97" s="6" t="str">
        <f>IF('03_Base_Indice'!$D97="","",IF('03_Base_Indice'!O97&lt;&gt;"",'03_Base_Indice'!O97,IF(AND(Aux!F97&lt;&gt;"",Aux!R97&lt;&gt;"",(N(Aux!R97)-N(Aux!F97)-1)&lt;='01_Criterios'!$C$13),Aux!AD97+(Aux!AP97-Aux!AD97)*(5-Aux!F97)/(Aux!R97-Aux!F97),IF(AND(Aux!F97&lt;&gt;"",(5-N(Aux!F97))&lt;='01_Criterios'!$C$14),Aux!AD97,IF(AND(Aux!R97&lt;&gt;"",(N(Aux!R97)-5)&lt;='01_Criterios'!$C$15),Aux!AP97,"")))))</f>
        <v/>
      </c>
      <c r="P97" s="6" t="str">
        <f>IF('03_Base_Indice'!$D97="","",IF('03_Base_Indice'!P97&lt;&gt;"",'03_Base_Indice'!P97,IF(AND(Aux!G97&lt;&gt;"",Aux!S97&lt;&gt;"",(N(Aux!S97)-N(Aux!G97)-1)&lt;='01_Criterios'!$C$13),Aux!AE97+(Aux!AQ97-Aux!AE97)*(6-Aux!G97)/(Aux!S97-Aux!G97),IF(AND(Aux!G97&lt;&gt;"",(6-N(Aux!G97))&lt;='01_Criterios'!$C$14),Aux!AE97,IF(AND(Aux!S97&lt;&gt;"",(N(Aux!S97)-6)&lt;='01_Criterios'!$C$15),Aux!AQ97,"")))))</f>
        <v/>
      </c>
      <c r="Q97" s="6" t="str">
        <f>IF('03_Base_Indice'!$D97="","",IF('03_Base_Indice'!Q97&lt;&gt;"",'03_Base_Indice'!Q97,IF(AND(Aux!H97&lt;&gt;"",Aux!T97&lt;&gt;"",(N(Aux!T97)-N(Aux!H97)-1)&lt;='01_Criterios'!$C$13),Aux!AF97+(Aux!AR97-Aux!AF97)*(7-Aux!H97)/(Aux!T97-Aux!H97),IF(AND(Aux!H97&lt;&gt;"",(7-N(Aux!H97))&lt;='01_Criterios'!$C$14),Aux!AF97,IF(AND(Aux!T97&lt;&gt;"",(N(Aux!T97)-7)&lt;='01_Criterios'!$C$15),Aux!AR97,"")))))</f>
        <v/>
      </c>
      <c r="R97" s="6" t="str">
        <f>IF('03_Base_Indice'!$D97="","",IF('03_Base_Indice'!R97&lt;&gt;"",'03_Base_Indice'!R97,IF(AND(Aux!I97&lt;&gt;"",Aux!U97&lt;&gt;"",(N(Aux!U97)-N(Aux!I97)-1)&lt;='01_Criterios'!$C$13),Aux!AG97+(Aux!AS97-Aux!AG97)*(8-Aux!I97)/(Aux!U97-Aux!I97),IF(AND(Aux!I97&lt;&gt;"",(8-N(Aux!I97))&lt;='01_Criterios'!$C$14),Aux!AG97,IF(AND(Aux!U97&lt;&gt;"",(N(Aux!U97)-8)&lt;='01_Criterios'!$C$15),Aux!AS97,"")))))</f>
        <v/>
      </c>
      <c r="S97" s="6" t="str">
        <f>IF('03_Base_Indice'!$D97="","",IF('03_Base_Indice'!S97&lt;&gt;"",'03_Base_Indice'!S97,IF(AND(Aux!J97&lt;&gt;"",Aux!V97&lt;&gt;"",(N(Aux!V97)-N(Aux!J97)-1)&lt;='01_Criterios'!$C$13),Aux!AH97+(Aux!AT97-Aux!AH97)*(9-Aux!J97)/(Aux!V97-Aux!J97),IF(AND(Aux!J97&lt;&gt;"",(9-N(Aux!J97))&lt;='01_Criterios'!$C$14),Aux!AH97,IF(AND(Aux!V97&lt;&gt;"",(N(Aux!V97)-9)&lt;='01_Criterios'!$C$15),Aux!AT97,"")))))</f>
        <v/>
      </c>
      <c r="T97" s="6" t="str">
        <f>IF('03_Base_Indice'!$D97="","",IF('03_Base_Indice'!T97&lt;&gt;"",'03_Base_Indice'!T97,IF(AND(Aux!K97&lt;&gt;"",Aux!W97&lt;&gt;"",(N(Aux!W97)-N(Aux!K97)-1)&lt;='01_Criterios'!$C$13),Aux!AI97+(Aux!AU97-Aux!AI97)*(10-Aux!K97)/(Aux!W97-Aux!K97),IF(AND(Aux!K97&lt;&gt;"",(10-N(Aux!K97))&lt;='01_Criterios'!$C$14),Aux!AI97,IF(AND(Aux!W97&lt;&gt;"",(N(Aux!W97)-10)&lt;='01_Criterios'!$C$15),Aux!AU97,"")))))</f>
        <v/>
      </c>
      <c r="U97" s="6" t="str">
        <f>IF('03_Base_Indice'!$D97="","",IF('03_Base_Indice'!U97&lt;&gt;"",'03_Base_Indice'!U97,IF(AND(Aux!L97&lt;&gt;"",Aux!X97&lt;&gt;"",(N(Aux!X97)-N(Aux!L97)-1)&lt;='01_Criterios'!$C$13),Aux!AJ97+(Aux!AV97-Aux!AJ97)*(11-Aux!L97)/(Aux!X97-Aux!L97),IF(AND(Aux!L97&lt;&gt;"",(11-N(Aux!L97))&lt;='01_Criterios'!$C$14),Aux!AJ97,IF(AND(Aux!X97&lt;&gt;"",(N(Aux!X97)-11)&lt;='01_Criterios'!$C$15),Aux!AV97,"")))))</f>
        <v/>
      </c>
    </row>
    <row r="98" spans="1:21">
      <c r="A98" s="6" t="str">
        <f>IF('03_Base_Indice'!$A98="","",'03_Base_Indice'!$A98)</f>
        <v>10. Demografia, Território e Urbanização</v>
      </c>
      <c r="B98" s="6">
        <f>'03_Base_Indice'!$B98</f>
        <v>4</v>
      </c>
      <c r="D98" s="6" t="str">
        <f>IF('03_Base_Indice'!$D98="","",'03_Base_Indice'!$D98)</f>
        <v/>
      </c>
      <c r="E98" s="6" t="str">
        <f>IF('03_Base_Indice'!$E98="","",'03_Base_Indice'!$E98)</f>
        <v/>
      </c>
      <c r="K98" s="6" t="str">
        <f>IF('03_Base_Indice'!$D98="","",IF('03_Base_Indice'!K98&lt;&gt;"",'03_Base_Indice'!K98,IF(AND(Aux!B98&lt;&gt;"",Aux!N98&lt;&gt;"",(N(Aux!N98)-N(Aux!B98)-1)&lt;='01_Criterios'!$C$13),Aux!Z98+(Aux!AL98-Aux!Z98)*(1-Aux!B98)/(Aux!N98-Aux!B98),IF(AND(Aux!B98&lt;&gt;"",(1-N(Aux!B98))&lt;='01_Criterios'!$C$14),Aux!Z98,IF(AND(Aux!N98&lt;&gt;"",(N(Aux!N98)-1)&lt;='01_Criterios'!$C$15),Aux!AL98,"")))))</f>
        <v/>
      </c>
      <c r="L98" s="6" t="str">
        <f>IF('03_Base_Indice'!$D98="","",IF('03_Base_Indice'!L98&lt;&gt;"",'03_Base_Indice'!L98,IF(AND(Aux!C98&lt;&gt;"",Aux!O98&lt;&gt;"",(N(Aux!O98)-N(Aux!C98)-1)&lt;='01_Criterios'!$C$13),Aux!AA98+(Aux!AM98-Aux!AA98)*(2-Aux!C98)/(Aux!O98-Aux!C98),IF(AND(Aux!C98&lt;&gt;"",(2-N(Aux!C98))&lt;='01_Criterios'!$C$14),Aux!AA98,IF(AND(Aux!O98&lt;&gt;"",(N(Aux!O98)-2)&lt;='01_Criterios'!$C$15),Aux!AM98,"")))))</f>
        <v/>
      </c>
      <c r="M98" s="6" t="str">
        <f>IF('03_Base_Indice'!$D98="","",IF('03_Base_Indice'!M98&lt;&gt;"",'03_Base_Indice'!M98,IF(AND(Aux!D98&lt;&gt;"",Aux!P98&lt;&gt;"",(N(Aux!P98)-N(Aux!D98)-1)&lt;='01_Criterios'!$C$13),Aux!AB98+(Aux!AN98-Aux!AB98)*(3-Aux!D98)/(Aux!P98-Aux!D98),IF(AND(Aux!D98&lt;&gt;"",(3-N(Aux!D98))&lt;='01_Criterios'!$C$14),Aux!AB98,IF(AND(Aux!P98&lt;&gt;"",(N(Aux!P98)-3)&lt;='01_Criterios'!$C$15),Aux!AN98,"")))))</f>
        <v/>
      </c>
      <c r="N98" s="6" t="str">
        <f>IF('03_Base_Indice'!$D98="","",IF('03_Base_Indice'!N98&lt;&gt;"",'03_Base_Indice'!N98,IF(AND(Aux!E98&lt;&gt;"",Aux!Q98&lt;&gt;"",(N(Aux!Q98)-N(Aux!E98)-1)&lt;='01_Criterios'!$C$13),Aux!AC98+(Aux!AO98-Aux!AC98)*(4-Aux!E98)/(Aux!Q98-Aux!E98),IF(AND(Aux!E98&lt;&gt;"",(4-N(Aux!E98))&lt;='01_Criterios'!$C$14),Aux!AC98,IF(AND(Aux!Q98&lt;&gt;"",(N(Aux!Q98)-4)&lt;='01_Criterios'!$C$15),Aux!AO98,"")))))</f>
        <v/>
      </c>
      <c r="O98" s="6" t="str">
        <f>IF('03_Base_Indice'!$D98="","",IF('03_Base_Indice'!O98&lt;&gt;"",'03_Base_Indice'!O98,IF(AND(Aux!F98&lt;&gt;"",Aux!R98&lt;&gt;"",(N(Aux!R98)-N(Aux!F98)-1)&lt;='01_Criterios'!$C$13),Aux!AD98+(Aux!AP98-Aux!AD98)*(5-Aux!F98)/(Aux!R98-Aux!F98),IF(AND(Aux!F98&lt;&gt;"",(5-N(Aux!F98))&lt;='01_Criterios'!$C$14),Aux!AD98,IF(AND(Aux!R98&lt;&gt;"",(N(Aux!R98)-5)&lt;='01_Criterios'!$C$15),Aux!AP98,"")))))</f>
        <v/>
      </c>
      <c r="P98" s="6" t="str">
        <f>IF('03_Base_Indice'!$D98="","",IF('03_Base_Indice'!P98&lt;&gt;"",'03_Base_Indice'!P98,IF(AND(Aux!G98&lt;&gt;"",Aux!S98&lt;&gt;"",(N(Aux!S98)-N(Aux!G98)-1)&lt;='01_Criterios'!$C$13),Aux!AE98+(Aux!AQ98-Aux!AE98)*(6-Aux!G98)/(Aux!S98-Aux!G98),IF(AND(Aux!G98&lt;&gt;"",(6-N(Aux!G98))&lt;='01_Criterios'!$C$14),Aux!AE98,IF(AND(Aux!S98&lt;&gt;"",(N(Aux!S98)-6)&lt;='01_Criterios'!$C$15),Aux!AQ98,"")))))</f>
        <v/>
      </c>
      <c r="Q98" s="6" t="str">
        <f>IF('03_Base_Indice'!$D98="","",IF('03_Base_Indice'!Q98&lt;&gt;"",'03_Base_Indice'!Q98,IF(AND(Aux!H98&lt;&gt;"",Aux!T98&lt;&gt;"",(N(Aux!T98)-N(Aux!H98)-1)&lt;='01_Criterios'!$C$13),Aux!AF98+(Aux!AR98-Aux!AF98)*(7-Aux!H98)/(Aux!T98-Aux!H98),IF(AND(Aux!H98&lt;&gt;"",(7-N(Aux!H98))&lt;='01_Criterios'!$C$14),Aux!AF98,IF(AND(Aux!T98&lt;&gt;"",(N(Aux!T98)-7)&lt;='01_Criterios'!$C$15),Aux!AR98,"")))))</f>
        <v/>
      </c>
      <c r="R98" s="6" t="str">
        <f>IF('03_Base_Indice'!$D98="","",IF('03_Base_Indice'!R98&lt;&gt;"",'03_Base_Indice'!R98,IF(AND(Aux!I98&lt;&gt;"",Aux!U98&lt;&gt;"",(N(Aux!U98)-N(Aux!I98)-1)&lt;='01_Criterios'!$C$13),Aux!AG98+(Aux!AS98-Aux!AG98)*(8-Aux!I98)/(Aux!U98-Aux!I98),IF(AND(Aux!I98&lt;&gt;"",(8-N(Aux!I98))&lt;='01_Criterios'!$C$14),Aux!AG98,IF(AND(Aux!U98&lt;&gt;"",(N(Aux!U98)-8)&lt;='01_Criterios'!$C$15),Aux!AS98,"")))))</f>
        <v/>
      </c>
      <c r="S98" s="6" t="str">
        <f>IF('03_Base_Indice'!$D98="","",IF('03_Base_Indice'!S98&lt;&gt;"",'03_Base_Indice'!S98,IF(AND(Aux!J98&lt;&gt;"",Aux!V98&lt;&gt;"",(N(Aux!V98)-N(Aux!J98)-1)&lt;='01_Criterios'!$C$13),Aux!AH98+(Aux!AT98-Aux!AH98)*(9-Aux!J98)/(Aux!V98-Aux!J98),IF(AND(Aux!J98&lt;&gt;"",(9-N(Aux!J98))&lt;='01_Criterios'!$C$14),Aux!AH98,IF(AND(Aux!V98&lt;&gt;"",(N(Aux!V98)-9)&lt;='01_Criterios'!$C$15),Aux!AT98,"")))))</f>
        <v/>
      </c>
      <c r="T98" s="6" t="str">
        <f>IF('03_Base_Indice'!$D98="","",IF('03_Base_Indice'!T98&lt;&gt;"",'03_Base_Indice'!T98,IF(AND(Aux!K98&lt;&gt;"",Aux!W98&lt;&gt;"",(N(Aux!W98)-N(Aux!K98)-1)&lt;='01_Criterios'!$C$13),Aux!AI98+(Aux!AU98-Aux!AI98)*(10-Aux!K98)/(Aux!W98-Aux!K98),IF(AND(Aux!K98&lt;&gt;"",(10-N(Aux!K98))&lt;='01_Criterios'!$C$14),Aux!AI98,IF(AND(Aux!W98&lt;&gt;"",(N(Aux!W98)-10)&lt;='01_Criterios'!$C$15),Aux!AU98,"")))))</f>
        <v/>
      </c>
      <c r="U98" s="6" t="str">
        <f>IF('03_Base_Indice'!$D98="","",IF('03_Base_Indice'!U98&lt;&gt;"",'03_Base_Indice'!U98,IF(AND(Aux!L98&lt;&gt;"",Aux!X98&lt;&gt;"",(N(Aux!X98)-N(Aux!L98)-1)&lt;='01_Criterios'!$C$13),Aux!AJ98+(Aux!AV98-Aux!AJ98)*(11-Aux!L98)/(Aux!X98-Aux!L98),IF(AND(Aux!L98&lt;&gt;"",(11-N(Aux!L98))&lt;='01_Criterios'!$C$14),Aux!AJ98,IF(AND(Aux!X98&lt;&gt;"",(N(Aux!X98)-11)&lt;='01_Criterios'!$C$15),Aux!AV98,"")))))</f>
        <v/>
      </c>
    </row>
    <row r="99" spans="1:21">
      <c r="A99" s="6" t="str">
        <f>IF('03_Base_Indice'!$A99="","",'03_Base_Indice'!$A99)</f>
        <v>10. Demografia, Território e Urbanização</v>
      </c>
      <c r="B99" s="6">
        <f>'03_Base_Indice'!$B99</f>
        <v>5</v>
      </c>
      <c r="D99" s="6" t="str">
        <f>IF('03_Base_Indice'!$D99="","",'03_Base_Indice'!$D99)</f>
        <v/>
      </c>
      <c r="E99" s="6" t="str">
        <f>IF('03_Base_Indice'!$E99="","",'03_Base_Indice'!$E99)</f>
        <v/>
      </c>
      <c r="K99" s="6" t="str">
        <f>IF('03_Base_Indice'!$D99="","",IF('03_Base_Indice'!K99&lt;&gt;"",'03_Base_Indice'!K99,IF(AND(Aux!B99&lt;&gt;"",Aux!N99&lt;&gt;"",(N(Aux!N99)-N(Aux!B99)-1)&lt;='01_Criterios'!$C$13),Aux!Z99+(Aux!AL99-Aux!Z99)*(1-Aux!B99)/(Aux!N99-Aux!B99),IF(AND(Aux!B99&lt;&gt;"",(1-N(Aux!B99))&lt;='01_Criterios'!$C$14),Aux!Z99,IF(AND(Aux!N99&lt;&gt;"",(N(Aux!N99)-1)&lt;='01_Criterios'!$C$15),Aux!AL99,"")))))</f>
        <v/>
      </c>
      <c r="L99" s="6" t="str">
        <f>IF('03_Base_Indice'!$D99="","",IF('03_Base_Indice'!L99&lt;&gt;"",'03_Base_Indice'!L99,IF(AND(Aux!C99&lt;&gt;"",Aux!O99&lt;&gt;"",(N(Aux!O99)-N(Aux!C99)-1)&lt;='01_Criterios'!$C$13),Aux!AA99+(Aux!AM99-Aux!AA99)*(2-Aux!C99)/(Aux!O99-Aux!C99),IF(AND(Aux!C99&lt;&gt;"",(2-N(Aux!C99))&lt;='01_Criterios'!$C$14),Aux!AA99,IF(AND(Aux!O99&lt;&gt;"",(N(Aux!O99)-2)&lt;='01_Criterios'!$C$15),Aux!AM99,"")))))</f>
        <v/>
      </c>
      <c r="M99" s="6" t="str">
        <f>IF('03_Base_Indice'!$D99="","",IF('03_Base_Indice'!M99&lt;&gt;"",'03_Base_Indice'!M99,IF(AND(Aux!D99&lt;&gt;"",Aux!P99&lt;&gt;"",(N(Aux!P99)-N(Aux!D99)-1)&lt;='01_Criterios'!$C$13),Aux!AB99+(Aux!AN99-Aux!AB99)*(3-Aux!D99)/(Aux!P99-Aux!D99),IF(AND(Aux!D99&lt;&gt;"",(3-N(Aux!D99))&lt;='01_Criterios'!$C$14),Aux!AB99,IF(AND(Aux!P99&lt;&gt;"",(N(Aux!P99)-3)&lt;='01_Criterios'!$C$15),Aux!AN99,"")))))</f>
        <v/>
      </c>
      <c r="N99" s="6" t="str">
        <f>IF('03_Base_Indice'!$D99="","",IF('03_Base_Indice'!N99&lt;&gt;"",'03_Base_Indice'!N99,IF(AND(Aux!E99&lt;&gt;"",Aux!Q99&lt;&gt;"",(N(Aux!Q99)-N(Aux!E99)-1)&lt;='01_Criterios'!$C$13),Aux!AC99+(Aux!AO99-Aux!AC99)*(4-Aux!E99)/(Aux!Q99-Aux!E99),IF(AND(Aux!E99&lt;&gt;"",(4-N(Aux!E99))&lt;='01_Criterios'!$C$14),Aux!AC99,IF(AND(Aux!Q99&lt;&gt;"",(N(Aux!Q99)-4)&lt;='01_Criterios'!$C$15),Aux!AO99,"")))))</f>
        <v/>
      </c>
      <c r="O99" s="6" t="str">
        <f>IF('03_Base_Indice'!$D99="","",IF('03_Base_Indice'!O99&lt;&gt;"",'03_Base_Indice'!O99,IF(AND(Aux!F99&lt;&gt;"",Aux!R99&lt;&gt;"",(N(Aux!R99)-N(Aux!F99)-1)&lt;='01_Criterios'!$C$13),Aux!AD99+(Aux!AP99-Aux!AD99)*(5-Aux!F99)/(Aux!R99-Aux!F99),IF(AND(Aux!F99&lt;&gt;"",(5-N(Aux!F99))&lt;='01_Criterios'!$C$14),Aux!AD99,IF(AND(Aux!R99&lt;&gt;"",(N(Aux!R99)-5)&lt;='01_Criterios'!$C$15),Aux!AP99,"")))))</f>
        <v/>
      </c>
      <c r="P99" s="6" t="str">
        <f>IF('03_Base_Indice'!$D99="","",IF('03_Base_Indice'!P99&lt;&gt;"",'03_Base_Indice'!P99,IF(AND(Aux!G99&lt;&gt;"",Aux!S99&lt;&gt;"",(N(Aux!S99)-N(Aux!G99)-1)&lt;='01_Criterios'!$C$13),Aux!AE99+(Aux!AQ99-Aux!AE99)*(6-Aux!G99)/(Aux!S99-Aux!G99),IF(AND(Aux!G99&lt;&gt;"",(6-N(Aux!G99))&lt;='01_Criterios'!$C$14),Aux!AE99,IF(AND(Aux!S99&lt;&gt;"",(N(Aux!S99)-6)&lt;='01_Criterios'!$C$15),Aux!AQ99,"")))))</f>
        <v/>
      </c>
      <c r="Q99" s="6" t="str">
        <f>IF('03_Base_Indice'!$D99="","",IF('03_Base_Indice'!Q99&lt;&gt;"",'03_Base_Indice'!Q99,IF(AND(Aux!H99&lt;&gt;"",Aux!T99&lt;&gt;"",(N(Aux!T99)-N(Aux!H99)-1)&lt;='01_Criterios'!$C$13),Aux!AF99+(Aux!AR99-Aux!AF99)*(7-Aux!H99)/(Aux!T99-Aux!H99),IF(AND(Aux!H99&lt;&gt;"",(7-N(Aux!H99))&lt;='01_Criterios'!$C$14),Aux!AF99,IF(AND(Aux!T99&lt;&gt;"",(N(Aux!T99)-7)&lt;='01_Criterios'!$C$15),Aux!AR99,"")))))</f>
        <v/>
      </c>
      <c r="R99" s="6" t="str">
        <f>IF('03_Base_Indice'!$D99="","",IF('03_Base_Indice'!R99&lt;&gt;"",'03_Base_Indice'!R99,IF(AND(Aux!I99&lt;&gt;"",Aux!U99&lt;&gt;"",(N(Aux!U99)-N(Aux!I99)-1)&lt;='01_Criterios'!$C$13),Aux!AG99+(Aux!AS99-Aux!AG99)*(8-Aux!I99)/(Aux!U99-Aux!I99),IF(AND(Aux!I99&lt;&gt;"",(8-N(Aux!I99))&lt;='01_Criterios'!$C$14),Aux!AG99,IF(AND(Aux!U99&lt;&gt;"",(N(Aux!U99)-8)&lt;='01_Criterios'!$C$15),Aux!AS99,"")))))</f>
        <v/>
      </c>
      <c r="S99" s="6" t="str">
        <f>IF('03_Base_Indice'!$D99="","",IF('03_Base_Indice'!S99&lt;&gt;"",'03_Base_Indice'!S99,IF(AND(Aux!J99&lt;&gt;"",Aux!V99&lt;&gt;"",(N(Aux!V99)-N(Aux!J99)-1)&lt;='01_Criterios'!$C$13),Aux!AH99+(Aux!AT99-Aux!AH99)*(9-Aux!J99)/(Aux!V99-Aux!J99),IF(AND(Aux!J99&lt;&gt;"",(9-N(Aux!J99))&lt;='01_Criterios'!$C$14),Aux!AH99,IF(AND(Aux!V99&lt;&gt;"",(N(Aux!V99)-9)&lt;='01_Criterios'!$C$15),Aux!AT99,"")))))</f>
        <v/>
      </c>
      <c r="T99" s="6" t="str">
        <f>IF('03_Base_Indice'!$D99="","",IF('03_Base_Indice'!T99&lt;&gt;"",'03_Base_Indice'!T99,IF(AND(Aux!K99&lt;&gt;"",Aux!W99&lt;&gt;"",(N(Aux!W99)-N(Aux!K99)-1)&lt;='01_Criterios'!$C$13),Aux!AI99+(Aux!AU99-Aux!AI99)*(10-Aux!K99)/(Aux!W99-Aux!K99),IF(AND(Aux!K99&lt;&gt;"",(10-N(Aux!K99))&lt;='01_Criterios'!$C$14),Aux!AI99,IF(AND(Aux!W99&lt;&gt;"",(N(Aux!W99)-10)&lt;='01_Criterios'!$C$15),Aux!AU99,"")))))</f>
        <v/>
      </c>
      <c r="U99" s="6" t="str">
        <f>IF('03_Base_Indice'!$D99="","",IF('03_Base_Indice'!U99&lt;&gt;"",'03_Base_Indice'!U99,IF(AND(Aux!L99&lt;&gt;"",Aux!X99&lt;&gt;"",(N(Aux!X99)-N(Aux!L99)-1)&lt;='01_Criterios'!$C$13),Aux!AJ99+(Aux!AV99-Aux!AJ99)*(11-Aux!L99)/(Aux!X99-Aux!L99),IF(AND(Aux!L99&lt;&gt;"",(11-N(Aux!L99))&lt;='01_Criterios'!$C$14),Aux!AJ99,IF(AND(Aux!X99&lt;&gt;"",(N(Aux!X99)-11)&lt;='01_Criterios'!$C$15),Aux!AV99,"")))))</f>
        <v/>
      </c>
    </row>
    <row r="100" spans="1:21">
      <c r="A100" s="6" t="str">
        <f>IF('03_Base_Indice'!$A100="","",'03_Base_Indice'!$A100)</f>
        <v>10. Demografia, Território e Urbanização</v>
      </c>
      <c r="B100" s="6">
        <f>'03_Base_Indice'!$B100</f>
        <v>6</v>
      </c>
      <c r="D100" s="6" t="str">
        <f>IF('03_Base_Indice'!$D100="","",'03_Base_Indice'!$D100)</f>
        <v/>
      </c>
      <c r="E100" s="6" t="str">
        <f>IF('03_Base_Indice'!$E100="","",'03_Base_Indice'!$E100)</f>
        <v/>
      </c>
      <c r="K100" s="6" t="str">
        <f>IF('03_Base_Indice'!$D100="","",IF('03_Base_Indice'!K100&lt;&gt;"",'03_Base_Indice'!K100,IF(AND(Aux!B100&lt;&gt;"",Aux!N100&lt;&gt;"",(N(Aux!N100)-N(Aux!B100)-1)&lt;='01_Criterios'!$C$13),Aux!Z100+(Aux!AL100-Aux!Z100)*(1-Aux!B100)/(Aux!N100-Aux!B100),IF(AND(Aux!B100&lt;&gt;"",(1-N(Aux!B100))&lt;='01_Criterios'!$C$14),Aux!Z100,IF(AND(Aux!N100&lt;&gt;"",(N(Aux!N100)-1)&lt;='01_Criterios'!$C$15),Aux!AL100,"")))))</f>
        <v/>
      </c>
      <c r="L100" s="6" t="str">
        <f>IF('03_Base_Indice'!$D100="","",IF('03_Base_Indice'!L100&lt;&gt;"",'03_Base_Indice'!L100,IF(AND(Aux!C100&lt;&gt;"",Aux!O100&lt;&gt;"",(N(Aux!O100)-N(Aux!C100)-1)&lt;='01_Criterios'!$C$13),Aux!AA100+(Aux!AM100-Aux!AA100)*(2-Aux!C100)/(Aux!O100-Aux!C100),IF(AND(Aux!C100&lt;&gt;"",(2-N(Aux!C100))&lt;='01_Criterios'!$C$14),Aux!AA100,IF(AND(Aux!O100&lt;&gt;"",(N(Aux!O100)-2)&lt;='01_Criterios'!$C$15),Aux!AM100,"")))))</f>
        <v/>
      </c>
      <c r="M100" s="6" t="str">
        <f>IF('03_Base_Indice'!$D100="","",IF('03_Base_Indice'!M100&lt;&gt;"",'03_Base_Indice'!M100,IF(AND(Aux!D100&lt;&gt;"",Aux!P100&lt;&gt;"",(N(Aux!P100)-N(Aux!D100)-1)&lt;='01_Criterios'!$C$13),Aux!AB100+(Aux!AN100-Aux!AB100)*(3-Aux!D100)/(Aux!P100-Aux!D100),IF(AND(Aux!D100&lt;&gt;"",(3-N(Aux!D100))&lt;='01_Criterios'!$C$14),Aux!AB100,IF(AND(Aux!P100&lt;&gt;"",(N(Aux!P100)-3)&lt;='01_Criterios'!$C$15),Aux!AN100,"")))))</f>
        <v/>
      </c>
      <c r="N100" s="6" t="str">
        <f>IF('03_Base_Indice'!$D100="","",IF('03_Base_Indice'!N100&lt;&gt;"",'03_Base_Indice'!N100,IF(AND(Aux!E100&lt;&gt;"",Aux!Q100&lt;&gt;"",(N(Aux!Q100)-N(Aux!E100)-1)&lt;='01_Criterios'!$C$13),Aux!AC100+(Aux!AO100-Aux!AC100)*(4-Aux!E100)/(Aux!Q100-Aux!E100),IF(AND(Aux!E100&lt;&gt;"",(4-N(Aux!E100))&lt;='01_Criterios'!$C$14),Aux!AC100,IF(AND(Aux!Q100&lt;&gt;"",(N(Aux!Q100)-4)&lt;='01_Criterios'!$C$15),Aux!AO100,"")))))</f>
        <v/>
      </c>
      <c r="O100" s="6" t="str">
        <f>IF('03_Base_Indice'!$D100="","",IF('03_Base_Indice'!O100&lt;&gt;"",'03_Base_Indice'!O100,IF(AND(Aux!F100&lt;&gt;"",Aux!R100&lt;&gt;"",(N(Aux!R100)-N(Aux!F100)-1)&lt;='01_Criterios'!$C$13),Aux!AD100+(Aux!AP100-Aux!AD100)*(5-Aux!F100)/(Aux!R100-Aux!F100),IF(AND(Aux!F100&lt;&gt;"",(5-N(Aux!F100))&lt;='01_Criterios'!$C$14),Aux!AD100,IF(AND(Aux!R100&lt;&gt;"",(N(Aux!R100)-5)&lt;='01_Criterios'!$C$15),Aux!AP100,"")))))</f>
        <v/>
      </c>
      <c r="P100" s="6" t="str">
        <f>IF('03_Base_Indice'!$D100="","",IF('03_Base_Indice'!P100&lt;&gt;"",'03_Base_Indice'!P100,IF(AND(Aux!G100&lt;&gt;"",Aux!S100&lt;&gt;"",(N(Aux!S100)-N(Aux!G100)-1)&lt;='01_Criterios'!$C$13),Aux!AE100+(Aux!AQ100-Aux!AE100)*(6-Aux!G100)/(Aux!S100-Aux!G100),IF(AND(Aux!G100&lt;&gt;"",(6-N(Aux!G100))&lt;='01_Criterios'!$C$14),Aux!AE100,IF(AND(Aux!S100&lt;&gt;"",(N(Aux!S100)-6)&lt;='01_Criterios'!$C$15),Aux!AQ100,"")))))</f>
        <v/>
      </c>
      <c r="Q100" s="6" t="str">
        <f>IF('03_Base_Indice'!$D100="","",IF('03_Base_Indice'!Q100&lt;&gt;"",'03_Base_Indice'!Q100,IF(AND(Aux!H100&lt;&gt;"",Aux!T100&lt;&gt;"",(N(Aux!T100)-N(Aux!H100)-1)&lt;='01_Criterios'!$C$13),Aux!AF100+(Aux!AR100-Aux!AF100)*(7-Aux!H100)/(Aux!T100-Aux!H100),IF(AND(Aux!H100&lt;&gt;"",(7-N(Aux!H100))&lt;='01_Criterios'!$C$14),Aux!AF100,IF(AND(Aux!T100&lt;&gt;"",(N(Aux!T100)-7)&lt;='01_Criterios'!$C$15),Aux!AR100,"")))))</f>
        <v/>
      </c>
      <c r="R100" s="6" t="str">
        <f>IF('03_Base_Indice'!$D100="","",IF('03_Base_Indice'!R100&lt;&gt;"",'03_Base_Indice'!R100,IF(AND(Aux!I100&lt;&gt;"",Aux!U100&lt;&gt;"",(N(Aux!U100)-N(Aux!I100)-1)&lt;='01_Criterios'!$C$13),Aux!AG100+(Aux!AS100-Aux!AG100)*(8-Aux!I100)/(Aux!U100-Aux!I100),IF(AND(Aux!I100&lt;&gt;"",(8-N(Aux!I100))&lt;='01_Criterios'!$C$14),Aux!AG100,IF(AND(Aux!U100&lt;&gt;"",(N(Aux!U100)-8)&lt;='01_Criterios'!$C$15),Aux!AS100,"")))))</f>
        <v/>
      </c>
      <c r="S100" s="6" t="str">
        <f>IF('03_Base_Indice'!$D100="","",IF('03_Base_Indice'!S100&lt;&gt;"",'03_Base_Indice'!S100,IF(AND(Aux!J100&lt;&gt;"",Aux!V100&lt;&gt;"",(N(Aux!V100)-N(Aux!J100)-1)&lt;='01_Criterios'!$C$13),Aux!AH100+(Aux!AT100-Aux!AH100)*(9-Aux!J100)/(Aux!V100-Aux!J100),IF(AND(Aux!J100&lt;&gt;"",(9-N(Aux!J100))&lt;='01_Criterios'!$C$14),Aux!AH100,IF(AND(Aux!V100&lt;&gt;"",(N(Aux!V100)-9)&lt;='01_Criterios'!$C$15),Aux!AT100,"")))))</f>
        <v/>
      </c>
      <c r="T100" s="6" t="str">
        <f>IF('03_Base_Indice'!$D100="","",IF('03_Base_Indice'!T100&lt;&gt;"",'03_Base_Indice'!T100,IF(AND(Aux!K100&lt;&gt;"",Aux!W100&lt;&gt;"",(N(Aux!W100)-N(Aux!K100)-1)&lt;='01_Criterios'!$C$13),Aux!AI100+(Aux!AU100-Aux!AI100)*(10-Aux!K100)/(Aux!W100-Aux!K100),IF(AND(Aux!K100&lt;&gt;"",(10-N(Aux!K100))&lt;='01_Criterios'!$C$14),Aux!AI100,IF(AND(Aux!W100&lt;&gt;"",(N(Aux!W100)-10)&lt;='01_Criterios'!$C$15),Aux!AU100,"")))))</f>
        <v/>
      </c>
      <c r="U100" s="6" t="str">
        <f>IF('03_Base_Indice'!$D100="","",IF('03_Base_Indice'!U100&lt;&gt;"",'03_Base_Indice'!U100,IF(AND(Aux!L100&lt;&gt;"",Aux!X100&lt;&gt;"",(N(Aux!X100)-N(Aux!L100)-1)&lt;='01_Criterios'!$C$13),Aux!AJ100+(Aux!AV100-Aux!AJ100)*(11-Aux!L100)/(Aux!X100-Aux!L100),IF(AND(Aux!L100&lt;&gt;"",(11-N(Aux!L100))&lt;='01_Criterios'!$C$14),Aux!AJ100,IF(AND(Aux!X100&lt;&gt;"",(N(Aux!X100)-11)&lt;='01_Criterios'!$C$15),Aux!AV100,"")))))</f>
        <v/>
      </c>
    </row>
    <row r="101" spans="1:21">
      <c r="A101" s="6" t="str">
        <f>IF('03_Base_Indice'!$A101="","",'03_Base_Indice'!$A101)</f>
        <v>10. Demografia, Território e Urbanização</v>
      </c>
      <c r="B101" s="6">
        <f>'03_Base_Indice'!$B101</f>
        <v>7</v>
      </c>
      <c r="D101" s="6" t="str">
        <f>IF('03_Base_Indice'!$D101="","",'03_Base_Indice'!$D101)</f>
        <v/>
      </c>
      <c r="E101" s="6" t="str">
        <f>IF('03_Base_Indice'!$E101="","",'03_Base_Indice'!$E101)</f>
        <v/>
      </c>
      <c r="K101" s="6" t="str">
        <f>IF('03_Base_Indice'!$D101="","",IF('03_Base_Indice'!K101&lt;&gt;"",'03_Base_Indice'!K101,IF(AND(Aux!B101&lt;&gt;"",Aux!N101&lt;&gt;"",(N(Aux!N101)-N(Aux!B101)-1)&lt;='01_Criterios'!$C$13),Aux!Z101+(Aux!AL101-Aux!Z101)*(1-Aux!B101)/(Aux!N101-Aux!B101),IF(AND(Aux!B101&lt;&gt;"",(1-N(Aux!B101))&lt;='01_Criterios'!$C$14),Aux!Z101,IF(AND(Aux!N101&lt;&gt;"",(N(Aux!N101)-1)&lt;='01_Criterios'!$C$15),Aux!AL101,"")))))</f>
        <v/>
      </c>
      <c r="L101" s="6" t="str">
        <f>IF('03_Base_Indice'!$D101="","",IF('03_Base_Indice'!L101&lt;&gt;"",'03_Base_Indice'!L101,IF(AND(Aux!C101&lt;&gt;"",Aux!O101&lt;&gt;"",(N(Aux!O101)-N(Aux!C101)-1)&lt;='01_Criterios'!$C$13),Aux!AA101+(Aux!AM101-Aux!AA101)*(2-Aux!C101)/(Aux!O101-Aux!C101),IF(AND(Aux!C101&lt;&gt;"",(2-N(Aux!C101))&lt;='01_Criterios'!$C$14),Aux!AA101,IF(AND(Aux!O101&lt;&gt;"",(N(Aux!O101)-2)&lt;='01_Criterios'!$C$15),Aux!AM101,"")))))</f>
        <v/>
      </c>
      <c r="M101" s="6" t="str">
        <f>IF('03_Base_Indice'!$D101="","",IF('03_Base_Indice'!M101&lt;&gt;"",'03_Base_Indice'!M101,IF(AND(Aux!D101&lt;&gt;"",Aux!P101&lt;&gt;"",(N(Aux!P101)-N(Aux!D101)-1)&lt;='01_Criterios'!$C$13),Aux!AB101+(Aux!AN101-Aux!AB101)*(3-Aux!D101)/(Aux!P101-Aux!D101),IF(AND(Aux!D101&lt;&gt;"",(3-N(Aux!D101))&lt;='01_Criterios'!$C$14),Aux!AB101,IF(AND(Aux!P101&lt;&gt;"",(N(Aux!P101)-3)&lt;='01_Criterios'!$C$15),Aux!AN101,"")))))</f>
        <v/>
      </c>
      <c r="N101" s="6" t="str">
        <f>IF('03_Base_Indice'!$D101="","",IF('03_Base_Indice'!N101&lt;&gt;"",'03_Base_Indice'!N101,IF(AND(Aux!E101&lt;&gt;"",Aux!Q101&lt;&gt;"",(N(Aux!Q101)-N(Aux!E101)-1)&lt;='01_Criterios'!$C$13),Aux!AC101+(Aux!AO101-Aux!AC101)*(4-Aux!E101)/(Aux!Q101-Aux!E101),IF(AND(Aux!E101&lt;&gt;"",(4-N(Aux!E101))&lt;='01_Criterios'!$C$14),Aux!AC101,IF(AND(Aux!Q101&lt;&gt;"",(N(Aux!Q101)-4)&lt;='01_Criterios'!$C$15),Aux!AO101,"")))))</f>
        <v/>
      </c>
      <c r="O101" s="6" t="str">
        <f>IF('03_Base_Indice'!$D101="","",IF('03_Base_Indice'!O101&lt;&gt;"",'03_Base_Indice'!O101,IF(AND(Aux!F101&lt;&gt;"",Aux!R101&lt;&gt;"",(N(Aux!R101)-N(Aux!F101)-1)&lt;='01_Criterios'!$C$13),Aux!AD101+(Aux!AP101-Aux!AD101)*(5-Aux!F101)/(Aux!R101-Aux!F101),IF(AND(Aux!F101&lt;&gt;"",(5-N(Aux!F101))&lt;='01_Criterios'!$C$14),Aux!AD101,IF(AND(Aux!R101&lt;&gt;"",(N(Aux!R101)-5)&lt;='01_Criterios'!$C$15),Aux!AP101,"")))))</f>
        <v/>
      </c>
      <c r="P101" s="6" t="str">
        <f>IF('03_Base_Indice'!$D101="","",IF('03_Base_Indice'!P101&lt;&gt;"",'03_Base_Indice'!P101,IF(AND(Aux!G101&lt;&gt;"",Aux!S101&lt;&gt;"",(N(Aux!S101)-N(Aux!G101)-1)&lt;='01_Criterios'!$C$13),Aux!AE101+(Aux!AQ101-Aux!AE101)*(6-Aux!G101)/(Aux!S101-Aux!G101),IF(AND(Aux!G101&lt;&gt;"",(6-N(Aux!G101))&lt;='01_Criterios'!$C$14),Aux!AE101,IF(AND(Aux!S101&lt;&gt;"",(N(Aux!S101)-6)&lt;='01_Criterios'!$C$15),Aux!AQ101,"")))))</f>
        <v/>
      </c>
      <c r="Q101" s="6" t="str">
        <f>IF('03_Base_Indice'!$D101="","",IF('03_Base_Indice'!Q101&lt;&gt;"",'03_Base_Indice'!Q101,IF(AND(Aux!H101&lt;&gt;"",Aux!T101&lt;&gt;"",(N(Aux!T101)-N(Aux!H101)-1)&lt;='01_Criterios'!$C$13),Aux!AF101+(Aux!AR101-Aux!AF101)*(7-Aux!H101)/(Aux!T101-Aux!H101),IF(AND(Aux!H101&lt;&gt;"",(7-N(Aux!H101))&lt;='01_Criterios'!$C$14),Aux!AF101,IF(AND(Aux!T101&lt;&gt;"",(N(Aux!T101)-7)&lt;='01_Criterios'!$C$15),Aux!AR101,"")))))</f>
        <v/>
      </c>
      <c r="R101" s="6" t="str">
        <f>IF('03_Base_Indice'!$D101="","",IF('03_Base_Indice'!R101&lt;&gt;"",'03_Base_Indice'!R101,IF(AND(Aux!I101&lt;&gt;"",Aux!U101&lt;&gt;"",(N(Aux!U101)-N(Aux!I101)-1)&lt;='01_Criterios'!$C$13),Aux!AG101+(Aux!AS101-Aux!AG101)*(8-Aux!I101)/(Aux!U101-Aux!I101),IF(AND(Aux!I101&lt;&gt;"",(8-N(Aux!I101))&lt;='01_Criterios'!$C$14),Aux!AG101,IF(AND(Aux!U101&lt;&gt;"",(N(Aux!U101)-8)&lt;='01_Criterios'!$C$15),Aux!AS101,"")))))</f>
        <v/>
      </c>
      <c r="S101" s="6" t="str">
        <f>IF('03_Base_Indice'!$D101="","",IF('03_Base_Indice'!S101&lt;&gt;"",'03_Base_Indice'!S101,IF(AND(Aux!J101&lt;&gt;"",Aux!V101&lt;&gt;"",(N(Aux!V101)-N(Aux!J101)-1)&lt;='01_Criterios'!$C$13),Aux!AH101+(Aux!AT101-Aux!AH101)*(9-Aux!J101)/(Aux!V101-Aux!J101),IF(AND(Aux!J101&lt;&gt;"",(9-N(Aux!J101))&lt;='01_Criterios'!$C$14),Aux!AH101,IF(AND(Aux!V101&lt;&gt;"",(N(Aux!V101)-9)&lt;='01_Criterios'!$C$15),Aux!AT101,"")))))</f>
        <v/>
      </c>
      <c r="T101" s="6" t="str">
        <f>IF('03_Base_Indice'!$D101="","",IF('03_Base_Indice'!T101&lt;&gt;"",'03_Base_Indice'!T101,IF(AND(Aux!K101&lt;&gt;"",Aux!W101&lt;&gt;"",(N(Aux!W101)-N(Aux!K101)-1)&lt;='01_Criterios'!$C$13),Aux!AI101+(Aux!AU101-Aux!AI101)*(10-Aux!K101)/(Aux!W101-Aux!K101),IF(AND(Aux!K101&lt;&gt;"",(10-N(Aux!K101))&lt;='01_Criterios'!$C$14),Aux!AI101,IF(AND(Aux!W101&lt;&gt;"",(N(Aux!W101)-10)&lt;='01_Criterios'!$C$15),Aux!AU101,"")))))</f>
        <v/>
      </c>
      <c r="U101" s="6" t="str">
        <f>IF('03_Base_Indice'!$D101="","",IF('03_Base_Indice'!U101&lt;&gt;"",'03_Base_Indice'!U101,IF(AND(Aux!L101&lt;&gt;"",Aux!X101&lt;&gt;"",(N(Aux!X101)-N(Aux!L101)-1)&lt;='01_Criterios'!$C$13),Aux!AJ101+(Aux!AV101-Aux!AJ101)*(11-Aux!L101)/(Aux!X101-Aux!L101),IF(AND(Aux!L101&lt;&gt;"",(11-N(Aux!L101))&lt;='01_Criterios'!$C$14),Aux!AJ101,IF(AND(Aux!X101&lt;&gt;"",(N(Aux!X101)-11)&lt;='01_Criterios'!$C$15),Aux!AV101,"")))))</f>
        <v/>
      </c>
    </row>
    <row r="102" spans="1:21">
      <c r="A102" s="6" t="str">
        <f>IF('03_Base_Indice'!$A102="","",'03_Base_Indice'!$A102)</f>
        <v>10. Demografia, Território e Urbanização</v>
      </c>
      <c r="B102" s="6">
        <f>'03_Base_Indice'!$B102</f>
        <v>8</v>
      </c>
      <c r="D102" s="6" t="str">
        <f>IF('03_Base_Indice'!$D102="","",'03_Base_Indice'!$D102)</f>
        <v/>
      </c>
      <c r="E102" s="6" t="str">
        <f>IF('03_Base_Indice'!$E102="","",'03_Base_Indice'!$E102)</f>
        <v/>
      </c>
      <c r="K102" s="6" t="str">
        <f>IF('03_Base_Indice'!$D102="","",IF('03_Base_Indice'!K102&lt;&gt;"",'03_Base_Indice'!K102,IF(AND(Aux!B102&lt;&gt;"",Aux!N102&lt;&gt;"",(N(Aux!N102)-N(Aux!B102)-1)&lt;='01_Criterios'!$C$13),Aux!Z102+(Aux!AL102-Aux!Z102)*(1-Aux!B102)/(Aux!N102-Aux!B102),IF(AND(Aux!B102&lt;&gt;"",(1-N(Aux!B102))&lt;='01_Criterios'!$C$14),Aux!Z102,IF(AND(Aux!N102&lt;&gt;"",(N(Aux!N102)-1)&lt;='01_Criterios'!$C$15),Aux!AL102,"")))))</f>
        <v/>
      </c>
      <c r="L102" s="6" t="str">
        <f>IF('03_Base_Indice'!$D102="","",IF('03_Base_Indice'!L102&lt;&gt;"",'03_Base_Indice'!L102,IF(AND(Aux!C102&lt;&gt;"",Aux!O102&lt;&gt;"",(N(Aux!O102)-N(Aux!C102)-1)&lt;='01_Criterios'!$C$13),Aux!AA102+(Aux!AM102-Aux!AA102)*(2-Aux!C102)/(Aux!O102-Aux!C102),IF(AND(Aux!C102&lt;&gt;"",(2-N(Aux!C102))&lt;='01_Criterios'!$C$14),Aux!AA102,IF(AND(Aux!O102&lt;&gt;"",(N(Aux!O102)-2)&lt;='01_Criterios'!$C$15),Aux!AM102,"")))))</f>
        <v/>
      </c>
      <c r="M102" s="6" t="str">
        <f>IF('03_Base_Indice'!$D102="","",IF('03_Base_Indice'!M102&lt;&gt;"",'03_Base_Indice'!M102,IF(AND(Aux!D102&lt;&gt;"",Aux!P102&lt;&gt;"",(N(Aux!P102)-N(Aux!D102)-1)&lt;='01_Criterios'!$C$13),Aux!AB102+(Aux!AN102-Aux!AB102)*(3-Aux!D102)/(Aux!P102-Aux!D102),IF(AND(Aux!D102&lt;&gt;"",(3-N(Aux!D102))&lt;='01_Criterios'!$C$14),Aux!AB102,IF(AND(Aux!P102&lt;&gt;"",(N(Aux!P102)-3)&lt;='01_Criterios'!$C$15),Aux!AN102,"")))))</f>
        <v/>
      </c>
      <c r="N102" s="6" t="str">
        <f>IF('03_Base_Indice'!$D102="","",IF('03_Base_Indice'!N102&lt;&gt;"",'03_Base_Indice'!N102,IF(AND(Aux!E102&lt;&gt;"",Aux!Q102&lt;&gt;"",(N(Aux!Q102)-N(Aux!E102)-1)&lt;='01_Criterios'!$C$13),Aux!AC102+(Aux!AO102-Aux!AC102)*(4-Aux!E102)/(Aux!Q102-Aux!E102),IF(AND(Aux!E102&lt;&gt;"",(4-N(Aux!E102))&lt;='01_Criterios'!$C$14),Aux!AC102,IF(AND(Aux!Q102&lt;&gt;"",(N(Aux!Q102)-4)&lt;='01_Criterios'!$C$15),Aux!AO102,"")))))</f>
        <v/>
      </c>
      <c r="O102" s="6" t="str">
        <f>IF('03_Base_Indice'!$D102="","",IF('03_Base_Indice'!O102&lt;&gt;"",'03_Base_Indice'!O102,IF(AND(Aux!F102&lt;&gt;"",Aux!R102&lt;&gt;"",(N(Aux!R102)-N(Aux!F102)-1)&lt;='01_Criterios'!$C$13),Aux!AD102+(Aux!AP102-Aux!AD102)*(5-Aux!F102)/(Aux!R102-Aux!F102),IF(AND(Aux!F102&lt;&gt;"",(5-N(Aux!F102))&lt;='01_Criterios'!$C$14),Aux!AD102,IF(AND(Aux!R102&lt;&gt;"",(N(Aux!R102)-5)&lt;='01_Criterios'!$C$15),Aux!AP102,"")))))</f>
        <v/>
      </c>
      <c r="P102" s="6" t="str">
        <f>IF('03_Base_Indice'!$D102="","",IF('03_Base_Indice'!P102&lt;&gt;"",'03_Base_Indice'!P102,IF(AND(Aux!G102&lt;&gt;"",Aux!S102&lt;&gt;"",(N(Aux!S102)-N(Aux!G102)-1)&lt;='01_Criterios'!$C$13),Aux!AE102+(Aux!AQ102-Aux!AE102)*(6-Aux!G102)/(Aux!S102-Aux!G102),IF(AND(Aux!G102&lt;&gt;"",(6-N(Aux!G102))&lt;='01_Criterios'!$C$14),Aux!AE102,IF(AND(Aux!S102&lt;&gt;"",(N(Aux!S102)-6)&lt;='01_Criterios'!$C$15),Aux!AQ102,"")))))</f>
        <v/>
      </c>
      <c r="Q102" s="6" t="str">
        <f>IF('03_Base_Indice'!$D102="","",IF('03_Base_Indice'!Q102&lt;&gt;"",'03_Base_Indice'!Q102,IF(AND(Aux!H102&lt;&gt;"",Aux!T102&lt;&gt;"",(N(Aux!T102)-N(Aux!H102)-1)&lt;='01_Criterios'!$C$13),Aux!AF102+(Aux!AR102-Aux!AF102)*(7-Aux!H102)/(Aux!T102-Aux!H102),IF(AND(Aux!H102&lt;&gt;"",(7-N(Aux!H102))&lt;='01_Criterios'!$C$14),Aux!AF102,IF(AND(Aux!T102&lt;&gt;"",(N(Aux!T102)-7)&lt;='01_Criterios'!$C$15),Aux!AR102,"")))))</f>
        <v/>
      </c>
      <c r="R102" s="6" t="str">
        <f>IF('03_Base_Indice'!$D102="","",IF('03_Base_Indice'!R102&lt;&gt;"",'03_Base_Indice'!R102,IF(AND(Aux!I102&lt;&gt;"",Aux!U102&lt;&gt;"",(N(Aux!U102)-N(Aux!I102)-1)&lt;='01_Criterios'!$C$13),Aux!AG102+(Aux!AS102-Aux!AG102)*(8-Aux!I102)/(Aux!U102-Aux!I102),IF(AND(Aux!I102&lt;&gt;"",(8-N(Aux!I102))&lt;='01_Criterios'!$C$14),Aux!AG102,IF(AND(Aux!U102&lt;&gt;"",(N(Aux!U102)-8)&lt;='01_Criterios'!$C$15),Aux!AS102,"")))))</f>
        <v/>
      </c>
      <c r="S102" s="6" t="str">
        <f>IF('03_Base_Indice'!$D102="","",IF('03_Base_Indice'!S102&lt;&gt;"",'03_Base_Indice'!S102,IF(AND(Aux!J102&lt;&gt;"",Aux!V102&lt;&gt;"",(N(Aux!V102)-N(Aux!J102)-1)&lt;='01_Criterios'!$C$13),Aux!AH102+(Aux!AT102-Aux!AH102)*(9-Aux!J102)/(Aux!V102-Aux!J102),IF(AND(Aux!J102&lt;&gt;"",(9-N(Aux!J102))&lt;='01_Criterios'!$C$14),Aux!AH102,IF(AND(Aux!V102&lt;&gt;"",(N(Aux!V102)-9)&lt;='01_Criterios'!$C$15),Aux!AT102,"")))))</f>
        <v/>
      </c>
      <c r="T102" s="6" t="str">
        <f>IF('03_Base_Indice'!$D102="","",IF('03_Base_Indice'!T102&lt;&gt;"",'03_Base_Indice'!T102,IF(AND(Aux!K102&lt;&gt;"",Aux!W102&lt;&gt;"",(N(Aux!W102)-N(Aux!K102)-1)&lt;='01_Criterios'!$C$13),Aux!AI102+(Aux!AU102-Aux!AI102)*(10-Aux!K102)/(Aux!W102-Aux!K102),IF(AND(Aux!K102&lt;&gt;"",(10-N(Aux!K102))&lt;='01_Criterios'!$C$14),Aux!AI102,IF(AND(Aux!W102&lt;&gt;"",(N(Aux!W102)-10)&lt;='01_Criterios'!$C$15),Aux!AU102,"")))))</f>
        <v/>
      </c>
      <c r="U102" s="6" t="str">
        <f>IF('03_Base_Indice'!$D102="","",IF('03_Base_Indice'!U102&lt;&gt;"",'03_Base_Indice'!U102,IF(AND(Aux!L102&lt;&gt;"",Aux!X102&lt;&gt;"",(N(Aux!X102)-N(Aux!L102)-1)&lt;='01_Criterios'!$C$13),Aux!AJ102+(Aux!AV102-Aux!AJ102)*(11-Aux!L102)/(Aux!X102-Aux!L102),IF(AND(Aux!L102&lt;&gt;"",(11-N(Aux!L102))&lt;='01_Criterios'!$C$14),Aux!AJ102,IF(AND(Aux!X102&lt;&gt;"",(N(Aux!X102)-11)&lt;='01_Criterios'!$C$15),Aux!AV102,"")))))</f>
        <v/>
      </c>
    </row>
    <row r="103" spans="1:21">
      <c r="A103" s="6" t="str">
        <f>IF('03_Base_Indice'!$A103="","",'03_Base_Indice'!$A103)</f>
        <v>10. Demografia, Território e Urbanização</v>
      </c>
      <c r="B103" s="6">
        <f>'03_Base_Indice'!$B103</f>
        <v>9</v>
      </c>
      <c r="D103" s="6" t="str">
        <f>IF('03_Base_Indice'!$D103="","",'03_Base_Indice'!$D103)</f>
        <v/>
      </c>
      <c r="E103" s="6" t="str">
        <f>IF('03_Base_Indice'!$E103="","",'03_Base_Indice'!$E103)</f>
        <v/>
      </c>
      <c r="K103" s="6" t="str">
        <f>IF('03_Base_Indice'!$D103="","",IF('03_Base_Indice'!K103&lt;&gt;"",'03_Base_Indice'!K103,IF(AND(Aux!B103&lt;&gt;"",Aux!N103&lt;&gt;"",(N(Aux!N103)-N(Aux!B103)-1)&lt;='01_Criterios'!$C$13),Aux!Z103+(Aux!AL103-Aux!Z103)*(1-Aux!B103)/(Aux!N103-Aux!B103),IF(AND(Aux!B103&lt;&gt;"",(1-N(Aux!B103))&lt;='01_Criterios'!$C$14),Aux!Z103,IF(AND(Aux!N103&lt;&gt;"",(N(Aux!N103)-1)&lt;='01_Criterios'!$C$15),Aux!AL103,"")))))</f>
        <v/>
      </c>
      <c r="L103" s="6" t="str">
        <f>IF('03_Base_Indice'!$D103="","",IF('03_Base_Indice'!L103&lt;&gt;"",'03_Base_Indice'!L103,IF(AND(Aux!C103&lt;&gt;"",Aux!O103&lt;&gt;"",(N(Aux!O103)-N(Aux!C103)-1)&lt;='01_Criterios'!$C$13),Aux!AA103+(Aux!AM103-Aux!AA103)*(2-Aux!C103)/(Aux!O103-Aux!C103),IF(AND(Aux!C103&lt;&gt;"",(2-N(Aux!C103))&lt;='01_Criterios'!$C$14),Aux!AA103,IF(AND(Aux!O103&lt;&gt;"",(N(Aux!O103)-2)&lt;='01_Criterios'!$C$15),Aux!AM103,"")))))</f>
        <v/>
      </c>
      <c r="M103" s="6" t="str">
        <f>IF('03_Base_Indice'!$D103="","",IF('03_Base_Indice'!M103&lt;&gt;"",'03_Base_Indice'!M103,IF(AND(Aux!D103&lt;&gt;"",Aux!P103&lt;&gt;"",(N(Aux!P103)-N(Aux!D103)-1)&lt;='01_Criterios'!$C$13),Aux!AB103+(Aux!AN103-Aux!AB103)*(3-Aux!D103)/(Aux!P103-Aux!D103),IF(AND(Aux!D103&lt;&gt;"",(3-N(Aux!D103))&lt;='01_Criterios'!$C$14),Aux!AB103,IF(AND(Aux!P103&lt;&gt;"",(N(Aux!P103)-3)&lt;='01_Criterios'!$C$15),Aux!AN103,"")))))</f>
        <v/>
      </c>
      <c r="N103" s="6" t="str">
        <f>IF('03_Base_Indice'!$D103="","",IF('03_Base_Indice'!N103&lt;&gt;"",'03_Base_Indice'!N103,IF(AND(Aux!E103&lt;&gt;"",Aux!Q103&lt;&gt;"",(N(Aux!Q103)-N(Aux!E103)-1)&lt;='01_Criterios'!$C$13),Aux!AC103+(Aux!AO103-Aux!AC103)*(4-Aux!E103)/(Aux!Q103-Aux!E103),IF(AND(Aux!E103&lt;&gt;"",(4-N(Aux!E103))&lt;='01_Criterios'!$C$14),Aux!AC103,IF(AND(Aux!Q103&lt;&gt;"",(N(Aux!Q103)-4)&lt;='01_Criterios'!$C$15),Aux!AO103,"")))))</f>
        <v/>
      </c>
      <c r="O103" s="6" t="str">
        <f>IF('03_Base_Indice'!$D103="","",IF('03_Base_Indice'!O103&lt;&gt;"",'03_Base_Indice'!O103,IF(AND(Aux!F103&lt;&gt;"",Aux!R103&lt;&gt;"",(N(Aux!R103)-N(Aux!F103)-1)&lt;='01_Criterios'!$C$13),Aux!AD103+(Aux!AP103-Aux!AD103)*(5-Aux!F103)/(Aux!R103-Aux!F103),IF(AND(Aux!F103&lt;&gt;"",(5-N(Aux!F103))&lt;='01_Criterios'!$C$14),Aux!AD103,IF(AND(Aux!R103&lt;&gt;"",(N(Aux!R103)-5)&lt;='01_Criterios'!$C$15),Aux!AP103,"")))))</f>
        <v/>
      </c>
      <c r="P103" s="6" t="str">
        <f>IF('03_Base_Indice'!$D103="","",IF('03_Base_Indice'!P103&lt;&gt;"",'03_Base_Indice'!P103,IF(AND(Aux!G103&lt;&gt;"",Aux!S103&lt;&gt;"",(N(Aux!S103)-N(Aux!G103)-1)&lt;='01_Criterios'!$C$13),Aux!AE103+(Aux!AQ103-Aux!AE103)*(6-Aux!G103)/(Aux!S103-Aux!G103),IF(AND(Aux!G103&lt;&gt;"",(6-N(Aux!G103))&lt;='01_Criterios'!$C$14),Aux!AE103,IF(AND(Aux!S103&lt;&gt;"",(N(Aux!S103)-6)&lt;='01_Criterios'!$C$15),Aux!AQ103,"")))))</f>
        <v/>
      </c>
      <c r="Q103" s="6" t="str">
        <f>IF('03_Base_Indice'!$D103="","",IF('03_Base_Indice'!Q103&lt;&gt;"",'03_Base_Indice'!Q103,IF(AND(Aux!H103&lt;&gt;"",Aux!T103&lt;&gt;"",(N(Aux!T103)-N(Aux!H103)-1)&lt;='01_Criterios'!$C$13),Aux!AF103+(Aux!AR103-Aux!AF103)*(7-Aux!H103)/(Aux!T103-Aux!H103),IF(AND(Aux!H103&lt;&gt;"",(7-N(Aux!H103))&lt;='01_Criterios'!$C$14),Aux!AF103,IF(AND(Aux!T103&lt;&gt;"",(N(Aux!T103)-7)&lt;='01_Criterios'!$C$15),Aux!AR103,"")))))</f>
        <v/>
      </c>
      <c r="R103" s="6" t="str">
        <f>IF('03_Base_Indice'!$D103="","",IF('03_Base_Indice'!R103&lt;&gt;"",'03_Base_Indice'!R103,IF(AND(Aux!I103&lt;&gt;"",Aux!U103&lt;&gt;"",(N(Aux!U103)-N(Aux!I103)-1)&lt;='01_Criterios'!$C$13),Aux!AG103+(Aux!AS103-Aux!AG103)*(8-Aux!I103)/(Aux!U103-Aux!I103),IF(AND(Aux!I103&lt;&gt;"",(8-N(Aux!I103))&lt;='01_Criterios'!$C$14),Aux!AG103,IF(AND(Aux!U103&lt;&gt;"",(N(Aux!U103)-8)&lt;='01_Criterios'!$C$15),Aux!AS103,"")))))</f>
        <v/>
      </c>
      <c r="S103" s="6" t="str">
        <f>IF('03_Base_Indice'!$D103="","",IF('03_Base_Indice'!S103&lt;&gt;"",'03_Base_Indice'!S103,IF(AND(Aux!J103&lt;&gt;"",Aux!V103&lt;&gt;"",(N(Aux!V103)-N(Aux!J103)-1)&lt;='01_Criterios'!$C$13),Aux!AH103+(Aux!AT103-Aux!AH103)*(9-Aux!J103)/(Aux!V103-Aux!J103),IF(AND(Aux!J103&lt;&gt;"",(9-N(Aux!J103))&lt;='01_Criterios'!$C$14),Aux!AH103,IF(AND(Aux!V103&lt;&gt;"",(N(Aux!V103)-9)&lt;='01_Criterios'!$C$15),Aux!AT103,"")))))</f>
        <v/>
      </c>
      <c r="T103" s="6" t="str">
        <f>IF('03_Base_Indice'!$D103="","",IF('03_Base_Indice'!T103&lt;&gt;"",'03_Base_Indice'!T103,IF(AND(Aux!K103&lt;&gt;"",Aux!W103&lt;&gt;"",(N(Aux!W103)-N(Aux!K103)-1)&lt;='01_Criterios'!$C$13),Aux!AI103+(Aux!AU103-Aux!AI103)*(10-Aux!K103)/(Aux!W103-Aux!K103),IF(AND(Aux!K103&lt;&gt;"",(10-N(Aux!K103))&lt;='01_Criterios'!$C$14),Aux!AI103,IF(AND(Aux!W103&lt;&gt;"",(N(Aux!W103)-10)&lt;='01_Criterios'!$C$15),Aux!AU103,"")))))</f>
        <v/>
      </c>
      <c r="U103" s="6" t="str">
        <f>IF('03_Base_Indice'!$D103="","",IF('03_Base_Indice'!U103&lt;&gt;"",'03_Base_Indice'!U103,IF(AND(Aux!L103&lt;&gt;"",Aux!X103&lt;&gt;"",(N(Aux!X103)-N(Aux!L103)-1)&lt;='01_Criterios'!$C$13),Aux!AJ103+(Aux!AV103-Aux!AJ103)*(11-Aux!L103)/(Aux!X103-Aux!L103),IF(AND(Aux!L103&lt;&gt;"",(11-N(Aux!L103))&lt;='01_Criterios'!$C$14),Aux!AJ103,IF(AND(Aux!X103&lt;&gt;"",(N(Aux!X103)-11)&lt;='01_Criterios'!$C$15),Aux!AV103,"")))))</f>
        <v/>
      </c>
    </row>
    <row r="104" spans="1:21">
      <c r="A104" s="6" t="str">
        <f>IF('03_Base_Indice'!$A104="","",'03_Base_Indice'!$A104)</f>
        <v>10. Demografia, Território e Urbanização</v>
      </c>
      <c r="B104" s="6">
        <f>'03_Base_Indice'!$B104</f>
        <v>10</v>
      </c>
      <c r="D104" s="6" t="str">
        <f>IF('03_Base_Indice'!$D104="","",'03_Base_Indice'!$D104)</f>
        <v/>
      </c>
      <c r="E104" s="6" t="str">
        <f>IF('03_Base_Indice'!$E104="","",'03_Base_Indice'!$E104)</f>
        <v/>
      </c>
      <c r="K104" s="6" t="str">
        <f>IF('03_Base_Indice'!$D104="","",IF('03_Base_Indice'!K104&lt;&gt;"",'03_Base_Indice'!K104,IF(AND(Aux!B104&lt;&gt;"",Aux!N104&lt;&gt;"",(N(Aux!N104)-N(Aux!B104)-1)&lt;='01_Criterios'!$C$13),Aux!Z104+(Aux!AL104-Aux!Z104)*(1-Aux!B104)/(Aux!N104-Aux!B104),IF(AND(Aux!B104&lt;&gt;"",(1-N(Aux!B104))&lt;='01_Criterios'!$C$14),Aux!Z104,IF(AND(Aux!N104&lt;&gt;"",(N(Aux!N104)-1)&lt;='01_Criterios'!$C$15),Aux!AL104,"")))))</f>
        <v/>
      </c>
      <c r="L104" s="6" t="str">
        <f>IF('03_Base_Indice'!$D104="","",IF('03_Base_Indice'!L104&lt;&gt;"",'03_Base_Indice'!L104,IF(AND(Aux!C104&lt;&gt;"",Aux!O104&lt;&gt;"",(N(Aux!O104)-N(Aux!C104)-1)&lt;='01_Criterios'!$C$13),Aux!AA104+(Aux!AM104-Aux!AA104)*(2-Aux!C104)/(Aux!O104-Aux!C104),IF(AND(Aux!C104&lt;&gt;"",(2-N(Aux!C104))&lt;='01_Criterios'!$C$14),Aux!AA104,IF(AND(Aux!O104&lt;&gt;"",(N(Aux!O104)-2)&lt;='01_Criterios'!$C$15),Aux!AM104,"")))))</f>
        <v/>
      </c>
      <c r="M104" s="6" t="str">
        <f>IF('03_Base_Indice'!$D104="","",IF('03_Base_Indice'!M104&lt;&gt;"",'03_Base_Indice'!M104,IF(AND(Aux!D104&lt;&gt;"",Aux!P104&lt;&gt;"",(N(Aux!P104)-N(Aux!D104)-1)&lt;='01_Criterios'!$C$13),Aux!AB104+(Aux!AN104-Aux!AB104)*(3-Aux!D104)/(Aux!P104-Aux!D104),IF(AND(Aux!D104&lt;&gt;"",(3-N(Aux!D104))&lt;='01_Criterios'!$C$14),Aux!AB104,IF(AND(Aux!P104&lt;&gt;"",(N(Aux!P104)-3)&lt;='01_Criterios'!$C$15),Aux!AN104,"")))))</f>
        <v/>
      </c>
      <c r="N104" s="6" t="str">
        <f>IF('03_Base_Indice'!$D104="","",IF('03_Base_Indice'!N104&lt;&gt;"",'03_Base_Indice'!N104,IF(AND(Aux!E104&lt;&gt;"",Aux!Q104&lt;&gt;"",(N(Aux!Q104)-N(Aux!E104)-1)&lt;='01_Criterios'!$C$13),Aux!AC104+(Aux!AO104-Aux!AC104)*(4-Aux!E104)/(Aux!Q104-Aux!E104),IF(AND(Aux!E104&lt;&gt;"",(4-N(Aux!E104))&lt;='01_Criterios'!$C$14),Aux!AC104,IF(AND(Aux!Q104&lt;&gt;"",(N(Aux!Q104)-4)&lt;='01_Criterios'!$C$15),Aux!AO104,"")))))</f>
        <v/>
      </c>
      <c r="O104" s="6" t="str">
        <f>IF('03_Base_Indice'!$D104="","",IF('03_Base_Indice'!O104&lt;&gt;"",'03_Base_Indice'!O104,IF(AND(Aux!F104&lt;&gt;"",Aux!R104&lt;&gt;"",(N(Aux!R104)-N(Aux!F104)-1)&lt;='01_Criterios'!$C$13),Aux!AD104+(Aux!AP104-Aux!AD104)*(5-Aux!F104)/(Aux!R104-Aux!F104),IF(AND(Aux!F104&lt;&gt;"",(5-N(Aux!F104))&lt;='01_Criterios'!$C$14),Aux!AD104,IF(AND(Aux!R104&lt;&gt;"",(N(Aux!R104)-5)&lt;='01_Criterios'!$C$15),Aux!AP104,"")))))</f>
        <v/>
      </c>
      <c r="P104" s="6" t="str">
        <f>IF('03_Base_Indice'!$D104="","",IF('03_Base_Indice'!P104&lt;&gt;"",'03_Base_Indice'!P104,IF(AND(Aux!G104&lt;&gt;"",Aux!S104&lt;&gt;"",(N(Aux!S104)-N(Aux!G104)-1)&lt;='01_Criterios'!$C$13),Aux!AE104+(Aux!AQ104-Aux!AE104)*(6-Aux!G104)/(Aux!S104-Aux!G104),IF(AND(Aux!G104&lt;&gt;"",(6-N(Aux!G104))&lt;='01_Criterios'!$C$14),Aux!AE104,IF(AND(Aux!S104&lt;&gt;"",(N(Aux!S104)-6)&lt;='01_Criterios'!$C$15),Aux!AQ104,"")))))</f>
        <v/>
      </c>
      <c r="Q104" s="6" t="str">
        <f>IF('03_Base_Indice'!$D104="","",IF('03_Base_Indice'!Q104&lt;&gt;"",'03_Base_Indice'!Q104,IF(AND(Aux!H104&lt;&gt;"",Aux!T104&lt;&gt;"",(N(Aux!T104)-N(Aux!H104)-1)&lt;='01_Criterios'!$C$13),Aux!AF104+(Aux!AR104-Aux!AF104)*(7-Aux!H104)/(Aux!T104-Aux!H104),IF(AND(Aux!H104&lt;&gt;"",(7-N(Aux!H104))&lt;='01_Criterios'!$C$14),Aux!AF104,IF(AND(Aux!T104&lt;&gt;"",(N(Aux!T104)-7)&lt;='01_Criterios'!$C$15),Aux!AR104,"")))))</f>
        <v/>
      </c>
      <c r="R104" s="6" t="str">
        <f>IF('03_Base_Indice'!$D104="","",IF('03_Base_Indice'!R104&lt;&gt;"",'03_Base_Indice'!R104,IF(AND(Aux!I104&lt;&gt;"",Aux!U104&lt;&gt;"",(N(Aux!U104)-N(Aux!I104)-1)&lt;='01_Criterios'!$C$13),Aux!AG104+(Aux!AS104-Aux!AG104)*(8-Aux!I104)/(Aux!U104-Aux!I104),IF(AND(Aux!I104&lt;&gt;"",(8-N(Aux!I104))&lt;='01_Criterios'!$C$14),Aux!AG104,IF(AND(Aux!U104&lt;&gt;"",(N(Aux!U104)-8)&lt;='01_Criterios'!$C$15),Aux!AS104,"")))))</f>
        <v/>
      </c>
      <c r="S104" s="6" t="str">
        <f>IF('03_Base_Indice'!$D104="","",IF('03_Base_Indice'!S104&lt;&gt;"",'03_Base_Indice'!S104,IF(AND(Aux!J104&lt;&gt;"",Aux!V104&lt;&gt;"",(N(Aux!V104)-N(Aux!J104)-1)&lt;='01_Criterios'!$C$13),Aux!AH104+(Aux!AT104-Aux!AH104)*(9-Aux!J104)/(Aux!V104-Aux!J104),IF(AND(Aux!J104&lt;&gt;"",(9-N(Aux!J104))&lt;='01_Criterios'!$C$14),Aux!AH104,IF(AND(Aux!V104&lt;&gt;"",(N(Aux!V104)-9)&lt;='01_Criterios'!$C$15),Aux!AT104,"")))))</f>
        <v/>
      </c>
      <c r="T104" s="6" t="str">
        <f>IF('03_Base_Indice'!$D104="","",IF('03_Base_Indice'!T104&lt;&gt;"",'03_Base_Indice'!T104,IF(AND(Aux!K104&lt;&gt;"",Aux!W104&lt;&gt;"",(N(Aux!W104)-N(Aux!K104)-1)&lt;='01_Criterios'!$C$13),Aux!AI104+(Aux!AU104-Aux!AI104)*(10-Aux!K104)/(Aux!W104-Aux!K104),IF(AND(Aux!K104&lt;&gt;"",(10-N(Aux!K104))&lt;='01_Criterios'!$C$14),Aux!AI104,IF(AND(Aux!W104&lt;&gt;"",(N(Aux!W104)-10)&lt;='01_Criterios'!$C$15),Aux!AU104,"")))))</f>
        <v/>
      </c>
      <c r="U104" s="6" t="str">
        <f>IF('03_Base_Indice'!$D104="","",IF('03_Base_Indice'!U104&lt;&gt;"",'03_Base_Indice'!U104,IF(AND(Aux!L104&lt;&gt;"",Aux!X104&lt;&gt;"",(N(Aux!X104)-N(Aux!L104)-1)&lt;='01_Criterios'!$C$13),Aux!AJ104+(Aux!AV104-Aux!AJ104)*(11-Aux!L104)/(Aux!X104-Aux!L104),IF(AND(Aux!L104&lt;&gt;"",(11-N(Aux!L104))&lt;='01_Criterios'!$C$14),Aux!AJ104,IF(AND(Aux!X104&lt;&gt;"",(N(Aux!X104)-11)&lt;='01_Criterios'!$C$15),Aux!AV104,"")))))</f>
        <v/>
      </c>
    </row>
    <row r="105" spans="1:21">
      <c r="A105" s="6" t="str">
        <f>IF('03_Base_Indice'!$A105="","",'03_Base_Indice'!$A105)</f>
        <v>11. Transformação Digital e Inovação</v>
      </c>
      <c r="B105" s="6">
        <f>'03_Base_Indice'!$B105</f>
        <v>1</v>
      </c>
      <c r="D105" s="6" t="str">
        <f>IF('03_Base_Indice'!$D105="","",'03_Base_Indice'!$D105)</f>
        <v/>
      </c>
      <c r="E105" s="6" t="str">
        <f>IF('03_Base_Indice'!$E105="","",'03_Base_Indice'!$E105)</f>
        <v/>
      </c>
      <c r="K105" s="6" t="str">
        <f>IF('03_Base_Indice'!$D105="","",IF('03_Base_Indice'!K105&lt;&gt;"",'03_Base_Indice'!K105,IF(AND(Aux!B105&lt;&gt;"",Aux!N105&lt;&gt;"",(N(Aux!N105)-N(Aux!B105)-1)&lt;='01_Criterios'!$C$13),Aux!Z105+(Aux!AL105-Aux!Z105)*(1-Aux!B105)/(Aux!N105-Aux!B105),IF(AND(Aux!B105&lt;&gt;"",(1-N(Aux!B105))&lt;='01_Criterios'!$C$14),Aux!Z105,IF(AND(Aux!N105&lt;&gt;"",(N(Aux!N105)-1)&lt;='01_Criterios'!$C$15),Aux!AL105,"")))))</f>
        <v/>
      </c>
      <c r="L105" s="6" t="str">
        <f>IF('03_Base_Indice'!$D105="","",IF('03_Base_Indice'!L105&lt;&gt;"",'03_Base_Indice'!L105,IF(AND(Aux!C105&lt;&gt;"",Aux!O105&lt;&gt;"",(N(Aux!O105)-N(Aux!C105)-1)&lt;='01_Criterios'!$C$13),Aux!AA105+(Aux!AM105-Aux!AA105)*(2-Aux!C105)/(Aux!O105-Aux!C105),IF(AND(Aux!C105&lt;&gt;"",(2-N(Aux!C105))&lt;='01_Criterios'!$C$14),Aux!AA105,IF(AND(Aux!O105&lt;&gt;"",(N(Aux!O105)-2)&lt;='01_Criterios'!$C$15),Aux!AM105,"")))))</f>
        <v/>
      </c>
      <c r="M105" s="6" t="str">
        <f>IF('03_Base_Indice'!$D105="","",IF('03_Base_Indice'!M105&lt;&gt;"",'03_Base_Indice'!M105,IF(AND(Aux!D105&lt;&gt;"",Aux!P105&lt;&gt;"",(N(Aux!P105)-N(Aux!D105)-1)&lt;='01_Criterios'!$C$13),Aux!AB105+(Aux!AN105-Aux!AB105)*(3-Aux!D105)/(Aux!P105-Aux!D105),IF(AND(Aux!D105&lt;&gt;"",(3-N(Aux!D105))&lt;='01_Criterios'!$C$14),Aux!AB105,IF(AND(Aux!P105&lt;&gt;"",(N(Aux!P105)-3)&lt;='01_Criterios'!$C$15),Aux!AN105,"")))))</f>
        <v/>
      </c>
      <c r="N105" s="6" t="str">
        <f>IF('03_Base_Indice'!$D105="","",IF('03_Base_Indice'!N105&lt;&gt;"",'03_Base_Indice'!N105,IF(AND(Aux!E105&lt;&gt;"",Aux!Q105&lt;&gt;"",(N(Aux!Q105)-N(Aux!E105)-1)&lt;='01_Criterios'!$C$13),Aux!AC105+(Aux!AO105-Aux!AC105)*(4-Aux!E105)/(Aux!Q105-Aux!E105),IF(AND(Aux!E105&lt;&gt;"",(4-N(Aux!E105))&lt;='01_Criterios'!$C$14),Aux!AC105,IF(AND(Aux!Q105&lt;&gt;"",(N(Aux!Q105)-4)&lt;='01_Criterios'!$C$15),Aux!AO105,"")))))</f>
        <v/>
      </c>
      <c r="O105" s="6" t="str">
        <f>IF('03_Base_Indice'!$D105="","",IF('03_Base_Indice'!O105&lt;&gt;"",'03_Base_Indice'!O105,IF(AND(Aux!F105&lt;&gt;"",Aux!R105&lt;&gt;"",(N(Aux!R105)-N(Aux!F105)-1)&lt;='01_Criterios'!$C$13),Aux!AD105+(Aux!AP105-Aux!AD105)*(5-Aux!F105)/(Aux!R105-Aux!F105),IF(AND(Aux!F105&lt;&gt;"",(5-N(Aux!F105))&lt;='01_Criterios'!$C$14),Aux!AD105,IF(AND(Aux!R105&lt;&gt;"",(N(Aux!R105)-5)&lt;='01_Criterios'!$C$15),Aux!AP105,"")))))</f>
        <v/>
      </c>
      <c r="P105" s="6" t="str">
        <f>IF('03_Base_Indice'!$D105="","",IF('03_Base_Indice'!P105&lt;&gt;"",'03_Base_Indice'!P105,IF(AND(Aux!G105&lt;&gt;"",Aux!S105&lt;&gt;"",(N(Aux!S105)-N(Aux!G105)-1)&lt;='01_Criterios'!$C$13),Aux!AE105+(Aux!AQ105-Aux!AE105)*(6-Aux!G105)/(Aux!S105-Aux!G105),IF(AND(Aux!G105&lt;&gt;"",(6-N(Aux!G105))&lt;='01_Criterios'!$C$14),Aux!AE105,IF(AND(Aux!S105&lt;&gt;"",(N(Aux!S105)-6)&lt;='01_Criterios'!$C$15),Aux!AQ105,"")))))</f>
        <v/>
      </c>
      <c r="Q105" s="6" t="str">
        <f>IF('03_Base_Indice'!$D105="","",IF('03_Base_Indice'!Q105&lt;&gt;"",'03_Base_Indice'!Q105,IF(AND(Aux!H105&lt;&gt;"",Aux!T105&lt;&gt;"",(N(Aux!T105)-N(Aux!H105)-1)&lt;='01_Criterios'!$C$13),Aux!AF105+(Aux!AR105-Aux!AF105)*(7-Aux!H105)/(Aux!T105-Aux!H105),IF(AND(Aux!H105&lt;&gt;"",(7-N(Aux!H105))&lt;='01_Criterios'!$C$14),Aux!AF105,IF(AND(Aux!T105&lt;&gt;"",(N(Aux!T105)-7)&lt;='01_Criterios'!$C$15),Aux!AR105,"")))))</f>
        <v/>
      </c>
      <c r="R105" s="6" t="str">
        <f>IF('03_Base_Indice'!$D105="","",IF('03_Base_Indice'!R105&lt;&gt;"",'03_Base_Indice'!R105,IF(AND(Aux!I105&lt;&gt;"",Aux!U105&lt;&gt;"",(N(Aux!U105)-N(Aux!I105)-1)&lt;='01_Criterios'!$C$13),Aux!AG105+(Aux!AS105-Aux!AG105)*(8-Aux!I105)/(Aux!U105-Aux!I105),IF(AND(Aux!I105&lt;&gt;"",(8-N(Aux!I105))&lt;='01_Criterios'!$C$14),Aux!AG105,IF(AND(Aux!U105&lt;&gt;"",(N(Aux!U105)-8)&lt;='01_Criterios'!$C$15),Aux!AS105,"")))))</f>
        <v/>
      </c>
      <c r="S105" s="6" t="str">
        <f>IF('03_Base_Indice'!$D105="","",IF('03_Base_Indice'!S105&lt;&gt;"",'03_Base_Indice'!S105,IF(AND(Aux!J105&lt;&gt;"",Aux!V105&lt;&gt;"",(N(Aux!V105)-N(Aux!J105)-1)&lt;='01_Criterios'!$C$13),Aux!AH105+(Aux!AT105-Aux!AH105)*(9-Aux!J105)/(Aux!V105-Aux!J105),IF(AND(Aux!J105&lt;&gt;"",(9-N(Aux!J105))&lt;='01_Criterios'!$C$14),Aux!AH105,IF(AND(Aux!V105&lt;&gt;"",(N(Aux!V105)-9)&lt;='01_Criterios'!$C$15),Aux!AT105,"")))))</f>
        <v/>
      </c>
      <c r="T105" s="6" t="str">
        <f>IF('03_Base_Indice'!$D105="","",IF('03_Base_Indice'!T105&lt;&gt;"",'03_Base_Indice'!T105,IF(AND(Aux!K105&lt;&gt;"",Aux!W105&lt;&gt;"",(N(Aux!W105)-N(Aux!K105)-1)&lt;='01_Criterios'!$C$13),Aux!AI105+(Aux!AU105-Aux!AI105)*(10-Aux!K105)/(Aux!W105-Aux!K105),IF(AND(Aux!K105&lt;&gt;"",(10-N(Aux!K105))&lt;='01_Criterios'!$C$14),Aux!AI105,IF(AND(Aux!W105&lt;&gt;"",(N(Aux!W105)-10)&lt;='01_Criterios'!$C$15),Aux!AU105,"")))))</f>
        <v/>
      </c>
      <c r="U105" s="6" t="str">
        <f>IF('03_Base_Indice'!$D105="","",IF('03_Base_Indice'!U105&lt;&gt;"",'03_Base_Indice'!U105,IF(AND(Aux!L105&lt;&gt;"",Aux!X105&lt;&gt;"",(N(Aux!X105)-N(Aux!L105)-1)&lt;='01_Criterios'!$C$13),Aux!AJ105+(Aux!AV105-Aux!AJ105)*(11-Aux!L105)/(Aux!X105-Aux!L105),IF(AND(Aux!L105&lt;&gt;"",(11-N(Aux!L105))&lt;='01_Criterios'!$C$14),Aux!AJ105,IF(AND(Aux!X105&lt;&gt;"",(N(Aux!X105)-11)&lt;='01_Criterios'!$C$15),Aux!AV105,"")))))</f>
        <v/>
      </c>
    </row>
    <row r="106" spans="1:21">
      <c r="A106" s="6" t="str">
        <f>IF('03_Base_Indice'!$A106="","",'03_Base_Indice'!$A106)</f>
        <v>11. Transformação Digital e Inovação</v>
      </c>
      <c r="B106" s="6">
        <f>'03_Base_Indice'!$B106</f>
        <v>2</v>
      </c>
      <c r="D106" s="6" t="str">
        <f>IF('03_Base_Indice'!$D106="","",'03_Base_Indice'!$D106)</f>
        <v/>
      </c>
      <c r="E106" s="6" t="str">
        <f>IF('03_Base_Indice'!$E106="","",'03_Base_Indice'!$E106)</f>
        <v/>
      </c>
      <c r="K106" s="6" t="str">
        <f>IF('03_Base_Indice'!$D106="","",IF('03_Base_Indice'!K106&lt;&gt;"",'03_Base_Indice'!K106,IF(AND(Aux!B106&lt;&gt;"",Aux!N106&lt;&gt;"",(N(Aux!N106)-N(Aux!B106)-1)&lt;='01_Criterios'!$C$13),Aux!Z106+(Aux!AL106-Aux!Z106)*(1-Aux!B106)/(Aux!N106-Aux!B106),IF(AND(Aux!B106&lt;&gt;"",(1-N(Aux!B106))&lt;='01_Criterios'!$C$14),Aux!Z106,IF(AND(Aux!N106&lt;&gt;"",(N(Aux!N106)-1)&lt;='01_Criterios'!$C$15),Aux!AL106,"")))))</f>
        <v/>
      </c>
      <c r="L106" s="6" t="str">
        <f>IF('03_Base_Indice'!$D106="","",IF('03_Base_Indice'!L106&lt;&gt;"",'03_Base_Indice'!L106,IF(AND(Aux!C106&lt;&gt;"",Aux!O106&lt;&gt;"",(N(Aux!O106)-N(Aux!C106)-1)&lt;='01_Criterios'!$C$13),Aux!AA106+(Aux!AM106-Aux!AA106)*(2-Aux!C106)/(Aux!O106-Aux!C106),IF(AND(Aux!C106&lt;&gt;"",(2-N(Aux!C106))&lt;='01_Criterios'!$C$14),Aux!AA106,IF(AND(Aux!O106&lt;&gt;"",(N(Aux!O106)-2)&lt;='01_Criterios'!$C$15),Aux!AM106,"")))))</f>
        <v/>
      </c>
      <c r="M106" s="6" t="str">
        <f>IF('03_Base_Indice'!$D106="","",IF('03_Base_Indice'!M106&lt;&gt;"",'03_Base_Indice'!M106,IF(AND(Aux!D106&lt;&gt;"",Aux!P106&lt;&gt;"",(N(Aux!P106)-N(Aux!D106)-1)&lt;='01_Criterios'!$C$13),Aux!AB106+(Aux!AN106-Aux!AB106)*(3-Aux!D106)/(Aux!P106-Aux!D106),IF(AND(Aux!D106&lt;&gt;"",(3-N(Aux!D106))&lt;='01_Criterios'!$C$14),Aux!AB106,IF(AND(Aux!P106&lt;&gt;"",(N(Aux!P106)-3)&lt;='01_Criterios'!$C$15),Aux!AN106,"")))))</f>
        <v/>
      </c>
      <c r="N106" s="6" t="str">
        <f>IF('03_Base_Indice'!$D106="","",IF('03_Base_Indice'!N106&lt;&gt;"",'03_Base_Indice'!N106,IF(AND(Aux!E106&lt;&gt;"",Aux!Q106&lt;&gt;"",(N(Aux!Q106)-N(Aux!E106)-1)&lt;='01_Criterios'!$C$13),Aux!AC106+(Aux!AO106-Aux!AC106)*(4-Aux!E106)/(Aux!Q106-Aux!E106),IF(AND(Aux!E106&lt;&gt;"",(4-N(Aux!E106))&lt;='01_Criterios'!$C$14),Aux!AC106,IF(AND(Aux!Q106&lt;&gt;"",(N(Aux!Q106)-4)&lt;='01_Criterios'!$C$15),Aux!AO106,"")))))</f>
        <v/>
      </c>
      <c r="O106" s="6" t="str">
        <f>IF('03_Base_Indice'!$D106="","",IF('03_Base_Indice'!O106&lt;&gt;"",'03_Base_Indice'!O106,IF(AND(Aux!F106&lt;&gt;"",Aux!R106&lt;&gt;"",(N(Aux!R106)-N(Aux!F106)-1)&lt;='01_Criterios'!$C$13),Aux!AD106+(Aux!AP106-Aux!AD106)*(5-Aux!F106)/(Aux!R106-Aux!F106),IF(AND(Aux!F106&lt;&gt;"",(5-N(Aux!F106))&lt;='01_Criterios'!$C$14),Aux!AD106,IF(AND(Aux!R106&lt;&gt;"",(N(Aux!R106)-5)&lt;='01_Criterios'!$C$15),Aux!AP106,"")))))</f>
        <v/>
      </c>
      <c r="P106" s="6" t="str">
        <f>IF('03_Base_Indice'!$D106="","",IF('03_Base_Indice'!P106&lt;&gt;"",'03_Base_Indice'!P106,IF(AND(Aux!G106&lt;&gt;"",Aux!S106&lt;&gt;"",(N(Aux!S106)-N(Aux!G106)-1)&lt;='01_Criterios'!$C$13),Aux!AE106+(Aux!AQ106-Aux!AE106)*(6-Aux!G106)/(Aux!S106-Aux!G106),IF(AND(Aux!G106&lt;&gt;"",(6-N(Aux!G106))&lt;='01_Criterios'!$C$14),Aux!AE106,IF(AND(Aux!S106&lt;&gt;"",(N(Aux!S106)-6)&lt;='01_Criterios'!$C$15),Aux!AQ106,"")))))</f>
        <v/>
      </c>
      <c r="Q106" s="6" t="str">
        <f>IF('03_Base_Indice'!$D106="","",IF('03_Base_Indice'!Q106&lt;&gt;"",'03_Base_Indice'!Q106,IF(AND(Aux!H106&lt;&gt;"",Aux!T106&lt;&gt;"",(N(Aux!T106)-N(Aux!H106)-1)&lt;='01_Criterios'!$C$13),Aux!AF106+(Aux!AR106-Aux!AF106)*(7-Aux!H106)/(Aux!T106-Aux!H106),IF(AND(Aux!H106&lt;&gt;"",(7-N(Aux!H106))&lt;='01_Criterios'!$C$14),Aux!AF106,IF(AND(Aux!T106&lt;&gt;"",(N(Aux!T106)-7)&lt;='01_Criterios'!$C$15),Aux!AR106,"")))))</f>
        <v/>
      </c>
      <c r="R106" s="6" t="str">
        <f>IF('03_Base_Indice'!$D106="","",IF('03_Base_Indice'!R106&lt;&gt;"",'03_Base_Indice'!R106,IF(AND(Aux!I106&lt;&gt;"",Aux!U106&lt;&gt;"",(N(Aux!U106)-N(Aux!I106)-1)&lt;='01_Criterios'!$C$13),Aux!AG106+(Aux!AS106-Aux!AG106)*(8-Aux!I106)/(Aux!U106-Aux!I106),IF(AND(Aux!I106&lt;&gt;"",(8-N(Aux!I106))&lt;='01_Criterios'!$C$14),Aux!AG106,IF(AND(Aux!U106&lt;&gt;"",(N(Aux!U106)-8)&lt;='01_Criterios'!$C$15),Aux!AS106,"")))))</f>
        <v/>
      </c>
      <c r="S106" s="6" t="str">
        <f>IF('03_Base_Indice'!$D106="","",IF('03_Base_Indice'!S106&lt;&gt;"",'03_Base_Indice'!S106,IF(AND(Aux!J106&lt;&gt;"",Aux!V106&lt;&gt;"",(N(Aux!V106)-N(Aux!J106)-1)&lt;='01_Criterios'!$C$13),Aux!AH106+(Aux!AT106-Aux!AH106)*(9-Aux!J106)/(Aux!V106-Aux!J106),IF(AND(Aux!J106&lt;&gt;"",(9-N(Aux!J106))&lt;='01_Criterios'!$C$14),Aux!AH106,IF(AND(Aux!V106&lt;&gt;"",(N(Aux!V106)-9)&lt;='01_Criterios'!$C$15),Aux!AT106,"")))))</f>
        <v/>
      </c>
      <c r="T106" s="6" t="str">
        <f>IF('03_Base_Indice'!$D106="","",IF('03_Base_Indice'!T106&lt;&gt;"",'03_Base_Indice'!T106,IF(AND(Aux!K106&lt;&gt;"",Aux!W106&lt;&gt;"",(N(Aux!W106)-N(Aux!K106)-1)&lt;='01_Criterios'!$C$13),Aux!AI106+(Aux!AU106-Aux!AI106)*(10-Aux!K106)/(Aux!W106-Aux!K106),IF(AND(Aux!K106&lt;&gt;"",(10-N(Aux!K106))&lt;='01_Criterios'!$C$14),Aux!AI106,IF(AND(Aux!W106&lt;&gt;"",(N(Aux!W106)-10)&lt;='01_Criterios'!$C$15),Aux!AU106,"")))))</f>
        <v/>
      </c>
      <c r="U106" s="6" t="str">
        <f>IF('03_Base_Indice'!$D106="","",IF('03_Base_Indice'!U106&lt;&gt;"",'03_Base_Indice'!U106,IF(AND(Aux!L106&lt;&gt;"",Aux!X106&lt;&gt;"",(N(Aux!X106)-N(Aux!L106)-1)&lt;='01_Criterios'!$C$13),Aux!AJ106+(Aux!AV106-Aux!AJ106)*(11-Aux!L106)/(Aux!X106-Aux!L106),IF(AND(Aux!L106&lt;&gt;"",(11-N(Aux!L106))&lt;='01_Criterios'!$C$14),Aux!AJ106,IF(AND(Aux!X106&lt;&gt;"",(N(Aux!X106)-11)&lt;='01_Criterios'!$C$15),Aux!AV106,"")))))</f>
        <v/>
      </c>
    </row>
    <row r="107" spans="1:21">
      <c r="A107" s="6" t="str">
        <f>IF('03_Base_Indice'!$A107="","",'03_Base_Indice'!$A107)</f>
        <v>11. Transformação Digital e Inovação</v>
      </c>
      <c r="B107" s="6">
        <f>'03_Base_Indice'!$B107</f>
        <v>3</v>
      </c>
      <c r="D107" s="6" t="str">
        <f>IF('03_Base_Indice'!$D107="","",'03_Base_Indice'!$D107)</f>
        <v/>
      </c>
      <c r="E107" s="6" t="str">
        <f>IF('03_Base_Indice'!$E107="","",'03_Base_Indice'!$E107)</f>
        <v/>
      </c>
      <c r="K107" s="6" t="str">
        <f>IF('03_Base_Indice'!$D107="","",IF('03_Base_Indice'!K107&lt;&gt;"",'03_Base_Indice'!K107,IF(AND(Aux!B107&lt;&gt;"",Aux!N107&lt;&gt;"",(N(Aux!N107)-N(Aux!B107)-1)&lt;='01_Criterios'!$C$13),Aux!Z107+(Aux!AL107-Aux!Z107)*(1-Aux!B107)/(Aux!N107-Aux!B107),IF(AND(Aux!B107&lt;&gt;"",(1-N(Aux!B107))&lt;='01_Criterios'!$C$14),Aux!Z107,IF(AND(Aux!N107&lt;&gt;"",(N(Aux!N107)-1)&lt;='01_Criterios'!$C$15),Aux!AL107,"")))))</f>
        <v/>
      </c>
      <c r="L107" s="6" t="str">
        <f>IF('03_Base_Indice'!$D107="","",IF('03_Base_Indice'!L107&lt;&gt;"",'03_Base_Indice'!L107,IF(AND(Aux!C107&lt;&gt;"",Aux!O107&lt;&gt;"",(N(Aux!O107)-N(Aux!C107)-1)&lt;='01_Criterios'!$C$13),Aux!AA107+(Aux!AM107-Aux!AA107)*(2-Aux!C107)/(Aux!O107-Aux!C107),IF(AND(Aux!C107&lt;&gt;"",(2-N(Aux!C107))&lt;='01_Criterios'!$C$14),Aux!AA107,IF(AND(Aux!O107&lt;&gt;"",(N(Aux!O107)-2)&lt;='01_Criterios'!$C$15),Aux!AM107,"")))))</f>
        <v/>
      </c>
      <c r="M107" s="6" t="str">
        <f>IF('03_Base_Indice'!$D107="","",IF('03_Base_Indice'!M107&lt;&gt;"",'03_Base_Indice'!M107,IF(AND(Aux!D107&lt;&gt;"",Aux!P107&lt;&gt;"",(N(Aux!P107)-N(Aux!D107)-1)&lt;='01_Criterios'!$C$13),Aux!AB107+(Aux!AN107-Aux!AB107)*(3-Aux!D107)/(Aux!P107-Aux!D107),IF(AND(Aux!D107&lt;&gt;"",(3-N(Aux!D107))&lt;='01_Criterios'!$C$14),Aux!AB107,IF(AND(Aux!P107&lt;&gt;"",(N(Aux!P107)-3)&lt;='01_Criterios'!$C$15),Aux!AN107,"")))))</f>
        <v/>
      </c>
      <c r="N107" s="6" t="str">
        <f>IF('03_Base_Indice'!$D107="","",IF('03_Base_Indice'!N107&lt;&gt;"",'03_Base_Indice'!N107,IF(AND(Aux!E107&lt;&gt;"",Aux!Q107&lt;&gt;"",(N(Aux!Q107)-N(Aux!E107)-1)&lt;='01_Criterios'!$C$13),Aux!AC107+(Aux!AO107-Aux!AC107)*(4-Aux!E107)/(Aux!Q107-Aux!E107),IF(AND(Aux!E107&lt;&gt;"",(4-N(Aux!E107))&lt;='01_Criterios'!$C$14),Aux!AC107,IF(AND(Aux!Q107&lt;&gt;"",(N(Aux!Q107)-4)&lt;='01_Criterios'!$C$15),Aux!AO107,"")))))</f>
        <v/>
      </c>
      <c r="O107" s="6" t="str">
        <f>IF('03_Base_Indice'!$D107="","",IF('03_Base_Indice'!O107&lt;&gt;"",'03_Base_Indice'!O107,IF(AND(Aux!F107&lt;&gt;"",Aux!R107&lt;&gt;"",(N(Aux!R107)-N(Aux!F107)-1)&lt;='01_Criterios'!$C$13),Aux!AD107+(Aux!AP107-Aux!AD107)*(5-Aux!F107)/(Aux!R107-Aux!F107),IF(AND(Aux!F107&lt;&gt;"",(5-N(Aux!F107))&lt;='01_Criterios'!$C$14),Aux!AD107,IF(AND(Aux!R107&lt;&gt;"",(N(Aux!R107)-5)&lt;='01_Criterios'!$C$15),Aux!AP107,"")))))</f>
        <v/>
      </c>
      <c r="P107" s="6" t="str">
        <f>IF('03_Base_Indice'!$D107="","",IF('03_Base_Indice'!P107&lt;&gt;"",'03_Base_Indice'!P107,IF(AND(Aux!G107&lt;&gt;"",Aux!S107&lt;&gt;"",(N(Aux!S107)-N(Aux!G107)-1)&lt;='01_Criterios'!$C$13),Aux!AE107+(Aux!AQ107-Aux!AE107)*(6-Aux!G107)/(Aux!S107-Aux!G107),IF(AND(Aux!G107&lt;&gt;"",(6-N(Aux!G107))&lt;='01_Criterios'!$C$14),Aux!AE107,IF(AND(Aux!S107&lt;&gt;"",(N(Aux!S107)-6)&lt;='01_Criterios'!$C$15),Aux!AQ107,"")))))</f>
        <v/>
      </c>
      <c r="Q107" s="6" t="str">
        <f>IF('03_Base_Indice'!$D107="","",IF('03_Base_Indice'!Q107&lt;&gt;"",'03_Base_Indice'!Q107,IF(AND(Aux!H107&lt;&gt;"",Aux!T107&lt;&gt;"",(N(Aux!T107)-N(Aux!H107)-1)&lt;='01_Criterios'!$C$13),Aux!AF107+(Aux!AR107-Aux!AF107)*(7-Aux!H107)/(Aux!T107-Aux!H107),IF(AND(Aux!H107&lt;&gt;"",(7-N(Aux!H107))&lt;='01_Criterios'!$C$14),Aux!AF107,IF(AND(Aux!T107&lt;&gt;"",(N(Aux!T107)-7)&lt;='01_Criterios'!$C$15),Aux!AR107,"")))))</f>
        <v/>
      </c>
      <c r="R107" s="6" t="str">
        <f>IF('03_Base_Indice'!$D107="","",IF('03_Base_Indice'!R107&lt;&gt;"",'03_Base_Indice'!R107,IF(AND(Aux!I107&lt;&gt;"",Aux!U107&lt;&gt;"",(N(Aux!U107)-N(Aux!I107)-1)&lt;='01_Criterios'!$C$13),Aux!AG107+(Aux!AS107-Aux!AG107)*(8-Aux!I107)/(Aux!U107-Aux!I107),IF(AND(Aux!I107&lt;&gt;"",(8-N(Aux!I107))&lt;='01_Criterios'!$C$14),Aux!AG107,IF(AND(Aux!U107&lt;&gt;"",(N(Aux!U107)-8)&lt;='01_Criterios'!$C$15),Aux!AS107,"")))))</f>
        <v/>
      </c>
      <c r="S107" s="6" t="str">
        <f>IF('03_Base_Indice'!$D107="","",IF('03_Base_Indice'!S107&lt;&gt;"",'03_Base_Indice'!S107,IF(AND(Aux!J107&lt;&gt;"",Aux!V107&lt;&gt;"",(N(Aux!V107)-N(Aux!J107)-1)&lt;='01_Criterios'!$C$13),Aux!AH107+(Aux!AT107-Aux!AH107)*(9-Aux!J107)/(Aux!V107-Aux!J107),IF(AND(Aux!J107&lt;&gt;"",(9-N(Aux!J107))&lt;='01_Criterios'!$C$14),Aux!AH107,IF(AND(Aux!V107&lt;&gt;"",(N(Aux!V107)-9)&lt;='01_Criterios'!$C$15),Aux!AT107,"")))))</f>
        <v/>
      </c>
      <c r="T107" s="6" t="str">
        <f>IF('03_Base_Indice'!$D107="","",IF('03_Base_Indice'!T107&lt;&gt;"",'03_Base_Indice'!T107,IF(AND(Aux!K107&lt;&gt;"",Aux!W107&lt;&gt;"",(N(Aux!W107)-N(Aux!K107)-1)&lt;='01_Criterios'!$C$13),Aux!AI107+(Aux!AU107-Aux!AI107)*(10-Aux!K107)/(Aux!W107-Aux!K107),IF(AND(Aux!K107&lt;&gt;"",(10-N(Aux!K107))&lt;='01_Criterios'!$C$14),Aux!AI107,IF(AND(Aux!W107&lt;&gt;"",(N(Aux!W107)-10)&lt;='01_Criterios'!$C$15),Aux!AU107,"")))))</f>
        <v/>
      </c>
      <c r="U107" s="6" t="str">
        <f>IF('03_Base_Indice'!$D107="","",IF('03_Base_Indice'!U107&lt;&gt;"",'03_Base_Indice'!U107,IF(AND(Aux!L107&lt;&gt;"",Aux!X107&lt;&gt;"",(N(Aux!X107)-N(Aux!L107)-1)&lt;='01_Criterios'!$C$13),Aux!AJ107+(Aux!AV107-Aux!AJ107)*(11-Aux!L107)/(Aux!X107-Aux!L107),IF(AND(Aux!L107&lt;&gt;"",(11-N(Aux!L107))&lt;='01_Criterios'!$C$14),Aux!AJ107,IF(AND(Aux!X107&lt;&gt;"",(N(Aux!X107)-11)&lt;='01_Criterios'!$C$15),Aux!AV107,"")))))</f>
        <v/>
      </c>
    </row>
    <row r="108" spans="1:21">
      <c r="A108" s="6" t="str">
        <f>IF('03_Base_Indice'!$A108="","",'03_Base_Indice'!$A108)</f>
        <v>11. Transformação Digital e Inovação</v>
      </c>
      <c r="B108" s="6">
        <f>'03_Base_Indice'!$B108</f>
        <v>4</v>
      </c>
      <c r="D108" s="6" t="str">
        <f>IF('03_Base_Indice'!$D108="","",'03_Base_Indice'!$D108)</f>
        <v/>
      </c>
      <c r="E108" s="6" t="str">
        <f>IF('03_Base_Indice'!$E108="","",'03_Base_Indice'!$E108)</f>
        <v/>
      </c>
      <c r="K108" s="6" t="str">
        <f>IF('03_Base_Indice'!$D108="","",IF('03_Base_Indice'!K108&lt;&gt;"",'03_Base_Indice'!K108,IF(AND(Aux!B108&lt;&gt;"",Aux!N108&lt;&gt;"",(N(Aux!N108)-N(Aux!B108)-1)&lt;='01_Criterios'!$C$13),Aux!Z108+(Aux!AL108-Aux!Z108)*(1-Aux!B108)/(Aux!N108-Aux!B108),IF(AND(Aux!B108&lt;&gt;"",(1-N(Aux!B108))&lt;='01_Criterios'!$C$14),Aux!Z108,IF(AND(Aux!N108&lt;&gt;"",(N(Aux!N108)-1)&lt;='01_Criterios'!$C$15),Aux!AL108,"")))))</f>
        <v/>
      </c>
      <c r="L108" s="6" t="str">
        <f>IF('03_Base_Indice'!$D108="","",IF('03_Base_Indice'!L108&lt;&gt;"",'03_Base_Indice'!L108,IF(AND(Aux!C108&lt;&gt;"",Aux!O108&lt;&gt;"",(N(Aux!O108)-N(Aux!C108)-1)&lt;='01_Criterios'!$C$13),Aux!AA108+(Aux!AM108-Aux!AA108)*(2-Aux!C108)/(Aux!O108-Aux!C108),IF(AND(Aux!C108&lt;&gt;"",(2-N(Aux!C108))&lt;='01_Criterios'!$C$14),Aux!AA108,IF(AND(Aux!O108&lt;&gt;"",(N(Aux!O108)-2)&lt;='01_Criterios'!$C$15),Aux!AM108,"")))))</f>
        <v/>
      </c>
      <c r="M108" s="6" t="str">
        <f>IF('03_Base_Indice'!$D108="","",IF('03_Base_Indice'!M108&lt;&gt;"",'03_Base_Indice'!M108,IF(AND(Aux!D108&lt;&gt;"",Aux!P108&lt;&gt;"",(N(Aux!P108)-N(Aux!D108)-1)&lt;='01_Criterios'!$C$13),Aux!AB108+(Aux!AN108-Aux!AB108)*(3-Aux!D108)/(Aux!P108-Aux!D108),IF(AND(Aux!D108&lt;&gt;"",(3-N(Aux!D108))&lt;='01_Criterios'!$C$14),Aux!AB108,IF(AND(Aux!P108&lt;&gt;"",(N(Aux!P108)-3)&lt;='01_Criterios'!$C$15),Aux!AN108,"")))))</f>
        <v/>
      </c>
      <c r="N108" s="6" t="str">
        <f>IF('03_Base_Indice'!$D108="","",IF('03_Base_Indice'!N108&lt;&gt;"",'03_Base_Indice'!N108,IF(AND(Aux!E108&lt;&gt;"",Aux!Q108&lt;&gt;"",(N(Aux!Q108)-N(Aux!E108)-1)&lt;='01_Criterios'!$C$13),Aux!AC108+(Aux!AO108-Aux!AC108)*(4-Aux!E108)/(Aux!Q108-Aux!E108),IF(AND(Aux!E108&lt;&gt;"",(4-N(Aux!E108))&lt;='01_Criterios'!$C$14),Aux!AC108,IF(AND(Aux!Q108&lt;&gt;"",(N(Aux!Q108)-4)&lt;='01_Criterios'!$C$15),Aux!AO108,"")))))</f>
        <v/>
      </c>
      <c r="O108" s="6" t="str">
        <f>IF('03_Base_Indice'!$D108="","",IF('03_Base_Indice'!O108&lt;&gt;"",'03_Base_Indice'!O108,IF(AND(Aux!F108&lt;&gt;"",Aux!R108&lt;&gt;"",(N(Aux!R108)-N(Aux!F108)-1)&lt;='01_Criterios'!$C$13),Aux!AD108+(Aux!AP108-Aux!AD108)*(5-Aux!F108)/(Aux!R108-Aux!F108),IF(AND(Aux!F108&lt;&gt;"",(5-N(Aux!F108))&lt;='01_Criterios'!$C$14),Aux!AD108,IF(AND(Aux!R108&lt;&gt;"",(N(Aux!R108)-5)&lt;='01_Criterios'!$C$15),Aux!AP108,"")))))</f>
        <v/>
      </c>
      <c r="P108" s="6" t="str">
        <f>IF('03_Base_Indice'!$D108="","",IF('03_Base_Indice'!P108&lt;&gt;"",'03_Base_Indice'!P108,IF(AND(Aux!G108&lt;&gt;"",Aux!S108&lt;&gt;"",(N(Aux!S108)-N(Aux!G108)-1)&lt;='01_Criterios'!$C$13),Aux!AE108+(Aux!AQ108-Aux!AE108)*(6-Aux!G108)/(Aux!S108-Aux!G108),IF(AND(Aux!G108&lt;&gt;"",(6-N(Aux!G108))&lt;='01_Criterios'!$C$14),Aux!AE108,IF(AND(Aux!S108&lt;&gt;"",(N(Aux!S108)-6)&lt;='01_Criterios'!$C$15),Aux!AQ108,"")))))</f>
        <v/>
      </c>
      <c r="Q108" s="6" t="str">
        <f>IF('03_Base_Indice'!$D108="","",IF('03_Base_Indice'!Q108&lt;&gt;"",'03_Base_Indice'!Q108,IF(AND(Aux!H108&lt;&gt;"",Aux!T108&lt;&gt;"",(N(Aux!T108)-N(Aux!H108)-1)&lt;='01_Criterios'!$C$13),Aux!AF108+(Aux!AR108-Aux!AF108)*(7-Aux!H108)/(Aux!T108-Aux!H108),IF(AND(Aux!H108&lt;&gt;"",(7-N(Aux!H108))&lt;='01_Criterios'!$C$14),Aux!AF108,IF(AND(Aux!T108&lt;&gt;"",(N(Aux!T108)-7)&lt;='01_Criterios'!$C$15),Aux!AR108,"")))))</f>
        <v/>
      </c>
      <c r="R108" s="6" t="str">
        <f>IF('03_Base_Indice'!$D108="","",IF('03_Base_Indice'!R108&lt;&gt;"",'03_Base_Indice'!R108,IF(AND(Aux!I108&lt;&gt;"",Aux!U108&lt;&gt;"",(N(Aux!U108)-N(Aux!I108)-1)&lt;='01_Criterios'!$C$13),Aux!AG108+(Aux!AS108-Aux!AG108)*(8-Aux!I108)/(Aux!U108-Aux!I108),IF(AND(Aux!I108&lt;&gt;"",(8-N(Aux!I108))&lt;='01_Criterios'!$C$14),Aux!AG108,IF(AND(Aux!U108&lt;&gt;"",(N(Aux!U108)-8)&lt;='01_Criterios'!$C$15),Aux!AS108,"")))))</f>
        <v/>
      </c>
      <c r="S108" s="6" t="str">
        <f>IF('03_Base_Indice'!$D108="","",IF('03_Base_Indice'!S108&lt;&gt;"",'03_Base_Indice'!S108,IF(AND(Aux!J108&lt;&gt;"",Aux!V108&lt;&gt;"",(N(Aux!V108)-N(Aux!J108)-1)&lt;='01_Criterios'!$C$13),Aux!AH108+(Aux!AT108-Aux!AH108)*(9-Aux!J108)/(Aux!V108-Aux!J108),IF(AND(Aux!J108&lt;&gt;"",(9-N(Aux!J108))&lt;='01_Criterios'!$C$14),Aux!AH108,IF(AND(Aux!V108&lt;&gt;"",(N(Aux!V108)-9)&lt;='01_Criterios'!$C$15),Aux!AT108,"")))))</f>
        <v/>
      </c>
      <c r="T108" s="6" t="str">
        <f>IF('03_Base_Indice'!$D108="","",IF('03_Base_Indice'!T108&lt;&gt;"",'03_Base_Indice'!T108,IF(AND(Aux!K108&lt;&gt;"",Aux!W108&lt;&gt;"",(N(Aux!W108)-N(Aux!K108)-1)&lt;='01_Criterios'!$C$13),Aux!AI108+(Aux!AU108-Aux!AI108)*(10-Aux!K108)/(Aux!W108-Aux!K108),IF(AND(Aux!K108&lt;&gt;"",(10-N(Aux!K108))&lt;='01_Criterios'!$C$14),Aux!AI108,IF(AND(Aux!W108&lt;&gt;"",(N(Aux!W108)-10)&lt;='01_Criterios'!$C$15),Aux!AU108,"")))))</f>
        <v/>
      </c>
      <c r="U108" s="6" t="str">
        <f>IF('03_Base_Indice'!$D108="","",IF('03_Base_Indice'!U108&lt;&gt;"",'03_Base_Indice'!U108,IF(AND(Aux!L108&lt;&gt;"",Aux!X108&lt;&gt;"",(N(Aux!X108)-N(Aux!L108)-1)&lt;='01_Criterios'!$C$13),Aux!AJ108+(Aux!AV108-Aux!AJ108)*(11-Aux!L108)/(Aux!X108-Aux!L108),IF(AND(Aux!L108&lt;&gt;"",(11-N(Aux!L108))&lt;='01_Criterios'!$C$14),Aux!AJ108,IF(AND(Aux!X108&lt;&gt;"",(N(Aux!X108)-11)&lt;='01_Criterios'!$C$15),Aux!AV108,"")))))</f>
        <v/>
      </c>
    </row>
    <row r="109" spans="1:21">
      <c r="A109" s="6" t="str">
        <f>IF('03_Base_Indice'!$A109="","",'03_Base_Indice'!$A109)</f>
        <v>11. Transformação Digital e Inovação</v>
      </c>
      <c r="B109" s="6">
        <f>'03_Base_Indice'!$B109</f>
        <v>5</v>
      </c>
      <c r="D109" s="6" t="str">
        <f>IF('03_Base_Indice'!$D109="","",'03_Base_Indice'!$D109)</f>
        <v/>
      </c>
      <c r="E109" s="6" t="str">
        <f>IF('03_Base_Indice'!$E109="","",'03_Base_Indice'!$E109)</f>
        <v/>
      </c>
      <c r="K109" s="6" t="str">
        <f>IF('03_Base_Indice'!$D109="","",IF('03_Base_Indice'!K109&lt;&gt;"",'03_Base_Indice'!K109,IF(AND(Aux!B109&lt;&gt;"",Aux!N109&lt;&gt;"",(N(Aux!N109)-N(Aux!B109)-1)&lt;='01_Criterios'!$C$13),Aux!Z109+(Aux!AL109-Aux!Z109)*(1-Aux!B109)/(Aux!N109-Aux!B109),IF(AND(Aux!B109&lt;&gt;"",(1-N(Aux!B109))&lt;='01_Criterios'!$C$14),Aux!Z109,IF(AND(Aux!N109&lt;&gt;"",(N(Aux!N109)-1)&lt;='01_Criterios'!$C$15),Aux!AL109,"")))))</f>
        <v/>
      </c>
      <c r="L109" s="6" t="str">
        <f>IF('03_Base_Indice'!$D109="","",IF('03_Base_Indice'!L109&lt;&gt;"",'03_Base_Indice'!L109,IF(AND(Aux!C109&lt;&gt;"",Aux!O109&lt;&gt;"",(N(Aux!O109)-N(Aux!C109)-1)&lt;='01_Criterios'!$C$13),Aux!AA109+(Aux!AM109-Aux!AA109)*(2-Aux!C109)/(Aux!O109-Aux!C109),IF(AND(Aux!C109&lt;&gt;"",(2-N(Aux!C109))&lt;='01_Criterios'!$C$14),Aux!AA109,IF(AND(Aux!O109&lt;&gt;"",(N(Aux!O109)-2)&lt;='01_Criterios'!$C$15),Aux!AM109,"")))))</f>
        <v/>
      </c>
      <c r="M109" s="6" t="str">
        <f>IF('03_Base_Indice'!$D109="","",IF('03_Base_Indice'!M109&lt;&gt;"",'03_Base_Indice'!M109,IF(AND(Aux!D109&lt;&gt;"",Aux!P109&lt;&gt;"",(N(Aux!P109)-N(Aux!D109)-1)&lt;='01_Criterios'!$C$13),Aux!AB109+(Aux!AN109-Aux!AB109)*(3-Aux!D109)/(Aux!P109-Aux!D109),IF(AND(Aux!D109&lt;&gt;"",(3-N(Aux!D109))&lt;='01_Criterios'!$C$14),Aux!AB109,IF(AND(Aux!P109&lt;&gt;"",(N(Aux!P109)-3)&lt;='01_Criterios'!$C$15),Aux!AN109,"")))))</f>
        <v/>
      </c>
      <c r="N109" s="6" t="str">
        <f>IF('03_Base_Indice'!$D109="","",IF('03_Base_Indice'!N109&lt;&gt;"",'03_Base_Indice'!N109,IF(AND(Aux!E109&lt;&gt;"",Aux!Q109&lt;&gt;"",(N(Aux!Q109)-N(Aux!E109)-1)&lt;='01_Criterios'!$C$13),Aux!AC109+(Aux!AO109-Aux!AC109)*(4-Aux!E109)/(Aux!Q109-Aux!E109),IF(AND(Aux!E109&lt;&gt;"",(4-N(Aux!E109))&lt;='01_Criterios'!$C$14),Aux!AC109,IF(AND(Aux!Q109&lt;&gt;"",(N(Aux!Q109)-4)&lt;='01_Criterios'!$C$15),Aux!AO109,"")))))</f>
        <v/>
      </c>
      <c r="O109" s="6" t="str">
        <f>IF('03_Base_Indice'!$D109="","",IF('03_Base_Indice'!O109&lt;&gt;"",'03_Base_Indice'!O109,IF(AND(Aux!F109&lt;&gt;"",Aux!R109&lt;&gt;"",(N(Aux!R109)-N(Aux!F109)-1)&lt;='01_Criterios'!$C$13),Aux!AD109+(Aux!AP109-Aux!AD109)*(5-Aux!F109)/(Aux!R109-Aux!F109),IF(AND(Aux!F109&lt;&gt;"",(5-N(Aux!F109))&lt;='01_Criterios'!$C$14),Aux!AD109,IF(AND(Aux!R109&lt;&gt;"",(N(Aux!R109)-5)&lt;='01_Criterios'!$C$15),Aux!AP109,"")))))</f>
        <v/>
      </c>
      <c r="P109" s="6" t="str">
        <f>IF('03_Base_Indice'!$D109="","",IF('03_Base_Indice'!P109&lt;&gt;"",'03_Base_Indice'!P109,IF(AND(Aux!G109&lt;&gt;"",Aux!S109&lt;&gt;"",(N(Aux!S109)-N(Aux!G109)-1)&lt;='01_Criterios'!$C$13),Aux!AE109+(Aux!AQ109-Aux!AE109)*(6-Aux!G109)/(Aux!S109-Aux!G109),IF(AND(Aux!G109&lt;&gt;"",(6-N(Aux!G109))&lt;='01_Criterios'!$C$14),Aux!AE109,IF(AND(Aux!S109&lt;&gt;"",(N(Aux!S109)-6)&lt;='01_Criterios'!$C$15),Aux!AQ109,"")))))</f>
        <v/>
      </c>
      <c r="Q109" s="6" t="str">
        <f>IF('03_Base_Indice'!$D109="","",IF('03_Base_Indice'!Q109&lt;&gt;"",'03_Base_Indice'!Q109,IF(AND(Aux!H109&lt;&gt;"",Aux!T109&lt;&gt;"",(N(Aux!T109)-N(Aux!H109)-1)&lt;='01_Criterios'!$C$13),Aux!AF109+(Aux!AR109-Aux!AF109)*(7-Aux!H109)/(Aux!T109-Aux!H109),IF(AND(Aux!H109&lt;&gt;"",(7-N(Aux!H109))&lt;='01_Criterios'!$C$14),Aux!AF109,IF(AND(Aux!T109&lt;&gt;"",(N(Aux!T109)-7)&lt;='01_Criterios'!$C$15),Aux!AR109,"")))))</f>
        <v/>
      </c>
      <c r="R109" s="6" t="str">
        <f>IF('03_Base_Indice'!$D109="","",IF('03_Base_Indice'!R109&lt;&gt;"",'03_Base_Indice'!R109,IF(AND(Aux!I109&lt;&gt;"",Aux!U109&lt;&gt;"",(N(Aux!U109)-N(Aux!I109)-1)&lt;='01_Criterios'!$C$13),Aux!AG109+(Aux!AS109-Aux!AG109)*(8-Aux!I109)/(Aux!U109-Aux!I109),IF(AND(Aux!I109&lt;&gt;"",(8-N(Aux!I109))&lt;='01_Criterios'!$C$14),Aux!AG109,IF(AND(Aux!U109&lt;&gt;"",(N(Aux!U109)-8)&lt;='01_Criterios'!$C$15),Aux!AS109,"")))))</f>
        <v/>
      </c>
      <c r="S109" s="6" t="str">
        <f>IF('03_Base_Indice'!$D109="","",IF('03_Base_Indice'!S109&lt;&gt;"",'03_Base_Indice'!S109,IF(AND(Aux!J109&lt;&gt;"",Aux!V109&lt;&gt;"",(N(Aux!V109)-N(Aux!J109)-1)&lt;='01_Criterios'!$C$13),Aux!AH109+(Aux!AT109-Aux!AH109)*(9-Aux!J109)/(Aux!V109-Aux!J109),IF(AND(Aux!J109&lt;&gt;"",(9-N(Aux!J109))&lt;='01_Criterios'!$C$14),Aux!AH109,IF(AND(Aux!V109&lt;&gt;"",(N(Aux!V109)-9)&lt;='01_Criterios'!$C$15),Aux!AT109,"")))))</f>
        <v/>
      </c>
      <c r="T109" s="6" t="str">
        <f>IF('03_Base_Indice'!$D109="","",IF('03_Base_Indice'!T109&lt;&gt;"",'03_Base_Indice'!T109,IF(AND(Aux!K109&lt;&gt;"",Aux!W109&lt;&gt;"",(N(Aux!W109)-N(Aux!K109)-1)&lt;='01_Criterios'!$C$13),Aux!AI109+(Aux!AU109-Aux!AI109)*(10-Aux!K109)/(Aux!W109-Aux!K109),IF(AND(Aux!K109&lt;&gt;"",(10-N(Aux!K109))&lt;='01_Criterios'!$C$14),Aux!AI109,IF(AND(Aux!W109&lt;&gt;"",(N(Aux!W109)-10)&lt;='01_Criterios'!$C$15),Aux!AU109,"")))))</f>
        <v/>
      </c>
      <c r="U109" s="6" t="str">
        <f>IF('03_Base_Indice'!$D109="","",IF('03_Base_Indice'!U109&lt;&gt;"",'03_Base_Indice'!U109,IF(AND(Aux!L109&lt;&gt;"",Aux!X109&lt;&gt;"",(N(Aux!X109)-N(Aux!L109)-1)&lt;='01_Criterios'!$C$13),Aux!AJ109+(Aux!AV109-Aux!AJ109)*(11-Aux!L109)/(Aux!X109-Aux!L109),IF(AND(Aux!L109&lt;&gt;"",(11-N(Aux!L109))&lt;='01_Criterios'!$C$14),Aux!AJ109,IF(AND(Aux!X109&lt;&gt;"",(N(Aux!X109)-11)&lt;='01_Criterios'!$C$15),Aux!AV109,"")))))</f>
        <v/>
      </c>
    </row>
    <row r="110" spans="1:21">
      <c r="A110" s="6" t="str">
        <f>IF('03_Base_Indice'!$A110="","",'03_Base_Indice'!$A110)</f>
        <v>11. Transformação Digital e Inovação</v>
      </c>
      <c r="B110" s="6">
        <f>'03_Base_Indice'!$B110</f>
        <v>6</v>
      </c>
      <c r="D110" s="6" t="str">
        <f>IF('03_Base_Indice'!$D110="","",'03_Base_Indice'!$D110)</f>
        <v/>
      </c>
      <c r="E110" s="6" t="str">
        <f>IF('03_Base_Indice'!$E110="","",'03_Base_Indice'!$E110)</f>
        <v/>
      </c>
      <c r="K110" s="6" t="str">
        <f>IF('03_Base_Indice'!$D110="","",IF('03_Base_Indice'!K110&lt;&gt;"",'03_Base_Indice'!K110,IF(AND(Aux!B110&lt;&gt;"",Aux!N110&lt;&gt;"",(N(Aux!N110)-N(Aux!B110)-1)&lt;='01_Criterios'!$C$13),Aux!Z110+(Aux!AL110-Aux!Z110)*(1-Aux!B110)/(Aux!N110-Aux!B110),IF(AND(Aux!B110&lt;&gt;"",(1-N(Aux!B110))&lt;='01_Criterios'!$C$14),Aux!Z110,IF(AND(Aux!N110&lt;&gt;"",(N(Aux!N110)-1)&lt;='01_Criterios'!$C$15),Aux!AL110,"")))))</f>
        <v/>
      </c>
      <c r="L110" s="6" t="str">
        <f>IF('03_Base_Indice'!$D110="","",IF('03_Base_Indice'!L110&lt;&gt;"",'03_Base_Indice'!L110,IF(AND(Aux!C110&lt;&gt;"",Aux!O110&lt;&gt;"",(N(Aux!O110)-N(Aux!C110)-1)&lt;='01_Criterios'!$C$13),Aux!AA110+(Aux!AM110-Aux!AA110)*(2-Aux!C110)/(Aux!O110-Aux!C110),IF(AND(Aux!C110&lt;&gt;"",(2-N(Aux!C110))&lt;='01_Criterios'!$C$14),Aux!AA110,IF(AND(Aux!O110&lt;&gt;"",(N(Aux!O110)-2)&lt;='01_Criterios'!$C$15),Aux!AM110,"")))))</f>
        <v/>
      </c>
      <c r="M110" s="6" t="str">
        <f>IF('03_Base_Indice'!$D110="","",IF('03_Base_Indice'!M110&lt;&gt;"",'03_Base_Indice'!M110,IF(AND(Aux!D110&lt;&gt;"",Aux!P110&lt;&gt;"",(N(Aux!P110)-N(Aux!D110)-1)&lt;='01_Criterios'!$C$13),Aux!AB110+(Aux!AN110-Aux!AB110)*(3-Aux!D110)/(Aux!P110-Aux!D110),IF(AND(Aux!D110&lt;&gt;"",(3-N(Aux!D110))&lt;='01_Criterios'!$C$14),Aux!AB110,IF(AND(Aux!P110&lt;&gt;"",(N(Aux!P110)-3)&lt;='01_Criterios'!$C$15),Aux!AN110,"")))))</f>
        <v/>
      </c>
      <c r="N110" s="6" t="str">
        <f>IF('03_Base_Indice'!$D110="","",IF('03_Base_Indice'!N110&lt;&gt;"",'03_Base_Indice'!N110,IF(AND(Aux!E110&lt;&gt;"",Aux!Q110&lt;&gt;"",(N(Aux!Q110)-N(Aux!E110)-1)&lt;='01_Criterios'!$C$13),Aux!AC110+(Aux!AO110-Aux!AC110)*(4-Aux!E110)/(Aux!Q110-Aux!E110),IF(AND(Aux!E110&lt;&gt;"",(4-N(Aux!E110))&lt;='01_Criterios'!$C$14),Aux!AC110,IF(AND(Aux!Q110&lt;&gt;"",(N(Aux!Q110)-4)&lt;='01_Criterios'!$C$15),Aux!AO110,"")))))</f>
        <v/>
      </c>
      <c r="O110" s="6" t="str">
        <f>IF('03_Base_Indice'!$D110="","",IF('03_Base_Indice'!O110&lt;&gt;"",'03_Base_Indice'!O110,IF(AND(Aux!F110&lt;&gt;"",Aux!R110&lt;&gt;"",(N(Aux!R110)-N(Aux!F110)-1)&lt;='01_Criterios'!$C$13),Aux!AD110+(Aux!AP110-Aux!AD110)*(5-Aux!F110)/(Aux!R110-Aux!F110),IF(AND(Aux!F110&lt;&gt;"",(5-N(Aux!F110))&lt;='01_Criterios'!$C$14),Aux!AD110,IF(AND(Aux!R110&lt;&gt;"",(N(Aux!R110)-5)&lt;='01_Criterios'!$C$15),Aux!AP110,"")))))</f>
        <v/>
      </c>
      <c r="P110" s="6" t="str">
        <f>IF('03_Base_Indice'!$D110="","",IF('03_Base_Indice'!P110&lt;&gt;"",'03_Base_Indice'!P110,IF(AND(Aux!G110&lt;&gt;"",Aux!S110&lt;&gt;"",(N(Aux!S110)-N(Aux!G110)-1)&lt;='01_Criterios'!$C$13),Aux!AE110+(Aux!AQ110-Aux!AE110)*(6-Aux!G110)/(Aux!S110-Aux!G110),IF(AND(Aux!G110&lt;&gt;"",(6-N(Aux!G110))&lt;='01_Criterios'!$C$14),Aux!AE110,IF(AND(Aux!S110&lt;&gt;"",(N(Aux!S110)-6)&lt;='01_Criterios'!$C$15),Aux!AQ110,"")))))</f>
        <v/>
      </c>
      <c r="Q110" s="6" t="str">
        <f>IF('03_Base_Indice'!$D110="","",IF('03_Base_Indice'!Q110&lt;&gt;"",'03_Base_Indice'!Q110,IF(AND(Aux!H110&lt;&gt;"",Aux!T110&lt;&gt;"",(N(Aux!T110)-N(Aux!H110)-1)&lt;='01_Criterios'!$C$13),Aux!AF110+(Aux!AR110-Aux!AF110)*(7-Aux!H110)/(Aux!T110-Aux!H110),IF(AND(Aux!H110&lt;&gt;"",(7-N(Aux!H110))&lt;='01_Criterios'!$C$14),Aux!AF110,IF(AND(Aux!T110&lt;&gt;"",(N(Aux!T110)-7)&lt;='01_Criterios'!$C$15),Aux!AR110,"")))))</f>
        <v/>
      </c>
      <c r="R110" s="6" t="str">
        <f>IF('03_Base_Indice'!$D110="","",IF('03_Base_Indice'!R110&lt;&gt;"",'03_Base_Indice'!R110,IF(AND(Aux!I110&lt;&gt;"",Aux!U110&lt;&gt;"",(N(Aux!U110)-N(Aux!I110)-1)&lt;='01_Criterios'!$C$13),Aux!AG110+(Aux!AS110-Aux!AG110)*(8-Aux!I110)/(Aux!U110-Aux!I110),IF(AND(Aux!I110&lt;&gt;"",(8-N(Aux!I110))&lt;='01_Criterios'!$C$14),Aux!AG110,IF(AND(Aux!U110&lt;&gt;"",(N(Aux!U110)-8)&lt;='01_Criterios'!$C$15),Aux!AS110,"")))))</f>
        <v/>
      </c>
      <c r="S110" s="6" t="str">
        <f>IF('03_Base_Indice'!$D110="","",IF('03_Base_Indice'!S110&lt;&gt;"",'03_Base_Indice'!S110,IF(AND(Aux!J110&lt;&gt;"",Aux!V110&lt;&gt;"",(N(Aux!V110)-N(Aux!J110)-1)&lt;='01_Criterios'!$C$13),Aux!AH110+(Aux!AT110-Aux!AH110)*(9-Aux!J110)/(Aux!V110-Aux!J110),IF(AND(Aux!J110&lt;&gt;"",(9-N(Aux!J110))&lt;='01_Criterios'!$C$14),Aux!AH110,IF(AND(Aux!V110&lt;&gt;"",(N(Aux!V110)-9)&lt;='01_Criterios'!$C$15),Aux!AT110,"")))))</f>
        <v/>
      </c>
      <c r="T110" s="6" t="str">
        <f>IF('03_Base_Indice'!$D110="","",IF('03_Base_Indice'!T110&lt;&gt;"",'03_Base_Indice'!T110,IF(AND(Aux!K110&lt;&gt;"",Aux!W110&lt;&gt;"",(N(Aux!W110)-N(Aux!K110)-1)&lt;='01_Criterios'!$C$13),Aux!AI110+(Aux!AU110-Aux!AI110)*(10-Aux!K110)/(Aux!W110-Aux!K110),IF(AND(Aux!K110&lt;&gt;"",(10-N(Aux!K110))&lt;='01_Criterios'!$C$14),Aux!AI110,IF(AND(Aux!W110&lt;&gt;"",(N(Aux!W110)-10)&lt;='01_Criterios'!$C$15),Aux!AU110,"")))))</f>
        <v/>
      </c>
      <c r="U110" s="6" t="str">
        <f>IF('03_Base_Indice'!$D110="","",IF('03_Base_Indice'!U110&lt;&gt;"",'03_Base_Indice'!U110,IF(AND(Aux!L110&lt;&gt;"",Aux!X110&lt;&gt;"",(N(Aux!X110)-N(Aux!L110)-1)&lt;='01_Criterios'!$C$13),Aux!AJ110+(Aux!AV110-Aux!AJ110)*(11-Aux!L110)/(Aux!X110-Aux!L110),IF(AND(Aux!L110&lt;&gt;"",(11-N(Aux!L110))&lt;='01_Criterios'!$C$14),Aux!AJ110,IF(AND(Aux!X110&lt;&gt;"",(N(Aux!X110)-11)&lt;='01_Criterios'!$C$15),Aux!AV110,"")))))</f>
        <v/>
      </c>
    </row>
    <row r="111" spans="1:21">
      <c r="A111" s="6" t="str">
        <f>IF('03_Base_Indice'!$A111="","",'03_Base_Indice'!$A111)</f>
        <v>11. Transformação Digital e Inovação</v>
      </c>
      <c r="B111" s="6">
        <f>'03_Base_Indice'!$B111</f>
        <v>7</v>
      </c>
      <c r="D111" s="6" t="str">
        <f>IF('03_Base_Indice'!$D111="","",'03_Base_Indice'!$D111)</f>
        <v/>
      </c>
      <c r="E111" s="6" t="str">
        <f>IF('03_Base_Indice'!$E111="","",'03_Base_Indice'!$E111)</f>
        <v/>
      </c>
      <c r="K111" s="6" t="str">
        <f>IF('03_Base_Indice'!$D111="","",IF('03_Base_Indice'!K111&lt;&gt;"",'03_Base_Indice'!K111,IF(AND(Aux!B111&lt;&gt;"",Aux!N111&lt;&gt;"",(N(Aux!N111)-N(Aux!B111)-1)&lt;='01_Criterios'!$C$13),Aux!Z111+(Aux!AL111-Aux!Z111)*(1-Aux!B111)/(Aux!N111-Aux!B111),IF(AND(Aux!B111&lt;&gt;"",(1-N(Aux!B111))&lt;='01_Criterios'!$C$14),Aux!Z111,IF(AND(Aux!N111&lt;&gt;"",(N(Aux!N111)-1)&lt;='01_Criterios'!$C$15),Aux!AL111,"")))))</f>
        <v/>
      </c>
      <c r="L111" s="6" t="str">
        <f>IF('03_Base_Indice'!$D111="","",IF('03_Base_Indice'!L111&lt;&gt;"",'03_Base_Indice'!L111,IF(AND(Aux!C111&lt;&gt;"",Aux!O111&lt;&gt;"",(N(Aux!O111)-N(Aux!C111)-1)&lt;='01_Criterios'!$C$13),Aux!AA111+(Aux!AM111-Aux!AA111)*(2-Aux!C111)/(Aux!O111-Aux!C111),IF(AND(Aux!C111&lt;&gt;"",(2-N(Aux!C111))&lt;='01_Criterios'!$C$14),Aux!AA111,IF(AND(Aux!O111&lt;&gt;"",(N(Aux!O111)-2)&lt;='01_Criterios'!$C$15),Aux!AM111,"")))))</f>
        <v/>
      </c>
      <c r="M111" s="6" t="str">
        <f>IF('03_Base_Indice'!$D111="","",IF('03_Base_Indice'!M111&lt;&gt;"",'03_Base_Indice'!M111,IF(AND(Aux!D111&lt;&gt;"",Aux!P111&lt;&gt;"",(N(Aux!P111)-N(Aux!D111)-1)&lt;='01_Criterios'!$C$13),Aux!AB111+(Aux!AN111-Aux!AB111)*(3-Aux!D111)/(Aux!P111-Aux!D111),IF(AND(Aux!D111&lt;&gt;"",(3-N(Aux!D111))&lt;='01_Criterios'!$C$14),Aux!AB111,IF(AND(Aux!P111&lt;&gt;"",(N(Aux!P111)-3)&lt;='01_Criterios'!$C$15),Aux!AN111,"")))))</f>
        <v/>
      </c>
      <c r="N111" s="6" t="str">
        <f>IF('03_Base_Indice'!$D111="","",IF('03_Base_Indice'!N111&lt;&gt;"",'03_Base_Indice'!N111,IF(AND(Aux!E111&lt;&gt;"",Aux!Q111&lt;&gt;"",(N(Aux!Q111)-N(Aux!E111)-1)&lt;='01_Criterios'!$C$13),Aux!AC111+(Aux!AO111-Aux!AC111)*(4-Aux!E111)/(Aux!Q111-Aux!E111),IF(AND(Aux!E111&lt;&gt;"",(4-N(Aux!E111))&lt;='01_Criterios'!$C$14),Aux!AC111,IF(AND(Aux!Q111&lt;&gt;"",(N(Aux!Q111)-4)&lt;='01_Criterios'!$C$15),Aux!AO111,"")))))</f>
        <v/>
      </c>
      <c r="O111" s="6" t="str">
        <f>IF('03_Base_Indice'!$D111="","",IF('03_Base_Indice'!O111&lt;&gt;"",'03_Base_Indice'!O111,IF(AND(Aux!F111&lt;&gt;"",Aux!R111&lt;&gt;"",(N(Aux!R111)-N(Aux!F111)-1)&lt;='01_Criterios'!$C$13),Aux!AD111+(Aux!AP111-Aux!AD111)*(5-Aux!F111)/(Aux!R111-Aux!F111),IF(AND(Aux!F111&lt;&gt;"",(5-N(Aux!F111))&lt;='01_Criterios'!$C$14),Aux!AD111,IF(AND(Aux!R111&lt;&gt;"",(N(Aux!R111)-5)&lt;='01_Criterios'!$C$15),Aux!AP111,"")))))</f>
        <v/>
      </c>
      <c r="P111" s="6" t="str">
        <f>IF('03_Base_Indice'!$D111="","",IF('03_Base_Indice'!P111&lt;&gt;"",'03_Base_Indice'!P111,IF(AND(Aux!G111&lt;&gt;"",Aux!S111&lt;&gt;"",(N(Aux!S111)-N(Aux!G111)-1)&lt;='01_Criterios'!$C$13),Aux!AE111+(Aux!AQ111-Aux!AE111)*(6-Aux!G111)/(Aux!S111-Aux!G111),IF(AND(Aux!G111&lt;&gt;"",(6-N(Aux!G111))&lt;='01_Criterios'!$C$14),Aux!AE111,IF(AND(Aux!S111&lt;&gt;"",(N(Aux!S111)-6)&lt;='01_Criterios'!$C$15),Aux!AQ111,"")))))</f>
        <v/>
      </c>
      <c r="Q111" s="6" t="str">
        <f>IF('03_Base_Indice'!$D111="","",IF('03_Base_Indice'!Q111&lt;&gt;"",'03_Base_Indice'!Q111,IF(AND(Aux!H111&lt;&gt;"",Aux!T111&lt;&gt;"",(N(Aux!T111)-N(Aux!H111)-1)&lt;='01_Criterios'!$C$13),Aux!AF111+(Aux!AR111-Aux!AF111)*(7-Aux!H111)/(Aux!T111-Aux!H111),IF(AND(Aux!H111&lt;&gt;"",(7-N(Aux!H111))&lt;='01_Criterios'!$C$14),Aux!AF111,IF(AND(Aux!T111&lt;&gt;"",(N(Aux!T111)-7)&lt;='01_Criterios'!$C$15),Aux!AR111,"")))))</f>
        <v/>
      </c>
      <c r="R111" s="6" t="str">
        <f>IF('03_Base_Indice'!$D111="","",IF('03_Base_Indice'!R111&lt;&gt;"",'03_Base_Indice'!R111,IF(AND(Aux!I111&lt;&gt;"",Aux!U111&lt;&gt;"",(N(Aux!U111)-N(Aux!I111)-1)&lt;='01_Criterios'!$C$13),Aux!AG111+(Aux!AS111-Aux!AG111)*(8-Aux!I111)/(Aux!U111-Aux!I111),IF(AND(Aux!I111&lt;&gt;"",(8-N(Aux!I111))&lt;='01_Criterios'!$C$14),Aux!AG111,IF(AND(Aux!U111&lt;&gt;"",(N(Aux!U111)-8)&lt;='01_Criterios'!$C$15),Aux!AS111,"")))))</f>
        <v/>
      </c>
      <c r="S111" s="6" t="str">
        <f>IF('03_Base_Indice'!$D111="","",IF('03_Base_Indice'!S111&lt;&gt;"",'03_Base_Indice'!S111,IF(AND(Aux!J111&lt;&gt;"",Aux!V111&lt;&gt;"",(N(Aux!V111)-N(Aux!J111)-1)&lt;='01_Criterios'!$C$13),Aux!AH111+(Aux!AT111-Aux!AH111)*(9-Aux!J111)/(Aux!V111-Aux!J111),IF(AND(Aux!J111&lt;&gt;"",(9-N(Aux!J111))&lt;='01_Criterios'!$C$14),Aux!AH111,IF(AND(Aux!V111&lt;&gt;"",(N(Aux!V111)-9)&lt;='01_Criterios'!$C$15),Aux!AT111,"")))))</f>
        <v/>
      </c>
      <c r="T111" s="6" t="str">
        <f>IF('03_Base_Indice'!$D111="","",IF('03_Base_Indice'!T111&lt;&gt;"",'03_Base_Indice'!T111,IF(AND(Aux!K111&lt;&gt;"",Aux!W111&lt;&gt;"",(N(Aux!W111)-N(Aux!K111)-1)&lt;='01_Criterios'!$C$13),Aux!AI111+(Aux!AU111-Aux!AI111)*(10-Aux!K111)/(Aux!W111-Aux!K111),IF(AND(Aux!K111&lt;&gt;"",(10-N(Aux!K111))&lt;='01_Criterios'!$C$14),Aux!AI111,IF(AND(Aux!W111&lt;&gt;"",(N(Aux!W111)-10)&lt;='01_Criterios'!$C$15),Aux!AU111,"")))))</f>
        <v/>
      </c>
      <c r="U111" s="6" t="str">
        <f>IF('03_Base_Indice'!$D111="","",IF('03_Base_Indice'!U111&lt;&gt;"",'03_Base_Indice'!U111,IF(AND(Aux!L111&lt;&gt;"",Aux!X111&lt;&gt;"",(N(Aux!X111)-N(Aux!L111)-1)&lt;='01_Criterios'!$C$13),Aux!AJ111+(Aux!AV111-Aux!AJ111)*(11-Aux!L111)/(Aux!X111-Aux!L111),IF(AND(Aux!L111&lt;&gt;"",(11-N(Aux!L111))&lt;='01_Criterios'!$C$14),Aux!AJ111,IF(AND(Aux!X111&lt;&gt;"",(N(Aux!X111)-11)&lt;='01_Criterios'!$C$15),Aux!AV111,"")))))</f>
        <v/>
      </c>
    </row>
    <row r="112" spans="1:21">
      <c r="A112" s="6" t="str">
        <f>IF('03_Base_Indice'!$A112="","",'03_Base_Indice'!$A112)</f>
        <v>11. Transformação Digital e Inovação</v>
      </c>
      <c r="B112" s="6">
        <f>'03_Base_Indice'!$B112</f>
        <v>8</v>
      </c>
      <c r="D112" s="6" t="str">
        <f>IF('03_Base_Indice'!$D112="","",'03_Base_Indice'!$D112)</f>
        <v/>
      </c>
      <c r="E112" s="6" t="str">
        <f>IF('03_Base_Indice'!$E112="","",'03_Base_Indice'!$E112)</f>
        <v/>
      </c>
      <c r="K112" s="6" t="str">
        <f>IF('03_Base_Indice'!$D112="","",IF('03_Base_Indice'!K112&lt;&gt;"",'03_Base_Indice'!K112,IF(AND(Aux!B112&lt;&gt;"",Aux!N112&lt;&gt;"",(N(Aux!N112)-N(Aux!B112)-1)&lt;='01_Criterios'!$C$13),Aux!Z112+(Aux!AL112-Aux!Z112)*(1-Aux!B112)/(Aux!N112-Aux!B112),IF(AND(Aux!B112&lt;&gt;"",(1-N(Aux!B112))&lt;='01_Criterios'!$C$14),Aux!Z112,IF(AND(Aux!N112&lt;&gt;"",(N(Aux!N112)-1)&lt;='01_Criterios'!$C$15),Aux!AL112,"")))))</f>
        <v/>
      </c>
      <c r="L112" s="6" t="str">
        <f>IF('03_Base_Indice'!$D112="","",IF('03_Base_Indice'!L112&lt;&gt;"",'03_Base_Indice'!L112,IF(AND(Aux!C112&lt;&gt;"",Aux!O112&lt;&gt;"",(N(Aux!O112)-N(Aux!C112)-1)&lt;='01_Criterios'!$C$13),Aux!AA112+(Aux!AM112-Aux!AA112)*(2-Aux!C112)/(Aux!O112-Aux!C112),IF(AND(Aux!C112&lt;&gt;"",(2-N(Aux!C112))&lt;='01_Criterios'!$C$14),Aux!AA112,IF(AND(Aux!O112&lt;&gt;"",(N(Aux!O112)-2)&lt;='01_Criterios'!$C$15),Aux!AM112,"")))))</f>
        <v/>
      </c>
      <c r="M112" s="6" t="str">
        <f>IF('03_Base_Indice'!$D112="","",IF('03_Base_Indice'!M112&lt;&gt;"",'03_Base_Indice'!M112,IF(AND(Aux!D112&lt;&gt;"",Aux!P112&lt;&gt;"",(N(Aux!P112)-N(Aux!D112)-1)&lt;='01_Criterios'!$C$13),Aux!AB112+(Aux!AN112-Aux!AB112)*(3-Aux!D112)/(Aux!P112-Aux!D112),IF(AND(Aux!D112&lt;&gt;"",(3-N(Aux!D112))&lt;='01_Criterios'!$C$14),Aux!AB112,IF(AND(Aux!P112&lt;&gt;"",(N(Aux!P112)-3)&lt;='01_Criterios'!$C$15),Aux!AN112,"")))))</f>
        <v/>
      </c>
      <c r="N112" s="6" t="str">
        <f>IF('03_Base_Indice'!$D112="","",IF('03_Base_Indice'!N112&lt;&gt;"",'03_Base_Indice'!N112,IF(AND(Aux!E112&lt;&gt;"",Aux!Q112&lt;&gt;"",(N(Aux!Q112)-N(Aux!E112)-1)&lt;='01_Criterios'!$C$13),Aux!AC112+(Aux!AO112-Aux!AC112)*(4-Aux!E112)/(Aux!Q112-Aux!E112),IF(AND(Aux!E112&lt;&gt;"",(4-N(Aux!E112))&lt;='01_Criterios'!$C$14),Aux!AC112,IF(AND(Aux!Q112&lt;&gt;"",(N(Aux!Q112)-4)&lt;='01_Criterios'!$C$15),Aux!AO112,"")))))</f>
        <v/>
      </c>
      <c r="O112" s="6" t="str">
        <f>IF('03_Base_Indice'!$D112="","",IF('03_Base_Indice'!O112&lt;&gt;"",'03_Base_Indice'!O112,IF(AND(Aux!F112&lt;&gt;"",Aux!R112&lt;&gt;"",(N(Aux!R112)-N(Aux!F112)-1)&lt;='01_Criterios'!$C$13),Aux!AD112+(Aux!AP112-Aux!AD112)*(5-Aux!F112)/(Aux!R112-Aux!F112),IF(AND(Aux!F112&lt;&gt;"",(5-N(Aux!F112))&lt;='01_Criterios'!$C$14),Aux!AD112,IF(AND(Aux!R112&lt;&gt;"",(N(Aux!R112)-5)&lt;='01_Criterios'!$C$15),Aux!AP112,"")))))</f>
        <v/>
      </c>
      <c r="P112" s="6" t="str">
        <f>IF('03_Base_Indice'!$D112="","",IF('03_Base_Indice'!P112&lt;&gt;"",'03_Base_Indice'!P112,IF(AND(Aux!G112&lt;&gt;"",Aux!S112&lt;&gt;"",(N(Aux!S112)-N(Aux!G112)-1)&lt;='01_Criterios'!$C$13),Aux!AE112+(Aux!AQ112-Aux!AE112)*(6-Aux!G112)/(Aux!S112-Aux!G112),IF(AND(Aux!G112&lt;&gt;"",(6-N(Aux!G112))&lt;='01_Criterios'!$C$14),Aux!AE112,IF(AND(Aux!S112&lt;&gt;"",(N(Aux!S112)-6)&lt;='01_Criterios'!$C$15),Aux!AQ112,"")))))</f>
        <v/>
      </c>
      <c r="Q112" s="6" t="str">
        <f>IF('03_Base_Indice'!$D112="","",IF('03_Base_Indice'!Q112&lt;&gt;"",'03_Base_Indice'!Q112,IF(AND(Aux!H112&lt;&gt;"",Aux!T112&lt;&gt;"",(N(Aux!T112)-N(Aux!H112)-1)&lt;='01_Criterios'!$C$13),Aux!AF112+(Aux!AR112-Aux!AF112)*(7-Aux!H112)/(Aux!T112-Aux!H112),IF(AND(Aux!H112&lt;&gt;"",(7-N(Aux!H112))&lt;='01_Criterios'!$C$14),Aux!AF112,IF(AND(Aux!T112&lt;&gt;"",(N(Aux!T112)-7)&lt;='01_Criterios'!$C$15),Aux!AR112,"")))))</f>
        <v/>
      </c>
      <c r="R112" s="6" t="str">
        <f>IF('03_Base_Indice'!$D112="","",IF('03_Base_Indice'!R112&lt;&gt;"",'03_Base_Indice'!R112,IF(AND(Aux!I112&lt;&gt;"",Aux!U112&lt;&gt;"",(N(Aux!U112)-N(Aux!I112)-1)&lt;='01_Criterios'!$C$13),Aux!AG112+(Aux!AS112-Aux!AG112)*(8-Aux!I112)/(Aux!U112-Aux!I112),IF(AND(Aux!I112&lt;&gt;"",(8-N(Aux!I112))&lt;='01_Criterios'!$C$14),Aux!AG112,IF(AND(Aux!U112&lt;&gt;"",(N(Aux!U112)-8)&lt;='01_Criterios'!$C$15),Aux!AS112,"")))))</f>
        <v/>
      </c>
      <c r="S112" s="6" t="str">
        <f>IF('03_Base_Indice'!$D112="","",IF('03_Base_Indice'!S112&lt;&gt;"",'03_Base_Indice'!S112,IF(AND(Aux!J112&lt;&gt;"",Aux!V112&lt;&gt;"",(N(Aux!V112)-N(Aux!J112)-1)&lt;='01_Criterios'!$C$13),Aux!AH112+(Aux!AT112-Aux!AH112)*(9-Aux!J112)/(Aux!V112-Aux!J112),IF(AND(Aux!J112&lt;&gt;"",(9-N(Aux!J112))&lt;='01_Criterios'!$C$14),Aux!AH112,IF(AND(Aux!V112&lt;&gt;"",(N(Aux!V112)-9)&lt;='01_Criterios'!$C$15),Aux!AT112,"")))))</f>
        <v/>
      </c>
      <c r="T112" s="6" t="str">
        <f>IF('03_Base_Indice'!$D112="","",IF('03_Base_Indice'!T112&lt;&gt;"",'03_Base_Indice'!T112,IF(AND(Aux!K112&lt;&gt;"",Aux!W112&lt;&gt;"",(N(Aux!W112)-N(Aux!K112)-1)&lt;='01_Criterios'!$C$13),Aux!AI112+(Aux!AU112-Aux!AI112)*(10-Aux!K112)/(Aux!W112-Aux!K112),IF(AND(Aux!K112&lt;&gt;"",(10-N(Aux!K112))&lt;='01_Criterios'!$C$14),Aux!AI112,IF(AND(Aux!W112&lt;&gt;"",(N(Aux!W112)-10)&lt;='01_Criterios'!$C$15),Aux!AU112,"")))))</f>
        <v/>
      </c>
      <c r="U112" s="6" t="str">
        <f>IF('03_Base_Indice'!$D112="","",IF('03_Base_Indice'!U112&lt;&gt;"",'03_Base_Indice'!U112,IF(AND(Aux!L112&lt;&gt;"",Aux!X112&lt;&gt;"",(N(Aux!X112)-N(Aux!L112)-1)&lt;='01_Criterios'!$C$13),Aux!AJ112+(Aux!AV112-Aux!AJ112)*(11-Aux!L112)/(Aux!X112-Aux!L112),IF(AND(Aux!L112&lt;&gt;"",(11-N(Aux!L112))&lt;='01_Criterios'!$C$14),Aux!AJ112,IF(AND(Aux!X112&lt;&gt;"",(N(Aux!X112)-11)&lt;='01_Criterios'!$C$15),Aux!AV112,"")))))</f>
        <v/>
      </c>
    </row>
    <row r="113" spans="1:21">
      <c r="A113" s="6" t="str">
        <f>IF('03_Base_Indice'!$A113="","",'03_Base_Indice'!$A113)</f>
        <v>11. Transformação Digital e Inovação</v>
      </c>
      <c r="B113" s="6">
        <f>'03_Base_Indice'!$B113</f>
        <v>9</v>
      </c>
      <c r="D113" s="6" t="str">
        <f>IF('03_Base_Indice'!$D113="","",'03_Base_Indice'!$D113)</f>
        <v/>
      </c>
      <c r="E113" s="6" t="str">
        <f>IF('03_Base_Indice'!$E113="","",'03_Base_Indice'!$E113)</f>
        <v/>
      </c>
      <c r="K113" s="6" t="str">
        <f>IF('03_Base_Indice'!$D113="","",IF('03_Base_Indice'!K113&lt;&gt;"",'03_Base_Indice'!K113,IF(AND(Aux!B113&lt;&gt;"",Aux!N113&lt;&gt;"",(N(Aux!N113)-N(Aux!B113)-1)&lt;='01_Criterios'!$C$13),Aux!Z113+(Aux!AL113-Aux!Z113)*(1-Aux!B113)/(Aux!N113-Aux!B113),IF(AND(Aux!B113&lt;&gt;"",(1-N(Aux!B113))&lt;='01_Criterios'!$C$14),Aux!Z113,IF(AND(Aux!N113&lt;&gt;"",(N(Aux!N113)-1)&lt;='01_Criterios'!$C$15),Aux!AL113,"")))))</f>
        <v/>
      </c>
      <c r="L113" s="6" t="str">
        <f>IF('03_Base_Indice'!$D113="","",IF('03_Base_Indice'!L113&lt;&gt;"",'03_Base_Indice'!L113,IF(AND(Aux!C113&lt;&gt;"",Aux!O113&lt;&gt;"",(N(Aux!O113)-N(Aux!C113)-1)&lt;='01_Criterios'!$C$13),Aux!AA113+(Aux!AM113-Aux!AA113)*(2-Aux!C113)/(Aux!O113-Aux!C113),IF(AND(Aux!C113&lt;&gt;"",(2-N(Aux!C113))&lt;='01_Criterios'!$C$14),Aux!AA113,IF(AND(Aux!O113&lt;&gt;"",(N(Aux!O113)-2)&lt;='01_Criterios'!$C$15),Aux!AM113,"")))))</f>
        <v/>
      </c>
      <c r="M113" s="6" t="str">
        <f>IF('03_Base_Indice'!$D113="","",IF('03_Base_Indice'!M113&lt;&gt;"",'03_Base_Indice'!M113,IF(AND(Aux!D113&lt;&gt;"",Aux!P113&lt;&gt;"",(N(Aux!P113)-N(Aux!D113)-1)&lt;='01_Criterios'!$C$13),Aux!AB113+(Aux!AN113-Aux!AB113)*(3-Aux!D113)/(Aux!P113-Aux!D113),IF(AND(Aux!D113&lt;&gt;"",(3-N(Aux!D113))&lt;='01_Criterios'!$C$14),Aux!AB113,IF(AND(Aux!P113&lt;&gt;"",(N(Aux!P113)-3)&lt;='01_Criterios'!$C$15),Aux!AN113,"")))))</f>
        <v/>
      </c>
      <c r="N113" s="6" t="str">
        <f>IF('03_Base_Indice'!$D113="","",IF('03_Base_Indice'!N113&lt;&gt;"",'03_Base_Indice'!N113,IF(AND(Aux!E113&lt;&gt;"",Aux!Q113&lt;&gt;"",(N(Aux!Q113)-N(Aux!E113)-1)&lt;='01_Criterios'!$C$13),Aux!AC113+(Aux!AO113-Aux!AC113)*(4-Aux!E113)/(Aux!Q113-Aux!E113),IF(AND(Aux!E113&lt;&gt;"",(4-N(Aux!E113))&lt;='01_Criterios'!$C$14),Aux!AC113,IF(AND(Aux!Q113&lt;&gt;"",(N(Aux!Q113)-4)&lt;='01_Criterios'!$C$15),Aux!AO113,"")))))</f>
        <v/>
      </c>
      <c r="O113" s="6" t="str">
        <f>IF('03_Base_Indice'!$D113="","",IF('03_Base_Indice'!O113&lt;&gt;"",'03_Base_Indice'!O113,IF(AND(Aux!F113&lt;&gt;"",Aux!R113&lt;&gt;"",(N(Aux!R113)-N(Aux!F113)-1)&lt;='01_Criterios'!$C$13),Aux!AD113+(Aux!AP113-Aux!AD113)*(5-Aux!F113)/(Aux!R113-Aux!F113),IF(AND(Aux!F113&lt;&gt;"",(5-N(Aux!F113))&lt;='01_Criterios'!$C$14),Aux!AD113,IF(AND(Aux!R113&lt;&gt;"",(N(Aux!R113)-5)&lt;='01_Criterios'!$C$15),Aux!AP113,"")))))</f>
        <v/>
      </c>
      <c r="P113" s="6" t="str">
        <f>IF('03_Base_Indice'!$D113="","",IF('03_Base_Indice'!P113&lt;&gt;"",'03_Base_Indice'!P113,IF(AND(Aux!G113&lt;&gt;"",Aux!S113&lt;&gt;"",(N(Aux!S113)-N(Aux!G113)-1)&lt;='01_Criterios'!$C$13),Aux!AE113+(Aux!AQ113-Aux!AE113)*(6-Aux!G113)/(Aux!S113-Aux!G113),IF(AND(Aux!G113&lt;&gt;"",(6-N(Aux!G113))&lt;='01_Criterios'!$C$14),Aux!AE113,IF(AND(Aux!S113&lt;&gt;"",(N(Aux!S113)-6)&lt;='01_Criterios'!$C$15),Aux!AQ113,"")))))</f>
        <v/>
      </c>
      <c r="Q113" s="6" t="str">
        <f>IF('03_Base_Indice'!$D113="","",IF('03_Base_Indice'!Q113&lt;&gt;"",'03_Base_Indice'!Q113,IF(AND(Aux!H113&lt;&gt;"",Aux!T113&lt;&gt;"",(N(Aux!T113)-N(Aux!H113)-1)&lt;='01_Criterios'!$C$13),Aux!AF113+(Aux!AR113-Aux!AF113)*(7-Aux!H113)/(Aux!T113-Aux!H113),IF(AND(Aux!H113&lt;&gt;"",(7-N(Aux!H113))&lt;='01_Criterios'!$C$14),Aux!AF113,IF(AND(Aux!T113&lt;&gt;"",(N(Aux!T113)-7)&lt;='01_Criterios'!$C$15),Aux!AR113,"")))))</f>
        <v/>
      </c>
      <c r="R113" s="6" t="str">
        <f>IF('03_Base_Indice'!$D113="","",IF('03_Base_Indice'!R113&lt;&gt;"",'03_Base_Indice'!R113,IF(AND(Aux!I113&lt;&gt;"",Aux!U113&lt;&gt;"",(N(Aux!U113)-N(Aux!I113)-1)&lt;='01_Criterios'!$C$13),Aux!AG113+(Aux!AS113-Aux!AG113)*(8-Aux!I113)/(Aux!U113-Aux!I113),IF(AND(Aux!I113&lt;&gt;"",(8-N(Aux!I113))&lt;='01_Criterios'!$C$14),Aux!AG113,IF(AND(Aux!U113&lt;&gt;"",(N(Aux!U113)-8)&lt;='01_Criterios'!$C$15),Aux!AS113,"")))))</f>
        <v/>
      </c>
      <c r="S113" s="6" t="str">
        <f>IF('03_Base_Indice'!$D113="","",IF('03_Base_Indice'!S113&lt;&gt;"",'03_Base_Indice'!S113,IF(AND(Aux!J113&lt;&gt;"",Aux!V113&lt;&gt;"",(N(Aux!V113)-N(Aux!J113)-1)&lt;='01_Criterios'!$C$13),Aux!AH113+(Aux!AT113-Aux!AH113)*(9-Aux!J113)/(Aux!V113-Aux!J113),IF(AND(Aux!J113&lt;&gt;"",(9-N(Aux!J113))&lt;='01_Criterios'!$C$14),Aux!AH113,IF(AND(Aux!V113&lt;&gt;"",(N(Aux!V113)-9)&lt;='01_Criterios'!$C$15),Aux!AT113,"")))))</f>
        <v/>
      </c>
      <c r="T113" s="6" t="str">
        <f>IF('03_Base_Indice'!$D113="","",IF('03_Base_Indice'!T113&lt;&gt;"",'03_Base_Indice'!T113,IF(AND(Aux!K113&lt;&gt;"",Aux!W113&lt;&gt;"",(N(Aux!W113)-N(Aux!K113)-1)&lt;='01_Criterios'!$C$13),Aux!AI113+(Aux!AU113-Aux!AI113)*(10-Aux!K113)/(Aux!W113-Aux!K113),IF(AND(Aux!K113&lt;&gt;"",(10-N(Aux!K113))&lt;='01_Criterios'!$C$14),Aux!AI113,IF(AND(Aux!W113&lt;&gt;"",(N(Aux!W113)-10)&lt;='01_Criterios'!$C$15),Aux!AU113,"")))))</f>
        <v/>
      </c>
      <c r="U113" s="6" t="str">
        <f>IF('03_Base_Indice'!$D113="","",IF('03_Base_Indice'!U113&lt;&gt;"",'03_Base_Indice'!U113,IF(AND(Aux!L113&lt;&gt;"",Aux!X113&lt;&gt;"",(N(Aux!X113)-N(Aux!L113)-1)&lt;='01_Criterios'!$C$13),Aux!AJ113+(Aux!AV113-Aux!AJ113)*(11-Aux!L113)/(Aux!X113-Aux!L113),IF(AND(Aux!L113&lt;&gt;"",(11-N(Aux!L113))&lt;='01_Criterios'!$C$14),Aux!AJ113,IF(AND(Aux!X113&lt;&gt;"",(N(Aux!X113)-11)&lt;='01_Criterios'!$C$15),Aux!AV113,"")))))</f>
        <v/>
      </c>
    </row>
    <row r="114" spans="1:21">
      <c r="A114" s="6" t="str">
        <f>IF('03_Base_Indice'!$A114="","",'03_Base_Indice'!$A114)</f>
        <v>11. Transformação Digital e Inovação</v>
      </c>
      <c r="B114" s="6">
        <f>'03_Base_Indice'!$B114</f>
        <v>10</v>
      </c>
      <c r="D114" s="6" t="str">
        <f>IF('03_Base_Indice'!$D114="","",'03_Base_Indice'!$D114)</f>
        <v/>
      </c>
      <c r="E114" s="6" t="str">
        <f>IF('03_Base_Indice'!$E114="","",'03_Base_Indice'!$E114)</f>
        <v/>
      </c>
      <c r="K114" s="6" t="str">
        <f>IF('03_Base_Indice'!$D114="","",IF('03_Base_Indice'!K114&lt;&gt;"",'03_Base_Indice'!K114,IF(AND(Aux!B114&lt;&gt;"",Aux!N114&lt;&gt;"",(N(Aux!N114)-N(Aux!B114)-1)&lt;='01_Criterios'!$C$13),Aux!Z114+(Aux!AL114-Aux!Z114)*(1-Aux!B114)/(Aux!N114-Aux!B114),IF(AND(Aux!B114&lt;&gt;"",(1-N(Aux!B114))&lt;='01_Criterios'!$C$14),Aux!Z114,IF(AND(Aux!N114&lt;&gt;"",(N(Aux!N114)-1)&lt;='01_Criterios'!$C$15),Aux!AL114,"")))))</f>
        <v/>
      </c>
      <c r="L114" s="6" t="str">
        <f>IF('03_Base_Indice'!$D114="","",IF('03_Base_Indice'!L114&lt;&gt;"",'03_Base_Indice'!L114,IF(AND(Aux!C114&lt;&gt;"",Aux!O114&lt;&gt;"",(N(Aux!O114)-N(Aux!C114)-1)&lt;='01_Criterios'!$C$13),Aux!AA114+(Aux!AM114-Aux!AA114)*(2-Aux!C114)/(Aux!O114-Aux!C114),IF(AND(Aux!C114&lt;&gt;"",(2-N(Aux!C114))&lt;='01_Criterios'!$C$14),Aux!AA114,IF(AND(Aux!O114&lt;&gt;"",(N(Aux!O114)-2)&lt;='01_Criterios'!$C$15),Aux!AM114,"")))))</f>
        <v/>
      </c>
      <c r="M114" s="6" t="str">
        <f>IF('03_Base_Indice'!$D114="","",IF('03_Base_Indice'!M114&lt;&gt;"",'03_Base_Indice'!M114,IF(AND(Aux!D114&lt;&gt;"",Aux!P114&lt;&gt;"",(N(Aux!P114)-N(Aux!D114)-1)&lt;='01_Criterios'!$C$13),Aux!AB114+(Aux!AN114-Aux!AB114)*(3-Aux!D114)/(Aux!P114-Aux!D114),IF(AND(Aux!D114&lt;&gt;"",(3-N(Aux!D114))&lt;='01_Criterios'!$C$14),Aux!AB114,IF(AND(Aux!P114&lt;&gt;"",(N(Aux!P114)-3)&lt;='01_Criterios'!$C$15),Aux!AN114,"")))))</f>
        <v/>
      </c>
      <c r="N114" s="6" t="str">
        <f>IF('03_Base_Indice'!$D114="","",IF('03_Base_Indice'!N114&lt;&gt;"",'03_Base_Indice'!N114,IF(AND(Aux!E114&lt;&gt;"",Aux!Q114&lt;&gt;"",(N(Aux!Q114)-N(Aux!E114)-1)&lt;='01_Criterios'!$C$13),Aux!AC114+(Aux!AO114-Aux!AC114)*(4-Aux!E114)/(Aux!Q114-Aux!E114),IF(AND(Aux!E114&lt;&gt;"",(4-N(Aux!E114))&lt;='01_Criterios'!$C$14),Aux!AC114,IF(AND(Aux!Q114&lt;&gt;"",(N(Aux!Q114)-4)&lt;='01_Criterios'!$C$15),Aux!AO114,"")))))</f>
        <v/>
      </c>
      <c r="O114" s="6" t="str">
        <f>IF('03_Base_Indice'!$D114="","",IF('03_Base_Indice'!O114&lt;&gt;"",'03_Base_Indice'!O114,IF(AND(Aux!F114&lt;&gt;"",Aux!R114&lt;&gt;"",(N(Aux!R114)-N(Aux!F114)-1)&lt;='01_Criterios'!$C$13),Aux!AD114+(Aux!AP114-Aux!AD114)*(5-Aux!F114)/(Aux!R114-Aux!F114),IF(AND(Aux!F114&lt;&gt;"",(5-N(Aux!F114))&lt;='01_Criterios'!$C$14),Aux!AD114,IF(AND(Aux!R114&lt;&gt;"",(N(Aux!R114)-5)&lt;='01_Criterios'!$C$15),Aux!AP114,"")))))</f>
        <v/>
      </c>
      <c r="P114" s="6" t="str">
        <f>IF('03_Base_Indice'!$D114="","",IF('03_Base_Indice'!P114&lt;&gt;"",'03_Base_Indice'!P114,IF(AND(Aux!G114&lt;&gt;"",Aux!S114&lt;&gt;"",(N(Aux!S114)-N(Aux!G114)-1)&lt;='01_Criterios'!$C$13),Aux!AE114+(Aux!AQ114-Aux!AE114)*(6-Aux!G114)/(Aux!S114-Aux!G114),IF(AND(Aux!G114&lt;&gt;"",(6-N(Aux!G114))&lt;='01_Criterios'!$C$14),Aux!AE114,IF(AND(Aux!S114&lt;&gt;"",(N(Aux!S114)-6)&lt;='01_Criterios'!$C$15),Aux!AQ114,"")))))</f>
        <v/>
      </c>
      <c r="Q114" s="6" t="str">
        <f>IF('03_Base_Indice'!$D114="","",IF('03_Base_Indice'!Q114&lt;&gt;"",'03_Base_Indice'!Q114,IF(AND(Aux!H114&lt;&gt;"",Aux!T114&lt;&gt;"",(N(Aux!T114)-N(Aux!H114)-1)&lt;='01_Criterios'!$C$13),Aux!AF114+(Aux!AR114-Aux!AF114)*(7-Aux!H114)/(Aux!T114-Aux!H114),IF(AND(Aux!H114&lt;&gt;"",(7-N(Aux!H114))&lt;='01_Criterios'!$C$14),Aux!AF114,IF(AND(Aux!T114&lt;&gt;"",(N(Aux!T114)-7)&lt;='01_Criterios'!$C$15),Aux!AR114,"")))))</f>
        <v/>
      </c>
      <c r="R114" s="6" t="str">
        <f>IF('03_Base_Indice'!$D114="","",IF('03_Base_Indice'!R114&lt;&gt;"",'03_Base_Indice'!R114,IF(AND(Aux!I114&lt;&gt;"",Aux!U114&lt;&gt;"",(N(Aux!U114)-N(Aux!I114)-1)&lt;='01_Criterios'!$C$13),Aux!AG114+(Aux!AS114-Aux!AG114)*(8-Aux!I114)/(Aux!U114-Aux!I114),IF(AND(Aux!I114&lt;&gt;"",(8-N(Aux!I114))&lt;='01_Criterios'!$C$14),Aux!AG114,IF(AND(Aux!U114&lt;&gt;"",(N(Aux!U114)-8)&lt;='01_Criterios'!$C$15),Aux!AS114,"")))))</f>
        <v/>
      </c>
      <c r="S114" s="6" t="str">
        <f>IF('03_Base_Indice'!$D114="","",IF('03_Base_Indice'!S114&lt;&gt;"",'03_Base_Indice'!S114,IF(AND(Aux!J114&lt;&gt;"",Aux!V114&lt;&gt;"",(N(Aux!V114)-N(Aux!J114)-1)&lt;='01_Criterios'!$C$13),Aux!AH114+(Aux!AT114-Aux!AH114)*(9-Aux!J114)/(Aux!V114-Aux!J114),IF(AND(Aux!J114&lt;&gt;"",(9-N(Aux!J114))&lt;='01_Criterios'!$C$14),Aux!AH114,IF(AND(Aux!V114&lt;&gt;"",(N(Aux!V114)-9)&lt;='01_Criterios'!$C$15),Aux!AT114,"")))))</f>
        <v/>
      </c>
      <c r="T114" s="6" t="str">
        <f>IF('03_Base_Indice'!$D114="","",IF('03_Base_Indice'!T114&lt;&gt;"",'03_Base_Indice'!T114,IF(AND(Aux!K114&lt;&gt;"",Aux!W114&lt;&gt;"",(N(Aux!W114)-N(Aux!K114)-1)&lt;='01_Criterios'!$C$13),Aux!AI114+(Aux!AU114-Aux!AI114)*(10-Aux!K114)/(Aux!W114-Aux!K114),IF(AND(Aux!K114&lt;&gt;"",(10-N(Aux!K114))&lt;='01_Criterios'!$C$14),Aux!AI114,IF(AND(Aux!W114&lt;&gt;"",(N(Aux!W114)-10)&lt;='01_Criterios'!$C$15),Aux!AU114,"")))))</f>
        <v/>
      </c>
      <c r="U114" s="6" t="str">
        <f>IF('03_Base_Indice'!$D114="","",IF('03_Base_Indice'!U114&lt;&gt;"",'03_Base_Indice'!U114,IF(AND(Aux!L114&lt;&gt;"",Aux!X114&lt;&gt;"",(N(Aux!X114)-N(Aux!L114)-1)&lt;='01_Criterios'!$C$13),Aux!AJ114+(Aux!AV114-Aux!AJ114)*(11-Aux!L114)/(Aux!X114-Aux!L114),IF(AND(Aux!L114&lt;&gt;"",(11-N(Aux!L114))&lt;='01_Criterios'!$C$14),Aux!AJ114,IF(AND(Aux!X114&lt;&gt;"",(N(Aux!X114)-11)&lt;='01_Criterios'!$C$15),Aux!AV114,"")))))</f>
        <v/>
      </c>
    </row>
  </sheetData>
  <hyperlinks>
    <hyperlink ref="A1" location="'00_Painel'!A1" display="← Painel" xr:uid="{00000000-0004-0000-0400-000000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6DCE4"/>
  </sheetPr>
  <dimension ref="A1:Y114"/>
  <sheetViews>
    <sheetView workbookViewId="0">
      <pane xSplit="5" ySplit="4" topLeftCell="F5" activePane="bottomRight" state="frozen"/>
      <selection pane="bottomRight" activeCell="K11" sqref="K11"/>
      <selection pane="bottomLeft"/>
      <selection pane="topRight"/>
    </sheetView>
  </sheetViews>
  <sheetFormatPr defaultRowHeight="14.45"/>
  <cols>
    <col min="1" max="1" width="30" customWidth="1"/>
    <col min="2" max="2" width="5" customWidth="1"/>
    <col min="3" max="3" width="3" customWidth="1"/>
    <col min="4" max="4" width="9" customWidth="1"/>
    <col min="5" max="5" width="44" customWidth="1"/>
    <col min="11" max="21" width="15" customWidth="1"/>
    <col min="22" max="22" width="11" customWidth="1"/>
    <col min="23" max="23" width="10" customWidth="1"/>
    <col min="24" max="24" width="9" customWidth="1"/>
    <col min="25" max="25" width="13" customWidth="1"/>
  </cols>
  <sheetData>
    <row r="1" spans="1:25">
      <c r="A1" s="3" t="s">
        <v>27</v>
      </c>
    </row>
    <row r="2" spans="1:25" ht="23.45" customHeight="1">
      <c r="B2" s="1" t="s">
        <v>1792</v>
      </c>
    </row>
    <row r="3" spans="1:25">
      <c r="B3" s="2" t="s">
        <v>1793</v>
      </c>
    </row>
    <row r="4" spans="1:25">
      <c r="A4" s="11" t="s">
        <v>24</v>
      </c>
      <c r="B4" s="11" t="s">
        <v>120</v>
      </c>
      <c r="D4" s="11" t="s">
        <v>90</v>
      </c>
      <c r="E4" s="11" t="s">
        <v>92</v>
      </c>
      <c r="K4" s="11" t="s">
        <v>1778</v>
      </c>
      <c r="L4" s="11" t="s">
        <v>1779</v>
      </c>
      <c r="M4" s="11" t="s">
        <v>1780</v>
      </c>
      <c r="N4" s="11" t="s">
        <v>1781</v>
      </c>
      <c r="O4" s="11" t="s">
        <v>1782</v>
      </c>
      <c r="P4" s="11" t="s">
        <v>1783</v>
      </c>
      <c r="Q4" s="11" t="s">
        <v>1784</v>
      </c>
      <c r="R4" s="11" t="s">
        <v>1785</v>
      </c>
      <c r="S4" s="11" t="s">
        <v>1786</v>
      </c>
      <c r="T4" s="11" t="s">
        <v>1787</v>
      </c>
      <c r="U4" s="11" t="s">
        <v>1788</v>
      </c>
      <c r="V4" s="11" t="s">
        <v>1794</v>
      </c>
      <c r="W4" s="11" t="s">
        <v>1795</v>
      </c>
      <c r="X4" s="11" t="s">
        <v>1796</v>
      </c>
      <c r="Y4" s="11" t="s">
        <v>1797</v>
      </c>
    </row>
    <row r="5" spans="1:25">
      <c r="A5" s="6" t="str">
        <f>IF('03_Base_Indice'!$A5="","",'03_Base_Indice'!$A5)</f>
        <v>1. Governança e Estado de Direito</v>
      </c>
      <c r="B5" s="6">
        <f>'03_Base_Indice'!$B5</f>
        <v>1</v>
      </c>
      <c r="D5" s="6" t="str">
        <f>IF('03_Base_Indice'!$D5="","",'03_Base_Indice'!$D5)</f>
        <v>GOV01</v>
      </c>
      <c r="E5" s="6" t="str">
        <f>IF('03_Base_Indice'!$E5="","",'03_Base_Indice'!$E5)</f>
        <v>Índice de Percepção da Corrupção</v>
      </c>
      <c r="K5" s="20" t="str">
        <f>IF('03_Base_Indice'!$D5="","",IF('03_Base_Indice'!K5&lt;&gt;"","OBS",IF(AND(Aux!B5&lt;&gt;"",Aux!N5&lt;&gt;"",(N(Aux!N5)-N(Aux!B5)-1)&lt;='01_Criterios'!$C$13),"EST_INTERP",IF(AND(Aux!B5&lt;&gt;"",(1-N(Aux!B5))&lt;='01_Criterios'!$C$14),"EST_CARRY_FWD",IF(AND(Aux!N5&lt;&gt;"",(N(Aux!N5)-1)&lt;='01_Criterios'!$C$15),"EST_CARRY_BWD","SEM_DADO")))))</f>
        <v>OBS</v>
      </c>
      <c r="L5" s="20" t="str">
        <f>IF('03_Base_Indice'!$D5="","",IF('03_Base_Indice'!L5&lt;&gt;"","OBS",IF(AND(Aux!C5&lt;&gt;"",Aux!O5&lt;&gt;"",(N(Aux!O5)-N(Aux!C5)-1)&lt;='01_Criterios'!$C$13),"EST_INTERP",IF(AND(Aux!C5&lt;&gt;"",(2-N(Aux!C5))&lt;='01_Criterios'!$C$14),"EST_CARRY_FWD",IF(AND(Aux!O5&lt;&gt;"",(N(Aux!O5)-2)&lt;='01_Criterios'!$C$15),"EST_CARRY_BWD","SEM_DADO")))))</f>
        <v>OBS</v>
      </c>
      <c r="M5" s="20" t="str">
        <f>IF('03_Base_Indice'!$D5="","",IF('03_Base_Indice'!M5&lt;&gt;"","OBS",IF(AND(Aux!D5&lt;&gt;"",Aux!P5&lt;&gt;"",(N(Aux!P5)-N(Aux!D5)-1)&lt;='01_Criterios'!$C$13),"EST_INTERP",IF(AND(Aux!D5&lt;&gt;"",(3-N(Aux!D5))&lt;='01_Criterios'!$C$14),"EST_CARRY_FWD",IF(AND(Aux!P5&lt;&gt;"",(N(Aux!P5)-3)&lt;='01_Criterios'!$C$15),"EST_CARRY_BWD","SEM_DADO")))))</f>
        <v>OBS</v>
      </c>
      <c r="N5" s="20" t="str">
        <f>IF('03_Base_Indice'!$D5="","",IF('03_Base_Indice'!N5&lt;&gt;"","OBS",IF(AND(Aux!E5&lt;&gt;"",Aux!Q5&lt;&gt;"",(N(Aux!Q5)-N(Aux!E5)-1)&lt;='01_Criterios'!$C$13),"EST_INTERP",IF(AND(Aux!E5&lt;&gt;"",(4-N(Aux!E5))&lt;='01_Criterios'!$C$14),"EST_CARRY_FWD",IF(AND(Aux!Q5&lt;&gt;"",(N(Aux!Q5)-4)&lt;='01_Criterios'!$C$15),"EST_CARRY_BWD","SEM_DADO")))))</f>
        <v>OBS</v>
      </c>
      <c r="O5" s="20" t="str">
        <f>IF('03_Base_Indice'!$D5="","",IF('03_Base_Indice'!O5&lt;&gt;"","OBS",IF(AND(Aux!F5&lt;&gt;"",Aux!R5&lt;&gt;"",(N(Aux!R5)-N(Aux!F5)-1)&lt;='01_Criterios'!$C$13),"EST_INTERP",IF(AND(Aux!F5&lt;&gt;"",(5-N(Aux!F5))&lt;='01_Criterios'!$C$14),"EST_CARRY_FWD",IF(AND(Aux!R5&lt;&gt;"",(N(Aux!R5)-5)&lt;='01_Criterios'!$C$15),"EST_CARRY_BWD","SEM_DADO")))))</f>
        <v>OBS</v>
      </c>
      <c r="P5" s="20" t="str">
        <f>IF('03_Base_Indice'!$D5="","",IF('03_Base_Indice'!P5&lt;&gt;"","OBS",IF(AND(Aux!G5&lt;&gt;"",Aux!S5&lt;&gt;"",(N(Aux!S5)-N(Aux!G5)-1)&lt;='01_Criterios'!$C$13),"EST_INTERP",IF(AND(Aux!G5&lt;&gt;"",(6-N(Aux!G5))&lt;='01_Criterios'!$C$14),"EST_CARRY_FWD",IF(AND(Aux!S5&lt;&gt;"",(N(Aux!S5)-6)&lt;='01_Criterios'!$C$15),"EST_CARRY_BWD","SEM_DADO")))))</f>
        <v>OBS</v>
      </c>
      <c r="Q5" s="20" t="str">
        <f>IF('03_Base_Indice'!$D5="","",IF('03_Base_Indice'!Q5&lt;&gt;"","OBS",IF(AND(Aux!H5&lt;&gt;"",Aux!T5&lt;&gt;"",(N(Aux!T5)-N(Aux!H5)-1)&lt;='01_Criterios'!$C$13),"EST_INTERP",IF(AND(Aux!H5&lt;&gt;"",(7-N(Aux!H5))&lt;='01_Criterios'!$C$14),"EST_CARRY_FWD",IF(AND(Aux!T5&lt;&gt;"",(N(Aux!T5)-7)&lt;='01_Criterios'!$C$15),"EST_CARRY_BWD","SEM_DADO")))))</f>
        <v>OBS</v>
      </c>
      <c r="R5" s="20" t="str">
        <f>IF('03_Base_Indice'!$D5="","",IF('03_Base_Indice'!R5&lt;&gt;"","OBS",IF(AND(Aux!I5&lt;&gt;"",Aux!U5&lt;&gt;"",(N(Aux!U5)-N(Aux!I5)-1)&lt;='01_Criterios'!$C$13),"EST_INTERP",IF(AND(Aux!I5&lt;&gt;"",(8-N(Aux!I5))&lt;='01_Criterios'!$C$14),"EST_CARRY_FWD",IF(AND(Aux!U5&lt;&gt;"",(N(Aux!U5)-8)&lt;='01_Criterios'!$C$15),"EST_CARRY_BWD","SEM_DADO")))))</f>
        <v>OBS</v>
      </c>
      <c r="S5" s="20" t="str">
        <f>IF('03_Base_Indice'!$D5="","",IF('03_Base_Indice'!S5&lt;&gt;"","OBS",IF(AND(Aux!J5&lt;&gt;"",Aux!V5&lt;&gt;"",(N(Aux!V5)-N(Aux!J5)-1)&lt;='01_Criterios'!$C$13),"EST_INTERP",IF(AND(Aux!J5&lt;&gt;"",(9-N(Aux!J5))&lt;='01_Criterios'!$C$14),"EST_CARRY_FWD",IF(AND(Aux!V5&lt;&gt;"",(N(Aux!V5)-9)&lt;='01_Criterios'!$C$15),"EST_CARRY_BWD","SEM_DADO")))))</f>
        <v>OBS</v>
      </c>
      <c r="T5" s="20" t="str">
        <f>IF('03_Base_Indice'!$D5="","",IF('03_Base_Indice'!T5&lt;&gt;"","OBS",IF(AND(Aux!K5&lt;&gt;"",Aux!W5&lt;&gt;"",(N(Aux!W5)-N(Aux!K5)-1)&lt;='01_Criterios'!$C$13),"EST_INTERP",IF(AND(Aux!K5&lt;&gt;"",(10-N(Aux!K5))&lt;='01_Criterios'!$C$14),"EST_CARRY_FWD",IF(AND(Aux!W5&lt;&gt;"",(N(Aux!W5)-10)&lt;='01_Criterios'!$C$15),"EST_CARRY_BWD","SEM_DADO")))))</f>
        <v>OBS</v>
      </c>
      <c r="U5" s="20" t="str">
        <f>IF('03_Base_Indice'!$D5="","",IF('03_Base_Indice'!U5&lt;&gt;"","OBS",IF(AND(Aux!L5&lt;&gt;"",Aux!X5&lt;&gt;"",(N(Aux!X5)-N(Aux!L5)-1)&lt;='01_Criterios'!$C$13),"EST_INTERP",IF(AND(Aux!L5&lt;&gt;"",(11-N(Aux!L5))&lt;='01_Criterios'!$C$14),"EST_CARRY_FWD",IF(AND(Aux!X5&lt;&gt;"",(N(Aux!X5)-11)&lt;='01_Criterios'!$C$15),"EST_CARRY_BWD","SEM_DADO")))))</f>
        <v>OBS</v>
      </c>
      <c r="V5" s="20">
        <f>IF($D5="","",COUNTIF(K5:U5,"OBS"))</f>
        <v>11</v>
      </c>
      <c r="W5" s="20">
        <f>IF($D5="","",COUNTIF(K5:U5,"EST_*"))</f>
        <v>0</v>
      </c>
      <c r="X5" s="20">
        <f>IF($D5="","",COUNTIF(K5:U5,"SEM_DADO"))</f>
        <v>0</v>
      </c>
      <c r="Y5" s="20" t="str">
        <f>IF($D5="","",(V5+W5)&amp;"/11")</f>
        <v>11/11</v>
      </c>
    </row>
    <row r="6" spans="1:25">
      <c r="A6" s="6" t="str">
        <f>IF('03_Base_Indice'!$A6="","",'03_Base_Indice'!$A6)</f>
        <v>1. Governança e Estado de Direito</v>
      </c>
      <c r="B6" s="6">
        <f>'03_Base_Indice'!$B6</f>
        <v>2</v>
      </c>
      <c r="D6" s="6" t="str">
        <f>IF('03_Base_Indice'!$D6="","",'03_Base_Indice'!$D6)</f>
        <v>GOV004</v>
      </c>
      <c r="E6" s="6" t="str">
        <f>IF('03_Base_Indice'!$E6="","",'03_Base_Indice'!$E6)</f>
        <v>Estabilidade Política (WGI)</v>
      </c>
      <c r="K6" s="20" t="str">
        <f>IF('03_Base_Indice'!$D6="","",IF('03_Base_Indice'!K6&lt;&gt;"","OBS",IF(AND(Aux!B6&lt;&gt;"",Aux!N6&lt;&gt;"",(N(Aux!N6)-N(Aux!B6)-1)&lt;='01_Criterios'!$C$13),"EST_INTERP",IF(AND(Aux!B6&lt;&gt;"",(1-N(Aux!B6))&lt;='01_Criterios'!$C$14),"EST_CARRY_FWD",IF(AND(Aux!N6&lt;&gt;"",(N(Aux!N6)-1)&lt;='01_Criterios'!$C$15),"EST_CARRY_BWD","SEM_DADO")))))</f>
        <v>OBS</v>
      </c>
      <c r="L6" s="20" t="str">
        <f>IF('03_Base_Indice'!$D6="","",IF('03_Base_Indice'!L6&lt;&gt;"","OBS",IF(AND(Aux!C6&lt;&gt;"",Aux!O6&lt;&gt;"",(N(Aux!O6)-N(Aux!C6)-1)&lt;='01_Criterios'!$C$13),"EST_INTERP",IF(AND(Aux!C6&lt;&gt;"",(2-N(Aux!C6))&lt;='01_Criterios'!$C$14),"EST_CARRY_FWD",IF(AND(Aux!O6&lt;&gt;"",(N(Aux!O6)-2)&lt;='01_Criterios'!$C$15),"EST_CARRY_BWD","SEM_DADO")))))</f>
        <v>OBS</v>
      </c>
      <c r="M6" s="20" t="str">
        <f>IF('03_Base_Indice'!$D6="","",IF('03_Base_Indice'!M6&lt;&gt;"","OBS",IF(AND(Aux!D6&lt;&gt;"",Aux!P6&lt;&gt;"",(N(Aux!P6)-N(Aux!D6)-1)&lt;='01_Criterios'!$C$13),"EST_INTERP",IF(AND(Aux!D6&lt;&gt;"",(3-N(Aux!D6))&lt;='01_Criterios'!$C$14),"EST_CARRY_FWD",IF(AND(Aux!P6&lt;&gt;"",(N(Aux!P6)-3)&lt;='01_Criterios'!$C$15),"EST_CARRY_BWD","SEM_DADO")))))</f>
        <v>OBS</v>
      </c>
      <c r="N6" s="20" t="str">
        <f>IF('03_Base_Indice'!$D6="","",IF('03_Base_Indice'!N6&lt;&gt;"","OBS",IF(AND(Aux!E6&lt;&gt;"",Aux!Q6&lt;&gt;"",(N(Aux!Q6)-N(Aux!E6)-1)&lt;='01_Criterios'!$C$13),"EST_INTERP",IF(AND(Aux!E6&lt;&gt;"",(4-N(Aux!E6))&lt;='01_Criterios'!$C$14),"EST_CARRY_FWD",IF(AND(Aux!Q6&lt;&gt;"",(N(Aux!Q6)-4)&lt;='01_Criterios'!$C$15),"EST_CARRY_BWD","SEM_DADO")))))</f>
        <v>OBS</v>
      </c>
      <c r="O6" s="20" t="str">
        <f>IF('03_Base_Indice'!$D6="","",IF('03_Base_Indice'!O6&lt;&gt;"","OBS",IF(AND(Aux!F6&lt;&gt;"",Aux!R6&lt;&gt;"",(N(Aux!R6)-N(Aux!F6)-1)&lt;='01_Criterios'!$C$13),"EST_INTERP",IF(AND(Aux!F6&lt;&gt;"",(5-N(Aux!F6))&lt;='01_Criterios'!$C$14),"EST_CARRY_FWD",IF(AND(Aux!R6&lt;&gt;"",(N(Aux!R6)-5)&lt;='01_Criterios'!$C$15),"EST_CARRY_BWD","SEM_DADO")))))</f>
        <v>OBS</v>
      </c>
      <c r="P6" s="20" t="str">
        <f>IF('03_Base_Indice'!$D6="","",IF('03_Base_Indice'!P6&lt;&gt;"","OBS",IF(AND(Aux!G6&lt;&gt;"",Aux!S6&lt;&gt;"",(N(Aux!S6)-N(Aux!G6)-1)&lt;='01_Criterios'!$C$13),"EST_INTERP",IF(AND(Aux!G6&lt;&gt;"",(6-N(Aux!G6))&lt;='01_Criterios'!$C$14),"EST_CARRY_FWD",IF(AND(Aux!S6&lt;&gt;"",(N(Aux!S6)-6)&lt;='01_Criterios'!$C$15),"EST_CARRY_BWD","SEM_DADO")))))</f>
        <v>OBS</v>
      </c>
      <c r="Q6" s="20" t="str">
        <f>IF('03_Base_Indice'!$D6="","",IF('03_Base_Indice'!Q6&lt;&gt;"","OBS",IF(AND(Aux!H6&lt;&gt;"",Aux!T6&lt;&gt;"",(N(Aux!T6)-N(Aux!H6)-1)&lt;='01_Criterios'!$C$13),"EST_INTERP",IF(AND(Aux!H6&lt;&gt;"",(7-N(Aux!H6))&lt;='01_Criterios'!$C$14),"EST_CARRY_FWD",IF(AND(Aux!T6&lt;&gt;"",(N(Aux!T6)-7)&lt;='01_Criterios'!$C$15),"EST_CARRY_BWD","SEM_DADO")))))</f>
        <v>OBS</v>
      </c>
      <c r="R6" s="20" t="str">
        <f>IF('03_Base_Indice'!$D6="","",IF('03_Base_Indice'!R6&lt;&gt;"","OBS",IF(AND(Aux!I6&lt;&gt;"",Aux!U6&lt;&gt;"",(N(Aux!U6)-N(Aux!I6)-1)&lt;='01_Criterios'!$C$13),"EST_INTERP",IF(AND(Aux!I6&lt;&gt;"",(8-N(Aux!I6))&lt;='01_Criterios'!$C$14),"EST_CARRY_FWD",IF(AND(Aux!U6&lt;&gt;"",(N(Aux!U6)-8)&lt;='01_Criterios'!$C$15),"EST_CARRY_BWD","SEM_DADO")))))</f>
        <v>OBS</v>
      </c>
      <c r="S6" s="20" t="str">
        <f>IF('03_Base_Indice'!$D6="","",IF('03_Base_Indice'!S6&lt;&gt;"","OBS",IF(AND(Aux!J6&lt;&gt;"",Aux!V6&lt;&gt;"",(N(Aux!V6)-N(Aux!J6)-1)&lt;='01_Criterios'!$C$13),"EST_INTERP",IF(AND(Aux!J6&lt;&gt;"",(9-N(Aux!J6))&lt;='01_Criterios'!$C$14),"EST_CARRY_FWD",IF(AND(Aux!V6&lt;&gt;"",(N(Aux!V6)-9)&lt;='01_Criterios'!$C$15),"EST_CARRY_BWD","SEM_DADO")))))</f>
        <v>OBS</v>
      </c>
      <c r="T6" s="20" t="str">
        <f>IF('03_Base_Indice'!$D6="","",IF('03_Base_Indice'!T6&lt;&gt;"","OBS",IF(AND(Aux!K6&lt;&gt;"",Aux!W6&lt;&gt;"",(N(Aux!W6)-N(Aux!K6)-1)&lt;='01_Criterios'!$C$13),"EST_INTERP",IF(AND(Aux!K6&lt;&gt;"",(10-N(Aux!K6))&lt;='01_Criterios'!$C$14),"EST_CARRY_FWD",IF(AND(Aux!W6&lt;&gt;"",(N(Aux!W6)-10)&lt;='01_Criterios'!$C$15),"EST_CARRY_BWD","SEM_DADO")))))</f>
        <v>OBS</v>
      </c>
      <c r="U6" s="20" t="str">
        <f>IF('03_Base_Indice'!$D6="","",IF('03_Base_Indice'!U6&lt;&gt;"","OBS",IF(AND(Aux!L6&lt;&gt;"",Aux!X6&lt;&gt;"",(N(Aux!X6)-N(Aux!L6)-1)&lt;='01_Criterios'!$C$13),"EST_INTERP",IF(AND(Aux!L6&lt;&gt;"",(11-N(Aux!L6))&lt;='01_Criterios'!$C$14),"EST_CARRY_FWD",IF(AND(Aux!X6&lt;&gt;"",(N(Aux!X6)-11)&lt;='01_Criterios'!$C$15),"EST_CARRY_BWD","SEM_DADO")))))</f>
        <v>EST_CARRY_FWD</v>
      </c>
      <c r="V6" s="20">
        <f>IF($D6="","",COUNTIF(K6:U6,"OBS"))</f>
        <v>10</v>
      </c>
      <c r="W6" s="20">
        <f>IF($D6="","",COUNTIF(K6:U6,"EST_*"))</f>
        <v>1</v>
      </c>
      <c r="X6" s="20">
        <f>IF($D6="","",COUNTIF(K6:U6,"SEM_DADO"))</f>
        <v>0</v>
      </c>
      <c r="Y6" s="20" t="str">
        <f>IF($D6="","",(V6+W6)&amp;"/11")</f>
        <v>11/11</v>
      </c>
    </row>
    <row r="7" spans="1:25">
      <c r="A7" s="6" t="str">
        <f>IF('03_Base_Indice'!$A7="","",'03_Base_Indice'!$A7)</f>
        <v>1. Governança e Estado de Direito</v>
      </c>
      <c r="B7" s="6">
        <f>'03_Base_Indice'!$B7</f>
        <v>3</v>
      </c>
      <c r="D7" s="6" t="str">
        <f>IF('03_Base_Indice'!$D7="","",'03_Base_Indice'!$D7)</f>
        <v>GOV02</v>
      </c>
      <c r="E7" s="6" t="str">
        <f>IF('03_Base_Indice'!$E7="","",'03_Base_Indice'!$E7)</f>
        <v>WGI - Estado de Direito</v>
      </c>
      <c r="K7" s="20" t="str">
        <f>IF('03_Base_Indice'!$D7="","",IF('03_Base_Indice'!K7&lt;&gt;"","OBS",IF(AND(Aux!B7&lt;&gt;"",Aux!N7&lt;&gt;"",(N(Aux!N7)-N(Aux!B7)-1)&lt;='01_Criterios'!$C$13),"EST_INTERP",IF(AND(Aux!B7&lt;&gt;"",(1-N(Aux!B7))&lt;='01_Criterios'!$C$14),"EST_CARRY_FWD",IF(AND(Aux!N7&lt;&gt;"",(N(Aux!N7)-1)&lt;='01_Criterios'!$C$15),"EST_CARRY_BWD","SEM_DADO")))))</f>
        <v>OBS</v>
      </c>
      <c r="L7" s="20" t="str">
        <f>IF('03_Base_Indice'!$D7="","",IF('03_Base_Indice'!L7&lt;&gt;"","OBS",IF(AND(Aux!C7&lt;&gt;"",Aux!O7&lt;&gt;"",(N(Aux!O7)-N(Aux!C7)-1)&lt;='01_Criterios'!$C$13),"EST_INTERP",IF(AND(Aux!C7&lt;&gt;"",(2-N(Aux!C7))&lt;='01_Criterios'!$C$14),"EST_CARRY_FWD",IF(AND(Aux!O7&lt;&gt;"",(N(Aux!O7)-2)&lt;='01_Criterios'!$C$15),"EST_CARRY_BWD","SEM_DADO")))))</f>
        <v>OBS</v>
      </c>
      <c r="M7" s="20" t="str">
        <f>IF('03_Base_Indice'!$D7="","",IF('03_Base_Indice'!M7&lt;&gt;"","OBS",IF(AND(Aux!D7&lt;&gt;"",Aux!P7&lt;&gt;"",(N(Aux!P7)-N(Aux!D7)-1)&lt;='01_Criterios'!$C$13),"EST_INTERP",IF(AND(Aux!D7&lt;&gt;"",(3-N(Aux!D7))&lt;='01_Criterios'!$C$14),"EST_CARRY_FWD",IF(AND(Aux!P7&lt;&gt;"",(N(Aux!P7)-3)&lt;='01_Criterios'!$C$15),"EST_CARRY_BWD","SEM_DADO")))))</f>
        <v>OBS</v>
      </c>
      <c r="N7" s="20" t="str">
        <f>IF('03_Base_Indice'!$D7="","",IF('03_Base_Indice'!N7&lt;&gt;"","OBS",IF(AND(Aux!E7&lt;&gt;"",Aux!Q7&lt;&gt;"",(N(Aux!Q7)-N(Aux!E7)-1)&lt;='01_Criterios'!$C$13),"EST_INTERP",IF(AND(Aux!E7&lt;&gt;"",(4-N(Aux!E7))&lt;='01_Criterios'!$C$14),"EST_CARRY_FWD",IF(AND(Aux!Q7&lt;&gt;"",(N(Aux!Q7)-4)&lt;='01_Criterios'!$C$15),"EST_CARRY_BWD","SEM_DADO")))))</f>
        <v>OBS</v>
      </c>
      <c r="O7" s="20" t="str">
        <f>IF('03_Base_Indice'!$D7="","",IF('03_Base_Indice'!O7&lt;&gt;"","OBS",IF(AND(Aux!F7&lt;&gt;"",Aux!R7&lt;&gt;"",(N(Aux!R7)-N(Aux!F7)-1)&lt;='01_Criterios'!$C$13),"EST_INTERP",IF(AND(Aux!F7&lt;&gt;"",(5-N(Aux!F7))&lt;='01_Criterios'!$C$14),"EST_CARRY_FWD",IF(AND(Aux!R7&lt;&gt;"",(N(Aux!R7)-5)&lt;='01_Criterios'!$C$15),"EST_CARRY_BWD","SEM_DADO")))))</f>
        <v>OBS</v>
      </c>
      <c r="P7" s="20" t="str">
        <f>IF('03_Base_Indice'!$D7="","",IF('03_Base_Indice'!P7&lt;&gt;"","OBS",IF(AND(Aux!G7&lt;&gt;"",Aux!S7&lt;&gt;"",(N(Aux!S7)-N(Aux!G7)-1)&lt;='01_Criterios'!$C$13),"EST_INTERP",IF(AND(Aux!G7&lt;&gt;"",(6-N(Aux!G7))&lt;='01_Criterios'!$C$14),"EST_CARRY_FWD",IF(AND(Aux!S7&lt;&gt;"",(N(Aux!S7)-6)&lt;='01_Criterios'!$C$15),"EST_CARRY_BWD","SEM_DADO")))))</f>
        <v>OBS</v>
      </c>
      <c r="Q7" s="20" t="str">
        <f>IF('03_Base_Indice'!$D7="","",IF('03_Base_Indice'!Q7&lt;&gt;"","OBS",IF(AND(Aux!H7&lt;&gt;"",Aux!T7&lt;&gt;"",(N(Aux!T7)-N(Aux!H7)-1)&lt;='01_Criterios'!$C$13),"EST_INTERP",IF(AND(Aux!H7&lt;&gt;"",(7-N(Aux!H7))&lt;='01_Criterios'!$C$14),"EST_CARRY_FWD",IF(AND(Aux!T7&lt;&gt;"",(N(Aux!T7)-7)&lt;='01_Criterios'!$C$15),"EST_CARRY_BWD","SEM_DADO")))))</f>
        <v>OBS</v>
      </c>
      <c r="R7" s="20" t="str">
        <f>IF('03_Base_Indice'!$D7="","",IF('03_Base_Indice'!R7&lt;&gt;"","OBS",IF(AND(Aux!I7&lt;&gt;"",Aux!U7&lt;&gt;"",(N(Aux!U7)-N(Aux!I7)-1)&lt;='01_Criterios'!$C$13),"EST_INTERP",IF(AND(Aux!I7&lt;&gt;"",(8-N(Aux!I7))&lt;='01_Criterios'!$C$14),"EST_CARRY_FWD",IF(AND(Aux!U7&lt;&gt;"",(N(Aux!U7)-8)&lt;='01_Criterios'!$C$15),"EST_CARRY_BWD","SEM_DADO")))))</f>
        <v>OBS</v>
      </c>
      <c r="S7" s="20" t="str">
        <f>IF('03_Base_Indice'!$D7="","",IF('03_Base_Indice'!S7&lt;&gt;"","OBS",IF(AND(Aux!J7&lt;&gt;"",Aux!V7&lt;&gt;"",(N(Aux!V7)-N(Aux!J7)-1)&lt;='01_Criterios'!$C$13),"EST_INTERP",IF(AND(Aux!J7&lt;&gt;"",(9-N(Aux!J7))&lt;='01_Criterios'!$C$14),"EST_CARRY_FWD",IF(AND(Aux!V7&lt;&gt;"",(N(Aux!V7)-9)&lt;='01_Criterios'!$C$15),"EST_CARRY_BWD","SEM_DADO")))))</f>
        <v>OBS</v>
      </c>
      <c r="T7" s="20" t="str">
        <f>IF('03_Base_Indice'!$D7="","",IF('03_Base_Indice'!T7&lt;&gt;"","OBS",IF(AND(Aux!K7&lt;&gt;"",Aux!W7&lt;&gt;"",(N(Aux!W7)-N(Aux!K7)-1)&lt;='01_Criterios'!$C$13),"EST_INTERP",IF(AND(Aux!K7&lt;&gt;"",(10-N(Aux!K7))&lt;='01_Criterios'!$C$14),"EST_CARRY_FWD",IF(AND(Aux!W7&lt;&gt;"",(N(Aux!W7)-10)&lt;='01_Criterios'!$C$15),"EST_CARRY_BWD","SEM_DADO")))))</f>
        <v>OBS</v>
      </c>
      <c r="U7" s="20" t="str">
        <f>IF('03_Base_Indice'!$D7="","",IF('03_Base_Indice'!U7&lt;&gt;"","OBS",IF(AND(Aux!L7&lt;&gt;"",Aux!X7&lt;&gt;"",(N(Aux!X7)-N(Aux!L7)-1)&lt;='01_Criterios'!$C$13),"EST_INTERP",IF(AND(Aux!L7&lt;&gt;"",(11-N(Aux!L7))&lt;='01_Criterios'!$C$14),"EST_CARRY_FWD",IF(AND(Aux!X7&lt;&gt;"",(N(Aux!X7)-11)&lt;='01_Criterios'!$C$15),"EST_CARRY_BWD","SEM_DADO")))))</f>
        <v>EST_CARRY_FWD</v>
      </c>
      <c r="V7" s="20">
        <f>IF($D7="","",COUNTIF(K7:U7,"OBS"))</f>
        <v>10</v>
      </c>
      <c r="W7" s="20">
        <f>IF($D7="","",COUNTIF(K7:U7,"EST_*"))</f>
        <v>1</v>
      </c>
      <c r="X7" s="20">
        <f>IF($D7="","",COUNTIF(K7:U7,"SEM_DADO"))</f>
        <v>0</v>
      </c>
      <c r="Y7" s="20" t="str">
        <f>IF($D7="","",(V7+W7)&amp;"/11")</f>
        <v>11/11</v>
      </c>
    </row>
    <row r="8" spans="1:25">
      <c r="A8" s="6" t="str">
        <f>IF('03_Base_Indice'!$A8="","",'03_Base_Indice'!$A8)</f>
        <v>1. Governança e Estado de Direito</v>
      </c>
      <c r="B8" s="6">
        <f>'03_Base_Indice'!$B8</f>
        <v>4</v>
      </c>
      <c r="D8" s="6" t="str">
        <f>IF('03_Base_Indice'!$D8="","",'03_Base_Indice'!$D8)</f>
        <v>GOV03</v>
      </c>
      <c r="E8" s="6" t="str">
        <f>IF('03_Base_Indice'!$E8="","",'03_Base_Indice'!$E8)</f>
        <v>WGI - Eficiência do Governo</v>
      </c>
      <c r="K8" s="20" t="str">
        <f>IF('03_Base_Indice'!$D8="","",IF('03_Base_Indice'!K8&lt;&gt;"","OBS",IF(AND(Aux!B8&lt;&gt;"",Aux!N8&lt;&gt;"",(N(Aux!N8)-N(Aux!B8)-1)&lt;='01_Criterios'!$C$13),"EST_INTERP",IF(AND(Aux!B8&lt;&gt;"",(1-N(Aux!B8))&lt;='01_Criterios'!$C$14),"EST_CARRY_FWD",IF(AND(Aux!N8&lt;&gt;"",(N(Aux!N8)-1)&lt;='01_Criterios'!$C$15),"EST_CARRY_BWD","SEM_DADO")))))</f>
        <v>OBS</v>
      </c>
      <c r="L8" s="20" t="str">
        <f>IF('03_Base_Indice'!$D8="","",IF('03_Base_Indice'!L8&lt;&gt;"","OBS",IF(AND(Aux!C8&lt;&gt;"",Aux!O8&lt;&gt;"",(N(Aux!O8)-N(Aux!C8)-1)&lt;='01_Criterios'!$C$13),"EST_INTERP",IF(AND(Aux!C8&lt;&gt;"",(2-N(Aux!C8))&lt;='01_Criterios'!$C$14),"EST_CARRY_FWD",IF(AND(Aux!O8&lt;&gt;"",(N(Aux!O8)-2)&lt;='01_Criterios'!$C$15),"EST_CARRY_BWD","SEM_DADO")))))</f>
        <v>OBS</v>
      </c>
      <c r="M8" s="20" t="str">
        <f>IF('03_Base_Indice'!$D8="","",IF('03_Base_Indice'!M8&lt;&gt;"","OBS",IF(AND(Aux!D8&lt;&gt;"",Aux!P8&lt;&gt;"",(N(Aux!P8)-N(Aux!D8)-1)&lt;='01_Criterios'!$C$13),"EST_INTERP",IF(AND(Aux!D8&lt;&gt;"",(3-N(Aux!D8))&lt;='01_Criterios'!$C$14),"EST_CARRY_FWD",IF(AND(Aux!P8&lt;&gt;"",(N(Aux!P8)-3)&lt;='01_Criterios'!$C$15),"EST_CARRY_BWD","SEM_DADO")))))</f>
        <v>OBS</v>
      </c>
      <c r="N8" s="20" t="str">
        <f>IF('03_Base_Indice'!$D8="","",IF('03_Base_Indice'!N8&lt;&gt;"","OBS",IF(AND(Aux!E8&lt;&gt;"",Aux!Q8&lt;&gt;"",(N(Aux!Q8)-N(Aux!E8)-1)&lt;='01_Criterios'!$C$13),"EST_INTERP",IF(AND(Aux!E8&lt;&gt;"",(4-N(Aux!E8))&lt;='01_Criterios'!$C$14),"EST_CARRY_FWD",IF(AND(Aux!Q8&lt;&gt;"",(N(Aux!Q8)-4)&lt;='01_Criterios'!$C$15),"EST_CARRY_BWD","SEM_DADO")))))</f>
        <v>OBS</v>
      </c>
      <c r="O8" s="20" t="str">
        <f>IF('03_Base_Indice'!$D8="","",IF('03_Base_Indice'!O8&lt;&gt;"","OBS",IF(AND(Aux!F8&lt;&gt;"",Aux!R8&lt;&gt;"",(N(Aux!R8)-N(Aux!F8)-1)&lt;='01_Criterios'!$C$13),"EST_INTERP",IF(AND(Aux!F8&lt;&gt;"",(5-N(Aux!F8))&lt;='01_Criterios'!$C$14),"EST_CARRY_FWD",IF(AND(Aux!R8&lt;&gt;"",(N(Aux!R8)-5)&lt;='01_Criterios'!$C$15),"EST_CARRY_BWD","SEM_DADO")))))</f>
        <v>OBS</v>
      </c>
      <c r="P8" s="20" t="str">
        <f>IF('03_Base_Indice'!$D8="","",IF('03_Base_Indice'!P8&lt;&gt;"","OBS",IF(AND(Aux!G8&lt;&gt;"",Aux!S8&lt;&gt;"",(N(Aux!S8)-N(Aux!G8)-1)&lt;='01_Criterios'!$C$13),"EST_INTERP",IF(AND(Aux!G8&lt;&gt;"",(6-N(Aux!G8))&lt;='01_Criterios'!$C$14),"EST_CARRY_FWD",IF(AND(Aux!S8&lt;&gt;"",(N(Aux!S8)-6)&lt;='01_Criterios'!$C$15),"EST_CARRY_BWD","SEM_DADO")))))</f>
        <v>OBS</v>
      </c>
      <c r="Q8" s="20" t="str">
        <f>IF('03_Base_Indice'!$D8="","",IF('03_Base_Indice'!Q8&lt;&gt;"","OBS",IF(AND(Aux!H8&lt;&gt;"",Aux!T8&lt;&gt;"",(N(Aux!T8)-N(Aux!H8)-1)&lt;='01_Criterios'!$C$13),"EST_INTERP",IF(AND(Aux!H8&lt;&gt;"",(7-N(Aux!H8))&lt;='01_Criterios'!$C$14),"EST_CARRY_FWD",IF(AND(Aux!T8&lt;&gt;"",(N(Aux!T8)-7)&lt;='01_Criterios'!$C$15),"EST_CARRY_BWD","SEM_DADO")))))</f>
        <v>OBS</v>
      </c>
      <c r="R8" s="20" t="str">
        <f>IF('03_Base_Indice'!$D8="","",IF('03_Base_Indice'!R8&lt;&gt;"","OBS",IF(AND(Aux!I8&lt;&gt;"",Aux!U8&lt;&gt;"",(N(Aux!U8)-N(Aux!I8)-1)&lt;='01_Criterios'!$C$13),"EST_INTERP",IF(AND(Aux!I8&lt;&gt;"",(8-N(Aux!I8))&lt;='01_Criterios'!$C$14),"EST_CARRY_FWD",IF(AND(Aux!U8&lt;&gt;"",(N(Aux!U8)-8)&lt;='01_Criterios'!$C$15),"EST_CARRY_BWD","SEM_DADO")))))</f>
        <v>OBS</v>
      </c>
      <c r="S8" s="20" t="str">
        <f>IF('03_Base_Indice'!$D8="","",IF('03_Base_Indice'!S8&lt;&gt;"","OBS",IF(AND(Aux!J8&lt;&gt;"",Aux!V8&lt;&gt;"",(N(Aux!V8)-N(Aux!J8)-1)&lt;='01_Criterios'!$C$13),"EST_INTERP",IF(AND(Aux!J8&lt;&gt;"",(9-N(Aux!J8))&lt;='01_Criterios'!$C$14),"EST_CARRY_FWD",IF(AND(Aux!V8&lt;&gt;"",(N(Aux!V8)-9)&lt;='01_Criterios'!$C$15),"EST_CARRY_BWD","SEM_DADO")))))</f>
        <v>OBS</v>
      </c>
      <c r="T8" s="20" t="str">
        <f>IF('03_Base_Indice'!$D8="","",IF('03_Base_Indice'!T8&lt;&gt;"","OBS",IF(AND(Aux!K8&lt;&gt;"",Aux!W8&lt;&gt;"",(N(Aux!W8)-N(Aux!K8)-1)&lt;='01_Criterios'!$C$13),"EST_INTERP",IF(AND(Aux!K8&lt;&gt;"",(10-N(Aux!K8))&lt;='01_Criterios'!$C$14),"EST_CARRY_FWD",IF(AND(Aux!W8&lt;&gt;"",(N(Aux!W8)-10)&lt;='01_Criterios'!$C$15),"EST_CARRY_BWD","SEM_DADO")))))</f>
        <v>OBS</v>
      </c>
      <c r="U8" s="20" t="str">
        <f>IF('03_Base_Indice'!$D8="","",IF('03_Base_Indice'!U8&lt;&gt;"","OBS",IF(AND(Aux!L8&lt;&gt;"",Aux!X8&lt;&gt;"",(N(Aux!X8)-N(Aux!L8)-1)&lt;='01_Criterios'!$C$13),"EST_INTERP",IF(AND(Aux!L8&lt;&gt;"",(11-N(Aux!L8))&lt;='01_Criterios'!$C$14),"EST_CARRY_FWD",IF(AND(Aux!X8&lt;&gt;"",(N(Aux!X8)-11)&lt;='01_Criterios'!$C$15),"EST_CARRY_BWD","SEM_DADO")))))</f>
        <v>EST_CARRY_FWD</v>
      </c>
      <c r="V8" s="20">
        <f>IF($D8="","",COUNTIF(K8:U8,"OBS"))</f>
        <v>10</v>
      </c>
      <c r="W8" s="20">
        <f>IF($D8="","",COUNTIF(K8:U8,"EST_*"))</f>
        <v>1</v>
      </c>
      <c r="X8" s="20">
        <f>IF($D8="","",COUNTIF(K8:U8,"SEM_DADO"))</f>
        <v>0</v>
      </c>
      <c r="Y8" s="20" t="str">
        <f>IF($D8="","",(V8+W8)&amp;"/11")</f>
        <v>11/11</v>
      </c>
    </row>
    <row r="9" spans="1:25">
      <c r="A9" s="6" t="str">
        <f>IF('03_Base_Indice'!$A9="","",'03_Base_Indice'!$A9)</f>
        <v>1. Governança e Estado de Direito</v>
      </c>
      <c r="B9" s="6">
        <f>'03_Base_Indice'!$B9</f>
        <v>5</v>
      </c>
      <c r="D9" s="6" t="str">
        <f>IF('03_Base_Indice'!$D9="","",'03_Base_Indice'!$D9)</f>
        <v>GOV05</v>
      </c>
      <c r="E9" s="6" t="str">
        <f>IF('03_Base_Indice'!$E9="","",'03_Base_Indice'!$E9)</f>
        <v>WGI - Qualidade Regulatória</v>
      </c>
      <c r="K9" s="20" t="str">
        <f>IF('03_Base_Indice'!$D9="","",IF('03_Base_Indice'!K9&lt;&gt;"","OBS",IF(AND(Aux!B9&lt;&gt;"",Aux!N9&lt;&gt;"",(N(Aux!N9)-N(Aux!B9)-1)&lt;='01_Criterios'!$C$13),"EST_INTERP",IF(AND(Aux!B9&lt;&gt;"",(1-N(Aux!B9))&lt;='01_Criterios'!$C$14),"EST_CARRY_FWD",IF(AND(Aux!N9&lt;&gt;"",(N(Aux!N9)-1)&lt;='01_Criterios'!$C$15),"EST_CARRY_BWD","SEM_DADO")))))</f>
        <v>OBS</v>
      </c>
      <c r="L9" s="20" t="str">
        <f>IF('03_Base_Indice'!$D9="","",IF('03_Base_Indice'!L9&lt;&gt;"","OBS",IF(AND(Aux!C9&lt;&gt;"",Aux!O9&lt;&gt;"",(N(Aux!O9)-N(Aux!C9)-1)&lt;='01_Criterios'!$C$13),"EST_INTERP",IF(AND(Aux!C9&lt;&gt;"",(2-N(Aux!C9))&lt;='01_Criterios'!$C$14),"EST_CARRY_FWD",IF(AND(Aux!O9&lt;&gt;"",(N(Aux!O9)-2)&lt;='01_Criterios'!$C$15),"EST_CARRY_BWD","SEM_DADO")))))</f>
        <v>OBS</v>
      </c>
      <c r="M9" s="20" t="str">
        <f>IF('03_Base_Indice'!$D9="","",IF('03_Base_Indice'!M9&lt;&gt;"","OBS",IF(AND(Aux!D9&lt;&gt;"",Aux!P9&lt;&gt;"",(N(Aux!P9)-N(Aux!D9)-1)&lt;='01_Criterios'!$C$13),"EST_INTERP",IF(AND(Aux!D9&lt;&gt;"",(3-N(Aux!D9))&lt;='01_Criterios'!$C$14),"EST_CARRY_FWD",IF(AND(Aux!P9&lt;&gt;"",(N(Aux!P9)-3)&lt;='01_Criterios'!$C$15),"EST_CARRY_BWD","SEM_DADO")))))</f>
        <v>OBS</v>
      </c>
      <c r="N9" s="20" t="str">
        <f>IF('03_Base_Indice'!$D9="","",IF('03_Base_Indice'!N9&lt;&gt;"","OBS",IF(AND(Aux!E9&lt;&gt;"",Aux!Q9&lt;&gt;"",(N(Aux!Q9)-N(Aux!E9)-1)&lt;='01_Criterios'!$C$13),"EST_INTERP",IF(AND(Aux!E9&lt;&gt;"",(4-N(Aux!E9))&lt;='01_Criterios'!$C$14),"EST_CARRY_FWD",IF(AND(Aux!Q9&lt;&gt;"",(N(Aux!Q9)-4)&lt;='01_Criterios'!$C$15),"EST_CARRY_BWD","SEM_DADO")))))</f>
        <v>OBS</v>
      </c>
      <c r="O9" s="20" t="str">
        <f>IF('03_Base_Indice'!$D9="","",IF('03_Base_Indice'!O9&lt;&gt;"","OBS",IF(AND(Aux!F9&lt;&gt;"",Aux!R9&lt;&gt;"",(N(Aux!R9)-N(Aux!F9)-1)&lt;='01_Criterios'!$C$13),"EST_INTERP",IF(AND(Aux!F9&lt;&gt;"",(5-N(Aux!F9))&lt;='01_Criterios'!$C$14),"EST_CARRY_FWD",IF(AND(Aux!R9&lt;&gt;"",(N(Aux!R9)-5)&lt;='01_Criterios'!$C$15),"EST_CARRY_BWD","SEM_DADO")))))</f>
        <v>OBS</v>
      </c>
      <c r="P9" s="20" t="str">
        <f>IF('03_Base_Indice'!$D9="","",IF('03_Base_Indice'!P9&lt;&gt;"","OBS",IF(AND(Aux!G9&lt;&gt;"",Aux!S9&lt;&gt;"",(N(Aux!S9)-N(Aux!G9)-1)&lt;='01_Criterios'!$C$13),"EST_INTERP",IF(AND(Aux!G9&lt;&gt;"",(6-N(Aux!G9))&lt;='01_Criterios'!$C$14),"EST_CARRY_FWD",IF(AND(Aux!S9&lt;&gt;"",(N(Aux!S9)-6)&lt;='01_Criterios'!$C$15),"EST_CARRY_BWD","SEM_DADO")))))</f>
        <v>OBS</v>
      </c>
      <c r="Q9" s="20" t="str">
        <f>IF('03_Base_Indice'!$D9="","",IF('03_Base_Indice'!Q9&lt;&gt;"","OBS",IF(AND(Aux!H9&lt;&gt;"",Aux!T9&lt;&gt;"",(N(Aux!T9)-N(Aux!H9)-1)&lt;='01_Criterios'!$C$13),"EST_INTERP",IF(AND(Aux!H9&lt;&gt;"",(7-N(Aux!H9))&lt;='01_Criterios'!$C$14),"EST_CARRY_FWD",IF(AND(Aux!T9&lt;&gt;"",(N(Aux!T9)-7)&lt;='01_Criterios'!$C$15),"EST_CARRY_BWD","SEM_DADO")))))</f>
        <v>OBS</v>
      </c>
      <c r="R9" s="20" t="str">
        <f>IF('03_Base_Indice'!$D9="","",IF('03_Base_Indice'!R9&lt;&gt;"","OBS",IF(AND(Aux!I9&lt;&gt;"",Aux!U9&lt;&gt;"",(N(Aux!U9)-N(Aux!I9)-1)&lt;='01_Criterios'!$C$13),"EST_INTERP",IF(AND(Aux!I9&lt;&gt;"",(8-N(Aux!I9))&lt;='01_Criterios'!$C$14),"EST_CARRY_FWD",IF(AND(Aux!U9&lt;&gt;"",(N(Aux!U9)-8)&lt;='01_Criterios'!$C$15),"EST_CARRY_BWD","SEM_DADO")))))</f>
        <v>OBS</v>
      </c>
      <c r="S9" s="20" t="str">
        <f>IF('03_Base_Indice'!$D9="","",IF('03_Base_Indice'!S9&lt;&gt;"","OBS",IF(AND(Aux!J9&lt;&gt;"",Aux!V9&lt;&gt;"",(N(Aux!V9)-N(Aux!J9)-1)&lt;='01_Criterios'!$C$13),"EST_INTERP",IF(AND(Aux!J9&lt;&gt;"",(9-N(Aux!J9))&lt;='01_Criterios'!$C$14),"EST_CARRY_FWD",IF(AND(Aux!V9&lt;&gt;"",(N(Aux!V9)-9)&lt;='01_Criterios'!$C$15),"EST_CARRY_BWD","SEM_DADO")))))</f>
        <v>OBS</v>
      </c>
      <c r="T9" s="20" t="str">
        <f>IF('03_Base_Indice'!$D9="","",IF('03_Base_Indice'!T9&lt;&gt;"","OBS",IF(AND(Aux!K9&lt;&gt;"",Aux!W9&lt;&gt;"",(N(Aux!W9)-N(Aux!K9)-1)&lt;='01_Criterios'!$C$13),"EST_INTERP",IF(AND(Aux!K9&lt;&gt;"",(10-N(Aux!K9))&lt;='01_Criterios'!$C$14),"EST_CARRY_FWD",IF(AND(Aux!W9&lt;&gt;"",(N(Aux!W9)-10)&lt;='01_Criterios'!$C$15),"EST_CARRY_BWD","SEM_DADO")))))</f>
        <v>OBS</v>
      </c>
      <c r="U9" s="20" t="str">
        <f>IF('03_Base_Indice'!$D9="","",IF('03_Base_Indice'!U9&lt;&gt;"","OBS",IF(AND(Aux!L9&lt;&gt;"",Aux!X9&lt;&gt;"",(N(Aux!X9)-N(Aux!L9)-1)&lt;='01_Criterios'!$C$13),"EST_INTERP",IF(AND(Aux!L9&lt;&gt;"",(11-N(Aux!L9))&lt;='01_Criterios'!$C$14),"EST_CARRY_FWD",IF(AND(Aux!X9&lt;&gt;"",(N(Aux!X9)-11)&lt;='01_Criterios'!$C$15),"EST_CARRY_BWD","SEM_DADO")))))</f>
        <v>EST_CARRY_FWD</v>
      </c>
      <c r="V9" s="20">
        <f>IF($D9="","",COUNTIF(K9:U9,"OBS"))</f>
        <v>10</v>
      </c>
      <c r="W9" s="20">
        <f>IF($D9="","",COUNTIF(K9:U9,"EST_*"))</f>
        <v>1</v>
      </c>
      <c r="X9" s="20">
        <f>IF($D9="","",COUNTIF(K9:U9,"SEM_DADO"))</f>
        <v>0</v>
      </c>
      <c r="Y9" s="20" t="str">
        <f>IF($D9="","",(V9+W9)&amp;"/11")</f>
        <v>11/11</v>
      </c>
    </row>
    <row r="10" spans="1:25">
      <c r="A10" s="6" t="str">
        <f>IF('03_Base_Indice'!$A10="","",'03_Base_Indice'!$A10)</f>
        <v>1. Governança e Estado de Direito</v>
      </c>
      <c r="B10" s="6">
        <f>'03_Base_Indice'!$B10</f>
        <v>6</v>
      </c>
      <c r="D10" s="6" t="str">
        <f>IF('03_Base_Indice'!$D10="","",'03_Base_Indice'!$D10)</f>
        <v/>
      </c>
      <c r="E10" s="6" t="str">
        <f>IF('03_Base_Indice'!$E10="","",'03_Base_Indice'!$E10)</f>
        <v/>
      </c>
      <c r="K10" s="20" t="str">
        <f>IF('03_Base_Indice'!$D10="","",IF('03_Base_Indice'!K10&lt;&gt;"","OBS",IF(AND(Aux!B10&lt;&gt;"",Aux!N10&lt;&gt;"",(N(Aux!N10)-N(Aux!B10)-1)&lt;='01_Criterios'!$C$13),"EST_INTERP",IF(AND(Aux!B10&lt;&gt;"",(1-N(Aux!B10))&lt;='01_Criterios'!$C$14),"EST_CARRY_FWD",IF(AND(Aux!N10&lt;&gt;"",(N(Aux!N10)-1)&lt;='01_Criterios'!$C$15),"EST_CARRY_BWD","SEM_DADO")))))</f>
        <v/>
      </c>
      <c r="L10" s="20" t="str">
        <f>IF('03_Base_Indice'!$D10="","",IF('03_Base_Indice'!L10&lt;&gt;"","OBS",IF(AND(Aux!C10&lt;&gt;"",Aux!O10&lt;&gt;"",(N(Aux!O10)-N(Aux!C10)-1)&lt;='01_Criterios'!$C$13),"EST_INTERP",IF(AND(Aux!C10&lt;&gt;"",(2-N(Aux!C10))&lt;='01_Criterios'!$C$14),"EST_CARRY_FWD",IF(AND(Aux!O10&lt;&gt;"",(N(Aux!O10)-2)&lt;='01_Criterios'!$C$15),"EST_CARRY_BWD","SEM_DADO")))))</f>
        <v/>
      </c>
      <c r="M10" s="20" t="str">
        <f>IF('03_Base_Indice'!$D10="","",IF('03_Base_Indice'!M10&lt;&gt;"","OBS",IF(AND(Aux!D10&lt;&gt;"",Aux!P10&lt;&gt;"",(N(Aux!P10)-N(Aux!D10)-1)&lt;='01_Criterios'!$C$13),"EST_INTERP",IF(AND(Aux!D10&lt;&gt;"",(3-N(Aux!D10))&lt;='01_Criterios'!$C$14),"EST_CARRY_FWD",IF(AND(Aux!P10&lt;&gt;"",(N(Aux!P10)-3)&lt;='01_Criterios'!$C$15),"EST_CARRY_BWD","SEM_DADO")))))</f>
        <v/>
      </c>
      <c r="N10" s="20" t="str">
        <f>IF('03_Base_Indice'!$D10="","",IF('03_Base_Indice'!N10&lt;&gt;"","OBS",IF(AND(Aux!E10&lt;&gt;"",Aux!Q10&lt;&gt;"",(N(Aux!Q10)-N(Aux!E10)-1)&lt;='01_Criterios'!$C$13),"EST_INTERP",IF(AND(Aux!E10&lt;&gt;"",(4-N(Aux!E10))&lt;='01_Criterios'!$C$14),"EST_CARRY_FWD",IF(AND(Aux!Q10&lt;&gt;"",(N(Aux!Q10)-4)&lt;='01_Criterios'!$C$15),"EST_CARRY_BWD","SEM_DADO")))))</f>
        <v/>
      </c>
      <c r="O10" s="20" t="str">
        <f>IF('03_Base_Indice'!$D10="","",IF('03_Base_Indice'!O10&lt;&gt;"","OBS",IF(AND(Aux!F10&lt;&gt;"",Aux!R10&lt;&gt;"",(N(Aux!R10)-N(Aux!F10)-1)&lt;='01_Criterios'!$C$13),"EST_INTERP",IF(AND(Aux!F10&lt;&gt;"",(5-N(Aux!F10))&lt;='01_Criterios'!$C$14),"EST_CARRY_FWD",IF(AND(Aux!R10&lt;&gt;"",(N(Aux!R10)-5)&lt;='01_Criterios'!$C$15),"EST_CARRY_BWD","SEM_DADO")))))</f>
        <v/>
      </c>
      <c r="P10" s="20" t="str">
        <f>IF('03_Base_Indice'!$D10="","",IF('03_Base_Indice'!P10&lt;&gt;"","OBS",IF(AND(Aux!G10&lt;&gt;"",Aux!S10&lt;&gt;"",(N(Aux!S10)-N(Aux!G10)-1)&lt;='01_Criterios'!$C$13),"EST_INTERP",IF(AND(Aux!G10&lt;&gt;"",(6-N(Aux!G10))&lt;='01_Criterios'!$C$14),"EST_CARRY_FWD",IF(AND(Aux!S10&lt;&gt;"",(N(Aux!S10)-6)&lt;='01_Criterios'!$C$15),"EST_CARRY_BWD","SEM_DADO")))))</f>
        <v/>
      </c>
      <c r="Q10" s="20" t="str">
        <f>IF('03_Base_Indice'!$D10="","",IF('03_Base_Indice'!Q10&lt;&gt;"","OBS",IF(AND(Aux!H10&lt;&gt;"",Aux!T10&lt;&gt;"",(N(Aux!T10)-N(Aux!H10)-1)&lt;='01_Criterios'!$C$13),"EST_INTERP",IF(AND(Aux!H10&lt;&gt;"",(7-N(Aux!H10))&lt;='01_Criterios'!$C$14),"EST_CARRY_FWD",IF(AND(Aux!T10&lt;&gt;"",(N(Aux!T10)-7)&lt;='01_Criterios'!$C$15),"EST_CARRY_BWD","SEM_DADO")))))</f>
        <v/>
      </c>
      <c r="R10" s="20" t="str">
        <f>IF('03_Base_Indice'!$D10="","",IF('03_Base_Indice'!R10&lt;&gt;"","OBS",IF(AND(Aux!I10&lt;&gt;"",Aux!U10&lt;&gt;"",(N(Aux!U10)-N(Aux!I10)-1)&lt;='01_Criterios'!$C$13),"EST_INTERP",IF(AND(Aux!I10&lt;&gt;"",(8-N(Aux!I10))&lt;='01_Criterios'!$C$14),"EST_CARRY_FWD",IF(AND(Aux!U10&lt;&gt;"",(N(Aux!U10)-8)&lt;='01_Criterios'!$C$15),"EST_CARRY_BWD","SEM_DADO")))))</f>
        <v/>
      </c>
      <c r="S10" s="20" t="str">
        <f>IF('03_Base_Indice'!$D10="","",IF('03_Base_Indice'!S10&lt;&gt;"","OBS",IF(AND(Aux!J10&lt;&gt;"",Aux!V10&lt;&gt;"",(N(Aux!V10)-N(Aux!J10)-1)&lt;='01_Criterios'!$C$13),"EST_INTERP",IF(AND(Aux!J10&lt;&gt;"",(9-N(Aux!J10))&lt;='01_Criterios'!$C$14),"EST_CARRY_FWD",IF(AND(Aux!V10&lt;&gt;"",(N(Aux!V10)-9)&lt;='01_Criterios'!$C$15),"EST_CARRY_BWD","SEM_DADO")))))</f>
        <v/>
      </c>
      <c r="T10" s="20" t="str">
        <f>IF('03_Base_Indice'!$D10="","",IF('03_Base_Indice'!T10&lt;&gt;"","OBS",IF(AND(Aux!K10&lt;&gt;"",Aux!W10&lt;&gt;"",(N(Aux!W10)-N(Aux!K10)-1)&lt;='01_Criterios'!$C$13),"EST_INTERP",IF(AND(Aux!K10&lt;&gt;"",(10-N(Aux!K10))&lt;='01_Criterios'!$C$14),"EST_CARRY_FWD",IF(AND(Aux!W10&lt;&gt;"",(N(Aux!W10)-10)&lt;='01_Criterios'!$C$15),"EST_CARRY_BWD","SEM_DADO")))))</f>
        <v/>
      </c>
      <c r="U10" s="20" t="str">
        <f>IF('03_Base_Indice'!$D10="","",IF('03_Base_Indice'!U10&lt;&gt;"","OBS",IF(AND(Aux!L10&lt;&gt;"",Aux!X10&lt;&gt;"",(N(Aux!X10)-N(Aux!L10)-1)&lt;='01_Criterios'!$C$13),"EST_INTERP",IF(AND(Aux!L10&lt;&gt;"",(11-N(Aux!L10))&lt;='01_Criterios'!$C$14),"EST_CARRY_FWD",IF(AND(Aux!X10&lt;&gt;"",(N(Aux!X10)-11)&lt;='01_Criterios'!$C$15),"EST_CARRY_BWD","SEM_DADO")))))</f>
        <v/>
      </c>
      <c r="V10" s="20" t="str">
        <f>IF($D10="","",COUNTIF(K10:U10,"OBS"))</f>
        <v/>
      </c>
      <c r="W10" s="20" t="str">
        <f>IF($D10="","",COUNTIF(K10:U10,"EST_*"))</f>
        <v/>
      </c>
      <c r="X10" s="20" t="str">
        <f>IF($D10="","",COUNTIF(K10:U10,"SEM_DADO"))</f>
        <v/>
      </c>
      <c r="Y10" s="20" t="str">
        <f>IF($D10="","",(V10+W10)&amp;"/11")</f>
        <v/>
      </c>
    </row>
    <row r="11" spans="1:25">
      <c r="A11" s="6" t="str">
        <f>IF('03_Base_Indice'!$A11="","",'03_Base_Indice'!$A11)</f>
        <v>1. Governança e Estado de Direito</v>
      </c>
      <c r="B11" s="6">
        <f>'03_Base_Indice'!$B11</f>
        <v>7</v>
      </c>
      <c r="D11" s="6" t="str">
        <f>IF('03_Base_Indice'!$D11="","",'03_Base_Indice'!$D11)</f>
        <v/>
      </c>
      <c r="E11" s="6" t="str">
        <f>IF('03_Base_Indice'!$E11="","",'03_Base_Indice'!$E11)</f>
        <v/>
      </c>
      <c r="K11" s="20" t="str">
        <f>IF('03_Base_Indice'!$D11="","",IF('03_Base_Indice'!K11&lt;&gt;"","OBS",IF(AND(Aux!B11&lt;&gt;"",Aux!N11&lt;&gt;"",(N(Aux!N11)-N(Aux!B11)-1)&lt;='01_Criterios'!$C$13),"EST_INTERP",IF(AND(Aux!B11&lt;&gt;"",(1-N(Aux!B11))&lt;='01_Criterios'!$C$14),"EST_CARRY_FWD",IF(AND(Aux!N11&lt;&gt;"",(N(Aux!N11)-1)&lt;='01_Criterios'!$C$15),"EST_CARRY_BWD","SEM_DADO")))))</f>
        <v/>
      </c>
      <c r="L11" s="20" t="str">
        <f>IF('03_Base_Indice'!$D11="","",IF('03_Base_Indice'!L11&lt;&gt;"","OBS",IF(AND(Aux!C11&lt;&gt;"",Aux!O11&lt;&gt;"",(N(Aux!O11)-N(Aux!C11)-1)&lt;='01_Criterios'!$C$13),"EST_INTERP",IF(AND(Aux!C11&lt;&gt;"",(2-N(Aux!C11))&lt;='01_Criterios'!$C$14),"EST_CARRY_FWD",IF(AND(Aux!O11&lt;&gt;"",(N(Aux!O11)-2)&lt;='01_Criterios'!$C$15),"EST_CARRY_BWD","SEM_DADO")))))</f>
        <v/>
      </c>
      <c r="M11" s="20" t="str">
        <f>IF('03_Base_Indice'!$D11="","",IF('03_Base_Indice'!M11&lt;&gt;"","OBS",IF(AND(Aux!D11&lt;&gt;"",Aux!P11&lt;&gt;"",(N(Aux!P11)-N(Aux!D11)-1)&lt;='01_Criterios'!$C$13),"EST_INTERP",IF(AND(Aux!D11&lt;&gt;"",(3-N(Aux!D11))&lt;='01_Criterios'!$C$14),"EST_CARRY_FWD",IF(AND(Aux!P11&lt;&gt;"",(N(Aux!P11)-3)&lt;='01_Criterios'!$C$15),"EST_CARRY_BWD","SEM_DADO")))))</f>
        <v/>
      </c>
      <c r="N11" s="20" t="str">
        <f>IF('03_Base_Indice'!$D11="","",IF('03_Base_Indice'!N11&lt;&gt;"","OBS",IF(AND(Aux!E11&lt;&gt;"",Aux!Q11&lt;&gt;"",(N(Aux!Q11)-N(Aux!E11)-1)&lt;='01_Criterios'!$C$13),"EST_INTERP",IF(AND(Aux!E11&lt;&gt;"",(4-N(Aux!E11))&lt;='01_Criterios'!$C$14),"EST_CARRY_FWD",IF(AND(Aux!Q11&lt;&gt;"",(N(Aux!Q11)-4)&lt;='01_Criterios'!$C$15),"EST_CARRY_BWD","SEM_DADO")))))</f>
        <v/>
      </c>
      <c r="O11" s="20" t="str">
        <f>IF('03_Base_Indice'!$D11="","",IF('03_Base_Indice'!O11&lt;&gt;"","OBS",IF(AND(Aux!F11&lt;&gt;"",Aux!R11&lt;&gt;"",(N(Aux!R11)-N(Aux!F11)-1)&lt;='01_Criterios'!$C$13),"EST_INTERP",IF(AND(Aux!F11&lt;&gt;"",(5-N(Aux!F11))&lt;='01_Criterios'!$C$14),"EST_CARRY_FWD",IF(AND(Aux!R11&lt;&gt;"",(N(Aux!R11)-5)&lt;='01_Criterios'!$C$15),"EST_CARRY_BWD","SEM_DADO")))))</f>
        <v/>
      </c>
      <c r="P11" s="20" t="str">
        <f>IF('03_Base_Indice'!$D11="","",IF('03_Base_Indice'!P11&lt;&gt;"","OBS",IF(AND(Aux!G11&lt;&gt;"",Aux!S11&lt;&gt;"",(N(Aux!S11)-N(Aux!G11)-1)&lt;='01_Criterios'!$C$13),"EST_INTERP",IF(AND(Aux!G11&lt;&gt;"",(6-N(Aux!G11))&lt;='01_Criterios'!$C$14),"EST_CARRY_FWD",IF(AND(Aux!S11&lt;&gt;"",(N(Aux!S11)-6)&lt;='01_Criterios'!$C$15),"EST_CARRY_BWD","SEM_DADO")))))</f>
        <v/>
      </c>
      <c r="Q11" s="20" t="str">
        <f>IF('03_Base_Indice'!$D11="","",IF('03_Base_Indice'!Q11&lt;&gt;"","OBS",IF(AND(Aux!H11&lt;&gt;"",Aux!T11&lt;&gt;"",(N(Aux!T11)-N(Aux!H11)-1)&lt;='01_Criterios'!$C$13),"EST_INTERP",IF(AND(Aux!H11&lt;&gt;"",(7-N(Aux!H11))&lt;='01_Criterios'!$C$14),"EST_CARRY_FWD",IF(AND(Aux!T11&lt;&gt;"",(N(Aux!T11)-7)&lt;='01_Criterios'!$C$15),"EST_CARRY_BWD","SEM_DADO")))))</f>
        <v/>
      </c>
      <c r="R11" s="20" t="str">
        <f>IF('03_Base_Indice'!$D11="","",IF('03_Base_Indice'!R11&lt;&gt;"","OBS",IF(AND(Aux!I11&lt;&gt;"",Aux!U11&lt;&gt;"",(N(Aux!U11)-N(Aux!I11)-1)&lt;='01_Criterios'!$C$13),"EST_INTERP",IF(AND(Aux!I11&lt;&gt;"",(8-N(Aux!I11))&lt;='01_Criterios'!$C$14),"EST_CARRY_FWD",IF(AND(Aux!U11&lt;&gt;"",(N(Aux!U11)-8)&lt;='01_Criterios'!$C$15),"EST_CARRY_BWD","SEM_DADO")))))</f>
        <v/>
      </c>
      <c r="S11" s="20" t="str">
        <f>IF('03_Base_Indice'!$D11="","",IF('03_Base_Indice'!S11&lt;&gt;"","OBS",IF(AND(Aux!J11&lt;&gt;"",Aux!V11&lt;&gt;"",(N(Aux!V11)-N(Aux!J11)-1)&lt;='01_Criterios'!$C$13),"EST_INTERP",IF(AND(Aux!J11&lt;&gt;"",(9-N(Aux!J11))&lt;='01_Criterios'!$C$14),"EST_CARRY_FWD",IF(AND(Aux!V11&lt;&gt;"",(N(Aux!V11)-9)&lt;='01_Criterios'!$C$15),"EST_CARRY_BWD","SEM_DADO")))))</f>
        <v/>
      </c>
      <c r="T11" s="20" t="str">
        <f>IF('03_Base_Indice'!$D11="","",IF('03_Base_Indice'!T11&lt;&gt;"","OBS",IF(AND(Aux!K11&lt;&gt;"",Aux!W11&lt;&gt;"",(N(Aux!W11)-N(Aux!K11)-1)&lt;='01_Criterios'!$C$13),"EST_INTERP",IF(AND(Aux!K11&lt;&gt;"",(10-N(Aux!K11))&lt;='01_Criterios'!$C$14),"EST_CARRY_FWD",IF(AND(Aux!W11&lt;&gt;"",(N(Aux!W11)-10)&lt;='01_Criterios'!$C$15),"EST_CARRY_BWD","SEM_DADO")))))</f>
        <v/>
      </c>
      <c r="U11" s="20" t="str">
        <f>IF('03_Base_Indice'!$D11="","",IF('03_Base_Indice'!U11&lt;&gt;"","OBS",IF(AND(Aux!L11&lt;&gt;"",Aux!X11&lt;&gt;"",(N(Aux!X11)-N(Aux!L11)-1)&lt;='01_Criterios'!$C$13),"EST_INTERP",IF(AND(Aux!L11&lt;&gt;"",(11-N(Aux!L11))&lt;='01_Criterios'!$C$14),"EST_CARRY_FWD",IF(AND(Aux!X11&lt;&gt;"",(N(Aux!X11)-11)&lt;='01_Criterios'!$C$15),"EST_CARRY_BWD","SEM_DADO")))))</f>
        <v/>
      </c>
      <c r="V11" s="20" t="str">
        <f>IF($D11="","",COUNTIF(K11:U11,"OBS"))</f>
        <v/>
      </c>
      <c r="W11" s="20" t="str">
        <f>IF($D11="","",COUNTIF(K11:U11,"EST_*"))</f>
        <v/>
      </c>
      <c r="X11" s="20" t="str">
        <f>IF($D11="","",COUNTIF(K11:U11,"SEM_DADO"))</f>
        <v/>
      </c>
      <c r="Y11" s="20" t="str">
        <f>IF($D11="","",(V11+W11)&amp;"/11")</f>
        <v/>
      </c>
    </row>
    <row r="12" spans="1:25">
      <c r="A12" s="6" t="str">
        <f>IF('03_Base_Indice'!$A12="","",'03_Base_Indice'!$A12)</f>
        <v>1. Governança e Estado de Direito</v>
      </c>
      <c r="B12" s="6">
        <f>'03_Base_Indice'!$B12</f>
        <v>8</v>
      </c>
      <c r="D12" s="6" t="str">
        <f>IF('03_Base_Indice'!$D12="","",'03_Base_Indice'!$D12)</f>
        <v/>
      </c>
      <c r="E12" s="6" t="str">
        <f>IF('03_Base_Indice'!$E12="","",'03_Base_Indice'!$E12)</f>
        <v/>
      </c>
      <c r="K12" s="20" t="str">
        <f>IF('03_Base_Indice'!$D12="","",IF('03_Base_Indice'!K12&lt;&gt;"","OBS",IF(AND(Aux!B12&lt;&gt;"",Aux!N12&lt;&gt;"",(N(Aux!N12)-N(Aux!B12)-1)&lt;='01_Criterios'!$C$13),"EST_INTERP",IF(AND(Aux!B12&lt;&gt;"",(1-N(Aux!B12))&lt;='01_Criterios'!$C$14),"EST_CARRY_FWD",IF(AND(Aux!N12&lt;&gt;"",(N(Aux!N12)-1)&lt;='01_Criterios'!$C$15),"EST_CARRY_BWD","SEM_DADO")))))</f>
        <v/>
      </c>
      <c r="L12" s="20" t="str">
        <f>IF('03_Base_Indice'!$D12="","",IF('03_Base_Indice'!L12&lt;&gt;"","OBS",IF(AND(Aux!C12&lt;&gt;"",Aux!O12&lt;&gt;"",(N(Aux!O12)-N(Aux!C12)-1)&lt;='01_Criterios'!$C$13),"EST_INTERP",IF(AND(Aux!C12&lt;&gt;"",(2-N(Aux!C12))&lt;='01_Criterios'!$C$14),"EST_CARRY_FWD",IF(AND(Aux!O12&lt;&gt;"",(N(Aux!O12)-2)&lt;='01_Criterios'!$C$15),"EST_CARRY_BWD","SEM_DADO")))))</f>
        <v/>
      </c>
      <c r="M12" s="20" t="str">
        <f>IF('03_Base_Indice'!$D12="","",IF('03_Base_Indice'!M12&lt;&gt;"","OBS",IF(AND(Aux!D12&lt;&gt;"",Aux!P12&lt;&gt;"",(N(Aux!P12)-N(Aux!D12)-1)&lt;='01_Criterios'!$C$13),"EST_INTERP",IF(AND(Aux!D12&lt;&gt;"",(3-N(Aux!D12))&lt;='01_Criterios'!$C$14),"EST_CARRY_FWD",IF(AND(Aux!P12&lt;&gt;"",(N(Aux!P12)-3)&lt;='01_Criterios'!$C$15),"EST_CARRY_BWD","SEM_DADO")))))</f>
        <v/>
      </c>
      <c r="N12" s="20" t="str">
        <f>IF('03_Base_Indice'!$D12="","",IF('03_Base_Indice'!N12&lt;&gt;"","OBS",IF(AND(Aux!E12&lt;&gt;"",Aux!Q12&lt;&gt;"",(N(Aux!Q12)-N(Aux!E12)-1)&lt;='01_Criterios'!$C$13),"EST_INTERP",IF(AND(Aux!E12&lt;&gt;"",(4-N(Aux!E12))&lt;='01_Criterios'!$C$14),"EST_CARRY_FWD",IF(AND(Aux!Q12&lt;&gt;"",(N(Aux!Q12)-4)&lt;='01_Criterios'!$C$15),"EST_CARRY_BWD","SEM_DADO")))))</f>
        <v/>
      </c>
      <c r="O12" s="20" t="str">
        <f>IF('03_Base_Indice'!$D12="","",IF('03_Base_Indice'!O12&lt;&gt;"","OBS",IF(AND(Aux!F12&lt;&gt;"",Aux!R12&lt;&gt;"",(N(Aux!R12)-N(Aux!F12)-1)&lt;='01_Criterios'!$C$13),"EST_INTERP",IF(AND(Aux!F12&lt;&gt;"",(5-N(Aux!F12))&lt;='01_Criterios'!$C$14),"EST_CARRY_FWD",IF(AND(Aux!R12&lt;&gt;"",(N(Aux!R12)-5)&lt;='01_Criterios'!$C$15),"EST_CARRY_BWD","SEM_DADO")))))</f>
        <v/>
      </c>
      <c r="P12" s="20" t="str">
        <f>IF('03_Base_Indice'!$D12="","",IF('03_Base_Indice'!P12&lt;&gt;"","OBS",IF(AND(Aux!G12&lt;&gt;"",Aux!S12&lt;&gt;"",(N(Aux!S12)-N(Aux!G12)-1)&lt;='01_Criterios'!$C$13),"EST_INTERP",IF(AND(Aux!G12&lt;&gt;"",(6-N(Aux!G12))&lt;='01_Criterios'!$C$14),"EST_CARRY_FWD",IF(AND(Aux!S12&lt;&gt;"",(N(Aux!S12)-6)&lt;='01_Criterios'!$C$15),"EST_CARRY_BWD","SEM_DADO")))))</f>
        <v/>
      </c>
      <c r="Q12" s="20" t="str">
        <f>IF('03_Base_Indice'!$D12="","",IF('03_Base_Indice'!Q12&lt;&gt;"","OBS",IF(AND(Aux!H12&lt;&gt;"",Aux!T12&lt;&gt;"",(N(Aux!T12)-N(Aux!H12)-1)&lt;='01_Criterios'!$C$13),"EST_INTERP",IF(AND(Aux!H12&lt;&gt;"",(7-N(Aux!H12))&lt;='01_Criterios'!$C$14),"EST_CARRY_FWD",IF(AND(Aux!T12&lt;&gt;"",(N(Aux!T12)-7)&lt;='01_Criterios'!$C$15),"EST_CARRY_BWD","SEM_DADO")))))</f>
        <v/>
      </c>
      <c r="R12" s="20" t="str">
        <f>IF('03_Base_Indice'!$D12="","",IF('03_Base_Indice'!R12&lt;&gt;"","OBS",IF(AND(Aux!I12&lt;&gt;"",Aux!U12&lt;&gt;"",(N(Aux!U12)-N(Aux!I12)-1)&lt;='01_Criterios'!$C$13),"EST_INTERP",IF(AND(Aux!I12&lt;&gt;"",(8-N(Aux!I12))&lt;='01_Criterios'!$C$14),"EST_CARRY_FWD",IF(AND(Aux!U12&lt;&gt;"",(N(Aux!U12)-8)&lt;='01_Criterios'!$C$15),"EST_CARRY_BWD","SEM_DADO")))))</f>
        <v/>
      </c>
      <c r="S12" s="20" t="str">
        <f>IF('03_Base_Indice'!$D12="","",IF('03_Base_Indice'!S12&lt;&gt;"","OBS",IF(AND(Aux!J12&lt;&gt;"",Aux!V12&lt;&gt;"",(N(Aux!V12)-N(Aux!J12)-1)&lt;='01_Criterios'!$C$13),"EST_INTERP",IF(AND(Aux!J12&lt;&gt;"",(9-N(Aux!J12))&lt;='01_Criterios'!$C$14),"EST_CARRY_FWD",IF(AND(Aux!V12&lt;&gt;"",(N(Aux!V12)-9)&lt;='01_Criterios'!$C$15),"EST_CARRY_BWD","SEM_DADO")))))</f>
        <v/>
      </c>
      <c r="T12" s="20" t="str">
        <f>IF('03_Base_Indice'!$D12="","",IF('03_Base_Indice'!T12&lt;&gt;"","OBS",IF(AND(Aux!K12&lt;&gt;"",Aux!W12&lt;&gt;"",(N(Aux!W12)-N(Aux!K12)-1)&lt;='01_Criterios'!$C$13),"EST_INTERP",IF(AND(Aux!K12&lt;&gt;"",(10-N(Aux!K12))&lt;='01_Criterios'!$C$14),"EST_CARRY_FWD",IF(AND(Aux!W12&lt;&gt;"",(N(Aux!W12)-10)&lt;='01_Criterios'!$C$15),"EST_CARRY_BWD","SEM_DADO")))))</f>
        <v/>
      </c>
      <c r="U12" s="20" t="str">
        <f>IF('03_Base_Indice'!$D12="","",IF('03_Base_Indice'!U12&lt;&gt;"","OBS",IF(AND(Aux!L12&lt;&gt;"",Aux!X12&lt;&gt;"",(N(Aux!X12)-N(Aux!L12)-1)&lt;='01_Criterios'!$C$13),"EST_INTERP",IF(AND(Aux!L12&lt;&gt;"",(11-N(Aux!L12))&lt;='01_Criterios'!$C$14),"EST_CARRY_FWD",IF(AND(Aux!X12&lt;&gt;"",(N(Aux!X12)-11)&lt;='01_Criterios'!$C$15),"EST_CARRY_BWD","SEM_DADO")))))</f>
        <v/>
      </c>
      <c r="V12" s="20" t="str">
        <f>IF($D12="","",COUNTIF(K12:U12,"OBS"))</f>
        <v/>
      </c>
      <c r="W12" s="20" t="str">
        <f>IF($D12="","",COUNTIF(K12:U12,"EST_*"))</f>
        <v/>
      </c>
      <c r="X12" s="20" t="str">
        <f>IF($D12="","",COUNTIF(K12:U12,"SEM_DADO"))</f>
        <v/>
      </c>
      <c r="Y12" s="20" t="str">
        <f>IF($D12="","",(V12+W12)&amp;"/11")</f>
        <v/>
      </c>
    </row>
    <row r="13" spans="1:25">
      <c r="A13" s="6" t="str">
        <f>IF('03_Base_Indice'!$A13="","",'03_Base_Indice'!$A13)</f>
        <v>1. Governança e Estado de Direito</v>
      </c>
      <c r="B13" s="6">
        <f>'03_Base_Indice'!$B13</f>
        <v>9</v>
      </c>
      <c r="D13" s="6" t="str">
        <f>IF('03_Base_Indice'!$D13="","",'03_Base_Indice'!$D13)</f>
        <v/>
      </c>
      <c r="E13" s="6" t="str">
        <f>IF('03_Base_Indice'!$E13="","",'03_Base_Indice'!$E13)</f>
        <v/>
      </c>
      <c r="K13" s="20" t="str">
        <f>IF('03_Base_Indice'!$D13="","",IF('03_Base_Indice'!K13&lt;&gt;"","OBS",IF(AND(Aux!B13&lt;&gt;"",Aux!N13&lt;&gt;"",(N(Aux!N13)-N(Aux!B13)-1)&lt;='01_Criterios'!$C$13),"EST_INTERP",IF(AND(Aux!B13&lt;&gt;"",(1-N(Aux!B13))&lt;='01_Criterios'!$C$14),"EST_CARRY_FWD",IF(AND(Aux!N13&lt;&gt;"",(N(Aux!N13)-1)&lt;='01_Criterios'!$C$15),"EST_CARRY_BWD","SEM_DADO")))))</f>
        <v/>
      </c>
      <c r="L13" s="20" t="str">
        <f>IF('03_Base_Indice'!$D13="","",IF('03_Base_Indice'!L13&lt;&gt;"","OBS",IF(AND(Aux!C13&lt;&gt;"",Aux!O13&lt;&gt;"",(N(Aux!O13)-N(Aux!C13)-1)&lt;='01_Criterios'!$C$13),"EST_INTERP",IF(AND(Aux!C13&lt;&gt;"",(2-N(Aux!C13))&lt;='01_Criterios'!$C$14),"EST_CARRY_FWD",IF(AND(Aux!O13&lt;&gt;"",(N(Aux!O13)-2)&lt;='01_Criterios'!$C$15),"EST_CARRY_BWD","SEM_DADO")))))</f>
        <v/>
      </c>
      <c r="M13" s="20" t="str">
        <f>IF('03_Base_Indice'!$D13="","",IF('03_Base_Indice'!M13&lt;&gt;"","OBS",IF(AND(Aux!D13&lt;&gt;"",Aux!P13&lt;&gt;"",(N(Aux!P13)-N(Aux!D13)-1)&lt;='01_Criterios'!$C$13),"EST_INTERP",IF(AND(Aux!D13&lt;&gt;"",(3-N(Aux!D13))&lt;='01_Criterios'!$C$14),"EST_CARRY_FWD",IF(AND(Aux!P13&lt;&gt;"",(N(Aux!P13)-3)&lt;='01_Criterios'!$C$15),"EST_CARRY_BWD","SEM_DADO")))))</f>
        <v/>
      </c>
      <c r="N13" s="20" t="str">
        <f>IF('03_Base_Indice'!$D13="","",IF('03_Base_Indice'!N13&lt;&gt;"","OBS",IF(AND(Aux!E13&lt;&gt;"",Aux!Q13&lt;&gt;"",(N(Aux!Q13)-N(Aux!E13)-1)&lt;='01_Criterios'!$C$13),"EST_INTERP",IF(AND(Aux!E13&lt;&gt;"",(4-N(Aux!E13))&lt;='01_Criterios'!$C$14),"EST_CARRY_FWD",IF(AND(Aux!Q13&lt;&gt;"",(N(Aux!Q13)-4)&lt;='01_Criterios'!$C$15),"EST_CARRY_BWD","SEM_DADO")))))</f>
        <v/>
      </c>
      <c r="O13" s="20" t="str">
        <f>IF('03_Base_Indice'!$D13="","",IF('03_Base_Indice'!O13&lt;&gt;"","OBS",IF(AND(Aux!F13&lt;&gt;"",Aux!R13&lt;&gt;"",(N(Aux!R13)-N(Aux!F13)-1)&lt;='01_Criterios'!$C$13),"EST_INTERP",IF(AND(Aux!F13&lt;&gt;"",(5-N(Aux!F13))&lt;='01_Criterios'!$C$14),"EST_CARRY_FWD",IF(AND(Aux!R13&lt;&gt;"",(N(Aux!R13)-5)&lt;='01_Criterios'!$C$15),"EST_CARRY_BWD","SEM_DADO")))))</f>
        <v/>
      </c>
      <c r="P13" s="20" t="str">
        <f>IF('03_Base_Indice'!$D13="","",IF('03_Base_Indice'!P13&lt;&gt;"","OBS",IF(AND(Aux!G13&lt;&gt;"",Aux!S13&lt;&gt;"",(N(Aux!S13)-N(Aux!G13)-1)&lt;='01_Criterios'!$C$13),"EST_INTERP",IF(AND(Aux!G13&lt;&gt;"",(6-N(Aux!G13))&lt;='01_Criterios'!$C$14),"EST_CARRY_FWD",IF(AND(Aux!S13&lt;&gt;"",(N(Aux!S13)-6)&lt;='01_Criterios'!$C$15),"EST_CARRY_BWD","SEM_DADO")))))</f>
        <v/>
      </c>
      <c r="Q13" s="20" t="str">
        <f>IF('03_Base_Indice'!$D13="","",IF('03_Base_Indice'!Q13&lt;&gt;"","OBS",IF(AND(Aux!H13&lt;&gt;"",Aux!T13&lt;&gt;"",(N(Aux!T13)-N(Aux!H13)-1)&lt;='01_Criterios'!$C$13),"EST_INTERP",IF(AND(Aux!H13&lt;&gt;"",(7-N(Aux!H13))&lt;='01_Criterios'!$C$14),"EST_CARRY_FWD",IF(AND(Aux!T13&lt;&gt;"",(N(Aux!T13)-7)&lt;='01_Criterios'!$C$15),"EST_CARRY_BWD","SEM_DADO")))))</f>
        <v/>
      </c>
      <c r="R13" s="20" t="str">
        <f>IF('03_Base_Indice'!$D13="","",IF('03_Base_Indice'!R13&lt;&gt;"","OBS",IF(AND(Aux!I13&lt;&gt;"",Aux!U13&lt;&gt;"",(N(Aux!U13)-N(Aux!I13)-1)&lt;='01_Criterios'!$C$13),"EST_INTERP",IF(AND(Aux!I13&lt;&gt;"",(8-N(Aux!I13))&lt;='01_Criterios'!$C$14),"EST_CARRY_FWD",IF(AND(Aux!U13&lt;&gt;"",(N(Aux!U13)-8)&lt;='01_Criterios'!$C$15),"EST_CARRY_BWD","SEM_DADO")))))</f>
        <v/>
      </c>
      <c r="S13" s="20" t="str">
        <f>IF('03_Base_Indice'!$D13="","",IF('03_Base_Indice'!S13&lt;&gt;"","OBS",IF(AND(Aux!J13&lt;&gt;"",Aux!V13&lt;&gt;"",(N(Aux!V13)-N(Aux!J13)-1)&lt;='01_Criterios'!$C$13),"EST_INTERP",IF(AND(Aux!J13&lt;&gt;"",(9-N(Aux!J13))&lt;='01_Criterios'!$C$14),"EST_CARRY_FWD",IF(AND(Aux!V13&lt;&gt;"",(N(Aux!V13)-9)&lt;='01_Criterios'!$C$15),"EST_CARRY_BWD","SEM_DADO")))))</f>
        <v/>
      </c>
      <c r="T13" s="20" t="str">
        <f>IF('03_Base_Indice'!$D13="","",IF('03_Base_Indice'!T13&lt;&gt;"","OBS",IF(AND(Aux!K13&lt;&gt;"",Aux!W13&lt;&gt;"",(N(Aux!W13)-N(Aux!K13)-1)&lt;='01_Criterios'!$C$13),"EST_INTERP",IF(AND(Aux!K13&lt;&gt;"",(10-N(Aux!K13))&lt;='01_Criterios'!$C$14),"EST_CARRY_FWD",IF(AND(Aux!W13&lt;&gt;"",(N(Aux!W13)-10)&lt;='01_Criterios'!$C$15),"EST_CARRY_BWD","SEM_DADO")))))</f>
        <v/>
      </c>
      <c r="U13" s="20" t="str">
        <f>IF('03_Base_Indice'!$D13="","",IF('03_Base_Indice'!U13&lt;&gt;"","OBS",IF(AND(Aux!L13&lt;&gt;"",Aux!X13&lt;&gt;"",(N(Aux!X13)-N(Aux!L13)-1)&lt;='01_Criterios'!$C$13),"EST_INTERP",IF(AND(Aux!L13&lt;&gt;"",(11-N(Aux!L13))&lt;='01_Criterios'!$C$14),"EST_CARRY_FWD",IF(AND(Aux!X13&lt;&gt;"",(N(Aux!X13)-11)&lt;='01_Criterios'!$C$15),"EST_CARRY_BWD","SEM_DADO")))))</f>
        <v/>
      </c>
      <c r="V13" s="20" t="str">
        <f>IF($D13="","",COUNTIF(K13:U13,"OBS"))</f>
        <v/>
      </c>
      <c r="W13" s="20" t="str">
        <f>IF($D13="","",COUNTIF(K13:U13,"EST_*"))</f>
        <v/>
      </c>
      <c r="X13" s="20" t="str">
        <f>IF($D13="","",COUNTIF(K13:U13,"SEM_DADO"))</f>
        <v/>
      </c>
      <c r="Y13" s="20" t="str">
        <f>IF($D13="","",(V13+W13)&amp;"/11")</f>
        <v/>
      </c>
    </row>
    <row r="14" spans="1:25">
      <c r="A14" s="6" t="str">
        <f>IF('03_Base_Indice'!$A14="","",'03_Base_Indice'!$A14)</f>
        <v>1. Governança e Estado de Direito</v>
      </c>
      <c r="B14" s="6">
        <f>'03_Base_Indice'!$B14</f>
        <v>10</v>
      </c>
      <c r="D14" s="6" t="str">
        <f>IF('03_Base_Indice'!$D14="","",'03_Base_Indice'!$D14)</f>
        <v/>
      </c>
      <c r="E14" s="6" t="str">
        <f>IF('03_Base_Indice'!$E14="","",'03_Base_Indice'!$E14)</f>
        <v/>
      </c>
      <c r="K14" s="20" t="str">
        <f>IF('03_Base_Indice'!$D14="","",IF('03_Base_Indice'!K14&lt;&gt;"","OBS",IF(AND(Aux!B14&lt;&gt;"",Aux!N14&lt;&gt;"",(N(Aux!N14)-N(Aux!B14)-1)&lt;='01_Criterios'!$C$13),"EST_INTERP",IF(AND(Aux!B14&lt;&gt;"",(1-N(Aux!B14))&lt;='01_Criterios'!$C$14),"EST_CARRY_FWD",IF(AND(Aux!N14&lt;&gt;"",(N(Aux!N14)-1)&lt;='01_Criterios'!$C$15),"EST_CARRY_BWD","SEM_DADO")))))</f>
        <v/>
      </c>
      <c r="L14" s="20" t="str">
        <f>IF('03_Base_Indice'!$D14="","",IF('03_Base_Indice'!L14&lt;&gt;"","OBS",IF(AND(Aux!C14&lt;&gt;"",Aux!O14&lt;&gt;"",(N(Aux!O14)-N(Aux!C14)-1)&lt;='01_Criterios'!$C$13),"EST_INTERP",IF(AND(Aux!C14&lt;&gt;"",(2-N(Aux!C14))&lt;='01_Criterios'!$C$14),"EST_CARRY_FWD",IF(AND(Aux!O14&lt;&gt;"",(N(Aux!O14)-2)&lt;='01_Criterios'!$C$15),"EST_CARRY_BWD","SEM_DADO")))))</f>
        <v/>
      </c>
      <c r="M14" s="20" t="str">
        <f>IF('03_Base_Indice'!$D14="","",IF('03_Base_Indice'!M14&lt;&gt;"","OBS",IF(AND(Aux!D14&lt;&gt;"",Aux!P14&lt;&gt;"",(N(Aux!P14)-N(Aux!D14)-1)&lt;='01_Criterios'!$C$13),"EST_INTERP",IF(AND(Aux!D14&lt;&gt;"",(3-N(Aux!D14))&lt;='01_Criterios'!$C$14),"EST_CARRY_FWD",IF(AND(Aux!P14&lt;&gt;"",(N(Aux!P14)-3)&lt;='01_Criterios'!$C$15),"EST_CARRY_BWD","SEM_DADO")))))</f>
        <v/>
      </c>
      <c r="N14" s="20" t="str">
        <f>IF('03_Base_Indice'!$D14="","",IF('03_Base_Indice'!N14&lt;&gt;"","OBS",IF(AND(Aux!E14&lt;&gt;"",Aux!Q14&lt;&gt;"",(N(Aux!Q14)-N(Aux!E14)-1)&lt;='01_Criterios'!$C$13),"EST_INTERP",IF(AND(Aux!E14&lt;&gt;"",(4-N(Aux!E14))&lt;='01_Criterios'!$C$14),"EST_CARRY_FWD",IF(AND(Aux!Q14&lt;&gt;"",(N(Aux!Q14)-4)&lt;='01_Criterios'!$C$15),"EST_CARRY_BWD","SEM_DADO")))))</f>
        <v/>
      </c>
      <c r="O14" s="20" t="str">
        <f>IF('03_Base_Indice'!$D14="","",IF('03_Base_Indice'!O14&lt;&gt;"","OBS",IF(AND(Aux!F14&lt;&gt;"",Aux!R14&lt;&gt;"",(N(Aux!R14)-N(Aux!F14)-1)&lt;='01_Criterios'!$C$13),"EST_INTERP",IF(AND(Aux!F14&lt;&gt;"",(5-N(Aux!F14))&lt;='01_Criterios'!$C$14),"EST_CARRY_FWD",IF(AND(Aux!R14&lt;&gt;"",(N(Aux!R14)-5)&lt;='01_Criterios'!$C$15),"EST_CARRY_BWD","SEM_DADO")))))</f>
        <v/>
      </c>
      <c r="P14" s="20" t="str">
        <f>IF('03_Base_Indice'!$D14="","",IF('03_Base_Indice'!P14&lt;&gt;"","OBS",IF(AND(Aux!G14&lt;&gt;"",Aux!S14&lt;&gt;"",(N(Aux!S14)-N(Aux!G14)-1)&lt;='01_Criterios'!$C$13),"EST_INTERP",IF(AND(Aux!G14&lt;&gt;"",(6-N(Aux!G14))&lt;='01_Criterios'!$C$14),"EST_CARRY_FWD",IF(AND(Aux!S14&lt;&gt;"",(N(Aux!S14)-6)&lt;='01_Criterios'!$C$15),"EST_CARRY_BWD","SEM_DADO")))))</f>
        <v/>
      </c>
      <c r="Q14" s="20" t="str">
        <f>IF('03_Base_Indice'!$D14="","",IF('03_Base_Indice'!Q14&lt;&gt;"","OBS",IF(AND(Aux!H14&lt;&gt;"",Aux!T14&lt;&gt;"",(N(Aux!T14)-N(Aux!H14)-1)&lt;='01_Criterios'!$C$13),"EST_INTERP",IF(AND(Aux!H14&lt;&gt;"",(7-N(Aux!H14))&lt;='01_Criterios'!$C$14),"EST_CARRY_FWD",IF(AND(Aux!T14&lt;&gt;"",(N(Aux!T14)-7)&lt;='01_Criterios'!$C$15),"EST_CARRY_BWD","SEM_DADO")))))</f>
        <v/>
      </c>
      <c r="R14" s="20" t="str">
        <f>IF('03_Base_Indice'!$D14="","",IF('03_Base_Indice'!R14&lt;&gt;"","OBS",IF(AND(Aux!I14&lt;&gt;"",Aux!U14&lt;&gt;"",(N(Aux!U14)-N(Aux!I14)-1)&lt;='01_Criterios'!$C$13),"EST_INTERP",IF(AND(Aux!I14&lt;&gt;"",(8-N(Aux!I14))&lt;='01_Criterios'!$C$14),"EST_CARRY_FWD",IF(AND(Aux!U14&lt;&gt;"",(N(Aux!U14)-8)&lt;='01_Criterios'!$C$15),"EST_CARRY_BWD","SEM_DADO")))))</f>
        <v/>
      </c>
      <c r="S14" s="20" t="str">
        <f>IF('03_Base_Indice'!$D14="","",IF('03_Base_Indice'!S14&lt;&gt;"","OBS",IF(AND(Aux!J14&lt;&gt;"",Aux!V14&lt;&gt;"",(N(Aux!V14)-N(Aux!J14)-1)&lt;='01_Criterios'!$C$13),"EST_INTERP",IF(AND(Aux!J14&lt;&gt;"",(9-N(Aux!J14))&lt;='01_Criterios'!$C$14),"EST_CARRY_FWD",IF(AND(Aux!V14&lt;&gt;"",(N(Aux!V14)-9)&lt;='01_Criterios'!$C$15),"EST_CARRY_BWD","SEM_DADO")))))</f>
        <v/>
      </c>
      <c r="T14" s="20" t="str">
        <f>IF('03_Base_Indice'!$D14="","",IF('03_Base_Indice'!T14&lt;&gt;"","OBS",IF(AND(Aux!K14&lt;&gt;"",Aux!W14&lt;&gt;"",(N(Aux!W14)-N(Aux!K14)-1)&lt;='01_Criterios'!$C$13),"EST_INTERP",IF(AND(Aux!K14&lt;&gt;"",(10-N(Aux!K14))&lt;='01_Criterios'!$C$14),"EST_CARRY_FWD",IF(AND(Aux!W14&lt;&gt;"",(N(Aux!W14)-10)&lt;='01_Criterios'!$C$15),"EST_CARRY_BWD","SEM_DADO")))))</f>
        <v/>
      </c>
      <c r="U14" s="20" t="str">
        <f>IF('03_Base_Indice'!$D14="","",IF('03_Base_Indice'!U14&lt;&gt;"","OBS",IF(AND(Aux!L14&lt;&gt;"",Aux!X14&lt;&gt;"",(N(Aux!X14)-N(Aux!L14)-1)&lt;='01_Criterios'!$C$13),"EST_INTERP",IF(AND(Aux!L14&lt;&gt;"",(11-N(Aux!L14))&lt;='01_Criterios'!$C$14),"EST_CARRY_FWD",IF(AND(Aux!X14&lt;&gt;"",(N(Aux!X14)-11)&lt;='01_Criterios'!$C$15),"EST_CARRY_BWD","SEM_DADO")))))</f>
        <v/>
      </c>
      <c r="V14" s="20" t="str">
        <f>IF($D14="","",COUNTIF(K14:U14,"OBS"))</f>
        <v/>
      </c>
      <c r="W14" s="20" t="str">
        <f>IF($D14="","",COUNTIF(K14:U14,"EST_*"))</f>
        <v/>
      </c>
      <c r="X14" s="20" t="str">
        <f>IF($D14="","",COUNTIF(K14:U14,"SEM_DADO"))</f>
        <v/>
      </c>
      <c r="Y14" s="20" t="str">
        <f>IF($D14="","",(V14+W14)&amp;"/11")</f>
        <v/>
      </c>
    </row>
    <row r="15" spans="1:25">
      <c r="A15" s="6" t="str">
        <f>IF('03_Base_Indice'!$A15="","",'03_Base_Indice'!$A15)</f>
        <v>2. Estabilidade Macroeconómica</v>
      </c>
      <c r="B15" s="6">
        <f>'03_Base_Indice'!$B15</f>
        <v>1</v>
      </c>
      <c r="D15" s="6" t="str">
        <f>IF('03_Base_Indice'!$D15="","",'03_Base_Indice'!$D15)</f>
        <v>MAC001</v>
      </c>
      <c r="E15" s="6" t="str">
        <f>IF('03_Base_Indice'!$E15="","",'03_Base_Indice'!$E15)</f>
        <v>Taxa de Crescimento do PIB</v>
      </c>
      <c r="K15" s="20" t="str">
        <f>IF('03_Base_Indice'!$D15="","",IF('03_Base_Indice'!K15&lt;&gt;"","OBS",IF(AND(Aux!B15&lt;&gt;"",Aux!N15&lt;&gt;"",(N(Aux!N15)-N(Aux!B15)-1)&lt;='01_Criterios'!$C$13),"EST_INTERP",IF(AND(Aux!B15&lt;&gt;"",(1-N(Aux!B15))&lt;='01_Criterios'!$C$14),"EST_CARRY_FWD",IF(AND(Aux!N15&lt;&gt;"",(N(Aux!N15)-1)&lt;='01_Criterios'!$C$15),"EST_CARRY_BWD","SEM_DADO")))))</f>
        <v>OBS</v>
      </c>
      <c r="L15" s="20" t="str">
        <f>IF('03_Base_Indice'!$D15="","",IF('03_Base_Indice'!L15&lt;&gt;"","OBS",IF(AND(Aux!C15&lt;&gt;"",Aux!O15&lt;&gt;"",(N(Aux!O15)-N(Aux!C15)-1)&lt;='01_Criterios'!$C$13),"EST_INTERP",IF(AND(Aux!C15&lt;&gt;"",(2-N(Aux!C15))&lt;='01_Criterios'!$C$14),"EST_CARRY_FWD",IF(AND(Aux!O15&lt;&gt;"",(N(Aux!O15)-2)&lt;='01_Criterios'!$C$15),"EST_CARRY_BWD","SEM_DADO")))))</f>
        <v>OBS</v>
      </c>
      <c r="M15" s="20" t="str">
        <f>IF('03_Base_Indice'!$D15="","",IF('03_Base_Indice'!M15&lt;&gt;"","OBS",IF(AND(Aux!D15&lt;&gt;"",Aux!P15&lt;&gt;"",(N(Aux!P15)-N(Aux!D15)-1)&lt;='01_Criterios'!$C$13),"EST_INTERP",IF(AND(Aux!D15&lt;&gt;"",(3-N(Aux!D15))&lt;='01_Criterios'!$C$14),"EST_CARRY_FWD",IF(AND(Aux!P15&lt;&gt;"",(N(Aux!P15)-3)&lt;='01_Criterios'!$C$15),"EST_CARRY_BWD","SEM_DADO")))))</f>
        <v>OBS</v>
      </c>
      <c r="N15" s="20" t="str">
        <f>IF('03_Base_Indice'!$D15="","",IF('03_Base_Indice'!N15&lt;&gt;"","OBS",IF(AND(Aux!E15&lt;&gt;"",Aux!Q15&lt;&gt;"",(N(Aux!Q15)-N(Aux!E15)-1)&lt;='01_Criterios'!$C$13),"EST_INTERP",IF(AND(Aux!E15&lt;&gt;"",(4-N(Aux!E15))&lt;='01_Criterios'!$C$14),"EST_CARRY_FWD",IF(AND(Aux!Q15&lt;&gt;"",(N(Aux!Q15)-4)&lt;='01_Criterios'!$C$15),"EST_CARRY_BWD","SEM_DADO")))))</f>
        <v>OBS</v>
      </c>
      <c r="O15" s="20" t="str">
        <f>IF('03_Base_Indice'!$D15="","",IF('03_Base_Indice'!O15&lt;&gt;"","OBS",IF(AND(Aux!F15&lt;&gt;"",Aux!R15&lt;&gt;"",(N(Aux!R15)-N(Aux!F15)-1)&lt;='01_Criterios'!$C$13),"EST_INTERP",IF(AND(Aux!F15&lt;&gt;"",(5-N(Aux!F15))&lt;='01_Criterios'!$C$14),"EST_CARRY_FWD",IF(AND(Aux!R15&lt;&gt;"",(N(Aux!R15)-5)&lt;='01_Criterios'!$C$15),"EST_CARRY_BWD","SEM_DADO")))))</f>
        <v>OBS</v>
      </c>
      <c r="P15" s="20" t="str">
        <f>IF('03_Base_Indice'!$D15="","",IF('03_Base_Indice'!P15&lt;&gt;"","OBS",IF(AND(Aux!G15&lt;&gt;"",Aux!S15&lt;&gt;"",(N(Aux!S15)-N(Aux!G15)-1)&lt;='01_Criterios'!$C$13),"EST_INTERP",IF(AND(Aux!G15&lt;&gt;"",(6-N(Aux!G15))&lt;='01_Criterios'!$C$14),"EST_CARRY_FWD",IF(AND(Aux!S15&lt;&gt;"",(N(Aux!S15)-6)&lt;='01_Criterios'!$C$15),"EST_CARRY_BWD","SEM_DADO")))))</f>
        <v>OBS</v>
      </c>
      <c r="Q15" s="20" t="str">
        <f>IF('03_Base_Indice'!$D15="","",IF('03_Base_Indice'!Q15&lt;&gt;"","OBS",IF(AND(Aux!H15&lt;&gt;"",Aux!T15&lt;&gt;"",(N(Aux!T15)-N(Aux!H15)-1)&lt;='01_Criterios'!$C$13),"EST_INTERP",IF(AND(Aux!H15&lt;&gt;"",(7-N(Aux!H15))&lt;='01_Criterios'!$C$14),"EST_CARRY_FWD",IF(AND(Aux!T15&lt;&gt;"",(N(Aux!T15)-7)&lt;='01_Criterios'!$C$15),"EST_CARRY_BWD","SEM_DADO")))))</f>
        <v>OBS</v>
      </c>
      <c r="R15" s="20" t="str">
        <f>IF('03_Base_Indice'!$D15="","",IF('03_Base_Indice'!R15&lt;&gt;"","OBS",IF(AND(Aux!I15&lt;&gt;"",Aux!U15&lt;&gt;"",(N(Aux!U15)-N(Aux!I15)-1)&lt;='01_Criterios'!$C$13),"EST_INTERP",IF(AND(Aux!I15&lt;&gt;"",(8-N(Aux!I15))&lt;='01_Criterios'!$C$14),"EST_CARRY_FWD",IF(AND(Aux!U15&lt;&gt;"",(N(Aux!U15)-8)&lt;='01_Criterios'!$C$15),"EST_CARRY_BWD","SEM_DADO")))))</f>
        <v>OBS</v>
      </c>
      <c r="S15" s="20" t="str">
        <f>IF('03_Base_Indice'!$D15="","",IF('03_Base_Indice'!S15&lt;&gt;"","OBS",IF(AND(Aux!J15&lt;&gt;"",Aux!V15&lt;&gt;"",(N(Aux!V15)-N(Aux!J15)-1)&lt;='01_Criterios'!$C$13),"EST_INTERP",IF(AND(Aux!J15&lt;&gt;"",(9-N(Aux!J15))&lt;='01_Criterios'!$C$14),"EST_CARRY_FWD",IF(AND(Aux!V15&lt;&gt;"",(N(Aux!V15)-9)&lt;='01_Criterios'!$C$15),"EST_CARRY_BWD","SEM_DADO")))))</f>
        <v>OBS</v>
      </c>
      <c r="T15" s="20" t="str">
        <f>IF('03_Base_Indice'!$D15="","",IF('03_Base_Indice'!T15&lt;&gt;"","OBS",IF(AND(Aux!K15&lt;&gt;"",Aux!W15&lt;&gt;"",(N(Aux!W15)-N(Aux!K15)-1)&lt;='01_Criterios'!$C$13),"EST_INTERP",IF(AND(Aux!K15&lt;&gt;"",(10-N(Aux!K15))&lt;='01_Criterios'!$C$14),"EST_CARRY_FWD",IF(AND(Aux!W15&lt;&gt;"",(N(Aux!W15)-10)&lt;='01_Criterios'!$C$15),"EST_CARRY_BWD","SEM_DADO")))))</f>
        <v>OBS</v>
      </c>
      <c r="U15" s="20" t="str">
        <f>IF('03_Base_Indice'!$D15="","",IF('03_Base_Indice'!U15&lt;&gt;"","OBS",IF(AND(Aux!L15&lt;&gt;"",Aux!X15&lt;&gt;"",(N(Aux!X15)-N(Aux!L15)-1)&lt;='01_Criterios'!$C$13),"EST_INTERP",IF(AND(Aux!L15&lt;&gt;"",(11-N(Aux!L15))&lt;='01_Criterios'!$C$14),"EST_CARRY_FWD",IF(AND(Aux!X15&lt;&gt;"",(N(Aux!X15)-11)&lt;='01_Criterios'!$C$15),"EST_CARRY_BWD","SEM_DADO")))))</f>
        <v>OBS</v>
      </c>
      <c r="V15" s="20">
        <f>IF($D15="","",COUNTIF(K15:U15,"OBS"))</f>
        <v>11</v>
      </c>
      <c r="W15" s="20">
        <f>IF($D15="","",COUNTIF(K15:U15,"EST_*"))</f>
        <v>0</v>
      </c>
      <c r="X15" s="20">
        <f>IF($D15="","",COUNTIF(K15:U15,"SEM_DADO"))</f>
        <v>0</v>
      </c>
      <c r="Y15" s="20" t="str">
        <f>IF($D15="","",(V15+W15)&amp;"/11")</f>
        <v>11/11</v>
      </c>
    </row>
    <row r="16" spans="1:25">
      <c r="A16" s="6" t="str">
        <f>IF('03_Base_Indice'!$A16="","",'03_Base_Indice'!$A16)</f>
        <v>2. Estabilidade Macroeconómica</v>
      </c>
      <c r="B16" s="6">
        <f>'03_Base_Indice'!$B16</f>
        <v>2</v>
      </c>
      <c r="D16" s="6" t="str">
        <f>IF('03_Base_Indice'!$D16="","",'03_Base_Indice'!$D16)</f>
        <v>MAC002</v>
      </c>
      <c r="E16" s="6" t="str">
        <f>IF('03_Base_Indice'!$E16="","",'03_Base_Indice'!$E16)</f>
        <v>PIB per Capita (USD)</v>
      </c>
      <c r="K16" s="20" t="str">
        <f>IF('03_Base_Indice'!$D16="","",IF('03_Base_Indice'!K16&lt;&gt;"","OBS",IF(AND(Aux!B16&lt;&gt;"",Aux!N16&lt;&gt;"",(N(Aux!N16)-N(Aux!B16)-1)&lt;='01_Criterios'!$C$13),"EST_INTERP",IF(AND(Aux!B16&lt;&gt;"",(1-N(Aux!B16))&lt;='01_Criterios'!$C$14),"EST_CARRY_FWD",IF(AND(Aux!N16&lt;&gt;"",(N(Aux!N16)-1)&lt;='01_Criterios'!$C$15),"EST_CARRY_BWD","SEM_DADO")))))</f>
        <v>OBS</v>
      </c>
      <c r="L16" s="20" t="str">
        <f>IF('03_Base_Indice'!$D16="","",IF('03_Base_Indice'!L16&lt;&gt;"","OBS",IF(AND(Aux!C16&lt;&gt;"",Aux!O16&lt;&gt;"",(N(Aux!O16)-N(Aux!C16)-1)&lt;='01_Criterios'!$C$13),"EST_INTERP",IF(AND(Aux!C16&lt;&gt;"",(2-N(Aux!C16))&lt;='01_Criterios'!$C$14),"EST_CARRY_FWD",IF(AND(Aux!O16&lt;&gt;"",(N(Aux!O16)-2)&lt;='01_Criterios'!$C$15),"EST_CARRY_BWD","SEM_DADO")))))</f>
        <v>OBS</v>
      </c>
      <c r="M16" s="20" t="str">
        <f>IF('03_Base_Indice'!$D16="","",IF('03_Base_Indice'!M16&lt;&gt;"","OBS",IF(AND(Aux!D16&lt;&gt;"",Aux!P16&lt;&gt;"",(N(Aux!P16)-N(Aux!D16)-1)&lt;='01_Criterios'!$C$13),"EST_INTERP",IF(AND(Aux!D16&lt;&gt;"",(3-N(Aux!D16))&lt;='01_Criterios'!$C$14),"EST_CARRY_FWD",IF(AND(Aux!P16&lt;&gt;"",(N(Aux!P16)-3)&lt;='01_Criterios'!$C$15),"EST_CARRY_BWD","SEM_DADO")))))</f>
        <v>OBS</v>
      </c>
      <c r="N16" s="20" t="str">
        <f>IF('03_Base_Indice'!$D16="","",IF('03_Base_Indice'!N16&lt;&gt;"","OBS",IF(AND(Aux!E16&lt;&gt;"",Aux!Q16&lt;&gt;"",(N(Aux!Q16)-N(Aux!E16)-1)&lt;='01_Criterios'!$C$13),"EST_INTERP",IF(AND(Aux!E16&lt;&gt;"",(4-N(Aux!E16))&lt;='01_Criterios'!$C$14),"EST_CARRY_FWD",IF(AND(Aux!Q16&lt;&gt;"",(N(Aux!Q16)-4)&lt;='01_Criterios'!$C$15),"EST_CARRY_BWD","SEM_DADO")))))</f>
        <v>OBS</v>
      </c>
      <c r="O16" s="20" t="str">
        <f>IF('03_Base_Indice'!$D16="","",IF('03_Base_Indice'!O16&lt;&gt;"","OBS",IF(AND(Aux!F16&lt;&gt;"",Aux!R16&lt;&gt;"",(N(Aux!R16)-N(Aux!F16)-1)&lt;='01_Criterios'!$C$13),"EST_INTERP",IF(AND(Aux!F16&lt;&gt;"",(5-N(Aux!F16))&lt;='01_Criterios'!$C$14),"EST_CARRY_FWD",IF(AND(Aux!R16&lt;&gt;"",(N(Aux!R16)-5)&lt;='01_Criterios'!$C$15),"EST_CARRY_BWD","SEM_DADO")))))</f>
        <v>OBS</v>
      </c>
      <c r="P16" s="20" t="str">
        <f>IF('03_Base_Indice'!$D16="","",IF('03_Base_Indice'!P16&lt;&gt;"","OBS",IF(AND(Aux!G16&lt;&gt;"",Aux!S16&lt;&gt;"",(N(Aux!S16)-N(Aux!G16)-1)&lt;='01_Criterios'!$C$13),"EST_INTERP",IF(AND(Aux!G16&lt;&gt;"",(6-N(Aux!G16))&lt;='01_Criterios'!$C$14),"EST_CARRY_FWD",IF(AND(Aux!S16&lt;&gt;"",(N(Aux!S16)-6)&lt;='01_Criterios'!$C$15),"EST_CARRY_BWD","SEM_DADO")))))</f>
        <v>OBS</v>
      </c>
      <c r="Q16" s="20" t="str">
        <f>IF('03_Base_Indice'!$D16="","",IF('03_Base_Indice'!Q16&lt;&gt;"","OBS",IF(AND(Aux!H16&lt;&gt;"",Aux!T16&lt;&gt;"",(N(Aux!T16)-N(Aux!H16)-1)&lt;='01_Criterios'!$C$13),"EST_INTERP",IF(AND(Aux!H16&lt;&gt;"",(7-N(Aux!H16))&lt;='01_Criterios'!$C$14),"EST_CARRY_FWD",IF(AND(Aux!T16&lt;&gt;"",(N(Aux!T16)-7)&lt;='01_Criterios'!$C$15),"EST_CARRY_BWD","SEM_DADO")))))</f>
        <v>OBS</v>
      </c>
      <c r="R16" s="20" t="str">
        <f>IF('03_Base_Indice'!$D16="","",IF('03_Base_Indice'!R16&lt;&gt;"","OBS",IF(AND(Aux!I16&lt;&gt;"",Aux!U16&lt;&gt;"",(N(Aux!U16)-N(Aux!I16)-1)&lt;='01_Criterios'!$C$13),"EST_INTERP",IF(AND(Aux!I16&lt;&gt;"",(8-N(Aux!I16))&lt;='01_Criterios'!$C$14),"EST_CARRY_FWD",IF(AND(Aux!U16&lt;&gt;"",(N(Aux!U16)-8)&lt;='01_Criterios'!$C$15),"EST_CARRY_BWD","SEM_DADO")))))</f>
        <v>OBS</v>
      </c>
      <c r="S16" s="20" t="str">
        <f>IF('03_Base_Indice'!$D16="","",IF('03_Base_Indice'!S16&lt;&gt;"","OBS",IF(AND(Aux!J16&lt;&gt;"",Aux!V16&lt;&gt;"",(N(Aux!V16)-N(Aux!J16)-1)&lt;='01_Criterios'!$C$13),"EST_INTERP",IF(AND(Aux!J16&lt;&gt;"",(9-N(Aux!J16))&lt;='01_Criterios'!$C$14),"EST_CARRY_FWD",IF(AND(Aux!V16&lt;&gt;"",(N(Aux!V16)-9)&lt;='01_Criterios'!$C$15),"EST_CARRY_BWD","SEM_DADO")))))</f>
        <v>OBS</v>
      </c>
      <c r="T16" s="20" t="str">
        <f>IF('03_Base_Indice'!$D16="","",IF('03_Base_Indice'!T16&lt;&gt;"","OBS",IF(AND(Aux!K16&lt;&gt;"",Aux!W16&lt;&gt;"",(N(Aux!W16)-N(Aux!K16)-1)&lt;='01_Criterios'!$C$13),"EST_INTERP",IF(AND(Aux!K16&lt;&gt;"",(10-N(Aux!K16))&lt;='01_Criterios'!$C$14),"EST_CARRY_FWD",IF(AND(Aux!W16&lt;&gt;"",(N(Aux!W16)-10)&lt;='01_Criterios'!$C$15),"EST_CARRY_BWD","SEM_DADO")))))</f>
        <v>OBS</v>
      </c>
      <c r="U16" s="20" t="str">
        <f>IF('03_Base_Indice'!$D16="","",IF('03_Base_Indice'!U16&lt;&gt;"","OBS",IF(AND(Aux!L16&lt;&gt;"",Aux!X16&lt;&gt;"",(N(Aux!X16)-N(Aux!L16)-1)&lt;='01_Criterios'!$C$13),"EST_INTERP",IF(AND(Aux!L16&lt;&gt;"",(11-N(Aux!L16))&lt;='01_Criterios'!$C$14),"EST_CARRY_FWD",IF(AND(Aux!X16&lt;&gt;"",(N(Aux!X16)-11)&lt;='01_Criterios'!$C$15),"EST_CARRY_BWD","SEM_DADO")))))</f>
        <v>OBS</v>
      </c>
      <c r="V16" s="20">
        <f>IF($D16="","",COUNTIF(K16:U16,"OBS"))</f>
        <v>11</v>
      </c>
      <c r="W16" s="20">
        <f>IF($D16="","",COUNTIF(K16:U16,"EST_*"))</f>
        <v>0</v>
      </c>
      <c r="X16" s="20">
        <f>IF($D16="","",COUNTIF(K16:U16,"SEM_DADO"))</f>
        <v>0</v>
      </c>
      <c r="Y16" s="20" t="str">
        <f>IF($D16="","",(V16+W16)&amp;"/11")</f>
        <v>11/11</v>
      </c>
    </row>
    <row r="17" spans="1:25">
      <c r="A17" s="6" t="str">
        <f>IF('03_Base_Indice'!$A17="","",'03_Base_Indice'!$A17)</f>
        <v>2. Estabilidade Macroeconómica</v>
      </c>
      <c r="B17" s="6">
        <f>'03_Base_Indice'!$B17</f>
        <v>3</v>
      </c>
      <c r="D17" s="6" t="str">
        <f>IF('03_Base_Indice'!$D17="","",'03_Base_Indice'!$D17)</f>
        <v>MAC003</v>
      </c>
      <c r="E17" s="6" t="str">
        <f>IF('03_Base_Indice'!$E17="","",'03_Base_Indice'!$E17)</f>
        <v>Inflação (IPC)</v>
      </c>
      <c r="K17" s="20" t="str">
        <f>IF('03_Base_Indice'!$D17="","",IF('03_Base_Indice'!K17&lt;&gt;"","OBS",IF(AND(Aux!B17&lt;&gt;"",Aux!N17&lt;&gt;"",(N(Aux!N17)-N(Aux!B17)-1)&lt;='01_Criterios'!$C$13),"EST_INTERP",IF(AND(Aux!B17&lt;&gt;"",(1-N(Aux!B17))&lt;='01_Criterios'!$C$14),"EST_CARRY_FWD",IF(AND(Aux!N17&lt;&gt;"",(N(Aux!N17)-1)&lt;='01_Criterios'!$C$15),"EST_CARRY_BWD","SEM_DADO")))))</f>
        <v>OBS</v>
      </c>
      <c r="L17" s="20" t="str">
        <f>IF('03_Base_Indice'!$D17="","",IF('03_Base_Indice'!L17&lt;&gt;"","OBS",IF(AND(Aux!C17&lt;&gt;"",Aux!O17&lt;&gt;"",(N(Aux!O17)-N(Aux!C17)-1)&lt;='01_Criterios'!$C$13),"EST_INTERP",IF(AND(Aux!C17&lt;&gt;"",(2-N(Aux!C17))&lt;='01_Criterios'!$C$14),"EST_CARRY_FWD",IF(AND(Aux!O17&lt;&gt;"",(N(Aux!O17)-2)&lt;='01_Criterios'!$C$15),"EST_CARRY_BWD","SEM_DADO")))))</f>
        <v>OBS</v>
      </c>
      <c r="M17" s="20" t="str">
        <f>IF('03_Base_Indice'!$D17="","",IF('03_Base_Indice'!M17&lt;&gt;"","OBS",IF(AND(Aux!D17&lt;&gt;"",Aux!P17&lt;&gt;"",(N(Aux!P17)-N(Aux!D17)-1)&lt;='01_Criterios'!$C$13),"EST_INTERP",IF(AND(Aux!D17&lt;&gt;"",(3-N(Aux!D17))&lt;='01_Criterios'!$C$14),"EST_CARRY_FWD",IF(AND(Aux!P17&lt;&gt;"",(N(Aux!P17)-3)&lt;='01_Criterios'!$C$15),"EST_CARRY_BWD","SEM_DADO")))))</f>
        <v>OBS</v>
      </c>
      <c r="N17" s="20" t="str">
        <f>IF('03_Base_Indice'!$D17="","",IF('03_Base_Indice'!N17&lt;&gt;"","OBS",IF(AND(Aux!E17&lt;&gt;"",Aux!Q17&lt;&gt;"",(N(Aux!Q17)-N(Aux!E17)-1)&lt;='01_Criterios'!$C$13),"EST_INTERP",IF(AND(Aux!E17&lt;&gt;"",(4-N(Aux!E17))&lt;='01_Criterios'!$C$14),"EST_CARRY_FWD",IF(AND(Aux!Q17&lt;&gt;"",(N(Aux!Q17)-4)&lt;='01_Criterios'!$C$15),"EST_CARRY_BWD","SEM_DADO")))))</f>
        <v>OBS</v>
      </c>
      <c r="O17" s="20" t="str">
        <f>IF('03_Base_Indice'!$D17="","",IF('03_Base_Indice'!O17&lt;&gt;"","OBS",IF(AND(Aux!F17&lt;&gt;"",Aux!R17&lt;&gt;"",(N(Aux!R17)-N(Aux!F17)-1)&lt;='01_Criterios'!$C$13),"EST_INTERP",IF(AND(Aux!F17&lt;&gt;"",(5-N(Aux!F17))&lt;='01_Criterios'!$C$14),"EST_CARRY_FWD",IF(AND(Aux!R17&lt;&gt;"",(N(Aux!R17)-5)&lt;='01_Criterios'!$C$15),"EST_CARRY_BWD","SEM_DADO")))))</f>
        <v>OBS</v>
      </c>
      <c r="P17" s="20" t="str">
        <f>IF('03_Base_Indice'!$D17="","",IF('03_Base_Indice'!P17&lt;&gt;"","OBS",IF(AND(Aux!G17&lt;&gt;"",Aux!S17&lt;&gt;"",(N(Aux!S17)-N(Aux!G17)-1)&lt;='01_Criterios'!$C$13),"EST_INTERP",IF(AND(Aux!G17&lt;&gt;"",(6-N(Aux!G17))&lt;='01_Criterios'!$C$14),"EST_CARRY_FWD",IF(AND(Aux!S17&lt;&gt;"",(N(Aux!S17)-6)&lt;='01_Criterios'!$C$15),"EST_CARRY_BWD","SEM_DADO")))))</f>
        <v>OBS</v>
      </c>
      <c r="Q17" s="20" t="str">
        <f>IF('03_Base_Indice'!$D17="","",IF('03_Base_Indice'!Q17&lt;&gt;"","OBS",IF(AND(Aux!H17&lt;&gt;"",Aux!T17&lt;&gt;"",(N(Aux!T17)-N(Aux!H17)-1)&lt;='01_Criterios'!$C$13),"EST_INTERP",IF(AND(Aux!H17&lt;&gt;"",(7-N(Aux!H17))&lt;='01_Criterios'!$C$14),"EST_CARRY_FWD",IF(AND(Aux!T17&lt;&gt;"",(N(Aux!T17)-7)&lt;='01_Criterios'!$C$15),"EST_CARRY_BWD","SEM_DADO")))))</f>
        <v>OBS</v>
      </c>
      <c r="R17" s="20" t="str">
        <f>IF('03_Base_Indice'!$D17="","",IF('03_Base_Indice'!R17&lt;&gt;"","OBS",IF(AND(Aux!I17&lt;&gt;"",Aux!U17&lt;&gt;"",(N(Aux!U17)-N(Aux!I17)-1)&lt;='01_Criterios'!$C$13),"EST_INTERP",IF(AND(Aux!I17&lt;&gt;"",(8-N(Aux!I17))&lt;='01_Criterios'!$C$14),"EST_CARRY_FWD",IF(AND(Aux!U17&lt;&gt;"",(N(Aux!U17)-8)&lt;='01_Criterios'!$C$15),"EST_CARRY_BWD","SEM_DADO")))))</f>
        <v>OBS</v>
      </c>
      <c r="S17" s="20" t="str">
        <f>IF('03_Base_Indice'!$D17="","",IF('03_Base_Indice'!S17&lt;&gt;"","OBS",IF(AND(Aux!J17&lt;&gt;"",Aux!V17&lt;&gt;"",(N(Aux!V17)-N(Aux!J17)-1)&lt;='01_Criterios'!$C$13),"EST_INTERP",IF(AND(Aux!J17&lt;&gt;"",(9-N(Aux!J17))&lt;='01_Criterios'!$C$14),"EST_CARRY_FWD",IF(AND(Aux!V17&lt;&gt;"",(N(Aux!V17)-9)&lt;='01_Criterios'!$C$15),"EST_CARRY_BWD","SEM_DADO")))))</f>
        <v>OBS</v>
      </c>
      <c r="T17" s="20" t="str">
        <f>IF('03_Base_Indice'!$D17="","",IF('03_Base_Indice'!T17&lt;&gt;"","OBS",IF(AND(Aux!K17&lt;&gt;"",Aux!W17&lt;&gt;"",(N(Aux!W17)-N(Aux!K17)-1)&lt;='01_Criterios'!$C$13),"EST_INTERP",IF(AND(Aux!K17&lt;&gt;"",(10-N(Aux!K17))&lt;='01_Criterios'!$C$14),"EST_CARRY_FWD",IF(AND(Aux!W17&lt;&gt;"",(N(Aux!W17)-10)&lt;='01_Criterios'!$C$15),"EST_CARRY_BWD","SEM_DADO")))))</f>
        <v>OBS</v>
      </c>
      <c r="U17" s="20" t="str">
        <f>IF('03_Base_Indice'!$D17="","",IF('03_Base_Indice'!U17&lt;&gt;"","OBS",IF(AND(Aux!L17&lt;&gt;"",Aux!X17&lt;&gt;"",(N(Aux!X17)-N(Aux!L17)-1)&lt;='01_Criterios'!$C$13),"EST_INTERP",IF(AND(Aux!L17&lt;&gt;"",(11-N(Aux!L17))&lt;='01_Criterios'!$C$14),"EST_CARRY_FWD",IF(AND(Aux!X17&lt;&gt;"",(N(Aux!X17)-11)&lt;='01_Criterios'!$C$15),"EST_CARRY_BWD","SEM_DADO")))))</f>
        <v>OBS</v>
      </c>
      <c r="V17" s="20">
        <f>IF($D17="","",COUNTIF(K17:U17,"OBS"))</f>
        <v>11</v>
      </c>
      <c r="W17" s="20">
        <f>IF($D17="","",COUNTIF(K17:U17,"EST_*"))</f>
        <v>0</v>
      </c>
      <c r="X17" s="20">
        <f>IF($D17="","",COUNTIF(K17:U17,"SEM_DADO"))</f>
        <v>0</v>
      </c>
      <c r="Y17" s="20" t="str">
        <f>IF($D17="","",(V17+W17)&amp;"/11")</f>
        <v>11/11</v>
      </c>
    </row>
    <row r="18" spans="1:25">
      <c r="A18" s="6" t="str">
        <f>IF('03_Base_Indice'!$A18="","",'03_Base_Indice'!$A18)</f>
        <v>2. Estabilidade Macroeconómica</v>
      </c>
      <c r="B18" s="6">
        <f>'03_Base_Indice'!$B18</f>
        <v>4</v>
      </c>
      <c r="D18" s="6" t="str">
        <f>IF('03_Base_Indice'!$D18="","",'03_Base_Indice'!$D18)</f>
        <v>MAC004</v>
      </c>
      <c r="E18" s="6" t="str">
        <f>IF('03_Base_Indice'!$E18="","",'03_Base_Indice'!$E18)</f>
        <v>Dívida Pública (% do PIB)</v>
      </c>
      <c r="K18" s="20" t="str">
        <f>IF('03_Base_Indice'!$D18="","",IF('03_Base_Indice'!K18&lt;&gt;"","OBS",IF(AND(Aux!B18&lt;&gt;"",Aux!N18&lt;&gt;"",(N(Aux!N18)-N(Aux!B18)-1)&lt;='01_Criterios'!$C$13),"EST_INTERP",IF(AND(Aux!B18&lt;&gt;"",(1-N(Aux!B18))&lt;='01_Criterios'!$C$14),"EST_CARRY_FWD",IF(AND(Aux!N18&lt;&gt;"",(N(Aux!N18)-1)&lt;='01_Criterios'!$C$15),"EST_CARRY_BWD","SEM_DADO")))))</f>
        <v>OBS</v>
      </c>
      <c r="L18" s="20" t="str">
        <f>IF('03_Base_Indice'!$D18="","",IF('03_Base_Indice'!L18&lt;&gt;"","OBS",IF(AND(Aux!C18&lt;&gt;"",Aux!O18&lt;&gt;"",(N(Aux!O18)-N(Aux!C18)-1)&lt;='01_Criterios'!$C$13),"EST_INTERP",IF(AND(Aux!C18&lt;&gt;"",(2-N(Aux!C18))&lt;='01_Criterios'!$C$14),"EST_CARRY_FWD",IF(AND(Aux!O18&lt;&gt;"",(N(Aux!O18)-2)&lt;='01_Criterios'!$C$15),"EST_CARRY_BWD","SEM_DADO")))))</f>
        <v>OBS</v>
      </c>
      <c r="M18" s="20" t="str">
        <f>IF('03_Base_Indice'!$D18="","",IF('03_Base_Indice'!M18&lt;&gt;"","OBS",IF(AND(Aux!D18&lt;&gt;"",Aux!P18&lt;&gt;"",(N(Aux!P18)-N(Aux!D18)-1)&lt;='01_Criterios'!$C$13),"EST_INTERP",IF(AND(Aux!D18&lt;&gt;"",(3-N(Aux!D18))&lt;='01_Criterios'!$C$14),"EST_CARRY_FWD",IF(AND(Aux!P18&lt;&gt;"",(N(Aux!P18)-3)&lt;='01_Criterios'!$C$15),"EST_CARRY_BWD","SEM_DADO")))))</f>
        <v>OBS</v>
      </c>
      <c r="N18" s="20" t="str">
        <f>IF('03_Base_Indice'!$D18="","",IF('03_Base_Indice'!N18&lt;&gt;"","OBS",IF(AND(Aux!E18&lt;&gt;"",Aux!Q18&lt;&gt;"",(N(Aux!Q18)-N(Aux!E18)-1)&lt;='01_Criterios'!$C$13),"EST_INTERP",IF(AND(Aux!E18&lt;&gt;"",(4-N(Aux!E18))&lt;='01_Criterios'!$C$14),"EST_CARRY_FWD",IF(AND(Aux!Q18&lt;&gt;"",(N(Aux!Q18)-4)&lt;='01_Criterios'!$C$15),"EST_CARRY_BWD","SEM_DADO")))))</f>
        <v>OBS</v>
      </c>
      <c r="O18" s="20" t="str">
        <f>IF('03_Base_Indice'!$D18="","",IF('03_Base_Indice'!O18&lt;&gt;"","OBS",IF(AND(Aux!F18&lt;&gt;"",Aux!R18&lt;&gt;"",(N(Aux!R18)-N(Aux!F18)-1)&lt;='01_Criterios'!$C$13),"EST_INTERP",IF(AND(Aux!F18&lt;&gt;"",(5-N(Aux!F18))&lt;='01_Criterios'!$C$14),"EST_CARRY_FWD",IF(AND(Aux!R18&lt;&gt;"",(N(Aux!R18)-5)&lt;='01_Criterios'!$C$15),"EST_CARRY_BWD","SEM_DADO")))))</f>
        <v>OBS</v>
      </c>
      <c r="P18" s="20" t="str">
        <f>IF('03_Base_Indice'!$D18="","",IF('03_Base_Indice'!P18&lt;&gt;"","OBS",IF(AND(Aux!G18&lt;&gt;"",Aux!S18&lt;&gt;"",(N(Aux!S18)-N(Aux!G18)-1)&lt;='01_Criterios'!$C$13),"EST_INTERP",IF(AND(Aux!G18&lt;&gt;"",(6-N(Aux!G18))&lt;='01_Criterios'!$C$14),"EST_CARRY_FWD",IF(AND(Aux!S18&lt;&gt;"",(N(Aux!S18)-6)&lt;='01_Criterios'!$C$15),"EST_CARRY_BWD","SEM_DADO")))))</f>
        <v>OBS</v>
      </c>
      <c r="Q18" s="20" t="str">
        <f>IF('03_Base_Indice'!$D18="","",IF('03_Base_Indice'!Q18&lt;&gt;"","OBS",IF(AND(Aux!H18&lt;&gt;"",Aux!T18&lt;&gt;"",(N(Aux!T18)-N(Aux!H18)-1)&lt;='01_Criterios'!$C$13),"EST_INTERP",IF(AND(Aux!H18&lt;&gt;"",(7-N(Aux!H18))&lt;='01_Criterios'!$C$14),"EST_CARRY_FWD",IF(AND(Aux!T18&lt;&gt;"",(N(Aux!T18)-7)&lt;='01_Criterios'!$C$15),"EST_CARRY_BWD","SEM_DADO")))))</f>
        <v>OBS</v>
      </c>
      <c r="R18" s="20" t="str">
        <f>IF('03_Base_Indice'!$D18="","",IF('03_Base_Indice'!R18&lt;&gt;"","OBS",IF(AND(Aux!I18&lt;&gt;"",Aux!U18&lt;&gt;"",(N(Aux!U18)-N(Aux!I18)-1)&lt;='01_Criterios'!$C$13),"EST_INTERP",IF(AND(Aux!I18&lt;&gt;"",(8-N(Aux!I18))&lt;='01_Criterios'!$C$14),"EST_CARRY_FWD",IF(AND(Aux!U18&lt;&gt;"",(N(Aux!U18)-8)&lt;='01_Criterios'!$C$15),"EST_CARRY_BWD","SEM_DADO")))))</f>
        <v>OBS</v>
      </c>
      <c r="S18" s="20" t="str">
        <f>IF('03_Base_Indice'!$D18="","",IF('03_Base_Indice'!S18&lt;&gt;"","OBS",IF(AND(Aux!J18&lt;&gt;"",Aux!V18&lt;&gt;"",(N(Aux!V18)-N(Aux!J18)-1)&lt;='01_Criterios'!$C$13),"EST_INTERP",IF(AND(Aux!J18&lt;&gt;"",(9-N(Aux!J18))&lt;='01_Criterios'!$C$14),"EST_CARRY_FWD",IF(AND(Aux!V18&lt;&gt;"",(N(Aux!V18)-9)&lt;='01_Criterios'!$C$15),"EST_CARRY_BWD","SEM_DADO")))))</f>
        <v>OBS</v>
      </c>
      <c r="T18" s="20" t="str">
        <f>IF('03_Base_Indice'!$D18="","",IF('03_Base_Indice'!T18&lt;&gt;"","OBS",IF(AND(Aux!K18&lt;&gt;"",Aux!W18&lt;&gt;"",(N(Aux!W18)-N(Aux!K18)-1)&lt;='01_Criterios'!$C$13),"EST_INTERP",IF(AND(Aux!K18&lt;&gt;"",(10-N(Aux!K18))&lt;='01_Criterios'!$C$14),"EST_CARRY_FWD",IF(AND(Aux!W18&lt;&gt;"",(N(Aux!W18)-10)&lt;='01_Criterios'!$C$15),"EST_CARRY_BWD","SEM_DADO")))))</f>
        <v>OBS</v>
      </c>
      <c r="U18" s="20" t="str">
        <f>IF('03_Base_Indice'!$D18="","",IF('03_Base_Indice'!U18&lt;&gt;"","OBS",IF(AND(Aux!L18&lt;&gt;"",Aux!X18&lt;&gt;"",(N(Aux!X18)-N(Aux!L18)-1)&lt;='01_Criterios'!$C$13),"EST_INTERP",IF(AND(Aux!L18&lt;&gt;"",(11-N(Aux!L18))&lt;='01_Criterios'!$C$14),"EST_CARRY_FWD",IF(AND(Aux!X18&lt;&gt;"",(N(Aux!X18)-11)&lt;='01_Criterios'!$C$15),"EST_CARRY_BWD","SEM_DADO")))))</f>
        <v>OBS</v>
      </c>
      <c r="V18" s="20">
        <f>IF($D18="","",COUNTIF(K18:U18,"OBS"))</f>
        <v>11</v>
      </c>
      <c r="W18" s="20">
        <f>IF($D18="","",COUNTIF(K18:U18,"EST_*"))</f>
        <v>0</v>
      </c>
      <c r="X18" s="20">
        <f>IF($D18="","",COUNTIF(K18:U18,"SEM_DADO"))</f>
        <v>0</v>
      </c>
      <c r="Y18" s="20" t="str">
        <f>IF($D18="","",(V18+W18)&amp;"/11")</f>
        <v>11/11</v>
      </c>
    </row>
    <row r="19" spans="1:25">
      <c r="A19" s="6" t="str">
        <f>IF('03_Base_Indice'!$A19="","",'03_Base_Indice'!$A19)</f>
        <v>2. Estabilidade Macroeconómica</v>
      </c>
      <c r="B19" s="6">
        <f>'03_Base_Indice'!$B19</f>
        <v>5</v>
      </c>
      <c r="D19" s="6" t="str">
        <f>IF('03_Base_Indice'!$D19="","",'03_Base_Indice'!$D19)</f>
        <v>MAC005</v>
      </c>
      <c r="E19" s="6" t="str">
        <f>IF('03_Base_Indice'!$E19="","",'03_Base_Indice'!$E19)</f>
        <v>Saldo Orçamental (% do PIB)</v>
      </c>
      <c r="K19" s="20" t="str">
        <f>IF('03_Base_Indice'!$D19="","",IF('03_Base_Indice'!K19&lt;&gt;"","OBS",IF(AND(Aux!B19&lt;&gt;"",Aux!N19&lt;&gt;"",(N(Aux!N19)-N(Aux!B19)-1)&lt;='01_Criterios'!$C$13),"EST_INTERP",IF(AND(Aux!B19&lt;&gt;"",(1-N(Aux!B19))&lt;='01_Criterios'!$C$14),"EST_CARRY_FWD",IF(AND(Aux!N19&lt;&gt;"",(N(Aux!N19)-1)&lt;='01_Criterios'!$C$15),"EST_CARRY_BWD","SEM_DADO")))))</f>
        <v>OBS</v>
      </c>
      <c r="L19" s="20" t="str">
        <f>IF('03_Base_Indice'!$D19="","",IF('03_Base_Indice'!L19&lt;&gt;"","OBS",IF(AND(Aux!C19&lt;&gt;"",Aux!O19&lt;&gt;"",(N(Aux!O19)-N(Aux!C19)-1)&lt;='01_Criterios'!$C$13),"EST_INTERP",IF(AND(Aux!C19&lt;&gt;"",(2-N(Aux!C19))&lt;='01_Criterios'!$C$14),"EST_CARRY_FWD",IF(AND(Aux!O19&lt;&gt;"",(N(Aux!O19)-2)&lt;='01_Criterios'!$C$15),"EST_CARRY_BWD","SEM_DADO")))))</f>
        <v>OBS</v>
      </c>
      <c r="M19" s="20" t="str">
        <f>IF('03_Base_Indice'!$D19="","",IF('03_Base_Indice'!M19&lt;&gt;"","OBS",IF(AND(Aux!D19&lt;&gt;"",Aux!P19&lt;&gt;"",(N(Aux!P19)-N(Aux!D19)-1)&lt;='01_Criterios'!$C$13),"EST_INTERP",IF(AND(Aux!D19&lt;&gt;"",(3-N(Aux!D19))&lt;='01_Criterios'!$C$14),"EST_CARRY_FWD",IF(AND(Aux!P19&lt;&gt;"",(N(Aux!P19)-3)&lt;='01_Criterios'!$C$15),"EST_CARRY_BWD","SEM_DADO")))))</f>
        <v>OBS</v>
      </c>
      <c r="N19" s="20" t="str">
        <f>IF('03_Base_Indice'!$D19="","",IF('03_Base_Indice'!N19&lt;&gt;"","OBS",IF(AND(Aux!E19&lt;&gt;"",Aux!Q19&lt;&gt;"",(N(Aux!Q19)-N(Aux!E19)-1)&lt;='01_Criterios'!$C$13),"EST_INTERP",IF(AND(Aux!E19&lt;&gt;"",(4-N(Aux!E19))&lt;='01_Criterios'!$C$14),"EST_CARRY_FWD",IF(AND(Aux!Q19&lt;&gt;"",(N(Aux!Q19)-4)&lt;='01_Criterios'!$C$15),"EST_CARRY_BWD","SEM_DADO")))))</f>
        <v>OBS</v>
      </c>
      <c r="O19" s="20" t="str">
        <f>IF('03_Base_Indice'!$D19="","",IF('03_Base_Indice'!O19&lt;&gt;"","OBS",IF(AND(Aux!F19&lt;&gt;"",Aux!R19&lt;&gt;"",(N(Aux!R19)-N(Aux!F19)-1)&lt;='01_Criterios'!$C$13),"EST_INTERP",IF(AND(Aux!F19&lt;&gt;"",(5-N(Aux!F19))&lt;='01_Criterios'!$C$14),"EST_CARRY_FWD",IF(AND(Aux!R19&lt;&gt;"",(N(Aux!R19)-5)&lt;='01_Criterios'!$C$15),"EST_CARRY_BWD","SEM_DADO")))))</f>
        <v>OBS</v>
      </c>
      <c r="P19" s="20" t="str">
        <f>IF('03_Base_Indice'!$D19="","",IF('03_Base_Indice'!P19&lt;&gt;"","OBS",IF(AND(Aux!G19&lt;&gt;"",Aux!S19&lt;&gt;"",(N(Aux!S19)-N(Aux!G19)-1)&lt;='01_Criterios'!$C$13),"EST_INTERP",IF(AND(Aux!G19&lt;&gt;"",(6-N(Aux!G19))&lt;='01_Criterios'!$C$14),"EST_CARRY_FWD",IF(AND(Aux!S19&lt;&gt;"",(N(Aux!S19)-6)&lt;='01_Criterios'!$C$15),"EST_CARRY_BWD","SEM_DADO")))))</f>
        <v>OBS</v>
      </c>
      <c r="Q19" s="20" t="str">
        <f>IF('03_Base_Indice'!$D19="","",IF('03_Base_Indice'!Q19&lt;&gt;"","OBS",IF(AND(Aux!H19&lt;&gt;"",Aux!T19&lt;&gt;"",(N(Aux!T19)-N(Aux!H19)-1)&lt;='01_Criterios'!$C$13),"EST_INTERP",IF(AND(Aux!H19&lt;&gt;"",(7-N(Aux!H19))&lt;='01_Criterios'!$C$14),"EST_CARRY_FWD",IF(AND(Aux!T19&lt;&gt;"",(N(Aux!T19)-7)&lt;='01_Criterios'!$C$15),"EST_CARRY_BWD","SEM_DADO")))))</f>
        <v>OBS</v>
      </c>
      <c r="R19" s="20" t="str">
        <f>IF('03_Base_Indice'!$D19="","",IF('03_Base_Indice'!R19&lt;&gt;"","OBS",IF(AND(Aux!I19&lt;&gt;"",Aux!U19&lt;&gt;"",(N(Aux!U19)-N(Aux!I19)-1)&lt;='01_Criterios'!$C$13),"EST_INTERP",IF(AND(Aux!I19&lt;&gt;"",(8-N(Aux!I19))&lt;='01_Criterios'!$C$14),"EST_CARRY_FWD",IF(AND(Aux!U19&lt;&gt;"",(N(Aux!U19)-8)&lt;='01_Criterios'!$C$15),"EST_CARRY_BWD","SEM_DADO")))))</f>
        <v>OBS</v>
      </c>
      <c r="S19" s="20" t="str">
        <f>IF('03_Base_Indice'!$D19="","",IF('03_Base_Indice'!S19&lt;&gt;"","OBS",IF(AND(Aux!J19&lt;&gt;"",Aux!V19&lt;&gt;"",(N(Aux!V19)-N(Aux!J19)-1)&lt;='01_Criterios'!$C$13),"EST_INTERP",IF(AND(Aux!J19&lt;&gt;"",(9-N(Aux!J19))&lt;='01_Criterios'!$C$14),"EST_CARRY_FWD",IF(AND(Aux!V19&lt;&gt;"",(N(Aux!V19)-9)&lt;='01_Criterios'!$C$15),"EST_CARRY_BWD","SEM_DADO")))))</f>
        <v>OBS</v>
      </c>
      <c r="T19" s="20" t="str">
        <f>IF('03_Base_Indice'!$D19="","",IF('03_Base_Indice'!T19&lt;&gt;"","OBS",IF(AND(Aux!K19&lt;&gt;"",Aux!W19&lt;&gt;"",(N(Aux!W19)-N(Aux!K19)-1)&lt;='01_Criterios'!$C$13),"EST_INTERP",IF(AND(Aux!K19&lt;&gt;"",(10-N(Aux!K19))&lt;='01_Criterios'!$C$14),"EST_CARRY_FWD",IF(AND(Aux!W19&lt;&gt;"",(N(Aux!W19)-10)&lt;='01_Criterios'!$C$15),"EST_CARRY_BWD","SEM_DADO")))))</f>
        <v>OBS</v>
      </c>
      <c r="U19" s="20" t="str">
        <f>IF('03_Base_Indice'!$D19="","",IF('03_Base_Indice'!U19&lt;&gt;"","OBS",IF(AND(Aux!L19&lt;&gt;"",Aux!X19&lt;&gt;"",(N(Aux!X19)-N(Aux!L19)-1)&lt;='01_Criterios'!$C$13),"EST_INTERP",IF(AND(Aux!L19&lt;&gt;"",(11-N(Aux!L19))&lt;='01_Criterios'!$C$14),"EST_CARRY_FWD",IF(AND(Aux!X19&lt;&gt;"",(N(Aux!X19)-11)&lt;='01_Criterios'!$C$15),"EST_CARRY_BWD","SEM_DADO")))))</f>
        <v>OBS</v>
      </c>
      <c r="V19" s="20">
        <f>IF($D19="","",COUNTIF(K19:U19,"OBS"))</f>
        <v>11</v>
      </c>
      <c r="W19" s="20">
        <f>IF($D19="","",COUNTIF(K19:U19,"EST_*"))</f>
        <v>0</v>
      </c>
      <c r="X19" s="20">
        <f>IF($D19="","",COUNTIF(K19:U19,"SEM_DADO"))</f>
        <v>0</v>
      </c>
      <c r="Y19" s="20" t="str">
        <f>IF($D19="","",(V19+W19)&amp;"/11")</f>
        <v>11/11</v>
      </c>
    </row>
    <row r="20" spans="1:25">
      <c r="A20" s="6" t="str">
        <f>IF('03_Base_Indice'!$A20="","",'03_Base_Indice'!$A20)</f>
        <v>2. Estabilidade Macroeconómica</v>
      </c>
      <c r="B20" s="6">
        <f>'03_Base_Indice'!$B20</f>
        <v>6</v>
      </c>
      <c r="D20" s="6" t="str">
        <f>IF('03_Base_Indice'!$D20="","",'03_Base_Indice'!$D20)</f>
        <v>MAC007</v>
      </c>
      <c r="E20" s="6" t="str">
        <f>IF('03_Base_Indice'!$E20="","",'03_Base_Indice'!$E20)</f>
        <v>Reservas Internacionais (meses)</v>
      </c>
      <c r="K20" s="20" t="str">
        <f>IF('03_Base_Indice'!$D20="","",IF('03_Base_Indice'!K20&lt;&gt;"","OBS",IF(AND(Aux!B20&lt;&gt;"",Aux!N20&lt;&gt;"",(N(Aux!N20)-N(Aux!B20)-1)&lt;='01_Criterios'!$C$13),"EST_INTERP",IF(AND(Aux!B20&lt;&gt;"",(1-N(Aux!B20))&lt;='01_Criterios'!$C$14),"EST_CARRY_FWD",IF(AND(Aux!N20&lt;&gt;"",(N(Aux!N20)-1)&lt;='01_Criterios'!$C$15),"EST_CARRY_BWD","SEM_DADO")))))</f>
        <v>OBS</v>
      </c>
      <c r="L20" s="20" t="str">
        <f>IF('03_Base_Indice'!$D20="","",IF('03_Base_Indice'!L20&lt;&gt;"","OBS",IF(AND(Aux!C20&lt;&gt;"",Aux!O20&lt;&gt;"",(N(Aux!O20)-N(Aux!C20)-1)&lt;='01_Criterios'!$C$13),"EST_INTERP",IF(AND(Aux!C20&lt;&gt;"",(2-N(Aux!C20))&lt;='01_Criterios'!$C$14),"EST_CARRY_FWD",IF(AND(Aux!O20&lt;&gt;"",(N(Aux!O20)-2)&lt;='01_Criterios'!$C$15),"EST_CARRY_BWD","SEM_DADO")))))</f>
        <v>OBS</v>
      </c>
      <c r="M20" s="20" t="str">
        <f>IF('03_Base_Indice'!$D20="","",IF('03_Base_Indice'!M20&lt;&gt;"","OBS",IF(AND(Aux!D20&lt;&gt;"",Aux!P20&lt;&gt;"",(N(Aux!P20)-N(Aux!D20)-1)&lt;='01_Criterios'!$C$13),"EST_INTERP",IF(AND(Aux!D20&lt;&gt;"",(3-N(Aux!D20))&lt;='01_Criterios'!$C$14),"EST_CARRY_FWD",IF(AND(Aux!P20&lt;&gt;"",(N(Aux!P20)-3)&lt;='01_Criterios'!$C$15),"EST_CARRY_BWD","SEM_DADO")))))</f>
        <v>OBS</v>
      </c>
      <c r="N20" s="20" t="str">
        <f>IF('03_Base_Indice'!$D20="","",IF('03_Base_Indice'!N20&lt;&gt;"","OBS",IF(AND(Aux!E20&lt;&gt;"",Aux!Q20&lt;&gt;"",(N(Aux!Q20)-N(Aux!E20)-1)&lt;='01_Criterios'!$C$13),"EST_INTERP",IF(AND(Aux!E20&lt;&gt;"",(4-N(Aux!E20))&lt;='01_Criterios'!$C$14),"EST_CARRY_FWD",IF(AND(Aux!Q20&lt;&gt;"",(N(Aux!Q20)-4)&lt;='01_Criterios'!$C$15),"EST_CARRY_BWD","SEM_DADO")))))</f>
        <v>OBS</v>
      </c>
      <c r="O20" s="20" t="str">
        <f>IF('03_Base_Indice'!$D20="","",IF('03_Base_Indice'!O20&lt;&gt;"","OBS",IF(AND(Aux!F20&lt;&gt;"",Aux!R20&lt;&gt;"",(N(Aux!R20)-N(Aux!F20)-1)&lt;='01_Criterios'!$C$13),"EST_INTERP",IF(AND(Aux!F20&lt;&gt;"",(5-N(Aux!F20))&lt;='01_Criterios'!$C$14),"EST_CARRY_FWD",IF(AND(Aux!R20&lt;&gt;"",(N(Aux!R20)-5)&lt;='01_Criterios'!$C$15),"EST_CARRY_BWD","SEM_DADO")))))</f>
        <v>OBS</v>
      </c>
      <c r="P20" s="20" t="str">
        <f>IF('03_Base_Indice'!$D20="","",IF('03_Base_Indice'!P20&lt;&gt;"","OBS",IF(AND(Aux!G20&lt;&gt;"",Aux!S20&lt;&gt;"",(N(Aux!S20)-N(Aux!G20)-1)&lt;='01_Criterios'!$C$13),"EST_INTERP",IF(AND(Aux!G20&lt;&gt;"",(6-N(Aux!G20))&lt;='01_Criterios'!$C$14),"EST_CARRY_FWD",IF(AND(Aux!S20&lt;&gt;"",(N(Aux!S20)-6)&lt;='01_Criterios'!$C$15),"EST_CARRY_BWD","SEM_DADO")))))</f>
        <v>OBS</v>
      </c>
      <c r="Q20" s="20" t="str">
        <f>IF('03_Base_Indice'!$D20="","",IF('03_Base_Indice'!Q20&lt;&gt;"","OBS",IF(AND(Aux!H20&lt;&gt;"",Aux!T20&lt;&gt;"",(N(Aux!T20)-N(Aux!H20)-1)&lt;='01_Criterios'!$C$13),"EST_INTERP",IF(AND(Aux!H20&lt;&gt;"",(7-N(Aux!H20))&lt;='01_Criterios'!$C$14),"EST_CARRY_FWD",IF(AND(Aux!T20&lt;&gt;"",(N(Aux!T20)-7)&lt;='01_Criterios'!$C$15),"EST_CARRY_BWD","SEM_DADO")))))</f>
        <v>OBS</v>
      </c>
      <c r="R20" s="20" t="str">
        <f>IF('03_Base_Indice'!$D20="","",IF('03_Base_Indice'!R20&lt;&gt;"","OBS",IF(AND(Aux!I20&lt;&gt;"",Aux!U20&lt;&gt;"",(N(Aux!U20)-N(Aux!I20)-1)&lt;='01_Criterios'!$C$13),"EST_INTERP",IF(AND(Aux!I20&lt;&gt;"",(8-N(Aux!I20))&lt;='01_Criterios'!$C$14),"EST_CARRY_FWD",IF(AND(Aux!U20&lt;&gt;"",(N(Aux!U20)-8)&lt;='01_Criterios'!$C$15),"EST_CARRY_BWD","SEM_DADO")))))</f>
        <v>OBS</v>
      </c>
      <c r="S20" s="20" t="str">
        <f>IF('03_Base_Indice'!$D20="","",IF('03_Base_Indice'!S20&lt;&gt;"","OBS",IF(AND(Aux!J20&lt;&gt;"",Aux!V20&lt;&gt;"",(N(Aux!V20)-N(Aux!J20)-1)&lt;='01_Criterios'!$C$13),"EST_INTERP",IF(AND(Aux!J20&lt;&gt;"",(9-N(Aux!J20))&lt;='01_Criterios'!$C$14),"EST_CARRY_FWD",IF(AND(Aux!V20&lt;&gt;"",(N(Aux!V20)-9)&lt;='01_Criterios'!$C$15),"EST_CARRY_BWD","SEM_DADO")))))</f>
        <v>OBS</v>
      </c>
      <c r="T20" s="20" t="str">
        <f>IF('03_Base_Indice'!$D20="","",IF('03_Base_Indice'!T20&lt;&gt;"","OBS",IF(AND(Aux!K20&lt;&gt;"",Aux!W20&lt;&gt;"",(N(Aux!W20)-N(Aux!K20)-1)&lt;='01_Criterios'!$C$13),"EST_INTERP",IF(AND(Aux!K20&lt;&gt;"",(10-N(Aux!K20))&lt;='01_Criterios'!$C$14),"EST_CARRY_FWD",IF(AND(Aux!W20&lt;&gt;"",(N(Aux!W20)-10)&lt;='01_Criterios'!$C$15),"EST_CARRY_BWD","SEM_DADO")))))</f>
        <v>OBS</v>
      </c>
      <c r="U20" s="20" t="str">
        <f>IF('03_Base_Indice'!$D20="","",IF('03_Base_Indice'!U20&lt;&gt;"","OBS",IF(AND(Aux!L20&lt;&gt;"",Aux!X20&lt;&gt;"",(N(Aux!X20)-N(Aux!L20)-1)&lt;='01_Criterios'!$C$13),"EST_INTERP",IF(AND(Aux!L20&lt;&gt;"",(11-N(Aux!L20))&lt;='01_Criterios'!$C$14),"EST_CARRY_FWD",IF(AND(Aux!X20&lt;&gt;"",(N(Aux!X20)-11)&lt;='01_Criterios'!$C$15),"EST_CARRY_BWD","SEM_DADO")))))</f>
        <v>OBS</v>
      </c>
      <c r="V20" s="20">
        <f>IF($D20="","",COUNTIF(K20:U20,"OBS"))</f>
        <v>11</v>
      </c>
      <c r="W20" s="20">
        <f>IF($D20="","",COUNTIF(K20:U20,"EST_*"))</f>
        <v>0</v>
      </c>
      <c r="X20" s="20">
        <f>IF($D20="","",COUNTIF(K20:U20,"SEM_DADO"))</f>
        <v>0</v>
      </c>
      <c r="Y20" s="20" t="str">
        <f>IF($D20="","",(V20+W20)&amp;"/11")</f>
        <v>11/11</v>
      </c>
    </row>
    <row r="21" spans="1:25">
      <c r="A21" s="6" t="str">
        <f>IF('03_Base_Indice'!$A21="","",'03_Base_Indice'!$A21)</f>
        <v>2. Estabilidade Macroeconómica</v>
      </c>
      <c r="B21" s="6">
        <f>'03_Base_Indice'!$B21</f>
        <v>7</v>
      </c>
      <c r="D21" s="6" t="str">
        <f>IF('03_Base_Indice'!$D21="","",'03_Base_Indice'!$D21)</f>
        <v>MAC014</v>
      </c>
      <c r="E21" s="6" t="str">
        <f>IF('03_Base_Indice'!$E21="","",'03_Base_Indice'!$E21)</f>
        <v>Crescimento do PIB não petrolífero</v>
      </c>
      <c r="K21" s="20" t="str">
        <f>IF('03_Base_Indice'!$D21="","",IF('03_Base_Indice'!K21&lt;&gt;"","OBS",IF(AND(Aux!B21&lt;&gt;"",Aux!N21&lt;&gt;"",(N(Aux!N21)-N(Aux!B21)-1)&lt;='01_Criterios'!$C$13),"EST_INTERP",IF(AND(Aux!B21&lt;&gt;"",(1-N(Aux!B21))&lt;='01_Criterios'!$C$14),"EST_CARRY_FWD",IF(AND(Aux!N21&lt;&gt;"",(N(Aux!N21)-1)&lt;='01_Criterios'!$C$15),"EST_CARRY_BWD","SEM_DADO")))))</f>
        <v>OBS</v>
      </c>
      <c r="L21" s="20" t="str">
        <f>IF('03_Base_Indice'!$D21="","",IF('03_Base_Indice'!L21&lt;&gt;"","OBS",IF(AND(Aux!C21&lt;&gt;"",Aux!O21&lt;&gt;"",(N(Aux!O21)-N(Aux!C21)-1)&lt;='01_Criterios'!$C$13),"EST_INTERP",IF(AND(Aux!C21&lt;&gt;"",(2-N(Aux!C21))&lt;='01_Criterios'!$C$14),"EST_CARRY_FWD",IF(AND(Aux!O21&lt;&gt;"",(N(Aux!O21)-2)&lt;='01_Criterios'!$C$15),"EST_CARRY_BWD","SEM_DADO")))))</f>
        <v>OBS</v>
      </c>
      <c r="M21" s="20" t="str">
        <f>IF('03_Base_Indice'!$D21="","",IF('03_Base_Indice'!M21&lt;&gt;"","OBS",IF(AND(Aux!D21&lt;&gt;"",Aux!P21&lt;&gt;"",(N(Aux!P21)-N(Aux!D21)-1)&lt;='01_Criterios'!$C$13),"EST_INTERP",IF(AND(Aux!D21&lt;&gt;"",(3-N(Aux!D21))&lt;='01_Criterios'!$C$14),"EST_CARRY_FWD",IF(AND(Aux!P21&lt;&gt;"",(N(Aux!P21)-3)&lt;='01_Criterios'!$C$15),"EST_CARRY_BWD","SEM_DADO")))))</f>
        <v>OBS</v>
      </c>
      <c r="N21" s="20" t="str">
        <f>IF('03_Base_Indice'!$D21="","",IF('03_Base_Indice'!N21&lt;&gt;"","OBS",IF(AND(Aux!E21&lt;&gt;"",Aux!Q21&lt;&gt;"",(N(Aux!Q21)-N(Aux!E21)-1)&lt;='01_Criterios'!$C$13),"EST_INTERP",IF(AND(Aux!E21&lt;&gt;"",(4-N(Aux!E21))&lt;='01_Criterios'!$C$14),"EST_CARRY_FWD",IF(AND(Aux!Q21&lt;&gt;"",(N(Aux!Q21)-4)&lt;='01_Criterios'!$C$15),"EST_CARRY_BWD","SEM_DADO")))))</f>
        <v>OBS</v>
      </c>
      <c r="O21" s="20" t="str">
        <f>IF('03_Base_Indice'!$D21="","",IF('03_Base_Indice'!O21&lt;&gt;"","OBS",IF(AND(Aux!F21&lt;&gt;"",Aux!R21&lt;&gt;"",(N(Aux!R21)-N(Aux!F21)-1)&lt;='01_Criterios'!$C$13),"EST_INTERP",IF(AND(Aux!F21&lt;&gt;"",(5-N(Aux!F21))&lt;='01_Criterios'!$C$14),"EST_CARRY_FWD",IF(AND(Aux!R21&lt;&gt;"",(N(Aux!R21)-5)&lt;='01_Criterios'!$C$15),"EST_CARRY_BWD","SEM_DADO")))))</f>
        <v>OBS</v>
      </c>
      <c r="P21" s="20" t="str">
        <f>IF('03_Base_Indice'!$D21="","",IF('03_Base_Indice'!P21&lt;&gt;"","OBS",IF(AND(Aux!G21&lt;&gt;"",Aux!S21&lt;&gt;"",(N(Aux!S21)-N(Aux!G21)-1)&lt;='01_Criterios'!$C$13),"EST_INTERP",IF(AND(Aux!G21&lt;&gt;"",(6-N(Aux!G21))&lt;='01_Criterios'!$C$14),"EST_CARRY_FWD",IF(AND(Aux!S21&lt;&gt;"",(N(Aux!S21)-6)&lt;='01_Criterios'!$C$15),"EST_CARRY_BWD","SEM_DADO")))))</f>
        <v>OBS</v>
      </c>
      <c r="Q21" s="20" t="str">
        <f>IF('03_Base_Indice'!$D21="","",IF('03_Base_Indice'!Q21&lt;&gt;"","OBS",IF(AND(Aux!H21&lt;&gt;"",Aux!T21&lt;&gt;"",(N(Aux!T21)-N(Aux!H21)-1)&lt;='01_Criterios'!$C$13),"EST_INTERP",IF(AND(Aux!H21&lt;&gt;"",(7-N(Aux!H21))&lt;='01_Criterios'!$C$14),"EST_CARRY_FWD",IF(AND(Aux!T21&lt;&gt;"",(N(Aux!T21)-7)&lt;='01_Criterios'!$C$15),"EST_CARRY_BWD","SEM_DADO")))))</f>
        <v>OBS</v>
      </c>
      <c r="R21" s="20" t="str">
        <f>IF('03_Base_Indice'!$D21="","",IF('03_Base_Indice'!R21&lt;&gt;"","OBS",IF(AND(Aux!I21&lt;&gt;"",Aux!U21&lt;&gt;"",(N(Aux!U21)-N(Aux!I21)-1)&lt;='01_Criterios'!$C$13),"EST_INTERP",IF(AND(Aux!I21&lt;&gt;"",(8-N(Aux!I21))&lt;='01_Criterios'!$C$14),"EST_CARRY_FWD",IF(AND(Aux!U21&lt;&gt;"",(N(Aux!U21)-8)&lt;='01_Criterios'!$C$15),"EST_CARRY_BWD","SEM_DADO")))))</f>
        <v>OBS</v>
      </c>
      <c r="S21" s="20" t="str">
        <f>IF('03_Base_Indice'!$D21="","",IF('03_Base_Indice'!S21&lt;&gt;"","OBS",IF(AND(Aux!J21&lt;&gt;"",Aux!V21&lt;&gt;"",(N(Aux!V21)-N(Aux!J21)-1)&lt;='01_Criterios'!$C$13),"EST_INTERP",IF(AND(Aux!J21&lt;&gt;"",(9-N(Aux!J21))&lt;='01_Criterios'!$C$14),"EST_CARRY_FWD",IF(AND(Aux!V21&lt;&gt;"",(N(Aux!V21)-9)&lt;='01_Criterios'!$C$15),"EST_CARRY_BWD","SEM_DADO")))))</f>
        <v>OBS</v>
      </c>
      <c r="T21" s="20" t="str">
        <f>IF('03_Base_Indice'!$D21="","",IF('03_Base_Indice'!T21&lt;&gt;"","OBS",IF(AND(Aux!K21&lt;&gt;"",Aux!W21&lt;&gt;"",(N(Aux!W21)-N(Aux!K21)-1)&lt;='01_Criterios'!$C$13),"EST_INTERP",IF(AND(Aux!K21&lt;&gt;"",(10-N(Aux!K21))&lt;='01_Criterios'!$C$14),"EST_CARRY_FWD",IF(AND(Aux!W21&lt;&gt;"",(N(Aux!W21)-10)&lt;='01_Criterios'!$C$15),"EST_CARRY_BWD","SEM_DADO")))))</f>
        <v>OBS</v>
      </c>
      <c r="U21" s="20" t="str">
        <f>IF('03_Base_Indice'!$D21="","",IF('03_Base_Indice'!U21&lt;&gt;"","OBS",IF(AND(Aux!L21&lt;&gt;"",Aux!X21&lt;&gt;"",(N(Aux!X21)-N(Aux!L21)-1)&lt;='01_Criterios'!$C$13),"EST_INTERP",IF(AND(Aux!L21&lt;&gt;"",(11-N(Aux!L21))&lt;='01_Criterios'!$C$14),"EST_CARRY_FWD",IF(AND(Aux!X21&lt;&gt;"",(N(Aux!X21)-11)&lt;='01_Criterios'!$C$15),"EST_CARRY_BWD","SEM_DADO")))))</f>
        <v>OBS</v>
      </c>
      <c r="V21" s="20">
        <f>IF($D21="","",COUNTIF(K21:U21,"OBS"))</f>
        <v>11</v>
      </c>
      <c r="W21" s="20">
        <f>IF($D21="","",COUNTIF(K21:U21,"EST_*"))</f>
        <v>0</v>
      </c>
      <c r="X21" s="20">
        <f>IF($D21="","",COUNTIF(K21:U21,"SEM_DADO"))</f>
        <v>0</v>
      </c>
      <c r="Y21" s="20" t="str">
        <f>IF($D21="","",(V21+W21)&amp;"/11")</f>
        <v>11/11</v>
      </c>
    </row>
    <row r="22" spans="1:25">
      <c r="A22" s="6" t="str">
        <f>IF('03_Base_Indice'!$A22="","",'03_Base_Indice'!$A22)</f>
        <v>2. Estabilidade Macroeconómica</v>
      </c>
      <c r="B22" s="6">
        <f>'03_Base_Indice'!$B22</f>
        <v>8</v>
      </c>
      <c r="D22" s="6" t="str">
        <f>IF('03_Base_Indice'!$D22="","",'03_Base_Indice'!$D22)</f>
        <v/>
      </c>
      <c r="E22" s="6" t="str">
        <f>IF('03_Base_Indice'!$E22="","",'03_Base_Indice'!$E22)</f>
        <v/>
      </c>
      <c r="K22" s="20" t="str">
        <f>IF('03_Base_Indice'!$D22="","",IF('03_Base_Indice'!K22&lt;&gt;"","OBS",IF(AND(Aux!B22&lt;&gt;"",Aux!N22&lt;&gt;"",(N(Aux!N22)-N(Aux!B22)-1)&lt;='01_Criterios'!$C$13),"EST_INTERP",IF(AND(Aux!B22&lt;&gt;"",(1-N(Aux!B22))&lt;='01_Criterios'!$C$14),"EST_CARRY_FWD",IF(AND(Aux!N22&lt;&gt;"",(N(Aux!N22)-1)&lt;='01_Criterios'!$C$15),"EST_CARRY_BWD","SEM_DADO")))))</f>
        <v/>
      </c>
      <c r="L22" s="20" t="str">
        <f>IF('03_Base_Indice'!$D22="","",IF('03_Base_Indice'!L22&lt;&gt;"","OBS",IF(AND(Aux!C22&lt;&gt;"",Aux!O22&lt;&gt;"",(N(Aux!O22)-N(Aux!C22)-1)&lt;='01_Criterios'!$C$13),"EST_INTERP",IF(AND(Aux!C22&lt;&gt;"",(2-N(Aux!C22))&lt;='01_Criterios'!$C$14),"EST_CARRY_FWD",IF(AND(Aux!O22&lt;&gt;"",(N(Aux!O22)-2)&lt;='01_Criterios'!$C$15),"EST_CARRY_BWD","SEM_DADO")))))</f>
        <v/>
      </c>
      <c r="M22" s="20" t="str">
        <f>IF('03_Base_Indice'!$D22="","",IF('03_Base_Indice'!M22&lt;&gt;"","OBS",IF(AND(Aux!D22&lt;&gt;"",Aux!P22&lt;&gt;"",(N(Aux!P22)-N(Aux!D22)-1)&lt;='01_Criterios'!$C$13),"EST_INTERP",IF(AND(Aux!D22&lt;&gt;"",(3-N(Aux!D22))&lt;='01_Criterios'!$C$14),"EST_CARRY_FWD",IF(AND(Aux!P22&lt;&gt;"",(N(Aux!P22)-3)&lt;='01_Criterios'!$C$15),"EST_CARRY_BWD","SEM_DADO")))))</f>
        <v/>
      </c>
      <c r="N22" s="20" t="str">
        <f>IF('03_Base_Indice'!$D22="","",IF('03_Base_Indice'!N22&lt;&gt;"","OBS",IF(AND(Aux!E22&lt;&gt;"",Aux!Q22&lt;&gt;"",(N(Aux!Q22)-N(Aux!E22)-1)&lt;='01_Criterios'!$C$13),"EST_INTERP",IF(AND(Aux!E22&lt;&gt;"",(4-N(Aux!E22))&lt;='01_Criterios'!$C$14),"EST_CARRY_FWD",IF(AND(Aux!Q22&lt;&gt;"",(N(Aux!Q22)-4)&lt;='01_Criterios'!$C$15),"EST_CARRY_BWD","SEM_DADO")))))</f>
        <v/>
      </c>
      <c r="O22" s="20" t="str">
        <f>IF('03_Base_Indice'!$D22="","",IF('03_Base_Indice'!O22&lt;&gt;"","OBS",IF(AND(Aux!F22&lt;&gt;"",Aux!R22&lt;&gt;"",(N(Aux!R22)-N(Aux!F22)-1)&lt;='01_Criterios'!$C$13),"EST_INTERP",IF(AND(Aux!F22&lt;&gt;"",(5-N(Aux!F22))&lt;='01_Criterios'!$C$14),"EST_CARRY_FWD",IF(AND(Aux!R22&lt;&gt;"",(N(Aux!R22)-5)&lt;='01_Criterios'!$C$15),"EST_CARRY_BWD","SEM_DADO")))))</f>
        <v/>
      </c>
      <c r="P22" s="20" t="str">
        <f>IF('03_Base_Indice'!$D22="","",IF('03_Base_Indice'!P22&lt;&gt;"","OBS",IF(AND(Aux!G22&lt;&gt;"",Aux!S22&lt;&gt;"",(N(Aux!S22)-N(Aux!G22)-1)&lt;='01_Criterios'!$C$13),"EST_INTERP",IF(AND(Aux!G22&lt;&gt;"",(6-N(Aux!G22))&lt;='01_Criterios'!$C$14),"EST_CARRY_FWD",IF(AND(Aux!S22&lt;&gt;"",(N(Aux!S22)-6)&lt;='01_Criterios'!$C$15),"EST_CARRY_BWD","SEM_DADO")))))</f>
        <v/>
      </c>
      <c r="Q22" s="20" t="str">
        <f>IF('03_Base_Indice'!$D22="","",IF('03_Base_Indice'!Q22&lt;&gt;"","OBS",IF(AND(Aux!H22&lt;&gt;"",Aux!T22&lt;&gt;"",(N(Aux!T22)-N(Aux!H22)-1)&lt;='01_Criterios'!$C$13),"EST_INTERP",IF(AND(Aux!H22&lt;&gt;"",(7-N(Aux!H22))&lt;='01_Criterios'!$C$14),"EST_CARRY_FWD",IF(AND(Aux!T22&lt;&gt;"",(N(Aux!T22)-7)&lt;='01_Criterios'!$C$15),"EST_CARRY_BWD","SEM_DADO")))))</f>
        <v/>
      </c>
      <c r="R22" s="20" t="str">
        <f>IF('03_Base_Indice'!$D22="","",IF('03_Base_Indice'!R22&lt;&gt;"","OBS",IF(AND(Aux!I22&lt;&gt;"",Aux!U22&lt;&gt;"",(N(Aux!U22)-N(Aux!I22)-1)&lt;='01_Criterios'!$C$13),"EST_INTERP",IF(AND(Aux!I22&lt;&gt;"",(8-N(Aux!I22))&lt;='01_Criterios'!$C$14),"EST_CARRY_FWD",IF(AND(Aux!U22&lt;&gt;"",(N(Aux!U22)-8)&lt;='01_Criterios'!$C$15),"EST_CARRY_BWD","SEM_DADO")))))</f>
        <v/>
      </c>
      <c r="S22" s="20" t="str">
        <f>IF('03_Base_Indice'!$D22="","",IF('03_Base_Indice'!S22&lt;&gt;"","OBS",IF(AND(Aux!J22&lt;&gt;"",Aux!V22&lt;&gt;"",(N(Aux!V22)-N(Aux!J22)-1)&lt;='01_Criterios'!$C$13),"EST_INTERP",IF(AND(Aux!J22&lt;&gt;"",(9-N(Aux!J22))&lt;='01_Criterios'!$C$14),"EST_CARRY_FWD",IF(AND(Aux!V22&lt;&gt;"",(N(Aux!V22)-9)&lt;='01_Criterios'!$C$15),"EST_CARRY_BWD","SEM_DADO")))))</f>
        <v/>
      </c>
      <c r="T22" s="20" t="str">
        <f>IF('03_Base_Indice'!$D22="","",IF('03_Base_Indice'!T22&lt;&gt;"","OBS",IF(AND(Aux!K22&lt;&gt;"",Aux!W22&lt;&gt;"",(N(Aux!W22)-N(Aux!K22)-1)&lt;='01_Criterios'!$C$13),"EST_INTERP",IF(AND(Aux!K22&lt;&gt;"",(10-N(Aux!K22))&lt;='01_Criterios'!$C$14),"EST_CARRY_FWD",IF(AND(Aux!W22&lt;&gt;"",(N(Aux!W22)-10)&lt;='01_Criterios'!$C$15),"EST_CARRY_BWD","SEM_DADO")))))</f>
        <v/>
      </c>
      <c r="U22" s="20" t="str">
        <f>IF('03_Base_Indice'!$D22="","",IF('03_Base_Indice'!U22&lt;&gt;"","OBS",IF(AND(Aux!L22&lt;&gt;"",Aux!X22&lt;&gt;"",(N(Aux!X22)-N(Aux!L22)-1)&lt;='01_Criterios'!$C$13),"EST_INTERP",IF(AND(Aux!L22&lt;&gt;"",(11-N(Aux!L22))&lt;='01_Criterios'!$C$14),"EST_CARRY_FWD",IF(AND(Aux!X22&lt;&gt;"",(N(Aux!X22)-11)&lt;='01_Criterios'!$C$15),"EST_CARRY_BWD","SEM_DADO")))))</f>
        <v/>
      </c>
      <c r="V22" s="20" t="str">
        <f>IF($D22="","",COUNTIF(K22:U22,"OBS"))</f>
        <v/>
      </c>
      <c r="W22" s="20" t="str">
        <f>IF($D22="","",COUNTIF(K22:U22,"EST_*"))</f>
        <v/>
      </c>
      <c r="X22" s="20" t="str">
        <f>IF($D22="","",COUNTIF(K22:U22,"SEM_DADO"))</f>
        <v/>
      </c>
      <c r="Y22" s="20" t="str">
        <f>IF($D22="","",(V22+W22)&amp;"/11")</f>
        <v/>
      </c>
    </row>
    <row r="23" spans="1:25">
      <c r="A23" s="6" t="str">
        <f>IF('03_Base_Indice'!$A23="","",'03_Base_Indice'!$A23)</f>
        <v>2. Estabilidade Macroeconómica</v>
      </c>
      <c r="B23" s="6">
        <f>'03_Base_Indice'!$B23</f>
        <v>9</v>
      </c>
      <c r="D23" s="6" t="str">
        <f>IF('03_Base_Indice'!$D23="","",'03_Base_Indice'!$D23)</f>
        <v/>
      </c>
      <c r="E23" s="6" t="str">
        <f>IF('03_Base_Indice'!$E23="","",'03_Base_Indice'!$E23)</f>
        <v/>
      </c>
      <c r="K23" s="20" t="str">
        <f>IF('03_Base_Indice'!$D23="","",IF('03_Base_Indice'!K23&lt;&gt;"","OBS",IF(AND(Aux!B23&lt;&gt;"",Aux!N23&lt;&gt;"",(N(Aux!N23)-N(Aux!B23)-1)&lt;='01_Criterios'!$C$13),"EST_INTERP",IF(AND(Aux!B23&lt;&gt;"",(1-N(Aux!B23))&lt;='01_Criterios'!$C$14),"EST_CARRY_FWD",IF(AND(Aux!N23&lt;&gt;"",(N(Aux!N23)-1)&lt;='01_Criterios'!$C$15),"EST_CARRY_BWD","SEM_DADO")))))</f>
        <v/>
      </c>
      <c r="L23" s="20" t="str">
        <f>IF('03_Base_Indice'!$D23="","",IF('03_Base_Indice'!L23&lt;&gt;"","OBS",IF(AND(Aux!C23&lt;&gt;"",Aux!O23&lt;&gt;"",(N(Aux!O23)-N(Aux!C23)-1)&lt;='01_Criterios'!$C$13),"EST_INTERP",IF(AND(Aux!C23&lt;&gt;"",(2-N(Aux!C23))&lt;='01_Criterios'!$C$14),"EST_CARRY_FWD",IF(AND(Aux!O23&lt;&gt;"",(N(Aux!O23)-2)&lt;='01_Criterios'!$C$15),"EST_CARRY_BWD","SEM_DADO")))))</f>
        <v/>
      </c>
      <c r="M23" s="20" t="str">
        <f>IF('03_Base_Indice'!$D23="","",IF('03_Base_Indice'!M23&lt;&gt;"","OBS",IF(AND(Aux!D23&lt;&gt;"",Aux!P23&lt;&gt;"",(N(Aux!P23)-N(Aux!D23)-1)&lt;='01_Criterios'!$C$13),"EST_INTERP",IF(AND(Aux!D23&lt;&gt;"",(3-N(Aux!D23))&lt;='01_Criterios'!$C$14),"EST_CARRY_FWD",IF(AND(Aux!P23&lt;&gt;"",(N(Aux!P23)-3)&lt;='01_Criterios'!$C$15),"EST_CARRY_BWD","SEM_DADO")))))</f>
        <v/>
      </c>
      <c r="N23" s="20" t="str">
        <f>IF('03_Base_Indice'!$D23="","",IF('03_Base_Indice'!N23&lt;&gt;"","OBS",IF(AND(Aux!E23&lt;&gt;"",Aux!Q23&lt;&gt;"",(N(Aux!Q23)-N(Aux!E23)-1)&lt;='01_Criterios'!$C$13),"EST_INTERP",IF(AND(Aux!E23&lt;&gt;"",(4-N(Aux!E23))&lt;='01_Criterios'!$C$14),"EST_CARRY_FWD",IF(AND(Aux!Q23&lt;&gt;"",(N(Aux!Q23)-4)&lt;='01_Criterios'!$C$15),"EST_CARRY_BWD","SEM_DADO")))))</f>
        <v/>
      </c>
      <c r="O23" s="20" t="str">
        <f>IF('03_Base_Indice'!$D23="","",IF('03_Base_Indice'!O23&lt;&gt;"","OBS",IF(AND(Aux!F23&lt;&gt;"",Aux!R23&lt;&gt;"",(N(Aux!R23)-N(Aux!F23)-1)&lt;='01_Criterios'!$C$13),"EST_INTERP",IF(AND(Aux!F23&lt;&gt;"",(5-N(Aux!F23))&lt;='01_Criterios'!$C$14),"EST_CARRY_FWD",IF(AND(Aux!R23&lt;&gt;"",(N(Aux!R23)-5)&lt;='01_Criterios'!$C$15),"EST_CARRY_BWD","SEM_DADO")))))</f>
        <v/>
      </c>
      <c r="P23" s="20" t="str">
        <f>IF('03_Base_Indice'!$D23="","",IF('03_Base_Indice'!P23&lt;&gt;"","OBS",IF(AND(Aux!G23&lt;&gt;"",Aux!S23&lt;&gt;"",(N(Aux!S23)-N(Aux!G23)-1)&lt;='01_Criterios'!$C$13),"EST_INTERP",IF(AND(Aux!G23&lt;&gt;"",(6-N(Aux!G23))&lt;='01_Criterios'!$C$14),"EST_CARRY_FWD",IF(AND(Aux!S23&lt;&gt;"",(N(Aux!S23)-6)&lt;='01_Criterios'!$C$15),"EST_CARRY_BWD","SEM_DADO")))))</f>
        <v/>
      </c>
      <c r="Q23" s="20" t="str">
        <f>IF('03_Base_Indice'!$D23="","",IF('03_Base_Indice'!Q23&lt;&gt;"","OBS",IF(AND(Aux!H23&lt;&gt;"",Aux!T23&lt;&gt;"",(N(Aux!T23)-N(Aux!H23)-1)&lt;='01_Criterios'!$C$13),"EST_INTERP",IF(AND(Aux!H23&lt;&gt;"",(7-N(Aux!H23))&lt;='01_Criterios'!$C$14),"EST_CARRY_FWD",IF(AND(Aux!T23&lt;&gt;"",(N(Aux!T23)-7)&lt;='01_Criterios'!$C$15),"EST_CARRY_BWD","SEM_DADO")))))</f>
        <v/>
      </c>
      <c r="R23" s="20" t="str">
        <f>IF('03_Base_Indice'!$D23="","",IF('03_Base_Indice'!R23&lt;&gt;"","OBS",IF(AND(Aux!I23&lt;&gt;"",Aux!U23&lt;&gt;"",(N(Aux!U23)-N(Aux!I23)-1)&lt;='01_Criterios'!$C$13),"EST_INTERP",IF(AND(Aux!I23&lt;&gt;"",(8-N(Aux!I23))&lt;='01_Criterios'!$C$14),"EST_CARRY_FWD",IF(AND(Aux!U23&lt;&gt;"",(N(Aux!U23)-8)&lt;='01_Criterios'!$C$15),"EST_CARRY_BWD","SEM_DADO")))))</f>
        <v/>
      </c>
      <c r="S23" s="20" t="str">
        <f>IF('03_Base_Indice'!$D23="","",IF('03_Base_Indice'!S23&lt;&gt;"","OBS",IF(AND(Aux!J23&lt;&gt;"",Aux!V23&lt;&gt;"",(N(Aux!V23)-N(Aux!J23)-1)&lt;='01_Criterios'!$C$13),"EST_INTERP",IF(AND(Aux!J23&lt;&gt;"",(9-N(Aux!J23))&lt;='01_Criterios'!$C$14),"EST_CARRY_FWD",IF(AND(Aux!V23&lt;&gt;"",(N(Aux!V23)-9)&lt;='01_Criterios'!$C$15),"EST_CARRY_BWD","SEM_DADO")))))</f>
        <v/>
      </c>
      <c r="T23" s="20" t="str">
        <f>IF('03_Base_Indice'!$D23="","",IF('03_Base_Indice'!T23&lt;&gt;"","OBS",IF(AND(Aux!K23&lt;&gt;"",Aux!W23&lt;&gt;"",(N(Aux!W23)-N(Aux!K23)-1)&lt;='01_Criterios'!$C$13),"EST_INTERP",IF(AND(Aux!K23&lt;&gt;"",(10-N(Aux!K23))&lt;='01_Criterios'!$C$14),"EST_CARRY_FWD",IF(AND(Aux!W23&lt;&gt;"",(N(Aux!W23)-10)&lt;='01_Criterios'!$C$15),"EST_CARRY_BWD","SEM_DADO")))))</f>
        <v/>
      </c>
      <c r="U23" s="20" t="str">
        <f>IF('03_Base_Indice'!$D23="","",IF('03_Base_Indice'!U23&lt;&gt;"","OBS",IF(AND(Aux!L23&lt;&gt;"",Aux!X23&lt;&gt;"",(N(Aux!X23)-N(Aux!L23)-1)&lt;='01_Criterios'!$C$13),"EST_INTERP",IF(AND(Aux!L23&lt;&gt;"",(11-N(Aux!L23))&lt;='01_Criterios'!$C$14),"EST_CARRY_FWD",IF(AND(Aux!X23&lt;&gt;"",(N(Aux!X23)-11)&lt;='01_Criterios'!$C$15),"EST_CARRY_BWD","SEM_DADO")))))</f>
        <v/>
      </c>
      <c r="V23" s="20" t="str">
        <f>IF($D23="","",COUNTIF(K23:U23,"OBS"))</f>
        <v/>
      </c>
      <c r="W23" s="20" t="str">
        <f>IF($D23="","",COUNTIF(K23:U23,"EST_*"))</f>
        <v/>
      </c>
      <c r="X23" s="20" t="str">
        <f>IF($D23="","",COUNTIF(K23:U23,"SEM_DADO"))</f>
        <v/>
      </c>
      <c r="Y23" s="20" t="str">
        <f>IF($D23="","",(V23+W23)&amp;"/11")</f>
        <v/>
      </c>
    </row>
    <row r="24" spans="1:25">
      <c r="A24" s="6" t="str">
        <f>IF('03_Base_Indice'!$A24="","",'03_Base_Indice'!$A24)</f>
        <v>2. Estabilidade Macroeconómica</v>
      </c>
      <c r="B24" s="6">
        <f>'03_Base_Indice'!$B24</f>
        <v>10</v>
      </c>
      <c r="D24" s="6" t="str">
        <f>IF('03_Base_Indice'!$D24="","",'03_Base_Indice'!$D24)</f>
        <v/>
      </c>
      <c r="E24" s="6" t="str">
        <f>IF('03_Base_Indice'!$E24="","",'03_Base_Indice'!$E24)</f>
        <v/>
      </c>
      <c r="K24" s="20" t="str">
        <f>IF('03_Base_Indice'!$D24="","",IF('03_Base_Indice'!K24&lt;&gt;"","OBS",IF(AND(Aux!B24&lt;&gt;"",Aux!N24&lt;&gt;"",(N(Aux!N24)-N(Aux!B24)-1)&lt;='01_Criterios'!$C$13),"EST_INTERP",IF(AND(Aux!B24&lt;&gt;"",(1-N(Aux!B24))&lt;='01_Criterios'!$C$14),"EST_CARRY_FWD",IF(AND(Aux!N24&lt;&gt;"",(N(Aux!N24)-1)&lt;='01_Criterios'!$C$15),"EST_CARRY_BWD","SEM_DADO")))))</f>
        <v/>
      </c>
      <c r="L24" s="20" t="str">
        <f>IF('03_Base_Indice'!$D24="","",IF('03_Base_Indice'!L24&lt;&gt;"","OBS",IF(AND(Aux!C24&lt;&gt;"",Aux!O24&lt;&gt;"",(N(Aux!O24)-N(Aux!C24)-1)&lt;='01_Criterios'!$C$13),"EST_INTERP",IF(AND(Aux!C24&lt;&gt;"",(2-N(Aux!C24))&lt;='01_Criterios'!$C$14),"EST_CARRY_FWD",IF(AND(Aux!O24&lt;&gt;"",(N(Aux!O24)-2)&lt;='01_Criterios'!$C$15),"EST_CARRY_BWD","SEM_DADO")))))</f>
        <v/>
      </c>
      <c r="M24" s="20" t="str">
        <f>IF('03_Base_Indice'!$D24="","",IF('03_Base_Indice'!M24&lt;&gt;"","OBS",IF(AND(Aux!D24&lt;&gt;"",Aux!P24&lt;&gt;"",(N(Aux!P24)-N(Aux!D24)-1)&lt;='01_Criterios'!$C$13),"EST_INTERP",IF(AND(Aux!D24&lt;&gt;"",(3-N(Aux!D24))&lt;='01_Criterios'!$C$14),"EST_CARRY_FWD",IF(AND(Aux!P24&lt;&gt;"",(N(Aux!P24)-3)&lt;='01_Criterios'!$C$15),"EST_CARRY_BWD","SEM_DADO")))))</f>
        <v/>
      </c>
      <c r="N24" s="20" t="str">
        <f>IF('03_Base_Indice'!$D24="","",IF('03_Base_Indice'!N24&lt;&gt;"","OBS",IF(AND(Aux!E24&lt;&gt;"",Aux!Q24&lt;&gt;"",(N(Aux!Q24)-N(Aux!E24)-1)&lt;='01_Criterios'!$C$13),"EST_INTERP",IF(AND(Aux!E24&lt;&gt;"",(4-N(Aux!E24))&lt;='01_Criterios'!$C$14),"EST_CARRY_FWD",IF(AND(Aux!Q24&lt;&gt;"",(N(Aux!Q24)-4)&lt;='01_Criterios'!$C$15),"EST_CARRY_BWD","SEM_DADO")))))</f>
        <v/>
      </c>
      <c r="O24" s="20" t="str">
        <f>IF('03_Base_Indice'!$D24="","",IF('03_Base_Indice'!O24&lt;&gt;"","OBS",IF(AND(Aux!F24&lt;&gt;"",Aux!R24&lt;&gt;"",(N(Aux!R24)-N(Aux!F24)-1)&lt;='01_Criterios'!$C$13),"EST_INTERP",IF(AND(Aux!F24&lt;&gt;"",(5-N(Aux!F24))&lt;='01_Criterios'!$C$14),"EST_CARRY_FWD",IF(AND(Aux!R24&lt;&gt;"",(N(Aux!R24)-5)&lt;='01_Criterios'!$C$15),"EST_CARRY_BWD","SEM_DADO")))))</f>
        <v/>
      </c>
      <c r="P24" s="20" t="str">
        <f>IF('03_Base_Indice'!$D24="","",IF('03_Base_Indice'!P24&lt;&gt;"","OBS",IF(AND(Aux!G24&lt;&gt;"",Aux!S24&lt;&gt;"",(N(Aux!S24)-N(Aux!G24)-1)&lt;='01_Criterios'!$C$13),"EST_INTERP",IF(AND(Aux!G24&lt;&gt;"",(6-N(Aux!G24))&lt;='01_Criterios'!$C$14),"EST_CARRY_FWD",IF(AND(Aux!S24&lt;&gt;"",(N(Aux!S24)-6)&lt;='01_Criterios'!$C$15),"EST_CARRY_BWD","SEM_DADO")))))</f>
        <v/>
      </c>
      <c r="Q24" s="20" t="str">
        <f>IF('03_Base_Indice'!$D24="","",IF('03_Base_Indice'!Q24&lt;&gt;"","OBS",IF(AND(Aux!H24&lt;&gt;"",Aux!T24&lt;&gt;"",(N(Aux!T24)-N(Aux!H24)-1)&lt;='01_Criterios'!$C$13),"EST_INTERP",IF(AND(Aux!H24&lt;&gt;"",(7-N(Aux!H24))&lt;='01_Criterios'!$C$14),"EST_CARRY_FWD",IF(AND(Aux!T24&lt;&gt;"",(N(Aux!T24)-7)&lt;='01_Criterios'!$C$15),"EST_CARRY_BWD","SEM_DADO")))))</f>
        <v/>
      </c>
      <c r="R24" s="20" t="str">
        <f>IF('03_Base_Indice'!$D24="","",IF('03_Base_Indice'!R24&lt;&gt;"","OBS",IF(AND(Aux!I24&lt;&gt;"",Aux!U24&lt;&gt;"",(N(Aux!U24)-N(Aux!I24)-1)&lt;='01_Criterios'!$C$13),"EST_INTERP",IF(AND(Aux!I24&lt;&gt;"",(8-N(Aux!I24))&lt;='01_Criterios'!$C$14),"EST_CARRY_FWD",IF(AND(Aux!U24&lt;&gt;"",(N(Aux!U24)-8)&lt;='01_Criterios'!$C$15),"EST_CARRY_BWD","SEM_DADO")))))</f>
        <v/>
      </c>
      <c r="S24" s="20" t="str">
        <f>IF('03_Base_Indice'!$D24="","",IF('03_Base_Indice'!S24&lt;&gt;"","OBS",IF(AND(Aux!J24&lt;&gt;"",Aux!V24&lt;&gt;"",(N(Aux!V24)-N(Aux!J24)-1)&lt;='01_Criterios'!$C$13),"EST_INTERP",IF(AND(Aux!J24&lt;&gt;"",(9-N(Aux!J24))&lt;='01_Criterios'!$C$14),"EST_CARRY_FWD",IF(AND(Aux!V24&lt;&gt;"",(N(Aux!V24)-9)&lt;='01_Criterios'!$C$15),"EST_CARRY_BWD","SEM_DADO")))))</f>
        <v/>
      </c>
      <c r="T24" s="20" t="str">
        <f>IF('03_Base_Indice'!$D24="","",IF('03_Base_Indice'!T24&lt;&gt;"","OBS",IF(AND(Aux!K24&lt;&gt;"",Aux!W24&lt;&gt;"",(N(Aux!W24)-N(Aux!K24)-1)&lt;='01_Criterios'!$C$13),"EST_INTERP",IF(AND(Aux!K24&lt;&gt;"",(10-N(Aux!K24))&lt;='01_Criterios'!$C$14),"EST_CARRY_FWD",IF(AND(Aux!W24&lt;&gt;"",(N(Aux!W24)-10)&lt;='01_Criterios'!$C$15),"EST_CARRY_BWD","SEM_DADO")))))</f>
        <v/>
      </c>
      <c r="U24" s="20" t="str">
        <f>IF('03_Base_Indice'!$D24="","",IF('03_Base_Indice'!U24&lt;&gt;"","OBS",IF(AND(Aux!L24&lt;&gt;"",Aux!X24&lt;&gt;"",(N(Aux!X24)-N(Aux!L24)-1)&lt;='01_Criterios'!$C$13),"EST_INTERP",IF(AND(Aux!L24&lt;&gt;"",(11-N(Aux!L24))&lt;='01_Criterios'!$C$14),"EST_CARRY_FWD",IF(AND(Aux!X24&lt;&gt;"",(N(Aux!X24)-11)&lt;='01_Criterios'!$C$15),"EST_CARRY_BWD","SEM_DADO")))))</f>
        <v/>
      </c>
      <c r="V24" s="20" t="str">
        <f>IF($D24="","",COUNTIF(K24:U24,"OBS"))</f>
        <v/>
      </c>
      <c r="W24" s="20" t="str">
        <f>IF($D24="","",COUNTIF(K24:U24,"EST_*"))</f>
        <v/>
      </c>
      <c r="X24" s="20" t="str">
        <f>IF($D24="","",COUNTIF(K24:U24,"SEM_DADO"))</f>
        <v/>
      </c>
      <c r="Y24" s="20" t="str">
        <f>IF($D24="","",(V24+W24)&amp;"/11")</f>
        <v/>
      </c>
    </row>
    <row r="25" spans="1:25">
      <c r="A25" s="6" t="str">
        <f>IF('03_Base_Indice'!$A25="","",'03_Base_Indice'!$A25)</f>
        <v>3. Capital Humano</v>
      </c>
      <c r="B25" s="6">
        <f>'03_Base_Indice'!$B25</f>
        <v>1</v>
      </c>
      <c r="D25" s="6" t="str">
        <f>IF('03_Base_Indice'!$D25="","",'03_Base_Indice'!$D25)</f>
        <v>HUM002</v>
      </c>
      <c r="E25" s="6" t="str">
        <f>IF('03_Base_Indice'!$E25="","",'03_Base_Indice'!$E25)</f>
        <v>Esperança Média de Vida</v>
      </c>
      <c r="K25" s="20" t="str">
        <f>IF('03_Base_Indice'!$D25="","",IF('03_Base_Indice'!K25&lt;&gt;"","OBS",IF(AND(Aux!B25&lt;&gt;"",Aux!N25&lt;&gt;"",(N(Aux!N25)-N(Aux!B25)-1)&lt;='01_Criterios'!$C$13),"EST_INTERP",IF(AND(Aux!B25&lt;&gt;"",(1-N(Aux!B25))&lt;='01_Criterios'!$C$14),"EST_CARRY_FWD",IF(AND(Aux!N25&lt;&gt;"",(N(Aux!N25)-1)&lt;='01_Criterios'!$C$15),"EST_CARRY_BWD","SEM_DADO")))))</f>
        <v>OBS</v>
      </c>
      <c r="L25" s="20" t="str">
        <f>IF('03_Base_Indice'!$D25="","",IF('03_Base_Indice'!L25&lt;&gt;"","OBS",IF(AND(Aux!C25&lt;&gt;"",Aux!O25&lt;&gt;"",(N(Aux!O25)-N(Aux!C25)-1)&lt;='01_Criterios'!$C$13),"EST_INTERP",IF(AND(Aux!C25&lt;&gt;"",(2-N(Aux!C25))&lt;='01_Criterios'!$C$14),"EST_CARRY_FWD",IF(AND(Aux!O25&lt;&gt;"",(N(Aux!O25)-2)&lt;='01_Criterios'!$C$15),"EST_CARRY_BWD","SEM_DADO")))))</f>
        <v>OBS</v>
      </c>
      <c r="M25" s="20" t="str">
        <f>IF('03_Base_Indice'!$D25="","",IF('03_Base_Indice'!M25&lt;&gt;"","OBS",IF(AND(Aux!D25&lt;&gt;"",Aux!P25&lt;&gt;"",(N(Aux!P25)-N(Aux!D25)-1)&lt;='01_Criterios'!$C$13),"EST_INTERP",IF(AND(Aux!D25&lt;&gt;"",(3-N(Aux!D25))&lt;='01_Criterios'!$C$14),"EST_CARRY_FWD",IF(AND(Aux!P25&lt;&gt;"",(N(Aux!P25)-3)&lt;='01_Criterios'!$C$15),"EST_CARRY_BWD","SEM_DADO")))))</f>
        <v>OBS</v>
      </c>
      <c r="N25" s="20" t="str">
        <f>IF('03_Base_Indice'!$D25="","",IF('03_Base_Indice'!N25&lt;&gt;"","OBS",IF(AND(Aux!E25&lt;&gt;"",Aux!Q25&lt;&gt;"",(N(Aux!Q25)-N(Aux!E25)-1)&lt;='01_Criterios'!$C$13),"EST_INTERP",IF(AND(Aux!E25&lt;&gt;"",(4-N(Aux!E25))&lt;='01_Criterios'!$C$14),"EST_CARRY_FWD",IF(AND(Aux!Q25&lt;&gt;"",(N(Aux!Q25)-4)&lt;='01_Criterios'!$C$15),"EST_CARRY_BWD","SEM_DADO")))))</f>
        <v>OBS</v>
      </c>
      <c r="O25" s="20" t="str">
        <f>IF('03_Base_Indice'!$D25="","",IF('03_Base_Indice'!O25&lt;&gt;"","OBS",IF(AND(Aux!F25&lt;&gt;"",Aux!R25&lt;&gt;"",(N(Aux!R25)-N(Aux!F25)-1)&lt;='01_Criterios'!$C$13),"EST_INTERP",IF(AND(Aux!F25&lt;&gt;"",(5-N(Aux!F25))&lt;='01_Criterios'!$C$14),"EST_CARRY_FWD",IF(AND(Aux!R25&lt;&gt;"",(N(Aux!R25)-5)&lt;='01_Criterios'!$C$15),"EST_CARRY_BWD","SEM_DADO")))))</f>
        <v>OBS</v>
      </c>
      <c r="P25" s="20" t="str">
        <f>IF('03_Base_Indice'!$D25="","",IF('03_Base_Indice'!P25&lt;&gt;"","OBS",IF(AND(Aux!G25&lt;&gt;"",Aux!S25&lt;&gt;"",(N(Aux!S25)-N(Aux!G25)-1)&lt;='01_Criterios'!$C$13),"EST_INTERP",IF(AND(Aux!G25&lt;&gt;"",(6-N(Aux!G25))&lt;='01_Criterios'!$C$14),"EST_CARRY_FWD",IF(AND(Aux!S25&lt;&gt;"",(N(Aux!S25)-6)&lt;='01_Criterios'!$C$15),"EST_CARRY_BWD","SEM_DADO")))))</f>
        <v>OBS</v>
      </c>
      <c r="Q25" s="20" t="str">
        <f>IF('03_Base_Indice'!$D25="","",IF('03_Base_Indice'!Q25&lt;&gt;"","OBS",IF(AND(Aux!H25&lt;&gt;"",Aux!T25&lt;&gt;"",(N(Aux!T25)-N(Aux!H25)-1)&lt;='01_Criterios'!$C$13),"EST_INTERP",IF(AND(Aux!H25&lt;&gt;"",(7-N(Aux!H25))&lt;='01_Criterios'!$C$14),"EST_CARRY_FWD",IF(AND(Aux!T25&lt;&gt;"",(N(Aux!T25)-7)&lt;='01_Criterios'!$C$15),"EST_CARRY_BWD","SEM_DADO")))))</f>
        <v>OBS</v>
      </c>
      <c r="R25" s="20" t="str">
        <f>IF('03_Base_Indice'!$D25="","",IF('03_Base_Indice'!R25&lt;&gt;"","OBS",IF(AND(Aux!I25&lt;&gt;"",Aux!U25&lt;&gt;"",(N(Aux!U25)-N(Aux!I25)-1)&lt;='01_Criterios'!$C$13),"EST_INTERP",IF(AND(Aux!I25&lt;&gt;"",(8-N(Aux!I25))&lt;='01_Criterios'!$C$14),"EST_CARRY_FWD",IF(AND(Aux!U25&lt;&gt;"",(N(Aux!U25)-8)&lt;='01_Criterios'!$C$15),"EST_CARRY_BWD","SEM_DADO")))))</f>
        <v>OBS</v>
      </c>
      <c r="S25" s="20" t="str">
        <f>IF('03_Base_Indice'!$D25="","",IF('03_Base_Indice'!S25&lt;&gt;"","OBS",IF(AND(Aux!J25&lt;&gt;"",Aux!V25&lt;&gt;"",(N(Aux!V25)-N(Aux!J25)-1)&lt;='01_Criterios'!$C$13),"EST_INTERP",IF(AND(Aux!J25&lt;&gt;"",(9-N(Aux!J25))&lt;='01_Criterios'!$C$14),"EST_CARRY_FWD",IF(AND(Aux!V25&lt;&gt;"",(N(Aux!V25)-9)&lt;='01_Criterios'!$C$15),"EST_CARRY_BWD","SEM_DADO")))))</f>
        <v>OBS</v>
      </c>
      <c r="T25" s="20" t="str">
        <f>IF('03_Base_Indice'!$D25="","",IF('03_Base_Indice'!T25&lt;&gt;"","OBS",IF(AND(Aux!K25&lt;&gt;"",Aux!W25&lt;&gt;"",(N(Aux!W25)-N(Aux!K25)-1)&lt;='01_Criterios'!$C$13),"EST_INTERP",IF(AND(Aux!K25&lt;&gt;"",(10-N(Aux!K25))&lt;='01_Criterios'!$C$14),"EST_CARRY_FWD",IF(AND(Aux!W25&lt;&gt;"",(N(Aux!W25)-10)&lt;='01_Criterios'!$C$15),"EST_CARRY_BWD","SEM_DADO")))))</f>
        <v>OBS</v>
      </c>
      <c r="U25" s="20" t="str">
        <f>IF('03_Base_Indice'!$D25="","",IF('03_Base_Indice'!U25&lt;&gt;"","OBS",IF(AND(Aux!L25&lt;&gt;"",Aux!X25&lt;&gt;"",(N(Aux!X25)-N(Aux!L25)-1)&lt;='01_Criterios'!$C$13),"EST_INTERP",IF(AND(Aux!L25&lt;&gt;"",(11-N(Aux!L25))&lt;='01_Criterios'!$C$14),"EST_CARRY_FWD",IF(AND(Aux!X25&lt;&gt;"",(N(Aux!X25)-11)&lt;='01_Criterios'!$C$15),"EST_CARRY_BWD","SEM_DADO")))))</f>
        <v>OBS</v>
      </c>
      <c r="V25" s="20">
        <f>IF($D25="","",COUNTIF(K25:U25,"OBS"))</f>
        <v>11</v>
      </c>
      <c r="W25" s="20">
        <f>IF($D25="","",COUNTIF(K25:U25,"EST_*"))</f>
        <v>0</v>
      </c>
      <c r="X25" s="20">
        <f>IF($D25="","",COUNTIF(K25:U25,"SEM_DADO"))</f>
        <v>0</v>
      </c>
      <c r="Y25" s="20" t="str">
        <f>IF($D25="","",(V25+W25)&amp;"/11")</f>
        <v>11/11</v>
      </c>
    </row>
    <row r="26" spans="1:25">
      <c r="A26" s="6" t="str">
        <f>IF('03_Base_Indice'!$A26="","",'03_Base_Indice'!$A26)</f>
        <v>3. Capital Humano</v>
      </c>
      <c r="B26" s="6">
        <f>'03_Base_Indice'!$B26</f>
        <v>2</v>
      </c>
      <c r="D26" s="6" t="str">
        <f>IF('03_Base_Indice'!$D26="","",'03_Base_Indice'!$D26)</f>
        <v>HUM006</v>
      </c>
      <c r="E26" s="6" t="str">
        <f>IF('03_Base_Indice'!$E26="","",'03_Base_Indice'!$E26)</f>
        <v>Mortalidade Infantil (por 1000)</v>
      </c>
      <c r="K26" s="20" t="str">
        <f>IF('03_Base_Indice'!$D26="","",IF('03_Base_Indice'!K26&lt;&gt;"","OBS",IF(AND(Aux!B26&lt;&gt;"",Aux!N26&lt;&gt;"",(N(Aux!N26)-N(Aux!B26)-1)&lt;='01_Criterios'!$C$13),"EST_INTERP",IF(AND(Aux!B26&lt;&gt;"",(1-N(Aux!B26))&lt;='01_Criterios'!$C$14),"EST_CARRY_FWD",IF(AND(Aux!N26&lt;&gt;"",(N(Aux!N26)-1)&lt;='01_Criterios'!$C$15),"EST_CARRY_BWD","SEM_DADO")))))</f>
        <v>OBS</v>
      </c>
      <c r="L26" s="20" t="str">
        <f>IF('03_Base_Indice'!$D26="","",IF('03_Base_Indice'!L26&lt;&gt;"","OBS",IF(AND(Aux!C26&lt;&gt;"",Aux!O26&lt;&gt;"",(N(Aux!O26)-N(Aux!C26)-1)&lt;='01_Criterios'!$C$13),"EST_INTERP",IF(AND(Aux!C26&lt;&gt;"",(2-N(Aux!C26))&lt;='01_Criterios'!$C$14),"EST_CARRY_FWD",IF(AND(Aux!O26&lt;&gt;"",(N(Aux!O26)-2)&lt;='01_Criterios'!$C$15),"EST_CARRY_BWD","SEM_DADO")))))</f>
        <v>OBS</v>
      </c>
      <c r="M26" s="20" t="str">
        <f>IF('03_Base_Indice'!$D26="","",IF('03_Base_Indice'!M26&lt;&gt;"","OBS",IF(AND(Aux!D26&lt;&gt;"",Aux!P26&lt;&gt;"",(N(Aux!P26)-N(Aux!D26)-1)&lt;='01_Criterios'!$C$13),"EST_INTERP",IF(AND(Aux!D26&lt;&gt;"",(3-N(Aux!D26))&lt;='01_Criterios'!$C$14),"EST_CARRY_FWD",IF(AND(Aux!P26&lt;&gt;"",(N(Aux!P26)-3)&lt;='01_Criterios'!$C$15),"EST_CARRY_BWD","SEM_DADO")))))</f>
        <v>OBS</v>
      </c>
      <c r="N26" s="20" t="str">
        <f>IF('03_Base_Indice'!$D26="","",IF('03_Base_Indice'!N26&lt;&gt;"","OBS",IF(AND(Aux!E26&lt;&gt;"",Aux!Q26&lt;&gt;"",(N(Aux!Q26)-N(Aux!E26)-1)&lt;='01_Criterios'!$C$13),"EST_INTERP",IF(AND(Aux!E26&lt;&gt;"",(4-N(Aux!E26))&lt;='01_Criterios'!$C$14),"EST_CARRY_FWD",IF(AND(Aux!Q26&lt;&gt;"",(N(Aux!Q26)-4)&lt;='01_Criterios'!$C$15),"EST_CARRY_BWD","SEM_DADO")))))</f>
        <v>OBS</v>
      </c>
      <c r="O26" s="20" t="str">
        <f>IF('03_Base_Indice'!$D26="","",IF('03_Base_Indice'!O26&lt;&gt;"","OBS",IF(AND(Aux!F26&lt;&gt;"",Aux!R26&lt;&gt;"",(N(Aux!R26)-N(Aux!F26)-1)&lt;='01_Criterios'!$C$13),"EST_INTERP",IF(AND(Aux!F26&lt;&gt;"",(5-N(Aux!F26))&lt;='01_Criterios'!$C$14),"EST_CARRY_FWD",IF(AND(Aux!R26&lt;&gt;"",(N(Aux!R26)-5)&lt;='01_Criterios'!$C$15),"EST_CARRY_BWD","SEM_DADO")))))</f>
        <v>OBS</v>
      </c>
      <c r="P26" s="20" t="str">
        <f>IF('03_Base_Indice'!$D26="","",IF('03_Base_Indice'!P26&lt;&gt;"","OBS",IF(AND(Aux!G26&lt;&gt;"",Aux!S26&lt;&gt;"",(N(Aux!S26)-N(Aux!G26)-1)&lt;='01_Criterios'!$C$13),"EST_INTERP",IF(AND(Aux!G26&lt;&gt;"",(6-N(Aux!G26))&lt;='01_Criterios'!$C$14),"EST_CARRY_FWD",IF(AND(Aux!S26&lt;&gt;"",(N(Aux!S26)-6)&lt;='01_Criterios'!$C$15),"EST_CARRY_BWD","SEM_DADO")))))</f>
        <v>OBS</v>
      </c>
      <c r="Q26" s="20" t="str">
        <f>IF('03_Base_Indice'!$D26="","",IF('03_Base_Indice'!Q26&lt;&gt;"","OBS",IF(AND(Aux!H26&lt;&gt;"",Aux!T26&lt;&gt;"",(N(Aux!T26)-N(Aux!H26)-1)&lt;='01_Criterios'!$C$13),"EST_INTERP",IF(AND(Aux!H26&lt;&gt;"",(7-N(Aux!H26))&lt;='01_Criterios'!$C$14),"EST_CARRY_FWD",IF(AND(Aux!T26&lt;&gt;"",(N(Aux!T26)-7)&lt;='01_Criterios'!$C$15),"EST_CARRY_BWD","SEM_DADO")))))</f>
        <v>OBS</v>
      </c>
      <c r="R26" s="20" t="str">
        <f>IF('03_Base_Indice'!$D26="","",IF('03_Base_Indice'!R26&lt;&gt;"","OBS",IF(AND(Aux!I26&lt;&gt;"",Aux!U26&lt;&gt;"",(N(Aux!U26)-N(Aux!I26)-1)&lt;='01_Criterios'!$C$13),"EST_INTERP",IF(AND(Aux!I26&lt;&gt;"",(8-N(Aux!I26))&lt;='01_Criterios'!$C$14),"EST_CARRY_FWD",IF(AND(Aux!U26&lt;&gt;"",(N(Aux!U26)-8)&lt;='01_Criterios'!$C$15),"EST_CARRY_BWD","SEM_DADO")))))</f>
        <v>OBS</v>
      </c>
      <c r="S26" s="20" t="str">
        <f>IF('03_Base_Indice'!$D26="","",IF('03_Base_Indice'!S26&lt;&gt;"","OBS",IF(AND(Aux!J26&lt;&gt;"",Aux!V26&lt;&gt;"",(N(Aux!V26)-N(Aux!J26)-1)&lt;='01_Criterios'!$C$13),"EST_INTERP",IF(AND(Aux!J26&lt;&gt;"",(9-N(Aux!J26))&lt;='01_Criterios'!$C$14),"EST_CARRY_FWD",IF(AND(Aux!V26&lt;&gt;"",(N(Aux!V26)-9)&lt;='01_Criterios'!$C$15),"EST_CARRY_BWD","SEM_DADO")))))</f>
        <v>OBS</v>
      </c>
      <c r="T26" s="20" t="str">
        <f>IF('03_Base_Indice'!$D26="","",IF('03_Base_Indice'!T26&lt;&gt;"","OBS",IF(AND(Aux!K26&lt;&gt;"",Aux!W26&lt;&gt;"",(N(Aux!W26)-N(Aux!K26)-1)&lt;='01_Criterios'!$C$13),"EST_INTERP",IF(AND(Aux!K26&lt;&gt;"",(10-N(Aux!K26))&lt;='01_Criterios'!$C$14),"EST_CARRY_FWD",IF(AND(Aux!W26&lt;&gt;"",(N(Aux!W26)-10)&lt;='01_Criterios'!$C$15),"EST_CARRY_BWD","SEM_DADO")))))</f>
        <v>OBS</v>
      </c>
      <c r="U26" s="20" t="str">
        <f>IF('03_Base_Indice'!$D26="","",IF('03_Base_Indice'!U26&lt;&gt;"","OBS",IF(AND(Aux!L26&lt;&gt;"",Aux!X26&lt;&gt;"",(N(Aux!X26)-N(Aux!L26)-1)&lt;='01_Criterios'!$C$13),"EST_INTERP",IF(AND(Aux!L26&lt;&gt;"",(11-N(Aux!L26))&lt;='01_Criterios'!$C$14),"EST_CARRY_FWD",IF(AND(Aux!X26&lt;&gt;"",(N(Aux!X26)-11)&lt;='01_Criterios'!$C$15),"EST_CARRY_BWD","SEM_DADO")))))</f>
        <v>EST_CARRY_FWD</v>
      </c>
      <c r="V26" s="20">
        <f>IF($D26="","",COUNTIF(K26:U26,"OBS"))</f>
        <v>10</v>
      </c>
      <c r="W26" s="20">
        <f>IF($D26="","",COUNTIF(K26:U26,"EST_*"))</f>
        <v>1</v>
      </c>
      <c r="X26" s="20">
        <f>IF($D26="","",COUNTIF(K26:U26,"SEM_DADO"))</f>
        <v>0</v>
      </c>
      <c r="Y26" s="20" t="str">
        <f>IF($D26="","",(V26+W26)&amp;"/11")</f>
        <v>11/11</v>
      </c>
    </row>
    <row r="27" spans="1:25">
      <c r="A27" s="6" t="str">
        <f>IF('03_Base_Indice'!$A27="","",'03_Base_Indice'!$A27)</f>
        <v>3. Capital Humano</v>
      </c>
      <c r="B27" s="6">
        <f>'03_Base_Indice'!$B27</f>
        <v>3</v>
      </c>
      <c r="D27" s="6" t="str">
        <f>IF('03_Base_Indice'!$D27="","",'03_Base_Indice'!$D27)</f>
        <v>HUM030</v>
      </c>
      <c r="E27" s="6" t="str">
        <f>IF('03_Base_Indice'!$E27="","",'03_Base_Indice'!$E27)</f>
        <v>Anos de escolaridade obrigatória</v>
      </c>
      <c r="K27" s="20" t="str">
        <f>IF('03_Base_Indice'!$D27="","",IF('03_Base_Indice'!K27&lt;&gt;"","OBS",IF(AND(Aux!B27&lt;&gt;"",Aux!N27&lt;&gt;"",(N(Aux!N27)-N(Aux!B27)-1)&lt;='01_Criterios'!$C$13),"EST_INTERP",IF(AND(Aux!B27&lt;&gt;"",(1-N(Aux!B27))&lt;='01_Criterios'!$C$14),"EST_CARRY_FWD",IF(AND(Aux!N27&lt;&gt;"",(N(Aux!N27)-1)&lt;='01_Criterios'!$C$15),"EST_CARRY_BWD","SEM_DADO")))))</f>
        <v>OBS</v>
      </c>
      <c r="L27" s="20" t="str">
        <f>IF('03_Base_Indice'!$D27="","",IF('03_Base_Indice'!L27&lt;&gt;"","OBS",IF(AND(Aux!C27&lt;&gt;"",Aux!O27&lt;&gt;"",(N(Aux!O27)-N(Aux!C27)-1)&lt;='01_Criterios'!$C$13),"EST_INTERP",IF(AND(Aux!C27&lt;&gt;"",(2-N(Aux!C27))&lt;='01_Criterios'!$C$14),"EST_CARRY_FWD",IF(AND(Aux!O27&lt;&gt;"",(N(Aux!O27)-2)&lt;='01_Criterios'!$C$15),"EST_CARRY_BWD","SEM_DADO")))))</f>
        <v>OBS</v>
      </c>
      <c r="M27" s="20" t="str">
        <f>IF('03_Base_Indice'!$D27="","",IF('03_Base_Indice'!M27&lt;&gt;"","OBS",IF(AND(Aux!D27&lt;&gt;"",Aux!P27&lt;&gt;"",(N(Aux!P27)-N(Aux!D27)-1)&lt;='01_Criterios'!$C$13),"EST_INTERP",IF(AND(Aux!D27&lt;&gt;"",(3-N(Aux!D27))&lt;='01_Criterios'!$C$14),"EST_CARRY_FWD",IF(AND(Aux!P27&lt;&gt;"",(N(Aux!P27)-3)&lt;='01_Criterios'!$C$15),"EST_CARRY_BWD","SEM_DADO")))))</f>
        <v>OBS</v>
      </c>
      <c r="N27" s="20" t="str">
        <f>IF('03_Base_Indice'!$D27="","",IF('03_Base_Indice'!N27&lt;&gt;"","OBS",IF(AND(Aux!E27&lt;&gt;"",Aux!Q27&lt;&gt;"",(N(Aux!Q27)-N(Aux!E27)-1)&lt;='01_Criterios'!$C$13),"EST_INTERP",IF(AND(Aux!E27&lt;&gt;"",(4-N(Aux!E27))&lt;='01_Criterios'!$C$14),"EST_CARRY_FWD",IF(AND(Aux!Q27&lt;&gt;"",(N(Aux!Q27)-4)&lt;='01_Criterios'!$C$15),"EST_CARRY_BWD","SEM_DADO")))))</f>
        <v>OBS</v>
      </c>
      <c r="O27" s="20" t="str">
        <f>IF('03_Base_Indice'!$D27="","",IF('03_Base_Indice'!O27&lt;&gt;"","OBS",IF(AND(Aux!F27&lt;&gt;"",Aux!R27&lt;&gt;"",(N(Aux!R27)-N(Aux!F27)-1)&lt;='01_Criterios'!$C$13),"EST_INTERP",IF(AND(Aux!F27&lt;&gt;"",(5-N(Aux!F27))&lt;='01_Criterios'!$C$14),"EST_CARRY_FWD",IF(AND(Aux!R27&lt;&gt;"",(N(Aux!R27)-5)&lt;='01_Criterios'!$C$15),"EST_CARRY_BWD","SEM_DADO")))))</f>
        <v>OBS</v>
      </c>
      <c r="P27" s="20" t="str">
        <f>IF('03_Base_Indice'!$D27="","",IF('03_Base_Indice'!P27&lt;&gt;"","OBS",IF(AND(Aux!G27&lt;&gt;"",Aux!S27&lt;&gt;"",(N(Aux!S27)-N(Aux!G27)-1)&lt;='01_Criterios'!$C$13),"EST_INTERP",IF(AND(Aux!G27&lt;&gt;"",(6-N(Aux!G27))&lt;='01_Criterios'!$C$14),"EST_CARRY_FWD",IF(AND(Aux!S27&lt;&gt;"",(N(Aux!S27)-6)&lt;='01_Criterios'!$C$15),"EST_CARRY_BWD","SEM_DADO")))))</f>
        <v>OBS</v>
      </c>
      <c r="Q27" s="20" t="str">
        <f>IF('03_Base_Indice'!$D27="","",IF('03_Base_Indice'!Q27&lt;&gt;"","OBS",IF(AND(Aux!H27&lt;&gt;"",Aux!T27&lt;&gt;"",(N(Aux!T27)-N(Aux!H27)-1)&lt;='01_Criterios'!$C$13),"EST_INTERP",IF(AND(Aux!H27&lt;&gt;"",(7-N(Aux!H27))&lt;='01_Criterios'!$C$14),"EST_CARRY_FWD",IF(AND(Aux!T27&lt;&gt;"",(N(Aux!T27)-7)&lt;='01_Criterios'!$C$15),"EST_CARRY_BWD","SEM_DADO")))))</f>
        <v>OBS</v>
      </c>
      <c r="R27" s="20" t="str">
        <f>IF('03_Base_Indice'!$D27="","",IF('03_Base_Indice'!R27&lt;&gt;"","OBS",IF(AND(Aux!I27&lt;&gt;"",Aux!U27&lt;&gt;"",(N(Aux!U27)-N(Aux!I27)-1)&lt;='01_Criterios'!$C$13),"EST_INTERP",IF(AND(Aux!I27&lt;&gt;"",(8-N(Aux!I27))&lt;='01_Criterios'!$C$14),"EST_CARRY_FWD",IF(AND(Aux!U27&lt;&gt;"",(N(Aux!U27)-8)&lt;='01_Criterios'!$C$15),"EST_CARRY_BWD","SEM_DADO")))))</f>
        <v>OBS</v>
      </c>
      <c r="S27" s="20" t="str">
        <f>IF('03_Base_Indice'!$D27="","",IF('03_Base_Indice'!S27&lt;&gt;"","OBS",IF(AND(Aux!J27&lt;&gt;"",Aux!V27&lt;&gt;"",(N(Aux!V27)-N(Aux!J27)-1)&lt;='01_Criterios'!$C$13),"EST_INTERP",IF(AND(Aux!J27&lt;&gt;"",(9-N(Aux!J27))&lt;='01_Criterios'!$C$14),"EST_CARRY_FWD",IF(AND(Aux!V27&lt;&gt;"",(N(Aux!V27)-9)&lt;='01_Criterios'!$C$15),"EST_CARRY_BWD","SEM_DADO")))))</f>
        <v>OBS</v>
      </c>
      <c r="T27" s="20" t="str">
        <f>IF('03_Base_Indice'!$D27="","",IF('03_Base_Indice'!T27&lt;&gt;"","OBS",IF(AND(Aux!K27&lt;&gt;"",Aux!W27&lt;&gt;"",(N(Aux!W27)-N(Aux!K27)-1)&lt;='01_Criterios'!$C$13),"EST_INTERP",IF(AND(Aux!K27&lt;&gt;"",(10-N(Aux!K27))&lt;='01_Criterios'!$C$14),"EST_CARRY_FWD",IF(AND(Aux!W27&lt;&gt;"",(N(Aux!W27)-10)&lt;='01_Criterios'!$C$15),"EST_CARRY_BWD","SEM_DADO")))))</f>
        <v>OBS</v>
      </c>
      <c r="U27" s="20" t="str">
        <f>IF('03_Base_Indice'!$D27="","",IF('03_Base_Indice'!U27&lt;&gt;"","OBS",IF(AND(Aux!L27&lt;&gt;"",Aux!X27&lt;&gt;"",(N(Aux!X27)-N(Aux!L27)-1)&lt;='01_Criterios'!$C$13),"EST_INTERP",IF(AND(Aux!L27&lt;&gt;"",(11-N(Aux!L27))&lt;='01_Criterios'!$C$14),"EST_CARRY_FWD",IF(AND(Aux!X27&lt;&gt;"",(N(Aux!X27)-11)&lt;='01_Criterios'!$C$15),"EST_CARRY_BWD","SEM_DADO")))))</f>
        <v>OBS</v>
      </c>
      <c r="V27" s="20">
        <f>IF($D27="","",COUNTIF(K27:U27,"OBS"))</f>
        <v>11</v>
      </c>
      <c r="W27" s="20">
        <f>IF($D27="","",COUNTIF(K27:U27,"EST_*"))</f>
        <v>0</v>
      </c>
      <c r="X27" s="20">
        <f>IF($D27="","",COUNTIF(K27:U27,"SEM_DADO"))</f>
        <v>0</v>
      </c>
      <c r="Y27" s="20" t="str">
        <f>IF($D27="","",(V27+W27)&amp;"/11")</f>
        <v>11/11</v>
      </c>
    </row>
    <row r="28" spans="1:25">
      <c r="A28" s="6" t="str">
        <f>IF('03_Base_Indice'!$A28="","",'03_Base_Indice'!$A28)</f>
        <v>3. Capital Humano</v>
      </c>
      <c r="B28" s="6">
        <f>'03_Base_Indice'!$B28</f>
        <v>4</v>
      </c>
      <c r="D28" s="6" t="str">
        <f>IF('03_Base_Indice'!$D28="","",'03_Base_Indice'!$D28)</f>
        <v>HUM010</v>
      </c>
      <c r="E28" s="6" t="str">
        <f>IF('03_Base_Indice'!$E28="","",'03_Base_Indice'!$E28)</f>
        <v>Despesa pública em educação (% PIB)</v>
      </c>
      <c r="K28" s="20" t="str">
        <f>IF('03_Base_Indice'!$D28="","",IF('03_Base_Indice'!K28&lt;&gt;"","OBS",IF(AND(Aux!B28&lt;&gt;"",Aux!N28&lt;&gt;"",(N(Aux!N28)-N(Aux!B28)-1)&lt;='01_Criterios'!$C$13),"EST_INTERP",IF(AND(Aux!B28&lt;&gt;"",(1-N(Aux!B28))&lt;='01_Criterios'!$C$14),"EST_CARRY_FWD",IF(AND(Aux!N28&lt;&gt;"",(N(Aux!N28)-1)&lt;='01_Criterios'!$C$15),"EST_CARRY_BWD","SEM_DADO")))))</f>
        <v>OBS</v>
      </c>
      <c r="L28" s="20" t="str">
        <f>IF('03_Base_Indice'!$D28="","",IF('03_Base_Indice'!L28&lt;&gt;"","OBS",IF(AND(Aux!C28&lt;&gt;"",Aux!O28&lt;&gt;"",(N(Aux!O28)-N(Aux!C28)-1)&lt;='01_Criterios'!$C$13),"EST_INTERP",IF(AND(Aux!C28&lt;&gt;"",(2-N(Aux!C28))&lt;='01_Criterios'!$C$14),"EST_CARRY_FWD",IF(AND(Aux!O28&lt;&gt;"",(N(Aux!O28)-2)&lt;='01_Criterios'!$C$15),"EST_CARRY_BWD","SEM_DADO")))))</f>
        <v>OBS</v>
      </c>
      <c r="M28" s="20" t="str">
        <f>IF('03_Base_Indice'!$D28="","",IF('03_Base_Indice'!M28&lt;&gt;"","OBS",IF(AND(Aux!D28&lt;&gt;"",Aux!P28&lt;&gt;"",(N(Aux!P28)-N(Aux!D28)-1)&lt;='01_Criterios'!$C$13),"EST_INTERP",IF(AND(Aux!D28&lt;&gt;"",(3-N(Aux!D28))&lt;='01_Criterios'!$C$14),"EST_CARRY_FWD",IF(AND(Aux!P28&lt;&gt;"",(N(Aux!P28)-3)&lt;='01_Criterios'!$C$15),"EST_CARRY_BWD","SEM_DADO")))))</f>
        <v>OBS</v>
      </c>
      <c r="N28" s="20" t="str">
        <f>IF('03_Base_Indice'!$D28="","",IF('03_Base_Indice'!N28&lt;&gt;"","OBS",IF(AND(Aux!E28&lt;&gt;"",Aux!Q28&lt;&gt;"",(N(Aux!Q28)-N(Aux!E28)-1)&lt;='01_Criterios'!$C$13),"EST_INTERP",IF(AND(Aux!E28&lt;&gt;"",(4-N(Aux!E28))&lt;='01_Criterios'!$C$14),"EST_CARRY_FWD",IF(AND(Aux!Q28&lt;&gt;"",(N(Aux!Q28)-4)&lt;='01_Criterios'!$C$15),"EST_CARRY_BWD","SEM_DADO")))))</f>
        <v>OBS</v>
      </c>
      <c r="O28" s="20" t="str">
        <f>IF('03_Base_Indice'!$D28="","",IF('03_Base_Indice'!O28&lt;&gt;"","OBS",IF(AND(Aux!F28&lt;&gt;"",Aux!R28&lt;&gt;"",(N(Aux!R28)-N(Aux!F28)-1)&lt;='01_Criterios'!$C$13),"EST_INTERP",IF(AND(Aux!F28&lt;&gt;"",(5-N(Aux!F28))&lt;='01_Criterios'!$C$14),"EST_CARRY_FWD",IF(AND(Aux!R28&lt;&gt;"",(N(Aux!R28)-5)&lt;='01_Criterios'!$C$15),"EST_CARRY_BWD","SEM_DADO")))))</f>
        <v>OBS</v>
      </c>
      <c r="P28" s="20" t="str">
        <f>IF('03_Base_Indice'!$D28="","",IF('03_Base_Indice'!P28&lt;&gt;"","OBS",IF(AND(Aux!G28&lt;&gt;"",Aux!S28&lt;&gt;"",(N(Aux!S28)-N(Aux!G28)-1)&lt;='01_Criterios'!$C$13),"EST_INTERP",IF(AND(Aux!G28&lt;&gt;"",(6-N(Aux!G28))&lt;='01_Criterios'!$C$14),"EST_CARRY_FWD",IF(AND(Aux!S28&lt;&gt;"",(N(Aux!S28)-6)&lt;='01_Criterios'!$C$15),"EST_CARRY_BWD","SEM_DADO")))))</f>
        <v>OBS</v>
      </c>
      <c r="Q28" s="20" t="str">
        <f>IF('03_Base_Indice'!$D28="","",IF('03_Base_Indice'!Q28&lt;&gt;"","OBS",IF(AND(Aux!H28&lt;&gt;"",Aux!T28&lt;&gt;"",(N(Aux!T28)-N(Aux!H28)-1)&lt;='01_Criterios'!$C$13),"EST_INTERP",IF(AND(Aux!H28&lt;&gt;"",(7-N(Aux!H28))&lt;='01_Criterios'!$C$14),"EST_CARRY_FWD",IF(AND(Aux!T28&lt;&gt;"",(N(Aux!T28)-7)&lt;='01_Criterios'!$C$15),"EST_CARRY_BWD","SEM_DADO")))))</f>
        <v>OBS</v>
      </c>
      <c r="R28" s="20" t="str">
        <f>IF('03_Base_Indice'!$D28="","",IF('03_Base_Indice'!R28&lt;&gt;"","OBS",IF(AND(Aux!I28&lt;&gt;"",Aux!U28&lt;&gt;"",(N(Aux!U28)-N(Aux!I28)-1)&lt;='01_Criterios'!$C$13),"EST_INTERP",IF(AND(Aux!I28&lt;&gt;"",(8-N(Aux!I28))&lt;='01_Criterios'!$C$14),"EST_CARRY_FWD",IF(AND(Aux!U28&lt;&gt;"",(N(Aux!U28)-8)&lt;='01_Criterios'!$C$15),"EST_CARRY_BWD","SEM_DADO")))))</f>
        <v>OBS</v>
      </c>
      <c r="S28" s="20" t="str">
        <f>IF('03_Base_Indice'!$D28="","",IF('03_Base_Indice'!S28&lt;&gt;"","OBS",IF(AND(Aux!J28&lt;&gt;"",Aux!V28&lt;&gt;"",(N(Aux!V28)-N(Aux!J28)-1)&lt;='01_Criterios'!$C$13),"EST_INTERP",IF(AND(Aux!J28&lt;&gt;"",(9-N(Aux!J28))&lt;='01_Criterios'!$C$14),"EST_CARRY_FWD",IF(AND(Aux!V28&lt;&gt;"",(N(Aux!V28)-9)&lt;='01_Criterios'!$C$15),"EST_CARRY_BWD","SEM_DADO")))))</f>
        <v>OBS</v>
      </c>
      <c r="T28" s="20" t="str">
        <f>IF('03_Base_Indice'!$D28="","",IF('03_Base_Indice'!T28&lt;&gt;"","OBS",IF(AND(Aux!K28&lt;&gt;"",Aux!W28&lt;&gt;"",(N(Aux!W28)-N(Aux!K28)-1)&lt;='01_Criterios'!$C$13),"EST_INTERP",IF(AND(Aux!K28&lt;&gt;"",(10-N(Aux!K28))&lt;='01_Criterios'!$C$14),"EST_CARRY_FWD",IF(AND(Aux!W28&lt;&gt;"",(N(Aux!W28)-10)&lt;='01_Criterios'!$C$15),"EST_CARRY_BWD","SEM_DADO")))))</f>
        <v>EST_CARRY_FWD</v>
      </c>
      <c r="U28" s="20" t="str">
        <f>IF('03_Base_Indice'!$D28="","",IF('03_Base_Indice'!U28&lt;&gt;"","OBS",IF(AND(Aux!L28&lt;&gt;"",Aux!X28&lt;&gt;"",(N(Aux!X28)-N(Aux!L28)-1)&lt;='01_Criterios'!$C$13),"EST_INTERP",IF(AND(Aux!L28&lt;&gt;"",(11-N(Aux!L28))&lt;='01_Criterios'!$C$14),"EST_CARRY_FWD",IF(AND(Aux!X28&lt;&gt;"",(N(Aux!X28)-11)&lt;='01_Criterios'!$C$15),"EST_CARRY_BWD","SEM_DADO")))))</f>
        <v>EST_CARRY_FWD</v>
      </c>
      <c r="V28" s="20">
        <f>IF($D28="","",COUNTIF(K28:U28,"OBS"))</f>
        <v>9</v>
      </c>
      <c r="W28" s="20">
        <f>IF($D28="","",COUNTIF(K28:U28,"EST_*"))</f>
        <v>2</v>
      </c>
      <c r="X28" s="20">
        <f>IF($D28="","",COUNTIF(K28:U28,"SEM_DADO"))</f>
        <v>0</v>
      </c>
      <c r="Y28" s="20" t="str">
        <f>IF($D28="","",(V28+W28)&amp;"/11")</f>
        <v>11/11</v>
      </c>
    </row>
    <row r="29" spans="1:25">
      <c r="A29" s="6" t="str">
        <f>IF('03_Base_Indice'!$A29="","",'03_Base_Indice'!$A29)</f>
        <v>3. Capital Humano</v>
      </c>
      <c r="B29" s="6">
        <f>'03_Base_Indice'!$B29</f>
        <v>5</v>
      </c>
      <c r="D29" s="6" t="str">
        <f>IF('03_Base_Indice'!$D29="","",'03_Base_Indice'!$D29)</f>
        <v/>
      </c>
      <c r="E29" s="6" t="str">
        <f>IF('03_Base_Indice'!$E29="","",'03_Base_Indice'!$E29)</f>
        <v/>
      </c>
      <c r="K29" s="20" t="str">
        <f>IF('03_Base_Indice'!$D29="","",IF('03_Base_Indice'!K29&lt;&gt;"","OBS",IF(AND(Aux!B29&lt;&gt;"",Aux!N29&lt;&gt;"",(N(Aux!N29)-N(Aux!B29)-1)&lt;='01_Criterios'!$C$13),"EST_INTERP",IF(AND(Aux!B29&lt;&gt;"",(1-N(Aux!B29))&lt;='01_Criterios'!$C$14),"EST_CARRY_FWD",IF(AND(Aux!N29&lt;&gt;"",(N(Aux!N29)-1)&lt;='01_Criterios'!$C$15),"EST_CARRY_BWD","SEM_DADO")))))</f>
        <v/>
      </c>
      <c r="L29" s="20" t="str">
        <f>IF('03_Base_Indice'!$D29="","",IF('03_Base_Indice'!L29&lt;&gt;"","OBS",IF(AND(Aux!C29&lt;&gt;"",Aux!O29&lt;&gt;"",(N(Aux!O29)-N(Aux!C29)-1)&lt;='01_Criterios'!$C$13),"EST_INTERP",IF(AND(Aux!C29&lt;&gt;"",(2-N(Aux!C29))&lt;='01_Criterios'!$C$14),"EST_CARRY_FWD",IF(AND(Aux!O29&lt;&gt;"",(N(Aux!O29)-2)&lt;='01_Criterios'!$C$15),"EST_CARRY_BWD","SEM_DADO")))))</f>
        <v/>
      </c>
      <c r="M29" s="20" t="str">
        <f>IF('03_Base_Indice'!$D29="","",IF('03_Base_Indice'!M29&lt;&gt;"","OBS",IF(AND(Aux!D29&lt;&gt;"",Aux!P29&lt;&gt;"",(N(Aux!P29)-N(Aux!D29)-1)&lt;='01_Criterios'!$C$13),"EST_INTERP",IF(AND(Aux!D29&lt;&gt;"",(3-N(Aux!D29))&lt;='01_Criterios'!$C$14),"EST_CARRY_FWD",IF(AND(Aux!P29&lt;&gt;"",(N(Aux!P29)-3)&lt;='01_Criterios'!$C$15),"EST_CARRY_BWD","SEM_DADO")))))</f>
        <v/>
      </c>
      <c r="N29" s="20" t="str">
        <f>IF('03_Base_Indice'!$D29="","",IF('03_Base_Indice'!N29&lt;&gt;"","OBS",IF(AND(Aux!E29&lt;&gt;"",Aux!Q29&lt;&gt;"",(N(Aux!Q29)-N(Aux!E29)-1)&lt;='01_Criterios'!$C$13),"EST_INTERP",IF(AND(Aux!E29&lt;&gt;"",(4-N(Aux!E29))&lt;='01_Criterios'!$C$14),"EST_CARRY_FWD",IF(AND(Aux!Q29&lt;&gt;"",(N(Aux!Q29)-4)&lt;='01_Criterios'!$C$15),"EST_CARRY_BWD","SEM_DADO")))))</f>
        <v/>
      </c>
      <c r="O29" s="20" t="str">
        <f>IF('03_Base_Indice'!$D29="","",IF('03_Base_Indice'!O29&lt;&gt;"","OBS",IF(AND(Aux!F29&lt;&gt;"",Aux!R29&lt;&gt;"",(N(Aux!R29)-N(Aux!F29)-1)&lt;='01_Criterios'!$C$13),"EST_INTERP",IF(AND(Aux!F29&lt;&gt;"",(5-N(Aux!F29))&lt;='01_Criterios'!$C$14),"EST_CARRY_FWD",IF(AND(Aux!R29&lt;&gt;"",(N(Aux!R29)-5)&lt;='01_Criterios'!$C$15),"EST_CARRY_BWD","SEM_DADO")))))</f>
        <v/>
      </c>
      <c r="P29" s="20" t="str">
        <f>IF('03_Base_Indice'!$D29="","",IF('03_Base_Indice'!P29&lt;&gt;"","OBS",IF(AND(Aux!G29&lt;&gt;"",Aux!S29&lt;&gt;"",(N(Aux!S29)-N(Aux!G29)-1)&lt;='01_Criterios'!$C$13),"EST_INTERP",IF(AND(Aux!G29&lt;&gt;"",(6-N(Aux!G29))&lt;='01_Criterios'!$C$14),"EST_CARRY_FWD",IF(AND(Aux!S29&lt;&gt;"",(N(Aux!S29)-6)&lt;='01_Criterios'!$C$15),"EST_CARRY_BWD","SEM_DADO")))))</f>
        <v/>
      </c>
      <c r="Q29" s="20" t="str">
        <f>IF('03_Base_Indice'!$D29="","",IF('03_Base_Indice'!Q29&lt;&gt;"","OBS",IF(AND(Aux!H29&lt;&gt;"",Aux!T29&lt;&gt;"",(N(Aux!T29)-N(Aux!H29)-1)&lt;='01_Criterios'!$C$13),"EST_INTERP",IF(AND(Aux!H29&lt;&gt;"",(7-N(Aux!H29))&lt;='01_Criterios'!$C$14),"EST_CARRY_FWD",IF(AND(Aux!T29&lt;&gt;"",(N(Aux!T29)-7)&lt;='01_Criterios'!$C$15),"EST_CARRY_BWD","SEM_DADO")))))</f>
        <v/>
      </c>
      <c r="R29" s="20" t="str">
        <f>IF('03_Base_Indice'!$D29="","",IF('03_Base_Indice'!R29&lt;&gt;"","OBS",IF(AND(Aux!I29&lt;&gt;"",Aux!U29&lt;&gt;"",(N(Aux!U29)-N(Aux!I29)-1)&lt;='01_Criterios'!$C$13),"EST_INTERP",IF(AND(Aux!I29&lt;&gt;"",(8-N(Aux!I29))&lt;='01_Criterios'!$C$14),"EST_CARRY_FWD",IF(AND(Aux!U29&lt;&gt;"",(N(Aux!U29)-8)&lt;='01_Criterios'!$C$15),"EST_CARRY_BWD","SEM_DADO")))))</f>
        <v/>
      </c>
      <c r="S29" s="20" t="str">
        <f>IF('03_Base_Indice'!$D29="","",IF('03_Base_Indice'!S29&lt;&gt;"","OBS",IF(AND(Aux!J29&lt;&gt;"",Aux!V29&lt;&gt;"",(N(Aux!V29)-N(Aux!J29)-1)&lt;='01_Criterios'!$C$13),"EST_INTERP",IF(AND(Aux!J29&lt;&gt;"",(9-N(Aux!J29))&lt;='01_Criterios'!$C$14),"EST_CARRY_FWD",IF(AND(Aux!V29&lt;&gt;"",(N(Aux!V29)-9)&lt;='01_Criterios'!$C$15),"EST_CARRY_BWD","SEM_DADO")))))</f>
        <v/>
      </c>
      <c r="T29" s="20" t="str">
        <f>IF('03_Base_Indice'!$D29="","",IF('03_Base_Indice'!T29&lt;&gt;"","OBS",IF(AND(Aux!K29&lt;&gt;"",Aux!W29&lt;&gt;"",(N(Aux!W29)-N(Aux!K29)-1)&lt;='01_Criterios'!$C$13),"EST_INTERP",IF(AND(Aux!K29&lt;&gt;"",(10-N(Aux!K29))&lt;='01_Criterios'!$C$14),"EST_CARRY_FWD",IF(AND(Aux!W29&lt;&gt;"",(N(Aux!W29)-10)&lt;='01_Criterios'!$C$15),"EST_CARRY_BWD","SEM_DADO")))))</f>
        <v/>
      </c>
      <c r="U29" s="20" t="str">
        <f>IF('03_Base_Indice'!$D29="","",IF('03_Base_Indice'!U29&lt;&gt;"","OBS",IF(AND(Aux!L29&lt;&gt;"",Aux!X29&lt;&gt;"",(N(Aux!X29)-N(Aux!L29)-1)&lt;='01_Criterios'!$C$13),"EST_INTERP",IF(AND(Aux!L29&lt;&gt;"",(11-N(Aux!L29))&lt;='01_Criterios'!$C$14),"EST_CARRY_FWD",IF(AND(Aux!X29&lt;&gt;"",(N(Aux!X29)-11)&lt;='01_Criterios'!$C$15),"EST_CARRY_BWD","SEM_DADO")))))</f>
        <v/>
      </c>
      <c r="V29" s="20" t="str">
        <f>IF($D29="","",COUNTIF(K29:U29,"OBS"))</f>
        <v/>
      </c>
      <c r="W29" s="20" t="str">
        <f>IF($D29="","",COUNTIF(K29:U29,"EST_*"))</f>
        <v/>
      </c>
      <c r="X29" s="20" t="str">
        <f>IF($D29="","",COUNTIF(K29:U29,"SEM_DADO"))</f>
        <v/>
      </c>
      <c r="Y29" s="20" t="str">
        <f>IF($D29="","",(V29+W29)&amp;"/11")</f>
        <v/>
      </c>
    </row>
    <row r="30" spans="1:25">
      <c r="A30" s="6" t="str">
        <f>IF('03_Base_Indice'!$A30="","",'03_Base_Indice'!$A30)</f>
        <v>3. Capital Humano</v>
      </c>
      <c r="B30" s="6">
        <f>'03_Base_Indice'!$B30</f>
        <v>6</v>
      </c>
      <c r="D30" s="6" t="str">
        <f>IF('03_Base_Indice'!$D30="","",'03_Base_Indice'!$D30)</f>
        <v/>
      </c>
      <c r="E30" s="6" t="str">
        <f>IF('03_Base_Indice'!$E30="","",'03_Base_Indice'!$E30)</f>
        <v/>
      </c>
      <c r="K30" s="20" t="str">
        <f>IF('03_Base_Indice'!$D30="","",IF('03_Base_Indice'!K30&lt;&gt;"","OBS",IF(AND(Aux!B30&lt;&gt;"",Aux!N30&lt;&gt;"",(N(Aux!N30)-N(Aux!B30)-1)&lt;='01_Criterios'!$C$13),"EST_INTERP",IF(AND(Aux!B30&lt;&gt;"",(1-N(Aux!B30))&lt;='01_Criterios'!$C$14),"EST_CARRY_FWD",IF(AND(Aux!N30&lt;&gt;"",(N(Aux!N30)-1)&lt;='01_Criterios'!$C$15),"EST_CARRY_BWD","SEM_DADO")))))</f>
        <v/>
      </c>
      <c r="L30" s="20" t="str">
        <f>IF('03_Base_Indice'!$D30="","",IF('03_Base_Indice'!L30&lt;&gt;"","OBS",IF(AND(Aux!C30&lt;&gt;"",Aux!O30&lt;&gt;"",(N(Aux!O30)-N(Aux!C30)-1)&lt;='01_Criterios'!$C$13),"EST_INTERP",IF(AND(Aux!C30&lt;&gt;"",(2-N(Aux!C30))&lt;='01_Criterios'!$C$14),"EST_CARRY_FWD",IF(AND(Aux!O30&lt;&gt;"",(N(Aux!O30)-2)&lt;='01_Criterios'!$C$15),"EST_CARRY_BWD","SEM_DADO")))))</f>
        <v/>
      </c>
      <c r="M30" s="20" t="str">
        <f>IF('03_Base_Indice'!$D30="","",IF('03_Base_Indice'!M30&lt;&gt;"","OBS",IF(AND(Aux!D30&lt;&gt;"",Aux!P30&lt;&gt;"",(N(Aux!P30)-N(Aux!D30)-1)&lt;='01_Criterios'!$C$13),"EST_INTERP",IF(AND(Aux!D30&lt;&gt;"",(3-N(Aux!D30))&lt;='01_Criterios'!$C$14),"EST_CARRY_FWD",IF(AND(Aux!P30&lt;&gt;"",(N(Aux!P30)-3)&lt;='01_Criterios'!$C$15),"EST_CARRY_BWD","SEM_DADO")))))</f>
        <v/>
      </c>
      <c r="N30" s="20" t="str">
        <f>IF('03_Base_Indice'!$D30="","",IF('03_Base_Indice'!N30&lt;&gt;"","OBS",IF(AND(Aux!E30&lt;&gt;"",Aux!Q30&lt;&gt;"",(N(Aux!Q30)-N(Aux!E30)-1)&lt;='01_Criterios'!$C$13),"EST_INTERP",IF(AND(Aux!E30&lt;&gt;"",(4-N(Aux!E30))&lt;='01_Criterios'!$C$14),"EST_CARRY_FWD",IF(AND(Aux!Q30&lt;&gt;"",(N(Aux!Q30)-4)&lt;='01_Criterios'!$C$15),"EST_CARRY_BWD","SEM_DADO")))))</f>
        <v/>
      </c>
      <c r="O30" s="20" t="str">
        <f>IF('03_Base_Indice'!$D30="","",IF('03_Base_Indice'!O30&lt;&gt;"","OBS",IF(AND(Aux!F30&lt;&gt;"",Aux!R30&lt;&gt;"",(N(Aux!R30)-N(Aux!F30)-1)&lt;='01_Criterios'!$C$13),"EST_INTERP",IF(AND(Aux!F30&lt;&gt;"",(5-N(Aux!F30))&lt;='01_Criterios'!$C$14),"EST_CARRY_FWD",IF(AND(Aux!R30&lt;&gt;"",(N(Aux!R30)-5)&lt;='01_Criterios'!$C$15),"EST_CARRY_BWD","SEM_DADO")))))</f>
        <v/>
      </c>
      <c r="P30" s="20" t="str">
        <f>IF('03_Base_Indice'!$D30="","",IF('03_Base_Indice'!P30&lt;&gt;"","OBS",IF(AND(Aux!G30&lt;&gt;"",Aux!S30&lt;&gt;"",(N(Aux!S30)-N(Aux!G30)-1)&lt;='01_Criterios'!$C$13),"EST_INTERP",IF(AND(Aux!G30&lt;&gt;"",(6-N(Aux!G30))&lt;='01_Criterios'!$C$14),"EST_CARRY_FWD",IF(AND(Aux!S30&lt;&gt;"",(N(Aux!S30)-6)&lt;='01_Criterios'!$C$15),"EST_CARRY_BWD","SEM_DADO")))))</f>
        <v/>
      </c>
      <c r="Q30" s="20" t="str">
        <f>IF('03_Base_Indice'!$D30="","",IF('03_Base_Indice'!Q30&lt;&gt;"","OBS",IF(AND(Aux!H30&lt;&gt;"",Aux!T30&lt;&gt;"",(N(Aux!T30)-N(Aux!H30)-1)&lt;='01_Criterios'!$C$13),"EST_INTERP",IF(AND(Aux!H30&lt;&gt;"",(7-N(Aux!H30))&lt;='01_Criterios'!$C$14),"EST_CARRY_FWD",IF(AND(Aux!T30&lt;&gt;"",(N(Aux!T30)-7)&lt;='01_Criterios'!$C$15),"EST_CARRY_BWD","SEM_DADO")))))</f>
        <v/>
      </c>
      <c r="R30" s="20" t="str">
        <f>IF('03_Base_Indice'!$D30="","",IF('03_Base_Indice'!R30&lt;&gt;"","OBS",IF(AND(Aux!I30&lt;&gt;"",Aux!U30&lt;&gt;"",(N(Aux!U30)-N(Aux!I30)-1)&lt;='01_Criterios'!$C$13),"EST_INTERP",IF(AND(Aux!I30&lt;&gt;"",(8-N(Aux!I30))&lt;='01_Criterios'!$C$14),"EST_CARRY_FWD",IF(AND(Aux!U30&lt;&gt;"",(N(Aux!U30)-8)&lt;='01_Criterios'!$C$15),"EST_CARRY_BWD","SEM_DADO")))))</f>
        <v/>
      </c>
      <c r="S30" s="20" t="str">
        <f>IF('03_Base_Indice'!$D30="","",IF('03_Base_Indice'!S30&lt;&gt;"","OBS",IF(AND(Aux!J30&lt;&gt;"",Aux!V30&lt;&gt;"",(N(Aux!V30)-N(Aux!J30)-1)&lt;='01_Criterios'!$C$13),"EST_INTERP",IF(AND(Aux!J30&lt;&gt;"",(9-N(Aux!J30))&lt;='01_Criterios'!$C$14),"EST_CARRY_FWD",IF(AND(Aux!V30&lt;&gt;"",(N(Aux!V30)-9)&lt;='01_Criterios'!$C$15),"EST_CARRY_BWD","SEM_DADO")))))</f>
        <v/>
      </c>
      <c r="T30" s="20" t="str">
        <f>IF('03_Base_Indice'!$D30="","",IF('03_Base_Indice'!T30&lt;&gt;"","OBS",IF(AND(Aux!K30&lt;&gt;"",Aux!W30&lt;&gt;"",(N(Aux!W30)-N(Aux!K30)-1)&lt;='01_Criterios'!$C$13),"EST_INTERP",IF(AND(Aux!K30&lt;&gt;"",(10-N(Aux!K30))&lt;='01_Criterios'!$C$14),"EST_CARRY_FWD",IF(AND(Aux!W30&lt;&gt;"",(N(Aux!W30)-10)&lt;='01_Criterios'!$C$15),"EST_CARRY_BWD","SEM_DADO")))))</f>
        <v/>
      </c>
      <c r="U30" s="20" t="str">
        <f>IF('03_Base_Indice'!$D30="","",IF('03_Base_Indice'!U30&lt;&gt;"","OBS",IF(AND(Aux!L30&lt;&gt;"",Aux!X30&lt;&gt;"",(N(Aux!X30)-N(Aux!L30)-1)&lt;='01_Criterios'!$C$13),"EST_INTERP",IF(AND(Aux!L30&lt;&gt;"",(11-N(Aux!L30))&lt;='01_Criterios'!$C$14),"EST_CARRY_FWD",IF(AND(Aux!X30&lt;&gt;"",(N(Aux!X30)-11)&lt;='01_Criterios'!$C$15),"EST_CARRY_BWD","SEM_DADO")))))</f>
        <v/>
      </c>
      <c r="V30" s="20" t="str">
        <f>IF($D30="","",COUNTIF(K30:U30,"OBS"))</f>
        <v/>
      </c>
      <c r="W30" s="20" t="str">
        <f>IF($D30="","",COUNTIF(K30:U30,"EST_*"))</f>
        <v/>
      </c>
      <c r="X30" s="20" t="str">
        <f>IF($D30="","",COUNTIF(K30:U30,"SEM_DADO"))</f>
        <v/>
      </c>
      <c r="Y30" s="20" t="str">
        <f>IF($D30="","",(V30+W30)&amp;"/11")</f>
        <v/>
      </c>
    </row>
    <row r="31" spans="1:25">
      <c r="A31" s="6" t="str">
        <f>IF('03_Base_Indice'!$A31="","",'03_Base_Indice'!$A31)</f>
        <v>3. Capital Humano</v>
      </c>
      <c r="B31" s="6">
        <f>'03_Base_Indice'!$B31</f>
        <v>7</v>
      </c>
      <c r="D31" s="6" t="str">
        <f>IF('03_Base_Indice'!$D31="","",'03_Base_Indice'!$D31)</f>
        <v/>
      </c>
      <c r="E31" s="6" t="str">
        <f>IF('03_Base_Indice'!$E31="","",'03_Base_Indice'!$E31)</f>
        <v/>
      </c>
      <c r="K31" s="20" t="str">
        <f>IF('03_Base_Indice'!$D31="","",IF('03_Base_Indice'!K31&lt;&gt;"","OBS",IF(AND(Aux!B31&lt;&gt;"",Aux!N31&lt;&gt;"",(N(Aux!N31)-N(Aux!B31)-1)&lt;='01_Criterios'!$C$13),"EST_INTERP",IF(AND(Aux!B31&lt;&gt;"",(1-N(Aux!B31))&lt;='01_Criterios'!$C$14),"EST_CARRY_FWD",IF(AND(Aux!N31&lt;&gt;"",(N(Aux!N31)-1)&lt;='01_Criterios'!$C$15),"EST_CARRY_BWD","SEM_DADO")))))</f>
        <v/>
      </c>
      <c r="L31" s="20" t="str">
        <f>IF('03_Base_Indice'!$D31="","",IF('03_Base_Indice'!L31&lt;&gt;"","OBS",IF(AND(Aux!C31&lt;&gt;"",Aux!O31&lt;&gt;"",(N(Aux!O31)-N(Aux!C31)-1)&lt;='01_Criterios'!$C$13),"EST_INTERP",IF(AND(Aux!C31&lt;&gt;"",(2-N(Aux!C31))&lt;='01_Criterios'!$C$14),"EST_CARRY_FWD",IF(AND(Aux!O31&lt;&gt;"",(N(Aux!O31)-2)&lt;='01_Criterios'!$C$15),"EST_CARRY_BWD","SEM_DADO")))))</f>
        <v/>
      </c>
      <c r="M31" s="20" t="str">
        <f>IF('03_Base_Indice'!$D31="","",IF('03_Base_Indice'!M31&lt;&gt;"","OBS",IF(AND(Aux!D31&lt;&gt;"",Aux!P31&lt;&gt;"",(N(Aux!P31)-N(Aux!D31)-1)&lt;='01_Criterios'!$C$13),"EST_INTERP",IF(AND(Aux!D31&lt;&gt;"",(3-N(Aux!D31))&lt;='01_Criterios'!$C$14),"EST_CARRY_FWD",IF(AND(Aux!P31&lt;&gt;"",(N(Aux!P31)-3)&lt;='01_Criterios'!$C$15),"EST_CARRY_BWD","SEM_DADO")))))</f>
        <v/>
      </c>
      <c r="N31" s="20" t="str">
        <f>IF('03_Base_Indice'!$D31="","",IF('03_Base_Indice'!N31&lt;&gt;"","OBS",IF(AND(Aux!E31&lt;&gt;"",Aux!Q31&lt;&gt;"",(N(Aux!Q31)-N(Aux!E31)-1)&lt;='01_Criterios'!$C$13),"EST_INTERP",IF(AND(Aux!E31&lt;&gt;"",(4-N(Aux!E31))&lt;='01_Criterios'!$C$14),"EST_CARRY_FWD",IF(AND(Aux!Q31&lt;&gt;"",(N(Aux!Q31)-4)&lt;='01_Criterios'!$C$15),"EST_CARRY_BWD","SEM_DADO")))))</f>
        <v/>
      </c>
      <c r="O31" s="20" t="str">
        <f>IF('03_Base_Indice'!$D31="","",IF('03_Base_Indice'!O31&lt;&gt;"","OBS",IF(AND(Aux!F31&lt;&gt;"",Aux!R31&lt;&gt;"",(N(Aux!R31)-N(Aux!F31)-1)&lt;='01_Criterios'!$C$13),"EST_INTERP",IF(AND(Aux!F31&lt;&gt;"",(5-N(Aux!F31))&lt;='01_Criterios'!$C$14),"EST_CARRY_FWD",IF(AND(Aux!R31&lt;&gt;"",(N(Aux!R31)-5)&lt;='01_Criterios'!$C$15),"EST_CARRY_BWD","SEM_DADO")))))</f>
        <v/>
      </c>
      <c r="P31" s="20" t="str">
        <f>IF('03_Base_Indice'!$D31="","",IF('03_Base_Indice'!P31&lt;&gt;"","OBS",IF(AND(Aux!G31&lt;&gt;"",Aux!S31&lt;&gt;"",(N(Aux!S31)-N(Aux!G31)-1)&lt;='01_Criterios'!$C$13),"EST_INTERP",IF(AND(Aux!G31&lt;&gt;"",(6-N(Aux!G31))&lt;='01_Criterios'!$C$14),"EST_CARRY_FWD",IF(AND(Aux!S31&lt;&gt;"",(N(Aux!S31)-6)&lt;='01_Criterios'!$C$15),"EST_CARRY_BWD","SEM_DADO")))))</f>
        <v/>
      </c>
      <c r="Q31" s="20" t="str">
        <f>IF('03_Base_Indice'!$D31="","",IF('03_Base_Indice'!Q31&lt;&gt;"","OBS",IF(AND(Aux!H31&lt;&gt;"",Aux!T31&lt;&gt;"",(N(Aux!T31)-N(Aux!H31)-1)&lt;='01_Criterios'!$C$13),"EST_INTERP",IF(AND(Aux!H31&lt;&gt;"",(7-N(Aux!H31))&lt;='01_Criterios'!$C$14),"EST_CARRY_FWD",IF(AND(Aux!T31&lt;&gt;"",(N(Aux!T31)-7)&lt;='01_Criterios'!$C$15),"EST_CARRY_BWD","SEM_DADO")))))</f>
        <v/>
      </c>
      <c r="R31" s="20" t="str">
        <f>IF('03_Base_Indice'!$D31="","",IF('03_Base_Indice'!R31&lt;&gt;"","OBS",IF(AND(Aux!I31&lt;&gt;"",Aux!U31&lt;&gt;"",(N(Aux!U31)-N(Aux!I31)-1)&lt;='01_Criterios'!$C$13),"EST_INTERP",IF(AND(Aux!I31&lt;&gt;"",(8-N(Aux!I31))&lt;='01_Criterios'!$C$14),"EST_CARRY_FWD",IF(AND(Aux!U31&lt;&gt;"",(N(Aux!U31)-8)&lt;='01_Criterios'!$C$15),"EST_CARRY_BWD","SEM_DADO")))))</f>
        <v/>
      </c>
      <c r="S31" s="20" t="str">
        <f>IF('03_Base_Indice'!$D31="","",IF('03_Base_Indice'!S31&lt;&gt;"","OBS",IF(AND(Aux!J31&lt;&gt;"",Aux!V31&lt;&gt;"",(N(Aux!V31)-N(Aux!J31)-1)&lt;='01_Criterios'!$C$13),"EST_INTERP",IF(AND(Aux!J31&lt;&gt;"",(9-N(Aux!J31))&lt;='01_Criterios'!$C$14),"EST_CARRY_FWD",IF(AND(Aux!V31&lt;&gt;"",(N(Aux!V31)-9)&lt;='01_Criterios'!$C$15),"EST_CARRY_BWD","SEM_DADO")))))</f>
        <v/>
      </c>
      <c r="T31" s="20" t="str">
        <f>IF('03_Base_Indice'!$D31="","",IF('03_Base_Indice'!T31&lt;&gt;"","OBS",IF(AND(Aux!K31&lt;&gt;"",Aux!W31&lt;&gt;"",(N(Aux!W31)-N(Aux!K31)-1)&lt;='01_Criterios'!$C$13),"EST_INTERP",IF(AND(Aux!K31&lt;&gt;"",(10-N(Aux!K31))&lt;='01_Criterios'!$C$14),"EST_CARRY_FWD",IF(AND(Aux!W31&lt;&gt;"",(N(Aux!W31)-10)&lt;='01_Criterios'!$C$15),"EST_CARRY_BWD","SEM_DADO")))))</f>
        <v/>
      </c>
      <c r="U31" s="20" t="str">
        <f>IF('03_Base_Indice'!$D31="","",IF('03_Base_Indice'!U31&lt;&gt;"","OBS",IF(AND(Aux!L31&lt;&gt;"",Aux!X31&lt;&gt;"",(N(Aux!X31)-N(Aux!L31)-1)&lt;='01_Criterios'!$C$13),"EST_INTERP",IF(AND(Aux!L31&lt;&gt;"",(11-N(Aux!L31))&lt;='01_Criterios'!$C$14),"EST_CARRY_FWD",IF(AND(Aux!X31&lt;&gt;"",(N(Aux!X31)-11)&lt;='01_Criterios'!$C$15),"EST_CARRY_BWD","SEM_DADO")))))</f>
        <v/>
      </c>
      <c r="V31" s="20" t="str">
        <f>IF($D31="","",COUNTIF(K31:U31,"OBS"))</f>
        <v/>
      </c>
      <c r="W31" s="20" t="str">
        <f>IF($D31="","",COUNTIF(K31:U31,"EST_*"))</f>
        <v/>
      </c>
      <c r="X31" s="20" t="str">
        <f>IF($D31="","",COUNTIF(K31:U31,"SEM_DADO"))</f>
        <v/>
      </c>
      <c r="Y31" s="20" t="str">
        <f>IF($D31="","",(V31+W31)&amp;"/11")</f>
        <v/>
      </c>
    </row>
    <row r="32" spans="1:25">
      <c r="A32" s="6" t="str">
        <f>IF('03_Base_Indice'!$A32="","",'03_Base_Indice'!$A32)</f>
        <v>3. Capital Humano</v>
      </c>
      <c r="B32" s="6">
        <f>'03_Base_Indice'!$B32</f>
        <v>8</v>
      </c>
      <c r="D32" s="6" t="str">
        <f>IF('03_Base_Indice'!$D32="","",'03_Base_Indice'!$D32)</f>
        <v/>
      </c>
      <c r="E32" s="6" t="str">
        <f>IF('03_Base_Indice'!$E32="","",'03_Base_Indice'!$E32)</f>
        <v/>
      </c>
      <c r="K32" s="20" t="str">
        <f>IF('03_Base_Indice'!$D32="","",IF('03_Base_Indice'!K32&lt;&gt;"","OBS",IF(AND(Aux!B32&lt;&gt;"",Aux!N32&lt;&gt;"",(N(Aux!N32)-N(Aux!B32)-1)&lt;='01_Criterios'!$C$13),"EST_INTERP",IF(AND(Aux!B32&lt;&gt;"",(1-N(Aux!B32))&lt;='01_Criterios'!$C$14),"EST_CARRY_FWD",IF(AND(Aux!N32&lt;&gt;"",(N(Aux!N32)-1)&lt;='01_Criterios'!$C$15),"EST_CARRY_BWD","SEM_DADO")))))</f>
        <v/>
      </c>
      <c r="L32" s="20" t="str">
        <f>IF('03_Base_Indice'!$D32="","",IF('03_Base_Indice'!L32&lt;&gt;"","OBS",IF(AND(Aux!C32&lt;&gt;"",Aux!O32&lt;&gt;"",(N(Aux!O32)-N(Aux!C32)-1)&lt;='01_Criterios'!$C$13),"EST_INTERP",IF(AND(Aux!C32&lt;&gt;"",(2-N(Aux!C32))&lt;='01_Criterios'!$C$14),"EST_CARRY_FWD",IF(AND(Aux!O32&lt;&gt;"",(N(Aux!O32)-2)&lt;='01_Criterios'!$C$15),"EST_CARRY_BWD","SEM_DADO")))))</f>
        <v/>
      </c>
      <c r="M32" s="20" t="str">
        <f>IF('03_Base_Indice'!$D32="","",IF('03_Base_Indice'!M32&lt;&gt;"","OBS",IF(AND(Aux!D32&lt;&gt;"",Aux!P32&lt;&gt;"",(N(Aux!P32)-N(Aux!D32)-1)&lt;='01_Criterios'!$C$13),"EST_INTERP",IF(AND(Aux!D32&lt;&gt;"",(3-N(Aux!D32))&lt;='01_Criterios'!$C$14),"EST_CARRY_FWD",IF(AND(Aux!P32&lt;&gt;"",(N(Aux!P32)-3)&lt;='01_Criterios'!$C$15),"EST_CARRY_BWD","SEM_DADO")))))</f>
        <v/>
      </c>
      <c r="N32" s="20" t="str">
        <f>IF('03_Base_Indice'!$D32="","",IF('03_Base_Indice'!N32&lt;&gt;"","OBS",IF(AND(Aux!E32&lt;&gt;"",Aux!Q32&lt;&gt;"",(N(Aux!Q32)-N(Aux!E32)-1)&lt;='01_Criterios'!$C$13),"EST_INTERP",IF(AND(Aux!E32&lt;&gt;"",(4-N(Aux!E32))&lt;='01_Criterios'!$C$14),"EST_CARRY_FWD",IF(AND(Aux!Q32&lt;&gt;"",(N(Aux!Q32)-4)&lt;='01_Criterios'!$C$15),"EST_CARRY_BWD","SEM_DADO")))))</f>
        <v/>
      </c>
      <c r="O32" s="20" t="str">
        <f>IF('03_Base_Indice'!$D32="","",IF('03_Base_Indice'!O32&lt;&gt;"","OBS",IF(AND(Aux!F32&lt;&gt;"",Aux!R32&lt;&gt;"",(N(Aux!R32)-N(Aux!F32)-1)&lt;='01_Criterios'!$C$13),"EST_INTERP",IF(AND(Aux!F32&lt;&gt;"",(5-N(Aux!F32))&lt;='01_Criterios'!$C$14),"EST_CARRY_FWD",IF(AND(Aux!R32&lt;&gt;"",(N(Aux!R32)-5)&lt;='01_Criterios'!$C$15),"EST_CARRY_BWD","SEM_DADO")))))</f>
        <v/>
      </c>
      <c r="P32" s="20" t="str">
        <f>IF('03_Base_Indice'!$D32="","",IF('03_Base_Indice'!P32&lt;&gt;"","OBS",IF(AND(Aux!G32&lt;&gt;"",Aux!S32&lt;&gt;"",(N(Aux!S32)-N(Aux!G32)-1)&lt;='01_Criterios'!$C$13),"EST_INTERP",IF(AND(Aux!G32&lt;&gt;"",(6-N(Aux!G32))&lt;='01_Criterios'!$C$14),"EST_CARRY_FWD",IF(AND(Aux!S32&lt;&gt;"",(N(Aux!S32)-6)&lt;='01_Criterios'!$C$15),"EST_CARRY_BWD","SEM_DADO")))))</f>
        <v/>
      </c>
      <c r="Q32" s="20" t="str">
        <f>IF('03_Base_Indice'!$D32="","",IF('03_Base_Indice'!Q32&lt;&gt;"","OBS",IF(AND(Aux!H32&lt;&gt;"",Aux!T32&lt;&gt;"",(N(Aux!T32)-N(Aux!H32)-1)&lt;='01_Criterios'!$C$13),"EST_INTERP",IF(AND(Aux!H32&lt;&gt;"",(7-N(Aux!H32))&lt;='01_Criterios'!$C$14),"EST_CARRY_FWD",IF(AND(Aux!T32&lt;&gt;"",(N(Aux!T32)-7)&lt;='01_Criterios'!$C$15),"EST_CARRY_BWD","SEM_DADO")))))</f>
        <v/>
      </c>
      <c r="R32" s="20" t="str">
        <f>IF('03_Base_Indice'!$D32="","",IF('03_Base_Indice'!R32&lt;&gt;"","OBS",IF(AND(Aux!I32&lt;&gt;"",Aux!U32&lt;&gt;"",(N(Aux!U32)-N(Aux!I32)-1)&lt;='01_Criterios'!$C$13),"EST_INTERP",IF(AND(Aux!I32&lt;&gt;"",(8-N(Aux!I32))&lt;='01_Criterios'!$C$14),"EST_CARRY_FWD",IF(AND(Aux!U32&lt;&gt;"",(N(Aux!U32)-8)&lt;='01_Criterios'!$C$15),"EST_CARRY_BWD","SEM_DADO")))))</f>
        <v/>
      </c>
      <c r="S32" s="20" t="str">
        <f>IF('03_Base_Indice'!$D32="","",IF('03_Base_Indice'!S32&lt;&gt;"","OBS",IF(AND(Aux!J32&lt;&gt;"",Aux!V32&lt;&gt;"",(N(Aux!V32)-N(Aux!J32)-1)&lt;='01_Criterios'!$C$13),"EST_INTERP",IF(AND(Aux!J32&lt;&gt;"",(9-N(Aux!J32))&lt;='01_Criterios'!$C$14),"EST_CARRY_FWD",IF(AND(Aux!V32&lt;&gt;"",(N(Aux!V32)-9)&lt;='01_Criterios'!$C$15),"EST_CARRY_BWD","SEM_DADO")))))</f>
        <v/>
      </c>
      <c r="T32" s="20" t="str">
        <f>IF('03_Base_Indice'!$D32="","",IF('03_Base_Indice'!T32&lt;&gt;"","OBS",IF(AND(Aux!K32&lt;&gt;"",Aux!W32&lt;&gt;"",(N(Aux!W32)-N(Aux!K32)-1)&lt;='01_Criterios'!$C$13),"EST_INTERP",IF(AND(Aux!K32&lt;&gt;"",(10-N(Aux!K32))&lt;='01_Criterios'!$C$14),"EST_CARRY_FWD",IF(AND(Aux!W32&lt;&gt;"",(N(Aux!W32)-10)&lt;='01_Criterios'!$C$15),"EST_CARRY_BWD","SEM_DADO")))))</f>
        <v/>
      </c>
      <c r="U32" s="20" t="str">
        <f>IF('03_Base_Indice'!$D32="","",IF('03_Base_Indice'!U32&lt;&gt;"","OBS",IF(AND(Aux!L32&lt;&gt;"",Aux!X32&lt;&gt;"",(N(Aux!X32)-N(Aux!L32)-1)&lt;='01_Criterios'!$C$13),"EST_INTERP",IF(AND(Aux!L32&lt;&gt;"",(11-N(Aux!L32))&lt;='01_Criterios'!$C$14),"EST_CARRY_FWD",IF(AND(Aux!X32&lt;&gt;"",(N(Aux!X32)-11)&lt;='01_Criterios'!$C$15),"EST_CARRY_BWD","SEM_DADO")))))</f>
        <v/>
      </c>
      <c r="V32" s="20" t="str">
        <f>IF($D32="","",COUNTIF(K32:U32,"OBS"))</f>
        <v/>
      </c>
      <c r="W32" s="20" t="str">
        <f>IF($D32="","",COUNTIF(K32:U32,"EST_*"))</f>
        <v/>
      </c>
      <c r="X32" s="20" t="str">
        <f>IF($D32="","",COUNTIF(K32:U32,"SEM_DADO"))</f>
        <v/>
      </c>
      <c r="Y32" s="20" t="str">
        <f>IF($D32="","",(V32+W32)&amp;"/11")</f>
        <v/>
      </c>
    </row>
    <row r="33" spans="1:25">
      <c r="A33" s="6" t="str">
        <f>IF('03_Base_Indice'!$A33="","",'03_Base_Indice'!$A33)</f>
        <v>3. Capital Humano</v>
      </c>
      <c r="B33" s="6">
        <f>'03_Base_Indice'!$B33</f>
        <v>9</v>
      </c>
      <c r="D33" s="6" t="str">
        <f>IF('03_Base_Indice'!$D33="","",'03_Base_Indice'!$D33)</f>
        <v/>
      </c>
      <c r="E33" s="6" t="str">
        <f>IF('03_Base_Indice'!$E33="","",'03_Base_Indice'!$E33)</f>
        <v/>
      </c>
      <c r="K33" s="20" t="str">
        <f>IF('03_Base_Indice'!$D33="","",IF('03_Base_Indice'!K33&lt;&gt;"","OBS",IF(AND(Aux!B33&lt;&gt;"",Aux!N33&lt;&gt;"",(N(Aux!N33)-N(Aux!B33)-1)&lt;='01_Criterios'!$C$13),"EST_INTERP",IF(AND(Aux!B33&lt;&gt;"",(1-N(Aux!B33))&lt;='01_Criterios'!$C$14),"EST_CARRY_FWD",IF(AND(Aux!N33&lt;&gt;"",(N(Aux!N33)-1)&lt;='01_Criterios'!$C$15),"EST_CARRY_BWD","SEM_DADO")))))</f>
        <v/>
      </c>
      <c r="L33" s="20" t="str">
        <f>IF('03_Base_Indice'!$D33="","",IF('03_Base_Indice'!L33&lt;&gt;"","OBS",IF(AND(Aux!C33&lt;&gt;"",Aux!O33&lt;&gt;"",(N(Aux!O33)-N(Aux!C33)-1)&lt;='01_Criterios'!$C$13),"EST_INTERP",IF(AND(Aux!C33&lt;&gt;"",(2-N(Aux!C33))&lt;='01_Criterios'!$C$14),"EST_CARRY_FWD",IF(AND(Aux!O33&lt;&gt;"",(N(Aux!O33)-2)&lt;='01_Criterios'!$C$15),"EST_CARRY_BWD","SEM_DADO")))))</f>
        <v/>
      </c>
      <c r="M33" s="20" t="str">
        <f>IF('03_Base_Indice'!$D33="","",IF('03_Base_Indice'!M33&lt;&gt;"","OBS",IF(AND(Aux!D33&lt;&gt;"",Aux!P33&lt;&gt;"",(N(Aux!P33)-N(Aux!D33)-1)&lt;='01_Criterios'!$C$13),"EST_INTERP",IF(AND(Aux!D33&lt;&gt;"",(3-N(Aux!D33))&lt;='01_Criterios'!$C$14),"EST_CARRY_FWD",IF(AND(Aux!P33&lt;&gt;"",(N(Aux!P33)-3)&lt;='01_Criterios'!$C$15),"EST_CARRY_BWD","SEM_DADO")))))</f>
        <v/>
      </c>
      <c r="N33" s="20" t="str">
        <f>IF('03_Base_Indice'!$D33="","",IF('03_Base_Indice'!N33&lt;&gt;"","OBS",IF(AND(Aux!E33&lt;&gt;"",Aux!Q33&lt;&gt;"",(N(Aux!Q33)-N(Aux!E33)-1)&lt;='01_Criterios'!$C$13),"EST_INTERP",IF(AND(Aux!E33&lt;&gt;"",(4-N(Aux!E33))&lt;='01_Criterios'!$C$14),"EST_CARRY_FWD",IF(AND(Aux!Q33&lt;&gt;"",(N(Aux!Q33)-4)&lt;='01_Criterios'!$C$15),"EST_CARRY_BWD","SEM_DADO")))))</f>
        <v/>
      </c>
      <c r="O33" s="20" t="str">
        <f>IF('03_Base_Indice'!$D33="","",IF('03_Base_Indice'!O33&lt;&gt;"","OBS",IF(AND(Aux!F33&lt;&gt;"",Aux!R33&lt;&gt;"",(N(Aux!R33)-N(Aux!F33)-1)&lt;='01_Criterios'!$C$13),"EST_INTERP",IF(AND(Aux!F33&lt;&gt;"",(5-N(Aux!F33))&lt;='01_Criterios'!$C$14),"EST_CARRY_FWD",IF(AND(Aux!R33&lt;&gt;"",(N(Aux!R33)-5)&lt;='01_Criterios'!$C$15),"EST_CARRY_BWD","SEM_DADO")))))</f>
        <v/>
      </c>
      <c r="P33" s="20" t="str">
        <f>IF('03_Base_Indice'!$D33="","",IF('03_Base_Indice'!P33&lt;&gt;"","OBS",IF(AND(Aux!G33&lt;&gt;"",Aux!S33&lt;&gt;"",(N(Aux!S33)-N(Aux!G33)-1)&lt;='01_Criterios'!$C$13),"EST_INTERP",IF(AND(Aux!G33&lt;&gt;"",(6-N(Aux!G33))&lt;='01_Criterios'!$C$14),"EST_CARRY_FWD",IF(AND(Aux!S33&lt;&gt;"",(N(Aux!S33)-6)&lt;='01_Criterios'!$C$15),"EST_CARRY_BWD","SEM_DADO")))))</f>
        <v/>
      </c>
      <c r="Q33" s="20" t="str">
        <f>IF('03_Base_Indice'!$D33="","",IF('03_Base_Indice'!Q33&lt;&gt;"","OBS",IF(AND(Aux!H33&lt;&gt;"",Aux!T33&lt;&gt;"",(N(Aux!T33)-N(Aux!H33)-1)&lt;='01_Criterios'!$C$13),"EST_INTERP",IF(AND(Aux!H33&lt;&gt;"",(7-N(Aux!H33))&lt;='01_Criterios'!$C$14),"EST_CARRY_FWD",IF(AND(Aux!T33&lt;&gt;"",(N(Aux!T33)-7)&lt;='01_Criterios'!$C$15),"EST_CARRY_BWD","SEM_DADO")))))</f>
        <v/>
      </c>
      <c r="R33" s="20" t="str">
        <f>IF('03_Base_Indice'!$D33="","",IF('03_Base_Indice'!R33&lt;&gt;"","OBS",IF(AND(Aux!I33&lt;&gt;"",Aux!U33&lt;&gt;"",(N(Aux!U33)-N(Aux!I33)-1)&lt;='01_Criterios'!$C$13),"EST_INTERP",IF(AND(Aux!I33&lt;&gt;"",(8-N(Aux!I33))&lt;='01_Criterios'!$C$14),"EST_CARRY_FWD",IF(AND(Aux!U33&lt;&gt;"",(N(Aux!U33)-8)&lt;='01_Criterios'!$C$15),"EST_CARRY_BWD","SEM_DADO")))))</f>
        <v/>
      </c>
      <c r="S33" s="20" t="str">
        <f>IF('03_Base_Indice'!$D33="","",IF('03_Base_Indice'!S33&lt;&gt;"","OBS",IF(AND(Aux!J33&lt;&gt;"",Aux!V33&lt;&gt;"",(N(Aux!V33)-N(Aux!J33)-1)&lt;='01_Criterios'!$C$13),"EST_INTERP",IF(AND(Aux!J33&lt;&gt;"",(9-N(Aux!J33))&lt;='01_Criterios'!$C$14),"EST_CARRY_FWD",IF(AND(Aux!V33&lt;&gt;"",(N(Aux!V33)-9)&lt;='01_Criterios'!$C$15),"EST_CARRY_BWD","SEM_DADO")))))</f>
        <v/>
      </c>
      <c r="T33" s="20" t="str">
        <f>IF('03_Base_Indice'!$D33="","",IF('03_Base_Indice'!T33&lt;&gt;"","OBS",IF(AND(Aux!K33&lt;&gt;"",Aux!W33&lt;&gt;"",(N(Aux!W33)-N(Aux!K33)-1)&lt;='01_Criterios'!$C$13),"EST_INTERP",IF(AND(Aux!K33&lt;&gt;"",(10-N(Aux!K33))&lt;='01_Criterios'!$C$14),"EST_CARRY_FWD",IF(AND(Aux!W33&lt;&gt;"",(N(Aux!W33)-10)&lt;='01_Criterios'!$C$15),"EST_CARRY_BWD","SEM_DADO")))))</f>
        <v/>
      </c>
      <c r="U33" s="20" t="str">
        <f>IF('03_Base_Indice'!$D33="","",IF('03_Base_Indice'!U33&lt;&gt;"","OBS",IF(AND(Aux!L33&lt;&gt;"",Aux!X33&lt;&gt;"",(N(Aux!X33)-N(Aux!L33)-1)&lt;='01_Criterios'!$C$13),"EST_INTERP",IF(AND(Aux!L33&lt;&gt;"",(11-N(Aux!L33))&lt;='01_Criterios'!$C$14),"EST_CARRY_FWD",IF(AND(Aux!X33&lt;&gt;"",(N(Aux!X33)-11)&lt;='01_Criterios'!$C$15),"EST_CARRY_BWD","SEM_DADO")))))</f>
        <v/>
      </c>
      <c r="V33" s="20" t="str">
        <f>IF($D33="","",COUNTIF(K33:U33,"OBS"))</f>
        <v/>
      </c>
      <c r="W33" s="20" t="str">
        <f>IF($D33="","",COUNTIF(K33:U33,"EST_*"))</f>
        <v/>
      </c>
      <c r="X33" s="20" t="str">
        <f>IF($D33="","",COUNTIF(K33:U33,"SEM_DADO"))</f>
        <v/>
      </c>
      <c r="Y33" s="20" t="str">
        <f>IF($D33="","",(V33+W33)&amp;"/11")</f>
        <v/>
      </c>
    </row>
    <row r="34" spans="1:25">
      <c r="A34" s="6" t="str">
        <f>IF('03_Base_Indice'!$A34="","",'03_Base_Indice'!$A34)</f>
        <v>3. Capital Humano</v>
      </c>
      <c r="B34" s="6">
        <f>'03_Base_Indice'!$B34</f>
        <v>10</v>
      </c>
      <c r="D34" s="6" t="str">
        <f>IF('03_Base_Indice'!$D34="","",'03_Base_Indice'!$D34)</f>
        <v/>
      </c>
      <c r="E34" s="6" t="str">
        <f>IF('03_Base_Indice'!$E34="","",'03_Base_Indice'!$E34)</f>
        <v/>
      </c>
      <c r="K34" s="20" t="str">
        <f>IF('03_Base_Indice'!$D34="","",IF('03_Base_Indice'!K34&lt;&gt;"","OBS",IF(AND(Aux!B34&lt;&gt;"",Aux!N34&lt;&gt;"",(N(Aux!N34)-N(Aux!B34)-1)&lt;='01_Criterios'!$C$13),"EST_INTERP",IF(AND(Aux!B34&lt;&gt;"",(1-N(Aux!B34))&lt;='01_Criterios'!$C$14),"EST_CARRY_FWD",IF(AND(Aux!N34&lt;&gt;"",(N(Aux!N34)-1)&lt;='01_Criterios'!$C$15),"EST_CARRY_BWD","SEM_DADO")))))</f>
        <v/>
      </c>
      <c r="L34" s="20" t="str">
        <f>IF('03_Base_Indice'!$D34="","",IF('03_Base_Indice'!L34&lt;&gt;"","OBS",IF(AND(Aux!C34&lt;&gt;"",Aux!O34&lt;&gt;"",(N(Aux!O34)-N(Aux!C34)-1)&lt;='01_Criterios'!$C$13),"EST_INTERP",IF(AND(Aux!C34&lt;&gt;"",(2-N(Aux!C34))&lt;='01_Criterios'!$C$14),"EST_CARRY_FWD",IF(AND(Aux!O34&lt;&gt;"",(N(Aux!O34)-2)&lt;='01_Criterios'!$C$15),"EST_CARRY_BWD","SEM_DADO")))))</f>
        <v/>
      </c>
      <c r="M34" s="20" t="str">
        <f>IF('03_Base_Indice'!$D34="","",IF('03_Base_Indice'!M34&lt;&gt;"","OBS",IF(AND(Aux!D34&lt;&gt;"",Aux!P34&lt;&gt;"",(N(Aux!P34)-N(Aux!D34)-1)&lt;='01_Criterios'!$C$13),"EST_INTERP",IF(AND(Aux!D34&lt;&gt;"",(3-N(Aux!D34))&lt;='01_Criterios'!$C$14),"EST_CARRY_FWD",IF(AND(Aux!P34&lt;&gt;"",(N(Aux!P34)-3)&lt;='01_Criterios'!$C$15),"EST_CARRY_BWD","SEM_DADO")))))</f>
        <v/>
      </c>
      <c r="N34" s="20" t="str">
        <f>IF('03_Base_Indice'!$D34="","",IF('03_Base_Indice'!N34&lt;&gt;"","OBS",IF(AND(Aux!E34&lt;&gt;"",Aux!Q34&lt;&gt;"",(N(Aux!Q34)-N(Aux!E34)-1)&lt;='01_Criterios'!$C$13),"EST_INTERP",IF(AND(Aux!E34&lt;&gt;"",(4-N(Aux!E34))&lt;='01_Criterios'!$C$14),"EST_CARRY_FWD",IF(AND(Aux!Q34&lt;&gt;"",(N(Aux!Q34)-4)&lt;='01_Criterios'!$C$15),"EST_CARRY_BWD","SEM_DADO")))))</f>
        <v/>
      </c>
      <c r="O34" s="20" t="str">
        <f>IF('03_Base_Indice'!$D34="","",IF('03_Base_Indice'!O34&lt;&gt;"","OBS",IF(AND(Aux!F34&lt;&gt;"",Aux!R34&lt;&gt;"",(N(Aux!R34)-N(Aux!F34)-1)&lt;='01_Criterios'!$C$13),"EST_INTERP",IF(AND(Aux!F34&lt;&gt;"",(5-N(Aux!F34))&lt;='01_Criterios'!$C$14),"EST_CARRY_FWD",IF(AND(Aux!R34&lt;&gt;"",(N(Aux!R34)-5)&lt;='01_Criterios'!$C$15),"EST_CARRY_BWD","SEM_DADO")))))</f>
        <v/>
      </c>
      <c r="P34" s="20" t="str">
        <f>IF('03_Base_Indice'!$D34="","",IF('03_Base_Indice'!P34&lt;&gt;"","OBS",IF(AND(Aux!G34&lt;&gt;"",Aux!S34&lt;&gt;"",(N(Aux!S34)-N(Aux!G34)-1)&lt;='01_Criterios'!$C$13),"EST_INTERP",IF(AND(Aux!G34&lt;&gt;"",(6-N(Aux!G34))&lt;='01_Criterios'!$C$14),"EST_CARRY_FWD",IF(AND(Aux!S34&lt;&gt;"",(N(Aux!S34)-6)&lt;='01_Criterios'!$C$15),"EST_CARRY_BWD","SEM_DADO")))))</f>
        <v/>
      </c>
      <c r="Q34" s="20" t="str">
        <f>IF('03_Base_Indice'!$D34="","",IF('03_Base_Indice'!Q34&lt;&gt;"","OBS",IF(AND(Aux!H34&lt;&gt;"",Aux!T34&lt;&gt;"",(N(Aux!T34)-N(Aux!H34)-1)&lt;='01_Criterios'!$C$13),"EST_INTERP",IF(AND(Aux!H34&lt;&gt;"",(7-N(Aux!H34))&lt;='01_Criterios'!$C$14),"EST_CARRY_FWD",IF(AND(Aux!T34&lt;&gt;"",(N(Aux!T34)-7)&lt;='01_Criterios'!$C$15),"EST_CARRY_BWD","SEM_DADO")))))</f>
        <v/>
      </c>
      <c r="R34" s="20" t="str">
        <f>IF('03_Base_Indice'!$D34="","",IF('03_Base_Indice'!R34&lt;&gt;"","OBS",IF(AND(Aux!I34&lt;&gt;"",Aux!U34&lt;&gt;"",(N(Aux!U34)-N(Aux!I34)-1)&lt;='01_Criterios'!$C$13),"EST_INTERP",IF(AND(Aux!I34&lt;&gt;"",(8-N(Aux!I34))&lt;='01_Criterios'!$C$14),"EST_CARRY_FWD",IF(AND(Aux!U34&lt;&gt;"",(N(Aux!U34)-8)&lt;='01_Criterios'!$C$15),"EST_CARRY_BWD","SEM_DADO")))))</f>
        <v/>
      </c>
      <c r="S34" s="20" t="str">
        <f>IF('03_Base_Indice'!$D34="","",IF('03_Base_Indice'!S34&lt;&gt;"","OBS",IF(AND(Aux!J34&lt;&gt;"",Aux!V34&lt;&gt;"",(N(Aux!V34)-N(Aux!J34)-1)&lt;='01_Criterios'!$C$13),"EST_INTERP",IF(AND(Aux!J34&lt;&gt;"",(9-N(Aux!J34))&lt;='01_Criterios'!$C$14),"EST_CARRY_FWD",IF(AND(Aux!V34&lt;&gt;"",(N(Aux!V34)-9)&lt;='01_Criterios'!$C$15),"EST_CARRY_BWD","SEM_DADO")))))</f>
        <v/>
      </c>
      <c r="T34" s="20" t="str">
        <f>IF('03_Base_Indice'!$D34="","",IF('03_Base_Indice'!T34&lt;&gt;"","OBS",IF(AND(Aux!K34&lt;&gt;"",Aux!W34&lt;&gt;"",(N(Aux!W34)-N(Aux!K34)-1)&lt;='01_Criterios'!$C$13),"EST_INTERP",IF(AND(Aux!K34&lt;&gt;"",(10-N(Aux!K34))&lt;='01_Criterios'!$C$14),"EST_CARRY_FWD",IF(AND(Aux!W34&lt;&gt;"",(N(Aux!W34)-10)&lt;='01_Criterios'!$C$15),"EST_CARRY_BWD","SEM_DADO")))))</f>
        <v/>
      </c>
      <c r="U34" s="20" t="str">
        <f>IF('03_Base_Indice'!$D34="","",IF('03_Base_Indice'!U34&lt;&gt;"","OBS",IF(AND(Aux!L34&lt;&gt;"",Aux!X34&lt;&gt;"",(N(Aux!X34)-N(Aux!L34)-1)&lt;='01_Criterios'!$C$13),"EST_INTERP",IF(AND(Aux!L34&lt;&gt;"",(11-N(Aux!L34))&lt;='01_Criterios'!$C$14),"EST_CARRY_FWD",IF(AND(Aux!X34&lt;&gt;"",(N(Aux!X34)-11)&lt;='01_Criterios'!$C$15),"EST_CARRY_BWD","SEM_DADO")))))</f>
        <v/>
      </c>
      <c r="V34" s="20" t="str">
        <f>IF($D34="","",COUNTIF(K34:U34,"OBS"))</f>
        <v/>
      </c>
      <c r="W34" s="20" t="str">
        <f>IF($D34="","",COUNTIF(K34:U34,"EST_*"))</f>
        <v/>
      </c>
      <c r="X34" s="20" t="str">
        <f>IF($D34="","",COUNTIF(K34:U34,"SEM_DADO"))</f>
        <v/>
      </c>
      <c r="Y34" s="20" t="str">
        <f>IF($D34="","",(V34+W34)&amp;"/11")</f>
        <v/>
      </c>
    </row>
    <row r="35" spans="1:25">
      <c r="A35" s="6" t="str">
        <f>IF('03_Base_Indice'!$A35="","",'03_Base_Indice'!$A35)</f>
        <v>4. Inclusão Social e Protecção</v>
      </c>
      <c r="B35" s="6">
        <f>'03_Base_Indice'!$B35</f>
        <v>1</v>
      </c>
      <c r="D35" s="6" t="str">
        <f>IF('03_Base_Indice'!$D35="","",'03_Base_Indice'!$D35)</f>
        <v>INC005</v>
      </c>
      <c r="E35" s="6" t="str">
        <f>IF('03_Base_Indice'!$E35="","",'03_Base_Indice'!$E35)</f>
        <v>RNB per Capita (USD)</v>
      </c>
      <c r="K35" s="20" t="str">
        <f>IF('03_Base_Indice'!$D35="","",IF('03_Base_Indice'!K35&lt;&gt;"","OBS",IF(AND(Aux!B35&lt;&gt;"",Aux!N35&lt;&gt;"",(N(Aux!N35)-N(Aux!B35)-1)&lt;='01_Criterios'!$C$13),"EST_INTERP",IF(AND(Aux!B35&lt;&gt;"",(1-N(Aux!B35))&lt;='01_Criterios'!$C$14),"EST_CARRY_FWD",IF(AND(Aux!N35&lt;&gt;"",(N(Aux!N35)-1)&lt;='01_Criterios'!$C$15),"EST_CARRY_BWD","SEM_DADO")))))</f>
        <v>OBS</v>
      </c>
      <c r="L35" s="20" t="str">
        <f>IF('03_Base_Indice'!$D35="","",IF('03_Base_Indice'!L35&lt;&gt;"","OBS",IF(AND(Aux!C35&lt;&gt;"",Aux!O35&lt;&gt;"",(N(Aux!O35)-N(Aux!C35)-1)&lt;='01_Criterios'!$C$13),"EST_INTERP",IF(AND(Aux!C35&lt;&gt;"",(2-N(Aux!C35))&lt;='01_Criterios'!$C$14),"EST_CARRY_FWD",IF(AND(Aux!O35&lt;&gt;"",(N(Aux!O35)-2)&lt;='01_Criterios'!$C$15),"EST_CARRY_BWD","SEM_DADO")))))</f>
        <v>OBS</v>
      </c>
      <c r="M35" s="20" t="str">
        <f>IF('03_Base_Indice'!$D35="","",IF('03_Base_Indice'!M35&lt;&gt;"","OBS",IF(AND(Aux!D35&lt;&gt;"",Aux!P35&lt;&gt;"",(N(Aux!P35)-N(Aux!D35)-1)&lt;='01_Criterios'!$C$13),"EST_INTERP",IF(AND(Aux!D35&lt;&gt;"",(3-N(Aux!D35))&lt;='01_Criterios'!$C$14),"EST_CARRY_FWD",IF(AND(Aux!P35&lt;&gt;"",(N(Aux!P35)-3)&lt;='01_Criterios'!$C$15),"EST_CARRY_BWD","SEM_DADO")))))</f>
        <v>OBS</v>
      </c>
      <c r="N35" s="20" t="str">
        <f>IF('03_Base_Indice'!$D35="","",IF('03_Base_Indice'!N35&lt;&gt;"","OBS",IF(AND(Aux!E35&lt;&gt;"",Aux!Q35&lt;&gt;"",(N(Aux!Q35)-N(Aux!E35)-1)&lt;='01_Criterios'!$C$13),"EST_INTERP",IF(AND(Aux!E35&lt;&gt;"",(4-N(Aux!E35))&lt;='01_Criterios'!$C$14),"EST_CARRY_FWD",IF(AND(Aux!Q35&lt;&gt;"",(N(Aux!Q35)-4)&lt;='01_Criterios'!$C$15),"EST_CARRY_BWD","SEM_DADO")))))</f>
        <v>OBS</v>
      </c>
      <c r="O35" s="20" t="str">
        <f>IF('03_Base_Indice'!$D35="","",IF('03_Base_Indice'!O35&lt;&gt;"","OBS",IF(AND(Aux!F35&lt;&gt;"",Aux!R35&lt;&gt;"",(N(Aux!R35)-N(Aux!F35)-1)&lt;='01_Criterios'!$C$13),"EST_INTERP",IF(AND(Aux!F35&lt;&gt;"",(5-N(Aux!F35))&lt;='01_Criterios'!$C$14),"EST_CARRY_FWD",IF(AND(Aux!R35&lt;&gt;"",(N(Aux!R35)-5)&lt;='01_Criterios'!$C$15),"EST_CARRY_BWD","SEM_DADO")))))</f>
        <v>OBS</v>
      </c>
      <c r="P35" s="20" t="str">
        <f>IF('03_Base_Indice'!$D35="","",IF('03_Base_Indice'!P35&lt;&gt;"","OBS",IF(AND(Aux!G35&lt;&gt;"",Aux!S35&lt;&gt;"",(N(Aux!S35)-N(Aux!G35)-1)&lt;='01_Criterios'!$C$13),"EST_INTERP",IF(AND(Aux!G35&lt;&gt;"",(6-N(Aux!G35))&lt;='01_Criterios'!$C$14),"EST_CARRY_FWD",IF(AND(Aux!S35&lt;&gt;"",(N(Aux!S35)-6)&lt;='01_Criterios'!$C$15),"EST_CARRY_BWD","SEM_DADO")))))</f>
        <v>OBS</v>
      </c>
      <c r="Q35" s="20" t="str">
        <f>IF('03_Base_Indice'!$D35="","",IF('03_Base_Indice'!Q35&lt;&gt;"","OBS",IF(AND(Aux!H35&lt;&gt;"",Aux!T35&lt;&gt;"",(N(Aux!T35)-N(Aux!H35)-1)&lt;='01_Criterios'!$C$13),"EST_INTERP",IF(AND(Aux!H35&lt;&gt;"",(7-N(Aux!H35))&lt;='01_Criterios'!$C$14),"EST_CARRY_FWD",IF(AND(Aux!T35&lt;&gt;"",(N(Aux!T35)-7)&lt;='01_Criterios'!$C$15),"EST_CARRY_BWD","SEM_DADO")))))</f>
        <v>OBS</v>
      </c>
      <c r="R35" s="20" t="str">
        <f>IF('03_Base_Indice'!$D35="","",IF('03_Base_Indice'!R35&lt;&gt;"","OBS",IF(AND(Aux!I35&lt;&gt;"",Aux!U35&lt;&gt;"",(N(Aux!U35)-N(Aux!I35)-1)&lt;='01_Criterios'!$C$13),"EST_INTERP",IF(AND(Aux!I35&lt;&gt;"",(8-N(Aux!I35))&lt;='01_Criterios'!$C$14),"EST_CARRY_FWD",IF(AND(Aux!U35&lt;&gt;"",(N(Aux!U35)-8)&lt;='01_Criterios'!$C$15),"EST_CARRY_BWD","SEM_DADO")))))</f>
        <v>OBS</v>
      </c>
      <c r="S35" s="20" t="str">
        <f>IF('03_Base_Indice'!$D35="","",IF('03_Base_Indice'!S35&lt;&gt;"","OBS",IF(AND(Aux!J35&lt;&gt;"",Aux!V35&lt;&gt;"",(N(Aux!V35)-N(Aux!J35)-1)&lt;='01_Criterios'!$C$13),"EST_INTERP",IF(AND(Aux!J35&lt;&gt;"",(9-N(Aux!J35))&lt;='01_Criterios'!$C$14),"EST_CARRY_FWD",IF(AND(Aux!V35&lt;&gt;"",(N(Aux!V35)-9)&lt;='01_Criterios'!$C$15),"EST_CARRY_BWD","SEM_DADO")))))</f>
        <v>OBS</v>
      </c>
      <c r="T35" s="20" t="str">
        <f>IF('03_Base_Indice'!$D35="","",IF('03_Base_Indice'!T35&lt;&gt;"","OBS",IF(AND(Aux!K35&lt;&gt;"",Aux!W35&lt;&gt;"",(N(Aux!W35)-N(Aux!K35)-1)&lt;='01_Criterios'!$C$13),"EST_INTERP",IF(AND(Aux!K35&lt;&gt;"",(10-N(Aux!K35))&lt;='01_Criterios'!$C$14),"EST_CARRY_FWD",IF(AND(Aux!W35&lt;&gt;"",(N(Aux!W35)-10)&lt;='01_Criterios'!$C$15),"EST_CARRY_BWD","SEM_DADO")))))</f>
        <v>OBS</v>
      </c>
      <c r="U35" s="20" t="str">
        <f>IF('03_Base_Indice'!$D35="","",IF('03_Base_Indice'!U35&lt;&gt;"","OBS",IF(AND(Aux!L35&lt;&gt;"",Aux!X35&lt;&gt;"",(N(Aux!X35)-N(Aux!L35)-1)&lt;='01_Criterios'!$C$13),"EST_INTERP",IF(AND(Aux!L35&lt;&gt;"",(11-N(Aux!L35))&lt;='01_Criterios'!$C$14),"EST_CARRY_FWD",IF(AND(Aux!X35&lt;&gt;"",(N(Aux!X35)-11)&lt;='01_Criterios'!$C$15),"EST_CARRY_BWD","SEM_DADO")))))</f>
        <v>OBS</v>
      </c>
      <c r="V35" s="20">
        <f>IF($D35="","",COUNTIF(K35:U35,"OBS"))</f>
        <v>11</v>
      </c>
      <c r="W35" s="20">
        <f>IF($D35="","",COUNTIF(K35:U35,"EST_*"))</f>
        <v>0</v>
      </c>
      <c r="X35" s="20">
        <f>IF($D35="","",COUNTIF(K35:U35,"SEM_DADO"))</f>
        <v>0</v>
      </c>
      <c r="Y35" s="20" t="str">
        <f>IF($D35="","",(V35+W35)&amp;"/11")</f>
        <v>11/11</v>
      </c>
    </row>
    <row r="36" spans="1:25">
      <c r="A36" s="6" t="str">
        <f>IF('03_Base_Indice'!$A36="","",'03_Base_Indice'!$A36)</f>
        <v>4. Inclusão Social e Protecção</v>
      </c>
      <c r="B36" s="6">
        <f>'03_Base_Indice'!$B36</f>
        <v>2</v>
      </c>
      <c r="D36" s="6" t="str">
        <f>IF('03_Base_Indice'!$D36="","",'03_Base_Indice'!$D36)</f>
        <v>INC04</v>
      </c>
      <c r="E36" s="6" t="str">
        <f>IF('03_Base_Indice'!$E36="","",'03_Base_Indice'!$E36)</f>
        <v>Global Gender Gap Index</v>
      </c>
      <c r="K36" s="20" t="str">
        <f>IF('03_Base_Indice'!$D36="","",IF('03_Base_Indice'!K36&lt;&gt;"","OBS",IF(AND(Aux!B36&lt;&gt;"",Aux!N36&lt;&gt;"",(N(Aux!N36)-N(Aux!B36)-1)&lt;='01_Criterios'!$C$13),"EST_INTERP",IF(AND(Aux!B36&lt;&gt;"",(1-N(Aux!B36))&lt;='01_Criterios'!$C$14),"EST_CARRY_FWD",IF(AND(Aux!N36&lt;&gt;"",(N(Aux!N36)-1)&lt;='01_Criterios'!$C$15),"EST_CARRY_BWD","SEM_DADO")))))</f>
        <v>OBS</v>
      </c>
      <c r="L36" s="20" t="str">
        <f>IF('03_Base_Indice'!$D36="","",IF('03_Base_Indice'!L36&lt;&gt;"","OBS",IF(AND(Aux!C36&lt;&gt;"",Aux!O36&lt;&gt;"",(N(Aux!O36)-N(Aux!C36)-1)&lt;='01_Criterios'!$C$13),"EST_INTERP",IF(AND(Aux!C36&lt;&gt;"",(2-N(Aux!C36))&lt;='01_Criterios'!$C$14),"EST_CARRY_FWD",IF(AND(Aux!O36&lt;&gt;"",(N(Aux!O36)-2)&lt;='01_Criterios'!$C$15),"EST_CARRY_BWD","SEM_DADO")))))</f>
        <v>OBS</v>
      </c>
      <c r="M36" s="20" t="str">
        <f>IF('03_Base_Indice'!$D36="","",IF('03_Base_Indice'!M36&lt;&gt;"","OBS",IF(AND(Aux!D36&lt;&gt;"",Aux!P36&lt;&gt;"",(N(Aux!P36)-N(Aux!D36)-1)&lt;='01_Criterios'!$C$13),"EST_INTERP",IF(AND(Aux!D36&lt;&gt;"",(3-N(Aux!D36))&lt;='01_Criterios'!$C$14),"EST_CARRY_FWD",IF(AND(Aux!P36&lt;&gt;"",(N(Aux!P36)-3)&lt;='01_Criterios'!$C$15),"EST_CARRY_BWD","SEM_DADO")))))</f>
        <v>OBS</v>
      </c>
      <c r="N36" s="20" t="str">
        <f>IF('03_Base_Indice'!$D36="","",IF('03_Base_Indice'!N36&lt;&gt;"","OBS",IF(AND(Aux!E36&lt;&gt;"",Aux!Q36&lt;&gt;"",(N(Aux!Q36)-N(Aux!E36)-1)&lt;='01_Criterios'!$C$13),"EST_INTERP",IF(AND(Aux!E36&lt;&gt;"",(4-N(Aux!E36))&lt;='01_Criterios'!$C$14),"EST_CARRY_FWD",IF(AND(Aux!Q36&lt;&gt;"",(N(Aux!Q36)-4)&lt;='01_Criterios'!$C$15),"EST_CARRY_BWD","SEM_DADO")))))</f>
        <v>OBS</v>
      </c>
      <c r="O36" s="20" t="str">
        <f>IF('03_Base_Indice'!$D36="","",IF('03_Base_Indice'!O36&lt;&gt;"","OBS",IF(AND(Aux!F36&lt;&gt;"",Aux!R36&lt;&gt;"",(N(Aux!R36)-N(Aux!F36)-1)&lt;='01_Criterios'!$C$13),"EST_INTERP",IF(AND(Aux!F36&lt;&gt;"",(5-N(Aux!F36))&lt;='01_Criterios'!$C$14),"EST_CARRY_FWD",IF(AND(Aux!R36&lt;&gt;"",(N(Aux!R36)-5)&lt;='01_Criterios'!$C$15),"EST_CARRY_BWD","SEM_DADO")))))</f>
        <v>EST_INTERP</v>
      </c>
      <c r="P36" s="20" t="str">
        <f>IF('03_Base_Indice'!$D36="","",IF('03_Base_Indice'!P36&lt;&gt;"","OBS",IF(AND(Aux!G36&lt;&gt;"",Aux!S36&lt;&gt;"",(N(Aux!S36)-N(Aux!G36)-1)&lt;='01_Criterios'!$C$13),"EST_INTERP",IF(AND(Aux!G36&lt;&gt;"",(6-N(Aux!G36))&lt;='01_Criterios'!$C$14),"EST_CARRY_FWD",IF(AND(Aux!S36&lt;&gt;"",(N(Aux!S36)-6)&lt;='01_Criterios'!$C$15),"EST_CARRY_BWD","SEM_DADO")))))</f>
        <v>OBS</v>
      </c>
      <c r="Q36" s="20" t="str">
        <f>IF('03_Base_Indice'!$D36="","",IF('03_Base_Indice'!Q36&lt;&gt;"","OBS",IF(AND(Aux!H36&lt;&gt;"",Aux!T36&lt;&gt;"",(N(Aux!T36)-N(Aux!H36)-1)&lt;='01_Criterios'!$C$13),"EST_INTERP",IF(AND(Aux!H36&lt;&gt;"",(7-N(Aux!H36))&lt;='01_Criterios'!$C$14),"EST_CARRY_FWD",IF(AND(Aux!T36&lt;&gt;"",(N(Aux!T36)-7)&lt;='01_Criterios'!$C$15),"EST_CARRY_BWD","SEM_DADO")))))</f>
        <v>OBS</v>
      </c>
      <c r="R36" s="20" t="str">
        <f>IF('03_Base_Indice'!$D36="","",IF('03_Base_Indice'!R36&lt;&gt;"","OBS",IF(AND(Aux!I36&lt;&gt;"",Aux!U36&lt;&gt;"",(N(Aux!U36)-N(Aux!I36)-1)&lt;='01_Criterios'!$C$13),"EST_INTERP",IF(AND(Aux!I36&lt;&gt;"",(8-N(Aux!I36))&lt;='01_Criterios'!$C$14),"EST_CARRY_FWD",IF(AND(Aux!U36&lt;&gt;"",(N(Aux!U36)-8)&lt;='01_Criterios'!$C$15),"EST_CARRY_BWD","SEM_DADO")))))</f>
        <v>OBS</v>
      </c>
      <c r="S36" s="20" t="str">
        <f>IF('03_Base_Indice'!$D36="","",IF('03_Base_Indice'!S36&lt;&gt;"","OBS",IF(AND(Aux!J36&lt;&gt;"",Aux!V36&lt;&gt;"",(N(Aux!V36)-N(Aux!J36)-1)&lt;='01_Criterios'!$C$13),"EST_INTERP",IF(AND(Aux!J36&lt;&gt;"",(9-N(Aux!J36))&lt;='01_Criterios'!$C$14),"EST_CARRY_FWD",IF(AND(Aux!V36&lt;&gt;"",(N(Aux!V36)-9)&lt;='01_Criterios'!$C$15),"EST_CARRY_BWD","SEM_DADO")))))</f>
        <v>OBS</v>
      </c>
      <c r="T36" s="20" t="str">
        <f>IF('03_Base_Indice'!$D36="","",IF('03_Base_Indice'!T36&lt;&gt;"","OBS",IF(AND(Aux!K36&lt;&gt;"",Aux!W36&lt;&gt;"",(N(Aux!W36)-N(Aux!K36)-1)&lt;='01_Criterios'!$C$13),"EST_INTERP",IF(AND(Aux!K36&lt;&gt;"",(10-N(Aux!K36))&lt;='01_Criterios'!$C$14),"EST_CARRY_FWD",IF(AND(Aux!W36&lt;&gt;"",(N(Aux!W36)-10)&lt;='01_Criterios'!$C$15),"EST_CARRY_BWD","SEM_DADO")))))</f>
        <v>OBS</v>
      </c>
      <c r="U36" s="20" t="str">
        <f>IF('03_Base_Indice'!$D36="","",IF('03_Base_Indice'!U36&lt;&gt;"","OBS",IF(AND(Aux!L36&lt;&gt;"",Aux!X36&lt;&gt;"",(N(Aux!X36)-N(Aux!L36)-1)&lt;='01_Criterios'!$C$13),"EST_INTERP",IF(AND(Aux!L36&lt;&gt;"",(11-N(Aux!L36))&lt;='01_Criterios'!$C$14),"EST_CARRY_FWD",IF(AND(Aux!X36&lt;&gt;"",(N(Aux!X36)-11)&lt;='01_Criterios'!$C$15),"EST_CARRY_BWD","SEM_DADO")))))</f>
        <v>OBS</v>
      </c>
      <c r="V36" s="20">
        <f>IF($D36="","",COUNTIF(K36:U36,"OBS"))</f>
        <v>10</v>
      </c>
      <c r="W36" s="20">
        <f>IF($D36="","",COUNTIF(K36:U36,"EST_*"))</f>
        <v>1</v>
      </c>
      <c r="X36" s="20">
        <f>IF($D36="","",COUNTIF(K36:U36,"SEM_DADO"))</f>
        <v>0</v>
      </c>
      <c r="Y36" s="20" t="str">
        <f>IF($D36="","",(V36+W36)&amp;"/11")</f>
        <v>11/11</v>
      </c>
    </row>
    <row r="37" spans="1:25">
      <c r="A37" s="6" t="str">
        <f>IF('03_Base_Indice'!$A37="","",'03_Base_Indice'!$A37)</f>
        <v>4. Inclusão Social e Protecção</v>
      </c>
      <c r="B37" s="6">
        <f>'03_Base_Indice'!$B37</f>
        <v>3</v>
      </c>
      <c r="D37" s="6" t="str">
        <f>IF('03_Base_Indice'!$D37="","",'03_Base_Indice'!$D37)</f>
        <v>INC06</v>
      </c>
      <c r="E37" s="6" t="str">
        <f>IF('03_Base_Indice'!$E37="","",'03_Base_Indice'!$E37)</f>
        <v>Mulheres no parlamento</v>
      </c>
      <c r="K37" s="20" t="str">
        <f>IF('03_Base_Indice'!$D37="","",IF('03_Base_Indice'!K37&lt;&gt;"","OBS",IF(AND(Aux!B37&lt;&gt;"",Aux!N37&lt;&gt;"",(N(Aux!N37)-N(Aux!B37)-1)&lt;='01_Criterios'!$C$13),"EST_INTERP",IF(AND(Aux!B37&lt;&gt;"",(1-N(Aux!B37))&lt;='01_Criterios'!$C$14),"EST_CARRY_FWD",IF(AND(Aux!N37&lt;&gt;"",(N(Aux!N37)-1)&lt;='01_Criterios'!$C$15),"EST_CARRY_BWD","SEM_DADO")))))</f>
        <v>OBS</v>
      </c>
      <c r="L37" s="20" t="str">
        <f>IF('03_Base_Indice'!$D37="","",IF('03_Base_Indice'!L37&lt;&gt;"","OBS",IF(AND(Aux!C37&lt;&gt;"",Aux!O37&lt;&gt;"",(N(Aux!O37)-N(Aux!C37)-1)&lt;='01_Criterios'!$C$13),"EST_INTERP",IF(AND(Aux!C37&lt;&gt;"",(2-N(Aux!C37))&lt;='01_Criterios'!$C$14),"EST_CARRY_FWD",IF(AND(Aux!O37&lt;&gt;"",(N(Aux!O37)-2)&lt;='01_Criterios'!$C$15),"EST_CARRY_BWD","SEM_DADO")))))</f>
        <v>OBS</v>
      </c>
      <c r="M37" s="20" t="str">
        <f>IF('03_Base_Indice'!$D37="","",IF('03_Base_Indice'!M37&lt;&gt;"","OBS",IF(AND(Aux!D37&lt;&gt;"",Aux!P37&lt;&gt;"",(N(Aux!P37)-N(Aux!D37)-1)&lt;='01_Criterios'!$C$13),"EST_INTERP",IF(AND(Aux!D37&lt;&gt;"",(3-N(Aux!D37))&lt;='01_Criterios'!$C$14),"EST_CARRY_FWD",IF(AND(Aux!P37&lt;&gt;"",(N(Aux!P37)-3)&lt;='01_Criterios'!$C$15),"EST_CARRY_BWD","SEM_DADO")))))</f>
        <v>OBS</v>
      </c>
      <c r="N37" s="20" t="str">
        <f>IF('03_Base_Indice'!$D37="","",IF('03_Base_Indice'!N37&lt;&gt;"","OBS",IF(AND(Aux!E37&lt;&gt;"",Aux!Q37&lt;&gt;"",(N(Aux!Q37)-N(Aux!E37)-1)&lt;='01_Criterios'!$C$13),"EST_INTERP",IF(AND(Aux!E37&lt;&gt;"",(4-N(Aux!E37))&lt;='01_Criterios'!$C$14),"EST_CARRY_FWD",IF(AND(Aux!Q37&lt;&gt;"",(N(Aux!Q37)-4)&lt;='01_Criterios'!$C$15),"EST_CARRY_BWD","SEM_DADO")))))</f>
        <v>OBS</v>
      </c>
      <c r="O37" s="20" t="str">
        <f>IF('03_Base_Indice'!$D37="","",IF('03_Base_Indice'!O37&lt;&gt;"","OBS",IF(AND(Aux!F37&lt;&gt;"",Aux!R37&lt;&gt;"",(N(Aux!R37)-N(Aux!F37)-1)&lt;='01_Criterios'!$C$13),"EST_INTERP",IF(AND(Aux!F37&lt;&gt;"",(5-N(Aux!F37))&lt;='01_Criterios'!$C$14),"EST_CARRY_FWD",IF(AND(Aux!R37&lt;&gt;"",(N(Aux!R37)-5)&lt;='01_Criterios'!$C$15),"EST_CARRY_BWD","SEM_DADO")))))</f>
        <v>OBS</v>
      </c>
      <c r="P37" s="20" t="str">
        <f>IF('03_Base_Indice'!$D37="","",IF('03_Base_Indice'!P37&lt;&gt;"","OBS",IF(AND(Aux!G37&lt;&gt;"",Aux!S37&lt;&gt;"",(N(Aux!S37)-N(Aux!G37)-1)&lt;='01_Criterios'!$C$13),"EST_INTERP",IF(AND(Aux!G37&lt;&gt;"",(6-N(Aux!G37))&lt;='01_Criterios'!$C$14),"EST_CARRY_FWD",IF(AND(Aux!S37&lt;&gt;"",(N(Aux!S37)-6)&lt;='01_Criterios'!$C$15),"EST_CARRY_BWD","SEM_DADO")))))</f>
        <v>OBS</v>
      </c>
      <c r="Q37" s="20" t="str">
        <f>IF('03_Base_Indice'!$D37="","",IF('03_Base_Indice'!Q37&lt;&gt;"","OBS",IF(AND(Aux!H37&lt;&gt;"",Aux!T37&lt;&gt;"",(N(Aux!T37)-N(Aux!H37)-1)&lt;='01_Criterios'!$C$13),"EST_INTERP",IF(AND(Aux!H37&lt;&gt;"",(7-N(Aux!H37))&lt;='01_Criterios'!$C$14),"EST_CARRY_FWD",IF(AND(Aux!T37&lt;&gt;"",(N(Aux!T37)-7)&lt;='01_Criterios'!$C$15),"EST_CARRY_BWD","SEM_DADO")))))</f>
        <v>OBS</v>
      </c>
      <c r="R37" s="20" t="str">
        <f>IF('03_Base_Indice'!$D37="","",IF('03_Base_Indice'!R37&lt;&gt;"","OBS",IF(AND(Aux!I37&lt;&gt;"",Aux!U37&lt;&gt;"",(N(Aux!U37)-N(Aux!I37)-1)&lt;='01_Criterios'!$C$13),"EST_INTERP",IF(AND(Aux!I37&lt;&gt;"",(8-N(Aux!I37))&lt;='01_Criterios'!$C$14),"EST_CARRY_FWD",IF(AND(Aux!U37&lt;&gt;"",(N(Aux!U37)-8)&lt;='01_Criterios'!$C$15),"EST_CARRY_BWD","SEM_DADO")))))</f>
        <v>OBS</v>
      </c>
      <c r="S37" s="20" t="str">
        <f>IF('03_Base_Indice'!$D37="","",IF('03_Base_Indice'!S37&lt;&gt;"","OBS",IF(AND(Aux!J37&lt;&gt;"",Aux!V37&lt;&gt;"",(N(Aux!V37)-N(Aux!J37)-1)&lt;='01_Criterios'!$C$13),"EST_INTERP",IF(AND(Aux!J37&lt;&gt;"",(9-N(Aux!J37))&lt;='01_Criterios'!$C$14),"EST_CARRY_FWD",IF(AND(Aux!V37&lt;&gt;"",(N(Aux!V37)-9)&lt;='01_Criterios'!$C$15),"EST_CARRY_BWD","SEM_DADO")))))</f>
        <v>OBS</v>
      </c>
      <c r="T37" s="20" t="str">
        <f>IF('03_Base_Indice'!$D37="","",IF('03_Base_Indice'!T37&lt;&gt;"","OBS",IF(AND(Aux!K37&lt;&gt;"",Aux!W37&lt;&gt;"",(N(Aux!W37)-N(Aux!K37)-1)&lt;='01_Criterios'!$C$13),"EST_INTERP",IF(AND(Aux!K37&lt;&gt;"",(10-N(Aux!K37))&lt;='01_Criterios'!$C$14),"EST_CARRY_FWD",IF(AND(Aux!W37&lt;&gt;"",(N(Aux!W37)-10)&lt;='01_Criterios'!$C$15),"EST_CARRY_BWD","SEM_DADO")))))</f>
        <v>OBS</v>
      </c>
      <c r="U37" s="20" t="str">
        <f>IF('03_Base_Indice'!$D37="","",IF('03_Base_Indice'!U37&lt;&gt;"","OBS",IF(AND(Aux!L37&lt;&gt;"",Aux!X37&lt;&gt;"",(N(Aux!X37)-N(Aux!L37)-1)&lt;='01_Criterios'!$C$13),"EST_INTERP",IF(AND(Aux!L37&lt;&gt;"",(11-N(Aux!L37))&lt;='01_Criterios'!$C$14),"EST_CARRY_FWD",IF(AND(Aux!X37&lt;&gt;"",(N(Aux!X37)-11)&lt;='01_Criterios'!$C$15),"EST_CARRY_BWD","SEM_DADO")))))</f>
        <v>OBS</v>
      </c>
      <c r="V37" s="20">
        <f>IF($D37="","",COUNTIF(K37:U37,"OBS"))</f>
        <v>11</v>
      </c>
      <c r="W37" s="20">
        <f>IF($D37="","",COUNTIF(K37:U37,"EST_*"))</f>
        <v>0</v>
      </c>
      <c r="X37" s="20">
        <f>IF($D37="","",COUNTIF(K37:U37,"SEM_DADO"))</f>
        <v>0</v>
      </c>
      <c r="Y37" s="20" t="str">
        <f>IF($D37="","",(V37+W37)&amp;"/11")</f>
        <v>11/11</v>
      </c>
    </row>
    <row r="38" spans="1:25">
      <c r="A38" s="6" t="str">
        <f>IF('03_Base_Indice'!$A38="","",'03_Base_Indice'!$A38)</f>
        <v>4. Inclusão Social e Protecção</v>
      </c>
      <c r="B38" s="6">
        <f>'03_Base_Indice'!$B38</f>
        <v>4</v>
      </c>
      <c r="D38" s="6" t="str">
        <f>IF('03_Base_Indice'!$D38="","",'03_Base_Indice'!$D38)</f>
        <v/>
      </c>
      <c r="E38" s="6" t="str">
        <f>IF('03_Base_Indice'!$E38="","",'03_Base_Indice'!$E38)</f>
        <v/>
      </c>
      <c r="K38" s="20" t="str">
        <f>IF('03_Base_Indice'!$D38="","",IF('03_Base_Indice'!K38&lt;&gt;"","OBS",IF(AND(Aux!B38&lt;&gt;"",Aux!N38&lt;&gt;"",(N(Aux!N38)-N(Aux!B38)-1)&lt;='01_Criterios'!$C$13),"EST_INTERP",IF(AND(Aux!B38&lt;&gt;"",(1-N(Aux!B38))&lt;='01_Criterios'!$C$14),"EST_CARRY_FWD",IF(AND(Aux!N38&lt;&gt;"",(N(Aux!N38)-1)&lt;='01_Criterios'!$C$15),"EST_CARRY_BWD","SEM_DADO")))))</f>
        <v/>
      </c>
      <c r="L38" s="20" t="str">
        <f>IF('03_Base_Indice'!$D38="","",IF('03_Base_Indice'!L38&lt;&gt;"","OBS",IF(AND(Aux!C38&lt;&gt;"",Aux!O38&lt;&gt;"",(N(Aux!O38)-N(Aux!C38)-1)&lt;='01_Criterios'!$C$13),"EST_INTERP",IF(AND(Aux!C38&lt;&gt;"",(2-N(Aux!C38))&lt;='01_Criterios'!$C$14),"EST_CARRY_FWD",IF(AND(Aux!O38&lt;&gt;"",(N(Aux!O38)-2)&lt;='01_Criterios'!$C$15),"EST_CARRY_BWD","SEM_DADO")))))</f>
        <v/>
      </c>
      <c r="M38" s="20" t="str">
        <f>IF('03_Base_Indice'!$D38="","",IF('03_Base_Indice'!M38&lt;&gt;"","OBS",IF(AND(Aux!D38&lt;&gt;"",Aux!P38&lt;&gt;"",(N(Aux!P38)-N(Aux!D38)-1)&lt;='01_Criterios'!$C$13),"EST_INTERP",IF(AND(Aux!D38&lt;&gt;"",(3-N(Aux!D38))&lt;='01_Criterios'!$C$14),"EST_CARRY_FWD",IF(AND(Aux!P38&lt;&gt;"",(N(Aux!P38)-3)&lt;='01_Criterios'!$C$15),"EST_CARRY_BWD","SEM_DADO")))))</f>
        <v/>
      </c>
      <c r="N38" s="20" t="str">
        <f>IF('03_Base_Indice'!$D38="","",IF('03_Base_Indice'!N38&lt;&gt;"","OBS",IF(AND(Aux!E38&lt;&gt;"",Aux!Q38&lt;&gt;"",(N(Aux!Q38)-N(Aux!E38)-1)&lt;='01_Criterios'!$C$13),"EST_INTERP",IF(AND(Aux!E38&lt;&gt;"",(4-N(Aux!E38))&lt;='01_Criterios'!$C$14),"EST_CARRY_FWD",IF(AND(Aux!Q38&lt;&gt;"",(N(Aux!Q38)-4)&lt;='01_Criterios'!$C$15),"EST_CARRY_BWD","SEM_DADO")))))</f>
        <v/>
      </c>
      <c r="O38" s="20" t="str">
        <f>IF('03_Base_Indice'!$D38="","",IF('03_Base_Indice'!O38&lt;&gt;"","OBS",IF(AND(Aux!F38&lt;&gt;"",Aux!R38&lt;&gt;"",(N(Aux!R38)-N(Aux!F38)-1)&lt;='01_Criterios'!$C$13),"EST_INTERP",IF(AND(Aux!F38&lt;&gt;"",(5-N(Aux!F38))&lt;='01_Criterios'!$C$14),"EST_CARRY_FWD",IF(AND(Aux!R38&lt;&gt;"",(N(Aux!R38)-5)&lt;='01_Criterios'!$C$15),"EST_CARRY_BWD","SEM_DADO")))))</f>
        <v/>
      </c>
      <c r="P38" s="20" t="str">
        <f>IF('03_Base_Indice'!$D38="","",IF('03_Base_Indice'!P38&lt;&gt;"","OBS",IF(AND(Aux!G38&lt;&gt;"",Aux!S38&lt;&gt;"",(N(Aux!S38)-N(Aux!G38)-1)&lt;='01_Criterios'!$C$13),"EST_INTERP",IF(AND(Aux!G38&lt;&gt;"",(6-N(Aux!G38))&lt;='01_Criterios'!$C$14),"EST_CARRY_FWD",IF(AND(Aux!S38&lt;&gt;"",(N(Aux!S38)-6)&lt;='01_Criterios'!$C$15),"EST_CARRY_BWD","SEM_DADO")))))</f>
        <v/>
      </c>
      <c r="Q38" s="20" t="str">
        <f>IF('03_Base_Indice'!$D38="","",IF('03_Base_Indice'!Q38&lt;&gt;"","OBS",IF(AND(Aux!H38&lt;&gt;"",Aux!T38&lt;&gt;"",(N(Aux!T38)-N(Aux!H38)-1)&lt;='01_Criterios'!$C$13),"EST_INTERP",IF(AND(Aux!H38&lt;&gt;"",(7-N(Aux!H38))&lt;='01_Criterios'!$C$14),"EST_CARRY_FWD",IF(AND(Aux!T38&lt;&gt;"",(N(Aux!T38)-7)&lt;='01_Criterios'!$C$15),"EST_CARRY_BWD","SEM_DADO")))))</f>
        <v/>
      </c>
      <c r="R38" s="20" t="str">
        <f>IF('03_Base_Indice'!$D38="","",IF('03_Base_Indice'!R38&lt;&gt;"","OBS",IF(AND(Aux!I38&lt;&gt;"",Aux!U38&lt;&gt;"",(N(Aux!U38)-N(Aux!I38)-1)&lt;='01_Criterios'!$C$13),"EST_INTERP",IF(AND(Aux!I38&lt;&gt;"",(8-N(Aux!I38))&lt;='01_Criterios'!$C$14),"EST_CARRY_FWD",IF(AND(Aux!U38&lt;&gt;"",(N(Aux!U38)-8)&lt;='01_Criterios'!$C$15),"EST_CARRY_BWD","SEM_DADO")))))</f>
        <v/>
      </c>
      <c r="S38" s="20" t="str">
        <f>IF('03_Base_Indice'!$D38="","",IF('03_Base_Indice'!S38&lt;&gt;"","OBS",IF(AND(Aux!J38&lt;&gt;"",Aux!V38&lt;&gt;"",(N(Aux!V38)-N(Aux!J38)-1)&lt;='01_Criterios'!$C$13),"EST_INTERP",IF(AND(Aux!J38&lt;&gt;"",(9-N(Aux!J38))&lt;='01_Criterios'!$C$14),"EST_CARRY_FWD",IF(AND(Aux!V38&lt;&gt;"",(N(Aux!V38)-9)&lt;='01_Criterios'!$C$15),"EST_CARRY_BWD","SEM_DADO")))))</f>
        <v/>
      </c>
      <c r="T38" s="20" t="str">
        <f>IF('03_Base_Indice'!$D38="","",IF('03_Base_Indice'!T38&lt;&gt;"","OBS",IF(AND(Aux!K38&lt;&gt;"",Aux!W38&lt;&gt;"",(N(Aux!W38)-N(Aux!K38)-1)&lt;='01_Criterios'!$C$13),"EST_INTERP",IF(AND(Aux!K38&lt;&gt;"",(10-N(Aux!K38))&lt;='01_Criterios'!$C$14),"EST_CARRY_FWD",IF(AND(Aux!W38&lt;&gt;"",(N(Aux!W38)-10)&lt;='01_Criterios'!$C$15),"EST_CARRY_BWD","SEM_DADO")))))</f>
        <v/>
      </c>
      <c r="U38" s="20" t="str">
        <f>IF('03_Base_Indice'!$D38="","",IF('03_Base_Indice'!U38&lt;&gt;"","OBS",IF(AND(Aux!L38&lt;&gt;"",Aux!X38&lt;&gt;"",(N(Aux!X38)-N(Aux!L38)-1)&lt;='01_Criterios'!$C$13),"EST_INTERP",IF(AND(Aux!L38&lt;&gt;"",(11-N(Aux!L38))&lt;='01_Criterios'!$C$14),"EST_CARRY_FWD",IF(AND(Aux!X38&lt;&gt;"",(N(Aux!X38)-11)&lt;='01_Criterios'!$C$15),"EST_CARRY_BWD","SEM_DADO")))))</f>
        <v/>
      </c>
      <c r="V38" s="20" t="str">
        <f>IF($D38="","",COUNTIF(K38:U38,"OBS"))</f>
        <v/>
      </c>
      <c r="W38" s="20" t="str">
        <f>IF($D38="","",COUNTIF(K38:U38,"EST_*"))</f>
        <v/>
      </c>
      <c r="X38" s="20" t="str">
        <f>IF($D38="","",COUNTIF(K38:U38,"SEM_DADO"))</f>
        <v/>
      </c>
      <c r="Y38" s="20" t="str">
        <f>IF($D38="","",(V38+W38)&amp;"/11")</f>
        <v/>
      </c>
    </row>
    <row r="39" spans="1:25">
      <c r="A39" s="6" t="str">
        <f>IF('03_Base_Indice'!$A39="","",'03_Base_Indice'!$A39)</f>
        <v>4. Inclusão Social e Protecção</v>
      </c>
      <c r="B39" s="6">
        <f>'03_Base_Indice'!$B39</f>
        <v>5</v>
      </c>
      <c r="D39" s="6" t="str">
        <f>IF('03_Base_Indice'!$D39="","",'03_Base_Indice'!$D39)</f>
        <v/>
      </c>
      <c r="E39" s="6" t="str">
        <f>IF('03_Base_Indice'!$E39="","",'03_Base_Indice'!$E39)</f>
        <v/>
      </c>
      <c r="K39" s="20" t="str">
        <f>IF('03_Base_Indice'!$D39="","",IF('03_Base_Indice'!K39&lt;&gt;"","OBS",IF(AND(Aux!B39&lt;&gt;"",Aux!N39&lt;&gt;"",(N(Aux!N39)-N(Aux!B39)-1)&lt;='01_Criterios'!$C$13),"EST_INTERP",IF(AND(Aux!B39&lt;&gt;"",(1-N(Aux!B39))&lt;='01_Criterios'!$C$14),"EST_CARRY_FWD",IF(AND(Aux!N39&lt;&gt;"",(N(Aux!N39)-1)&lt;='01_Criterios'!$C$15),"EST_CARRY_BWD","SEM_DADO")))))</f>
        <v/>
      </c>
      <c r="L39" s="20" t="str">
        <f>IF('03_Base_Indice'!$D39="","",IF('03_Base_Indice'!L39&lt;&gt;"","OBS",IF(AND(Aux!C39&lt;&gt;"",Aux!O39&lt;&gt;"",(N(Aux!O39)-N(Aux!C39)-1)&lt;='01_Criterios'!$C$13),"EST_INTERP",IF(AND(Aux!C39&lt;&gt;"",(2-N(Aux!C39))&lt;='01_Criterios'!$C$14),"EST_CARRY_FWD",IF(AND(Aux!O39&lt;&gt;"",(N(Aux!O39)-2)&lt;='01_Criterios'!$C$15),"EST_CARRY_BWD","SEM_DADO")))))</f>
        <v/>
      </c>
      <c r="M39" s="20" t="str">
        <f>IF('03_Base_Indice'!$D39="","",IF('03_Base_Indice'!M39&lt;&gt;"","OBS",IF(AND(Aux!D39&lt;&gt;"",Aux!P39&lt;&gt;"",(N(Aux!P39)-N(Aux!D39)-1)&lt;='01_Criterios'!$C$13),"EST_INTERP",IF(AND(Aux!D39&lt;&gt;"",(3-N(Aux!D39))&lt;='01_Criterios'!$C$14),"EST_CARRY_FWD",IF(AND(Aux!P39&lt;&gt;"",(N(Aux!P39)-3)&lt;='01_Criterios'!$C$15),"EST_CARRY_BWD","SEM_DADO")))))</f>
        <v/>
      </c>
      <c r="N39" s="20" t="str">
        <f>IF('03_Base_Indice'!$D39="","",IF('03_Base_Indice'!N39&lt;&gt;"","OBS",IF(AND(Aux!E39&lt;&gt;"",Aux!Q39&lt;&gt;"",(N(Aux!Q39)-N(Aux!E39)-1)&lt;='01_Criterios'!$C$13),"EST_INTERP",IF(AND(Aux!E39&lt;&gt;"",(4-N(Aux!E39))&lt;='01_Criterios'!$C$14),"EST_CARRY_FWD",IF(AND(Aux!Q39&lt;&gt;"",(N(Aux!Q39)-4)&lt;='01_Criterios'!$C$15),"EST_CARRY_BWD","SEM_DADO")))))</f>
        <v/>
      </c>
      <c r="O39" s="20" t="str">
        <f>IF('03_Base_Indice'!$D39="","",IF('03_Base_Indice'!O39&lt;&gt;"","OBS",IF(AND(Aux!F39&lt;&gt;"",Aux!R39&lt;&gt;"",(N(Aux!R39)-N(Aux!F39)-1)&lt;='01_Criterios'!$C$13),"EST_INTERP",IF(AND(Aux!F39&lt;&gt;"",(5-N(Aux!F39))&lt;='01_Criterios'!$C$14),"EST_CARRY_FWD",IF(AND(Aux!R39&lt;&gt;"",(N(Aux!R39)-5)&lt;='01_Criterios'!$C$15),"EST_CARRY_BWD","SEM_DADO")))))</f>
        <v/>
      </c>
      <c r="P39" s="20" t="str">
        <f>IF('03_Base_Indice'!$D39="","",IF('03_Base_Indice'!P39&lt;&gt;"","OBS",IF(AND(Aux!G39&lt;&gt;"",Aux!S39&lt;&gt;"",(N(Aux!S39)-N(Aux!G39)-1)&lt;='01_Criterios'!$C$13),"EST_INTERP",IF(AND(Aux!G39&lt;&gt;"",(6-N(Aux!G39))&lt;='01_Criterios'!$C$14),"EST_CARRY_FWD",IF(AND(Aux!S39&lt;&gt;"",(N(Aux!S39)-6)&lt;='01_Criterios'!$C$15),"EST_CARRY_BWD","SEM_DADO")))))</f>
        <v/>
      </c>
      <c r="Q39" s="20" t="str">
        <f>IF('03_Base_Indice'!$D39="","",IF('03_Base_Indice'!Q39&lt;&gt;"","OBS",IF(AND(Aux!H39&lt;&gt;"",Aux!T39&lt;&gt;"",(N(Aux!T39)-N(Aux!H39)-1)&lt;='01_Criterios'!$C$13),"EST_INTERP",IF(AND(Aux!H39&lt;&gt;"",(7-N(Aux!H39))&lt;='01_Criterios'!$C$14),"EST_CARRY_FWD",IF(AND(Aux!T39&lt;&gt;"",(N(Aux!T39)-7)&lt;='01_Criterios'!$C$15),"EST_CARRY_BWD","SEM_DADO")))))</f>
        <v/>
      </c>
      <c r="R39" s="20" t="str">
        <f>IF('03_Base_Indice'!$D39="","",IF('03_Base_Indice'!R39&lt;&gt;"","OBS",IF(AND(Aux!I39&lt;&gt;"",Aux!U39&lt;&gt;"",(N(Aux!U39)-N(Aux!I39)-1)&lt;='01_Criterios'!$C$13),"EST_INTERP",IF(AND(Aux!I39&lt;&gt;"",(8-N(Aux!I39))&lt;='01_Criterios'!$C$14),"EST_CARRY_FWD",IF(AND(Aux!U39&lt;&gt;"",(N(Aux!U39)-8)&lt;='01_Criterios'!$C$15),"EST_CARRY_BWD","SEM_DADO")))))</f>
        <v/>
      </c>
      <c r="S39" s="20" t="str">
        <f>IF('03_Base_Indice'!$D39="","",IF('03_Base_Indice'!S39&lt;&gt;"","OBS",IF(AND(Aux!J39&lt;&gt;"",Aux!V39&lt;&gt;"",(N(Aux!V39)-N(Aux!J39)-1)&lt;='01_Criterios'!$C$13),"EST_INTERP",IF(AND(Aux!J39&lt;&gt;"",(9-N(Aux!J39))&lt;='01_Criterios'!$C$14),"EST_CARRY_FWD",IF(AND(Aux!V39&lt;&gt;"",(N(Aux!V39)-9)&lt;='01_Criterios'!$C$15),"EST_CARRY_BWD","SEM_DADO")))))</f>
        <v/>
      </c>
      <c r="T39" s="20" t="str">
        <f>IF('03_Base_Indice'!$D39="","",IF('03_Base_Indice'!T39&lt;&gt;"","OBS",IF(AND(Aux!K39&lt;&gt;"",Aux!W39&lt;&gt;"",(N(Aux!W39)-N(Aux!K39)-1)&lt;='01_Criterios'!$C$13),"EST_INTERP",IF(AND(Aux!K39&lt;&gt;"",(10-N(Aux!K39))&lt;='01_Criterios'!$C$14),"EST_CARRY_FWD",IF(AND(Aux!W39&lt;&gt;"",(N(Aux!W39)-10)&lt;='01_Criterios'!$C$15),"EST_CARRY_BWD","SEM_DADO")))))</f>
        <v/>
      </c>
      <c r="U39" s="20" t="str">
        <f>IF('03_Base_Indice'!$D39="","",IF('03_Base_Indice'!U39&lt;&gt;"","OBS",IF(AND(Aux!L39&lt;&gt;"",Aux!X39&lt;&gt;"",(N(Aux!X39)-N(Aux!L39)-1)&lt;='01_Criterios'!$C$13),"EST_INTERP",IF(AND(Aux!L39&lt;&gt;"",(11-N(Aux!L39))&lt;='01_Criterios'!$C$14),"EST_CARRY_FWD",IF(AND(Aux!X39&lt;&gt;"",(N(Aux!X39)-11)&lt;='01_Criterios'!$C$15),"EST_CARRY_BWD","SEM_DADO")))))</f>
        <v/>
      </c>
      <c r="V39" s="20" t="str">
        <f>IF($D39="","",COUNTIF(K39:U39,"OBS"))</f>
        <v/>
      </c>
      <c r="W39" s="20" t="str">
        <f>IF($D39="","",COUNTIF(K39:U39,"EST_*"))</f>
        <v/>
      </c>
      <c r="X39" s="20" t="str">
        <f>IF($D39="","",COUNTIF(K39:U39,"SEM_DADO"))</f>
        <v/>
      </c>
      <c r="Y39" s="20" t="str">
        <f>IF($D39="","",(V39+W39)&amp;"/11")</f>
        <v/>
      </c>
    </row>
    <row r="40" spans="1:25">
      <c r="A40" s="6" t="str">
        <f>IF('03_Base_Indice'!$A40="","",'03_Base_Indice'!$A40)</f>
        <v>4. Inclusão Social e Protecção</v>
      </c>
      <c r="B40" s="6">
        <f>'03_Base_Indice'!$B40</f>
        <v>6</v>
      </c>
      <c r="D40" s="6" t="str">
        <f>IF('03_Base_Indice'!$D40="","",'03_Base_Indice'!$D40)</f>
        <v/>
      </c>
      <c r="E40" s="6" t="str">
        <f>IF('03_Base_Indice'!$E40="","",'03_Base_Indice'!$E40)</f>
        <v/>
      </c>
      <c r="K40" s="20" t="str">
        <f>IF('03_Base_Indice'!$D40="","",IF('03_Base_Indice'!K40&lt;&gt;"","OBS",IF(AND(Aux!B40&lt;&gt;"",Aux!N40&lt;&gt;"",(N(Aux!N40)-N(Aux!B40)-1)&lt;='01_Criterios'!$C$13),"EST_INTERP",IF(AND(Aux!B40&lt;&gt;"",(1-N(Aux!B40))&lt;='01_Criterios'!$C$14),"EST_CARRY_FWD",IF(AND(Aux!N40&lt;&gt;"",(N(Aux!N40)-1)&lt;='01_Criterios'!$C$15),"EST_CARRY_BWD","SEM_DADO")))))</f>
        <v/>
      </c>
      <c r="L40" s="20" t="str">
        <f>IF('03_Base_Indice'!$D40="","",IF('03_Base_Indice'!L40&lt;&gt;"","OBS",IF(AND(Aux!C40&lt;&gt;"",Aux!O40&lt;&gt;"",(N(Aux!O40)-N(Aux!C40)-1)&lt;='01_Criterios'!$C$13),"EST_INTERP",IF(AND(Aux!C40&lt;&gt;"",(2-N(Aux!C40))&lt;='01_Criterios'!$C$14),"EST_CARRY_FWD",IF(AND(Aux!O40&lt;&gt;"",(N(Aux!O40)-2)&lt;='01_Criterios'!$C$15),"EST_CARRY_BWD","SEM_DADO")))))</f>
        <v/>
      </c>
      <c r="M40" s="20" t="str">
        <f>IF('03_Base_Indice'!$D40="","",IF('03_Base_Indice'!M40&lt;&gt;"","OBS",IF(AND(Aux!D40&lt;&gt;"",Aux!P40&lt;&gt;"",(N(Aux!P40)-N(Aux!D40)-1)&lt;='01_Criterios'!$C$13),"EST_INTERP",IF(AND(Aux!D40&lt;&gt;"",(3-N(Aux!D40))&lt;='01_Criterios'!$C$14),"EST_CARRY_FWD",IF(AND(Aux!P40&lt;&gt;"",(N(Aux!P40)-3)&lt;='01_Criterios'!$C$15),"EST_CARRY_BWD","SEM_DADO")))))</f>
        <v/>
      </c>
      <c r="N40" s="20" t="str">
        <f>IF('03_Base_Indice'!$D40="","",IF('03_Base_Indice'!N40&lt;&gt;"","OBS",IF(AND(Aux!E40&lt;&gt;"",Aux!Q40&lt;&gt;"",(N(Aux!Q40)-N(Aux!E40)-1)&lt;='01_Criterios'!$C$13),"EST_INTERP",IF(AND(Aux!E40&lt;&gt;"",(4-N(Aux!E40))&lt;='01_Criterios'!$C$14),"EST_CARRY_FWD",IF(AND(Aux!Q40&lt;&gt;"",(N(Aux!Q40)-4)&lt;='01_Criterios'!$C$15),"EST_CARRY_BWD","SEM_DADO")))))</f>
        <v/>
      </c>
      <c r="O40" s="20" t="str">
        <f>IF('03_Base_Indice'!$D40="","",IF('03_Base_Indice'!O40&lt;&gt;"","OBS",IF(AND(Aux!F40&lt;&gt;"",Aux!R40&lt;&gt;"",(N(Aux!R40)-N(Aux!F40)-1)&lt;='01_Criterios'!$C$13),"EST_INTERP",IF(AND(Aux!F40&lt;&gt;"",(5-N(Aux!F40))&lt;='01_Criterios'!$C$14),"EST_CARRY_FWD",IF(AND(Aux!R40&lt;&gt;"",(N(Aux!R40)-5)&lt;='01_Criterios'!$C$15),"EST_CARRY_BWD","SEM_DADO")))))</f>
        <v/>
      </c>
      <c r="P40" s="20" t="str">
        <f>IF('03_Base_Indice'!$D40="","",IF('03_Base_Indice'!P40&lt;&gt;"","OBS",IF(AND(Aux!G40&lt;&gt;"",Aux!S40&lt;&gt;"",(N(Aux!S40)-N(Aux!G40)-1)&lt;='01_Criterios'!$C$13),"EST_INTERP",IF(AND(Aux!G40&lt;&gt;"",(6-N(Aux!G40))&lt;='01_Criterios'!$C$14),"EST_CARRY_FWD",IF(AND(Aux!S40&lt;&gt;"",(N(Aux!S40)-6)&lt;='01_Criterios'!$C$15),"EST_CARRY_BWD","SEM_DADO")))))</f>
        <v/>
      </c>
      <c r="Q40" s="20" t="str">
        <f>IF('03_Base_Indice'!$D40="","",IF('03_Base_Indice'!Q40&lt;&gt;"","OBS",IF(AND(Aux!H40&lt;&gt;"",Aux!T40&lt;&gt;"",(N(Aux!T40)-N(Aux!H40)-1)&lt;='01_Criterios'!$C$13),"EST_INTERP",IF(AND(Aux!H40&lt;&gt;"",(7-N(Aux!H40))&lt;='01_Criterios'!$C$14),"EST_CARRY_FWD",IF(AND(Aux!T40&lt;&gt;"",(N(Aux!T40)-7)&lt;='01_Criterios'!$C$15),"EST_CARRY_BWD","SEM_DADO")))))</f>
        <v/>
      </c>
      <c r="R40" s="20" t="str">
        <f>IF('03_Base_Indice'!$D40="","",IF('03_Base_Indice'!R40&lt;&gt;"","OBS",IF(AND(Aux!I40&lt;&gt;"",Aux!U40&lt;&gt;"",(N(Aux!U40)-N(Aux!I40)-1)&lt;='01_Criterios'!$C$13),"EST_INTERP",IF(AND(Aux!I40&lt;&gt;"",(8-N(Aux!I40))&lt;='01_Criterios'!$C$14),"EST_CARRY_FWD",IF(AND(Aux!U40&lt;&gt;"",(N(Aux!U40)-8)&lt;='01_Criterios'!$C$15),"EST_CARRY_BWD","SEM_DADO")))))</f>
        <v/>
      </c>
      <c r="S40" s="20" t="str">
        <f>IF('03_Base_Indice'!$D40="","",IF('03_Base_Indice'!S40&lt;&gt;"","OBS",IF(AND(Aux!J40&lt;&gt;"",Aux!V40&lt;&gt;"",(N(Aux!V40)-N(Aux!J40)-1)&lt;='01_Criterios'!$C$13),"EST_INTERP",IF(AND(Aux!J40&lt;&gt;"",(9-N(Aux!J40))&lt;='01_Criterios'!$C$14),"EST_CARRY_FWD",IF(AND(Aux!V40&lt;&gt;"",(N(Aux!V40)-9)&lt;='01_Criterios'!$C$15),"EST_CARRY_BWD","SEM_DADO")))))</f>
        <v/>
      </c>
      <c r="T40" s="20" t="str">
        <f>IF('03_Base_Indice'!$D40="","",IF('03_Base_Indice'!T40&lt;&gt;"","OBS",IF(AND(Aux!K40&lt;&gt;"",Aux!W40&lt;&gt;"",(N(Aux!W40)-N(Aux!K40)-1)&lt;='01_Criterios'!$C$13),"EST_INTERP",IF(AND(Aux!K40&lt;&gt;"",(10-N(Aux!K40))&lt;='01_Criterios'!$C$14),"EST_CARRY_FWD",IF(AND(Aux!W40&lt;&gt;"",(N(Aux!W40)-10)&lt;='01_Criterios'!$C$15),"EST_CARRY_BWD","SEM_DADO")))))</f>
        <v/>
      </c>
      <c r="U40" s="20" t="str">
        <f>IF('03_Base_Indice'!$D40="","",IF('03_Base_Indice'!U40&lt;&gt;"","OBS",IF(AND(Aux!L40&lt;&gt;"",Aux!X40&lt;&gt;"",(N(Aux!X40)-N(Aux!L40)-1)&lt;='01_Criterios'!$C$13),"EST_INTERP",IF(AND(Aux!L40&lt;&gt;"",(11-N(Aux!L40))&lt;='01_Criterios'!$C$14),"EST_CARRY_FWD",IF(AND(Aux!X40&lt;&gt;"",(N(Aux!X40)-11)&lt;='01_Criterios'!$C$15),"EST_CARRY_BWD","SEM_DADO")))))</f>
        <v/>
      </c>
      <c r="V40" s="20" t="str">
        <f>IF($D40="","",COUNTIF(K40:U40,"OBS"))</f>
        <v/>
      </c>
      <c r="W40" s="20" t="str">
        <f>IF($D40="","",COUNTIF(K40:U40,"EST_*"))</f>
        <v/>
      </c>
      <c r="X40" s="20" t="str">
        <f>IF($D40="","",COUNTIF(K40:U40,"SEM_DADO"))</f>
        <v/>
      </c>
      <c r="Y40" s="20" t="str">
        <f>IF($D40="","",(V40+W40)&amp;"/11")</f>
        <v/>
      </c>
    </row>
    <row r="41" spans="1:25">
      <c r="A41" s="6" t="str">
        <f>IF('03_Base_Indice'!$A41="","",'03_Base_Indice'!$A41)</f>
        <v>4. Inclusão Social e Protecção</v>
      </c>
      <c r="B41" s="6">
        <f>'03_Base_Indice'!$B41</f>
        <v>7</v>
      </c>
      <c r="D41" s="6" t="str">
        <f>IF('03_Base_Indice'!$D41="","",'03_Base_Indice'!$D41)</f>
        <v/>
      </c>
      <c r="E41" s="6" t="str">
        <f>IF('03_Base_Indice'!$E41="","",'03_Base_Indice'!$E41)</f>
        <v/>
      </c>
      <c r="K41" s="20" t="str">
        <f>IF('03_Base_Indice'!$D41="","",IF('03_Base_Indice'!K41&lt;&gt;"","OBS",IF(AND(Aux!B41&lt;&gt;"",Aux!N41&lt;&gt;"",(N(Aux!N41)-N(Aux!B41)-1)&lt;='01_Criterios'!$C$13),"EST_INTERP",IF(AND(Aux!B41&lt;&gt;"",(1-N(Aux!B41))&lt;='01_Criterios'!$C$14),"EST_CARRY_FWD",IF(AND(Aux!N41&lt;&gt;"",(N(Aux!N41)-1)&lt;='01_Criterios'!$C$15),"EST_CARRY_BWD","SEM_DADO")))))</f>
        <v/>
      </c>
      <c r="L41" s="20" t="str">
        <f>IF('03_Base_Indice'!$D41="","",IF('03_Base_Indice'!L41&lt;&gt;"","OBS",IF(AND(Aux!C41&lt;&gt;"",Aux!O41&lt;&gt;"",(N(Aux!O41)-N(Aux!C41)-1)&lt;='01_Criterios'!$C$13),"EST_INTERP",IF(AND(Aux!C41&lt;&gt;"",(2-N(Aux!C41))&lt;='01_Criterios'!$C$14),"EST_CARRY_FWD",IF(AND(Aux!O41&lt;&gt;"",(N(Aux!O41)-2)&lt;='01_Criterios'!$C$15),"EST_CARRY_BWD","SEM_DADO")))))</f>
        <v/>
      </c>
      <c r="M41" s="20" t="str">
        <f>IF('03_Base_Indice'!$D41="","",IF('03_Base_Indice'!M41&lt;&gt;"","OBS",IF(AND(Aux!D41&lt;&gt;"",Aux!P41&lt;&gt;"",(N(Aux!P41)-N(Aux!D41)-1)&lt;='01_Criterios'!$C$13),"EST_INTERP",IF(AND(Aux!D41&lt;&gt;"",(3-N(Aux!D41))&lt;='01_Criterios'!$C$14),"EST_CARRY_FWD",IF(AND(Aux!P41&lt;&gt;"",(N(Aux!P41)-3)&lt;='01_Criterios'!$C$15),"EST_CARRY_BWD","SEM_DADO")))))</f>
        <v/>
      </c>
      <c r="N41" s="20" t="str">
        <f>IF('03_Base_Indice'!$D41="","",IF('03_Base_Indice'!N41&lt;&gt;"","OBS",IF(AND(Aux!E41&lt;&gt;"",Aux!Q41&lt;&gt;"",(N(Aux!Q41)-N(Aux!E41)-1)&lt;='01_Criterios'!$C$13),"EST_INTERP",IF(AND(Aux!E41&lt;&gt;"",(4-N(Aux!E41))&lt;='01_Criterios'!$C$14),"EST_CARRY_FWD",IF(AND(Aux!Q41&lt;&gt;"",(N(Aux!Q41)-4)&lt;='01_Criterios'!$C$15),"EST_CARRY_BWD","SEM_DADO")))))</f>
        <v/>
      </c>
      <c r="O41" s="20" t="str">
        <f>IF('03_Base_Indice'!$D41="","",IF('03_Base_Indice'!O41&lt;&gt;"","OBS",IF(AND(Aux!F41&lt;&gt;"",Aux!R41&lt;&gt;"",(N(Aux!R41)-N(Aux!F41)-1)&lt;='01_Criterios'!$C$13),"EST_INTERP",IF(AND(Aux!F41&lt;&gt;"",(5-N(Aux!F41))&lt;='01_Criterios'!$C$14),"EST_CARRY_FWD",IF(AND(Aux!R41&lt;&gt;"",(N(Aux!R41)-5)&lt;='01_Criterios'!$C$15),"EST_CARRY_BWD","SEM_DADO")))))</f>
        <v/>
      </c>
      <c r="P41" s="20" t="str">
        <f>IF('03_Base_Indice'!$D41="","",IF('03_Base_Indice'!P41&lt;&gt;"","OBS",IF(AND(Aux!G41&lt;&gt;"",Aux!S41&lt;&gt;"",(N(Aux!S41)-N(Aux!G41)-1)&lt;='01_Criterios'!$C$13),"EST_INTERP",IF(AND(Aux!G41&lt;&gt;"",(6-N(Aux!G41))&lt;='01_Criterios'!$C$14),"EST_CARRY_FWD",IF(AND(Aux!S41&lt;&gt;"",(N(Aux!S41)-6)&lt;='01_Criterios'!$C$15),"EST_CARRY_BWD","SEM_DADO")))))</f>
        <v/>
      </c>
      <c r="Q41" s="20" t="str">
        <f>IF('03_Base_Indice'!$D41="","",IF('03_Base_Indice'!Q41&lt;&gt;"","OBS",IF(AND(Aux!H41&lt;&gt;"",Aux!T41&lt;&gt;"",(N(Aux!T41)-N(Aux!H41)-1)&lt;='01_Criterios'!$C$13),"EST_INTERP",IF(AND(Aux!H41&lt;&gt;"",(7-N(Aux!H41))&lt;='01_Criterios'!$C$14),"EST_CARRY_FWD",IF(AND(Aux!T41&lt;&gt;"",(N(Aux!T41)-7)&lt;='01_Criterios'!$C$15),"EST_CARRY_BWD","SEM_DADO")))))</f>
        <v/>
      </c>
      <c r="R41" s="20" t="str">
        <f>IF('03_Base_Indice'!$D41="","",IF('03_Base_Indice'!R41&lt;&gt;"","OBS",IF(AND(Aux!I41&lt;&gt;"",Aux!U41&lt;&gt;"",(N(Aux!U41)-N(Aux!I41)-1)&lt;='01_Criterios'!$C$13),"EST_INTERP",IF(AND(Aux!I41&lt;&gt;"",(8-N(Aux!I41))&lt;='01_Criterios'!$C$14),"EST_CARRY_FWD",IF(AND(Aux!U41&lt;&gt;"",(N(Aux!U41)-8)&lt;='01_Criterios'!$C$15),"EST_CARRY_BWD","SEM_DADO")))))</f>
        <v/>
      </c>
      <c r="S41" s="20" t="str">
        <f>IF('03_Base_Indice'!$D41="","",IF('03_Base_Indice'!S41&lt;&gt;"","OBS",IF(AND(Aux!J41&lt;&gt;"",Aux!V41&lt;&gt;"",(N(Aux!V41)-N(Aux!J41)-1)&lt;='01_Criterios'!$C$13),"EST_INTERP",IF(AND(Aux!J41&lt;&gt;"",(9-N(Aux!J41))&lt;='01_Criterios'!$C$14),"EST_CARRY_FWD",IF(AND(Aux!V41&lt;&gt;"",(N(Aux!V41)-9)&lt;='01_Criterios'!$C$15),"EST_CARRY_BWD","SEM_DADO")))))</f>
        <v/>
      </c>
      <c r="T41" s="20" t="str">
        <f>IF('03_Base_Indice'!$D41="","",IF('03_Base_Indice'!T41&lt;&gt;"","OBS",IF(AND(Aux!K41&lt;&gt;"",Aux!W41&lt;&gt;"",(N(Aux!W41)-N(Aux!K41)-1)&lt;='01_Criterios'!$C$13),"EST_INTERP",IF(AND(Aux!K41&lt;&gt;"",(10-N(Aux!K41))&lt;='01_Criterios'!$C$14),"EST_CARRY_FWD",IF(AND(Aux!W41&lt;&gt;"",(N(Aux!W41)-10)&lt;='01_Criterios'!$C$15),"EST_CARRY_BWD","SEM_DADO")))))</f>
        <v/>
      </c>
      <c r="U41" s="20" t="str">
        <f>IF('03_Base_Indice'!$D41="","",IF('03_Base_Indice'!U41&lt;&gt;"","OBS",IF(AND(Aux!L41&lt;&gt;"",Aux!X41&lt;&gt;"",(N(Aux!X41)-N(Aux!L41)-1)&lt;='01_Criterios'!$C$13),"EST_INTERP",IF(AND(Aux!L41&lt;&gt;"",(11-N(Aux!L41))&lt;='01_Criterios'!$C$14),"EST_CARRY_FWD",IF(AND(Aux!X41&lt;&gt;"",(N(Aux!X41)-11)&lt;='01_Criterios'!$C$15),"EST_CARRY_BWD","SEM_DADO")))))</f>
        <v/>
      </c>
      <c r="V41" s="20" t="str">
        <f>IF($D41="","",COUNTIF(K41:U41,"OBS"))</f>
        <v/>
      </c>
      <c r="W41" s="20" t="str">
        <f>IF($D41="","",COUNTIF(K41:U41,"EST_*"))</f>
        <v/>
      </c>
      <c r="X41" s="20" t="str">
        <f>IF($D41="","",COUNTIF(K41:U41,"SEM_DADO"))</f>
        <v/>
      </c>
      <c r="Y41" s="20" t="str">
        <f>IF($D41="","",(V41+W41)&amp;"/11")</f>
        <v/>
      </c>
    </row>
    <row r="42" spans="1:25">
      <c r="A42" s="6" t="str">
        <f>IF('03_Base_Indice'!$A42="","",'03_Base_Indice'!$A42)</f>
        <v>4. Inclusão Social e Protecção</v>
      </c>
      <c r="B42" s="6">
        <f>'03_Base_Indice'!$B42</f>
        <v>8</v>
      </c>
      <c r="D42" s="6" t="str">
        <f>IF('03_Base_Indice'!$D42="","",'03_Base_Indice'!$D42)</f>
        <v/>
      </c>
      <c r="E42" s="6" t="str">
        <f>IF('03_Base_Indice'!$E42="","",'03_Base_Indice'!$E42)</f>
        <v/>
      </c>
      <c r="K42" s="20" t="str">
        <f>IF('03_Base_Indice'!$D42="","",IF('03_Base_Indice'!K42&lt;&gt;"","OBS",IF(AND(Aux!B42&lt;&gt;"",Aux!N42&lt;&gt;"",(N(Aux!N42)-N(Aux!B42)-1)&lt;='01_Criterios'!$C$13),"EST_INTERP",IF(AND(Aux!B42&lt;&gt;"",(1-N(Aux!B42))&lt;='01_Criterios'!$C$14),"EST_CARRY_FWD",IF(AND(Aux!N42&lt;&gt;"",(N(Aux!N42)-1)&lt;='01_Criterios'!$C$15),"EST_CARRY_BWD","SEM_DADO")))))</f>
        <v/>
      </c>
      <c r="L42" s="20" t="str">
        <f>IF('03_Base_Indice'!$D42="","",IF('03_Base_Indice'!L42&lt;&gt;"","OBS",IF(AND(Aux!C42&lt;&gt;"",Aux!O42&lt;&gt;"",(N(Aux!O42)-N(Aux!C42)-1)&lt;='01_Criterios'!$C$13),"EST_INTERP",IF(AND(Aux!C42&lt;&gt;"",(2-N(Aux!C42))&lt;='01_Criterios'!$C$14),"EST_CARRY_FWD",IF(AND(Aux!O42&lt;&gt;"",(N(Aux!O42)-2)&lt;='01_Criterios'!$C$15),"EST_CARRY_BWD","SEM_DADO")))))</f>
        <v/>
      </c>
      <c r="M42" s="20" t="str">
        <f>IF('03_Base_Indice'!$D42="","",IF('03_Base_Indice'!M42&lt;&gt;"","OBS",IF(AND(Aux!D42&lt;&gt;"",Aux!P42&lt;&gt;"",(N(Aux!P42)-N(Aux!D42)-1)&lt;='01_Criterios'!$C$13),"EST_INTERP",IF(AND(Aux!D42&lt;&gt;"",(3-N(Aux!D42))&lt;='01_Criterios'!$C$14),"EST_CARRY_FWD",IF(AND(Aux!P42&lt;&gt;"",(N(Aux!P42)-3)&lt;='01_Criterios'!$C$15),"EST_CARRY_BWD","SEM_DADO")))))</f>
        <v/>
      </c>
      <c r="N42" s="20" t="str">
        <f>IF('03_Base_Indice'!$D42="","",IF('03_Base_Indice'!N42&lt;&gt;"","OBS",IF(AND(Aux!E42&lt;&gt;"",Aux!Q42&lt;&gt;"",(N(Aux!Q42)-N(Aux!E42)-1)&lt;='01_Criterios'!$C$13),"EST_INTERP",IF(AND(Aux!E42&lt;&gt;"",(4-N(Aux!E42))&lt;='01_Criterios'!$C$14),"EST_CARRY_FWD",IF(AND(Aux!Q42&lt;&gt;"",(N(Aux!Q42)-4)&lt;='01_Criterios'!$C$15),"EST_CARRY_BWD","SEM_DADO")))))</f>
        <v/>
      </c>
      <c r="O42" s="20" t="str">
        <f>IF('03_Base_Indice'!$D42="","",IF('03_Base_Indice'!O42&lt;&gt;"","OBS",IF(AND(Aux!F42&lt;&gt;"",Aux!R42&lt;&gt;"",(N(Aux!R42)-N(Aux!F42)-1)&lt;='01_Criterios'!$C$13),"EST_INTERP",IF(AND(Aux!F42&lt;&gt;"",(5-N(Aux!F42))&lt;='01_Criterios'!$C$14),"EST_CARRY_FWD",IF(AND(Aux!R42&lt;&gt;"",(N(Aux!R42)-5)&lt;='01_Criterios'!$C$15),"EST_CARRY_BWD","SEM_DADO")))))</f>
        <v/>
      </c>
      <c r="P42" s="20" t="str">
        <f>IF('03_Base_Indice'!$D42="","",IF('03_Base_Indice'!P42&lt;&gt;"","OBS",IF(AND(Aux!G42&lt;&gt;"",Aux!S42&lt;&gt;"",(N(Aux!S42)-N(Aux!G42)-1)&lt;='01_Criterios'!$C$13),"EST_INTERP",IF(AND(Aux!G42&lt;&gt;"",(6-N(Aux!G42))&lt;='01_Criterios'!$C$14),"EST_CARRY_FWD",IF(AND(Aux!S42&lt;&gt;"",(N(Aux!S42)-6)&lt;='01_Criterios'!$C$15),"EST_CARRY_BWD","SEM_DADO")))))</f>
        <v/>
      </c>
      <c r="Q42" s="20" t="str">
        <f>IF('03_Base_Indice'!$D42="","",IF('03_Base_Indice'!Q42&lt;&gt;"","OBS",IF(AND(Aux!H42&lt;&gt;"",Aux!T42&lt;&gt;"",(N(Aux!T42)-N(Aux!H42)-1)&lt;='01_Criterios'!$C$13),"EST_INTERP",IF(AND(Aux!H42&lt;&gt;"",(7-N(Aux!H42))&lt;='01_Criterios'!$C$14),"EST_CARRY_FWD",IF(AND(Aux!T42&lt;&gt;"",(N(Aux!T42)-7)&lt;='01_Criterios'!$C$15),"EST_CARRY_BWD","SEM_DADO")))))</f>
        <v/>
      </c>
      <c r="R42" s="20" t="str">
        <f>IF('03_Base_Indice'!$D42="","",IF('03_Base_Indice'!R42&lt;&gt;"","OBS",IF(AND(Aux!I42&lt;&gt;"",Aux!U42&lt;&gt;"",(N(Aux!U42)-N(Aux!I42)-1)&lt;='01_Criterios'!$C$13),"EST_INTERP",IF(AND(Aux!I42&lt;&gt;"",(8-N(Aux!I42))&lt;='01_Criterios'!$C$14),"EST_CARRY_FWD",IF(AND(Aux!U42&lt;&gt;"",(N(Aux!U42)-8)&lt;='01_Criterios'!$C$15),"EST_CARRY_BWD","SEM_DADO")))))</f>
        <v/>
      </c>
      <c r="S42" s="20" t="str">
        <f>IF('03_Base_Indice'!$D42="","",IF('03_Base_Indice'!S42&lt;&gt;"","OBS",IF(AND(Aux!J42&lt;&gt;"",Aux!V42&lt;&gt;"",(N(Aux!V42)-N(Aux!J42)-1)&lt;='01_Criterios'!$C$13),"EST_INTERP",IF(AND(Aux!J42&lt;&gt;"",(9-N(Aux!J42))&lt;='01_Criterios'!$C$14),"EST_CARRY_FWD",IF(AND(Aux!V42&lt;&gt;"",(N(Aux!V42)-9)&lt;='01_Criterios'!$C$15),"EST_CARRY_BWD","SEM_DADO")))))</f>
        <v/>
      </c>
      <c r="T42" s="20" t="str">
        <f>IF('03_Base_Indice'!$D42="","",IF('03_Base_Indice'!T42&lt;&gt;"","OBS",IF(AND(Aux!K42&lt;&gt;"",Aux!W42&lt;&gt;"",(N(Aux!W42)-N(Aux!K42)-1)&lt;='01_Criterios'!$C$13),"EST_INTERP",IF(AND(Aux!K42&lt;&gt;"",(10-N(Aux!K42))&lt;='01_Criterios'!$C$14),"EST_CARRY_FWD",IF(AND(Aux!W42&lt;&gt;"",(N(Aux!W42)-10)&lt;='01_Criterios'!$C$15),"EST_CARRY_BWD","SEM_DADO")))))</f>
        <v/>
      </c>
      <c r="U42" s="20" t="str">
        <f>IF('03_Base_Indice'!$D42="","",IF('03_Base_Indice'!U42&lt;&gt;"","OBS",IF(AND(Aux!L42&lt;&gt;"",Aux!X42&lt;&gt;"",(N(Aux!X42)-N(Aux!L42)-1)&lt;='01_Criterios'!$C$13),"EST_INTERP",IF(AND(Aux!L42&lt;&gt;"",(11-N(Aux!L42))&lt;='01_Criterios'!$C$14),"EST_CARRY_FWD",IF(AND(Aux!X42&lt;&gt;"",(N(Aux!X42)-11)&lt;='01_Criterios'!$C$15),"EST_CARRY_BWD","SEM_DADO")))))</f>
        <v/>
      </c>
      <c r="V42" s="20" t="str">
        <f>IF($D42="","",COUNTIF(K42:U42,"OBS"))</f>
        <v/>
      </c>
      <c r="W42" s="20" t="str">
        <f>IF($D42="","",COUNTIF(K42:U42,"EST_*"))</f>
        <v/>
      </c>
      <c r="X42" s="20" t="str">
        <f>IF($D42="","",COUNTIF(K42:U42,"SEM_DADO"))</f>
        <v/>
      </c>
      <c r="Y42" s="20" t="str">
        <f>IF($D42="","",(V42+W42)&amp;"/11")</f>
        <v/>
      </c>
    </row>
    <row r="43" spans="1:25">
      <c r="A43" s="6" t="str">
        <f>IF('03_Base_Indice'!$A43="","",'03_Base_Indice'!$A43)</f>
        <v>4. Inclusão Social e Protecção</v>
      </c>
      <c r="B43" s="6">
        <f>'03_Base_Indice'!$B43</f>
        <v>9</v>
      </c>
      <c r="D43" s="6" t="str">
        <f>IF('03_Base_Indice'!$D43="","",'03_Base_Indice'!$D43)</f>
        <v/>
      </c>
      <c r="E43" s="6" t="str">
        <f>IF('03_Base_Indice'!$E43="","",'03_Base_Indice'!$E43)</f>
        <v/>
      </c>
      <c r="K43" s="20" t="str">
        <f>IF('03_Base_Indice'!$D43="","",IF('03_Base_Indice'!K43&lt;&gt;"","OBS",IF(AND(Aux!B43&lt;&gt;"",Aux!N43&lt;&gt;"",(N(Aux!N43)-N(Aux!B43)-1)&lt;='01_Criterios'!$C$13),"EST_INTERP",IF(AND(Aux!B43&lt;&gt;"",(1-N(Aux!B43))&lt;='01_Criterios'!$C$14),"EST_CARRY_FWD",IF(AND(Aux!N43&lt;&gt;"",(N(Aux!N43)-1)&lt;='01_Criterios'!$C$15),"EST_CARRY_BWD","SEM_DADO")))))</f>
        <v/>
      </c>
      <c r="L43" s="20" t="str">
        <f>IF('03_Base_Indice'!$D43="","",IF('03_Base_Indice'!L43&lt;&gt;"","OBS",IF(AND(Aux!C43&lt;&gt;"",Aux!O43&lt;&gt;"",(N(Aux!O43)-N(Aux!C43)-1)&lt;='01_Criterios'!$C$13),"EST_INTERP",IF(AND(Aux!C43&lt;&gt;"",(2-N(Aux!C43))&lt;='01_Criterios'!$C$14),"EST_CARRY_FWD",IF(AND(Aux!O43&lt;&gt;"",(N(Aux!O43)-2)&lt;='01_Criterios'!$C$15),"EST_CARRY_BWD","SEM_DADO")))))</f>
        <v/>
      </c>
      <c r="M43" s="20" t="str">
        <f>IF('03_Base_Indice'!$D43="","",IF('03_Base_Indice'!M43&lt;&gt;"","OBS",IF(AND(Aux!D43&lt;&gt;"",Aux!P43&lt;&gt;"",(N(Aux!P43)-N(Aux!D43)-1)&lt;='01_Criterios'!$C$13),"EST_INTERP",IF(AND(Aux!D43&lt;&gt;"",(3-N(Aux!D43))&lt;='01_Criterios'!$C$14),"EST_CARRY_FWD",IF(AND(Aux!P43&lt;&gt;"",(N(Aux!P43)-3)&lt;='01_Criterios'!$C$15),"EST_CARRY_BWD","SEM_DADO")))))</f>
        <v/>
      </c>
      <c r="N43" s="20" t="str">
        <f>IF('03_Base_Indice'!$D43="","",IF('03_Base_Indice'!N43&lt;&gt;"","OBS",IF(AND(Aux!E43&lt;&gt;"",Aux!Q43&lt;&gt;"",(N(Aux!Q43)-N(Aux!E43)-1)&lt;='01_Criterios'!$C$13),"EST_INTERP",IF(AND(Aux!E43&lt;&gt;"",(4-N(Aux!E43))&lt;='01_Criterios'!$C$14),"EST_CARRY_FWD",IF(AND(Aux!Q43&lt;&gt;"",(N(Aux!Q43)-4)&lt;='01_Criterios'!$C$15),"EST_CARRY_BWD","SEM_DADO")))))</f>
        <v/>
      </c>
      <c r="O43" s="20" t="str">
        <f>IF('03_Base_Indice'!$D43="","",IF('03_Base_Indice'!O43&lt;&gt;"","OBS",IF(AND(Aux!F43&lt;&gt;"",Aux!R43&lt;&gt;"",(N(Aux!R43)-N(Aux!F43)-1)&lt;='01_Criterios'!$C$13),"EST_INTERP",IF(AND(Aux!F43&lt;&gt;"",(5-N(Aux!F43))&lt;='01_Criterios'!$C$14),"EST_CARRY_FWD",IF(AND(Aux!R43&lt;&gt;"",(N(Aux!R43)-5)&lt;='01_Criterios'!$C$15),"EST_CARRY_BWD","SEM_DADO")))))</f>
        <v/>
      </c>
      <c r="P43" s="20" t="str">
        <f>IF('03_Base_Indice'!$D43="","",IF('03_Base_Indice'!P43&lt;&gt;"","OBS",IF(AND(Aux!G43&lt;&gt;"",Aux!S43&lt;&gt;"",(N(Aux!S43)-N(Aux!G43)-1)&lt;='01_Criterios'!$C$13),"EST_INTERP",IF(AND(Aux!G43&lt;&gt;"",(6-N(Aux!G43))&lt;='01_Criterios'!$C$14),"EST_CARRY_FWD",IF(AND(Aux!S43&lt;&gt;"",(N(Aux!S43)-6)&lt;='01_Criterios'!$C$15),"EST_CARRY_BWD","SEM_DADO")))))</f>
        <v/>
      </c>
      <c r="Q43" s="20" t="str">
        <f>IF('03_Base_Indice'!$D43="","",IF('03_Base_Indice'!Q43&lt;&gt;"","OBS",IF(AND(Aux!H43&lt;&gt;"",Aux!T43&lt;&gt;"",(N(Aux!T43)-N(Aux!H43)-1)&lt;='01_Criterios'!$C$13),"EST_INTERP",IF(AND(Aux!H43&lt;&gt;"",(7-N(Aux!H43))&lt;='01_Criterios'!$C$14),"EST_CARRY_FWD",IF(AND(Aux!T43&lt;&gt;"",(N(Aux!T43)-7)&lt;='01_Criterios'!$C$15),"EST_CARRY_BWD","SEM_DADO")))))</f>
        <v/>
      </c>
      <c r="R43" s="20" t="str">
        <f>IF('03_Base_Indice'!$D43="","",IF('03_Base_Indice'!R43&lt;&gt;"","OBS",IF(AND(Aux!I43&lt;&gt;"",Aux!U43&lt;&gt;"",(N(Aux!U43)-N(Aux!I43)-1)&lt;='01_Criterios'!$C$13),"EST_INTERP",IF(AND(Aux!I43&lt;&gt;"",(8-N(Aux!I43))&lt;='01_Criterios'!$C$14),"EST_CARRY_FWD",IF(AND(Aux!U43&lt;&gt;"",(N(Aux!U43)-8)&lt;='01_Criterios'!$C$15),"EST_CARRY_BWD","SEM_DADO")))))</f>
        <v/>
      </c>
      <c r="S43" s="20" t="str">
        <f>IF('03_Base_Indice'!$D43="","",IF('03_Base_Indice'!S43&lt;&gt;"","OBS",IF(AND(Aux!J43&lt;&gt;"",Aux!V43&lt;&gt;"",(N(Aux!V43)-N(Aux!J43)-1)&lt;='01_Criterios'!$C$13),"EST_INTERP",IF(AND(Aux!J43&lt;&gt;"",(9-N(Aux!J43))&lt;='01_Criterios'!$C$14),"EST_CARRY_FWD",IF(AND(Aux!V43&lt;&gt;"",(N(Aux!V43)-9)&lt;='01_Criterios'!$C$15),"EST_CARRY_BWD","SEM_DADO")))))</f>
        <v/>
      </c>
      <c r="T43" s="20" t="str">
        <f>IF('03_Base_Indice'!$D43="","",IF('03_Base_Indice'!T43&lt;&gt;"","OBS",IF(AND(Aux!K43&lt;&gt;"",Aux!W43&lt;&gt;"",(N(Aux!W43)-N(Aux!K43)-1)&lt;='01_Criterios'!$C$13),"EST_INTERP",IF(AND(Aux!K43&lt;&gt;"",(10-N(Aux!K43))&lt;='01_Criterios'!$C$14),"EST_CARRY_FWD",IF(AND(Aux!W43&lt;&gt;"",(N(Aux!W43)-10)&lt;='01_Criterios'!$C$15),"EST_CARRY_BWD","SEM_DADO")))))</f>
        <v/>
      </c>
      <c r="U43" s="20" t="str">
        <f>IF('03_Base_Indice'!$D43="","",IF('03_Base_Indice'!U43&lt;&gt;"","OBS",IF(AND(Aux!L43&lt;&gt;"",Aux!X43&lt;&gt;"",(N(Aux!X43)-N(Aux!L43)-1)&lt;='01_Criterios'!$C$13),"EST_INTERP",IF(AND(Aux!L43&lt;&gt;"",(11-N(Aux!L43))&lt;='01_Criterios'!$C$14),"EST_CARRY_FWD",IF(AND(Aux!X43&lt;&gt;"",(N(Aux!X43)-11)&lt;='01_Criterios'!$C$15),"EST_CARRY_BWD","SEM_DADO")))))</f>
        <v/>
      </c>
      <c r="V43" s="20" t="str">
        <f>IF($D43="","",COUNTIF(K43:U43,"OBS"))</f>
        <v/>
      </c>
      <c r="W43" s="20" t="str">
        <f>IF($D43="","",COUNTIF(K43:U43,"EST_*"))</f>
        <v/>
      </c>
      <c r="X43" s="20" t="str">
        <f>IF($D43="","",COUNTIF(K43:U43,"SEM_DADO"))</f>
        <v/>
      </c>
      <c r="Y43" s="20" t="str">
        <f>IF($D43="","",(V43+W43)&amp;"/11")</f>
        <v/>
      </c>
    </row>
    <row r="44" spans="1:25">
      <c r="A44" s="6" t="str">
        <f>IF('03_Base_Indice'!$A44="","",'03_Base_Indice'!$A44)</f>
        <v>4. Inclusão Social e Protecção</v>
      </c>
      <c r="B44" s="6">
        <f>'03_Base_Indice'!$B44</f>
        <v>10</v>
      </c>
      <c r="D44" s="6" t="str">
        <f>IF('03_Base_Indice'!$D44="","",'03_Base_Indice'!$D44)</f>
        <v/>
      </c>
      <c r="E44" s="6" t="str">
        <f>IF('03_Base_Indice'!$E44="","",'03_Base_Indice'!$E44)</f>
        <v/>
      </c>
      <c r="K44" s="20" t="str">
        <f>IF('03_Base_Indice'!$D44="","",IF('03_Base_Indice'!K44&lt;&gt;"","OBS",IF(AND(Aux!B44&lt;&gt;"",Aux!N44&lt;&gt;"",(N(Aux!N44)-N(Aux!B44)-1)&lt;='01_Criterios'!$C$13),"EST_INTERP",IF(AND(Aux!B44&lt;&gt;"",(1-N(Aux!B44))&lt;='01_Criterios'!$C$14),"EST_CARRY_FWD",IF(AND(Aux!N44&lt;&gt;"",(N(Aux!N44)-1)&lt;='01_Criterios'!$C$15),"EST_CARRY_BWD","SEM_DADO")))))</f>
        <v/>
      </c>
      <c r="L44" s="20" t="str">
        <f>IF('03_Base_Indice'!$D44="","",IF('03_Base_Indice'!L44&lt;&gt;"","OBS",IF(AND(Aux!C44&lt;&gt;"",Aux!O44&lt;&gt;"",(N(Aux!O44)-N(Aux!C44)-1)&lt;='01_Criterios'!$C$13),"EST_INTERP",IF(AND(Aux!C44&lt;&gt;"",(2-N(Aux!C44))&lt;='01_Criterios'!$C$14),"EST_CARRY_FWD",IF(AND(Aux!O44&lt;&gt;"",(N(Aux!O44)-2)&lt;='01_Criterios'!$C$15),"EST_CARRY_BWD","SEM_DADO")))))</f>
        <v/>
      </c>
      <c r="M44" s="20" t="str">
        <f>IF('03_Base_Indice'!$D44="","",IF('03_Base_Indice'!M44&lt;&gt;"","OBS",IF(AND(Aux!D44&lt;&gt;"",Aux!P44&lt;&gt;"",(N(Aux!P44)-N(Aux!D44)-1)&lt;='01_Criterios'!$C$13),"EST_INTERP",IF(AND(Aux!D44&lt;&gt;"",(3-N(Aux!D44))&lt;='01_Criterios'!$C$14),"EST_CARRY_FWD",IF(AND(Aux!P44&lt;&gt;"",(N(Aux!P44)-3)&lt;='01_Criterios'!$C$15),"EST_CARRY_BWD","SEM_DADO")))))</f>
        <v/>
      </c>
      <c r="N44" s="20" t="str">
        <f>IF('03_Base_Indice'!$D44="","",IF('03_Base_Indice'!N44&lt;&gt;"","OBS",IF(AND(Aux!E44&lt;&gt;"",Aux!Q44&lt;&gt;"",(N(Aux!Q44)-N(Aux!E44)-1)&lt;='01_Criterios'!$C$13),"EST_INTERP",IF(AND(Aux!E44&lt;&gt;"",(4-N(Aux!E44))&lt;='01_Criterios'!$C$14),"EST_CARRY_FWD",IF(AND(Aux!Q44&lt;&gt;"",(N(Aux!Q44)-4)&lt;='01_Criterios'!$C$15),"EST_CARRY_BWD","SEM_DADO")))))</f>
        <v/>
      </c>
      <c r="O44" s="20" t="str">
        <f>IF('03_Base_Indice'!$D44="","",IF('03_Base_Indice'!O44&lt;&gt;"","OBS",IF(AND(Aux!F44&lt;&gt;"",Aux!R44&lt;&gt;"",(N(Aux!R44)-N(Aux!F44)-1)&lt;='01_Criterios'!$C$13),"EST_INTERP",IF(AND(Aux!F44&lt;&gt;"",(5-N(Aux!F44))&lt;='01_Criterios'!$C$14),"EST_CARRY_FWD",IF(AND(Aux!R44&lt;&gt;"",(N(Aux!R44)-5)&lt;='01_Criterios'!$C$15),"EST_CARRY_BWD","SEM_DADO")))))</f>
        <v/>
      </c>
      <c r="P44" s="20" t="str">
        <f>IF('03_Base_Indice'!$D44="","",IF('03_Base_Indice'!P44&lt;&gt;"","OBS",IF(AND(Aux!G44&lt;&gt;"",Aux!S44&lt;&gt;"",(N(Aux!S44)-N(Aux!G44)-1)&lt;='01_Criterios'!$C$13),"EST_INTERP",IF(AND(Aux!G44&lt;&gt;"",(6-N(Aux!G44))&lt;='01_Criterios'!$C$14),"EST_CARRY_FWD",IF(AND(Aux!S44&lt;&gt;"",(N(Aux!S44)-6)&lt;='01_Criterios'!$C$15),"EST_CARRY_BWD","SEM_DADO")))))</f>
        <v/>
      </c>
      <c r="Q44" s="20" t="str">
        <f>IF('03_Base_Indice'!$D44="","",IF('03_Base_Indice'!Q44&lt;&gt;"","OBS",IF(AND(Aux!H44&lt;&gt;"",Aux!T44&lt;&gt;"",(N(Aux!T44)-N(Aux!H44)-1)&lt;='01_Criterios'!$C$13),"EST_INTERP",IF(AND(Aux!H44&lt;&gt;"",(7-N(Aux!H44))&lt;='01_Criterios'!$C$14),"EST_CARRY_FWD",IF(AND(Aux!T44&lt;&gt;"",(N(Aux!T44)-7)&lt;='01_Criterios'!$C$15),"EST_CARRY_BWD","SEM_DADO")))))</f>
        <v/>
      </c>
      <c r="R44" s="20" t="str">
        <f>IF('03_Base_Indice'!$D44="","",IF('03_Base_Indice'!R44&lt;&gt;"","OBS",IF(AND(Aux!I44&lt;&gt;"",Aux!U44&lt;&gt;"",(N(Aux!U44)-N(Aux!I44)-1)&lt;='01_Criterios'!$C$13),"EST_INTERP",IF(AND(Aux!I44&lt;&gt;"",(8-N(Aux!I44))&lt;='01_Criterios'!$C$14),"EST_CARRY_FWD",IF(AND(Aux!U44&lt;&gt;"",(N(Aux!U44)-8)&lt;='01_Criterios'!$C$15),"EST_CARRY_BWD","SEM_DADO")))))</f>
        <v/>
      </c>
      <c r="S44" s="20" t="str">
        <f>IF('03_Base_Indice'!$D44="","",IF('03_Base_Indice'!S44&lt;&gt;"","OBS",IF(AND(Aux!J44&lt;&gt;"",Aux!V44&lt;&gt;"",(N(Aux!V44)-N(Aux!J44)-1)&lt;='01_Criterios'!$C$13),"EST_INTERP",IF(AND(Aux!J44&lt;&gt;"",(9-N(Aux!J44))&lt;='01_Criterios'!$C$14),"EST_CARRY_FWD",IF(AND(Aux!V44&lt;&gt;"",(N(Aux!V44)-9)&lt;='01_Criterios'!$C$15),"EST_CARRY_BWD","SEM_DADO")))))</f>
        <v/>
      </c>
      <c r="T44" s="20" t="str">
        <f>IF('03_Base_Indice'!$D44="","",IF('03_Base_Indice'!T44&lt;&gt;"","OBS",IF(AND(Aux!K44&lt;&gt;"",Aux!W44&lt;&gt;"",(N(Aux!W44)-N(Aux!K44)-1)&lt;='01_Criterios'!$C$13),"EST_INTERP",IF(AND(Aux!K44&lt;&gt;"",(10-N(Aux!K44))&lt;='01_Criterios'!$C$14),"EST_CARRY_FWD",IF(AND(Aux!W44&lt;&gt;"",(N(Aux!W44)-10)&lt;='01_Criterios'!$C$15),"EST_CARRY_BWD","SEM_DADO")))))</f>
        <v/>
      </c>
      <c r="U44" s="20" t="str">
        <f>IF('03_Base_Indice'!$D44="","",IF('03_Base_Indice'!U44&lt;&gt;"","OBS",IF(AND(Aux!L44&lt;&gt;"",Aux!X44&lt;&gt;"",(N(Aux!X44)-N(Aux!L44)-1)&lt;='01_Criterios'!$C$13),"EST_INTERP",IF(AND(Aux!L44&lt;&gt;"",(11-N(Aux!L44))&lt;='01_Criterios'!$C$14),"EST_CARRY_FWD",IF(AND(Aux!X44&lt;&gt;"",(N(Aux!X44)-11)&lt;='01_Criterios'!$C$15),"EST_CARRY_BWD","SEM_DADO")))))</f>
        <v/>
      </c>
      <c r="V44" s="20" t="str">
        <f>IF($D44="","",COUNTIF(K44:U44,"OBS"))</f>
        <v/>
      </c>
      <c r="W44" s="20" t="str">
        <f>IF($D44="","",COUNTIF(K44:U44,"EST_*"))</f>
        <v/>
      </c>
      <c r="X44" s="20" t="str">
        <f>IF($D44="","",COUNTIF(K44:U44,"SEM_DADO"))</f>
        <v/>
      </c>
      <c r="Y44" s="20" t="str">
        <f>IF($D44="","",(V44+W44)&amp;"/11")</f>
        <v/>
      </c>
    </row>
    <row r="45" spans="1:25">
      <c r="A45" s="6" t="str">
        <f>IF('03_Base_Indice'!$A45="","",'03_Base_Indice'!$A45)</f>
        <v>5. Infraestruturas e Serviços</v>
      </c>
      <c r="B45" s="6">
        <f>'03_Base_Indice'!$B45</f>
        <v>1</v>
      </c>
      <c r="D45" s="6" t="str">
        <f>IF('03_Base_Indice'!$D45="","",'03_Base_Indice'!$D45)</f>
        <v>INF002</v>
      </c>
      <c r="E45" s="6" t="str">
        <f>IF('03_Base_Indice'!$E45="","",'03_Base_Indice'!$E45)</f>
        <v>Acesso a Água Potável</v>
      </c>
      <c r="K45" s="20" t="str">
        <f>IF('03_Base_Indice'!$D45="","",IF('03_Base_Indice'!K45&lt;&gt;"","OBS",IF(AND(Aux!B45&lt;&gt;"",Aux!N45&lt;&gt;"",(N(Aux!N45)-N(Aux!B45)-1)&lt;='01_Criterios'!$C$13),"EST_INTERP",IF(AND(Aux!B45&lt;&gt;"",(1-N(Aux!B45))&lt;='01_Criterios'!$C$14),"EST_CARRY_FWD",IF(AND(Aux!N45&lt;&gt;"",(N(Aux!N45)-1)&lt;='01_Criterios'!$C$15),"EST_CARRY_BWD","SEM_DADO")))))</f>
        <v>OBS</v>
      </c>
      <c r="L45" s="20" t="str">
        <f>IF('03_Base_Indice'!$D45="","",IF('03_Base_Indice'!L45&lt;&gt;"","OBS",IF(AND(Aux!C45&lt;&gt;"",Aux!O45&lt;&gt;"",(N(Aux!O45)-N(Aux!C45)-1)&lt;='01_Criterios'!$C$13),"EST_INTERP",IF(AND(Aux!C45&lt;&gt;"",(2-N(Aux!C45))&lt;='01_Criterios'!$C$14),"EST_CARRY_FWD",IF(AND(Aux!O45&lt;&gt;"",(N(Aux!O45)-2)&lt;='01_Criterios'!$C$15),"EST_CARRY_BWD","SEM_DADO")))))</f>
        <v>OBS</v>
      </c>
      <c r="M45" s="20" t="str">
        <f>IF('03_Base_Indice'!$D45="","",IF('03_Base_Indice'!M45&lt;&gt;"","OBS",IF(AND(Aux!D45&lt;&gt;"",Aux!P45&lt;&gt;"",(N(Aux!P45)-N(Aux!D45)-1)&lt;='01_Criterios'!$C$13),"EST_INTERP",IF(AND(Aux!D45&lt;&gt;"",(3-N(Aux!D45))&lt;='01_Criterios'!$C$14),"EST_CARRY_FWD",IF(AND(Aux!P45&lt;&gt;"",(N(Aux!P45)-3)&lt;='01_Criterios'!$C$15),"EST_CARRY_BWD","SEM_DADO")))))</f>
        <v>OBS</v>
      </c>
      <c r="N45" s="20" t="str">
        <f>IF('03_Base_Indice'!$D45="","",IF('03_Base_Indice'!N45&lt;&gt;"","OBS",IF(AND(Aux!E45&lt;&gt;"",Aux!Q45&lt;&gt;"",(N(Aux!Q45)-N(Aux!E45)-1)&lt;='01_Criterios'!$C$13),"EST_INTERP",IF(AND(Aux!E45&lt;&gt;"",(4-N(Aux!E45))&lt;='01_Criterios'!$C$14),"EST_CARRY_FWD",IF(AND(Aux!Q45&lt;&gt;"",(N(Aux!Q45)-4)&lt;='01_Criterios'!$C$15),"EST_CARRY_BWD","SEM_DADO")))))</f>
        <v>OBS</v>
      </c>
      <c r="O45" s="20" t="str">
        <f>IF('03_Base_Indice'!$D45="","",IF('03_Base_Indice'!O45&lt;&gt;"","OBS",IF(AND(Aux!F45&lt;&gt;"",Aux!R45&lt;&gt;"",(N(Aux!R45)-N(Aux!F45)-1)&lt;='01_Criterios'!$C$13),"EST_INTERP",IF(AND(Aux!F45&lt;&gt;"",(5-N(Aux!F45))&lt;='01_Criterios'!$C$14),"EST_CARRY_FWD",IF(AND(Aux!R45&lt;&gt;"",(N(Aux!R45)-5)&lt;='01_Criterios'!$C$15),"EST_CARRY_BWD","SEM_DADO")))))</f>
        <v>OBS</v>
      </c>
      <c r="P45" s="20" t="str">
        <f>IF('03_Base_Indice'!$D45="","",IF('03_Base_Indice'!P45&lt;&gt;"","OBS",IF(AND(Aux!G45&lt;&gt;"",Aux!S45&lt;&gt;"",(N(Aux!S45)-N(Aux!G45)-1)&lt;='01_Criterios'!$C$13),"EST_INTERP",IF(AND(Aux!G45&lt;&gt;"",(6-N(Aux!G45))&lt;='01_Criterios'!$C$14),"EST_CARRY_FWD",IF(AND(Aux!S45&lt;&gt;"",(N(Aux!S45)-6)&lt;='01_Criterios'!$C$15),"EST_CARRY_BWD","SEM_DADO")))))</f>
        <v>OBS</v>
      </c>
      <c r="Q45" s="20" t="str">
        <f>IF('03_Base_Indice'!$D45="","",IF('03_Base_Indice'!Q45&lt;&gt;"","OBS",IF(AND(Aux!H45&lt;&gt;"",Aux!T45&lt;&gt;"",(N(Aux!T45)-N(Aux!H45)-1)&lt;='01_Criterios'!$C$13),"EST_INTERP",IF(AND(Aux!H45&lt;&gt;"",(7-N(Aux!H45))&lt;='01_Criterios'!$C$14),"EST_CARRY_FWD",IF(AND(Aux!T45&lt;&gt;"",(N(Aux!T45)-7)&lt;='01_Criterios'!$C$15),"EST_CARRY_BWD","SEM_DADO")))))</f>
        <v>OBS</v>
      </c>
      <c r="R45" s="20" t="str">
        <f>IF('03_Base_Indice'!$D45="","",IF('03_Base_Indice'!R45&lt;&gt;"","OBS",IF(AND(Aux!I45&lt;&gt;"",Aux!U45&lt;&gt;"",(N(Aux!U45)-N(Aux!I45)-1)&lt;='01_Criterios'!$C$13),"EST_INTERP",IF(AND(Aux!I45&lt;&gt;"",(8-N(Aux!I45))&lt;='01_Criterios'!$C$14),"EST_CARRY_FWD",IF(AND(Aux!U45&lt;&gt;"",(N(Aux!U45)-8)&lt;='01_Criterios'!$C$15),"EST_CARRY_BWD","SEM_DADO")))))</f>
        <v>OBS</v>
      </c>
      <c r="S45" s="20" t="str">
        <f>IF('03_Base_Indice'!$D45="","",IF('03_Base_Indice'!S45&lt;&gt;"","OBS",IF(AND(Aux!J45&lt;&gt;"",Aux!V45&lt;&gt;"",(N(Aux!V45)-N(Aux!J45)-1)&lt;='01_Criterios'!$C$13),"EST_INTERP",IF(AND(Aux!J45&lt;&gt;"",(9-N(Aux!J45))&lt;='01_Criterios'!$C$14),"EST_CARRY_FWD",IF(AND(Aux!V45&lt;&gt;"",(N(Aux!V45)-9)&lt;='01_Criterios'!$C$15),"EST_CARRY_BWD","SEM_DADO")))))</f>
        <v>OBS</v>
      </c>
      <c r="T45" s="20" t="str">
        <f>IF('03_Base_Indice'!$D45="","",IF('03_Base_Indice'!T45&lt;&gt;"","OBS",IF(AND(Aux!K45&lt;&gt;"",Aux!W45&lt;&gt;"",(N(Aux!W45)-N(Aux!K45)-1)&lt;='01_Criterios'!$C$13),"EST_INTERP",IF(AND(Aux!K45&lt;&gt;"",(10-N(Aux!K45))&lt;='01_Criterios'!$C$14),"EST_CARRY_FWD",IF(AND(Aux!W45&lt;&gt;"",(N(Aux!W45)-10)&lt;='01_Criterios'!$C$15),"EST_CARRY_BWD","SEM_DADO")))))</f>
        <v>OBS</v>
      </c>
      <c r="U45" s="20" t="str">
        <f>IF('03_Base_Indice'!$D45="","",IF('03_Base_Indice'!U45&lt;&gt;"","OBS",IF(AND(Aux!L45&lt;&gt;"",Aux!X45&lt;&gt;"",(N(Aux!X45)-N(Aux!L45)-1)&lt;='01_Criterios'!$C$13),"EST_INTERP",IF(AND(Aux!L45&lt;&gt;"",(11-N(Aux!L45))&lt;='01_Criterios'!$C$14),"EST_CARRY_FWD",IF(AND(Aux!X45&lt;&gt;"",(N(Aux!X45)-11)&lt;='01_Criterios'!$C$15),"EST_CARRY_BWD","SEM_DADO")))))</f>
        <v>EST_CARRY_FWD</v>
      </c>
      <c r="V45" s="20">
        <f>IF($D45="","",COUNTIF(K45:U45,"OBS"))</f>
        <v>10</v>
      </c>
      <c r="W45" s="20">
        <f>IF($D45="","",COUNTIF(K45:U45,"EST_*"))</f>
        <v>1</v>
      </c>
      <c r="X45" s="20">
        <f>IF($D45="","",COUNTIF(K45:U45,"SEM_DADO"))</f>
        <v>0</v>
      </c>
      <c r="Y45" s="20" t="str">
        <f>IF($D45="","",(V45+W45)&amp;"/11")</f>
        <v>11/11</v>
      </c>
    </row>
    <row r="46" spans="1:25">
      <c r="A46" s="6" t="str">
        <f>IF('03_Base_Indice'!$A46="","",'03_Base_Indice'!$A46)</f>
        <v>5. Infraestruturas e Serviços</v>
      </c>
      <c r="B46" s="6">
        <f>'03_Base_Indice'!$B46</f>
        <v>2</v>
      </c>
      <c r="D46" s="6" t="str">
        <f>IF('03_Base_Indice'!$D46="","",'03_Base_Indice'!$D46)</f>
        <v>INF006</v>
      </c>
      <c r="E46" s="6" t="str">
        <f>IF('03_Base_Indice'!$E46="","",'03_Base_Indice'!$E46)</f>
        <v>Densidade Rodoviária (km/1000km²)</v>
      </c>
      <c r="K46" s="20" t="str">
        <f>IF('03_Base_Indice'!$D46="","",IF('03_Base_Indice'!K46&lt;&gt;"","OBS",IF(AND(Aux!B46&lt;&gt;"",Aux!N46&lt;&gt;"",(N(Aux!N46)-N(Aux!B46)-1)&lt;='01_Criterios'!$C$13),"EST_INTERP",IF(AND(Aux!B46&lt;&gt;"",(1-N(Aux!B46))&lt;='01_Criterios'!$C$14),"EST_CARRY_FWD",IF(AND(Aux!N46&lt;&gt;"",(N(Aux!N46)-1)&lt;='01_Criterios'!$C$15),"EST_CARRY_BWD","SEM_DADO")))))</f>
        <v>OBS</v>
      </c>
      <c r="L46" s="20" t="str">
        <f>IF('03_Base_Indice'!$D46="","",IF('03_Base_Indice'!L46&lt;&gt;"","OBS",IF(AND(Aux!C46&lt;&gt;"",Aux!O46&lt;&gt;"",(N(Aux!O46)-N(Aux!C46)-1)&lt;='01_Criterios'!$C$13),"EST_INTERP",IF(AND(Aux!C46&lt;&gt;"",(2-N(Aux!C46))&lt;='01_Criterios'!$C$14),"EST_CARRY_FWD",IF(AND(Aux!O46&lt;&gt;"",(N(Aux!O46)-2)&lt;='01_Criterios'!$C$15),"EST_CARRY_BWD","SEM_DADO")))))</f>
        <v>OBS</v>
      </c>
      <c r="M46" s="20" t="str">
        <f>IF('03_Base_Indice'!$D46="","",IF('03_Base_Indice'!M46&lt;&gt;"","OBS",IF(AND(Aux!D46&lt;&gt;"",Aux!P46&lt;&gt;"",(N(Aux!P46)-N(Aux!D46)-1)&lt;='01_Criterios'!$C$13),"EST_INTERP",IF(AND(Aux!D46&lt;&gt;"",(3-N(Aux!D46))&lt;='01_Criterios'!$C$14),"EST_CARRY_FWD",IF(AND(Aux!P46&lt;&gt;"",(N(Aux!P46)-3)&lt;='01_Criterios'!$C$15),"EST_CARRY_BWD","SEM_DADO")))))</f>
        <v>OBS</v>
      </c>
      <c r="N46" s="20" t="str">
        <f>IF('03_Base_Indice'!$D46="","",IF('03_Base_Indice'!N46&lt;&gt;"","OBS",IF(AND(Aux!E46&lt;&gt;"",Aux!Q46&lt;&gt;"",(N(Aux!Q46)-N(Aux!E46)-1)&lt;='01_Criterios'!$C$13),"EST_INTERP",IF(AND(Aux!E46&lt;&gt;"",(4-N(Aux!E46))&lt;='01_Criterios'!$C$14),"EST_CARRY_FWD",IF(AND(Aux!Q46&lt;&gt;"",(N(Aux!Q46)-4)&lt;='01_Criterios'!$C$15),"EST_CARRY_BWD","SEM_DADO")))))</f>
        <v>OBS</v>
      </c>
      <c r="O46" s="20" t="str">
        <f>IF('03_Base_Indice'!$D46="","",IF('03_Base_Indice'!O46&lt;&gt;"","OBS",IF(AND(Aux!F46&lt;&gt;"",Aux!R46&lt;&gt;"",(N(Aux!R46)-N(Aux!F46)-1)&lt;='01_Criterios'!$C$13),"EST_INTERP",IF(AND(Aux!F46&lt;&gt;"",(5-N(Aux!F46))&lt;='01_Criterios'!$C$14),"EST_CARRY_FWD",IF(AND(Aux!R46&lt;&gt;"",(N(Aux!R46)-5)&lt;='01_Criterios'!$C$15),"EST_CARRY_BWD","SEM_DADO")))))</f>
        <v>OBS</v>
      </c>
      <c r="P46" s="20" t="str">
        <f>IF('03_Base_Indice'!$D46="","",IF('03_Base_Indice'!P46&lt;&gt;"","OBS",IF(AND(Aux!G46&lt;&gt;"",Aux!S46&lt;&gt;"",(N(Aux!S46)-N(Aux!G46)-1)&lt;='01_Criterios'!$C$13),"EST_INTERP",IF(AND(Aux!G46&lt;&gt;"",(6-N(Aux!G46))&lt;='01_Criterios'!$C$14),"EST_CARRY_FWD",IF(AND(Aux!S46&lt;&gt;"",(N(Aux!S46)-6)&lt;='01_Criterios'!$C$15),"EST_CARRY_BWD","SEM_DADO")))))</f>
        <v>OBS</v>
      </c>
      <c r="Q46" s="20" t="str">
        <f>IF('03_Base_Indice'!$D46="","",IF('03_Base_Indice'!Q46&lt;&gt;"","OBS",IF(AND(Aux!H46&lt;&gt;"",Aux!T46&lt;&gt;"",(N(Aux!T46)-N(Aux!H46)-1)&lt;='01_Criterios'!$C$13),"EST_INTERP",IF(AND(Aux!H46&lt;&gt;"",(7-N(Aux!H46))&lt;='01_Criterios'!$C$14),"EST_CARRY_FWD",IF(AND(Aux!T46&lt;&gt;"",(N(Aux!T46)-7)&lt;='01_Criterios'!$C$15),"EST_CARRY_BWD","SEM_DADO")))))</f>
        <v>OBS</v>
      </c>
      <c r="R46" s="20" t="str">
        <f>IF('03_Base_Indice'!$D46="","",IF('03_Base_Indice'!R46&lt;&gt;"","OBS",IF(AND(Aux!I46&lt;&gt;"",Aux!U46&lt;&gt;"",(N(Aux!U46)-N(Aux!I46)-1)&lt;='01_Criterios'!$C$13),"EST_INTERP",IF(AND(Aux!I46&lt;&gt;"",(8-N(Aux!I46))&lt;='01_Criterios'!$C$14),"EST_CARRY_FWD",IF(AND(Aux!U46&lt;&gt;"",(N(Aux!U46)-8)&lt;='01_Criterios'!$C$15),"EST_CARRY_BWD","SEM_DADO")))))</f>
        <v>OBS</v>
      </c>
      <c r="S46" s="20" t="str">
        <f>IF('03_Base_Indice'!$D46="","",IF('03_Base_Indice'!S46&lt;&gt;"","OBS",IF(AND(Aux!J46&lt;&gt;"",Aux!V46&lt;&gt;"",(N(Aux!V46)-N(Aux!J46)-1)&lt;='01_Criterios'!$C$13),"EST_INTERP",IF(AND(Aux!J46&lt;&gt;"",(9-N(Aux!J46))&lt;='01_Criterios'!$C$14),"EST_CARRY_FWD",IF(AND(Aux!V46&lt;&gt;"",(N(Aux!V46)-9)&lt;='01_Criterios'!$C$15),"EST_CARRY_BWD","SEM_DADO")))))</f>
        <v>OBS</v>
      </c>
      <c r="T46" s="20" t="str">
        <f>IF('03_Base_Indice'!$D46="","",IF('03_Base_Indice'!T46&lt;&gt;"","OBS",IF(AND(Aux!K46&lt;&gt;"",Aux!W46&lt;&gt;"",(N(Aux!W46)-N(Aux!K46)-1)&lt;='01_Criterios'!$C$13),"EST_INTERP",IF(AND(Aux!K46&lt;&gt;"",(10-N(Aux!K46))&lt;='01_Criterios'!$C$14),"EST_CARRY_FWD",IF(AND(Aux!W46&lt;&gt;"",(N(Aux!W46)-10)&lt;='01_Criterios'!$C$15),"EST_CARRY_BWD","SEM_DADO")))))</f>
        <v>OBS</v>
      </c>
      <c r="U46" s="20" t="str">
        <f>IF('03_Base_Indice'!$D46="","",IF('03_Base_Indice'!U46&lt;&gt;"","OBS",IF(AND(Aux!L46&lt;&gt;"",Aux!X46&lt;&gt;"",(N(Aux!X46)-N(Aux!L46)-1)&lt;='01_Criterios'!$C$13),"EST_INTERP",IF(AND(Aux!L46&lt;&gt;"",(11-N(Aux!L46))&lt;='01_Criterios'!$C$14),"EST_CARRY_FWD",IF(AND(Aux!X46&lt;&gt;"",(N(Aux!X46)-11)&lt;='01_Criterios'!$C$15),"EST_CARRY_BWD","SEM_DADO")))))</f>
        <v>EST_CARRY_FWD</v>
      </c>
      <c r="V46" s="20">
        <f>IF($D46="","",COUNTIF(K46:U46,"OBS"))</f>
        <v>10</v>
      </c>
      <c r="W46" s="20">
        <f>IF($D46="","",COUNTIF(K46:U46,"EST_*"))</f>
        <v>1</v>
      </c>
      <c r="X46" s="20">
        <f>IF($D46="","",COUNTIF(K46:U46,"SEM_DADO"))</f>
        <v>0</v>
      </c>
      <c r="Y46" s="20" t="str">
        <f>IF($D46="","",(V46+W46)&amp;"/11")</f>
        <v>11/11</v>
      </c>
    </row>
    <row r="47" spans="1:25">
      <c r="A47" s="6" t="str">
        <f>IF('03_Base_Indice'!$A47="","",'03_Base_Indice'!$A47)</f>
        <v>5. Infraestruturas e Serviços</v>
      </c>
      <c r="B47" s="6">
        <f>'03_Base_Indice'!$B47</f>
        <v>3</v>
      </c>
      <c r="D47" s="6" t="str">
        <f>IF('03_Base_Indice'!$D47="","",'03_Base_Indice'!$D47)</f>
        <v>INF001</v>
      </c>
      <c r="E47" s="6" t="str">
        <f>IF('03_Base_Indice'!$E47="","",'03_Base_Indice'!$E47)</f>
        <v>Taxa de Electrificação</v>
      </c>
      <c r="K47" s="20" t="str">
        <f>IF('03_Base_Indice'!$D47="","",IF('03_Base_Indice'!K47&lt;&gt;"","OBS",IF(AND(Aux!B47&lt;&gt;"",Aux!N47&lt;&gt;"",(N(Aux!N47)-N(Aux!B47)-1)&lt;='01_Criterios'!$C$13),"EST_INTERP",IF(AND(Aux!B47&lt;&gt;"",(1-N(Aux!B47))&lt;='01_Criterios'!$C$14),"EST_CARRY_FWD",IF(AND(Aux!N47&lt;&gt;"",(N(Aux!N47)-1)&lt;='01_Criterios'!$C$15),"EST_CARRY_BWD","SEM_DADO")))))</f>
        <v>OBS</v>
      </c>
      <c r="L47" s="20" t="str">
        <f>IF('03_Base_Indice'!$D47="","",IF('03_Base_Indice'!L47&lt;&gt;"","OBS",IF(AND(Aux!C47&lt;&gt;"",Aux!O47&lt;&gt;"",(N(Aux!O47)-N(Aux!C47)-1)&lt;='01_Criterios'!$C$13),"EST_INTERP",IF(AND(Aux!C47&lt;&gt;"",(2-N(Aux!C47))&lt;='01_Criterios'!$C$14),"EST_CARRY_FWD",IF(AND(Aux!O47&lt;&gt;"",(N(Aux!O47)-2)&lt;='01_Criterios'!$C$15),"EST_CARRY_BWD","SEM_DADO")))))</f>
        <v>OBS</v>
      </c>
      <c r="M47" s="20" t="str">
        <f>IF('03_Base_Indice'!$D47="","",IF('03_Base_Indice'!M47&lt;&gt;"","OBS",IF(AND(Aux!D47&lt;&gt;"",Aux!P47&lt;&gt;"",(N(Aux!P47)-N(Aux!D47)-1)&lt;='01_Criterios'!$C$13),"EST_INTERP",IF(AND(Aux!D47&lt;&gt;"",(3-N(Aux!D47))&lt;='01_Criterios'!$C$14),"EST_CARRY_FWD",IF(AND(Aux!P47&lt;&gt;"",(N(Aux!P47)-3)&lt;='01_Criterios'!$C$15),"EST_CARRY_BWD","SEM_DADO")))))</f>
        <v>OBS</v>
      </c>
      <c r="N47" s="20" t="str">
        <f>IF('03_Base_Indice'!$D47="","",IF('03_Base_Indice'!N47&lt;&gt;"","OBS",IF(AND(Aux!E47&lt;&gt;"",Aux!Q47&lt;&gt;"",(N(Aux!Q47)-N(Aux!E47)-1)&lt;='01_Criterios'!$C$13),"EST_INTERP",IF(AND(Aux!E47&lt;&gt;"",(4-N(Aux!E47))&lt;='01_Criterios'!$C$14),"EST_CARRY_FWD",IF(AND(Aux!Q47&lt;&gt;"",(N(Aux!Q47)-4)&lt;='01_Criterios'!$C$15),"EST_CARRY_BWD","SEM_DADO")))))</f>
        <v>OBS</v>
      </c>
      <c r="O47" s="20" t="str">
        <f>IF('03_Base_Indice'!$D47="","",IF('03_Base_Indice'!O47&lt;&gt;"","OBS",IF(AND(Aux!F47&lt;&gt;"",Aux!R47&lt;&gt;"",(N(Aux!R47)-N(Aux!F47)-1)&lt;='01_Criterios'!$C$13),"EST_INTERP",IF(AND(Aux!F47&lt;&gt;"",(5-N(Aux!F47))&lt;='01_Criterios'!$C$14),"EST_CARRY_FWD",IF(AND(Aux!R47&lt;&gt;"",(N(Aux!R47)-5)&lt;='01_Criterios'!$C$15),"EST_CARRY_BWD","SEM_DADO")))))</f>
        <v>OBS</v>
      </c>
      <c r="P47" s="20" t="str">
        <f>IF('03_Base_Indice'!$D47="","",IF('03_Base_Indice'!P47&lt;&gt;"","OBS",IF(AND(Aux!G47&lt;&gt;"",Aux!S47&lt;&gt;"",(N(Aux!S47)-N(Aux!G47)-1)&lt;='01_Criterios'!$C$13),"EST_INTERP",IF(AND(Aux!G47&lt;&gt;"",(6-N(Aux!G47))&lt;='01_Criterios'!$C$14),"EST_CARRY_FWD",IF(AND(Aux!S47&lt;&gt;"",(N(Aux!S47)-6)&lt;='01_Criterios'!$C$15),"EST_CARRY_BWD","SEM_DADO")))))</f>
        <v>OBS</v>
      </c>
      <c r="Q47" s="20" t="str">
        <f>IF('03_Base_Indice'!$D47="","",IF('03_Base_Indice'!Q47&lt;&gt;"","OBS",IF(AND(Aux!H47&lt;&gt;"",Aux!T47&lt;&gt;"",(N(Aux!T47)-N(Aux!H47)-1)&lt;='01_Criterios'!$C$13),"EST_INTERP",IF(AND(Aux!H47&lt;&gt;"",(7-N(Aux!H47))&lt;='01_Criterios'!$C$14),"EST_CARRY_FWD",IF(AND(Aux!T47&lt;&gt;"",(N(Aux!T47)-7)&lt;='01_Criterios'!$C$15),"EST_CARRY_BWD","SEM_DADO")))))</f>
        <v>OBS</v>
      </c>
      <c r="R47" s="20" t="str">
        <f>IF('03_Base_Indice'!$D47="","",IF('03_Base_Indice'!R47&lt;&gt;"","OBS",IF(AND(Aux!I47&lt;&gt;"",Aux!U47&lt;&gt;"",(N(Aux!U47)-N(Aux!I47)-1)&lt;='01_Criterios'!$C$13),"EST_INTERP",IF(AND(Aux!I47&lt;&gt;"",(8-N(Aux!I47))&lt;='01_Criterios'!$C$14),"EST_CARRY_FWD",IF(AND(Aux!U47&lt;&gt;"",(N(Aux!U47)-8)&lt;='01_Criterios'!$C$15),"EST_CARRY_BWD","SEM_DADO")))))</f>
        <v>OBS</v>
      </c>
      <c r="S47" s="20" t="str">
        <f>IF('03_Base_Indice'!$D47="","",IF('03_Base_Indice'!S47&lt;&gt;"","OBS",IF(AND(Aux!J47&lt;&gt;"",Aux!V47&lt;&gt;"",(N(Aux!V47)-N(Aux!J47)-1)&lt;='01_Criterios'!$C$13),"EST_INTERP",IF(AND(Aux!J47&lt;&gt;"",(9-N(Aux!J47))&lt;='01_Criterios'!$C$14),"EST_CARRY_FWD",IF(AND(Aux!V47&lt;&gt;"",(N(Aux!V47)-9)&lt;='01_Criterios'!$C$15),"EST_CARRY_BWD","SEM_DADO")))))</f>
        <v>OBS</v>
      </c>
      <c r="T47" s="20" t="str">
        <f>IF('03_Base_Indice'!$D47="","",IF('03_Base_Indice'!T47&lt;&gt;"","OBS",IF(AND(Aux!K47&lt;&gt;"",Aux!W47&lt;&gt;"",(N(Aux!W47)-N(Aux!K47)-1)&lt;='01_Criterios'!$C$13),"EST_INTERP",IF(AND(Aux!K47&lt;&gt;"",(10-N(Aux!K47))&lt;='01_Criterios'!$C$14),"EST_CARRY_FWD",IF(AND(Aux!W47&lt;&gt;"",(N(Aux!W47)-10)&lt;='01_Criterios'!$C$15),"EST_CARRY_BWD","SEM_DADO")))))</f>
        <v>EST_CARRY_FWD</v>
      </c>
      <c r="U47" s="20" t="str">
        <f>IF('03_Base_Indice'!$D47="","",IF('03_Base_Indice'!U47&lt;&gt;"","OBS",IF(AND(Aux!L47&lt;&gt;"",Aux!X47&lt;&gt;"",(N(Aux!X47)-N(Aux!L47)-1)&lt;='01_Criterios'!$C$13),"EST_INTERP",IF(AND(Aux!L47&lt;&gt;"",(11-N(Aux!L47))&lt;='01_Criterios'!$C$14),"EST_CARRY_FWD",IF(AND(Aux!X47&lt;&gt;"",(N(Aux!X47)-11)&lt;='01_Criterios'!$C$15),"EST_CARRY_BWD","SEM_DADO")))))</f>
        <v>EST_CARRY_FWD</v>
      </c>
      <c r="V47" s="20">
        <f>IF($D47="","",COUNTIF(K47:U47,"OBS"))</f>
        <v>9</v>
      </c>
      <c r="W47" s="20">
        <f>IF($D47="","",COUNTIF(K47:U47,"EST_*"))</f>
        <v>2</v>
      </c>
      <c r="X47" s="20">
        <f>IF($D47="","",COUNTIF(K47:U47,"SEM_DADO"))</f>
        <v>0</v>
      </c>
      <c r="Y47" s="20" t="str">
        <f>IF($D47="","",(V47+W47)&amp;"/11")</f>
        <v>11/11</v>
      </c>
    </row>
    <row r="48" spans="1:25">
      <c r="A48" s="6" t="str">
        <f>IF('03_Base_Indice'!$A48="","",'03_Base_Indice'!$A48)</f>
        <v>5. Infraestruturas e Serviços</v>
      </c>
      <c r="B48" s="6">
        <f>'03_Base_Indice'!$B48</f>
        <v>4</v>
      </c>
      <c r="D48" s="6" t="str">
        <f>IF('03_Base_Indice'!$D48="","",'03_Base_Indice'!$D48)</f>
        <v>INF05</v>
      </c>
      <c r="E48" s="6" t="str">
        <f>IF('03_Base_Indice'!$E48="","",'03_Base_Indice'!$E48)</f>
        <v>Acesso a energia limpa para cozinhar</v>
      </c>
      <c r="K48" s="20" t="str">
        <f>IF('03_Base_Indice'!$D48="","",IF('03_Base_Indice'!K48&lt;&gt;"","OBS",IF(AND(Aux!B48&lt;&gt;"",Aux!N48&lt;&gt;"",(N(Aux!N48)-N(Aux!B48)-1)&lt;='01_Criterios'!$C$13),"EST_INTERP",IF(AND(Aux!B48&lt;&gt;"",(1-N(Aux!B48))&lt;='01_Criterios'!$C$14),"EST_CARRY_FWD",IF(AND(Aux!N48&lt;&gt;"",(N(Aux!N48)-1)&lt;='01_Criterios'!$C$15),"EST_CARRY_BWD","SEM_DADO")))))</f>
        <v>OBS</v>
      </c>
      <c r="L48" s="20" t="str">
        <f>IF('03_Base_Indice'!$D48="","",IF('03_Base_Indice'!L48&lt;&gt;"","OBS",IF(AND(Aux!C48&lt;&gt;"",Aux!O48&lt;&gt;"",(N(Aux!O48)-N(Aux!C48)-1)&lt;='01_Criterios'!$C$13),"EST_INTERP",IF(AND(Aux!C48&lt;&gt;"",(2-N(Aux!C48))&lt;='01_Criterios'!$C$14),"EST_CARRY_FWD",IF(AND(Aux!O48&lt;&gt;"",(N(Aux!O48)-2)&lt;='01_Criterios'!$C$15),"EST_CARRY_BWD","SEM_DADO")))))</f>
        <v>OBS</v>
      </c>
      <c r="M48" s="20" t="str">
        <f>IF('03_Base_Indice'!$D48="","",IF('03_Base_Indice'!M48&lt;&gt;"","OBS",IF(AND(Aux!D48&lt;&gt;"",Aux!P48&lt;&gt;"",(N(Aux!P48)-N(Aux!D48)-1)&lt;='01_Criterios'!$C$13),"EST_INTERP",IF(AND(Aux!D48&lt;&gt;"",(3-N(Aux!D48))&lt;='01_Criterios'!$C$14),"EST_CARRY_FWD",IF(AND(Aux!P48&lt;&gt;"",(N(Aux!P48)-3)&lt;='01_Criterios'!$C$15),"EST_CARRY_BWD","SEM_DADO")))))</f>
        <v>OBS</v>
      </c>
      <c r="N48" s="20" t="str">
        <f>IF('03_Base_Indice'!$D48="","",IF('03_Base_Indice'!N48&lt;&gt;"","OBS",IF(AND(Aux!E48&lt;&gt;"",Aux!Q48&lt;&gt;"",(N(Aux!Q48)-N(Aux!E48)-1)&lt;='01_Criterios'!$C$13),"EST_INTERP",IF(AND(Aux!E48&lt;&gt;"",(4-N(Aux!E48))&lt;='01_Criterios'!$C$14),"EST_CARRY_FWD",IF(AND(Aux!Q48&lt;&gt;"",(N(Aux!Q48)-4)&lt;='01_Criterios'!$C$15),"EST_CARRY_BWD","SEM_DADO")))))</f>
        <v>OBS</v>
      </c>
      <c r="O48" s="20" t="str">
        <f>IF('03_Base_Indice'!$D48="","",IF('03_Base_Indice'!O48&lt;&gt;"","OBS",IF(AND(Aux!F48&lt;&gt;"",Aux!R48&lt;&gt;"",(N(Aux!R48)-N(Aux!F48)-1)&lt;='01_Criterios'!$C$13),"EST_INTERP",IF(AND(Aux!F48&lt;&gt;"",(5-N(Aux!F48))&lt;='01_Criterios'!$C$14),"EST_CARRY_FWD",IF(AND(Aux!R48&lt;&gt;"",(N(Aux!R48)-5)&lt;='01_Criterios'!$C$15),"EST_CARRY_BWD","SEM_DADO")))))</f>
        <v>OBS</v>
      </c>
      <c r="P48" s="20" t="str">
        <f>IF('03_Base_Indice'!$D48="","",IF('03_Base_Indice'!P48&lt;&gt;"","OBS",IF(AND(Aux!G48&lt;&gt;"",Aux!S48&lt;&gt;"",(N(Aux!S48)-N(Aux!G48)-1)&lt;='01_Criterios'!$C$13),"EST_INTERP",IF(AND(Aux!G48&lt;&gt;"",(6-N(Aux!G48))&lt;='01_Criterios'!$C$14),"EST_CARRY_FWD",IF(AND(Aux!S48&lt;&gt;"",(N(Aux!S48)-6)&lt;='01_Criterios'!$C$15),"EST_CARRY_BWD","SEM_DADO")))))</f>
        <v>OBS</v>
      </c>
      <c r="Q48" s="20" t="str">
        <f>IF('03_Base_Indice'!$D48="","",IF('03_Base_Indice'!Q48&lt;&gt;"","OBS",IF(AND(Aux!H48&lt;&gt;"",Aux!T48&lt;&gt;"",(N(Aux!T48)-N(Aux!H48)-1)&lt;='01_Criterios'!$C$13),"EST_INTERP",IF(AND(Aux!H48&lt;&gt;"",(7-N(Aux!H48))&lt;='01_Criterios'!$C$14),"EST_CARRY_FWD",IF(AND(Aux!T48&lt;&gt;"",(N(Aux!T48)-7)&lt;='01_Criterios'!$C$15),"EST_CARRY_BWD","SEM_DADO")))))</f>
        <v>OBS</v>
      </c>
      <c r="R48" s="20" t="str">
        <f>IF('03_Base_Indice'!$D48="","",IF('03_Base_Indice'!R48&lt;&gt;"","OBS",IF(AND(Aux!I48&lt;&gt;"",Aux!U48&lt;&gt;"",(N(Aux!U48)-N(Aux!I48)-1)&lt;='01_Criterios'!$C$13),"EST_INTERP",IF(AND(Aux!I48&lt;&gt;"",(8-N(Aux!I48))&lt;='01_Criterios'!$C$14),"EST_CARRY_FWD",IF(AND(Aux!U48&lt;&gt;"",(N(Aux!U48)-8)&lt;='01_Criterios'!$C$15),"EST_CARRY_BWD","SEM_DADO")))))</f>
        <v>OBS</v>
      </c>
      <c r="S48" s="20" t="str">
        <f>IF('03_Base_Indice'!$D48="","",IF('03_Base_Indice'!S48&lt;&gt;"","OBS",IF(AND(Aux!J48&lt;&gt;"",Aux!V48&lt;&gt;"",(N(Aux!V48)-N(Aux!J48)-1)&lt;='01_Criterios'!$C$13),"EST_INTERP",IF(AND(Aux!J48&lt;&gt;"",(9-N(Aux!J48))&lt;='01_Criterios'!$C$14),"EST_CARRY_FWD",IF(AND(Aux!V48&lt;&gt;"",(N(Aux!V48)-9)&lt;='01_Criterios'!$C$15),"EST_CARRY_BWD","SEM_DADO")))))</f>
        <v>OBS</v>
      </c>
      <c r="T48" s="20" t="str">
        <f>IF('03_Base_Indice'!$D48="","",IF('03_Base_Indice'!T48&lt;&gt;"","OBS",IF(AND(Aux!K48&lt;&gt;"",Aux!W48&lt;&gt;"",(N(Aux!W48)-N(Aux!K48)-1)&lt;='01_Criterios'!$C$13),"EST_INTERP",IF(AND(Aux!K48&lt;&gt;"",(10-N(Aux!K48))&lt;='01_Criterios'!$C$14),"EST_CARRY_FWD",IF(AND(Aux!W48&lt;&gt;"",(N(Aux!W48)-10)&lt;='01_Criterios'!$C$15),"EST_CARRY_BWD","SEM_DADO")))))</f>
        <v>EST_CARRY_FWD</v>
      </c>
      <c r="U48" s="20" t="str">
        <f>IF('03_Base_Indice'!$D48="","",IF('03_Base_Indice'!U48&lt;&gt;"","OBS",IF(AND(Aux!L48&lt;&gt;"",Aux!X48&lt;&gt;"",(N(Aux!X48)-N(Aux!L48)-1)&lt;='01_Criterios'!$C$13),"EST_INTERP",IF(AND(Aux!L48&lt;&gt;"",(11-N(Aux!L48))&lt;='01_Criterios'!$C$14),"EST_CARRY_FWD",IF(AND(Aux!X48&lt;&gt;"",(N(Aux!X48)-11)&lt;='01_Criterios'!$C$15),"EST_CARRY_BWD","SEM_DADO")))))</f>
        <v>EST_CARRY_FWD</v>
      </c>
      <c r="V48" s="20">
        <f>IF($D48="","",COUNTIF(K48:U48,"OBS"))</f>
        <v>9</v>
      </c>
      <c r="W48" s="20">
        <f>IF($D48="","",COUNTIF(K48:U48,"EST_*"))</f>
        <v>2</v>
      </c>
      <c r="X48" s="20">
        <f>IF($D48="","",COUNTIF(K48:U48,"SEM_DADO"))</f>
        <v>0</v>
      </c>
      <c r="Y48" s="20" t="str">
        <f>IF($D48="","",(V48+W48)&amp;"/11")</f>
        <v>11/11</v>
      </c>
    </row>
    <row r="49" spans="1:25">
      <c r="A49" s="6" t="str">
        <f>IF('03_Base_Indice'!$A49="","",'03_Base_Indice'!$A49)</f>
        <v>5. Infraestruturas e Serviços</v>
      </c>
      <c r="B49" s="6">
        <f>'03_Base_Indice'!$B49</f>
        <v>5</v>
      </c>
      <c r="D49" s="6" t="str">
        <f>IF('03_Base_Indice'!$D49="","",'03_Base_Indice'!$D49)</f>
        <v>INF024</v>
      </c>
      <c r="E49" s="6" t="str">
        <f>IF('03_Base_Indice'!$E49="","",'03_Base_Indice'!$E49)</f>
        <v>Tráfego portuário de contentores</v>
      </c>
      <c r="K49" s="20" t="str">
        <f>IF('03_Base_Indice'!$D49="","",IF('03_Base_Indice'!K49&lt;&gt;"","OBS",IF(AND(Aux!B49&lt;&gt;"",Aux!N49&lt;&gt;"",(N(Aux!N49)-N(Aux!B49)-1)&lt;='01_Criterios'!$C$13),"EST_INTERP",IF(AND(Aux!B49&lt;&gt;"",(1-N(Aux!B49))&lt;='01_Criterios'!$C$14),"EST_CARRY_FWD",IF(AND(Aux!N49&lt;&gt;"",(N(Aux!N49)-1)&lt;='01_Criterios'!$C$15),"EST_CARRY_BWD","SEM_DADO")))))</f>
        <v>OBS</v>
      </c>
      <c r="L49" s="20" t="str">
        <f>IF('03_Base_Indice'!$D49="","",IF('03_Base_Indice'!L49&lt;&gt;"","OBS",IF(AND(Aux!C49&lt;&gt;"",Aux!O49&lt;&gt;"",(N(Aux!O49)-N(Aux!C49)-1)&lt;='01_Criterios'!$C$13),"EST_INTERP",IF(AND(Aux!C49&lt;&gt;"",(2-N(Aux!C49))&lt;='01_Criterios'!$C$14),"EST_CARRY_FWD",IF(AND(Aux!O49&lt;&gt;"",(N(Aux!O49)-2)&lt;='01_Criterios'!$C$15),"EST_CARRY_BWD","SEM_DADO")))))</f>
        <v>OBS</v>
      </c>
      <c r="M49" s="20" t="str">
        <f>IF('03_Base_Indice'!$D49="","",IF('03_Base_Indice'!M49&lt;&gt;"","OBS",IF(AND(Aux!D49&lt;&gt;"",Aux!P49&lt;&gt;"",(N(Aux!P49)-N(Aux!D49)-1)&lt;='01_Criterios'!$C$13),"EST_INTERP",IF(AND(Aux!D49&lt;&gt;"",(3-N(Aux!D49))&lt;='01_Criterios'!$C$14),"EST_CARRY_FWD",IF(AND(Aux!P49&lt;&gt;"",(N(Aux!P49)-3)&lt;='01_Criterios'!$C$15),"EST_CARRY_BWD","SEM_DADO")))))</f>
        <v>OBS</v>
      </c>
      <c r="N49" s="20" t="str">
        <f>IF('03_Base_Indice'!$D49="","",IF('03_Base_Indice'!N49&lt;&gt;"","OBS",IF(AND(Aux!E49&lt;&gt;"",Aux!Q49&lt;&gt;"",(N(Aux!Q49)-N(Aux!E49)-1)&lt;='01_Criterios'!$C$13),"EST_INTERP",IF(AND(Aux!E49&lt;&gt;"",(4-N(Aux!E49))&lt;='01_Criterios'!$C$14),"EST_CARRY_FWD",IF(AND(Aux!Q49&lt;&gt;"",(N(Aux!Q49)-4)&lt;='01_Criterios'!$C$15),"EST_CARRY_BWD","SEM_DADO")))))</f>
        <v>OBS</v>
      </c>
      <c r="O49" s="20" t="str">
        <f>IF('03_Base_Indice'!$D49="","",IF('03_Base_Indice'!O49&lt;&gt;"","OBS",IF(AND(Aux!F49&lt;&gt;"",Aux!R49&lt;&gt;"",(N(Aux!R49)-N(Aux!F49)-1)&lt;='01_Criterios'!$C$13),"EST_INTERP",IF(AND(Aux!F49&lt;&gt;"",(5-N(Aux!F49))&lt;='01_Criterios'!$C$14),"EST_CARRY_FWD",IF(AND(Aux!R49&lt;&gt;"",(N(Aux!R49)-5)&lt;='01_Criterios'!$C$15),"EST_CARRY_BWD","SEM_DADO")))))</f>
        <v>OBS</v>
      </c>
      <c r="P49" s="20" t="str">
        <f>IF('03_Base_Indice'!$D49="","",IF('03_Base_Indice'!P49&lt;&gt;"","OBS",IF(AND(Aux!G49&lt;&gt;"",Aux!S49&lt;&gt;"",(N(Aux!S49)-N(Aux!G49)-1)&lt;='01_Criterios'!$C$13),"EST_INTERP",IF(AND(Aux!G49&lt;&gt;"",(6-N(Aux!G49))&lt;='01_Criterios'!$C$14),"EST_CARRY_FWD",IF(AND(Aux!S49&lt;&gt;"",(N(Aux!S49)-6)&lt;='01_Criterios'!$C$15),"EST_CARRY_BWD","SEM_DADO")))))</f>
        <v>OBS</v>
      </c>
      <c r="Q49" s="20" t="str">
        <f>IF('03_Base_Indice'!$D49="","",IF('03_Base_Indice'!Q49&lt;&gt;"","OBS",IF(AND(Aux!H49&lt;&gt;"",Aux!T49&lt;&gt;"",(N(Aux!T49)-N(Aux!H49)-1)&lt;='01_Criterios'!$C$13),"EST_INTERP",IF(AND(Aux!H49&lt;&gt;"",(7-N(Aux!H49))&lt;='01_Criterios'!$C$14),"EST_CARRY_FWD",IF(AND(Aux!T49&lt;&gt;"",(N(Aux!T49)-7)&lt;='01_Criterios'!$C$15),"EST_CARRY_BWD","SEM_DADO")))))</f>
        <v>OBS</v>
      </c>
      <c r="R49" s="20" t="str">
        <f>IF('03_Base_Indice'!$D49="","",IF('03_Base_Indice'!R49&lt;&gt;"","OBS",IF(AND(Aux!I49&lt;&gt;"",Aux!U49&lt;&gt;"",(N(Aux!U49)-N(Aux!I49)-1)&lt;='01_Criterios'!$C$13),"EST_INTERP",IF(AND(Aux!I49&lt;&gt;"",(8-N(Aux!I49))&lt;='01_Criterios'!$C$14),"EST_CARRY_FWD",IF(AND(Aux!U49&lt;&gt;"",(N(Aux!U49)-8)&lt;='01_Criterios'!$C$15),"EST_CARRY_BWD","SEM_DADO")))))</f>
        <v>OBS</v>
      </c>
      <c r="S49" s="20" t="str">
        <f>IF('03_Base_Indice'!$D49="","",IF('03_Base_Indice'!S49&lt;&gt;"","OBS",IF(AND(Aux!J49&lt;&gt;"",Aux!V49&lt;&gt;"",(N(Aux!V49)-N(Aux!J49)-1)&lt;='01_Criterios'!$C$13),"EST_INTERP",IF(AND(Aux!J49&lt;&gt;"",(9-N(Aux!J49))&lt;='01_Criterios'!$C$14),"EST_CARRY_FWD",IF(AND(Aux!V49&lt;&gt;"",(N(Aux!V49)-9)&lt;='01_Criterios'!$C$15),"EST_CARRY_BWD","SEM_DADO")))))</f>
        <v>OBS</v>
      </c>
      <c r="T49" s="20" t="str">
        <f>IF('03_Base_Indice'!$D49="","",IF('03_Base_Indice'!T49&lt;&gt;"","OBS",IF(AND(Aux!K49&lt;&gt;"",Aux!W49&lt;&gt;"",(N(Aux!W49)-N(Aux!K49)-1)&lt;='01_Criterios'!$C$13),"EST_INTERP",IF(AND(Aux!K49&lt;&gt;"",(10-N(Aux!K49))&lt;='01_Criterios'!$C$14),"EST_CARRY_FWD",IF(AND(Aux!W49&lt;&gt;"",(N(Aux!W49)-10)&lt;='01_Criterios'!$C$15),"EST_CARRY_BWD","SEM_DADO")))))</f>
        <v>OBS</v>
      </c>
      <c r="U49" s="20" t="str">
        <f>IF('03_Base_Indice'!$D49="","",IF('03_Base_Indice'!U49&lt;&gt;"","OBS",IF(AND(Aux!L49&lt;&gt;"",Aux!X49&lt;&gt;"",(N(Aux!X49)-N(Aux!L49)-1)&lt;='01_Criterios'!$C$13),"EST_INTERP",IF(AND(Aux!L49&lt;&gt;"",(11-N(Aux!L49))&lt;='01_Criterios'!$C$14),"EST_CARRY_FWD",IF(AND(Aux!X49&lt;&gt;"",(N(Aux!X49)-11)&lt;='01_Criterios'!$C$15),"EST_CARRY_BWD","SEM_DADO")))))</f>
        <v>EST_CARRY_FWD</v>
      </c>
      <c r="V49" s="20">
        <f>IF($D49="","",COUNTIF(K49:U49,"OBS"))</f>
        <v>10</v>
      </c>
      <c r="W49" s="20">
        <f>IF($D49="","",COUNTIF(K49:U49,"EST_*"))</f>
        <v>1</v>
      </c>
      <c r="X49" s="20">
        <f>IF($D49="","",COUNTIF(K49:U49,"SEM_DADO"))</f>
        <v>0</v>
      </c>
      <c r="Y49" s="20" t="str">
        <f>IF($D49="","",(V49+W49)&amp;"/11")</f>
        <v>11/11</v>
      </c>
    </row>
    <row r="50" spans="1:25">
      <c r="A50" s="6" t="str">
        <f>IF('03_Base_Indice'!$A50="","",'03_Base_Indice'!$A50)</f>
        <v>5. Infraestruturas e Serviços</v>
      </c>
      <c r="B50" s="6">
        <f>'03_Base_Indice'!$B50</f>
        <v>6</v>
      </c>
      <c r="D50" s="6" t="str">
        <f>IF('03_Base_Indice'!$D50="","",'03_Base_Indice'!$D50)</f>
        <v/>
      </c>
      <c r="E50" s="6" t="str">
        <f>IF('03_Base_Indice'!$E50="","",'03_Base_Indice'!$E50)</f>
        <v/>
      </c>
      <c r="K50" s="20" t="str">
        <f>IF('03_Base_Indice'!$D50="","",IF('03_Base_Indice'!K50&lt;&gt;"","OBS",IF(AND(Aux!B50&lt;&gt;"",Aux!N50&lt;&gt;"",(N(Aux!N50)-N(Aux!B50)-1)&lt;='01_Criterios'!$C$13),"EST_INTERP",IF(AND(Aux!B50&lt;&gt;"",(1-N(Aux!B50))&lt;='01_Criterios'!$C$14),"EST_CARRY_FWD",IF(AND(Aux!N50&lt;&gt;"",(N(Aux!N50)-1)&lt;='01_Criterios'!$C$15),"EST_CARRY_BWD","SEM_DADO")))))</f>
        <v/>
      </c>
      <c r="L50" s="20" t="str">
        <f>IF('03_Base_Indice'!$D50="","",IF('03_Base_Indice'!L50&lt;&gt;"","OBS",IF(AND(Aux!C50&lt;&gt;"",Aux!O50&lt;&gt;"",(N(Aux!O50)-N(Aux!C50)-1)&lt;='01_Criterios'!$C$13),"EST_INTERP",IF(AND(Aux!C50&lt;&gt;"",(2-N(Aux!C50))&lt;='01_Criterios'!$C$14),"EST_CARRY_FWD",IF(AND(Aux!O50&lt;&gt;"",(N(Aux!O50)-2)&lt;='01_Criterios'!$C$15),"EST_CARRY_BWD","SEM_DADO")))))</f>
        <v/>
      </c>
      <c r="M50" s="20" t="str">
        <f>IF('03_Base_Indice'!$D50="","",IF('03_Base_Indice'!M50&lt;&gt;"","OBS",IF(AND(Aux!D50&lt;&gt;"",Aux!P50&lt;&gt;"",(N(Aux!P50)-N(Aux!D50)-1)&lt;='01_Criterios'!$C$13),"EST_INTERP",IF(AND(Aux!D50&lt;&gt;"",(3-N(Aux!D50))&lt;='01_Criterios'!$C$14),"EST_CARRY_FWD",IF(AND(Aux!P50&lt;&gt;"",(N(Aux!P50)-3)&lt;='01_Criterios'!$C$15),"EST_CARRY_BWD","SEM_DADO")))))</f>
        <v/>
      </c>
      <c r="N50" s="20" t="str">
        <f>IF('03_Base_Indice'!$D50="","",IF('03_Base_Indice'!N50&lt;&gt;"","OBS",IF(AND(Aux!E50&lt;&gt;"",Aux!Q50&lt;&gt;"",(N(Aux!Q50)-N(Aux!E50)-1)&lt;='01_Criterios'!$C$13),"EST_INTERP",IF(AND(Aux!E50&lt;&gt;"",(4-N(Aux!E50))&lt;='01_Criterios'!$C$14),"EST_CARRY_FWD",IF(AND(Aux!Q50&lt;&gt;"",(N(Aux!Q50)-4)&lt;='01_Criterios'!$C$15),"EST_CARRY_BWD","SEM_DADO")))))</f>
        <v/>
      </c>
      <c r="O50" s="20" t="str">
        <f>IF('03_Base_Indice'!$D50="","",IF('03_Base_Indice'!O50&lt;&gt;"","OBS",IF(AND(Aux!F50&lt;&gt;"",Aux!R50&lt;&gt;"",(N(Aux!R50)-N(Aux!F50)-1)&lt;='01_Criterios'!$C$13),"EST_INTERP",IF(AND(Aux!F50&lt;&gt;"",(5-N(Aux!F50))&lt;='01_Criterios'!$C$14),"EST_CARRY_FWD",IF(AND(Aux!R50&lt;&gt;"",(N(Aux!R50)-5)&lt;='01_Criterios'!$C$15),"EST_CARRY_BWD","SEM_DADO")))))</f>
        <v/>
      </c>
      <c r="P50" s="20" t="str">
        <f>IF('03_Base_Indice'!$D50="","",IF('03_Base_Indice'!P50&lt;&gt;"","OBS",IF(AND(Aux!G50&lt;&gt;"",Aux!S50&lt;&gt;"",(N(Aux!S50)-N(Aux!G50)-1)&lt;='01_Criterios'!$C$13),"EST_INTERP",IF(AND(Aux!G50&lt;&gt;"",(6-N(Aux!G50))&lt;='01_Criterios'!$C$14),"EST_CARRY_FWD",IF(AND(Aux!S50&lt;&gt;"",(N(Aux!S50)-6)&lt;='01_Criterios'!$C$15),"EST_CARRY_BWD","SEM_DADO")))))</f>
        <v/>
      </c>
      <c r="Q50" s="20" t="str">
        <f>IF('03_Base_Indice'!$D50="","",IF('03_Base_Indice'!Q50&lt;&gt;"","OBS",IF(AND(Aux!H50&lt;&gt;"",Aux!T50&lt;&gt;"",(N(Aux!T50)-N(Aux!H50)-1)&lt;='01_Criterios'!$C$13),"EST_INTERP",IF(AND(Aux!H50&lt;&gt;"",(7-N(Aux!H50))&lt;='01_Criterios'!$C$14),"EST_CARRY_FWD",IF(AND(Aux!T50&lt;&gt;"",(N(Aux!T50)-7)&lt;='01_Criterios'!$C$15),"EST_CARRY_BWD","SEM_DADO")))))</f>
        <v/>
      </c>
      <c r="R50" s="20" t="str">
        <f>IF('03_Base_Indice'!$D50="","",IF('03_Base_Indice'!R50&lt;&gt;"","OBS",IF(AND(Aux!I50&lt;&gt;"",Aux!U50&lt;&gt;"",(N(Aux!U50)-N(Aux!I50)-1)&lt;='01_Criterios'!$C$13),"EST_INTERP",IF(AND(Aux!I50&lt;&gt;"",(8-N(Aux!I50))&lt;='01_Criterios'!$C$14),"EST_CARRY_FWD",IF(AND(Aux!U50&lt;&gt;"",(N(Aux!U50)-8)&lt;='01_Criterios'!$C$15),"EST_CARRY_BWD","SEM_DADO")))))</f>
        <v/>
      </c>
      <c r="S50" s="20" t="str">
        <f>IF('03_Base_Indice'!$D50="","",IF('03_Base_Indice'!S50&lt;&gt;"","OBS",IF(AND(Aux!J50&lt;&gt;"",Aux!V50&lt;&gt;"",(N(Aux!V50)-N(Aux!J50)-1)&lt;='01_Criterios'!$C$13),"EST_INTERP",IF(AND(Aux!J50&lt;&gt;"",(9-N(Aux!J50))&lt;='01_Criterios'!$C$14),"EST_CARRY_FWD",IF(AND(Aux!V50&lt;&gt;"",(N(Aux!V50)-9)&lt;='01_Criterios'!$C$15),"EST_CARRY_BWD","SEM_DADO")))))</f>
        <v/>
      </c>
      <c r="T50" s="20" t="str">
        <f>IF('03_Base_Indice'!$D50="","",IF('03_Base_Indice'!T50&lt;&gt;"","OBS",IF(AND(Aux!K50&lt;&gt;"",Aux!W50&lt;&gt;"",(N(Aux!W50)-N(Aux!K50)-1)&lt;='01_Criterios'!$C$13),"EST_INTERP",IF(AND(Aux!K50&lt;&gt;"",(10-N(Aux!K50))&lt;='01_Criterios'!$C$14),"EST_CARRY_FWD",IF(AND(Aux!W50&lt;&gt;"",(N(Aux!W50)-10)&lt;='01_Criterios'!$C$15),"EST_CARRY_BWD","SEM_DADO")))))</f>
        <v/>
      </c>
      <c r="U50" s="20" t="str">
        <f>IF('03_Base_Indice'!$D50="","",IF('03_Base_Indice'!U50&lt;&gt;"","OBS",IF(AND(Aux!L50&lt;&gt;"",Aux!X50&lt;&gt;"",(N(Aux!X50)-N(Aux!L50)-1)&lt;='01_Criterios'!$C$13),"EST_INTERP",IF(AND(Aux!L50&lt;&gt;"",(11-N(Aux!L50))&lt;='01_Criterios'!$C$14),"EST_CARRY_FWD",IF(AND(Aux!X50&lt;&gt;"",(N(Aux!X50)-11)&lt;='01_Criterios'!$C$15),"EST_CARRY_BWD","SEM_DADO")))))</f>
        <v/>
      </c>
      <c r="V50" s="20" t="str">
        <f>IF($D50="","",COUNTIF(K50:U50,"OBS"))</f>
        <v/>
      </c>
      <c r="W50" s="20" t="str">
        <f>IF($D50="","",COUNTIF(K50:U50,"EST_*"))</f>
        <v/>
      </c>
      <c r="X50" s="20" t="str">
        <f>IF($D50="","",COUNTIF(K50:U50,"SEM_DADO"))</f>
        <v/>
      </c>
      <c r="Y50" s="20" t="str">
        <f>IF($D50="","",(V50+W50)&amp;"/11")</f>
        <v/>
      </c>
    </row>
    <row r="51" spans="1:25">
      <c r="A51" s="6" t="str">
        <f>IF('03_Base_Indice'!$A51="","",'03_Base_Indice'!$A51)</f>
        <v>5. Infraestruturas e Serviços</v>
      </c>
      <c r="B51" s="6">
        <f>'03_Base_Indice'!$B51</f>
        <v>7</v>
      </c>
      <c r="D51" s="6" t="str">
        <f>IF('03_Base_Indice'!$D51="","",'03_Base_Indice'!$D51)</f>
        <v/>
      </c>
      <c r="E51" s="6" t="str">
        <f>IF('03_Base_Indice'!$E51="","",'03_Base_Indice'!$E51)</f>
        <v/>
      </c>
      <c r="K51" s="20" t="str">
        <f>IF('03_Base_Indice'!$D51="","",IF('03_Base_Indice'!K51&lt;&gt;"","OBS",IF(AND(Aux!B51&lt;&gt;"",Aux!N51&lt;&gt;"",(N(Aux!N51)-N(Aux!B51)-1)&lt;='01_Criterios'!$C$13),"EST_INTERP",IF(AND(Aux!B51&lt;&gt;"",(1-N(Aux!B51))&lt;='01_Criterios'!$C$14),"EST_CARRY_FWD",IF(AND(Aux!N51&lt;&gt;"",(N(Aux!N51)-1)&lt;='01_Criterios'!$C$15),"EST_CARRY_BWD","SEM_DADO")))))</f>
        <v/>
      </c>
      <c r="L51" s="20" t="str">
        <f>IF('03_Base_Indice'!$D51="","",IF('03_Base_Indice'!L51&lt;&gt;"","OBS",IF(AND(Aux!C51&lt;&gt;"",Aux!O51&lt;&gt;"",(N(Aux!O51)-N(Aux!C51)-1)&lt;='01_Criterios'!$C$13),"EST_INTERP",IF(AND(Aux!C51&lt;&gt;"",(2-N(Aux!C51))&lt;='01_Criterios'!$C$14),"EST_CARRY_FWD",IF(AND(Aux!O51&lt;&gt;"",(N(Aux!O51)-2)&lt;='01_Criterios'!$C$15),"EST_CARRY_BWD","SEM_DADO")))))</f>
        <v/>
      </c>
      <c r="M51" s="20" t="str">
        <f>IF('03_Base_Indice'!$D51="","",IF('03_Base_Indice'!M51&lt;&gt;"","OBS",IF(AND(Aux!D51&lt;&gt;"",Aux!P51&lt;&gt;"",(N(Aux!P51)-N(Aux!D51)-1)&lt;='01_Criterios'!$C$13),"EST_INTERP",IF(AND(Aux!D51&lt;&gt;"",(3-N(Aux!D51))&lt;='01_Criterios'!$C$14),"EST_CARRY_FWD",IF(AND(Aux!P51&lt;&gt;"",(N(Aux!P51)-3)&lt;='01_Criterios'!$C$15),"EST_CARRY_BWD","SEM_DADO")))))</f>
        <v/>
      </c>
      <c r="N51" s="20" t="str">
        <f>IF('03_Base_Indice'!$D51="","",IF('03_Base_Indice'!N51&lt;&gt;"","OBS",IF(AND(Aux!E51&lt;&gt;"",Aux!Q51&lt;&gt;"",(N(Aux!Q51)-N(Aux!E51)-1)&lt;='01_Criterios'!$C$13),"EST_INTERP",IF(AND(Aux!E51&lt;&gt;"",(4-N(Aux!E51))&lt;='01_Criterios'!$C$14),"EST_CARRY_FWD",IF(AND(Aux!Q51&lt;&gt;"",(N(Aux!Q51)-4)&lt;='01_Criterios'!$C$15),"EST_CARRY_BWD","SEM_DADO")))))</f>
        <v/>
      </c>
      <c r="O51" s="20" t="str">
        <f>IF('03_Base_Indice'!$D51="","",IF('03_Base_Indice'!O51&lt;&gt;"","OBS",IF(AND(Aux!F51&lt;&gt;"",Aux!R51&lt;&gt;"",(N(Aux!R51)-N(Aux!F51)-1)&lt;='01_Criterios'!$C$13),"EST_INTERP",IF(AND(Aux!F51&lt;&gt;"",(5-N(Aux!F51))&lt;='01_Criterios'!$C$14),"EST_CARRY_FWD",IF(AND(Aux!R51&lt;&gt;"",(N(Aux!R51)-5)&lt;='01_Criterios'!$C$15),"EST_CARRY_BWD","SEM_DADO")))))</f>
        <v/>
      </c>
      <c r="P51" s="20" t="str">
        <f>IF('03_Base_Indice'!$D51="","",IF('03_Base_Indice'!P51&lt;&gt;"","OBS",IF(AND(Aux!G51&lt;&gt;"",Aux!S51&lt;&gt;"",(N(Aux!S51)-N(Aux!G51)-1)&lt;='01_Criterios'!$C$13),"EST_INTERP",IF(AND(Aux!G51&lt;&gt;"",(6-N(Aux!G51))&lt;='01_Criterios'!$C$14),"EST_CARRY_FWD",IF(AND(Aux!S51&lt;&gt;"",(N(Aux!S51)-6)&lt;='01_Criterios'!$C$15),"EST_CARRY_BWD","SEM_DADO")))))</f>
        <v/>
      </c>
      <c r="Q51" s="20" t="str">
        <f>IF('03_Base_Indice'!$D51="","",IF('03_Base_Indice'!Q51&lt;&gt;"","OBS",IF(AND(Aux!H51&lt;&gt;"",Aux!T51&lt;&gt;"",(N(Aux!T51)-N(Aux!H51)-1)&lt;='01_Criterios'!$C$13),"EST_INTERP",IF(AND(Aux!H51&lt;&gt;"",(7-N(Aux!H51))&lt;='01_Criterios'!$C$14),"EST_CARRY_FWD",IF(AND(Aux!T51&lt;&gt;"",(N(Aux!T51)-7)&lt;='01_Criterios'!$C$15),"EST_CARRY_BWD","SEM_DADO")))))</f>
        <v/>
      </c>
      <c r="R51" s="20" t="str">
        <f>IF('03_Base_Indice'!$D51="","",IF('03_Base_Indice'!R51&lt;&gt;"","OBS",IF(AND(Aux!I51&lt;&gt;"",Aux!U51&lt;&gt;"",(N(Aux!U51)-N(Aux!I51)-1)&lt;='01_Criterios'!$C$13),"EST_INTERP",IF(AND(Aux!I51&lt;&gt;"",(8-N(Aux!I51))&lt;='01_Criterios'!$C$14),"EST_CARRY_FWD",IF(AND(Aux!U51&lt;&gt;"",(N(Aux!U51)-8)&lt;='01_Criterios'!$C$15),"EST_CARRY_BWD","SEM_DADO")))))</f>
        <v/>
      </c>
      <c r="S51" s="20" t="str">
        <f>IF('03_Base_Indice'!$D51="","",IF('03_Base_Indice'!S51&lt;&gt;"","OBS",IF(AND(Aux!J51&lt;&gt;"",Aux!V51&lt;&gt;"",(N(Aux!V51)-N(Aux!J51)-1)&lt;='01_Criterios'!$C$13),"EST_INTERP",IF(AND(Aux!J51&lt;&gt;"",(9-N(Aux!J51))&lt;='01_Criterios'!$C$14),"EST_CARRY_FWD",IF(AND(Aux!V51&lt;&gt;"",(N(Aux!V51)-9)&lt;='01_Criterios'!$C$15),"EST_CARRY_BWD","SEM_DADO")))))</f>
        <v/>
      </c>
      <c r="T51" s="20" t="str">
        <f>IF('03_Base_Indice'!$D51="","",IF('03_Base_Indice'!T51&lt;&gt;"","OBS",IF(AND(Aux!K51&lt;&gt;"",Aux!W51&lt;&gt;"",(N(Aux!W51)-N(Aux!K51)-1)&lt;='01_Criterios'!$C$13),"EST_INTERP",IF(AND(Aux!K51&lt;&gt;"",(10-N(Aux!K51))&lt;='01_Criterios'!$C$14),"EST_CARRY_FWD",IF(AND(Aux!W51&lt;&gt;"",(N(Aux!W51)-10)&lt;='01_Criterios'!$C$15),"EST_CARRY_BWD","SEM_DADO")))))</f>
        <v/>
      </c>
      <c r="U51" s="20" t="str">
        <f>IF('03_Base_Indice'!$D51="","",IF('03_Base_Indice'!U51&lt;&gt;"","OBS",IF(AND(Aux!L51&lt;&gt;"",Aux!X51&lt;&gt;"",(N(Aux!X51)-N(Aux!L51)-1)&lt;='01_Criterios'!$C$13),"EST_INTERP",IF(AND(Aux!L51&lt;&gt;"",(11-N(Aux!L51))&lt;='01_Criterios'!$C$14),"EST_CARRY_FWD",IF(AND(Aux!X51&lt;&gt;"",(N(Aux!X51)-11)&lt;='01_Criterios'!$C$15),"EST_CARRY_BWD","SEM_DADO")))))</f>
        <v/>
      </c>
      <c r="V51" s="20" t="str">
        <f>IF($D51="","",COUNTIF(K51:U51,"OBS"))</f>
        <v/>
      </c>
      <c r="W51" s="20" t="str">
        <f>IF($D51="","",COUNTIF(K51:U51,"EST_*"))</f>
        <v/>
      </c>
      <c r="X51" s="20" t="str">
        <f>IF($D51="","",COUNTIF(K51:U51,"SEM_DADO"))</f>
        <v/>
      </c>
      <c r="Y51" s="20" t="str">
        <f>IF($D51="","",(V51+W51)&amp;"/11")</f>
        <v/>
      </c>
    </row>
    <row r="52" spans="1:25">
      <c r="A52" s="6" t="str">
        <f>IF('03_Base_Indice'!$A52="","",'03_Base_Indice'!$A52)</f>
        <v>5. Infraestruturas e Serviços</v>
      </c>
      <c r="B52" s="6">
        <f>'03_Base_Indice'!$B52</f>
        <v>8</v>
      </c>
      <c r="D52" s="6" t="str">
        <f>IF('03_Base_Indice'!$D52="","",'03_Base_Indice'!$D52)</f>
        <v/>
      </c>
      <c r="E52" s="6" t="str">
        <f>IF('03_Base_Indice'!$E52="","",'03_Base_Indice'!$E52)</f>
        <v/>
      </c>
      <c r="K52" s="20" t="str">
        <f>IF('03_Base_Indice'!$D52="","",IF('03_Base_Indice'!K52&lt;&gt;"","OBS",IF(AND(Aux!B52&lt;&gt;"",Aux!N52&lt;&gt;"",(N(Aux!N52)-N(Aux!B52)-1)&lt;='01_Criterios'!$C$13),"EST_INTERP",IF(AND(Aux!B52&lt;&gt;"",(1-N(Aux!B52))&lt;='01_Criterios'!$C$14),"EST_CARRY_FWD",IF(AND(Aux!N52&lt;&gt;"",(N(Aux!N52)-1)&lt;='01_Criterios'!$C$15),"EST_CARRY_BWD","SEM_DADO")))))</f>
        <v/>
      </c>
      <c r="L52" s="20" t="str">
        <f>IF('03_Base_Indice'!$D52="","",IF('03_Base_Indice'!L52&lt;&gt;"","OBS",IF(AND(Aux!C52&lt;&gt;"",Aux!O52&lt;&gt;"",(N(Aux!O52)-N(Aux!C52)-1)&lt;='01_Criterios'!$C$13),"EST_INTERP",IF(AND(Aux!C52&lt;&gt;"",(2-N(Aux!C52))&lt;='01_Criterios'!$C$14),"EST_CARRY_FWD",IF(AND(Aux!O52&lt;&gt;"",(N(Aux!O52)-2)&lt;='01_Criterios'!$C$15),"EST_CARRY_BWD","SEM_DADO")))))</f>
        <v/>
      </c>
      <c r="M52" s="20" t="str">
        <f>IF('03_Base_Indice'!$D52="","",IF('03_Base_Indice'!M52&lt;&gt;"","OBS",IF(AND(Aux!D52&lt;&gt;"",Aux!P52&lt;&gt;"",(N(Aux!P52)-N(Aux!D52)-1)&lt;='01_Criterios'!$C$13),"EST_INTERP",IF(AND(Aux!D52&lt;&gt;"",(3-N(Aux!D52))&lt;='01_Criterios'!$C$14),"EST_CARRY_FWD",IF(AND(Aux!P52&lt;&gt;"",(N(Aux!P52)-3)&lt;='01_Criterios'!$C$15),"EST_CARRY_BWD","SEM_DADO")))))</f>
        <v/>
      </c>
      <c r="N52" s="20" t="str">
        <f>IF('03_Base_Indice'!$D52="","",IF('03_Base_Indice'!N52&lt;&gt;"","OBS",IF(AND(Aux!E52&lt;&gt;"",Aux!Q52&lt;&gt;"",(N(Aux!Q52)-N(Aux!E52)-1)&lt;='01_Criterios'!$C$13),"EST_INTERP",IF(AND(Aux!E52&lt;&gt;"",(4-N(Aux!E52))&lt;='01_Criterios'!$C$14),"EST_CARRY_FWD",IF(AND(Aux!Q52&lt;&gt;"",(N(Aux!Q52)-4)&lt;='01_Criterios'!$C$15),"EST_CARRY_BWD","SEM_DADO")))))</f>
        <v/>
      </c>
      <c r="O52" s="20" t="str">
        <f>IF('03_Base_Indice'!$D52="","",IF('03_Base_Indice'!O52&lt;&gt;"","OBS",IF(AND(Aux!F52&lt;&gt;"",Aux!R52&lt;&gt;"",(N(Aux!R52)-N(Aux!F52)-1)&lt;='01_Criterios'!$C$13),"EST_INTERP",IF(AND(Aux!F52&lt;&gt;"",(5-N(Aux!F52))&lt;='01_Criterios'!$C$14),"EST_CARRY_FWD",IF(AND(Aux!R52&lt;&gt;"",(N(Aux!R52)-5)&lt;='01_Criterios'!$C$15),"EST_CARRY_BWD","SEM_DADO")))))</f>
        <v/>
      </c>
      <c r="P52" s="20" t="str">
        <f>IF('03_Base_Indice'!$D52="","",IF('03_Base_Indice'!P52&lt;&gt;"","OBS",IF(AND(Aux!G52&lt;&gt;"",Aux!S52&lt;&gt;"",(N(Aux!S52)-N(Aux!G52)-1)&lt;='01_Criterios'!$C$13),"EST_INTERP",IF(AND(Aux!G52&lt;&gt;"",(6-N(Aux!G52))&lt;='01_Criterios'!$C$14),"EST_CARRY_FWD",IF(AND(Aux!S52&lt;&gt;"",(N(Aux!S52)-6)&lt;='01_Criterios'!$C$15),"EST_CARRY_BWD","SEM_DADO")))))</f>
        <v/>
      </c>
      <c r="Q52" s="20" t="str">
        <f>IF('03_Base_Indice'!$D52="","",IF('03_Base_Indice'!Q52&lt;&gt;"","OBS",IF(AND(Aux!H52&lt;&gt;"",Aux!T52&lt;&gt;"",(N(Aux!T52)-N(Aux!H52)-1)&lt;='01_Criterios'!$C$13),"EST_INTERP",IF(AND(Aux!H52&lt;&gt;"",(7-N(Aux!H52))&lt;='01_Criterios'!$C$14),"EST_CARRY_FWD",IF(AND(Aux!T52&lt;&gt;"",(N(Aux!T52)-7)&lt;='01_Criterios'!$C$15),"EST_CARRY_BWD","SEM_DADO")))))</f>
        <v/>
      </c>
      <c r="R52" s="20" t="str">
        <f>IF('03_Base_Indice'!$D52="","",IF('03_Base_Indice'!R52&lt;&gt;"","OBS",IF(AND(Aux!I52&lt;&gt;"",Aux!U52&lt;&gt;"",(N(Aux!U52)-N(Aux!I52)-1)&lt;='01_Criterios'!$C$13),"EST_INTERP",IF(AND(Aux!I52&lt;&gt;"",(8-N(Aux!I52))&lt;='01_Criterios'!$C$14),"EST_CARRY_FWD",IF(AND(Aux!U52&lt;&gt;"",(N(Aux!U52)-8)&lt;='01_Criterios'!$C$15),"EST_CARRY_BWD","SEM_DADO")))))</f>
        <v/>
      </c>
      <c r="S52" s="20" t="str">
        <f>IF('03_Base_Indice'!$D52="","",IF('03_Base_Indice'!S52&lt;&gt;"","OBS",IF(AND(Aux!J52&lt;&gt;"",Aux!V52&lt;&gt;"",(N(Aux!V52)-N(Aux!J52)-1)&lt;='01_Criterios'!$C$13),"EST_INTERP",IF(AND(Aux!J52&lt;&gt;"",(9-N(Aux!J52))&lt;='01_Criterios'!$C$14),"EST_CARRY_FWD",IF(AND(Aux!V52&lt;&gt;"",(N(Aux!V52)-9)&lt;='01_Criterios'!$C$15),"EST_CARRY_BWD","SEM_DADO")))))</f>
        <v/>
      </c>
      <c r="T52" s="20" t="str">
        <f>IF('03_Base_Indice'!$D52="","",IF('03_Base_Indice'!T52&lt;&gt;"","OBS",IF(AND(Aux!K52&lt;&gt;"",Aux!W52&lt;&gt;"",(N(Aux!W52)-N(Aux!K52)-1)&lt;='01_Criterios'!$C$13),"EST_INTERP",IF(AND(Aux!K52&lt;&gt;"",(10-N(Aux!K52))&lt;='01_Criterios'!$C$14),"EST_CARRY_FWD",IF(AND(Aux!W52&lt;&gt;"",(N(Aux!W52)-10)&lt;='01_Criterios'!$C$15),"EST_CARRY_BWD","SEM_DADO")))))</f>
        <v/>
      </c>
      <c r="U52" s="20" t="str">
        <f>IF('03_Base_Indice'!$D52="","",IF('03_Base_Indice'!U52&lt;&gt;"","OBS",IF(AND(Aux!L52&lt;&gt;"",Aux!X52&lt;&gt;"",(N(Aux!X52)-N(Aux!L52)-1)&lt;='01_Criterios'!$C$13),"EST_INTERP",IF(AND(Aux!L52&lt;&gt;"",(11-N(Aux!L52))&lt;='01_Criterios'!$C$14),"EST_CARRY_FWD",IF(AND(Aux!X52&lt;&gt;"",(N(Aux!X52)-11)&lt;='01_Criterios'!$C$15),"EST_CARRY_BWD","SEM_DADO")))))</f>
        <v/>
      </c>
      <c r="V52" s="20" t="str">
        <f>IF($D52="","",COUNTIF(K52:U52,"OBS"))</f>
        <v/>
      </c>
      <c r="W52" s="20" t="str">
        <f>IF($D52="","",COUNTIF(K52:U52,"EST_*"))</f>
        <v/>
      </c>
      <c r="X52" s="20" t="str">
        <f>IF($D52="","",COUNTIF(K52:U52,"SEM_DADO"))</f>
        <v/>
      </c>
      <c r="Y52" s="20" t="str">
        <f>IF($D52="","",(V52+W52)&amp;"/11")</f>
        <v/>
      </c>
    </row>
    <row r="53" spans="1:25">
      <c r="A53" s="6" t="str">
        <f>IF('03_Base_Indice'!$A53="","",'03_Base_Indice'!$A53)</f>
        <v>5. Infraestruturas e Serviços</v>
      </c>
      <c r="B53" s="6">
        <f>'03_Base_Indice'!$B53</f>
        <v>9</v>
      </c>
      <c r="D53" s="6" t="str">
        <f>IF('03_Base_Indice'!$D53="","",'03_Base_Indice'!$D53)</f>
        <v/>
      </c>
      <c r="E53" s="6" t="str">
        <f>IF('03_Base_Indice'!$E53="","",'03_Base_Indice'!$E53)</f>
        <v/>
      </c>
      <c r="K53" s="20" t="str">
        <f>IF('03_Base_Indice'!$D53="","",IF('03_Base_Indice'!K53&lt;&gt;"","OBS",IF(AND(Aux!B53&lt;&gt;"",Aux!N53&lt;&gt;"",(N(Aux!N53)-N(Aux!B53)-1)&lt;='01_Criterios'!$C$13),"EST_INTERP",IF(AND(Aux!B53&lt;&gt;"",(1-N(Aux!B53))&lt;='01_Criterios'!$C$14),"EST_CARRY_FWD",IF(AND(Aux!N53&lt;&gt;"",(N(Aux!N53)-1)&lt;='01_Criterios'!$C$15),"EST_CARRY_BWD","SEM_DADO")))))</f>
        <v/>
      </c>
      <c r="L53" s="20" t="str">
        <f>IF('03_Base_Indice'!$D53="","",IF('03_Base_Indice'!L53&lt;&gt;"","OBS",IF(AND(Aux!C53&lt;&gt;"",Aux!O53&lt;&gt;"",(N(Aux!O53)-N(Aux!C53)-1)&lt;='01_Criterios'!$C$13),"EST_INTERP",IF(AND(Aux!C53&lt;&gt;"",(2-N(Aux!C53))&lt;='01_Criterios'!$C$14),"EST_CARRY_FWD",IF(AND(Aux!O53&lt;&gt;"",(N(Aux!O53)-2)&lt;='01_Criterios'!$C$15),"EST_CARRY_BWD","SEM_DADO")))))</f>
        <v/>
      </c>
      <c r="M53" s="20" t="str">
        <f>IF('03_Base_Indice'!$D53="","",IF('03_Base_Indice'!M53&lt;&gt;"","OBS",IF(AND(Aux!D53&lt;&gt;"",Aux!P53&lt;&gt;"",(N(Aux!P53)-N(Aux!D53)-1)&lt;='01_Criterios'!$C$13),"EST_INTERP",IF(AND(Aux!D53&lt;&gt;"",(3-N(Aux!D53))&lt;='01_Criterios'!$C$14),"EST_CARRY_FWD",IF(AND(Aux!P53&lt;&gt;"",(N(Aux!P53)-3)&lt;='01_Criterios'!$C$15),"EST_CARRY_BWD","SEM_DADO")))))</f>
        <v/>
      </c>
      <c r="N53" s="20" t="str">
        <f>IF('03_Base_Indice'!$D53="","",IF('03_Base_Indice'!N53&lt;&gt;"","OBS",IF(AND(Aux!E53&lt;&gt;"",Aux!Q53&lt;&gt;"",(N(Aux!Q53)-N(Aux!E53)-1)&lt;='01_Criterios'!$C$13),"EST_INTERP",IF(AND(Aux!E53&lt;&gt;"",(4-N(Aux!E53))&lt;='01_Criterios'!$C$14),"EST_CARRY_FWD",IF(AND(Aux!Q53&lt;&gt;"",(N(Aux!Q53)-4)&lt;='01_Criterios'!$C$15),"EST_CARRY_BWD","SEM_DADO")))))</f>
        <v/>
      </c>
      <c r="O53" s="20" t="str">
        <f>IF('03_Base_Indice'!$D53="","",IF('03_Base_Indice'!O53&lt;&gt;"","OBS",IF(AND(Aux!F53&lt;&gt;"",Aux!R53&lt;&gt;"",(N(Aux!R53)-N(Aux!F53)-1)&lt;='01_Criterios'!$C$13),"EST_INTERP",IF(AND(Aux!F53&lt;&gt;"",(5-N(Aux!F53))&lt;='01_Criterios'!$C$14),"EST_CARRY_FWD",IF(AND(Aux!R53&lt;&gt;"",(N(Aux!R53)-5)&lt;='01_Criterios'!$C$15),"EST_CARRY_BWD","SEM_DADO")))))</f>
        <v/>
      </c>
      <c r="P53" s="20" t="str">
        <f>IF('03_Base_Indice'!$D53="","",IF('03_Base_Indice'!P53&lt;&gt;"","OBS",IF(AND(Aux!G53&lt;&gt;"",Aux!S53&lt;&gt;"",(N(Aux!S53)-N(Aux!G53)-1)&lt;='01_Criterios'!$C$13),"EST_INTERP",IF(AND(Aux!G53&lt;&gt;"",(6-N(Aux!G53))&lt;='01_Criterios'!$C$14),"EST_CARRY_FWD",IF(AND(Aux!S53&lt;&gt;"",(N(Aux!S53)-6)&lt;='01_Criterios'!$C$15),"EST_CARRY_BWD","SEM_DADO")))))</f>
        <v/>
      </c>
      <c r="Q53" s="20" t="str">
        <f>IF('03_Base_Indice'!$D53="","",IF('03_Base_Indice'!Q53&lt;&gt;"","OBS",IF(AND(Aux!H53&lt;&gt;"",Aux!T53&lt;&gt;"",(N(Aux!T53)-N(Aux!H53)-1)&lt;='01_Criterios'!$C$13),"EST_INTERP",IF(AND(Aux!H53&lt;&gt;"",(7-N(Aux!H53))&lt;='01_Criterios'!$C$14),"EST_CARRY_FWD",IF(AND(Aux!T53&lt;&gt;"",(N(Aux!T53)-7)&lt;='01_Criterios'!$C$15),"EST_CARRY_BWD","SEM_DADO")))))</f>
        <v/>
      </c>
      <c r="R53" s="20" t="str">
        <f>IF('03_Base_Indice'!$D53="","",IF('03_Base_Indice'!R53&lt;&gt;"","OBS",IF(AND(Aux!I53&lt;&gt;"",Aux!U53&lt;&gt;"",(N(Aux!U53)-N(Aux!I53)-1)&lt;='01_Criterios'!$C$13),"EST_INTERP",IF(AND(Aux!I53&lt;&gt;"",(8-N(Aux!I53))&lt;='01_Criterios'!$C$14),"EST_CARRY_FWD",IF(AND(Aux!U53&lt;&gt;"",(N(Aux!U53)-8)&lt;='01_Criterios'!$C$15),"EST_CARRY_BWD","SEM_DADO")))))</f>
        <v/>
      </c>
      <c r="S53" s="20" t="str">
        <f>IF('03_Base_Indice'!$D53="","",IF('03_Base_Indice'!S53&lt;&gt;"","OBS",IF(AND(Aux!J53&lt;&gt;"",Aux!V53&lt;&gt;"",(N(Aux!V53)-N(Aux!J53)-1)&lt;='01_Criterios'!$C$13),"EST_INTERP",IF(AND(Aux!J53&lt;&gt;"",(9-N(Aux!J53))&lt;='01_Criterios'!$C$14),"EST_CARRY_FWD",IF(AND(Aux!V53&lt;&gt;"",(N(Aux!V53)-9)&lt;='01_Criterios'!$C$15),"EST_CARRY_BWD","SEM_DADO")))))</f>
        <v/>
      </c>
      <c r="T53" s="20" t="str">
        <f>IF('03_Base_Indice'!$D53="","",IF('03_Base_Indice'!T53&lt;&gt;"","OBS",IF(AND(Aux!K53&lt;&gt;"",Aux!W53&lt;&gt;"",(N(Aux!W53)-N(Aux!K53)-1)&lt;='01_Criterios'!$C$13),"EST_INTERP",IF(AND(Aux!K53&lt;&gt;"",(10-N(Aux!K53))&lt;='01_Criterios'!$C$14),"EST_CARRY_FWD",IF(AND(Aux!W53&lt;&gt;"",(N(Aux!W53)-10)&lt;='01_Criterios'!$C$15),"EST_CARRY_BWD","SEM_DADO")))))</f>
        <v/>
      </c>
      <c r="U53" s="20" t="str">
        <f>IF('03_Base_Indice'!$D53="","",IF('03_Base_Indice'!U53&lt;&gt;"","OBS",IF(AND(Aux!L53&lt;&gt;"",Aux!X53&lt;&gt;"",(N(Aux!X53)-N(Aux!L53)-1)&lt;='01_Criterios'!$C$13),"EST_INTERP",IF(AND(Aux!L53&lt;&gt;"",(11-N(Aux!L53))&lt;='01_Criterios'!$C$14),"EST_CARRY_FWD",IF(AND(Aux!X53&lt;&gt;"",(N(Aux!X53)-11)&lt;='01_Criterios'!$C$15),"EST_CARRY_BWD","SEM_DADO")))))</f>
        <v/>
      </c>
      <c r="V53" s="20" t="str">
        <f>IF($D53="","",COUNTIF(K53:U53,"OBS"))</f>
        <v/>
      </c>
      <c r="W53" s="20" t="str">
        <f>IF($D53="","",COUNTIF(K53:U53,"EST_*"))</f>
        <v/>
      </c>
      <c r="X53" s="20" t="str">
        <f>IF($D53="","",COUNTIF(K53:U53,"SEM_DADO"))</f>
        <v/>
      </c>
      <c r="Y53" s="20" t="str">
        <f>IF($D53="","",(V53+W53)&amp;"/11")</f>
        <v/>
      </c>
    </row>
    <row r="54" spans="1:25">
      <c r="A54" s="6" t="str">
        <f>IF('03_Base_Indice'!$A54="","",'03_Base_Indice'!$A54)</f>
        <v>5. Infraestruturas e Serviços</v>
      </c>
      <c r="B54" s="6">
        <f>'03_Base_Indice'!$B54</f>
        <v>10</v>
      </c>
      <c r="D54" s="6" t="str">
        <f>IF('03_Base_Indice'!$D54="","",'03_Base_Indice'!$D54)</f>
        <v/>
      </c>
      <c r="E54" s="6" t="str">
        <f>IF('03_Base_Indice'!$E54="","",'03_Base_Indice'!$E54)</f>
        <v/>
      </c>
      <c r="K54" s="20" t="str">
        <f>IF('03_Base_Indice'!$D54="","",IF('03_Base_Indice'!K54&lt;&gt;"","OBS",IF(AND(Aux!B54&lt;&gt;"",Aux!N54&lt;&gt;"",(N(Aux!N54)-N(Aux!B54)-1)&lt;='01_Criterios'!$C$13),"EST_INTERP",IF(AND(Aux!B54&lt;&gt;"",(1-N(Aux!B54))&lt;='01_Criterios'!$C$14),"EST_CARRY_FWD",IF(AND(Aux!N54&lt;&gt;"",(N(Aux!N54)-1)&lt;='01_Criterios'!$C$15),"EST_CARRY_BWD","SEM_DADO")))))</f>
        <v/>
      </c>
      <c r="L54" s="20" t="str">
        <f>IF('03_Base_Indice'!$D54="","",IF('03_Base_Indice'!L54&lt;&gt;"","OBS",IF(AND(Aux!C54&lt;&gt;"",Aux!O54&lt;&gt;"",(N(Aux!O54)-N(Aux!C54)-1)&lt;='01_Criterios'!$C$13),"EST_INTERP",IF(AND(Aux!C54&lt;&gt;"",(2-N(Aux!C54))&lt;='01_Criterios'!$C$14),"EST_CARRY_FWD",IF(AND(Aux!O54&lt;&gt;"",(N(Aux!O54)-2)&lt;='01_Criterios'!$C$15),"EST_CARRY_BWD","SEM_DADO")))))</f>
        <v/>
      </c>
      <c r="M54" s="20" t="str">
        <f>IF('03_Base_Indice'!$D54="","",IF('03_Base_Indice'!M54&lt;&gt;"","OBS",IF(AND(Aux!D54&lt;&gt;"",Aux!P54&lt;&gt;"",(N(Aux!P54)-N(Aux!D54)-1)&lt;='01_Criterios'!$C$13),"EST_INTERP",IF(AND(Aux!D54&lt;&gt;"",(3-N(Aux!D54))&lt;='01_Criterios'!$C$14),"EST_CARRY_FWD",IF(AND(Aux!P54&lt;&gt;"",(N(Aux!P54)-3)&lt;='01_Criterios'!$C$15),"EST_CARRY_BWD","SEM_DADO")))))</f>
        <v/>
      </c>
      <c r="N54" s="20" t="str">
        <f>IF('03_Base_Indice'!$D54="","",IF('03_Base_Indice'!N54&lt;&gt;"","OBS",IF(AND(Aux!E54&lt;&gt;"",Aux!Q54&lt;&gt;"",(N(Aux!Q54)-N(Aux!E54)-1)&lt;='01_Criterios'!$C$13),"EST_INTERP",IF(AND(Aux!E54&lt;&gt;"",(4-N(Aux!E54))&lt;='01_Criterios'!$C$14),"EST_CARRY_FWD",IF(AND(Aux!Q54&lt;&gt;"",(N(Aux!Q54)-4)&lt;='01_Criterios'!$C$15),"EST_CARRY_BWD","SEM_DADO")))))</f>
        <v/>
      </c>
      <c r="O54" s="20" t="str">
        <f>IF('03_Base_Indice'!$D54="","",IF('03_Base_Indice'!O54&lt;&gt;"","OBS",IF(AND(Aux!F54&lt;&gt;"",Aux!R54&lt;&gt;"",(N(Aux!R54)-N(Aux!F54)-1)&lt;='01_Criterios'!$C$13),"EST_INTERP",IF(AND(Aux!F54&lt;&gt;"",(5-N(Aux!F54))&lt;='01_Criterios'!$C$14),"EST_CARRY_FWD",IF(AND(Aux!R54&lt;&gt;"",(N(Aux!R54)-5)&lt;='01_Criterios'!$C$15),"EST_CARRY_BWD","SEM_DADO")))))</f>
        <v/>
      </c>
      <c r="P54" s="20" t="str">
        <f>IF('03_Base_Indice'!$D54="","",IF('03_Base_Indice'!P54&lt;&gt;"","OBS",IF(AND(Aux!G54&lt;&gt;"",Aux!S54&lt;&gt;"",(N(Aux!S54)-N(Aux!G54)-1)&lt;='01_Criterios'!$C$13),"EST_INTERP",IF(AND(Aux!G54&lt;&gt;"",(6-N(Aux!G54))&lt;='01_Criterios'!$C$14),"EST_CARRY_FWD",IF(AND(Aux!S54&lt;&gt;"",(N(Aux!S54)-6)&lt;='01_Criterios'!$C$15),"EST_CARRY_BWD","SEM_DADO")))))</f>
        <v/>
      </c>
      <c r="Q54" s="20" t="str">
        <f>IF('03_Base_Indice'!$D54="","",IF('03_Base_Indice'!Q54&lt;&gt;"","OBS",IF(AND(Aux!H54&lt;&gt;"",Aux!T54&lt;&gt;"",(N(Aux!T54)-N(Aux!H54)-1)&lt;='01_Criterios'!$C$13),"EST_INTERP",IF(AND(Aux!H54&lt;&gt;"",(7-N(Aux!H54))&lt;='01_Criterios'!$C$14),"EST_CARRY_FWD",IF(AND(Aux!T54&lt;&gt;"",(N(Aux!T54)-7)&lt;='01_Criterios'!$C$15),"EST_CARRY_BWD","SEM_DADO")))))</f>
        <v/>
      </c>
      <c r="R54" s="20" t="str">
        <f>IF('03_Base_Indice'!$D54="","",IF('03_Base_Indice'!R54&lt;&gt;"","OBS",IF(AND(Aux!I54&lt;&gt;"",Aux!U54&lt;&gt;"",(N(Aux!U54)-N(Aux!I54)-1)&lt;='01_Criterios'!$C$13),"EST_INTERP",IF(AND(Aux!I54&lt;&gt;"",(8-N(Aux!I54))&lt;='01_Criterios'!$C$14),"EST_CARRY_FWD",IF(AND(Aux!U54&lt;&gt;"",(N(Aux!U54)-8)&lt;='01_Criterios'!$C$15),"EST_CARRY_BWD","SEM_DADO")))))</f>
        <v/>
      </c>
      <c r="S54" s="20" t="str">
        <f>IF('03_Base_Indice'!$D54="","",IF('03_Base_Indice'!S54&lt;&gt;"","OBS",IF(AND(Aux!J54&lt;&gt;"",Aux!V54&lt;&gt;"",(N(Aux!V54)-N(Aux!J54)-1)&lt;='01_Criterios'!$C$13),"EST_INTERP",IF(AND(Aux!J54&lt;&gt;"",(9-N(Aux!J54))&lt;='01_Criterios'!$C$14),"EST_CARRY_FWD",IF(AND(Aux!V54&lt;&gt;"",(N(Aux!V54)-9)&lt;='01_Criterios'!$C$15),"EST_CARRY_BWD","SEM_DADO")))))</f>
        <v/>
      </c>
      <c r="T54" s="20" t="str">
        <f>IF('03_Base_Indice'!$D54="","",IF('03_Base_Indice'!T54&lt;&gt;"","OBS",IF(AND(Aux!K54&lt;&gt;"",Aux!W54&lt;&gt;"",(N(Aux!W54)-N(Aux!K54)-1)&lt;='01_Criterios'!$C$13),"EST_INTERP",IF(AND(Aux!K54&lt;&gt;"",(10-N(Aux!K54))&lt;='01_Criterios'!$C$14),"EST_CARRY_FWD",IF(AND(Aux!W54&lt;&gt;"",(N(Aux!W54)-10)&lt;='01_Criterios'!$C$15),"EST_CARRY_BWD","SEM_DADO")))))</f>
        <v/>
      </c>
      <c r="U54" s="20" t="str">
        <f>IF('03_Base_Indice'!$D54="","",IF('03_Base_Indice'!U54&lt;&gt;"","OBS",IF(AND(Aux!L54&lt;&gt;"",Aux!X54&lt;&gt;"",(N(Aux!X54)-N(Aux!L54)-1)&lt;='01_Criterios'!$C$13),"EST_INTERP",IF(AND(Aux!L54&lt;&gt;"",(11-N(Aux!L54))&lt;='01_Criterios'!$C$14),"EST_CARRY_FWD",IF(AND(Aux!X54&lt;&gt;"",(N(Aux!X54)-11)&lt;='01_Criterios'!$C$15),"EST_CARRY_BWD","SEM_DADO")))))</f>
        <v/>
      </c>
      <c r="V54" s="20" t="str">
        <f>IF($D54="","",COUNTIF(K54:U54,"OBS"))</f>
        <v/>
      </c>
      <c r="W54" s="20" t="str">
        <f>IF($D54="","",COUNTIF(K54:U54,"EST_*"))</f>
        <v/>
      </c>
      <c r="X54" s="20" t="str">
        <f>IF($D54="","",COUNTIF(K54:U54,"SEM_DADO"))</f>
        <v/>
      </c>
      <c r="Y54" s="20" t="str">
        <f>IF($D54="","",(V54+W54)&amp;"/11")</f>
        <v/>
      </c>
    </row>
    <row r="55" spans="1:25">
      <c r="A55" s="6" t="str">
        <f>IF('03_Base_Indice'!$A55="","",'03_Base_Indice'!$A55)</f>
        <v>6. Mercado de Trabalho</v>
      </c>
      <c r="B55" s="6">
        <f>'03_Base_Indice'!$B55</f>
        <v>1</v>
      </c>
      <c r="D55" s="6" t="str">
        <f>IF('03_Base_Indice'!$D55="","",'03_Base_Indice'!$D55)</f>
        <v>LAB001</v>
      </c>
      <c r="E55" s="6" t="str">
        <f>IF('03_Base_Indice'!$E55="","",'03_Base_Indice'!$E55)</f>
        <v>Taxa de Emprego</v>
      </c>
      <c r="K55" s="20" t="str">
        <f>IF('03_Base_Indice'!$D55="","",IF('03_Base_Indice'!K55&lt;&gt;"","OBS",IF(AND(Aux!B55&lt;&gt;"",Aux!N55&lt;&gt;"",(N(Aux!N55)-N(Aux!B55)-1)&lt;='01_Criterios'!$C$13),"EST_INTERP",IF(AND(Aux!B55&lt;&gt;"",(1-N(Aux!B55))&lt;='01_Criterios'!$C$14),"EST_CARRY_FWD",IF(AND(Aux!N55&lt;&gt;"",(N(Aux!N55)-1)&lt;='01_Criterios'!$C$15),"EST_CARRY_BWD","SEM_DADO")))))</f>
        <v>OBS</v>
      </c>
      <c r="L55" s="20" t="str">
        <f>IF('03_Base_Indice'!$D55="","",IF('03_Base_Indice'!L55&lt;&gt;"","OBS",IF(AND(Aux!C55&lt;&gt;"",Aux!O55&lt;&gt;"",(N(Aux!O55)-N(Aux!C55)-1)&lt;='01_Criterios'!$C$13),"EST_INTERP",IF(AND(Aux!C55&lt;&gt;"",(2-N(Aux!C55))&lt;='01_Criterios'!$C$14),"EST_CARRY_FWD",IF(AND(Aux!O55&lt;&gt;"",(N(Aux!O55)-2)&lt;='01_Criterios'!$C$15),"EST_CARRY_BWD","SEM_DADO")))))</f>
        <v>OBS</v>
      </c>
      <c r="M55" s="20" t="str">
        <f>IF('03_Base_Indice'!$D55="","",IF('03_Base_Indice'!M55&lt;&gt;"","OBS",IF(AND(Aux!D55&lt;&gt;"",Aux!P55&lt;&gt;"",(N(Aux!P55)-N(Aux!D55)-1)&lt;='01_Criterios'!$C$13),"EST_INTERP",IF(AND(Aux!D55&lt;&gt;"",(3-N(Aux!D55))&lt;='01_Criterios'!$C$14),"EST_CARRY_FWD",IF(AND(Aux!P55&lt;&gt;"",(N(Aux!P55)-3)&lt;='01_Criterios'!$C$15),"EST_CARRY_BWD","SEM_DADO")))))</f>
        <v>OBS</v>
      </c>
      <c r="N55" s="20" t="str">
        <f>IF('03_Base_Indice'!$D55="","",IF('03_Base_Indice'!N55&lt;&gt;"","OBS",IF(AND(Aux!E55&lt;&gt;"",Aux!Q55&lt;&gt;"",(N(Aux!Q55)-N(Aux!E55)-1)&lt;='01_Criterios'!$C$13),"EST_INTERP",IF(AND(Aux!E55&lt;&gt;"",(4-N(Aux!E55))&lt;='01_Criterios'!$C$14),"EST_CARRY_FWD",IF(AND(Aux!Q55&lt;&gt;"",(N(Aux!Q55)-4)&lt;='01_Criterios'!$C$15),"EST_CARRY_BWD","SEM_DADO")))))</f>
        <v>OBS</v>
      </c>
      <c r="O55" s="20" t="str">
        <f>IF('03_Base_Indice'!$D55="","",IF('03_Base_Indice'!O55&lt;&gt;"","OBS",IF(AND(Aux!F55&lt;&gt;"",Aux!R55&lt;&gt;"",(N(Aux!R55)-N(Aux!F55)-1)&lt;='01_Criterios'!$C$13),"EST_INTERP",IF(AND(Aux!F55&lt;&gt;"",(5-N(Aux!F55))&lt;='01_Criterios'!$C$14),"EST_CARRY_FWD",IF(AND(Aux!R55&lt;&gt;"",(N(Aux!R55)-5)&lt;='01_Criterios'!$C$15),"EST_CARRY_BWD","SEM_DADO")))))</f>
        <v>OBS</v>
      </c>
      <c r="P55" s="20" t="str">
        <f>IF('03_Base_Indice'!$D55="","",IF('03_Base_Indice'!P55&lt;&gt;"","OBS",IF(AND(Aux!G55&lt;&gt;"",Aux!S55&lt;&gt;"",(N(Aux!S55)-N(Aux!G55)-1)&lt;='01_Criterios'!$C$13),"EST_INTERP",IF(AND(Aux!G55&lt;&gt;"",(6-N(Aux!G55))&lt;='01_Criterios'!$C$14),"EST_CARRY_FWD",IF(AND(Aux!S55&lt;&gt;"",(N(Aux!S55)-6)&lt;='01_Criterios'!$C$15),"EST_CARRY_BWD","SEM_DADO")))))</f>
        <v>OBS</v>
      </c>
      <c r="Q55" s="20" t="str">
        <f>IF('03_Base_Indice'!$D55="","",IF('03_Base_Indice'!Q55&lt;&gt;"","OBS",IF(AND(Aux!H55&lt;&gt;"",Aux!T55&lt;&gt;"",(N(Aux!T55)-N(Aux!H55)-1)&lt;='01_Criterios'!$C$13),"EST_INTERP",IF(AND(Aux!H55&lt;&gt;"",(7-N(Aux!H55))&lt;='01_Criterios'!$C$14),"EST_CARRY_FWD",IF(AND(Aux!T55&lt;&gt;"",(N(Aux!T55)-7)&lt;='01_Criterios'!$C$15),"EST_CARRY_BWD","SEM_DADO")))))</f>
        <v>OBS</v>
      </c>
      <c r="R55" s="20" t="str">
        <f>IF('03_Base_Indice'!$D55="","",IF('03_Base_Indice'!R55&lt;&gt;"","OBS",IF(AND(Aux!I55&lt;&gt;"",Aux!U55&lt;&gt;"",(N(Aux!U55)-N(Aux!I55)-1)&lt;='01_Criterios'!$C$13),"EST_INTERP",IF(AND(Aux!I55&lt;&gt;"",(8-N(Aux!I55))&lt;='01_Criterios'!$C$14),"EST_CARRY_FWD",IF(AND(Aux!U55&lt;&gt;"",(N(Aux!U55)-8)&lt;='01_Criterios'!$C$15),"EST_CARRY_BWD","SEM_DADO")))))</f>
        <v>OBS</v>
      </c>
      <c r="S55" s="20" t="str">
        <f>IF('03_Base_Indice'!$D55="","",IF('03_Base_Indice'!S55&lt;&gt;"","OBS",IF(AND(Aux!J55&lt;&gt;"",Aux!V55&lt;&gt;"",(N(Aux!V55)-N(Aux!J55)-1)&lt;='01_Criterios'!$C$13),"EST_INTERP",IF(AND(Aux!J55&lt;&gt;"",(9-N(Aux!J55))&lt;='01_Criterios'!$C$14),"EST_CARRY_FWD",IF(AND(Aux!V55&lt;&gt;"",(N(Aux!V55)-9)&lt;='01_Criterios'!$C$15),"EST_CARRY_BWD","SEM_DADO")))))</f>
        <v>OBS</v>
      </c>
      <c r="T55" s="20" t="str">
        <f>IF('03_Base_Indice'!$D55="","",IF('03_Base_Indice'!T55&lt;&gt;"","OBS",IF(AND(Aux!K55&lt;&gt;"",Aux!W55&lt;&gt;"",(N(Aux!W55)-N(Aux!K55)-1)&lt;='01_Criterios'!$C$13),"EST_INTERP",IF(AND(Aux!K55&lt;&gt;"",(10-N(Aux!K55))&lt;='01_Criterios'!$C$14),"EST_CARRY_FWD",IF(AND(Aux!W55&lt;&gt;"",(N(Aux!W55)-10)&lt;='01_Criterios'!$C$15),"EST_CARRY_BWD","SEM_DADO")))))</f>
        <v>OBS</v>
      </c>
      <c r="U55" s="20" t="str">
        <f>IF('03_Base_Indice'!$D55="","",IF('03_Base_Indice'!U55&lt;&gt;"","OBS",IF(AND(Aux!L55&lt;&gt;"",Aux!X55&lt;&gt;"",(N(Aux!X55)-N(Aux!L55)-1)&lt;='01_Criterios'!$C$13),"EST_INTERP",IF(AND(Aux!L55&lt;&gt;"",(11-N(Aux!L55))&lt;='01_Criterios'!$C$14),"EST_CARRY_FWD",IF(AND(Aux!X55&lt;&gt;"",(N(Aux!X55)-11)&lt;='01_Criterios'!$C$15),"EST_CARRY_BWD","SEM_DADO")))))</f>
        <v>OBS</v>
      </c>
      <c r="V55" s="20">
        <f>IF($D55="","",COUNTIF(K55:U55,"OBS"))</f>
        <v>11</v>
      </c>
      <c r="W55" s="20">
        <f>IF($D55="","",COUNTIF(K55:U55,"EST_*"))</f>
        <v>0</v>
      </c>
      <c r="X55" s="20">
        <f>IF($D55="","",COUNTIF(K55:U55,"SEM_DADO"))</f>
        <v>0</v>
      </c>
      <c r="Y55" s="20" t="str">
        <f>IF($D55="","",(V55+W55)&amp;"/11")</f>
        <v>11/11</v>
      </c>
    </row>
    <row r="56" spans="1:25">
      <c r="A56" s="6" t="str">
        <f>IF('03_Base_Indice'!$A56="","",'03_Base_Indice'!$A56)</f>
        <v>6. Mercado de Trabalho</v>
      </c>
      <c r="B56" s="6">
        <f>'03_Base_Indice'!$B56</f>
        <v>2</v>
      </c>
      <c r="D56" s="6" t="str">
        <f>IF('03_Base_Indice'!$D56="","",'03_Base_Indice'!$D56)</f>
        <v>LAB002</v>
      </c>
      <c r="E56" s="6" t="str">
        <f>IF('03_Base_Indice'!$E56="","",'03_Base_Indice'!$E56)</f>
        <v>Taxa de Desemprego</v>
      </c>
      <c r="K56" s="20" t="str">
        <f>IF('03_Base_Indice'!$D56="","",IF('03_Base_Indice'!K56&lt;&gt;"","OBS",IF(AND(Aux!B56&lt;&gt;"",Aux!N56&lt;&gt;"",(N(Aux!N56)-N(Aux!B56)-1)&lt;='01_Criterios'!$C$13),"EST_INTERP",IF(AND(Aux!B56&lt;&gt;"",(1-N(Aux!B56))&lt;='01_Criterios'!$C$14),"EST_CARRY_FWD",IF(AND(Aux!N56&lt;&gt;"",(N(Aux!N56)-1)&lt;='01_Criterios'!$C$15),"EST_CARRY_BWD","SEM_DADO")))))</f>
        <v>OBS</v>
      </c>
      <c r="L56" s="20" t="str">
        <f>IF('03_Base_Indice'!$D56="","",IF('03_Base_Indice'!L56&lt;&gt;"","OBS",IF(AND(Aux!C56&lt;&gt;"",Aux!O56&lt;&gt;"",(N(Aux!O56)-N(Aux!C56)-1)&lt;='01_Criterios'!$C$13),"EST_INTERP",IF(AND(Aux!C56&lt;&gt;"",(2-N(Aux!C56))&lt;='01_Criterios'!$C$14),"EST_CARRY_FWD",IF(AND(Aux!O56&lt;&gt;"",(N(Aux!O56)-2)&lt;='01_Criterios'!$C$15),"EST_CARRY_BWD","SEM_DADO")))))</f>
        <v>OBS</v>
      </c>
      <c r="M56" s="20" t="str">
        <f>IF('03_Base_Indice'!$D56="","",IF('03_Base_Indice'!M56&lt;&gt;"","OBS",IF(AND(Aux!D56&lt;&gt;"",Aux!P56&lt;&gt;"",(N(Aux!P56)-N(Aux!D56)-1)&lt;='01_Criterios'!$C$13),"EST_INTERP",IF(AND(Aux!D56&lt;&gt;"",(3-N(Aux!D56))&lt;='01_Criterios'!$C$14),"EST_CARRY_FWD",IF(AND(Aux!P56&lt;&gt;"",(N(Aux!P56)-3)&lt;='01_Criterios'!$C$15),"EST_CARRY_BWD","SEM_DADO")))))</f>
        <v>OBS</v>
      </c>
      <c r="N56" s="20" t="str">
        <f>IF('03_Base_Indice'!$D56="","",IF('03_Base_Indice'!N56&lt;&gt;"","OBS",IF(AND(Aux!E56&lt;&gt;"",Aux!Q56&lt;&gt;"",(N(Aux!Q56)-N(Aux!E56)-1)&lt;='01_Criterios'!$C$13),"EST_INTERP",IF(AND(Aux!E56&lt;&gt;"",(4-N(Aux!E56))&lt;='01_Criterios'!$C$14),"EST_CARRY_FWD",IF(AND(Aux!Q56&lt;&gt;"",(N(Aux!Q56)-4)&lt;='01_Criterios'!$C$15),"EST_CARRY_BWD","SEM_DADO")))))</f>
        <v>OBS</v>
      </c>
      <c r="O56" s="20" t="str">
        <f>IF('03_Base_Indice'!$D56="","",IF('03_Base_Indice'!O56&lt;&gt;"","OBS",IF(AND(Aux!F56&lt;&gt;"",Aux!R56&lt;&gt;"",(N(Aux!R56)-N(Aux!F56)-1)&lt;='01_Criterios'!$C$13),"EST_INTERP",IF(AND(Aux!F56&lt;&gt;"",(5-N(Aux!F56))&lt;='01_Criterios'!$C$14),"EST_CARRY_FWD",IF(AND(Aux!R56&lt;&gt;"",(N(Aux!R56)-5)&lt;='01_Criterios'!$C$15),"EST_CARRY_BWD","SEM_DADO")))))</f>
        <v>OBS</v>
      </c>
      <c r="P56" s="20" t="str">
        <f>IF('03_Base_Indice'!$D56="","",IF('03_Base_Indice'!P56&lt;&gt;"","OBS",IF(AND(Aux!G56&lt;&gt;"",Aux!S56&lt;&gt;"",(N(Aux!S56)-N(Aux!G56)-1)&lt;='01_Criterios'!$C$13),"EST_INTERP",IF(AND(Aux!G56&lt;&gt;"",(6-N(Aux!G56))&lt;='01_Criterios'!$C$14),"EST_CARRY_FWD",IF(AND(Aux!S56&lt;&gt;"",(N(Aux!S56)-6)&lt;='01_Criterios'!$C$15),"EST_CARRY_BWD","SEM_DADO")))))</f>
        <v>OBS</v>
      </c>
      <c r="Q56" s="20" t="str">
        <f>IF('03_Base_Indice'!$D56="","",IF('03_Base_Indice'!Q56&lt;&gt;"","OBS",IF(AND(Aux!H56&lt;&gt;"",Aux!T56&lt;&gt;"",(N(Aux!T56)-N(Aux!H56)-1)&lt;='01_Criterios'!$C$13),"EST_INTERP",IF(AND(Aux!H56&lt;&gt;"",(7-N(Aux!H56))&lt;='01_Criterios'!$C$14),"EST_CARRY_FWD",IF(AND(Aux!T56&lt;&gt;"",(N(Aux!T56)-7)&lt;='01_Criterios'!$C$15),"EST_CARRY_BWD","SEM_DADO")))))</f>
        <v>OBS</v>
      </c>
      <c r="R56" s="20" t="str">
        <f>IF('03_Base_Indice'!$D56="","",IF('03_Base_Indice'!R56&lt;&gt;"","OBS",IF(AND(Aux!I56&lt;&gt;"",Aux!U56&lt;&gt;"",(N(Aux!U56)-N(Aux!I56)-1)&lt;='01_Criterios'!$C$13),"EST_INTERP",IF(AND(Aux!I56&lt;&gt;"",(8-N(Aux!I56))&lt;='01_Criterios'!$C$14),"EST_CARRY_FWD",IF(AND(Aux!U56&lt;&gt;"",(N(Aux!U56)-8)&lt;='01_Criterios'!$C$15),"EST_CARRY_BWD","SEM_DADO")))))</f>
        <v>OBS</v>
      </c>
      <c r="S56" s="20" t="str">
        <f>IF('03_Base_Indice'!$D56="","",IF('03_Base_Indice'!S56&lt;&gt;"","OBS",IF(AND(Aux!J56&lt;&gt;"",Aux!V56&lt;&gt;"",(N(Aux!V56)-N(Aux!J56)-1)&lt;='01_Criterios'!$C$13),"EST_INTERP",IF(AND(Aux!J56&lt;&gt;"",(9-N(Aux!J56))&lt;='01_Criterios'!$C$14),"EST_CARRY_FWD",IF(AND(Aux!V56&lt;&gt;"",(N(Aux!V56)-9)&lt;='01_Criterios'!$C$15),"EST_CARRY_BWD","SEM_DADO")))))</f>
        <v>OBS</v>
      </c>
      <c r="T56" s="20" t="str">
        <f>IF('03_Base_Indice'!$D56="","",IF('03_Base_Indice'!T56&lt;&gt;"","OBS",IF(AND(Aux!K56&lt;&gt;"",Aux!W56&lt;&gt;"",(N(Aux!W56)-N(Aux!K56)-1)&lt;='01_Criterios'!$C$13),"EST_INTERP",IF(AND(Aux!K56&lt;&gt;"",(10-N(Aux!K56))&lt;='01_Criterios'!$C$14),"EST_CARRY_FWD",IF(AND(Aux!W56&lt;&gt;"",(N(Aux!W56)-10)&lt;='01_Criterios'!$C$15),"EST_CARRY_BWD","SEM_DADO")))))</f>
        <v>OBS</v>
      </c>
      <c r="U56" s="20" t="str">
        <f>IF('03_Base_Indice'!$D56="","",IF('03_Base_Indice'!U56&lt;&gt;"","OBS",IF(AND(Aux!L56&lt;&gt;"",Aux!X56&lt;&gt;"",(N(Aux!X56)-N(Aux!L56)-1)&lt;='01_Criterios'!$C$13),"EST_INTERP",IF(AND(Aux!L56&lt;&gt;"",(11-N(Aux!L56))&lt;='01_Criterios'!$C$14),"EST_CARRY_FWD",IF(AND(Aux!X56&lt;&gt;"",(N(Aux!X56)-11)&lt;='01_Criterios'!$C$15),"EST_CARRY_BWD","SEM_DADO")))))</f>
        <v>OBS</v>
      </c>
      <c r="V56" s="20">
        <f>IF($D56="","",COUNTIF(K56:U56,"OBS"))</f>
        <v>11</v>
      </c>
      <c r="W56" s="20">
        <f>IF($D56="","",COUNTIF(K56:U56,"EST_*"))</f>
        <v>0</v>
      </c>
      <c r="X56" s="20">
        <f>IF($D56="","",COUNTIF(K56:U56,"SEM_DADO"))</f>
        <v>0</v>
      </c>
      <c r="Y56" s="20" t="str">
        <f>IF($D56="","",(V56+W56)&amp;"/11")</f>
        <v>11/11</v>
      </c>
    </row>
    <row r="57" spans="1:25">
      <c r="A57" s="6" t="str">
        <f>IF('03_Base_Indice'!$A57="","",'03_Base_Indice'!$A57)</f>
        <v>6. Mercado de Trabalho</v>
      </c>
      <c r="B57" s="6">
        <f>'03_Base_Indice'!$B57</f>
        <v>3</v>
      </c>
      <c r="D57" s="6" t="str">
        <f>IF('03_Base_Indice'!$D57="","",'03_Base_Indice'!$D57)</f>
        <v>LAB003</v>
      </c>
      <c r="E57" s="6" t="str">
        <f>IF('03_Base_Indice'!$E57="","",'03_Base_Indice'!$E57)</f>
        <v>Desemprego Juvenil (15-25)</v>
      </c>
      <c r="K57" s="20" t="str">
        <f>IF('03_Base_Indice'!$D57="","",IF('03_Base_Indice'!K57&lt;&gt;"","OBS",IF(AND(Aux!B57&lt;&gt;"",Aux!N57&lt;&gt;"",(N(Aux!N57)-N(Aux!B57)-1)&lt;='01_Criterios'!$C$13),"EST_INTERP",IF(AND(Aux!B57&lt;&gt;"",(1-N(Aux!B57))&lt;='01_Criterios'!$C$14),"EST_CARRY_FWD",IF(AND(Aux!N57&lt;&gt;"",(N(Aux!N57)-1)&lt;='01_Criterios'!$C$15),"EST_CARRY_BWD","SEM_DADO")))))</f>
        <v>OBS</v>
      </c>
      <c r="L57" s="20" t="str">
        <f>IF('03_Base_Indice'!$D57="","",IF('03_Base_Indice'!L57&lt;&gt;"","OBS",IF(AND(Aux!C57&lt;&gt;"",Aux!O57&lt;&gt;"",(N(Aux!O57)-N(Aux!C57)-1)&lt;='01_Criterios'!$C$13),"EST_INTERP",IF(AND(Aux!C57&lt;&gt;"",(2-N(Aux!C57))&lt;='01_Criterios'!$C$14),"EST_CARRY_FWD",IF(AND(Aux!O57&lt;&gt;"",(N(Aux!O57)-2)&lt;='01_Criterios'!$C$15),"EST_CARRY_BWD","SEM_DADO")))))</f>
        <v>OBS</v>
      </c>
      <c r="M57" s="20" t="str">
        <f>IF('03_Base_Indice'!$D57="","",IF('03_Base_Indice'!M57&lt;&gt;"","OBS",IF(AND(Aux!D57&lt;&gt;"",Aux!P57&lt;&gt;"",(N(Aux!P57)-N(Aux!D57)-1)&lt;='01_Criterios'!$C$13),"EST_INTERP",IF(AND(Aux!D57&lt;&gt;"",(3-N(Aux!D57))&lt;='01_Criterios'!$C$14),"EST_CARRY_FWD",IF(AND(Aux!P57&lt;&gt;"",(N(Aux!P57)-3)&lt;='01_Criterios'!$C$15),"EST_CARRY_BWD","SEM_DADO")))))</f>
        <v>OBS</v>
      </c>
      <c r="N57" s="20" t="str">
        <f>IF('03_Base_Indice'!$D57="","",IF('03_Base_Indice'!N57&lt;&gt;"","OBS",IF(AND(Aux!E57&lt;&gt;"",Aux!Q57&lt;&gt;"",(N(Aux!Q57)-N(Aux!E57)-1)&lt;='01_Criterios'!$C$13),"EST_INTERP",IF(AND(Aux!E57&lt;&gt;"",(4-N(Aux!E57))&lt;='01_Criterios'!$C$14),"EST_CARRY_FWD",IF(AND(Aux!Q57&lt;&gt;"",(N(Aux!Q57)-4)&lt;='01_Criterios'!$C$15),"EST_CARRY_BWD","SEM_DADO")))))</f>
        <v>OBS</v>
      </c>
      <c r="O57" s="20" t="str">
        <f>IF('03_Base_Indice'!$D57="","",IF('03_Base_Indice'!O57&lt;&gt;"","OBS",IF(AND(Aux!F57&lt;&gt;"",Aux!R57&lt;&gt;"",(N(Aux!R57)-N(Aux!F57)-1)&lt;='01_Criterios'!$C$13),"EST_INTERP",IF(AND(Aux!F57&lt;&gt;"",(5-N(Aux!F57))&lt;='01_Criterios'!$C$14),"EST_CARRY_FWD",IF(AND(Aux!R57&lt;&gt;"",(N(Aux!R57)-5)&lt;='01_Criterios'!$C$15),"EST_CARRY_BWD","SEM_DADO")))))</f>
        <v>OBS</v>
      </c>
      <c r="P57" s="20" t="str">
        <f>IF('03_Base_Indice'!$D57="","",IF('03_Base_Indice'!P57&lt;&gt;"","OBS",IF(AND(Aux!G57&lt;&gt;"",Aux!S57&lt;&gt;"",(N(Aux!S57)-N(Aux!G57)-1)&lt;='01_Criterios'!$C$13),"EST_INTERP",IF(AND(Aux!G57&lt;&gt;"",(6-N(Aux!G57))&lt;='01_Criterios'!$C$14),"EST_CARRY_FWD",IF(AND(Aux!S57&lt;&gt;"",(N(Aux!S57)-6)&lt;='01_Criterios'!$C$15),"EST_CARRY_BWD","SEM_DADO")))))</f>
        <v>OBS</v>
      </c>
      <c r="Q57" s="20" t="str">
        <f>IF('03_Base_Indice'!$D57="","",IF('03_Base_Indice'!Q57&lt;&gt;"","OBS",IF(AND(Aux!H57&lt;&gt;"",Aux!T57&lt;&gt;"",(N(Aux!T57)-N(Aux!H57)-1)&lt;='01_Criterios'!$C$13),"EST_INTERP",IF(AND(Aux!H57&lt;&gt;"",(7-N(Aux!H57))&lt;='01_Criterios'!$C$14),"EST_CARRY_FWD",IF(AND(Aux!T57&lt;&gt;"",(N(Aux!T57)-7)&lt;='01_Criterios'!$C$15),"EST_CARRY_BWD","SEM_DADO")))))</f>
        <v>OBS</v>
      </c>
      <c r="R57" s="20" t="str">
        <f>IF('03_Base_Indice'!$D57="","",IF('03_Base_Indice'!R57&lt;&gt;"","OBS",IF(AND(Aux!I57&lt;&gt;"",Aux!U57&lt;&gt;"",(N(Aux!U57)-N(Aux!I57)-1)&lt;='01_Criterios'!$C$13),"EST_INTERP",IF(AND(Aux!I57&lt;&gt;"",(8-N(Aux!I57))&lt;='01_Criterios'!$C$14),"EST_CARRY_FWD",IF(AND(Aux!U57&lt;&gt;"",(N(Aux!U57)-8)&lt;='01_Criterios'!$C$15),"EST_CARRY_BWD","SEM_DADO")))))</f>
        <v>OBS</v>
      </c>
      <c r="S57" s="20" t="str">
        <f>IF('03_Base_Indice'!$D57="","",IF('03_Base_Indice'!S57&lt;&gt;"","OBS",IF(AND(Aux!J57&lt;&gt;"",Aux!V57&lt;&gt;"",(N(Aux!V57)-N(Aux!J57)-1)&lt;='01_Criterios'!$C$13),"EST_INTERP",IF(AND(Aux!J57&lt;&gt;"",(9-N(Aux!J57))&lt;='01_Criterios'!$C$14),"EST_CARRY_FWD",IF(AND(Aux!V57&lt;&gt;"",(N(Aux!V57)-9)&lt;='01_Criterios'!$C$15),"EST_CARRY_BWD","SEM_DADO")))))</f>
        <v>OBS</v>
      </c>
      <c r="T57" s="20" t="str">
        <f>IF('03_Base_Indice'!$D57="","",IF('03_Base_Indice'!T57&lt;&gt;"","OBS",IF(AND(Aux!K57&lt;&gt;"",Aux!W57&lt;&gt;"",(N(Aux!W57)-N(Aux!K57)-1)&lt;='01_Criterios'!$C$13),"EST_INTERP",IF(AND(Aux!K57&lt;&gt;"",(10-N(Aux!K57))&lt;='01_Criterios'!$C$14),"EST_CARRY_FWD",IF(AND(Aux!W57&lt;&gt;"",(N(Aux!W57)-10)&lt;='01_Criterios'!$C$15),"EST_CARRY_BWD","SEM_DADO")))))</f>
        <v>OBS</v>
      </c>
      <c r="U57" s="20" t="str">
        <f>IF('03_Base_Indice'!$D57="","",IF('03_Base_Indice'!U57&lt;&gt;"","OBS",IF(AND(Aux!L57&lt;&gt;"",Aux!X57&lt;&gt;"",(N(Aux!X57)-N(Aux!L57)-1)&lt;='01_Criterios'!$C$13),"EST_INTERP",IF(AND(Aux!L57&lt;&gt;"",(11-N(Aux!L57))&lt;='01_Criterios'!$C$14),"EST_CARRY_FWD",IF(AND(Aux!X57&lt;&gt;"",(N(Aux!X57)-11)&lt;='01_Criterios'!$C$15),"EST_CARRY_BWD","SEM_DADO")))))</f>
        <v>OBS</v>
      </c>
      <c r="V57" s="20">
        <f>IF($D57="","",COUNTIF(K57:U57,"OBS"))</f>
        <v>11</v>
      </c>
      <c r="W57" s="20">
        <f>IF($D57="","",COUNTIF(K57:U57,"EST_*"))</f>
        <v>0</v>
      </c>
      <c r="X57" s="20">
        <f>IF($D57="","",COUNTIF(K57:U57,"SEM_DADO"))</f>
        <v>0</v>
      </c>
      <c r="Y57" s="20" t="str">
        <f>IF($D57="","",(V57+W57)&amp;"/11")</f>
        <v>11/11</v>
      </c>
    </row>
    <row r="58" spans="1:25">
      <c r="A58" s="6" t="str">
        <f>IF('03_Base_Indice'!$A58="","",'03_Base_Indice'!$A58)</f>
        <v>6. Mercado de Trabalho</v>
      </c>
      <c r="B58" s="6">
        <f>'03_Base_Indice'!$B58</f>
        <v>4</v>
      </c>
      <c r="D58" s="6" t="str">
        <f>IF('03_Base_Indice'!$D58="","",'03_Base_Indice'!$D58)</f>
        <v>LAB016</v>
      </c>
      <c r="E58" s="6" t="str">
        <f>IF('03_Base_Indice'!$E58="","",'03_Base_Indice'!$E58)</f>
        <v>Participação feminina na força de trabalho - OIT modelada</v>
      </c>
      <c r="K58" s="20" t="str">
        <f>IF('03_Base_Indice'!$D58="","",IF('03_Base_Indice'!K58&lt;&gt;"","OBS",IF(AND(Aux!B58&lt;&gt;"",Aux!N58&lt;&gt;"",(N(Aux!N58)-N(Aux!B58)-1)&lt;='01_Criterios'!$C$13),"EST_INTERP",IF(AND(Aux!B58&lt;&gt;"",(1-N(Aux!B58))&lt;='01_Criterios'!$C$14),"EST_CARRY_FWD",IF(AND(Aux!N58&lt;&gt;"",(N(Aux!N58)-1)&lt;='01_Criterios'!$C$15),"EST_CARRY_BWD","SEM_DADO")))))</f>
        <v>OBS</v>
      </c>
      <c r="L58" s="20" t="str">
        <f>IF('03_Base_Indice'!$D58="","",IF('03_Base_Indice'!L58&lt;&gt;"","OBS",IF(AND(Aux!C58&lt;&gt;"",Aux!O58&lt;&gt;"",(N(Aux!O58)-N(Aux!C58)-1)&lt;='01_Criterios'!$C$13),"EST_INTERP",IF(AND(Aux!C58&lt;&gt;"",(2-N(Aux!C58))&lt;='01_Criterios'!$C$14),"EST_CARRY_FWD",IF(AND(Aux!O58&lt;&gt;"",(N(Aux!O58)-2)&lt;='01_Criterios'!$C$15),"EST_CARRY_BWD","SEM_DADO")))))</f>
        <v>OBS</v>
      </c>
      <c r="M58" s="20" t="str">
        <f>IF('03_Base_Indice'!$D58="","",IF('03_Base_Indice'!M58&lt;&gt;"","OBS",IF(AND(Aux!D58&lt;&gt;"",Aux!P58&lt;&gt;"",(N(Aux!P58)-N(Aux!D58)-1)&lt;='01_Criterios'!$C$13),"EST_INTERP",IF(AND(Aux!D58&lt;&gt;"",(3-N(Aux!D58))&lt;='01_Criterios'!$C$14),"EST_CARRY_FWD",IF(AND(Aux!P58&lt;&gt;"",(N(Aux!P58)-3)&lt;='01_Criterios'!$C$15),"EST_CARRY_BWD","SEM_DADO")))))</f>
        <v>OBS</v>
      </c>
      <c r="N58" s="20" t="str">
        <f>IF('03_Base_Indice'!$D58="","",IF('03_Base_Indice'!N58&lt;&gt;"","OBS",IF(AND(Aux!E58&lt;&gt;"",Aux!Q58&lt;&gt;"",(N(Aux!Q58)-N(Aux!E58)-1)&lt;='01_Criterios'!$C$13),"EST_INTERP",IF(AND(Aux!E58&lt;&gt;"",(4-N(Aux!E58))&lt;='01_Criterios'!$C$14),"EST_CARRY_FWD",IF(AND(Aux!Q58&lt;&gt;"",(N(Aux!Q58)-4)&lt;='01_Criterios'!$C$15),"EST_CARRY_BWD","SEM_DADO")))))</f>
        <v>OBS</v>
      </c>
      <c r="O58" s="20" t="str">
        <f>IF('03_Base_Indice'!$D58="","",IF('03_Base_Indice'!O58&lt;&gt;"","OBS",IF(AND(Aux!F58&lt;&gt;"",Aux!R58&lt;&gt;"",(N(Aux!R58)-N(Aux!F58)-1)&lt;='01_Criterios'!$C$13),"EST_INTERP",IF(AND(Aux!F58&lt;&gt;"",(5-N(Aux!F58))&lt;='01_Criterios'!$C$14),"EST_CARRY_FWD",IF(AND(Aux!R58&lt;&gt;"",(N(Aux!R58)-5)&lt;='01_Criterios'!$C$15),"EST_CARRY_BWD","SEM_DADO")))))</f>
        <v>OBS</v>
      </c>
      <c r="P58" s="20" t="str">
        <f>IF('03_Base_Indice'!$D58="","",IF('03_Base_Indice'!P58&lt;&gt;"","OBS",IF(AND(Aux!G58&lt;&gt;"",Aux!S58&lt;&gt;"",(N(Aux!S58)-N(Aux!G58)-1)&lt;='01_Criterios'!$C$13),"EST_INTERP",IF(AND(Aux!G58&lt;&gt;"",(6-N(Aux!G58))&lt;='01_Criterios'!$C$14),"EST_CARRY_FWD",IF(AND(Aux!S58&lt;&gt;"",(N(Aux!S58)-6)&lt;='01_Criterios'!$C$15),"EST_CARRY_BWD","SEM_DADO")))))</f>
        <v>OBS</v>
      </c>
      <c r="Q58" s="20" t="str">
        <f>IF('03_Base_Indice'!$D58="","",IF('03_Base_Indice'!Q58&lt;&gt;"","OBS",IF(AND(Aux!H58&lt;&gt;"",Aux!T58&lt;&gt;"",(N(Aux!T58)-N(Aux!H58)-1)&lt;='01_Criterios'!$C$13),"EST_INTERP",IF(AND(Aux!H58&lt;&gt;"",(7-N(Aux!H58))&lt;='01_Criterios'!$C$14),"EST_CARRY_FWD",IF(AND(Aux!T58&lt;&gt;"",(N(Aux!T58)-7)&lt;='01_Criterios'!$C$15),"EST_CARRY_BWD","SEM_DADO")))))</f>
        <v>OBS</v>
      </c>
      <c r="R58" s="20" t="str">
        <f>IF('03_Base_Indice'!$D58="","",IF('03_Base_Indice'!R58&lt;&gt;"","OBS",IF(AND(Aux!I58&lt;&gt;"",Aux!U58&lt;&gt;"",(N(Aux!U58)-N(Aux!I58)-1)&lt;='01_Criterios'!$C$13),"EST_INTERP",IF(AND(Aux!I58&lt;&gt;"",(8-N(Aux!I58))&lt;='01_Criterios'!$C$14),"EST_CARRY_FWD",IF(AND(Aux!U58&lt;&gt;"",(N(Aux!U58)-8)&lt;='01_Criterios'!$C$15),"EST_CARRY_BWD","SEM_DADO")))))</f>
        <v>OBS</v>
      </c>
      <c r="S58" s="20" t="str">
        <f>IF('03_Base_Indice'!$D58="","",IF('03_Base_Indice'!S58&lt;&gt;"","OBS",IF(AND(Aux!J58&lt;&gt;"",Aux!V58&lt;&gt;"",(N(Aux!V58)-N(Aux!J58)-1)&lt;='01_Criterios'!$C$13),"EST_INTERP",IF(AND(Aux!J58&lt;&gt;"",(9-N(Aux!J58))&lt;='01_Criterios'!$C$14),"EST_CARRY_FWD",IF(AND(Aux!V58&lt;&gt;"",(N(Aux!V58)-9)&lt;='01_Criterios'!$C$15),"EST_CARRY_BWD","SEM_DADO")))))</f>
        <v>OBS</v>
      </c>
      <c r="T58" s="20" t="str">
        <f>IF('03_Base_Indice'!$D58="","",IF('03_Base_Indice'!T58&lt;&gt;"","OBS",IF(AND(Aux!K58&lt;&gt;"",Aux!W58&lt;&gt;"",(N(Aux!W58)-N(Aux!K58)-1)&lt;='01_Criterios'!$C$13),"EST_INTERP",IF(AND(Aux!K58&lt;&gt;"",(10-N(Aux!K58))&lt;='01_Criterios'!$C$14),"EST_CARRY_FWD",IF(AND(Aux!W58&lt;&gt;"",(N(Aux!W58)-10)&lt;='01_Criterios'!$C$15),"EST_CARRY_BWD","SEM_DADO")))))</f>
        <v>OBS</v>
      </c>
      <c r="U58" s="20" t="str">
        <f>IF('03_Base_Indice'!$D58="","",IF('03_Base_Indice'!U58&lt;&gt;"","OBS",IF(AND(Aux!L58&lt;&gt;"",Aux!X58&lt;&gt;"",(N(Aux!X58)-N(Aux!L58)-1)&lt;='01_Criterios'!$C$13),"EST_INTERP",IF(AND(Aux!L58&lt;&gt;"",(11-N(Aux!L58))&lt;='01_Criterios'!$C$14),"EST_CARRY_FWD",IF(AND(Aux!X58&lt;&gt;"",(N(Aux!X58)-11)&lt;='01_Criterios'!$C$15),"EST_CARRY_BWD","SEM_DADO")))))</f>
        <v>OBS</v>
      </c>
      <c r="V58" s="20">
        <f>IF($D58="","",COUNTIF(K58:U58,"OBS"))</f>
        <v>11</v>
      </c>
      <c r="W58" s="20">
        <f>IF($D58="","",COUNTIF(K58:U58,"EST_*"))</f>
        <v>0</v>
      </c>
      <c r="X58" s="20">
        <f>IF($D58="","",COUNTIF(K58:U58,"SEM_DADO"))</f>
        <v>0</v>
      </c>
      <c r="Y58" s="20" t="str">
        <f>IF($D58="","",(V58+W58)&amp;"/11")</f>
        <v>11/11</v>
      </c>
    </row>
    <row r="59" spans="1:25">
      <c r="A59" s="6" t="str">
        <f>IF('03_Base_Indice'!$A59="","",'03_Base_Indice'!$A59)</f>
        <v>6. Mercado de Trabalho</v>
      </c>
      <c r="B59" s="6">
        <f>'03_Base_Indice'!$B59</f>
        <v>5</v>
      </c>
      <c r="D59" s="6" t="str">
        <f>IF('03_Base_Indice'!$D59="","",'03_Base_Indice'!$D59)</f>
        <v>LAB025</v>
      </c>
      <c r="E59" s="6" t="str">
        <f>IF('03_Base_Indice'!$E59="","",'03_Base_Indice'!$E59)</f>
        <v>Produto por trabalhador - OIT</v>
      </c>
      <c r="K59" s="20" t="str">
        <f>IF('03_Base_Indice'!$D59="","",IF('03_Base_Indice'!K59&lt;&gt;"","OBS",IF(AND(Aux!B59&lt;&gt;"",Aux!N59&lt;&gt;"",(N(Aux!N59)-N(Aux!B59)-1)&lt;='01_Criterios'!$C$13),"EST_INTERP",IF(AND(Aux!B59&lt;&gt;"",(1-N(Aux!B59))&lt;='01_Criterios'!$C$14),"EST_CARRY_FWD",IF(AND(Aux!N59&lt;&gt;"",(N(Aux!N59)-1)&lt;='01_Criterios'!$C$15),"EST_CARRY_BWD","SEM_DADO")))))</f>
        <v>OBS</v>
      </c>
      <c r="L59" s="20" t="str">
        <f>IF('03_Base_Indice'!$D59="","",IF('03_Base_Indice'!L59&lt;&gt;"","OBS",IF(AND(Aux!C59&lt;&gt;"",Aux!O59&lt;&gt;"",(N(Aux!O59)-N(Aux!C59)-1)&lt;='01_Criterios'!$C$13),"EST_INTERP",IF(AND(Aux!C59&lt;&gt;"",(2-N(Aux!C59))&lt;='01_Criterios'!$C$14),"EST_CARRY_FWD",IF(AND(Aux!O59&lt;&gt;"",(N(Aux!O59)-2)&lt;='01_Criterios'!$C$15),"EST_CARRY_BWD","SEM_DADO")))))</f>
        <v>OBS</v>
      </c>
      <c r="M59" s="20" t="str">
        <f>IF('03_Base_Indice'!$D59="","",IF('03_Base_Indice'!M59&lt;&gt;"","OBS",IF(AND(Aux!D59&lt;&gt;"",Aux!P59&lt;&gt;"",(N(Aux!P59)-N(Aux!D59)-1)&lt;='01_Criterios'!$C$13),"EST_INTERP",IF(AND(Aux!D59&lt;&gt;"",(3-N(Aux!D59))&lt;='01_Criterios'!$C$14),"EST_CARRY_FWD",IF(AND(Aux!P59&lt;&gt;"",(N(Aux!P59)-3)&lt;='01_Criterios'!$C$15),"EST_CARRY_BWD","SEM_DADO")))))</f>
        <v>OBS</v>
      </c>
      <c r="N59" s="20" t="str">
        <f>IF('03_Base_Indice'!$D59="","",IF('03_Base_Indice'!N59&lt;&gt;"","OBS",IF(AND(Aux!E59&lt;&gt;"",Aux!Q59&lt;&gt;"",(N(Aux!Q59)-N(Aux!E59)-1)&lt;='01_Criterios'!$C$13),"EST_INTERP",IF(AND(Aux!E59&lt;&gt;"",(4-N(Aux!E59))&lt;='01_Criterios'!$C$14),"EST_CARRY_FWD",IF(AND(Aux!Q59&lt;&gt;"",(N(Aux!Q59)-4)&lt;='01_Criterios'!$C$15),"EST_CARRY_BWD","SEM_DADO")))))</f>
        <v>OBS</v>
      </c>
      <c r="O59" s="20" t="str">
        <f>IF('03_Base_Indice'!$D59="","",IF('03_Base_Indice'!O59&lt;&gt;"","OBS",IF(AND(Aux!F59&lt;&gt;"",Aux!R59&lt;&gt;"",(N(Aux!R59)-N(Aux!F59)-1)&lt;='01_Criterios'!$C$13),"EST_INTERP",IF(AND(Aux!F59&lt;&gt;"",(5-N(Aux!F59))&lt;='01_Criterios'!$C$14),"EST_CARRY_FWD",IF(AND(Aux!R59&lt;&gt;"",(N(Aux!R59)-5)&lt;='01_Criterios'!$C$15),"EST_CARRY_BWD","SEM_DADO")))))</f>
        <v>OBS</v>
      </c>
      <c r="P59" s="20" t="str">
        <f>IF('03_Base_Indice'!$D59="","",IF('03_Base_Indice'!P59&lt;&gt;"","OBS",IF(AND(Aux!G59&lt;&gt;"",Aux!S59&lt;&gt;"",(N(Aux!S59)-N(Aux!G59)-1)&lt;='01_Criterios'!$C$13),"EST_INTERP",IF(AND(Aux!G59&lt;&gt;"",(6-N(Aux!G59))&lt;='01_Criterios'!$C$14),"EST_CARRY_FWD",IF(AND(Aux!S59&lt;&gt;"",(N(Aux!S59)-6)&lt;='01_Criterios'!$C$15),"EST_CARRY_BWD","SEM_DADO")))))</f>
        <v>OBS</v>
      </c>
      <c r="Q59" s="20" t="str">
        <f>IF('03_Base_Indice'!$D59="","",IF('03_Base_Indice'!Q59&lt;&gt;"","OBS",IF(AND(Aux!H59&lt;&gt;"",Aux!T59&lt;&gt;"",(N(Aux!T59)-N(Aux!H59)-1)&lt;='01_Criterios'!$C$13),"EST_INTERP",IF(AND(Aux!H59&lt;&gt;"",(7-N(Aux!H59))&lt;='01_Criterios'!$C$14),"EST_CARRY_FWD",IF(AND(Aux!T59&lt;&gt;"",(N(Aux!T59)-7)&lt;='01_Criterios'!$C$15),"EST_CARRY_BWD","SEM_DADO")))))</f>
        <v>OBS</v>
      </c>
      <c r="R59" s="20" t="str">
        <f>IF('03_Base_Indice'!$D59="","",IF('03_Base_Indice'!R59&lt;&gt;"","OBS",IF(AND(Aux!I59&lt;&gt;"",Aux!U59&lt;&gt;"",(N(Aux!U59)-N(Aux!I59)-1)&lt;='01_Criterios'!$C$13),"EST_INTERP",IF(AND(Aux!I59&lt;&gt;"",(8-N(Aux!I59))&lt;='01_Criterios'!$C$14),"EST_CARRY_FWD",IF(AND(Aux!U59&lt;&gt;"",(N(Aux!U59)-8)&lt;='01_Criterios'!$C$15),"EST_CARRY_BWD","SEM_DADO")))))</f>
        <v>OBS</v>
      </c>
      <c r="S59" s="20" t="str">
        <f>IF('03_Base_Indice'!$D59="","",IF('03_Base_Indice'!S59&lt;&gt;"","OBS",IF(AND(Aux!J59&lt;&gt;"",Aux!V59&lt;&gt;"",(N(Aux!V59)-N(Aux!J59)-1)&lt;='01_Criterios'!$C$13),"EST_INTERP",IF(AND(Aux!J59&lt;&gt;"",(9-N(Aux!J59))&lt;='01_Criterios'!$C$14),"EST_CARRY_FWD",IF(AND(Aux!V59&lt;&gt;"",(N(Aux!V59)-9)&lt;='01_Criterios'!$C$15),"EST_CARRY_BWD","SEM_DADO")))))</f>
        <v>OBS</v>
      </c>
      <c r="T59" s="20" t="str">
        <f>IF('03_Base_Indice'!$D59="","",IF('03_Base_Indice'!T59&lt;&gt;"","OBS",IF(AND(Aux!K59&lt;&gt;"",Aux!W59&lt;&gt;"",(N(Aux!W59)-N(Aux!K59)-1)&lt;='01_Criterios'!$C$13),"EST_INTERP",IF(AND(Aux!K59&lt;&gt;"",(10-N(Aux!K59))&lt;='01_Criterios'!$C$14),"EST_CARRY_FWD",IF(AND(Aux!W59&lt;&gt;"",(N(Aux!W59)-10)&lt;='01_Criterios'!$C$15),"EST_CARRY_BWD","SEM_DADO")))))</f>
        <v>OBS</v>
      </c>
      <c r="U59" s="20" t="str">
        <f>IF('03_Base_Indice'!$D59="","",IF('03_Base_Indice'!U59&lt;&gt;"","OBS",IF(AND(Aux!L59&lt;&gt;"",Aux!X59&lt;&gt;"",(N(Aux!X59)-N(Aux!L59)-1)&lt;='01_Criterios'!$C$13),"EST_INTERP",IF(AND(Aux!L59&lt;&gt;"",(11-N(Aux!L59))&lt;='01_Criterios'!$C$14),"EST_CARRY_FWD",IF(AND(Aux!X59&lt;&gt;"",(N(Aux!X59)-11)&lt;='01_Criterios'!$C$15),"EST_CARRY_BWD","SEM_DADO")))))</f>
        <v>OBS</v>
      </c>
      <c r="V59" s="20">
        <f>IF($D59="","",COUNTIF(K59:U59,"OBS"))</f>
        <v>11</v>
      </c>
      <c r="W59" s="20">
        <f>IF($D59="","",COUNTIF(K59:U59,"EST_*"))</f>
        <v>0</v>
      </c>
      <c r="X59" s="20">
        <f>IF($D59="","",COUNTIF(K59:U59,"SEM_DADO"))</f>
        <v>0</v>
      </c>
      <c r="Y59" s="20" t="str">
        <f>IF($D59="","",(V59+W59)&amp;"/11")</f>
        <v>11/11</v>
      </c>
    </row>
    <row r="60" spans="1:25">
      <c r="A60" s="6" t="str">
        <f>IF('03_Base_Indice'!$A60="","",'03_Base_Indice'!$A60)</f>
        <v>6. Mercado de Trabalho</v>
      </c>
      <c r="B60" s="6">
        <f>'03_Base_Indice'!$B60</f>
        <v>6</v>
      </c>
      <c r="D60" s="6" t="str">
        <f>IF('03_Base_Indice'!$D60="","",'03_Base_Indice'!$D60)</f>
        <v/>
      </c>
      <c r="E60" s="6" t="str">
        <f>IF('03_Base_Indice'!$E60="","",'03_Base_Indice'!$E60)</f>
        <v/>
      </c>
      <c r="K60" s="20" t="str">
        <f>IF('03_Base_Indice'!$D60="","",IF('03_Base_Indice'!K60&lt;&gt;"","OBS",IF(AND(Aux!B60&lt;&gt;"",Aux!N60&lt;&gt;"",(N(Aux!N60)-N(Aux!B60)-1)&lt;='01_Criterios'!$C$13),"EST_INTERP",IF(AND(Aux!B60&lt;&gt;"",(1-N(Aux!B60))&lt;='01_Criterios'!$C$14),"EST_CARRY_FWD",IF(AND(Aux!N60&lt;&gt;"",(N(Aux!N60)-1)&lt;='01_Criterios'!$C$15),"EST_CARRY_BWD","SEM_DADO")))))</f>
        <v/>
      </c>
      <c r="L60" s="20" t="str">
        <f>IF('03_Base_Indice'!$D60="","",IF('03_Base_Indice'!L60&lt;&gt;"","OBS",IF(AND(Aux!C60&lt;&gt;"",Aux!O60&lt;&gt;"",(N(Aux!O60)-N(Aux!C60)-1)&lt;='01_Criterios'!$C$13),"EST_INTERP",IF(AND(Aux!C60&lt;&gt;"",(2-N(Aux!C60))&lt;='01_Criterios'!$C$14),"EST_CARRY_FWD",IF(AND(Aux!O60&lt;&gt;"",(N(Aux!O60)-2)&lt;='01_Criterios'!$C$15),"EST_CARRY_BWD","SEM_DADO")))))</f>
        <v/>
      </c>
      <c r="M60" s="20" t="str">
        <f>IF('03_Base_Indice'!$D60="","",IF('03_Base_Indice'!M60&lt;&gt;"","OBS",IF(AND(Aux!D60&lt;&gt;"",Aux!P60&lt;&gt;"",(N(Aux!P60)-N(Aux!D60)-1)&lt;='01_Criterios'!$C$13),"EST_INTERP",IF(AND(Aux!D60&lt;&gt;"",(3-N(Aux!D60))&lt;='01_Criterios'!$C$14),"EST_CARRY_FWD",IF(AND(Aux!P60&lt;&gt;"",(N(Aux!P60)-3)&lt;='01_Criterios'!$C$15),"EST_CARRY_BWD","SEM_DADO")))))</f>
        <v/>
      </c>
      <c r="N60" s="20" t="str">
        <f>IF('03_Base_Indice'!$D60="","",IF('03_Base_Indice'!N60&lt;&gt;"","OBS",IF(AND(Aux!E60&lt;&gt;"",Aux!Q60&lt;&gt;"",(N(Aux!Q60)-N(Aux!E60)-1)&lt;='01_Criterios'!$C$13),"EST_INTERP",IF(AND(Aux!E60&lt;&gt;"",(4-N(Aux!E60))&lt;='01_Criterios'!$C$14),"EST_CARRY_FWD",IF(AND(Aux!Q60&lt;&gt;"",(N(Aux!Q60)-4)&lt;='01_Criterios'!$C$15),"EST_CARRY_BWD","SEM_DADO")))))</f>
        <v/>
      </c>
      <c r="O60" s="20" t="str">
        <f>IF('03_Base_Indice'!$D60="","",IF('03_Base_Indice'!O60&lt;&gt;"","OBS",IF(AND(Aux!F60&lt;&gt;"",Aux!R60&lt;&gt;"",(N(Aux!R60)-N(Aux!F60)-1)&lt;='01_Criterios'!$C$13),"EST_INTERP",IF(AND(Aux!F60&lt;&gt;"",(5-N(Aux!F60))&lt;='01_Criterios'!$C$14),"EST_CARRY_FWD",IF(AND(Aux!R60&lt;&gt;"",(N(Aux!R60)-5)&lt;='01_Criterios'!$C$15),"EST_CARRY_BWD","SEM_DADO")))))</f>
        <v/>
      </c>
      <c r="P60" s="20" t="str">
        <f>IF('03_Base_Indice'!$D60="","",IF('03_Base_Indice'!P60&lt;&gt;"","OBS",IF(AND(Aux!G60&lt;&gt;"",Aux!S60&lt;&gt;"",(N(Aux!S60)-N(Aux!G60)-1)&lt;='01_Criterios'!$C$13),"EST_INTERP",IF(AND(Aux!G60&lt;&gt;"",(6-N(Aux!G60))&lt;='01_Criterios'!$C$14),"EST_CARRY_FWD",IF(AND(Aux!S60&lt;&gt;"",(N(Aux!S60)-6)&lt;='01_Criterios'!$C$15),"EST_CARRY_BWD","SEM_DADO")))))</f>
        <v/>
      </c>
      <c r="Q60" s="20" t="str">
        <f>IF('03_Base_Indice'!$D60="","",IF('03_Base_Indice'!Q60&lt;&gt;"","OBS",IF(AND(Aux!H60&lt;&gt;"",Aux!T60&lt;&gt;"",(N(Aux!T60)-N(Aux!H60)-1)&lt;='01_Criterios'!$C$13),"EST_INTERP",IF(AND(Aux!H60&lt;&gt;"",(7-N(Aux!H60))&lt;='01_Criterios'!$C$14),"EST_CARRY_FWD",IF(AND(Aux!T60&lt;&gt;"",(N(Aux!T60)-7)&lt;='01_Criterios'!$C$15),"EST_CARRY_BWD","SEM_DADO")))))</f>
        <v/>
      </c>
      <c r="R60" s="20" t="str">
        <f>IF('03_Base_Indice'!$D60="","",IF('03_Base_Indice'!R60&lt;&gt;"","OBS",IF(AND(Aux!I60&lt;&gt;"",Aux!U60&lt;&gt;"",(N(Aux!U60)-N(Aux!I60)-1)&lt;='01_Criterios'!$C$13),"EST_INTERP",IF(AND(Aux!I60&lt;&gt;"",(8-N(Aux!I60))&lt;='01_Criterios'!$C$14),"EST_CARRY_FWD",IF(AND(Aux!U60&lt;&gt;"",(N(Aux!U60)-8)&lt;='01_Criterios'!$C$15),"EST_CARRY_BWD","SEM_DADO")))))</f>
        <v/>
      </c>
      <c r="S60" s="20" t="str">
        <f>IF('03_Base_Indice'!$D60="","",IF('03_Base_Indice'!S60&lt;&gt;"","OBS",IF(AND(Aux!J60&lt;&gt;"",Aux!V60&lt;&gt;"",(N(Aux!V60)-N(Aux!J60)-1)&lt;='01_Criterios'!$C$13),"EST_INTERP",IF(AND(Aux!J60&lt;&gt;"",(9-N(Aux!J60))&lt;='01_Criterios'!$C$14),"EST_CARRY_FWD",IF(AND(Aux!V60&lt;&gt;"",(N(Aux!V60)-9)&lt;='01_Criterios'!$C$15),"EST_CARRY_BWD","SEM_DADO")))))</f>
        <v/>
      </c>
      <c r="T60" s="20" t="str">
        <f>IF('03_Base_Indice'!$D60="","",IF('03_Base_Indice'!T60&lt;&gt;"","OBS",IF(AND(Aux!K60&lt;&gt;"",Aux!W60&lt;&gt;"",(N(Aux!W60)-N(Aux!K60)-1)&lt;='01_Criterios'!$C$13),"EST_INTERP",IF(AND(Aux!K60&lt;&gt;"",(10-N(Aux!K60))&lt;='01_Criterios'!$C$14),"EST_CARRY_FWD",IF(AND(Aux!W60&lt;&gt;"",(N(Aux!W60)-10)&lt;='01_Criterios'!$C$15),"EST_CARRY_BWD","SEM_DADO")))))</f>
        <v/>
      </c>
      <c r="U60" s="20" t="str">
        <f>IF('03_Base_Indice'!$D60="","",IF('03_Base_Indice'!U60&lt;&gt;"","OBS",IF(AND(Aux!L60&lt;&gt;"",Aux!X60&lt;&gt;"",(N(Aux!X60)-N(Aux!L60)-1)&lt;='01_Criterios'!$C$13),"EST_INTERP",IF(AND(Aux!L60&lt;&gt;"",(11-N(Aux!L60))&lt;='01_Criterios'!$C$14),"EST_CARRY_FWD",IF(AND(Aux!X60&lt;&gt;"",(N(Aux!X60)-11)&lt;='01_Criterios'!$C$15),"EST_CARRY_BWD","SEM_DADO")))))</f>
        <v/>
      </c>
      <c r="V60" s="20" t="str">
        <f>IF($D60="","",COUNTIF(K60:U60,"OBS"))</f>
        <v/>
      </c>
      <c r="W60" s="20" t="str">
        <f>IF($D60="","",COUNTIF(K60:U60,"EST_*"))</f>
        <v/>
      </c>
      <c r="X60" s="20" t="str">
        <f>IF($D60="","",COUNTIF(K60:U60,"SEM_DADO"))</f>
        <v/>
      </c>
      <c r="Y60" s="20" t="str">
        <f>IF($D60="","",(V60+W60)&amp;"/11")</f>
        <v/>
      </c>
    </row>
    <row r="61" spans="1:25">
      <c r="A61" s="6" t="str">
        <f>IF('03_Base_Indice'!$A61="","",'03_Base_Indice'!$A61)</f>
        <v>6. Mercado de Trabalho</v>
      </c>
      <c r="B61" s="6">
        <f>'03_Base_Indice'!$B61</f>
        <v>7</v>
      </c>
      <c r="D61" s="6" t="str">
        <f>IF('03_Base_Indice'!$D61="","",'03_Base_Indice'!$D61)</f>
        <v/>
      </c>
      <c r="E61" s="6" t="str">
        <f>IF('03_Base_Indice'!$E61="","",'03_Base_Indice'!$E61)</f>
        <v/>
      </c>
      <c r="K61" s="20" t="str">
        <f>IF('03_Base_Indice'!$D61="","",IF('03_Base_Indice'!K61&lt;&gt;"","OBS",IF(AND(Aux!B61&lt;&gt;"",Aux!N61&lt;&gt;"",(N(Aux!N61)-N(Aux!B61)-1)&lt;='01_Criterios'!$C$13),"EST_INTERP",IF(AND(Aux!B61&lt;&gt;"",(1-N(Aux!B61))&lt;='01_Criterios'!$C$14),"EST_CARRY_FWD",IF(AND(Aux!N61&lt;&gt;"",(N(Aux!N61)-1)&lt;='01_Criterios'!$C$15),"EST_CARRY_BWD","SEM_DADO")))))</f>
        <v/>
      </c>
      <c r="L61" s="20" t="str">
        <f>IF('03_Base_Indice'!$D61="","",IF('03_Base_Indice'!L61&lt;&gt;"","OBS",IF(AND(Aux!C61&lt;&gt;"",Aux!O61&lt;&gt;"",(N(Aux!O61)-N(Aux!C61)-1)&lt;='01_Criterios'!$C$13),"EST_INTERP",IF(AND(Aux!C61&lt;&gt;"",(2-N(Aux!C61))&lt;='01_Criterios'!$C$14),"EST_CARRY_FWD",IF(AND(Aux!O61&lt;&gt;"",(N(Aux!O61)-2)&lt;='01_Criterios'!$C$15),"EST_CARRY_BWD","SEM_DADO")))))</f>
        <v/>
      </c>
      <c r="M61" s="20" t="str">
        <f>IF('03_Base_Indice'!$D61="","",IF('03_Base_Indice'!M61&lt;&gt;"","OBS",IF(AND(Aux!D61&lt;&gt;"",Aux!P61&lt;&gt;"",(N(Aux!P61)-N(Aux!D61)-1)&lt;='01_Criterios'!$C$13),"EST_INTERP",IF(AND(Aux!D61&lt;&gt;"",(3-N(Aux!D61))&lt;='01_Criterios'!$C$14),"EST_CARRY_FWD",IF(AND(Aux!P61&lt;&gt;"",(N(Aux!P61)-3)&lt;='01_Criterios'!$C$15),"EST_CARRY_BWD","SEM_DADO")))))</f>
        <v/>
      </c>
      <c r="N61" s="20" t="str">
        <f>IF('03_Base_Indice'!$D61="","",IF('03_Base_Indice'!N61&lt;&gt;"","OBS",IF(AND(Aux!E61&lt;&gt;"",Aux!Q61&lt;&gt;"",(N(Aux!Q61)-N(Aux!E61)-1)&lt;='01_Criterios'!$C$13),"EST_INTERP",IF(AND(Aux!E61&lt;&gt;"",(4-N(Aux!E61))&lt;='01_Criterios'!$C$14),"EST_CARRY_FWD",IF(AND(Aux!Q61&lt;&gt;"",(N(Aux!Q61)-4)&lt;='01_Criterios'!$C$15),"EST_CARRY_BWD","SEM_DADO")))))</f>
        <v/>
      </c>
      <c r="O61" s="20" t="str">
        <f>IF('03_Base_Indice'!$D61="","",IF('03_Base_Indice'!O61&lt;&gt;"","OBS",IF(AND(Aux!F61&lt;&gt;"",Aux!R61&lt;&gt;"",(N(Aux!R61)-N(Aux!F61)-1)&lt;='01_Criterios'!$C$13),"EST_INTERP",IF(AND(Aux!F61&lt;&gt;"",(5-N(Aux!F61))&lt;='01_Criterios'!$C$14),"EST_CARRY_FWD",IF(AND(Aux!R61&lt;&gt;"",(N(Aux!R61)-5)&lt;='01_Criterios'!$C$15),"EST_CARRY_BWD","SEM_DADO")))))</f>
        <v/>
      </c>
      <c r="P61" s="20" t="str">
        <f>IF('03_Base_Indice'!$D61="","",IF('03_Base_Indice'!P61&lt;&gt;"","OBS",IF(AND(Aux!G61&lt;&gt;"",Aux!S61&lt;&gt;"",(N(Aux!S61)-N(Aux!G61)-1)&lt;='01_Criterios'!$C$13),"EST_INTERP",IF(AND(Aux!G61&lt;&gt;"",(6-N(Aux!G61))&lt;='01_Criterios'!$C$14),"EST_CARRY_FWD",IF(AND(Aux!S61&lt;&gt;"",(N(Aux!S61)-6)&lt;='01_Criterios'!$C$15),"EST_CARRY_BWD","SEM_DADO")))))</f>
        <v/>
      </c>
      <c r="Q61" s="20" t="str">
        <f>IF('03_Base_Indice'!$D61="","",IF('03_Base_Indice'!Q61&lt;&gt;"","OBS",IF(AND(Aux!H61&lt;&gt;"",Aux!T61&lt;&gt;"",(N(Aux!T61)-N(Aux!H61)-1)&lt;='01_Criterios'!$C$13),"EST_INTERP",IF(AND(Aux!H61&lt;&gt;"",(7-N(Aux!H61))&lt;='01_Criterios'!$C$14),"EST_CARRY_FWD",IF(AND(Aux!T61&lt;&gt;"",(N(Aux!T61)-7)&lt;='01_Criterios'!$C$15),"EST_CARRY_BWD","SEM_DADO")))))</f>
        <v/>
      </c>
      <c r="R61" s="20" t="str">
        <f>IF('03_Base_Indice'!$D61="","",IF('03_Base_Indice'!R61&lt;&gt;"","OBS",IF(AND(Aux!I61&lt;&gt;"",Aux!U61&lt;&gt;"",(N(Aux!U61)-N(Aux!I61)-1)&lt;='01_Criterios'!$C$13),"EST_INTERP",IF(AND(Aux!I61&lt;&gt;"",(8-N(Aux!I61))&lt;='01_Criterios'!$C$14),"EST_CARRY_FWD",IF(AND(Aux!U61&lt;&gt;"",(N(Aux!U61)-8)&lt;='01_Criterios'!$C$15),"EST_CARRY_BWD","SEM_DADO")))))</f>
        <v/>
      </c>
      <c r="S61" s="20" t="str">
        <f>IF('03_Base_Indice'!$D61="","",IF('03_Base_Indice'!S61&lt;&gt;"","OBS",IF(AND(Aux!J61&lt;&gt;"",Aux!V61&lt;&gt;"",(N(Aux!V61)-N(Aux!J61)-1)&lt;='01_Criterios'!$C$13),"EST_INTERP",IF(AND(Aux!J61&lt;&gt;"",(9-N(Aux!J61))&lt;='01_Criterios'!$C$14),"EST_CARRY_FWD",IF(AND(Aux!V61&lt;&gt;"",(N(Aux!V61)-9)&lt;='01_Criterios'!$C$15),"EST_CARRY_BWD","SEM_DADO")))))</f>
        <v/>
      </c>
      <c r="T61" s="20" t="str">
        <f>IF('03_Base_Indice'!$D61="","",IF('03_Base_Indice'!T61&lt;&gt;"","OBS",IF(AND(Aux!K61&lt;&gt;"",Aux!W61&lt;&gt;"",(N(Aux!W61)-N(Aux!K61)-1)&lt;='01_Criterios'!$C$13),"EST_INTERP",IF(AND(Aux!K61&lt;&gt;"",(10-N(Aux!K61))&lt;='01_Criterios'!$C$14),"EST_CARRY_FWD",IF(AND(Aux!W61&lt;&gt;"",(N(Aux!W61)-10)&lt;='01_Criterios'!$C$15),"EST_CARRY_BWD","SEM_DADO")))))</f>
        <v/>
      </c>
      <c r="U61" s="20" t="str">
        <f>IF('03_Base_Indice'!$D61="","",IF('03_Base_Indice'!U61&lt;&gt;"","OBS",IF(AND(Aux!L61&lt;&gt;"",Aux!X61&lt;&gt;"",(N(Aux!X61)-N(Aux!L61)-1)&lt;='01_Criterios'!$C$13),"EST_INTERP",IF(AND(Aux!L61&lt;&gt;"",(11-N(Aux!L61))&lt;='01_Criterios'!$C$14),"EST_CARRY_FWD",IF(AND(Aux!X61&lt;&gt;"",(N(Aux!X61)-11)&lt;='01_Criterios'!$C$15),"EST_CARRY_BWD","SEM_DADO")))))</f>
        <v/>
      </c>
      <c r="V61" s="20" t="str">
        <f>IF($D61="","",COUNTIF(K61:U61,"OBS"))</f>
        <v/>
      </c>
      <c r="W61" s="20" t="str">
        <f>IF($D61="","",COUNTIF(K61:U61,"EST_*"))</f>
        <v/>
      </c>
      <c r="X61" s="20" t="str">
        <f>IF($D61="","",COUNTIF(K61:U61,"SEM_DADO"))</f>
        <v/>
      </c>
      <c r="Y61" s="20" t="str">
        <f>IF($D61="","",(V61+W61)&amp;"/11")</f>
        <v/>
      </c>
    </row>
    <row r="62" spans="1:25">
      <c r="A62" s="6" t="str">
        <f>IF('03_Base_Indice'!$A62="","",'03_Base_Indice'!$A62)</f>
        <v>6. Mercado de Trabalho</v>
      </c>
      <c r="B62" s="6">
        <f>'03_Base_Indice'!$B62</f>
        <v>8</v>
      </c>
      <c r="D62" s="6" t="str">
        <f>IF('03_Base_Indice'!$D62="","",'03_Base_Indice'!$D62)</f>
        <v/>
      </c>
      <c r="E62" s="6" t="str">
        <f>IF('03_Base_Indice'!$E62="","",'03_Base_Indice'!$E62)</f>
        <v/>
      </c>
      <c r="K62" s="20" t="str">
        <f>IF('03_Base_Indice'!$D62="","",IF('03_Base_Indice'!K62&lt;&gt;"","OBS",IF(AND(Aux!B62&lt;&gt;"",Aux!N62&lt;&gt;"",(N(Aux!N62)-N(Aux!B62)-1)&lt;='01_Criterios'!$C$13),"EST_INTERP",IF(AND(Aux!B62&lt;&gt;"",(1-N(Aux!B62))&lt;='01_Criterios'!$C$14),"EST_CARRY_FWD",IF(AND(Aux!N62&lt;&gt;"",(N(Aux!N62)-1)&lt;='01_Criterios'!$C$15),"EST_CARRY_BWD","SEM_DADO")))))</f>
        <v/>
      </c>
      <c r="L62" s="20" t="str">
        <f>IF('03_Base_Indice'!$D62="","",IF('03_Base_Indice'!L62&lt;&gt;"","OBS",IF(AND(Aux!C62&lt;&gt;"",Aux!O62&lt;&gt;"",(N(Aux!O62)-N(Aux!C62)-1)&lt;='01_Criterios'!$C$13),"EST_INTERP",IF(AND(Aux!C62&lt;&gt;"",(2-N(Aux!C62))&lt;='01_Criterios'!$C$14),"EST_CARRY_FWD",IF(AND(Aux!O62&lt;&gt;"",(N(Aux!O62)-2)&lt;='01_Criterios'!$C$15),"EST_CARRY_BWD","SEM_DADO")))))</f>
        <v/>
      </c>
      <c r="M62" s="20" t="str">
        <f>IF('03_Base_Indice'!$D62="","",IF('03_Base_Indice'!M62&lt;&gt;"","OBS",IF(AND(Aux!D62&lt;&gt;"",Aux!P62&lt;&gt;"",(N(Aux!P62)-N(Aux!D62)-1)&lt;='01_Criterios'!$C$13),"EST_INTERP",IF(AND(Aux!D62&lt;&gt;"",(3-N(Aux!D62))&lt;='01_Criterios'!$C$14),"EST_CARRY_FWD",IF(AND(Aux!P62&lt;&gt;"",(N(Aux!P62)-3)&lt;='01_Criterios'!$C$15),"EST_CARRY_BWD","SEM_DADO")))))</f>
        <v/>
      </c>
      <c r="N62" s="20" t="str">
        <f>IF('03_Base_Indice'!$D62="","",IF('03_Base_Indice'!N62&lt;&gt;"","OBS",IF(AND(Aux!E62&lt;&gt;"",Aux!Q62&lt;&gt;"",(N(Aux!Q62)-N(Aux!E62)-1)&lt;='01_Criterios'!$C$13),"EST_INTERP",IF(AND(Aux!E62&lt;&gt;"",(4-N(Aux!E62))&lt;='01_Criterios'!$C$14),"EST_CARRY_FWD",IF(AND(Aux!Q62&lt;&gt;"",(N(Aux!Q62)-4)&lt;='01_Criterios'!$C$15),"EST_CARRY_BWD","SEM_DADO")))))</f>
        <v/>
      </c>
      <c r="O62" s="20" t="str">
        <f>IF('03_Base_Indice'!$D62="","",IF('03_Base_Indice'!O62&lt;&gt;"","OBS",IF(AND(Aux!F62&lt;&gt;"",Aux!R62&lt;&gt;"",(N(Aux!R62)-N(Aux!F62)-1)&lt;='01_Criterios'!$C$13),"EST_INTERP",IF(AND(Aux!F62&lt;&gt;"",(5-N(Aux!F62))&lt;='01_Criterios'!$C$14),"EST_CARRY_FWD",IF(AND(Aux!R62&lt;&gt;"",(N(Aux!R62)-5)&lt;='01_Criterios'!$C$15),"EST_CARRY_BWD","SEM_DADO")))))</f>
        <v/>
      </c>
      <c r="P62" s="20" t="str">
        <f>IF('03_Base_Indice'!$D62="","",IF('03_Base_Indice'!P62&lt;&gt;"","OBS",IF(AND(Aux!G62&lt;&gt;"",Aux!S62&lt;&gt;"",(N(Aux!S62)-N(Aux!G62)-1)&lt;='01_Criterios'!$C$13),"EST_INTERP",IF(AND(Aux!G62&lt;&gt;"",(6-N(Aux!G62))&lt;='01_Criterios'!$C$14),"EST_CARRY_FWD",IF(AND(Aux!S62&lt;&gt;"",(N(Aux!S62)-6)&lt;='01_Criterios'!$C$15),"EST_CARRY_BWD","SEM_DADO")))))</f>
        <v/>
      </c>
      <c r="Q62" s="20" t="str">
        <f>IF('03_Base_Indice'!$D62="","",IF('03_Base_Indice'!Q62&lt;&gt;"","OBS",IF(AND(Aux!H62&lt;&gt;"",Aux!T62&lt;&gt;"",(N(Aux!T62)-N(Aux!H62)-1)&lt;='01_Criterios'!$C$13),"EST_INTERP",IF(AND(Aux!H62&lt;&gt;"",(7-N(Aux!H62))&lt;='01_Criterios'!$C$14),"EST_CARRY_FWD",IF(AND(Aux!T62&lt;&gt;"",(N(Aux!T62)-7)&lt;='01_Criterios'!$C$15),"EST_CARRY_BWD","SEM_DADO")))))</f>
        <v/>
      </c>
      <c r="R62" s="20" t="str">
        <f>IF('03_Base_Indice'!$D62="","",IF('03_Base_Indice'!R62&lt;&gt;"","OBS",IF(AND(Aux!I62&lt;&gt;"",Aux!U62&lt;&gt;"",(N(Aux!U62)-N(Aux!I62)-1)&lt;='01_Criterios'!$C$13),"EST_INTERP",IF(AND(Aux!I62&lt;&gt;"",(8-N(Aux!I62))&lt;='01_Criterios'!$C$14),"EST_CARRY_FWD",IF(AND(Aux!U62&lt;&gt;"",(N(Aux!U62)-8)&lt;='01_Criterios'!$C$15),"EST_CARRY_BWD","SEM_DADO")))))</f>
        <v/>
      </c>
      <c r="S62" s="20" t="str">
        <f>IF('03_Base_Indice'!$D62="","",IF('03_Base_Indice'!S62&lt;&gt;"","OBS",IF(AND(Aux!J62&lt;&gt;"",Aux!V62&lt;&gt;"",(N(Aux!V62)-N(Aux!J62)-1)&lt;='01_Criterios'!$C$13),"EST_INTERP",IF(AND(Aux!J62&lt;&gt;"",(9-N(Aux!J62))&lt;='01_Criterios'!$C$14),"EST_CARRY_FWD",IF(AND(Aux!V62&lt;&gt;"",(N(Aux!V62)-9)&lt;='01_Criterios'!$C$15),"EST_CARRY_BWD","SEM_DADO")))))</f>
        <v/>
      </c>
      <c r="T62" s="20" t="str">
        <f>IF('03_Base_Indice'!$D62="","",IF('03_Base_Indice'!T62&lt;&gt;"","OBS",IF(AND(Aux!K62&lt;&gt;"",Aux!W62&lt;&gt;"",(N(Aux!W62)-N(Aux!K62)-1)&lt;='01_Criterios'!$C$13),"EST_INTERP",IF(AND(Aux!K62&lt;&gt;"",(10-N(Aux!K62))&lt;='01_Criterios'!$C$14),"EST_CARRY_FWD",IF(AND(Aux!W62&lt;&gt;"",(N(Aux!W62)-10)&lt;='01_Criterios'!$C$15),"EST_CARRY_BWD","SEM_DADO")))))</f>
        <v/>
      </c>
      <c r="U62" s="20" t="str">
        <f>IF('03_Base_Indice'!$D62="","",IF('03_Base_Indice'!U62&lt;&gt;"","OBS",IF(AND(Aux!L62&lt;&gt;"",Aux!X62&lt;&gt;"",(N(Aux!X62)-N(Aux!L62)-1)&lt;='01_Criterios'!$C$13),"EST_INTERP",IF(AND(Aux!L62&lt;&gt;"",(11-N(Aux!L62))&lt;='01_Criterios'!$C$14),"EST_CARRY_FWD",IF(AND(Aux!X62&lt;&gt;"",(N(Aux!X62)-11)&lt;='01_Criterios'!$C$15),"EST_CARRY_BWD","SEM_DADO")))))</f>
        <v/>
      </c>
      <c r="V62" s="20" t="str">
        <f>IF($D62="","",COUNTIF(K62:U62,"OBS"))</f>
        <v/>
      </c>
      <c r="W62" s="20" t="str">
        <f>IF($D62="","",COUNTIF(K62:U62,"EST_*"))</f>
        <v/>
      </c>
      <c r="X62" s="20" t="str">
        <f>IF($D62="","",COUNTIF(K62:U62,"SEM_DADO"))</f>
        <v/>
      </c>
      <c r="Y62" s="20" t="str">
        <f>IF($D62="","",(V62+W62)&amp;"/11")</f>
        <v/>
      </c>
    </row>
    <row r="63" spans="1:25">
      <c r="A63" s="6" t="str">
        <f>IF('03_Base_Indice'!$A63="","",'03_Base_Indice'!$A63)</f>
        <v>6. Mercado de Trabalho</v>
      </c>
      <c r="B63" s="6">
        <f>'03_Base_Indice'!$B63</f>
        <v>9</v>
      </c>
      <c r="D63" s="6" t="str">
        <f>IF('03_Base_Indice'!$D63="","",'03_Base_Indice'!$D63)</f>
        <v/>
      </c>
      <c r="E63" s="6" t="str">
        <f>IF('03_Base_Indice'!$E63="","",'03_Base_Indice'!$E63)</f>
        <v/>
      </c>
      <c r="K63" s="20" t="str">
        <f>IF('03_Base_Indice'!$D63="","",IF('03_Base_Indice'!K63&lt;&gt;"","OBS",IF(AND(Aux!B63&lt;&gt;"",Aux!N63&lt;&gt;"",(N(Aux!N63)-N(Aux!B63)-1)&lt;='01_Criterios'!$C$13),"EST_INTERP",IF(AND(Aux!B63&lt;&gt;"",(1-N(Aux!B63))&lt;='01_Criterios'!$C$14),"EST_CARRY_FWD",IF(AND(Aux!N63&lt;&gt;"",(N(Aux!N63)-1)&lt;='01_Criterios'!$C$15),"EST_CARRY_BWD","SEM_DADO")))))</f>
        <v/>
      </c>
      <c r="L63" s="20" t="str">
        <f>IF('03_Base_Indice'!$D63="","",IF('03_Base_Indice'!L63&lt;&gt;"","OBS",IF(AND(Aux!C63&lt;&gt;"",Aux!O63&lt;&gt;"",(N(Aux!O63)-N(Aux!C63)-1)&lt;='01_Criterios'!$C$13),"EST_INTERP",IF(AND(Aux!C63&lt;&gt;"",(2-N(Aux!C63))&lt;='01_Criterios'!$C$14),"EST_CARRY_FWD",IF(AND(Aux!O63&lt;&gt;"",(N(Aux!O63)-2)&lt;='01_Criterios'!$C$15),"EST_CARRY_BWD","SEM_DADO")))))</f>
        <v/>
      </c>
      <c r="M63" s="20" t="str">
        <f>IF('03_Base_Indice'!$D63="","",IF('03_Base_Indice'!M63&lt;&gt;"","OBS",IF(AND(Aux!D63&lt;&gt;"",Aux!P63&lt;&gt;"",(N(Aux!P63)-N(Aux!D63)-1)&lt;='01_Criterios'!$C$13),"EST_INTERP",IF(AND(Aux!D63&lt;&gt;"",(3-N(Aux!D63))&lt;='01_Criterios'!$C$14),"EST_CARRY_FWD",IF(AND(Aux!P63&lt;&gt;"",(N(Aux!P63)-3)&lt;='01_Criterios'!$C$15),"EST_CARRY_BWD","SEM_DADO")))))</f>
        <v/>
      </c>
      <c r="N63" s="20" t="str">
        <f>IF('03_Base_Indice'!$D63="","",IF('03_Base_Indice'!N63&lt;&gt;"","OBS",IF(AND(Aux!E63&lt;&gt;"",Aux!Q63&lt;&gt;"",(N(Aux!Q63)-N(Aux!E63)-1)&lt;='01_Criterios'!$C$13),"EST_INTERP",IF(AND(Aux!E63&lt;&gt;"",(4-N(Aux!E63))&lt;='01_Criterios'!$C$14),"EST_CARRY_FWD",IF(AND(Aux!Q63&lt;&gt;"",(N(Aux!Q63)-4)&lt;='01_Criterios'!$C$15),"EST_CARRY_BWD","SEM_DADO")))))</f>
        <v/>
      </c>
      <c r="O63" s="20" t="str">
        <f>IF('03_Base_Indice'!$D63="","",IF('03_Base_Indice'!O63&lt;&gt;"","OBS",IF(AND(Aux!F63&lt;&gt;"",Aux!R63&lt;&gt;"",(N(Aux!R63)-N(Aux!F63)-1)&lt;='01_Criterios'!$C$13),"EST_INTERP",IF(AND(Aux!F63&lt;&gt;"",(5-N(Aux!F63))&lt;='01_Criterios'!$C$14),"EST_CARRY_FWD",IF(AND(Aux!R63&lt;&gt;"",(N(Aux!R63)-5)&lt;='01_Criterios'!$C$15),"EST_CARRY_BWD","SEM_DADO")))))</f>
        <v/>
      </c>
      <c r="P63" s="20" t="str">
        <f>IF('03_Base_Indice'!$D63="","",IF('03_Base_Indice'!P63&lt;&gt;"","OBS",IF(AND(Aux!G63&lt;&gt;"",Aux!S63&lt;&gt;"",(N(Aux!S63)-N(Aux!G63)-1)&lt;='01_Criterios'!$C$13),"EST_INTERP",IF(AND(Aux!G63&lt;&gt;"",(6-N(Aux!G63))&lt;='01_Criterios'!$C$14),"EST_CARRY_FWD",IF(AND(Aux!S63&lt;&gt;"",(N(Aux!S63)-6)&lt;='01_Criterios'!$C$15),"EST_CARRY_BWD","SEM_DADO")))))</f>
        <v/>
      </c>
      <c r="Q63" s="20" t="str">
        <f>IF('03_Base_Indice'!$D63="","",IF('03_Base_Indice'!Q63&lt;&gt;"","OBS",IF(AND(Aux!H63&lt;&gt;"",Aux!T63&lt;&gt;"",(N(Aux!T63)-N(Aux!H63)-1)&lt;='01_Criterios'!$C$13),"EST_INTERP",IF(AND(Aux!H63&lt;&gt;"",(7-N(Aux!H63))&lt;='01_Criterios'!$C$14),"EST_CARRY_FWD",IF(AND(Aux!T63&lt;&gt;"",(N(Aux!T63)-7)&lt;='01_Criterios'!$C$15),"EST_CARRY_BWD","SEM_DADO")))))</f>
        <v/>
      </c>
      <c r="R63" s="20" t="str">
        <f>IF('03_Base_Indice'!$D63="","",IF('03_Base_Indice'!R63&lt;&gt;"","OBS",IF(AND(Aux!I63&lt;&gt;"",Aux!U63&lt;&gt;"",(N(Aux!U63)-N(Aux!I63)-1)&lt;='01_Criterios'!$C$13),"EST_INTERP",IF(AND(Aux!I63&lt;&gt;"",(8-N(Aux!I63))&lt;='01_Criterios'!$C$14),"EST_CARRY_FWD",IF(AND(Aux!U63&lt;&gt;"",(N(Aux!U63)-8)&lt;='01_Criterios'!$C$15),"EST_CARRY_BWD","SEM_DADO")))))</f>
        <v/>
      </c>
      <c r="S63" s="20" t="str">
        <f>IF('03_Base_Indice'!$D63="","",IF('03_Base_Indice'!S63&lt;&gt;"","OBS",IF(AND(Aux!J63&lt;&gt;"",Aux!V63&lt;&gt;"",(N(Aux!V63)-N(Aux!J63)-1)&lt;='01_Criterios'!$C$13),"EST_INTERP",IF(AND(Aux!J63&lt;&gt;"",(9-N(Aux!J63))&lt;='01_Criterios'!$C$14),"EST_CARRY_FWD",IF(AND(Aux!V63&lt;&gt;"",(N(Aux!V63)-9)&lt;='01_Criterios'!$C$15),"EST_CARRY_BWD","SEM_DADO")))))</f>
        <v/>
      </c>
      <c r="T63" s="20" t="str">
        <f>IF('03_Base_Indice'!$D63="","",IF('03_Base_Indice'!T63&lt;&gt;"","OBS",IF(AND(Aux!K63&lt;&gt;"",Aux!W63&lt;&gt;"",(N(Aux!W63)-N(Aux!K63)-1)&lt;='01_Criterios'!$C$13),"EST_INTERP",IF(AND(Aux!K63&lt;&gt;"",(10-N(Aux!K63))&lt;='01_Criterios'!$C$14),"EST_CARRY_FWD",IF(AND(Aux!W63&lt;&gt;"",(N(Aux!W63)-10)&lt;='01_Criterios'!$C$15),"EST_CARRY_BWD","SEM_DADO")))))</f>
        <v/>
      </c>
      <c r="U63" s="20" t="str">
        <f>IF('03_Base_Indice'!$D63="","",IF('03_Base_Indice'!U63&lt;&gt;"","OBS",IF(AND(Aux!L63&lt;&gt;"",Aux!X63&lt;&gt;"",(N(Aux!X63)-N(Aux!L63)-1)&lt;='01_Criterios'!$C$13),"EST_INTERP",IF(AND(Aux!L63&lt;&gt;"",(11-N(Aux!L63))&lt;='01_Criterios'!$C$14),"EST_CARRY_FWD",IF(AND(Aux!X63&lt;&gt;"",(N(Aux!X63)-11)&lt;='01_Criterios'!$C$15),"EST_CARRY_BWD","SEM_DADO")))))</f>
        <v/>
      </c>
      <c r="V63" s="20" t="str">
        <f>IF($D63="","",COUNTIF(K63:U63,"OBS"))</f>
        <v/>
      </c>
      <c r="W63" s="20" t="str">
        <f>IF($D63="","",COUNTIF(K63:U63,"EST_*"))</f>
        <v/>
      </c>
      <c r="X63" s="20" t="str">
        <f>IF($D63="","",COUNTIF(K63:U63,"SEM_DADO"))</f>
        <v/>
      </c>
      <c r="Y63" s="20" t="str">
        <f>IF($D63="","",(V63+W63)&amp;"/11")</f>
        <v/>
      </c>
    </row>
    <row r="64" spans="1:25">
      <c r="A64" s="6" t="str">
        <f>IF('03_Base_Indice'!$A64="","",'03_Base_Indice'!$A64)</f>
        <v>6. Mercado de Trabalho</v>
      </c>
      <c r="B64" s="6">
        <f>'03_Base_Indice'!$B64</f>
        <v>10</v>
      </c>
      <c r="D64" s="6" t="str">
        <f>IF('03_Base_Indice'!$D64="","",'03_Base_Indice'!$D64)</f>
        <v/>
      </c>
      <c r="E64" s="6" t="str">
        <f>IF('03_Base_Indice'!$E64="","",'03_Base_Indice'!$E64)</f>
        <v/>
      </c>
      <c r="K64" s="20" t="str">
        <f>IF('03_Base_Indice'!$D64="","",IF('03_Base_Indice'!K64&lt;&gt;"","OBS",IF(AND(Aux!B64&lt;&gt;"",Aux!N64&lt;&gt;"",(N(Aux!N64)-N(Aux!B64)-1)&lt;='01_Criterios'!$C$13),"EST_INTERP",IF(AND(Aux!B64&lt;&gt;"",(1-N(Aux!B64))&lt;='01_Criterios'!$C$14),"EST_CARRY_FWD",IF(AND(Aux!N64&lt;&gt;"",(N(Aux!N64)-1)&lt;='01_Criterios'!$C$15),"EST_CARRY_BWD","SEM_DADO")))))</f>
        <v/>
      </c>
      <c r="L64" s="20" t="str">
        <f>IF('03_Base_Indice'!$D64="","",IF('03_Base_Indice'!L64&lt;&gt;"","OBS",IF(AND(Aux!C64&lt;&gt;"",Aux!O64&lt;&gt;"",(N(Aux!O64)-N(Aux!C64)-1)&lt;='01_Criterios'!$C$13),"EST_INTERP",IF(AND(Aux!C64&lt;&gt;"",(2-N(Aux!C64))&lt;='01_Criterios'!$C$14),"EST_CARRY_FWD",IF(AND(Aux!O64&lt;&gt;"",(N(Aux!O64)-2)&lt;='01_Criterios'!$C$15),"EST_CARRY_BWD","SEM_DADO")))))</f>
        <v/>
      </c>
      <c r="M64" s="20" t="str">
        <f>IF('03_Base_Indice'!$D64="","",IF('03_Base_Indice'!M64&lt;&gt;"","OBS",IF(AND(Aux!D64&lt;&gt;"",Aux!P64&lt;&gt;"",(N(Aux!P64)-N(Aux!D64)-1)&lt;='01_Criterios'!$C$13),"EST_INTERP",IF(AND(Aux!D64&lt;&gt;"",(3-N(Aux!D64))&lt;='01_Criterios'!$C$14),"EST_CARRY_FWD",IF(AND(Aux!P64&lt;&gt;"",(N(Aux!P64)-3)&lt;='01_Criterios'!$C$15),"EST_CARRY_BWD","SEM_DADO")))))</f>
        <v/>
      </c>
      <c r="N64" s="20" t="str">
        <f>IF('03_Base_Indice'!$D64="","",IF('03_Base_Indice'!N64&lt;&gt;"","OBS",IF(AND(Aux!E64&lt;&gt;"",Aux!Q64&lt;&gt;"",(N(Aux!Q64)-N(Aux!E64)-1)&lt;='01_Criterios'!$C$13),"EST_INTERP",IF(AND(Aux!E64&lt;&gt;"",(4-N(Aux!E64))&lt;='01_Criterios'!$C$14),"EST_CARRY_FWD",IF(AND(Aux!Q64&lt;&gt;"",(N(Aux!Q64)-4)&lt;='01_Criterios'!$C$15),"EST_CARRY_BWD","SEM_DADO")))))</f>
        <v/>
      </c>
      <c r="O64" s="20" t="str">
        <f>IF('03_Base_Indice'!$D64="","",IF('03_Base_Indice'!O64&lt;&gt;"","OBS",IF(AND(Aux!F64&lt;&gt;"",Aux!R64&lt;&gt;"",(N(Aux!R64)-N(Aux!F64)-1)&lt;='01_Criterios'!$C$13),"EST_INTERP",IF(AND(Aux!F64&lt;&gt;"",(5-N(Aux!F64))&lt;='01_Criterios'!$C$14),"EST_CARRY_FWD",IF(AND(Aux!R64&lt;&gt;"",(N(Aux!R64)-5)&lt;='01_Criterios'!$C$15),"EST_CARRY_BWD","SEM_DADO")))))</f>
        <v/>
      </c>
      <c r="P64" s="20" t="str">
        <f>IF('03_Base_Indice'!$D64="","",IF('03_Base_Indice'!P64&lt;&gt;"","OBS",IF(AND(Aux!G64&lt;&gt;"",Aux!S64&lt;&gt;"",(N(Aux!S64)-N(Aux!G64)-1)&lt;='01_Criterios'!$C$13),"EST_INTERP",IF(AND(Aux!G64&lt;&gt;"",(6-N(Aux!G64))&lt;='01_Criterios'!$C$14),"EST_CARRY_FWD",IF(AND(Aux!S64&lt;&gt;"",(N(Aux!S64)-6)&lt;='01_Criterios'!$C$15),"EST_CARRY_BWD","SEM_DADO")))))</f>
        <v/>
      </c>
      <c r="Q64" s="20" t="str">
        <f>IF('03_Base_Indice'!$D64="","",IF('03_Base_Indice'!Q64&lt;&gt;"","OBS",IF(AND(Aux!H64&lt;&gt;"",Aux!T64&lt;&gt;"",(N(Aux!T64)-N(Aux!H64)-1)&lt;='01_Criterios'!$C$13),"EST_INTERP",IF(AND(Aux!H64&lt;&gt;"",(7-N(Aux!H64))&lt;='01_Criterios'!$C$14),"EST_CARRY_FWD",IF(AND(Aux!T64&lt;&gt;"",(N(Aux!T64)-7)&lt;='01_Criterios'!$C$15),"EST_CARRY_BWD","SEM_DADO")))))</f>
        <v/>
      </c>
      <c r="R64" s="20" t="str">
        <f>IF('03_Base_Indice'!$D64="","",IF('03_Base_Indice'!R64&lt;&gt;"","OBS",IF(AND(Aux!I64&lt;&gt;"",Aux!U64&lt;&gt;"",(N(Aux!U64)-N(Aux!I64)-1)&lt;='01_Criterios'!$C$13),"EST_INTERP",IF(AND(Aux!I64&lt;&gt;"",(8-N(Aux!I64))&lt;='01_Criterios'!$C$14),"EST_CARRY_FWD",IF(AND(Aux!U64&lt;&gt;"",(N(Aux!U64)-8)&lt;='01_Criterios'!$C$15),"EST_CARRY_BWD","SEM_DADO")))))</f>
        <v/>
      </c>
      <c r="S64" s="20" t="str">
        <f>IF('03_Base_Indice'!$D64="","",IF('03_Base_Indice'!S64&lt;&gt;"","OBS",IF(AND(Aux!J64&lt;&gt;"",Aux!V64&lt;&gt;"",(N(Aux!V64)-N(Aux!J64)-1)&lt;='01_Criterios'!$C$13),"EST_INTERP",IF(AND(Aux!J64&lt;&gt;"",(9-N(Aux!J64))&lt;='01_Criterios'!$C$14),"EST_CARRY_FWD",IF(AND(Aux!V64&lt;&gt;"",(N(Aux!V64)-9)&lt;='01_Criterios'!$C$15),"EST_CARRY_BWD","SEM_DADO")))))</f>
        <v/>
      </c>
      <c r="T64" s="20" t="str">
        <f>IF('03_Base_Indice'!$D64="","",IF('03_Base_Indice'!T64&lt;&gt;"","OBS",IF(AND(Aux!K64&lt;&gt;"",Aux!W64&lt;&gt;"",(N(Aux!W64)-N(Aux!K64)-1)&lt;='01_Criterios'!$C$13),"EST_INTERP",IF(AND(Aux!K64&lt;&gt;"",(10-N(Aux!K64))&lt;='01_Criterios'!$C$14),"EST_CARRY_FWD",IF(AND(Aux!W64&lt;&gt;"",(N(Aux!W64)-10)&lt;='01_Criterios'!$C$15),"EST_CARRY_BWD","SEM_DADO")))))</f>
        <v/>
      </c>
      <c r="U64" s="20" t="str">
        <f>IF('03_Base_Indice'!$D64="","",IF('03_Base_Indice'!U64&lt;&gt;"","OBS",IF(AND(Aux!L64&lt;&gt;"",Aux!X64&lt;&gt;"",(N(Aux!X64)-N(Aux!L64)-1)&lt;='01_Criterios'!$C$13),"EST_INTERP",IF(AND(Aux!L64&lt;&gt;"",(11-N(Aux!L64))&lt;='01_Criterios'!$C$14),"EST_CARRY_FWD",IF(AND(Aux!X64&lt;&gt;"",(N(Aux!X64)-11)&lt;='01_Criterios'!$C$15),"EST_CARRY_BWD","SEM_DADO")))))</f>
        <v/>
      </c>
      <c r="V64" s="20" t="str">
        <f>IF($D64="","",COUNTIF(K64:U64,"OBS"))</f>
        <v/>
      </c>
      <c r="W64" s="20" t="str">
        <f>IF($D64="","",COUNTIF(K64:U64,"EST_*"))</f>
        <v/>
      </c>
      <c r="X64" s="20" t="str">
        <f>IF($D64="","",COUNTIF(K64:U64,"SEM_DADO"))</f>
        <v/>
      </c>
      <c r="Y64" s="20" t="str">
        <f>IF($D64="","",(V64+W64)&amp;"/11")</f>
        <v/>
      </c>
    </row>
    <row r="65" spans="1:25">
      <c r="A65" s="6" t="str">
        <f>IF('03_Base_Indice'!$A65="","",'03_Base_Indice'!$A65)</f>
        <v>7. Segurança Alimentar e Saúde</v>
      </c>
      <c r="B65" s="6">
        <f>'03_Base_Indice'!$B65</f>
        <v>1</v>
      </c>
      <c r="D65" s="6" t="str">
        <f>IF('03_Base_Indice'!$D65="","",'03_Base_Indice'!$D65)</f>
        <v>SAU003</v>
      </c>
      <c r="E65" s="6" t="str">
        <f>IF('03_Base_Indice'!$E65="","",'03_Base_Indice'!$E65)</f>
        <v>Mortalidade Materna (por 100k)</v>
      </c>
      <c r="K65" s="20" t="str">
        <f>IF('03_Base_Indice'!$D65="","",IF('03_Base_Indice'!K65&lt;&gt;"","OBS",IF(AND(Aux!B65&lt;&gt;"",Aux!N65&lt;&gt;"",(N(Aux!N65)-N(Aux!B65)-1)&lt;='01_Criterios'!$C$13),"EST_INTERP",IF(AND(Aux!B65&lt;&gt;"",(1-N(Aux!B65))&lt;='01_Criterios'!$C$14),"EST_CARRY_FWD",IF(AND(Aux!N65&lt;&gt;"",(N(Aux!N65)-1)&lt;='01_Criterios'!$C$15),"EST_CARRY_BWD","SEM_DADO")))))</f>
        <v>OBS</v>
      </c>
      <c r="L65" s="20" t="str">
        <f>IF('03_Base_Indice'!$D65="","",IF('03_Base_Indice'!L65&lt;&gt;"","OBS",IF(AND(Aux!C65&lt;&gt;"",Aux!O65&lt;&gt;"",(N(Aux!O65)-N(Aux!C65)-1)&lt;='01_Criterios'!$C$13),"EST_INTERP",IF(AND(Aux!C65&lt;&gt;"",(2-N(Aux!C65))&lt;='01_Criterios'!$C$14),"EST_CARRY_FWD",IF(AND(Aux!O65&lt;&gt;"",(N(Aux!O65)-2)&lt;='01_Criterios'!$C$15),"EST_CARRY_BWD","SEM_DADO")))))</f>
        <v>OBS</v>
      </c>
      <c r="M65" s="20" t="str">
        <f>IF('03_Base_Indice'!$D65="","",IF('03_Base_Indice'!M65&lt;&gt;"","OBS",IF(AND(Aux!D65&lt;&gt;"",Aux!P65&lt;&gt;"",(N(Aux!P65)-N(Aux!D65)-1)&lt;='01_Criterios'!$C$13),"EST_INTERP",IF(AND(Aux!D65&lt;&gt;"",(3-N(Aux!D65))&lt;='01_Criterios'!$C$14),"EST_CARRY_FWD",IF(AND(Aux!P65&lt;&gt;"",(N(Aux!P65)-3)&lt;='01_Criterios'!$C$15),"EST_CARRY_BWD","SEM_DADO")))))</f>
        <v>OBS</v>
      </c>
      <c r="N65" s="20" t="str">
        <f>IF('03_Base_Indice'!$D65="","",IF('03_Base_Indice'!N65&lt;&gt;"","OBS",IF(AND(Aux!E65&lt;&gt;"",Aux!Q65&lt;&gt;"",(N(Aux!Q65)-N(Aux!E65)-1)&lt;='01_Criterios'!$C$13),"EST_INTERP",IF(AND(Aux!E65&lt;&gt;"",(4-N(Aux!E65))&lt;='01_Criterios'!$C$14),"EST_CARRY_FWD",IF(AND(Aux!Q65&lt;&gt;"",(N(Aux!Q65)-4)&lt;='01_Criterios'!$C$15),"EST_CARRY_BWD","SEM_DADO")))))</f>
        <v>OBS</v>
      </c>
      <c r="O65" s="20" t="str">
        <f>IF('03_Base_Indice'!$D65="","",IF('03_Base_Indice'!O65&lt;&gt;"","OBS",IF(AND(Aux!F65&lt;&gt;"",Aux!R65&lt;&gt;"",(N(Aux!R65)-N(Aux!F65)-1)&lt;='01_Criterios'!$C$13),"EST_INTERP",IF(AND(Aux!F65&lt;&gt;"",(5-N(Aux!F65))&lt;='01_Criterios'!$C$14),"EST_CARRY_FWD",IF(AND(Aux!R65&lt;&gt;"",(N(Aux!R65)-5)&lt;='01_Criterios'!$C$15),"EST_CARRY_BWD","SEM_DADO")))))</f>
        <v>OBS</v>
      </c>
      <c r="P65" s="20" t="str">
        <f>IF('03_Base_Indice'!$D65="","",IF('03_Base_Indice'!P65&lt;&gt;"","OBS",IF(AND(Aux!G65&lt;&gt;"",Aux!S65&lt;&gt;"",(N(Aux!S65)-N(Aux!G65)-1)&lt;='01_Criterios'!$C$13),"EST_INTERP",IF(AND(Aux!G65&lt;&gt;"",(6-N(Aux!G65))&lt;='01_Criterios'!$C$14),"EST_CARRY_FWD",IF(AND(Aux!S65&lt;&gt;"",(N(Aux!S65)-6)&lt;='01_Criterios'!$C$15),"EST_CARRY_BWD","SEM_DADO")))))</f>
        <v>OBS</v>
      </c>
      <c r="Q65" s="20" t="str">
        <f>IF('03_Base_Indice'!$D65="","",IF('03_Base_Indice'!Q65&lt;&gt;"","OBS",IF(AND(Aux!H65&lt;&gt;"",Aux!T65&lt;&gt;"",(N(Aux!T65)-N(Aux!H65)-1)&lt;='01_Criterios'!$C$13),"EST_INTERP",IF(AND(Aux!H65&lt;&gt;"",(7-N(Aux!H65))&lt;='01_Criterios'!$C$14),"EST_CARRY_FWD",IF(AND(Aux!T65&lt;&gt;"",(N(Aux!T65)-7)&lt;='01_Criterios'!$C$15),"EST_CARRY_BWD","SEM_DADO")))))</f>
        <v>OBS</v>
      </c>
      <c r="R65" s="20" t="str">
        <f>IF('03_Base_Indice'!$D65="","",IF('03_Base_Indice'!R65&lt;&gt;"","OBS",IF(AND(Aux!I65&lt;&gt;"",Aux!U65&lt;&gt;"",(N(Aux!U65)-N(Aux!I65)-1)&lt;='01_Criterios'!$C$13),"EST_INTERP",IF(AND(Aux!I65&lt;&gt;"",(8-N(Aux!I65))&lt;='01_Criterios'!$C$14),"EST_CARRY_FWD",IF(AND(Aux!U65&lt;&gt;"",(N(Aux!U65)-8)&lt;='01_Criterios'!$C$15),"EST_CARRY_BWD","SEM_DADO")))))</f>
        <v>OBS</v>
      </c>
      <c r="S65" s="20" t="str">
        <f>IF('03_Base_Indice'!$D65="","",IF('03_Base_Indice'!S65&lt;&gt;"","OBS",IF(AND(Aux!J65&lt;&gt;"",Aux!V65&lt;&gt;"",(N(Aux!V65)-N(Aux!J65)-1)&lt;='01_Criterios'!$C$13),"EST_INTERP",IF(AND(Aux!J65&lt;&gt;"",(9-N(Aux!J65))&lt;='01_Criterios'!$C$14),"EST_CARRY_FWD",IF(AND(Aux!V65&lt;&gt;"",(N(Aux!V65)-9)&lt;='01_Criterios'!$C$15),"EST_CARRY_BWD","SEM_DADO")))))</f>
        <v>OBS</v>
      </c>
      <c r="T65" s="20" t="str">
        <f>IF('03_Base_Indice'!$D65="","",IF('03_Base_Indice'!T65&lt;&gt;"","OBS",IF(AND(Aux!K65&lt;&gt;"",Aux!W65&lt;&gt;"",(N(Aux!W65)-N(Aux!K65)-1)&lt;='01_Criterios'!$C$13),"EST_INTERP",IF(AND(Aux!K65&lt;&gt;"",(10-N(Aux!K65))&lt;='01_Criterios'!$C$14),"EST_CARRY_FWD",IF(AND(Aux!W65&lt;&gt;"",(N(Aux!W65)-10)&lt;='01_Criterios'!$C$15),"EST_CARRY_BWD","SEM_DADO")))))</f>
        <v>OBS</v>
      </c>
      <c r="U65" s="20" t="str">
        <f>IF('03_Base_Indice'!$D65="","",IF('03_Base_Indice'!U65&lt;&gt;"","OBS",IF(AND(Aux!L65&lt;&gt;"",Aux!X65&lt;&gt;"",(N(Aux!X65)-N(Aux!L65)-1)&lt;='01_Criterios'!$C$13),"EST_INTERP",IF(AND(Aux!L65&lt;&gt;"",(11-N(Aux!L65))&lt;='01_Criterios'!$C$14),"EST_CARRY_FWD",IF(AND(Aux!X65&lt;&gt;"",(N(Aux!X65)-11)&lt;='01_Criterios'!$C$15),"EST_CARRY_BWD","SEM_DADO")))))</f>
        <v>OBS</v>
      </c>
      <c r="V65" s="20">
        <f>IF($D65="","",COUNTIF(K65:U65,"OBS"))</f>
        <v>11</v>
      </c>
      <c r="W65" s="20">
        <f>IF($D65="","",COUNTIF(K65:U65,"EST_*"))</f>
        <v>0</v>
      </c>
      <c r="X65" s="20">
        <f>IF($D65="","",COUNTIF(K65:U65,"SEM_DADO"))</f>
        <v>0</v>
      </c>
      <c r="Y65" s="20" t="str">
        <f>IF($D65="","",(V65+W65)&amp;"/11")</f>
        <v>11/11</v>
      </c>
    </row>
    <row r="66" spans="1:25">
      <c r="A66" s="6" t="str">
        <f>IF('03_Base_Indice'!$A66="","",'03_Base_Indice'!$A66)</f>
        <v>7. Segurança Alimentar e Saúde</v>
      </c>
      <c r="B66" s="6">
        <f>'03_Base_Indice'!$B66</f>
        <v>2</v>
      </c>
      <c r="D66" s="6" t="str">
        <f>IF('03_Base_Indice'!$D66="","",'03_Base_Indice'!$D66)</f>
        <v>SAU006</v>
      </c>
      <c r="E66" s="6" t="str">
        <f>IF('03_Base_Indice'!$E66="","",'03_Base_Indice'!$E66)</f>
        <v>Cobertura Vacinal (%)</v>
      </c>
      <c r="K66" s="20" t="str">
        <f>IF('03_Base_Indice'!$D66="","",IF('03_Base_Indice'!K66&lt;&gt;"","OBS",IF(AND(Aux!B66&lt;&gt;"",Aux!N66&lt;&gt;"",(N(Aux!N66)-N(Aux!B66)-1)&lt;='01_Criterios'!$C$13),"EST_INTERP",IF(AND(Aux!B66&lt;&gt;"",(1-N(Aux!B66))&lt;='01_Criterios'!$C$14),"EST_CARRY_FWD",IF(AND(Aux!N66&lt;&gt;"",(N(Aux!N66)-1)&lt;='01_Criterios'!$C$15),"EST_CARRY_BWD","SEM_DADO")))))</f>
        <v>OBS</v>
      </c>
      <c r="L66" s="20" t="str">
        <f>IF('03_Base_Indice'!$D66="","",IF('03_Base_Indice'!L66&lt;&gt;"","OBS",IF(AND(Aux!C66&lt;&gt;"",Aux!O66&lt;&gt;"",(N(Aux!O66)-N(Aux!C66)-1)&lt;='01_Criterios'!$C$13),"EST_INTERP",IF(AND(Aux!C66&lt;&gt;"",(2-N(Aux!C66))&lt;='01_Criterios'!$C$14),"EST_CARRY_FWD",IF(AND(Aux!O66&lt;&gt;"",(N(Aux!O66)-2)&lt;='01_Criterios'!$C$15),"EST_CARRY_BWD","SEM_DADO")))))</f>
        <v>OBS</v>
      </c>
      <c r="M66" s="20" t="str">
        <f>IF('03_Base_Indice'!$D66="","",IF('03_Base_Indice'!M66&lt;&gt;"","OBS",IF(AND(Aux!D66&lt;&gt;"",Aux!P66&lt;&gt;"",(N(Aux!P66)-N(Aux!D66)-1)&lt;='01_Criterios'!$C$13),"EST_INTERP",IF(AND(Aux!D66&lt;&gt;"",(3-N(Aux!D66))&lt;='01_Criterios'!$C$14),"EST_CARRY_FWD",IF(AND(Aux!P66&lt;&gt;"",(N(Aux!P66)-3)&lt;='01_Criterios'!$C$15),"EST_CARRY_BWD","SEM_DADO")))))</f>
        <v>OBS</v>
      </c>
      <c r="N66" s="20" t="str">
        <f>IF('03_Base_Indice'!$D66="","",IF('03_Base_Indice'!N66&lt;&gt;"","OBS",IF(AND(Aux!E66&lt;&gt;"",Aux!Q66&lt;&gt;"",(N(Aux!Q66)-N(Aux!E66)-1)&lt;='01_Criterios'!$C$13),"EST_INTERP",IF(AND(Aux!E66&lt;&gt;"",(4-N(Aux!E66))&lt;='01_Criterios'!$C$14),"EST_CARRY_FWD",IF(AND(Aux!Q66&lt;&gt;"",(N(Aux!Q66)-4)&lt;='01_Criterios'!$C$15),"EST_CARRY_BWD","SEM_DADO")))))</f>
        <v>OBS</v>
      </c>
      <c r="O66" s="20" t="str">
        <f>IF('03_Base_Indice'!$D66="","",IF('03_Base_Indice'!O66&lt;&gt;"","OBS",IF(AND(Aux!F66&lt;&gt;"",Aux!R66&lt;&gt;"",(N(Aux!R66)-N(Aux!F66)-1)&lt;='01_Criterios'!$C$13),"EST_INTERP",IF(AND(Aux!F66&lt;&gt;"",(5-N(Aux!F66))&lt;='01_Criterios'!$C$14),"EST_CARRY_FWD",IF(AND(Aux!R66&lt;&gt;"",(N(Aux!R66)-5)&lt;='01_Criterios'!$C$15),"EST_CARRY_BWD","SEM_DADO")))))</f>
        <v>OBS</v>
      </c>
      <c r="P66" s="20" t="str">
        <f>IF('03_Base_Indice'!$D66="","",IF('03_Base_Indice'!P66&lt;&gt;"","OBS",IF(AND(Aux!G66&lt;&gt;"",Aux!S66&lt;&gt;"",(N(Aux!S66)-N(Aux!G66)-1)&lt;='01_Criterios'!$C$13),"EST_INTERP",IF(AND(Aux!G66&lt;&gt;"",(6-N(Aux!G66))&lt;='01_Criterios'!$C$14),"EST_CARRY_FWD",IF(AND(Aux!S66&lt;&gt;"",(N(Aux!S66)-6)&lt;='01_Criterios'!$C$15),"EST_CARRY_BWD","SEM_DADO")))))</f>
        <v>OBS</v>
      </c>
      <c r="Q66" s="20" t="str">
        <f>IF('03_Base_Indice'!$D66="","",IF('03_Base_Indice'!Q66&lt;&gt;"","OBS",IF(AND(Aux!H66&lt;&gt;"",Aux!T66&lt;&gt;"",(N(Aux!T66)-N(Aux!H66)-1)&lt;='01_Criterios'!$C$13),"EST_INTERP",IF(AND(Aux!H66&lt;&gt;"",(7-N(Aux!H66))&lt;='01_Criterios'!$C$14),"EST_CARRY_FWD",IF(AND(Aux!T66&lt;&gt;"",(N(Aux!T66)-7)&lt;='01_Criterios'!$C$15),"EST_CARRY_BWD","SEM_DADO")))))</f>
        <v>OBS</v>
      </c>
      <c r="R66" s="20" t="str">
        <f>IF('03_Base_Indice'!$D66="","",IF('03_Base_Indice'!R66&lt;&gt;"","OBS",IF(AND(Aux!I66&lt;&gt;"",Aux!U66&lt;&gt;"",(N(Aux!U66)-N(Aux!I66)-1)&lt;='01_Criterios'!$C$13),"EST_INTERP",IF(AND(Aux!I66&lt;&gt;"",(8-N(Aux!I66))&lt;='01_Criterios'!$C$14),"EST_CARRY_FWD",IF(AND(Aux!U66&lt;&gt;"",(N(Aux!U66)-8)&lt;='01_Criterios'!$C$15),"EST_CARRY_BWD","SEM_DADO")))))</f>
        <v>OBS</v>
      </c>
      <c r="S66" s="20" t="str">
        <f>IF('03_Base_Indice'!$D66="","",IF('03_Base_Indice'!S66&lt;&gt;"","OBS",IF(AND(Aux!J66&lt;&gt;"",Aux!V66&lt;&gt;"",(N(Aux!V66)-N(Aux!J66)-1)&lt;='01_Criterios'!$C$13),"EST_INTERP",IF(AND(Aux!J66&lt;&gt;"",(9-N(Aux!J66))&lt;='01_Criterios'!$C$14),"EST_CARRY_FWD",IF(AND(Aux!V66&lt;&gt;"",(N(Aux!V66)-9)&lt;='01_Criterios'!$C$15),"EST_CARRY_BWD","SEM_DADO")))))</f>
        <v>OBS</v>
      </c>
      <c r="T66" s="20" t="str">
        <f>IF('03_Base_Indice'!$D66="","",IF('03_Base_Indice'!T66&lt;&gt;"","OBS",IF(AND(Aux!K66&lt;&gt;"",Aux!W66&lt;&gt;"",(N(Aux!W66)-N(Aux!K66)-1)&lt;='01_Criterios'!$C$13),"EST_INTERP",IF(AND(Aux!K66&lt;&gt;"",(10-N(Aux!K66))&lt;='01_Criterios'!$C$14),"EST_CARRY_FWD",IF(AND(Aux!W66&lt;&gt;"",(N(Aux!W66)-10)&lt;='01_Criterios'!$C$15),"EST_CARRY_BWD","SEM_DADO")))))</f>
        <v>OBS</v>
      </c>
      <c r="U66" s="20" t="str">
        <f>IF('03_Base_Indice'!$D66="","",IF('03_Base_Indice'!U66&lt;&gt;"","OBS",IF(AND(Aux!L66&lt;&gt;"",Aux!X66&lt;&gt;"",(N(Aux!X66)-N(Aux!L66)-1)&lt;='01_Criterios'!$C$13),"EST_INTERP",IF(AND(Aux!L66&lt;&gt;"",(11-N(Aux!L66))&lt;='01_Criterios'!$C$14),"EST_CARRY_FWD",IF(AND(Aux!X66&lt;&gt;"",(N(Aux!X66)-11)&lt;='01_Criterios'!$C$15),"EST_CARRY_BWD","SEM_DADO")))))</f>
        <v>EST_CARRY_FWD</v>
      </c>
      <c r="V66" s="20">
        <f>IF($D66="","",COUNTIF(K66:U66,"OBS"))</f>
        <v>10</v>
      </c>
      <c r="W66" s="20">
        <f>IF($D66="","",COUNTIF(K66:U66,"EST_*"))</f>
        <v>1</v>
      </c>
      <c r="X66" s="20">
        <f>IF($D66="","",COUNTIF(K66:U66,"SEM_DADO"))</f>
        <v>0</v>
      </c>
      <c r="Y66" s="20" t="str">
        <f>IF($D66="","",(V66+W66)&amp;"/11")</f>
        <v>11/11</v>
      </c>
    </row>
    <row r="67" spans="1:25">
      <c r="A67" s="6" t="str">
        <f>IF('03_Base_Indice'!$A67="","",'03_Base_Indice'!$A67)</f>
        <v>7. Segurança Alimentar e Saúde</v>
      </c>
      <c r="B67" s="6">
        <f>'03_Base_Indice'!$B67</f>
        <v>3</v>
      </c>
      <c r="D67" s="6" t="str">
        <f>IF('03_Base_Indice'!$D67="","",'03_Base_Indice'!$D67)</f>
        <v>SAU002</v>
      </c>
      <c r="E67" s="6" t="str">
        <f>IF('03_Base_Indice'!$E67="","",'03_Base_Indice'!$E67)</f>
        <v>Prevalência de Desnutrição</v>
      </c>
      <c r="K67" s="20" t="str">
        <f>IF('03_Base_Indice'!$D67="","",IF('03_Base_Indice'!K67&lt;&gt;"","OBS",IF(AND(Aux!B67&lt;&gt;"",Aux!N67&lt;&gt;"",(N(Aux!N67)-N(Aux!B67)-1)&lt;='01_Criterios'!$C$13),"EST_INTERP",IF(AND(Aux!B67&lt;&gt;"",(1-N(Aux!B67))&lt;='01_Criterios'!$C$14),"EST_CARRY_FWD",IF(AND(Aux!N67&lt;&gt;"",(N(Aux!N67)-1)&lt;='01_Criterios'!$C$15),"EST_CARRY_BWD","SEM_DADO")))))</f>
        <v>OBS</v>
      </c>
      <c r="L67" s="20" t="str">
        <f>IF('03_Base_Indice'!$D67="","",IF('03_Base_Indice'!L67&lt;&gt;"","OBS",IF(AND(Aux!C67&lt;&gt;"",Aux!O67&lt;&gt;"",(N(Aux!O67)-N(Aux!C67)-1)&lt;='01_Criterios'!$C$13),"EST_INTERP",IF(AND(Aux!C67&lt;&gt;"",(2-N(Aux!C67))&lt;='01_Criterios'!$C$14),"EST_CARRY_FWD",IF(AND(Aux!O67&lt;&gt;"",(N(Aux!O67)-2)&lt;='01_Criterios'!$C$15),"EST_CARRY_BWD","SEM_DADO")))))</f>
        <v>OBS</v>
      </c>
      <c r="M67" s="20" t="str">
        <f>IF('03_Base_Indice'!$D67="","",IF('03_Base_Indice'!M67&lt;&gt;"","OBS",IF(AND(Aux!D67&lt;&gt;"",Aux!P67&lt;&gt;"",(N(Aux!P67)-N(Aux!D67)-1)&lt;='01_Criterios'!$C$13),"EST_INTERP",IF(AND(Aux!D67&lt;&gt;"",(3-N(Aux!D67))&lt;='01_Criterios'!$C$14),"EST_CARRY_FWD",IF(AND(Aux!P67&lt;&gt;"",(N(Aux!P67)-3)&lt;='01_Criterios'!$C$15),"EST_CARRY_BWD","SEM_DADO")))))</f>
        <v>OBS</v>
      </c>
      <c r="N67" s="20" t="str">
        <f>IF('03_Base_Indice'!$D67="","",IF('03_Base_Indice'!N67&lt;&gt;"","OBS",IF(AND(Aux!E67&lt;&gt;"",Aux!Q67&lt;&gt;"",(N(Aux!Q67)-N(Aux!E67)-1)&lt;='01_Criterios'!$C$13),"EST_INTERP",IF(AND(Aux!E67&lt;&gt;"",(4-N(Aux!E67))&lt;='01_Criterios'!$C$14),"EST_CARRY_FWD",IF(AND(Aux!Q67&lt;&gt;"",(N(Aux!Q67)-4)&lt;='01_Criterios'!$C$15),"EST_CARRY_BWD","SEM_DADO")))))</f>
        <v>OBS</v>
      </c>
      <c r="O67" s="20" t="str">
        <f>IF('03_Base_Indice'!$D67="","",IF('03_Base_Indice'!O67&lt;&gt;"","OBS",IF(AND(Aux!F67&lt;&gt;"",Aux!R67&lt;&gt;"",(N(Aux!R67)-N(Aux!F67)-1)&lt;='01_Criterios'!$C$13),"EST_INTERP",IF(AND(Aux!F67&lt;&gt;"",(5-N(Aux!F67))&lt;='01_Criterios'!$C$14),"EST_CARRY_FWD",IF(AND(Aux!R67&lt;&gt;"",(N(Aux!R67)-5)&lt;='01_Criterios'!$C$15),"EST_CARRY_BWD","SEM_DADO")))))</f>
        <v>OBS</v>
      </c>
      <c r="P67" s="20" t="str">
        <f>IF('03_Base_Indice'!$D67="","",IF('03_Base_Indice'!P67&lt;&gt;"","OBS",IF(AND(Aux!G67&lt;&gt;"",Aux!S67&lt;&gt;"",(N(Aux!S67)-N(Aux!G67)-1)&lt;='01_Criterios'!$C$13),"EST_INTERP",IF(AND(Aux!G67&lt;&gt;"",(6-N(Aux!G67))&lt;='01_Criterios'!$C$14),"EST_CARRY_FWD",IF(AND(Aux!S67&lt;&gt;"",(N(Aux!S67)-6)&lt;='01_Criterios'!$C$15),"EST_CARRY_BWD","SEM_DADO")))))</f>
        <v>OBS</v>
      </c>
      <c r="Q67" s="20" t="str">
        <f>IF('03_Base_Indice'!$D67="","",IF('03_Base_Indice'!Q67&lt;&gt;"","OBS",IF(AND(Aux!H67&lt;&gt;"",Aux!T67&lt;&gt;"",(N(Aux!T67)-N(Aux!H67)-1)&lt;='01_Criterios'!$C$13),"EST_INTERP",IF(AND(Aux!H67&lt;&gt;"",(7-N(Aux!H67))&lt;='01_Criterios'!$C$14),"EST_CARRY_FWD",IF(AND(Aux!T67&lt;&gt;"",(N(Aux!T67)-7)&lt;='01_Criterios'!$C$15),"EST_CARRY_BWD","SEM_DADO")))))</f>
        <v>OBS</v>
      </c>
      <c r="R67" s="20" t="str">
        <f>IF('03_Base_Indice'!$D67="","",IF('03_Base_Indice'!R67&lt;&gt;"","OBS",IF(AND(Aux!I67&lt;&gt;"",Aux!U67&lt;&gt;"",(N(Aux!U67)-N(Aux!I67)-1)&lt;='01_Criterios'!$C$13),"EST_INTERP",IF(AND(Aux!I67&lt;&gt;"",(8-N(Aux!I67))&lt;='01_Criterios'!$C$14),"EST_CARRY_FWD",IF(AND(Aux!U67&lt;&gt;"",(N(Aux!U67)-8)&lt;='01_Criterios'!$C$15),"EST_CARRY_BWD","SEM_DADO")))))</f>
        <v>OBS</v>
      </c>
      <c r="S67" s="20" t="str">
        <f>IF('03_Base_Indice'!$D67="","",IF('03_Base_Indice'!S67&lt;&gt;"","OBS",IF(AND(Aux!J67&lt;&gt;"",Aux!V67&lt;&gt;"",(N(Aux!V67)-N(Aux!J67)-1)&lt;='01_Criterios'!$C$13),"EST_INTERP",IF(AND(Aux!J67&lt;&gt;"",(9-N(Aux!J67))&lt;='01_Criterios'!$C$14),"EST_CARRY_FWD",IF(AND(Aux!V67&lt;&gt;"",(N(Aux!V67)-9)&lt;='01_Criterios'!$C$15),"EST_CARRY_BWD","SEM_DADO")))))</f>
        <v>OBS</v>
      </c>
      <c r="T67" s="20" t="str">
        <f>IF('03_Base_Indice'!$D67="","",IF('03_Base_Indice'!T67&lt;&gt;"","OBS",IF(AND(Aux!K67&lt;&gt;"",Aux!W67&lt;&gt;"",(N(Aux!W67)-N(Aux!K67)-1)&lt;='01_Criterios'!$C$13),"EST_INTERP",IF(AND(Aux!K67&lt;&gt;"",(10-N(Aux!K67))&lt;='01_Criterios'!$C$14),"EST_CARRY_FWD",IF(AND(Aux!W67&lt;&gt;"",(N(Aux!W67)-10)&lt;='01_Criterios'!$C$15),"EST_CARRY_BWD","SEM_DADO")))))</f>
        <v>EST_CARRY_FWD</v>
      </c>
      <c r="U67" s="20" t="str">
        <f>IF('03_Base_Indice'!$D67="","",IF('03_Base_Indice'!U67&lt;&gt;"","OBS",IF(AND(Aux!L67&lt;&gt;"",Aux!X67&lt;&gt;"",(N(Aux!X67)-N(Aux!L67)-1)&lt;='01_Criterios'!$C$13),"EST_INTERP",IF(AND(Aux!L67&lt;&gt;"",(11-N(Aux!L67))&lt;='01_Criterios'!$C$14),"EST_CARRY_FWD",IF(AND(Aux!X67&lt;&gt;"",(N(Aux!X67)-11)&lt;='01_Criterios'!$C$15),"EST_CARRY_BWD","SEM_DADO")))))</f>
        <v>EST_CARRY_FWD</v>
      </c>
      <c r="V67" s="20">
        <f>IF($D67="","",COUNTIF(K67:U67,"OBS"))</f>
        <v>9</v>
      </c>
      <c r="W67" s="20">
        <f>IF($D67="","",COUNTIF(K67:U67,"EST_*"))</f>
        <v>2</v>
      </c>
      <c r="X67" s="20">
        <f>IF($D67="","",COUNTIF(K67:U67,"SEM_DADO"))</f>
        <v>0</v>
      </c>
      <c r="Y67" s="20" t="str">
        <f>IF($D67="","",(V67+W67)&amp;"/11")</f>
        <v>11/11</v>
      </c>
    </row>
    <row r="68" spans="1:25">
      <c r="A68" s="6" t="str">
        <f>IF('03_Base_Indice'!$A68="","",'03_Base_Indice'!$A68)</f>
        <v>7. Segurança Alimentar e Saúde</v>
      </c>
      <c r="B68" s="6">
        <f>'03_Base_Indice'!$B68</f>
        <v>4</v>
      </c>
      <c r="D68" s="6" t="str">
        <f>IF('03_Base_Indice'!$D68="","",'03_Base_Indice'!$D68)</f>
        <v>SAU004</v>
      </c>
      <c r="E68" s="6" t="str">
        <f>IF('03_Base_Indice'!$E68="","",'03_Base_Indice'!$E68)</f>
        <v>Despesas Saúde (% PIB)</v>
      </c>
      <c r="K68" s="20" t="str">
        <f>IF('03_Base_Indice'!$D68="","",IF('03_Base_Indice'!K68&lt;&gt;"","OBS",IF(AND(Aux!B68&lt;&gt;"",Aux!N68&lt;&gt;"",(N(Aux!N68)-N(Aux!B68)-1)&lt;='01_Criterios'!$C$13),"EST_INTERP",IF(AND(Aux!B68&lt;&gt;"",(1-N(Aux!B68))&lt;='01_Criterios'!$C$14),"EST_CARRY_FWD",IF(AND(Aux!N68&lt;&gt;"",(N(Aux!N68)-1)&lt;='01_Criterios'!$C$15),"EST_CARRY_BWD","SEM_DADO")))))</f>
        <v>OBS</v>
      </c>
      <c r="L68" s="20" t="str">
        <f>IF('03_Base_Indice'!$D68="","",IF('03_Base_Indice'!L68&lt;&gt;"","OBS",IF(AND(Aux!C68&lt;&gt;"",Aux!O68&lt;&gt;"",(N(Aux!O68)-N(Aux!C68)-1)&lt;='01_Criterios'!$C$13),"EST_INTERP",IF(AND(Aux!C68&lt;&gt;"",(2-N(Aux!C68))&lt;='01_Criterios'!$C$14),"EST_CARRY_FWD",IF(AND(Aux!O68&lt;&gt;"",(N(Aux!O68)-2)&lt;='01_Criterios'!$C$15),"EST_CARRY_BWD","SEM_DADO")))))</f>
        <v>OBS</v>
      </c>
      <c r="M68" s="20" t="str">
        <f>IF('03_Base_Indice'!$D68="","",IF('03_Base_Indice'!M68&lt;&gt;"","OBS",IF(AND(Aux!D68&lt;&gt;"",Aux!P68&lt;&gt;"",(N(Aux!P68)-N(Aux!D68)-1)&lt;='01_Criterios'!$C$13),"EST_INTERP",IF(AND(Aux!D68&lt;&gt;"",(3-N(Aux!D68))&lt;='01_Criterios'!$C$14),"EST_CARRY_FWD",IF(AND(Aux!P68&lt;&gt;"",(N(Aux!P68)-3)&lt;='01_Criterios'!$C$15),"EST_CARRY_BWD","SEM_DADO")))))</f>
        <v>OBS</v>
      </c>
      <c r="N68" s="20" t="str">
        <f>IF('03_Base_Indice'!$D68="","",IF('03_Base_Indice'!N68&lt;&gt;"","OBS",IF(AND(Aux!E68&lt;&gt;"",Aux!Q68&lt;&gt;"",(N(Aux!Q68)-N(Aux!E68)-1)&lt;='01_Criterios'!$C$13),"EST_INTERP",IF(AND(Aux!E68&lt;&gt;"",(4-N(Aux!E68))&lt;='01_Criterios'!$C$14),"EST_CARRY_FWD",IF(AND(Aux!Q68&lt;&gt;"",(N(Aux!Q68)-4)&lt;='01_Criterios'!$C$15),"EST_CARRY_BWD","SEM_DADO")))))</f>
        <v>OBS</v>
      </c>
      <c r="O68" s="20" t="str">
        <f>IF('03_Base_Indice'!$D68="","",IF('03_Base_Indice'!O68&lt;&gt;"","OBS",IF(AND(Aux!F68&lt;&gt;"",Aux!R68&lt;&gt;"",(N(Aux!R68)-N(Aux!F68)-1)&lt;='01_Criterios'!$C$13),"EST_INTERP",IF(AND(Aux!F68&lt;&gt;"",(5-N(Aux!F68))&lt;='01_Criterios'!$C$14),"EST_CARRY_FWD",IF(AND(Aux!R68&lt;&gt;"",(N(Aux!R68)-5)&lt;='01_Criterios'!$C$15),"EST_CARRY_BWD","SEM_DADO")))))</f>
        <v>OBS</v>
      </c>
      <c r="P68" s="20" t="str">
        <f>IF('03_Base_Indice'!$D68="","",IF('03_Base_Indice'!P68&lt;&gt;"","OBS",IF(AND(Aux!G68&lt;&gt;"",Aux!S68&lt;&gt;"",(N(Aux!S68)-N(Aux!G68)-1)&lt;='01_Criterios'!$C$13),"EST_INTERP",IF(AND(Aux!G68&lt;&gt;"",(6-N(Aux!G68))&lt;='01_Criterios'!$C$14),"EST_CARRY_FWD",IF(AND(Aux!S68&lt;&gt;"",(N(Aux!S68)-6)&lt;='01_Criterios'!$C$15),"EST_CARRY_BWD","SEM_DADO")))))</f>
        <v>OBS</v>
      </c>
      <c r="Q68" s="20" t="str">
        <f>IF('03_Base_Indice'!$D68="","",IF('03_Base_Indice'!Q68&lt;&gt;"","OBS",IF(AND(Aux!H68&lt;&gt;"",Aux!T68&lt;&gt;"",(N(Aux!T68)-N(Aux!H68)-1)&lt;='01_Criterios'!$C$13),"EST_INTERP",IF(AND(Aux!H68&lt;&gt;"",(7-N(Aux!H68))&lt;='01_Criterios'!$C$14),"EST_CARRY_FWD",IF(AND(Aux!T68&lt;&gt;"",(N(Aux!T68)-7)&lt;='01_Criterios'!$C$15),"EST_CARRY_BWD","SEM_DADO")))))</f>
        <v>OBS</v>
      </c>
      <c r="R68" s="20" t="str">
        <f>IF('03_Base_Indice'!$D68="","",IF('03_Base_Indice'!R68&lt;&gt;"","OBS",IF(AND(Aux!I68&lt;&gt;"",Aux!U68&lt;&gt;"",(N(Aux!U68)-N(Aux!I68)-1)&lt;='01_Criterios'!$C$13),"EST_INTERP",IF(AND(Aux!I68&lt;&gt;"",(8-N(Aux!I68))&lt;='01_Criterios'!$C$14),"EST_CARRY_FWD",IF(AND(Aux!U68&lt;&gt;"",(N(Aux!U68)-8)&lt;='01_Criterios'!$C$15),"EST_CARRY_BWD","SEM_DADO")))))</f>
        <v>OBS</v>
      </c>
      <c r="S68" s="20" t="str">
        <f>IF('03_Base_Indice'!$D68="","",IF('03_Base_Indice'!S68&lt;&gt;"","OBS",IF(AND(Aux!J68&lt;&gt;"",Aux!V68&lt;&gt;"",(N(Aux!V68)-N(Aux!J68)-1)&lt;='01_Criterios'!$C$13),"EST_INTERP",IF(AND(Aux!J68&lt;&gt;"",(9-N(Aux!J68))&lt;='01_Criterios'!$C$14),"EST_CARRY_FWD",IF(AND(Aux!V68&lt;&gt;"",(N(Aux!V68)-9)&lt;='01_Criterios'!$C$15),"EST_CARRY_BWD","SEM_DADO")))))</f>
        <v>OBS</v>
      </c>
      <c r="T68" s="20" t="str">
        <f>IF('03_Base_Indice'!$D68="","",IF('03_Base_Indice'!T68&lt;&gt;"","OBS",IF(AND(Aux!K68&lt;&gt;"",Aux!W68&lt;&gt;"",(N(Aux!W68)-N(Aux!K68)-1)&lt;='01_Criterios'!$C$13),"EST_INTERP",IF(AND(Aux!K68&lt;&gt;"",(10-N(Aux!K68))&lt;='01_Criterios'!$C$14),"EST_CARRY_FWD",IF(AND(Aux!W68&lt;&gt;"",(N(Aux!W68)-10)&lt;='01_Criterios'!$C$15),"EST_CARRY_BWD","SEM_DADO")))))</f>
        <v>EST_CARRY_FWD</v>
      </c>
      <c r="U68" s="20" t="str">
        <f>IF('03_Base_Indice'!$D68="","",IF('03_Base_Indice'!U68&lt;&gt;"","OBS",IF(AND(Aux!L68&lt;&gt;"",Aux!X68&lt;&gt;"",(N(Aux!X68)-N(Aux!L68)-1)&lt;='01_Criterios'!$C$13),"EST_INTERP",IF(AND(Aux!L68&lt;&gt;"",(11-N(Aux!L68))&lt;='01_Criterios'!$C$14),"EST_CARRY_FWD",IF(AND(Aux!X68&lt;&gt;"",(N(Aux!X68)-11)&lt;='01_Criterios'!$C$15),"EST_CARRY_BWD","SEM_DADO")))))</f>
        <v>EST_CARRY_FWD</v>
      </c>
      <c r="V68" s="20">
        <f>IF($D68="","",COUNTIF(K68:U68,"OBS"))</f>
        <v>9</v>
      </c>
      <c r="W68" s="20">
        <f>IF($D68="","",COUNTIF(K68:U68,"EST_*"))</f>
        <v>2</v>
      </c>
      <c r="X68" s="20">
        <f>IF($D68="","",COUNTIF(K68:U68,"SEM_DADO"))</f>
        <v>0</v>
      </c>
      <c r="Y68" s="20" t="str">
        <f>IF($D68="","",(V68+W68)&amp;"/11")</f>
        <v>11/11</v>
      </c>
    </row>
    <row r="69" spans="1:25">
      <c r="A69" s="6" t="str">
        <f>IF('03_Base_Indice'!$A69="","",'03_Base_Indice'!$A69)</f>
        <v>7. Segurança Alimentar e Saúde</v>
      </c>
      <c r="B69" s="6">
        <f>'03_Base_Indice'!$B69</f>
        <v>5</v>
      </c>
      <c r="D69" s="6" t="str">
        <f>IF('03_Base_Indice'!$D69="","",'03_Base_Indice'!$D69)</f>
        <v>SAU020</v>
      </c>
      <c r="E69" s="6" t="str">
        <f>IF('03_Base_Indice'!$E69="","",'03_Base_Indice'!$E69)</f>
        <v>Incidência de malária</v>
      </c>
      <c r="K69" s="20" t="str">
        <f>IF('03_Base_Indice'!$D69="","",IF('03_Base_Indice'!K69&lt;&gt;"","OBS",IF(AND(Aux!B69&lt;&gt;"",Aux!N69&lt;&gt;"",(N(Aux!N69)-N(Aux!B69)-1)&lt;='01_Criterios'!$C$13),"EST_INTERP",IF(AND(Aux!B69&lt;&gt;"",(1-N(Aux!B69))&lt;='01_Criterios'!$C$14),"EST_CARRY_FWD",IF(AND(Aux!N69&lt;&gt;"",(N(Aux!N69)-1)&lt;='01_Criterios'!$C$15),"EST_CARRY_BWD","SEM_DADO")))))</f>
        <v>OBS</v>
      </c>
      <c r="L69" s="20" t="str">
        <f>IF('03_Base_Indice'!$D69="","",IF('03_Base_Indice'!L69&lt;&gt;"","OBS",IF(AND(Aux!C69&lt;&gt;"",Aux!O69&lt;&gt;"",(N(Aux!O69)-N(Aux!C69)-1)&lt;='01_Criterios'!$C$13),"EST_INTERP",IF(AND(Aux!C69&lt;&gt;"",(2-N(Aux!C69))&lt;='01_Criterios'!$C$14),"EST_CARRY_FWD",IF(AND(Aux!O69&lt;&gt;"",(N(Aux!O69)-2)&lt;='01_Criterios'!$C$15),"EST_CARRY_BWD","SEM_DADO")))))</f>
        <v>OBS</v>
      </c>
      <c r="M69" s="20" t="str">
        <f>IF('03_Base_Indice'!$D69="","",IF('03_Base_Indice'!M69&lt;&gt;"","OBS",IF(AND(Aux!D69&lt;&gt;"",Aux!P69&lt;&gt;"",(N(Aux!P69)-N(Aux!D69)-1)&lt;='01_Criterios'!$C$13),"EST_INTERP",IF(AND(Aux!D69&lt;&gt;"",(3-N(Aux!D69))&lt;='01_Criterios'!$C$14),"EST_CARRY_FWD",IF(AND(Aux!P69&lt;&gt;"",(N(Aux!P69)-3)&lt;='01_Criterios'!$C$15),"EST_CARRY_BWD","SEM_DADO")))))</f>
        <v>OBS</v>
      </c>
      <c r="N69" s="20" t="str">
        <f>IF('03_Base_Indice'!$D69="","",IF('03_Base_Indice'!N69&lt;&gt;"","OBS",IF(AND(Aux!E69&lt;&gt;"",Aux!Q69&lt;&gt;"",(N(Aux!Q69)-N(Aux!E69)-1)&lt;='01_Criterios'!$C$13),"EST_INTERP",IF(AND(Aux!E69&lt;&gt;"",(4-N(Aux!E69))&lt;='01_Criterios'!$C$14),"EST_CARRY_FWD",IF(AND(Aux!Q69&lt;&gt;"",(N(Aux!Q69)-4)&lt;='01_Criterios'!$C$15),"EST_CARRY_BWD","SEM_DADO")))))</f>
        <v>OBS</v>
      </c>
      <c r="O69" s="20" t="str">
        <f>IF('03_Base_Indice'!$D69="","",IF('03_Base_Indice'!O69&lt;&gt;"","OBS",IF(AND(Aux!F69&lt;&gt;"",Aux!R69&lt;&gt;"",(N(Aux!R69)-N(Aux!F69)-1)&lt;='01_Criterios'!$C$13),"EST_INTERP",IF(AND(Aux!F69&lt;&gt;"",(5-N(Aux!F69))&lt;='01_Criterios'!$C$14),"EST_CARRY_FWD",IF(AND(Aux!R69&lt;&gt;"",(N(Aux!R69)-5)&lt;='01_Criterios'!$C$15),"EST_CARRY_BWD","SEM_DADO")))))</f>
        <v>OBS</v>
      </c>
      <c r="P69" s="20" t="str">
        <f>IF('03_Base_Indice'!$D69="","",IF('03_Base_Indice'!P69&lt;&gt;"","OBS",IF(AND(Aux!G69&lt;&gt;"",Aux!S69&lt;&gt;"",(N(Aux!S69)-N(Aux!G69)-1)&lt;='01_Criterios'!$C$13),"EST_INTERP",IF(AND(Aux!G69&lt;&gt;"",(6-N(Aux!G69))&lt;='01_Criterios'!$C$14),"EST_CARRY_FWD",IF(AND(Aux!S69&lt;&gt;"",(N(Aux!S69)-6)&lt;='01_Criterios'!$C$15),"EST_CARRY_BWD","SEM_DADO")))))</f>
        <v>OBS</v>
      </c>
      <c r="Q69" s="20" t="str">
        <f>IF('03_Base_Indice'!$D69="","",IF('03_Base_Indice'!Q69&lt;&gt;"","OBS",IF(AND(Aux!H69&lt;&gt;"",Aux!T69&lt;&gt;"",(N(Aux!T69)-N(Aux!H69)-1)&lt;='01_Criterios'!$C$13),"EST_INTERP",IF(AND(Aux!H69&lt;&gt;"",(7-N(Aux!H69))&lt;='01_Criterios'!$C$14),"EST_CARRY_FWD",IF(AND(Aux!T69&lt;&gt;"",(N(Aux!T69)-7)&lt;='01_Criterios'!$C$15),"EST_CARRY_BWD","SEM_DADO")))))</f>
        <v>OBS</v>
      </c>
      <c r="R69" s="20" t="str">
        <f>IF('03_Base_Indice'!$D69="","",IF('03_Base_Indice'!R69&lt;&gt;"","OBS",IF(AND(Aux!I69&lt;&gt;"",Aux!U69&lt;&gt;"",(N(Aux!U69)-N(Aux!I69)-1)&lt;='01_Criterios'!$C$13),"EST_INTERP",IF(AND(Aux!I69&lt;&gt;"",(8-N(Aux!I69))&lt;='01_Criterios'!$C$14),"EST_CARRY_FWD",IF(AND(Aux!U69&lt;&gt;"",(N(Aux!U69)-8)&lt;='01_Criterios'!$C$15),"EST_CARRY_BWD","SEM_DADO")))))</f>
        <v>OBS</v>
      </c>
      <c r="S69" s="20" t="str">
        <f>IF('03_Base_Indice'!$D69="","",IF('03_Base_Indice'!S69&lt;&gt;"","OBS",IF(AND(Aux!J69&lt;&gt;"",Aux!V69&lt;&gt;"",(N(Aux!V69)-N(Aux!J69)-1)&lt;='01_Criterios'!$C$13),"EST_INTERP",IF(AND(Aux!J69&lt;&gt;"",(9-N(Aux!J69))&lt;='01_Criterios'!$C$14),"EST_CARRY_FWD",IF(AND(Aux!V69&lt;&gt;"",(N(Aux!V69)-9)&lt;='01_Criterios'!$C$15),"EST_CARRY_BWD","SEM_DADO")))))</f>
        <v>OBS</v>
      </c>
      <c r="T69" s="20" t="str">
        <f>IF('03_Base_Indice'!$D69="","",IF('03_Base_Indice'!T69&lt;&gt;"","OBS",IF(AND(Aux!K69&lt;&gt;"",Aux!W69&lt;&gt;"",(N(Aux!W69)-N(Aux!K69)-1)&lt;='01_Criterios'!$C$13),"EST_INTERP",IF(AND(Aux!K69&lt;&gt;"",(10-N(Aux!K69))&lt;='01_Criterios'!$C$14),"EST_CARRY_FWD",IF(AND(Aux!W69&lt;&gt;"",(N(Aux!W69)-10)&lt;='01_Criterios'!$C$15),"EST_CARRY_BWD","SEM_DADO")))))</f>
        <v>OBS</v>
      </c>
      <c r="U69" s="20" t="str">
        <f>IF('03_Base_Indice'!$D69="","",IF('03_Base_Indice'!U69&lt;&gt;"","OBS",IF(AND(Aux!L69&lt;&gt;"",Aux!X69&lt;&gt;"",(N(Aux!X69)-N(Aux!L69)-1)&lt;='01_Criterios'!$C$13),"EST_INTERP",IF(AND(Aux!L69&lt;&gt;"",(11-N(Aux!L69))&lt;='01_Criterios'!$C$14),"EST_CARRY_FWD",IF(AND(Aux!X69&lt;&gt;"",(N(Aux!X69)-11)&lt;='01_Criterios'!$C$15),"EST_CARRY_BWD","SEM_DADO")))))</f>
        <v>EST_CARRY_FWD</v>
      </c>
      <c r="V69" s="20">
        <f>IF($D69="","",COUNTIF(K69:U69,"OBS"))</f>
        <v>10</v>
      </c>
      <c r="W69" s="20">
        <f>IF($D69="","",COUNTIF(K69:U69,"EST_*"))</f>
        <v>1</v>
      </c>
      <c r="X69" s="20">
        <f>IF($D69="","",COUNTIF(K69:U69,"SEM_DADO"))</f>
        <v>0</v>
      </c>
      <c r="Y69" s="20" t="str">
        <f>IF($D69="","",(V69+W69)&amp;"/11")</f>
        <v>11/11</v>
      </c>
    </row>
    <row r="70" spans="1:25">
      <c r="A70" s="6" t="str">
        <f>IF('03_Base_Indice'!$A70="","",'03_Base_Indice'!$A70)</f>
        <v>7. Segurança Alimentar e Saúde</v>
      </c>
      <c r="B70" s="6">
        <f>'03_Base_Indice'!$B70</f>
        <v>6</v>
      </c>
      <c r="D70" s="6" t="str">
        <f>IF('03_Base_Indice'!$D70="","",'03_Base_Indice'!$D70)</f>
        <v>SAU04</v>
      </c>
      <c r="E70" s="6" t="str">
        <f>IF('03_Base_Indice'!$E70="","",'03_Base_Indice'!$E70)</f>
        <v>Mortalidade de menores de 5 anos</v>
      </c>
      <c r="K70" s="20" t="str">
        <f>IF('03_Base_Indice'!$D70="","",IF('03_Base_Indice'!K70&lt;&gt;"","OBS",IF(AND(Aux!B70&lt;&gt;"",Aux!N70&lt;&gt;"",(N(Aux!N70)-N(Aux!B70)-1)&lt;='01_Criterios'!$C$13),"EST_INTERP",IF(AND(Aux!B70&lt;&gt;"",(1-N(Aux!B70))&lt;='01_Criterios'!$C$14),"EST_CARRY_FWD",IF(AND(Aux!N70&lt;&gt;"",(N(Aux!N70)-1)&lt;='01_Criterios'!$C$15),"EST_CARRY_BWD","SEM_DADO")))))</f>
        <v>OBS</v>
      </c>
      <c r="L70" s="20" t="str">
        <f>IF('03_Base_Indice'!$D70="","",IF('03_Base_Indice'!L70&lt;&gt;"","OBS",IF(AND(Aux!C70&lt;&gt;"",Aux!O70&lt;&gt;"",(N(Aux!O70)-N(Aux!C70)-1)&lt;='01_Criterios'!$C$13),"EST_INTERP",IF(AND(Aux!C70&lt;&gt;"",(2-N(Aux!C70))&lt;='01_Criterios'!$C$14),"EST_CARRY_FWD",IF(AND(Aux!O70&lt;&gt;"",(N(Aux!O70)-2)&lt;='01_Criterios'!$C$15),"EST_CARRY_BWD","SEM_DADO")))))</f>
        <v>OBS</v>
      </c>
      <c r="M70" s="20" t="str">
        <f>IF('03_Base_Indice'!$D70="","",IF('03_Base_Indice'!M70&lt;&gt;"","OBS",IF(AND(Aux!D70&lt;&gt;"",Aux!P70&lt;&gt;"",(N(Aux!P70)-N(Aux!D70)-1)&lt;='01_Criterios'!$C$13),"EST_INTERP",IF(AND(Aux!D70&lt;&gt;"",(3-N(Aux!D70))&lt;='01_Criterios'!$C$14),"EST_CARRY_FWD",IF(AND(Aux!P70&lt;&gt;"",(N(Aux!P70)-3)&lt;='01_Criterios'!$C$15),"EST_CARRY_BWD","SEM_DADO")))))</f>
        <v>OBS</v>
      </c>
      <c r="N70" s="20" t="str">
        <f>IF('03_Base_Indice'!$D70="","",IF('03_Base_Indice'!N70&lt;&gt;"","OBS",IF(AND(Aux!E70&lt;&gt;"",Aux!Q70&lt;&gt;"",(N(Aux!Q70)-N(Aux!E70)-1)&lt;='01_Criterios'!$C$13),"EST_INTERP",IF(AND(Aux!E70&lt;&gt;"",(4-N(Aux!E70))&lt;='01_Criterios'!$C$14),"EST_CARRY_FWD",IF(AND(Aux!Q70&lt;&gt;"",(N(Aux!Q70)-4)&lt;='01_Criterios'!$C$15),"EST_CARRY_BWD","SEM_DADO")))))</f>
        <v>OBS</v>
      </c>
      <c r="O70" s="20" t="str">
        <f>IF('03_Base_Indice'!$D70="","",IF('03_Base_Indice'!O70&lt;&gt;"","OBS",IF(AND(Aux!F70&lt;&gt;"",Aux!R70&lt;&gt;"",(N(Aux!R70)-N(Aux!F70)-1)&lt;='01_Criterios'!$C$13),"EST_INTERP",IF(AND(Aux!F70&lt;&gt;"",(5-N(Aux!F70))&lt;='01_Criterios'!$C$14),"EST_CARRY_FWD",IF(AND(Aux!R70&lt;&gt;"",(N(Aux!R70)-5)&lt;='01_Criterios'!$C$15),"EST_CARRY_BWD","SEM_DADO")))))</f>
        <v>OBS</v>
      </c>
      <c r="P70" s="20" t="str">
        <f>IF('03_Base_Indice'!$D70="","",IF('03_Base_Indice'!P70&lt;&gt;"","OBS",IF(AND(Aux!G70&lt;&gt;"",Aux!S70&lt;&gt;"",(N(Aux!S70)-N(Aux!G70)-1)&lt;='01_Criterios'!$C$13),"EST_INTERP",IF(AND(Aux!G70&lt;&gt;"",(6-N(Aux!G70))&lt;='01_Criterios'!$C$14),"EST_CARRY_FWD",IF(AND(Aux!S70&lt;&gt;"",(N(Aux!S70)-6)&lt;='01_Criterios'!$C$15),"EST_CARRY_BWD","SEM_DADO")))))</f>
        <v>OBS</v>
      </c>
      <c r="Q70" s="20" t="str">
        <f>IF('03_Base_Indice'!$D70="","",IF('03_Base_Indice'!Q70&lt;&gt;"","OBS",IF(AND(Aux!H70&lt;&gt;"",Aux!T70&lt;&gt;"",(N(Aux!T70)-N(Aux!H70)-1)&lt;='01_Criterios'!$C$13),"EST_INTERP",IF(AND(Aux!H70&lt;&gt;"",(7-N(Aux!H70))&lt;='01_Criterios'!$C$14),"EST_CARRY_FWD",IF(AND(Aux!T70&lt;&gt;"",(N(Aux!T70)-7)&lt;='01_Criterios'!$C$15),"EST_CARRY_BWD","SEM_DADO")))))</f>
        <v>OBS</v>
      </c>
      <c r="R70" s="20" t="str">
        <f>IF('03_Base_Indice'!$D70="","",IF('03_Base_Indice'!R70&lt;&gt;"","OBS",IF(AND(Aux!I70&lt;&gt;"",Aux!U70&lt;&gt;"",(N(Aux!U70)-N(Aux!I70)-1)&lt;='01_Criterios'!$C$13),"EST_INTERP",IF(AND(Aux!I70&lt;&gt;"",(8-N(Aux!I70))&lt;='01_Criterios'!$C$14),"EST_CARRY_FWD",IF(AND(Aux!U70&lt;&gt;"",(N(Aux!U70)-8)&lt;='01_Criterios'!$C$15),"EST_CARRY_BWD","SEM_DADO")))))</f>
        <v>OBS</v>
      </c>
      <c r="S70" s="20" t="str">
        <f>IF('03_Base_Indice'!$D70="","",IF('03_Base_Indice'!S70&lt;&gt;"","OBS",IF(AND(Aux!J70&lt;&gt;"",Aux!V70&lt;&gt;"",(N(Aux!V70)-N(Aux!J70)-1)&lt;='01_Criterios'!$C$13),"EST_INTERP",IF(AND(Aux!J70&lt;&gt;"",(9-N(Aux!J70))&lt;='01_Criterios'!$C$14),"EST_CARRY_FWD",IF(AND(Aux!V70&lt;&gt;"",(N(Aux!V70)-9)&lt;='01_Criterios'!$C$15),"EST_CARRY_BWD","SEM_DADO")))))</f>
        <v>OBS</v>
      </c>
      <c r="T70" s="20" t="str">
        <f>IF('03_Base_Indice'!$D70="","",IF('03_Base_Indice'!T70&lt;&gt;"","OBS",IF(AND(Aux!K70&lt;&gt;"",Aux!W70&lt;&gt;"",(N(Aux!W70)-N(Aux!K70)-1)&lt;='01_Criterios'!$C$13),"EST_INTERP",IF(AND(Aux!K70&lt;&gt;"",(10-N(Aux!K70))&lt;='01_Criterios'!$C$14),"EST_CARRY_FWD",IF(AND(Aux!W70&lt;&gt;"",(N(Aux!W70)-10)&lt;='01_Criterios'!$C$15),"EST_CARRY_BWD","SEM_DADO")))))</f>
        <v>OBS</v>
      </c>
      <c r="U70" s="20" t="str">
        <f>IF('03_Base_Indice'!$D70="","",IF('03_Base_Indice'!U70&lt;&gt;"","OBS",IF(AND(Aux!L70&lt;&gt;"",Aux!X70&lt;&gt;"",(N(Aux!X70)-N(Aux!L70)-1)&lt;='01_Criterios'!$C$13),"EST_INTERP",IF(AND(Aux!L70&lt;&gt;"",(11-N(Aux!L70))&lt;='01_Criterios'!$C$14),"EST_CARRY_FWD",IF(AND(Aux!X70&lt;&gt;"",(N(Aux!X70)-11)&lt;='01_Criterios'!$C$15),"EST_CARRY_BWD","SEM_DADO")))))</f>
        <v>EST_CARRY_FWD</v>
      </c>
      <c r="V70" s="20">
        <f>IF($D70="","",COUNTIF(K70:U70,"OBS"))</f>
        <v>10</v>
      </c>
      <c r="W70" s="20">
        <f>IF($D70="","",COUNTIF(K70:U70,"EST_*"))</f>
        <v>1</v>
      </c>
      <c r="X70" s="20">
        <f>IF($D70="","",COUNTIF(K70:U70,"SEM_DADO"))</f>
        <v>0</v>
      </c>
      <c r="Y70" s="20" t="str">
        <f>IF($D70="","",(V70+W70)&amp;"/11")</f>
        <v>11/11</v>
      </c>
    </row>
    <row r="71" spans="1:25">
      <c r="A71" s="6" t="str">
        <f>IF('03_Base_Indice'!$A71="","",'03_Base_Indice'!$A71)</f>
        <v>7. Segurança Alimentar e Saúde</v>
      </c>
      <c r="B71" s="6">
        <f>'03_Base_Indice'!$B71</f>
        <v>7</v>
      </c>
      <c r="D71" s="6" t="str">
        <f>IF('03_Base_Indice'!$D71="","",'03_Base_Indice'!$D71)</f>
        <v>SAU017</v>
      </c>
      <c r="E71" s="6" t="str">
        <f>IF('03_Base_Indice'!$E71="","",'03_Base_Indice'!$E71)</f>
        <v>Despesa direta das famílias em saúde</v>
      </c>
      <c r="K71" s="20" t="str">
        <f>IF('03_Base_Indice'!$D71="","",IF('03_Base_Indice'!K71&lt;&gt;"","OBS",IF(AND(Aux!B71&lt;&gt;"",Aux!N71&lt;&gt;"",(N(Aux!N71)-N(Aux!B71)-1)&lt;='01_Criterios'!$C$13),"EST_INTERP",IF(AND(Aux!B71&lt;&gt;"",(1-N(Aux!B71))&lt;='01_Criterios'!$C$14),"EST_CARRY_FWD",IF(AND(Aux!N71&lt;&gt;"",(N(Aux!N71)-1)&lt;='01_Criterios'!$C$15),"EST_CARRY_BWD","SEM_DADO")))))</f>
        <v>OBS</v>
      </c>
      <c r="L71" s="20" t="str">
        <f>IF('03_Base_Indice'!$D71="","",IF('03_Base_Indice'!L71&lt;&gt;"","OBS",IF(AND(Aux!C71&lt;&gt;"",Aux!O71&lt;&gt;"",(N(Aux!O71)-N(Aux!C71)-1)&lt;='01_Criterios'!$C$13),"EST_INTERP",IF(AND(Aux!C71&lt;&gt;"",(2-N(Aux!C71))&lt;='01_Criterios'!$C$14),"EST_CARRY_FWD",IF(AND(Aux!O71&lt;&gt;"",(N(Aux!O71)-2)&lt;='01_Criterios'!$C$15),"EST_CARRY_BWD","SEM_DADO")))))</f>
        <v>OBS</v>
      </c>
      <c r="M71" s="20" t="str">
        <f>IF('03_Base_Indice'!$D71="","",IF('03_Base_Indice'!M71&lt;&gt;"","OBS",IF(AND(Aux!D71&lt;&gt;"",Aux!P71&lt;&gt;"",(N(Aux!P71)-N(Aux!D71)-1)&lt;='01_Criterios'!$C$13),"EST_INTERP",IF(AND(Aux!D71&lt;&gt;"",(3-N(Aux!D71))&lt;='01_Criterios'!$C$14),"EST_CARRY_FWD",IF(AND(Aux!P71&lt;&gt;"",(N(Aux!P71)-3)&lt;='01_Criterios'!$C$15),"EST_CARRY_BWD","SEM_DADO")))))</f>
        <v>OBS</v>
      </c>
      <c r="N71" s="20" t="str">
        <f>IF('03_Base_Indice'!$D71="","",IF('03_Base_Indice'!N71&lt;&gt;"","OBS",IF(AND(Aux!E71&lt;&gt;"",Aux!Q71&lt;&gt;"",(N(Aux!Q71)-N(Aux!E71)-1)&lt;='01_Criterios'!$C$13),"EST_INTERP",IF(AND(Aux!E71&lt;&gt;"",(4-N(Aux!E71))&lt;='01_Criterios'!$C$14),"EST_CARRY_FWD",IF(AND(Aux!Q71&lt;&gt;"",(N(Aux!Q71)-4)&lt;='01_Criterios'!$C$15),"EST_CARRY_BWD","SEM_DADO")))))</f>
        <v>OBS</v>
      </c>
      <c r="O71" s="20" t="str">
        <f>IF('03_Base_Indice'!$D71="","",IF('03_Base_Indice'!O71&lt;&gt;"","OBS",IF(AND(Aux!F71&lt;&gt;"",Aux!R71&lt;&gt;"",(N(Aux!R71)-N(Aux!F71)-1)&lt;='01_Criterios'!$C$13),"EST_INTERP",IF(AND(Aux!F71&lt;&gt;"",(5-N(Aux!F71))&lt;='01_Criterios'!$C$14),"EST_CARRY_FWD",IF(AND(Aux!R71&lt;&gt;"",(N(Aux!R71)-5)&lt;='01_Criterios'!$C$15),"EST_CARRY_BWD","SEM_DADO")))))</f>
        <v>OBS</v>
      </c>
      <c r="P71" s="20" t="str">
        <f>IF('03_Base_Indice'!$D71="","",IF('03_Base_Indice'!P71&lt;&gt;"","OBS",IF(AND(Aux!G71&lt;&gt;"",Aux!S71&lt;&gt;"",(N(Aux!S71)-N(Aux!G71)-1)&lt;='01_Criterios'!$C$13),"EST_INTERP",IF(AND(Aux!G71&lt;&gt;"",(6-N(Aux!G71))&lt;='01_Criterios'!$C$14),"EST_CARRY_FWD",IF(AND(Aux!S71&lt;&gt;"",(N(Aux!S71)-6)&lt;='01_Criterios'!$C$15),"EST_CARRY_BWD","SEM_DADO")))))</f>
        <v>OBS</v>
      </c>
      <c r="Q71" s="20" t="str">
        <f>IF('03_Base_Indice'!$D71="","",IF('03_Base_Indice'!Q71&lt;&gt;"","OBS",IF(AND(Aux!H71&lt;&gt;"",Aux!T71&lt;&gt;"",(N(Aux!T71)-N(Aux!H71)-1)&lt;='01_Criterios'!$C$13),"EST_INTERP",IF(AND(Aux!H71&lt;&gt;"",(7-N(Aux!H71))&lt;='01_Criterios'!$C$14),"EST_CARRY_FWD",IF(AND(Aux!T71&lt;&gt;"",(N(Aux!T71)-7)&lt;='01_Criterios'!$C$15),"EST_CARRY_BWD","SEM_DADO")))))</f>
        <v>OBS</v>
      </c>
      <c r="R71" s="20" t="str">
        <f>IF('03_Base_Indice'!$D71="","",IF('03_Base_Indice'!R71&lt;&gt;"","OBS",IF(AND(Aux!I71&lt;&gt;"",Aux!U71&lt;&gt;"",(N(Aux!U71)-N(Aux!I71)-1)&lt;='01_Criterios'!$C$13),"EST_INTERP",IF(AND(Aux!I71&lt;&gt;"",(8-N(Aux!I71))&lt;='01_Criterios'!$C$14),"EST_CARRY_FWD",IF(AND(Aux!U71&lt;&gt;"",(N(Aux!U71)-8)&lt;='01_Criterios'!$C$15),"EST_CARRY_BWD","SEM_DADO")))))</f>
        <v>OBS</v>
      </c>
      <c r="S71" s="20" t="str">
        <f>IF('03_Base_Indice'!$D71="","",IF('03_Base_Indice'!S71&lt;&gt;"","OBS",IF(AND(Aux!J71&lt;&gt;"",Aux!V71&lt;&gt;"",(N(Aux!V71)-N(Aux!J71)-1)&lt;='01_Criterios'!$C$13),"EST_INTERP",IF(AND(Aux!J71&lt;&gt;"",(9-N(Aux!J71))&lt;='01_Criterios'!$C$14),"EST_CARRY_FWD",IF(AND(Aux!V71&lt;&gt;"",(N(Aux!V71)-9)&lt;='01_Criterios'!$C$15),"EST_CARRY_BWD","SEM_DADO")))))</f>
        <v>OBS</v>
      </c>
      <c r="T71" s="20" t="str">
        <f>IF('03_Base_Indice'!$D71="","",IF('03_Base_Indice'!T71&lt;&gt;"","OBS",IF(AND(Aux!K71&lt;&gt;"",Aux!W71&lt;&gt;"",(N(Aux!W71)-N(Aux!K71)-1)&lt;='01_Criterios'!$C$13),"EST_INTERP",IF(AND(Aux!K71&lt;&gt;"",(10-N(Aux!K71))&lt;='01_Criterios'!$C$14),"EST_CARRY_FWD",IF(AND(Aux!W71&lt;&gt;"",(N(Aux!W71)-10)&lt;='01_Criterios'!$C$15),"EST_CARRY_BWD","SEM_DADO")))))</f>
        <v>EST_CARRY_FWD</v>
      </c>
      <c r="U71" s="20" t="str">
        <f>IF('03_Base_Indice'!$D71="","",IF('03_Base_Indice'!U71&lt;&gt;"","OBS",IF(AND(Aux!L71&lt;&gt;"",Aux!X71&lt;&gt;"",(N(Aux!X71)-N(Aux!L71)-1)&lt;='01_Criterios'!$C$13),"EST_INTERP",IF(AND(Aux!L71&lt;&gt;"",(11-N(Aux!L71))&lt;='01_Criterios'!$C$14),"EST_CARRY_FWD",IF(AND(Aux!X71&lt;&gt;"",(N(Aux!X71)-11)&lt;='01_Criterios'!$C$15),"EST_CARRY_BWD","SEM_DADO")))))</f>
        <v>EST_CARRY_FWD</v>
      </c>
      <c r="V71" s="20">
        <f>IF($D71="","",COUNTIF(K71:U71,"OBS"))</f>
        <v>9</v>
      </c>
      <c r="W71" s="20">
        <f>IF($D71="","",COUNTIF(K71:U71,"EST_*"))</f>
        <v>2</v>
      </c>
      <c r="X71" s="20">
        <f>IF($D71="","",COUNTIF(K71:U71,"SEM_DADO"))</f>
        <v>0</v>
      </c>
      <c r="Y71" s="20" t="str">
        <f>IF($D71="","",(V71+W71)&amp;"/11")</f>
        <v>11/11</v>
      </c>
    </row>
    <row r="72" spans="1:25">
      <c r="A72" s="6" t="str">
        <f>IF('03_Base_Indice'!$A72="","",'03_Base_Indice'!$A72)</f>
        <v>7. Segurança Alimentar e Saúde</v>
      </c>
      <c r="B72" s="6">
        <f>'03_Base_Indice'!$B72</f>
        <v>8</v>
      </c>
      <c r="D72" s="6" t="str">
        <f>IF('03_Base_Indice'!$D72="","",'03_Base_Indice'!$D72)</f>
        <v/>
      </c>
      <c r="E72" s="6" t="str">
        <f>IF('03_Base_Indice'!$E72="","",'03_Base_Indice'!$E72)</f>
        <v/>
      </c>
      <c r="K72" s="20" t="str">
        <f>IF('03_Base_Indice'!$D72="","",IF('03_Base_Indice'!K72&lt;&gt;"","OBS",IF(AND(Aux!B72&lt;&gt;"",Aux!N72&lt;&gt;"",(N(Aux!N72)-N(Aux!B72)-1)&lt;='01_Criterios'!$C$13),"EST_INTERP",IF(AND(Aux!B72&lt;&gt;"",(1-N(Aux!B72))&lt;='01_Criterios'!$C$14),"EST_CARRY_FWD",IF(AND(Aux!N72&lt;&gt;"",(N(Aux!N72)-1)&lt;='01_Criterios'!$C$15),"EST_CARRY_BWD","SEM_DADO")))))</f>
        <v/>
      </c>
      <c r="L72" s="20" t="str">
        <f>IF('03_Base_Indice'!$D72="","",IF('03_Base_Indice'!L72&lt;&gt;"","OBS",IF(AND(Aux!C72&lt;&gt;"",Aux!O72&lt;&gt;"",(N(Aux!O72)-N(Aux!C72)-1)&lt;='01_Criterios'!$C$13),"EST_INTERP",IF(AND(Aux!C72&lt;&gt;"",(2-N(Aux!C72))&lt;='01_Criterios'!$C$14),"EST_CARRY_FWD",IF(AND(Aux!O72&lt;&gt;"",(N(Aux!O72)-2)&lt;='01_Criterios'!$C$15),"EST_CARRY_BWD","SEM_DADO")))))</f>
        <v/>
      </c>
      <c r="M72" s="20" t="str">
        <f>IF('03_Base_Indice'!$D72="","",IF('03_Base_Indice'!M72&lt;&gt;"","OBS",IF(AND(Aux!D72&lt;&gt;"",Aux!P72&lt;&gt;"",(N(Aux!P72)-N(Aux!D72)-1)&lt;='01_Criterios'!$C$13),"EST_INTERP",IF(AND(Aux!D72&lt;&gt;"",(3-N(Aux!D72))&lt;='01_Criterios'!$C$14),"EST_CARRY_FWD",IF(AND(Aux!P72&lt;&gt;"",(N(Aux!P72)-3)&lt;='01_Criterios'!$C$15),"EST_CARRY_BWD","SEM_DADO")))))</f>
        <v/>
      </c>
      <c r="N72" s="20" t="str">
        <f>IF('03_Base_Indice'!$D72="","",IF('03_Base_Indice'!N72&lt;&gt;"","OBS",IF(AND(Aux!E72&lt;&gt;"",Aux!Q72&lt;&gt;"",(N(Aux!Q72)-N(Aux!E72)-1)&lt;='01_Criterios'!$C$13),"EST_INTERP",IF(AND(Aux!E72&lt;&gt;"",(4-N(Aux!E72))&lt;='01_Criterios'!$C$14),"EST_CARRY_FWD",IF(AND(Aux!Q72&lt;&gt;"",(N(Aux!Q72)-4)&lt;='01_Criterios'!$C$15),"EST_CARRY_BWD","SEM_DADO")))))</f>
        <v/>
      </c>
      <c r="O72" s="20" t="str">
        <f>IF('03_Base_Indice'!$D72="","",IF('03_Base_Indice'!O72&lt;&gt;"","OBS",IF(AND(Aux!F72&lt;&gt;"",Aux!R72&lt;&gt;"",(N(Aux!R72)-N(Aux!F72)-1)&lt;='01_Criterios'!$C$13),"EST_INTERP",IF(AND(Aux!F72&lt;&gt;"",(5-N(Aux!F72))&lt;='01_Criterios'!$C$14),"EST_CARRY_FWD",IF(AND(Aux!R72&lt;&gt;"",(N(Aux!R72)-5)&lt;='01_Criterios'!$C$15),"EST_CARRY_BWD","SEM_DADO")))))</f>
        <v/>
      </c>
      <c r="P72" s="20" t="str">
        <f>IF('03_Base_Indice'!$D72="","",IF('03_Base_Indice'!P72&lt;&gt;"","OBS",IF(AND(Aux!G72&lt;&gt;"",Aux!S72&lt;&gt;"",(N(Aux!S72)-N(Aux!G72)-1)&lt;='01_Criterios'!$C$13),"EST_INTERP",IF(AND(Aux!G72&lt;&gt;"",(6-N(Aux!G72))&lt;='01_Criterios'!$C$14),"EST_CARRY_FWD",IF(AND(Aux!S72&lt;&gt;"",(N(Aux!S72)-6)&lt;='01_Criterios'!$C$15),"EST_CARRY_BWD","SEM_DADO")))))</f>
        <v/>
      </c>
      <c r="Q72" s="20" t="str">
        <f>IF('03_Base_Indice'!$D72="","",IF('03_Base_Indice'!Q72&lt;&gt;"","OBS",IF(AND(Aux!H72&lt;&gt;"",Aux!T72&lt;&gt;"",(N(Aux!T72)-N(Aux!H72)-1)&lt;='01_Criterios'!$C$13),"EST_INTERP",IF(AND(Aux!H72&lt;&gt;"",(7-N(Aux!H72))&lt;='01_Criterios'!$C$14),"EST_CARRY_FWD",IF(AND(Aux!T72&lt;&gt;"",(N(Aux!T72)-7)&lt;='01_Criterios'!$C$15),"EST_CARRY_BWD","SEM_DADO")))))</f>
        <v/>
      </c>
      <c r="R72" s="20" t="str">
        <f>IF('03_Base_Indice'!$D72="","",IF('03_Base_Indice'!R72&lt;&gt;"","OBS",IF(AND(Aux!I72&lt;&gt;"",Aux!U72&lt;&gt;"",(N(Aux!U72)-N(Aux!I72)-1)&lt;='01_Criterios'!$C$13),"EST_INTERP",IF(AND(Aux!I72&lt;&gt;"",(8-N(Aux!I72))&lt;='01_Criterios'!$C$14),"EST_CARRY_FWD",IF(AND(Aux!U72&lt;&gt;"",(N(Aux!U72)-8)&lt;='01_Criterios'!$C$15),"EST_CARRY_BWD","SEM_DADO")))))</f>
        <v/>
      </c>
      <c r="S72" s="20" t="str">
        <f>IF('03_Base_Indice'!$D72="","",IF('03_Base_Indice'!S72&lt;&gt;"","OBS",IF(AND(Aux!J72&lt;&gt;"",Aux!V72&lt;&gt;"",(N(Aux!V72)-N(Aux!J72)-1)&lt;='01_Criterios'!$C$13),"EST_INTERP",IF(AND(Aux!J72&lt;&gt;"",(9-N(Aux!J72))&lt;='01_Criterios'!$C$14),"EST_CARRY_FWD",IF(AND(Aux!V72&lt;&gt;"",(N(Aux!V72)-9)&lt;='01_Criterios'!$C$15),"EST_CARRY_BWD","SEM_DADO")))))</f>
        <v/>
      </c>
      <c r="T72" s="20" t="str">
        <f>IF('03_Base_Indice'!$D72="","",IF('03_Base_Indice'!T72&lt;&gt;"","OBS",IF(AND(Aux!K72&lt;&gt;"",Aux!W72&lt;&gt;"",(N(Aux!W72)-N(Aux!K72)-1)&lt;='01_Criterios'!$C$13),"EST_INTERP",IF(AND(Aux!K72&lt;&gt;"",(10-N(Aux!K72))&lt;='01_Criterios'!$C$14),"EST_CARRY_FWD",IF(AND(Aux!W72&lt;&gt;"",(N(Aux!W72)-10)&lt;='01_Criterios'!$C$15),"EST_CARRY_BWD","SEM_DADO")))))</f>
        <v/>
      </c>
      <c r="U72" s="20" t="str">
        <f>IF('03_Base_Indice'!$D72="","",IF('03_Base_Indice'!U72&lt;&gt;"","OBS",IF(AND(Aux!L72&lt;&gt;"",Aux!X72&lt;&gt;"",(N(Aux!X72)-N(Aux!L72)-1)&lt;='01_Criterios'!$C$13),"EST_INTERP",IF(AND(Aux!L72&lt;&gt;"",(11-N(Aux!L72))&lt;='01_Criterios'!$C$14),"EST_CARRY_FWD",IF(AND(Aux!X72&lt;&gt;"",(N(Aux!X72)-11)&lt;='01_Criterios'!$C$15),"EST_CARRY_BWD","SEM_DADO")))))</f>
        <v/>
      </c>
      <c r="V72" s="20" t="str">
        <f>IF($D72="","",COUNTIF(K72:U72,"OBS"))</f>
        <v/>
      </c>
      <c r="W72" s="20" t="str">
        <f>IF($D72="","",COUNTIF(K72:U72,"EST_*"))</f>
        <v/>
      </c>
      <c r="X72" s="20" t="str">
        <f>IF($D72="","",COUNTIF(K72:U72,"SEM_DADO"))</f>
        <v/>
      </c>
      <c r="Y72" s="20" t="str">
        <f>IF($D72="","",(V72+W72)&amp;"/11")</f>
        <v/>
      </c>
    </row>
    <row r="73" spans="1:25">
      <c r="A73" s="6" t="str">
        <f>IF('03_Base_Indice'!$A73="","",'03_Base_Indice'!$A73)</f>
        <v>7. Segurança Alimentar e Saúde</v>
      </c>
      <c r="B73" s="6">
        <f>'03_Base_Indice'!$B73</f>
        <v>9</v>
      </c>
      <c r="D73" s="6" t="str">
        <f>IF('03_Base_Indice'!$D73="","",'03_Base_Indice'!$D73)</f>
        <v/>
      </c>
      <c r="E73" s="6" t="str">
        <f>IF('03_Base_Indice'!$E73="","",'03_Base_Indice'!$E73)</f>
        <v/>
      </c>
      <c r="K73" s="20" t="str">
        <f>IF('03_Base_Indice'!$D73="","",IF('03_Base_Indice'!K73&lt;&gt;"","OBS",IF(AND(Aux!B73&lt;&gt;"",Aux!N73&lt;&gt;"",(N(Aux!N73)-N(Aux!B73)-1)&lt;='01_Criterios'!$C$13),"EST_INTERP",IF(AND(Aux!B73&lt;&gt;"",(1-N(Aux!B73))&lt;='01_Criterios'!$C$14),"EST_CARRY_FWD",IF(AND(Aux!N73&lt;&gt;"",(N(Aux!N73)-1)&lt;='01_Criterios'!$C$15),"EST_CARRY_BWD","SEM_DADO")))))</f>
        <v/>
      </c>
      <c r="L73" s="20" t="str">
        <f>IF('03_Base_Indice'!$D73="","",IF('03_Base_Indice'!L73&lt;&gt;"","OBS",IF(AND(Aux!C73&lt;&gt;"",Aux!O73&lt;&gt;"",(N(Aux!O73)-N(Aux!C73)-1)&lt;='01_Criterios'!$C$13),"EST_INTERP",IF(AND(Aux!C73&lt;&gt;"",(2-N(Aux!C73))&lt;='01_Criterios'!$C$14),"EST_CARRY_FWD",IF(AND(Aux!O73&lt;&gt;"",(N(Aux!O73)-2)&lt;='01_Criterios'!$C$15),"EST_CARRY_BWD","SEM_DADO")))))</f>
        <v/>
      </c>
      <c r="M73" s="20" t="str">
        <f>IF('03_Base_Indice'!$D73="","",IF('03_Base_Indice'!M73&lt;&gt;"","OBS",IF(AND(Aux!D73&lt;&gt;"",Aux!P73&lt;&gt;"",(N(Aux!P73)-N(Aux!D73)-1)&lt;='01_Criterios'!$C$13),"EST_INTERP",IF(AND(Aux!D73&lt;&gt;"",(3-N(Aux!D73))&lt;='01_Criterios'!$C$14),"EST_CARRY_FWD",IF(AND(Aux!P73&lt;&gt;"",(N(Aux!P73)-3)&lt;='01_Criterios'!$C$15),"EST_CARRY_BWD","SEM_DADO")))))</f>
        <v/>
      </c>
      <c r="N73" s="20" t="str">
        <f>IF('03_Base_Indice'!$D73="","",IF('03_Base_Indice'!N73&lt;&gt;"","OBS",IF(AND(Aux!E73&lt;&gt;"",Aux!Q73&lt;&gt;"",(N(Aux!Q73)-N(Aux!E73)-1)&lt;='01_Criterios'!$C$13),"EST_INTERP",IF(AND(Aux!E73&lt;&gt;"",(4-N(Aux!E73))&lt;='01_Criterios'!$C$14),"EST_CARRY_FWD",IF(AND(Aux!Q73&lt;&gt;"",(N(Aux!Q73)-4)&lt;='01_Criterios'!$C$15),"EST_CARRY_BWD","SEM_DADO")))))</f>
        <v/>
      </c>
      <c r="O73" s="20" t="str">
        <f>IF('03_Base_Indice'!$D73="","",IF('03_Base_Indice'!O73&lt;&gt;"","OBS",IF(AND(Aux!F73&lt;&gt;"",Aux!R73&lt;&gt;"",(N(Aux!R73)-N(Aux!F73)-1)&lt;='01_Criterios'!$C$13),"EST_INTERP",IF(AND(Aux!F73&lt;&gt;"",(5-N(Aux!F73))&lt;='01_Criterios'!$C$14),"EST_CARRY_FWD",IF(AND(Aux!R73&lt;&gt;"",(N(Aux!R73)-5)&lt;='01_Criterios'!$C$15),"EST_CARRY_BWD","SEM_DADO")))))</f>
        <v/>
      </c>
      <c r="P73" s="20" t="str">
        <f>IF('03_Base_Indice'!$D73="","",IF('03_Base_Indice'!P73&lt;&gt;"","OBS",IF(AND(Aux!G73&lt;&gt;"",Aux!S73&lt;&gt;"",(N(Aux!S73)-N(Aux!G73)-1)&lt;='01_Criterios'!$C$13),"EST_INTERP",IF(AND(Aux!G73&lt;&gt;"",(6-N(Aux!G73))&lt;='01_Criterios'!$C$14),"EST_CARRY_FWD",IF(AND(Aux!S73&lt;&gt;"",(N(Aux!S73)-6)&lt;='01_Criterios'!$C$15),"EST_CARRY_BWD","SEM_DADO")))))</f>
        <v/>
      </c>
      <c r="Q73" s="20" t="str">
        <f>IF('03_Base_Indice'!$D73="","",IF('03_Base_Indice'!Q73&lt;&gt;"","OBS",IF(AND(Aux!H73&lt;&gt;"",Aux!T73&lt;&gt;"",(N(Aux!T73)-N(Aux!H73)-1)&lt;='01_Criterios'!$C$13),"EST_INTERP",IF(AND(Aux!H73&lt;&gt;"",(7-N(Aux!H73))&lt;='01_Criterios'!$C$14),"EST_CARRY_FWD",IF(AND(Aux!T73&lt;&gt;"",(N(Aux!T73)-7)&lt;='01_Criterios'!$C$15),"EST_CARRY_BWD","SEM_DADO")))))</f>
        <v/>
      </c>
      <c r="R73" s="20" t="str">
        <f>IF('03_Base_Indice'!$D73="","",IF('03_Base_Indice'!R73&lt;&gt;"","OBS",IF(AND(Aux!I73&lt;&gt;"",Aux!U73&lt;&gt;"",(N(Aux!U73)-N(Aux!I73)-1)&lt;='01_Criterios'!$C$13),"EST_INTERP",IF(AND(Aux!I73&lt;&gt;"",(8-N(Aux!I73))&lt;='01_Criterios'!$C$14),"EST_CARRY_FWD",IF(AND(Aux!U73&lt;&gt;"",(N(Aux!U73)-8)&lt;='01_Criterios'!$C$15),"EST_CARRY_BWD","SEM_DADO")))))</f>
        <v/>
      </c>
      <c r="S73" s="20" t="str">
        <f>IF('03_Base_Indice'!$D73="","",IF('03_Base_Indice'!S73&lt;&gt;"","OBS",IF(AND(Aux!J73&lt;&gt;"",Aux!V73&lt;&gt;"",(N(Aux!V73)-N(Aux!J73)-1)&lt;='01_Criterios'!$C$13),"EST_INTERP",IF(AND(Aux!J73&lt;&gt;"",(9-N(Aux!J73))&lt;='01_Criterios'!$C$14),"EST_CARRY_FWD",IF(AND(Aux!V73&lt;&gt;"",(N(Aux!V73)-9)&lt;='01_Criterios'!$C$15),"EST_CARRY_BWD","SEM_DADO")))))</f>
        <v/>
      </c>
      <c r="T73" s="20" t="str">
        <f>IF('03_Base_Indice'!$D73="","",IF('03_Base_Indice'!T73&lt;&gt;"","OBS",IF(AND(Aux!K73&lt;&gt;"",Aux!W73&lt;&gt;"",(N(Aux!W73)-N(Aux!K73)-1)&lt;='01_Criterios'!$C$13),"EST_INTERP",IF(AND(Aux!K73&lt;&gt;"",(10-N(Aux!K73))&lt;='01_Criterios'!$C$14),"EST_CARRY_FWD",IF(AND(Aux!W73&lt;&gt;"",(N(Aux!W73)-10)&lt;='01_Criterios'!$C$15),"EST_CARRY_BWD","SEM_DADO")))))</f>
        <v/>
      </c>
      <c r="U73" s="20" t="str">
        <f>IF('03_Base_Indice'!$D73="","",IF('03_Base_Indice'!U73&lt;&gt;"","OBS",IF(AND(Aux!L73&lt;&gt;"",Aux!X73&lt;&gt;"",(N(Aux!X73)-N(Aux!L73)-1)&lt;='01_Criterios'!$C$13),"EST_INTERP",IF(AND(Aux!L73&lt;&gt;"",(11-N(Aux!L73))&lt;='01_Criterios'!$C$14),"EST_CARRY_FWD",IF(AND(Aux!X73&lt;&gt;"",(N(Aux!X73)-11)&lt;='01_Criterios'!$C$15),"EST_CARRY_BWD","SEM_DADO")))))</f>
        <v/>
      </c>
      <c r="V73" s="20" t="str">
        <f>IF($D73="","",COUNTIF(K73:U73,"OBS"))</f>
        <v/>
      </c>
      <c r="W73" s="20" t="str">
        <f>IF($D73="","",COUNTIF(K73:U73,"EST_*"))</f>
        <v/>
      </c>
      <c r="X73" s="20" t="str">
        <f>IF($D73="","",COUNTIF(K73:U73,"SEM_DADO"))</f>
        <v/>
      </c>
      <c r="Y73" s="20" t="str">
        <f>IF($D73="","",(V73+W73)&amp;"/11")</f>
        <v/>
      </c>
    </row>
    <row r="74" spans="1:25">
      <c r="A74" s="6" t="str">
        <f>IF('03_Base_Indice'!$A74="","",'03_Base_Indice'!$A74)</f>
        <v>7. Segurança Alimentar e Saúde</v>
      </c>
      <c r="B74" s="6">
        <f>'03_Base_Indice'!$B74</f>
        <v>10</v>
      </c>
      <c r="D74" s="6" t="str">
        <f>IF('03_Base_Indice'!$D74="","",'03_Base_Indice'!$D74)</f>
        <v/>
      </c>
      <c r="E74" s="6" t="str">
        <f>IF('03_Base_Indice'!$E74="","",'03_Base_Indice'!$E74)</f>
        <v/>
      </c>
      <c r="K74" s="20" t="str">
        <f>IF('03_Base_Indice'!$D74="","",IF('03_Base_Indice'!K74&lt;&gt;"","OBS",IF(AND(Aux!B74&lt;&gt;"",Aux!N74&lt;&gt;"",(N(Aux!N74)-N(Aux!B74)-1)&lt;='01_Criterios'!$C$13),"EST_INTERP",IF(AND(Aux!B74&lt;&gt;"",(1-N(Aux!B74))&lt;='01_Criterios'!$C$14),"EST_CARRY_FWD",IF(AND(Aux!N74&lt;&gt;"",(N(Aux!N74)-1)&lt;='01_Criterios'!$C$15),"EST_CARRY_BWD","SEM_DADO")))))</f>
        <v/>
      </c>
      <c r="L74" s="20" t="str">
        <f>IF('03_Base_Indice'!$D74="","",IF('03_Base_Indice'!L74&lt;&gt;"","OBS",IF(AND(Aux!C74&lt;&gt;"",Aux!O74&lt;&gt;"",(N(Aux!O74)-N(Aux!C74)-1)&lt;='01_Criterios'!$C$13),"EST_INTERP",IF(AND(Aux!C74&lt;&gt;"",(2-N(Aux!C74))&lt;='01_Criterios'!$C$14),"EST_CARRY_FWD",IF(AND(Aux!O74&lt;&gt;"",(N(Aux!O74)-2)&lt;='01_Criterios'!$C$15),"EST_CARRY_BWD","SEM_DADO")))))</f>
        <v/>
      </c>
      <c r="M74" s="20" t="str">
        <f>IF('03_Base_Indice'!$D74="","",IF('03_Base_Indice'!M74&lt;&gt;"","OBS",IF(AND(Aux!D74&lt;&gt;"",Aux!P74&lt;&gt;"",(N(Aux!P74)-N(Aux!D74)-1)&lt;='01_Criterios'!$C$13),"EST_INTERP",IF(AND(Aux!D74&lt;&gt;"",(3-N(Aux!D74))&lt;='01_Criterios'!$C$14),"EST_CARRY_FWD",IF(AND(Aux!P74&lt;&gt;"",(N(Aux!P74)-3)&lt;='01_Criterios'!$C$15),"EST_CARRY_BWD","SEM_DADO")))))</f>
        <v/>
      </c>
      <c r="N74" s="20" t="str">
        <f>IF('03_Base_Indice'!$D74="","",IF('03_Base_Indice'!N74&lt;&gt;"","OBS",IF(AND(Aux!E74&lt;&gt;"",Aux!Q74&lt;&gt;"",(N(Aux!Q74)-N(Aux!E74)-1)&lt;='01_Criterios'!$C$13),"EST_INTERP",IF(AND(Aux!E74&lt;&gt;"",(4-N(Aux!E74))&lt;='01_Criterios'!$C$14),"EST_CARRY_FWD",IF(AND(Aux!Q74&lt;&gt;"",(N(Aux!Q74)-4)&lt;='01_Criterios'!$C$15),"EST_CARRY_BWD","SEM_DADO")))))</f>
        <v/>
      </c>
      <c r="O74" s="20" t="str">
        <f>IF('03_Base_Indice'!$D74="","",IF('03_Base_Indice'!O74&lt;&gt;"","OBS",IF(AND(Aux!F74&lt;&gt;"",Aux!R74&lt;&gt;"",(N(Aux!R74)-N(Aux!F74)-1)&lt;='01_Criterios'!$C$13),"EST_INTERP",IF(AND(Aux!F74&lt;&gt;"",(5-N(Aux!F74))&lt;='01_Criterios'!$C$14),"EST_CARRY_FWD",IF(AND(Aux!R74&lt;&gt;"",(N(Aux!R74)-5)&lt;='01_Criterios'!$C$15),"EST_CARRY_BWD","SEM_DADO")))))</f>
        <v/>
      </c>
      <c r="P74" s="20" t="str">
        <f>IF('03_Base_Indice'!$D74="","",IF('03_Base_Indice'!P74&lt;&gt;"","OBS",IF(AND(Aux!G74&lt;&gt;"",Aux!S74&lt;&gt;"",(N(Aux!S74)-N(Aux!G74)-1)&lt;='01_Criterios'!$C$13),"EST_INTERP",IF(AND(Aux!G74&lt;&gt;"",(6-N(Aux!G74))&lt;='01_Criterios'!$C$14),"EST_CARRY_FWD",IF(AND(Aux!S74&lt;&gt;"",(N(Aux!S74)-6)&lt;='01_Criterios'!$C$15),"EST_CARRY_BWD","SEM_DADO")))))</f>
        <v/>
      </c>
      <c r="Q74" s="20" t="str">
        <f>IF('03_Base_Indice'!$D74="","",IF('03_Base_Indice'!Q74&lt;&gt;"","OBS",IF(AND(Aux!H74&lt;&gt;"",Aux!T74&lt;&gt;"",(N(Aux!T74)-N(Aux!H74)-1)&lt;='01_Criterios'!$C$13),"EST_INTERP",IF(AND(Aux!H74&lt;&gt;"",(7-N(Aux!H74))&lt;='01_Criterios'!$C$14),"EST_CARRY_FWD",IF(AND(Aux!T74&lt;&gt;"",(N(Aux!T74)-7)&lt;='01_Criterios'!$C$15),"EST_CARRY_BWD","SEM_DADO")))))</f>
        <v/>
      </c>
      <c r="R74" s="20" t="str">
        <f>IF('03_Base_Indice'!$D74="","",IF('03_Base_Indice'!R74&lt;&gt;"","OBS",IF(AND(Aux!I74&lt;&gt;"",Aux!U74&lt;&gt;"",(N(Aux!U74)-N(Aux!I74)-1)&lt;='01_Criterios'!$C$13),"EST_INTERP",IF(AND(Aux!I74&lt;&gt;"",(8-N(Aux!I74))&lt;='01_Criterios'!$C$14),"EST_CARRY_FWD",IF(AND(Aux!U74&lt;&gt;"",(N(Aux!U74)-8)&lt;='01_Criterios'!$C$15),"EST_CARRY_BWD","SEM_DADO")))))</f>
        <v/>
      </c>
      <c r="S74" s="20" t="str">
        <f>IF('03_Base_Indice'!$D74="","",IF('03_Base_Indice'!S74&lt;&gt;"","OBS",IF(AND(Aux!J74&lt;&gt;"",Aux!V74&lt;&gt;"",(N(Aux!V74)-N(Aux!J74)-1)&lt;='01_Criterios'!$C$13),"EST_INTERP",IF(AND(Aux!J74&lt;&gt;"",(9-N(Aux!J74))&lt;='01_Criterios'!$C$14),"EST_CARRY_FWD",IF(AND(Aux!V74&lt;&gt;"",(N(Aux!V74)-9)&lt;='01_Criterios'!$C$15),"EST_CARRY_BWD","SEM_DADO")))))</f>
        <v/>
      </c>
      <c r="T74" s="20" t="str">
        <f>IF('03_Base_Indice'!$D74="","",IF('03_Base_Indice'!T74&lt;&gt;"","OBS",IF(AND(Aux!K74&lt;&gt;"",Aux!W74&lt;&gt;"",(N(Aux!W74)-N(Aux!K74)-1)&lt;='01_Criterios'!$C$13),"EST_INTERP",IF(AND(Aux!K74&lt;&gt;"",(10-N(Aux!K74))&lt;='01_Criterios'!$C$14),"EST_CARRY_FWD",IF(AND(Aux!W74&lt;&gt;"",(N(Aux!W74)-10)&lt;='01_Criterios'!$C$15),"EST_CARRY_BWD","SEM_DADO")))))</f>
        <v/>
      </c>
      <c r="U74" s="20" t="str">
        <f>IF('03_Base_Indice'!$D74="","",IF('03_Base_Indice'!U74&lt;&gt;"","OBS",IF(AND(Aux!L74&lt;&gt;"",Aux!X74&lt;&gt;"",(N(Aux!X74)-N(Aux!L74)-1)&lt;='01_Criterios'!$C$13),"EST_INTERP",IF(AND(Aux!L74&lt;&gt;"",(11-N(Aux!L74))&lt;='01_Criterios'!$C$14),"EST_CARRY_FWD",IF(AND(Aux!X74&lt;&gt;"",(N(Aux!X74)-11)&lt;='01_Criterios'!$C$15),"EST_CARRY_BWD","SEM_DADO")))))</f>
        <v/>
      </c>
      <c r="V74" s="20" t="str">
        <f>IF($D74="","",COUNTIF(K74:U74,"OBS"))</f>
        <v/>
      </c>
      <c r="W74" s="20" t="str">
        <f>IF($D74="","",COUNTIF(K74:U74,"EST_*"))</f>
        <v/>
      </c>
      <c r="X74" s="20" t="str">
        <f>IF($D74="","",COUNTIF(K74:U74,"SEM_DADO"))</f>
        <v/>
      </c>
      <c r="Y74" s="20" t="str">
        <f>IF($D74="","",(V74+W74)&amp;"/11")</f>
        <v/>
      </c>
    </row>
    <row r="75" spans="1:25">
      <c r="A75" s="6" t="str">
        <f>IF('03_Base_Indice'!$A75="","",'03_Base_Indice'!$A75)</f>
        <v>8. Diversificação Produtiva e Setor Privado</v>
      </c>
      <c r="B75" s="6">
        <f>'03_Base_Indice'!$B75</f>
        <v>1</v>
      </c>
      <c r="D75" s="6" t="str">
        <f>IF('03_Base_Indice'!$D75="","",'03_Base_Indice'!$D75)</f>
        <v>DIV017</v>
      </c>
      <c r="E75" s="6" t="str">
        <f>IF('03_Base_Indice'!$E75="","",'03_Base_Indice'!$E75)</f>
        <v>Crescimento do PIB não petrolífero</v>
      </c>
      <c r="K75" s="20" t="str">
        <f>IF('03_Base_Indice'!$D75="","",IF('03_Base_Indice'!K75&lt;&gt;"","OBS",IF(AND(Aux!B75&lt;&gt;"",Aux!N75&lt;&gt;"",(N(Aux!N75)-N(Aux!B75)-1)&lt;='01_Criterios'!$C$13),"EST_INTERP",IF(AND(Aux!B75&lt;&gt;"",(1-N(Aux!B75))&lt;='01_Criterios'!$C$14),"EST_CARRY_FWD",IF(AND(Aux!N75&lt;&gt;"",(N(Aux!N75)-1)&lt;='01_Criterios'!$C$15),"EST_CARRY_BWD","SEM_DADO")))))</f>
        <v>OBS</v>
      </c>
      <c r="L75" s="20" t="str">
        <f>IF('03_Base_Indice'!$D75="","",IF('03_Base_Indice'!L75&lt;&gt;"","OBS",IF(AND(Aux!C75&lt;&gt;"",Aux!O75&lt;&gt;"",(N(Aux!O75)-N(Aux!C75)-1)&lt;='01_Criterios'!$C$13),"EST_INTERP",IF(AND(Aux!C75&lt;&gt;"",(2-N(Aux!C75))&lt;='01_Criterios'!$C$14),"EST_CARRY_FWD",IF(AND(Aux!O75&lt;&gt;"",(N(Aux!O75)-2)&lt;='01_Criterios'!$C$15),"EST_CARRY_BWD","SEM_DADO")))))</f>
        <v>OBS</v>
      </c>
      <c r="M75" s="20" t="str">
        <f>IF('03_Base_Indice'!$D75="","",IF('03_Base_Indice'!M75&lt;&gt;"","OBS",IF(AND(Aux!D75&lt;&gt;"",Aux!P75&lt;&gt;"",(N(Aux!P75)-N(Aux!D75)-1)&lt;='01_Criterios'!$C$13),"EST_INTERP",IF(AND(Aux!D75&lt;&gt;"",(3-N(Aux!D75))&lt;='01_Criterios'!$C$14),"EST_CARRY_FWD",IF(AND(Aux!P75&lt;&gt;"",(N(Aux!P75)-3)&lt;='01_Criterios'!$C$15),"EST_CARRY_BWD","SEM_DADO")))))</f>
        <v>OBS</v>
      </c>
      <c r="N75" s="20" t="str">
        <f>IF('03_Base_Indice'!$D75="","",IF('03_Base_Indice'!N75&lt;&gt;"","OBS",IF(AND(Aux!E75&lt;&gt;"",Aux!Q75&lt;&gt;"",(N(Aux!Q75)-N(Aux!E75)-1)&lt;='01_Criterios'!$C$13),"EST_INTERP",IF(AND(Aux!E75&lt;&gt;"",(4-N(Aux!E75))&lt;='01_Criterios'!$C$14),"EST_CARRY_FWD",IF(AND(Aux!Q75&lt;&gt;"",(N(Aux!Q75)-4)&lt;='01_Criterios'!$C$15),"EST_CARRY_BWD","SEM_DADO")))))</f>
        <v>OBS</v>
      </c>
      <c r="O75" s="20" t="str">
        <f>IF('03_Base_Indice'!$D75="","",IF('03_Base_Indice'!O75&lt;&gt;"","OBS",IF(AND(Aux!F75&lt;&gt;"",Aux!R75&lt;&gt;"",(N(Aux!R75)-N(Aux!F75)-1)&lt;='01_Criterios'!$C$13),"EST_INTERP",IF(AND(Aux!F75&lt;&gt;"",(5-N(Aux!F75))&lt;='01_Criterios'!$C$14),"EST_CARRY_FWD",IF(AND(Aux!R75&lt;&gt;"",(N(Aux!R75)-5)&lt;='01_Criterios'!$C$15),"EST_CARRY_BWD","SEM_DADO")))))</f>
        <v>OBS</v>
      </c>
      <c r="P75" s="20" t="str">
        <f>IF('03_Base_Indice'!$D75="","",IF('03_Base_Indice'!P75&lt;&gt;"","OBS",IF(AND(Aux!G75&lt;&gt;"",Aux!S75&lt;&gt;"",(N(Aux!S75)-N(Aux!G75)-1)&lt;='01_Criterios'!$C$13),"EST_INTERP",IF(AND(Aux!G75&lt;&gt;"",(6-N(Aux!G75))&lt;='01_Criterios'!$C$14),"EST_CARRY_FWD",IF(AND(Aux!S75&lt;&gt;"",(N(Aux!S75)-6)&lt;='01_Criterios'!$C$15),"EST_CARRY_BWD","SEM_DADO")))))</f>
        <v>OBS</v>
      </c>
      <c r="Q75" s="20" t="str">
        <f>IF('03_Base_Indice'!$D75="","",IF('03_Base_Indice'!Q75&lt;&gt;"","OBS",IF(AND(Aux!H75&lt;&gt;"",Aux!T75&lt;&gt;"",(N(Aux!T75)-N(Aux!H75)-1)&lt;='01_Criterios'!$C$13),"EST_INTERP",IF(AND(Aux!H75&lt;&gt;"",(7-N(Aux!H75))&lt;='01_Criterios'!$C$14),"EST_CARRY_FWD",IF(AND(Aux!T75&lt;&gt;"",(N(Aux!T75)-7)&lt;='01_Criterios'!$C$15),"EST_CARRY_BWD","SEM_DADO")))))</f>
        <v>OBS</v>
      </c>
      <c r="R75" s="20" t="str">
        <f>IF('03_Base_Indice'!$D75="","",IF('03_Base_Indice'!R75&lt;&gt;"","OBS",IF(AND(Aux!I75&lt;&gt;"",Aux!U75&lt;&gt;"",(N(Aux!U75)-N(Aux!I75)-1)&lt;='01_Criterios'!$C$13),"EST_INTERP",IF(AND(Aux!I75&lt;&gt;"",(8-N(Aux!I75))&lt;='01_Criterios'!$C$14),"EST_CARRY_FWD",IF(AND(Aux!U75&lt;&gt;"",(N(Aux!U75)-8)&lt;='01_Criterios'!$C$15),"EST_CARRY_BWD","SEM_DADO")))))</f>
        <v>OBS</v>
      </c>
      <c r="S75" s="20" t="str">
        <f>IF('03_Base_Indice'!$D75="","",IF('03_Base_Indice'!S75&lt;&gt;"","OBS",IF(AND(Aux!J75&lt;&gt;"",Aux!V75&lt;&gt;"",(N(Aux!V75)-N(Aux!J75)-1)&lt;='01_Criterios'!$C$13),"EST_INTERP",IF(AND(Aux!J75&lt;&gt;"",(9-N(Aux!J75))&lt;='01_Criterios'!$C$14),"EST_CARRY_FWD",IF(AND(Aux!V75&lt;&gt;"",(N(Aux!V75)-9)&lt;='01_Criterios'!$C$15),"EST_CARRY_BWD","SEM_DADO")))))</f>
        <v>OBS</v>
      </c>
      <c r="T75" s="20" t="str">
        <f>IF('03_Base_Indice'!$D75="","",IF('03_Base_Indice'!T75&lt;&gt;"","OBS",IF(AND(Aux!K75&lt;&gt;"",Aux!W75&lt;&gt;"",(N(Aux!W75)-N(Aux!K75)-1)&lt;='01_Criterios'!$C$13),"EST_INTERP",IF(AND(Aux!K75&lt;&gt;"",(10-N(Aux!K75))&lt;='01_Criterios'!$C$14),"EST_CARRY_FWD",IF(AND(Aux!W75&lt;&gt;"",(N(Aux!W75)-10)&lt;='01_Criterios'!$C$15),"EST_CARRY_BWD","SEM_DADO")))))</f>
        <v>OBS</v>
      </c>
      <c r="U75" s="20" t="str">
        <f>IF('03_Base_Indice'!$D75="","",IF('03_Base_Indice'!U75&lt;&gt;"","OBS",IF(AND(Aux!L75&lt;&gt;"",Aux!X75&lt;&gt;"",(N(Aux!X75)-N(Aux!L75)-1)&lt;='01_Criterios'!$C$13),"EST_INTERP",IF(AND(Aux!L75&lt;&gt;"",(11-N(Aux!L75))&lt;='01_Criterios'!$C$14),"EST_CARRY_FWD",IF(AND(Aux!X75&lt;&gt;"",(N(Aux!X75)-11)&lt;='01_Criterios'!$C$15),"EST_CARRY_BWD","SEM_DADO")))))</f>
        <v>OBS</v>
      </c>
      <c r="V75" s="20">
        <f>IF($D75="","",COUNTIF(K75:U75,"OBS"))</f>
        <v>11</v>
      </c>
      <c r="W75" s="20">
        <f>IF($D75="","",COUNTIF(K75:U75,"EST_*"))</f>
        <v>0</v>
      </c>
      <c r="X75" s="20">
        <f>IF($D75="","",COUNTIF(K75:U75,"SEM_DADO"))</f>
        <v>0</v>
      </c>
      <c r="Y75" s="20" t="str">
        <f>IF($D75="","",(V75+W75)&amp;"/11")</f>
        <v>11/11</v>
      </c>
    </row>
    <row r="76" spans="1:25">
      <c r="A76" s="6" t="str">
        <f>IF('03_Base_Indice'!$A76="","",'03_Base_Indice'!$A76)</f>
        <v>8. Diversificação Produtiva e Setor Privado</v>
      </c>
      <c r="B76" s="6">
        <f>'03_Base_Indice'!$B76</f>
        <v>2</v>
      </c>
      <c r="D76" s="6" t="str">
        <f>IF('03_Base_Indice'!$D76="","",'03_Base_Indice'!$D76)</f>
        <v>DIV007</v>
      </c>
      <c r="E76" s="6" t="str">
        <f>IF('03_Base_Indice'!$E76="","",'03_Base_Indice'!$E76)</f>
        <v>Indústria transformadora no PIB</v>
      </c>
      <c r="K76" s="20" t="str">
        <f>IF('03_Base_Indice'!$D76="","",IF('03_Base_Indice'!K76&lt;&gt;"","OBS",IF(AND(Aux!B76&lt;&gt;"",Aux!N76&lt;&gt;"",(N(Aux!N76)-N(Aux!B76)-1)&lt;='01_Criterios'!$C$13),"EST_INTERP",IF(AND(Aux!B76&lt;&gt;"",(1-N(Aux!B76))&lt;='01_Criterios'!$C$14),"EST_CARRY_FWD",IF(AND(Aux!N76&lt;&gt;"",(N(Aux!N76)-1)&lt;='01_Criterios'!$C$15),"EST_CARRY_BWD","SEM_DADO")))))</f>
        <v>OBS</v>
      </c>
      <c r="L76" s="20" t="str">
        <f>IF('03_Base_Indice'!$D76="","",IF('03_Base_Indice'!L76&lt;&gt;"","OBS",IF(AND(Aux!C76&lt;&gt;"",Aux!O76&lt;&gt;"",(N(Aux!O76)-N(Aux!C76)-1)&lt;='01_Criterios'!$C$13),"EST_INTERP",IF(AND(Aux!C76&lt;&gt;"",(2-N(Aux!C76))&lt;='01_Criterios'!$C$14),"EST_CARRY_FWD",IF(AND(Aux!O76&lt;&gt;"",(N(Aux!O76)-2)&lt;='01_Criterios'!$C$15),"EST_CARRY_BWD","SEM_DADO")))))</f>
        <v>OBS</v>
      </c>
      <c r="M76" s="20" t="str">
        <f>IF('03_Base_Indice'!$D76="","",IF('03_Base_Indice'!M76&lt;&gt;"","OBS",IF(AND(Aux!D76&lt;&gt;"",Aux!P76&lt;&gt;"",(N(Aux!P76)-N(Aux!D76)-1)&lt;='01_Criterios'!$C$13),"EST_INTERP",IF(AND(Aux!D76&lt;&gt;"",(3-N(Aux!D76))&lt;='01_Criterios'!$C$14),"EST_CARRY_FWD",IF(AND(Aux!P76&lt;&gt;"",(N(Aux!P76)-3)&lt;='01_Criterios'!$C$15),"EST_CARRY_BWD","SEM_DADO")))))</f>
        <v>OBS</v>
      </c>
      <c r="N76" s="20" t="str">
        <f>IF('03_Base_Indice'!$D76="","",IF('03_Base_Indice'!N76&lt;&gt;"","OBS",IF(AND(Aux!E76&lt;&gt;"",Aux!Q76&lt;&gt;"",(N(Aux!Q76)-N(Aux!E76)-1)&lt;='01_Criterios'!$C$13),"EST_INTERP",IF(AND(Aux!E76&lt;&gt;"",(4-N(Aux!E76))&lt;='01_Criterios'!$C$14),"EST_CARRY_FWD",IF(AND(Aux!Q76&lt;&gt;"",(N(Aux!Q76)-4)&lt;='01_Criterios'!$C$15),"EST_CARRY_BWD","SEM_DADO")))))</f>
        <v>OBS</v>
      </c>
      <c r="O76" s="20" t="str">
        <f>IF('03_Base_Indice'!$D76="","",IF('03_Base_Indice'!O76&lt;&gt;"","OBS",IF(AND(Aux!F76&lt;&gt;"",Aux!R76&lt;&gt;"",(N(Aux!R76)-N(Aux!F76)-1)&lt;='01_Criterios'!$C$13),"EST_INTERP",IF(AND(Aux!F76&lt;&gt;"",(5-N(Aux!F76))&lt;='01_Criterios'!$C$14),"EST_CARRY_FWD",IF(AND(Aux!R76&lt;&gt;"",(N(Aux!R76)-5)&lt;='01_Criterios'!$C$15),"EST_CARRY_BWD","SEM_DADO")))))</f>
        <v>OBS</v>
      </c>
      <c r="P76" s="20" t="str">
        <f>IF('03_Base_Indice'!$D76="","",IF('03_Base_Indice'!P76&lt;&gt;"","OBS",IF(AND(Aux!G76&lt;&gt;"",Aux!S76&lt;&gt;"",(N(Aux!S76)-N(Aux!G76)-1)&lt;='01_Criterios'!$C$13),"EST_INTERP",IF(AND(Aux!G76&lt;&gt;"",(6-N(Aux!G76))&lt;='01_Criterios'!$C$14),"EST_CARRY_FWD",IF(AND(Aux!S76&lt;&gt;"",(N(Aux!S76)-6)&lt;='01_Criterios'!$C$15),"EST_CARRY_BWD","SEM_DADO")))))</f>
        <v>OBS</v>
      </c>
      <c r="Q76" s="20" t="str">
        <f>IF('03_Base_Indice'!$D76="","",IF('03_Base_Indice'!Q76&lt;&gt;"","OBS",IF(AND(Aux!H76&lt;&gt;"",Aux!T76&lt;&gt;"",(N(Aux!T76)-N(Aux!H76)-1)&lt;='01_Criterios'!$C$13),"EST_INTERP",IF(AND(Aux!H76&lt;&gt;"",(7-N(Aux!H76))&lt;='01_Criterios'!$C$14),"EST_CARRY_FWD",IF(AND(Aux!T76&lt;&gt;"",(N(Aux!T76)-7)&lt;='01_Criterios'!$C$15),"EST_CARRY_BWD","SEM_DADO")))))</f>
        <v>OBS</v>
      </c>
      <c r="R76" s="20" t="str">
        <f>IF('03_Base_Indice'!$D76="","",IF('03_Base_Indice'!R76&lt;&gt;"","OBS",IF(AND(Aux!I76&lt;&gt;"",Aux!U76&lt;&gt;"",(N(Aux!U76)-N(Aux!I76)-1)&lt;='01_Criterios'!$C$13),"EST_INTERP",IF(AND(Aux!I76&lt;&gt;"",(8-N(Aux!I76))&lt;='01_Criterios'!$C$14),"EST_CARRY_FWD",IF(AND(Aux!U76&lt;&gt;"",(N(Aux!U76)-8)&lt;='01_Criterios'!$C$15),"EST_CARRY_BWD","SEM_DADO")))))</f>
        <v>OBS</v>
      </c>
      <c r="S76" s="20" t="str">
        <f>IF('03_Base_Indice'!$D76="","",IF('03_Base_Indice'!S76&lt;&gt;"","OBS",IF(AND(Aux!J76&lt;&gt;"",Aux!V76&lt;&gt;"",(N(Aux!V76)-N(Aux!J76)-1)&lt;='01_Criterios'!$C$13),"EST_INTERP",IF(AND(Aux!J76&lt;&gt;"",(9-N(Aux!J76))&lt;='01_Criterios'!$C$14),"EST_CARRY_FWD",IF(AND(Aux!V76&lt;&gt;"",(N(Aux!V76)-9)&lt;='01_Criterios'!$C$15),"EST_CARRY_BWD","SEM_DADO")))))</f>
        <v>OBS</v>
      </c>
      <c r="T76" s="20" t="str">
        <f>IF('03_Base_Indice'!$D76="","",IF('03_Base_Indice'!T76&lt;&gt;"","OBS",IF(AND(Aux!K76&lt;&gt;"",Aux!W76&lt;&gt;"",(N(Aux!W76)-N(Aux!K76)-1)&lt;='01_Criterios'!$C$13),"EST_INTERP",IF(AND(Aux!K76&lt;&gt;"",(10-N(Aux!K76))&lt;='01_Criterios'!$C$14),"EST_CARRY_FWD",IF(AND(Aux!W76&lt;&gt;"",(N(Aux!W76)-10)&lt;='01_Criterios'!$C$15),"EST_CARRY_BWD","SEM_DADO")))))</f>
        <v>OBS</v>
      </c>
      <c r="U76" s="20" t="str">
        <f>IF('03_Base_Indice'!$D76="","",IF('03_Base_Indice'!U76&lt;&gt;"","OBS",IF(AND(Aux!L76&lt;&gt;"",Aux!X76&lt;&gt;"",(N(Aux!X76)-N(Aux!L76)-1)&lt;='01_Criterios'!$C$13),"EST_INTERP",IF(AND(Aux!L76&lt;&gt;"",(11-N(Aux!L76))&lt;='01_Criterios'!$C$14),"EST_CARRY_FWD",IF(AND(Aux!X76&lt;&gt;"",(N(Aux!X76)-11)&lt;='01_Criterios'!$C$15),"EST_CARRY_BWD","SEM_DADO")))))</f>
        <v>OBS</v>
      </c>
      <c r="V76" s="20">
        <f>IF($D76="","",COUNTIF(K76:U76,"OBS"))</f>
        <v>11</v>
      </c>
      <c r="W76" s="20">
        <f>IF($D76="","",COUNTIF(K76:U76,"EST_*"))</f>
        <v>0</v>
      </c>
      <c r="X76" s="20">
        <f>IF($D76="","",COUNTIF(K76:U76,"SEM_DADO"))</f>
        <v>0</v>
      </c>
      <c r="Y76" s="20" t="str">
        <f>IF($D76="","",(V76+W76)&amp;"/11")</f>
        <v>11/11</v>
      </c>
    </row>
    <row r="77" spans="1:25">
      <c r="A77" s="6" t="str">
        <f>IF('03_Base_Indice'!$A77="","",'03_Base_Indice'!$A77)</f>
        <v>8. Diversificação Produtiva e Setor Privado</v>
      </c>
      <c r="B77" s="6">
        <f>'03_Base_Indice'!$B77</f>
        <v>3</v>
      </c>
      <c r="D77" s="6" t="str">
        <f>IF('03_Base_Indice'!$D77="","",'03_Base_Indice'!$D77)</f>
        <v>DIV015</v>
      </c>
      <c r="E77" s="6" t="str">
        <f>IF('03_Base_Indice'!$E77="","",'03_Base_Indice'!$E77)</f>
        <v>Crédito doméstico ao setor privado</v>
      </c>
      <c r="K77" s="20" t="str">
        <f>IF('03_Base_Indice'!$D77="","",IF('03_Base_Indice'!K77&lt;&gt;"","OBS",IF(AND(Aux!B77&lt;&gt;"",Aux!N77&lt;&gt;"",(N(Aux!N77)-N(Aux!B77)-1)&lt;='01_Criterios'!$C$13),"EST_INTERP",IF(AND(Aux!B77&lt;&gt;"",(1-N(Aux!B77))&lt;='01_Criterios'!$C$14),"EST_CARRY_FWD",IF(AND(Aux!N77&lt;&gt;"",(N(Aux!N77)-1)&lt;='01_Criterios'!$C$15),"EST_CARRY_BWD","SEM_DADO")))))</f>
        <v>OBS</v>
      </c>
      <c r="L77" s="20" t="str">
        <f>IF('03_Base_Indice'!$D77="","",IF('03_Base_Indice'!L77&lt;&gt;"","OBS",IF(AND(Aux!C77&lt;&gt;"",Aux!O77&lt;&gt;"",(N(Aux!O77)-N(Aux!C77)-1)&lt;='01_Criterios'!$C$13),"EST_INTERP",IF(AND(Aux!C77&lt;&gt;"",(2-N(Aux!C77))&lt;='01_Criterios'!$C$14),"EST_CARRY_FWD",IF(AND(Aux!O77&lt;&gt;"",(N(Aux!O77)-2)&lt;='01_Criterios'!$C$15),"EST_CARRY_BWD","SEM_DADO")))))</f>
        <v>OBS</v>
      </c>
      <c r="M77" s="20" t="str">
        <f>IF('03_Base_Indice'!$D77="","",IF('03_Base_Indice'!M77&lt;&gt;"","OBS",IF(AND(Aux!D77&lt;&gt;"",Aux!P77&lt;&gt;"",(N(Aux!P77)-N(Aux!D77)-1)&lt;='01_Criterios'!$C$13),"EST_INTERP",IF(AND(Aux!D77&lt;&gt;"",(3-N(Aux!D77))&lt;='01_Criterios'!$C$14),"EST_CARRY_FWD",IF(AND(Aux!P77&lt;&gt;"",(N(Aux!P77)-3)&lt;='01_Criterios'!$C$15),"EST_CARRY_BWD","SEM_DADO")))))</f>
        <v>OBS</v>
      </c>
      <c r="N77" s="20" t="str">
        <f>IF('03_Base_Indice'!$D77="","",IF('03_Base_Indice'!N77&lt;&gt;"","OBS",IF(AND(Aux!E77&lt;&gt;"",Aux!Q77&lt;&gt;"",(N(Aux!Q77)-N(Aux!E77)-1)&lt;='01_Criterios'!$C$13),"EST_INTERP",IF(AND(Aux!E77&lt;&gt;"",(4-N(Aux!E77))&lt;='01_Criterios'!$C$14),"EST_CARRY_FWD",IF(AND(Aux!Q77&lt;&gt;"",(N(Aux!Q77)-4)&lt;='01_Criterios'!$C$15),"EST_CARRY_BWD","SEM_DADO")))))</f>
        <v>OBS</v>
      </c>
      <c r="O77" s="20" t="str">
        <f>IF('03_Base_Indice'!$D77="","",IF('03_Base_Indice'!O77&lt;&gt;"","OBS",IF(AND(Aux!F77&lt;&gt;"",Aux!R77&lt;&gt;"",(N(Aux!R77)-N(Aux!F77)-1)&lt;='01_Criterios'!$C$13),"EST_INTERP",IF(AND(Aux!F77&lt;&gt;"",(5-N(Aux!F77))&lt;='01_Criterios'!$C$14),"EST_CARRY_FWD",IF(AND(Aux!R77&lt;&gt;"",(N(Aux!R77)-5)&lt;='01_Criterios'!$C$15),"EST_CARRY_BWD","SEM_DADO")))))</f>
        <v>OBS</v>
      </c>
      <c r="P77" s="20" t="str">
        <f>IF('03_Base_Indice'!$D77="","",IF('03_Base_Indice'!P77&lt;&gt;"","OBS",IF(AND(Aux!G77&lt;&gt;"",Aux!S77&lt;&gt;"",(N(Aux!S77)-N(Aux!G77)-1)&lt;='01_Criterios'!$C$13),"EST_INTERP",IF(AND(Aux!G77&lt;&gt;"",(6-N(Aux!G77))&lt;='01_Criterios'!$C$14),"EST_CARRY_FWD",IF(AND(Aux!S77&lt;&gt;"",(N(Aux!S77)-6)&lt;='01_Criterios'!$C$15),"EST_CARRY_BWD","SEM_DADO")))))</f>
        <v>OBS</v>
      </c>
      <c r="Q77" s="20" t="str">
        <f>IF('03_Base_Indice'!$D77="","",IF('03_Base_Indice'!Q77&lt;&gt;"","OBS",IF(AND(Aux!H77&lt;&gt;"",Aux!T77&lt;&gt;"",(N(Aux!T77)-N(Aux!H77)-1)&lt;='01_Criterios'!$C$13),"EST_INTERP",IF(AND(Aux!H77&lt;&gt;"",(7-N(Aux!H77))&lt;='01_Criterios'!$C$14),"EST_CARRY_FWD",IF(AND(Aux!T77&lt;&gt;"",(N(Aux!T77)-7)&lt;='01_Criterios'!$C$15),"EST_CARRY_BWD","SEM_DADO")))))</f>
        <v>OBS</v>
      </c>
      <c r="R77" s="20" t="str">
        <f>IF('03_Base_Indice'!$D77="","",IF('03_Base_Indice'!R77&lt;&gt;"","OBS",IF(AND(Aux!I77&lt;&gt;"",Aux!U77&lt;&gt;"",(N(Aux!U77)-N(Aux!I77)-1)&lt;='01_Criterios'!$C$13),"EST_INTERP",IF(AND(Aux!I77&lt;&gt;"",(8-N(Aux!I77))&lt;='01_Criterios'!$C$14),"EST_CARRY_FWD",IF(AND(Aux!U77&lt;&gt;"",(N(Aux!U77)-8)&lt;='01_Criterios'!$C$15),"EST_CARRY_BWD","SEM_DADO")))))</f>
        <v>OBS</v>
      </c>
      <c r="S77" s="20" t="str">
        <f>IF('03_Base_Indice'!$D77="","",IF('03_Base_Indice'!S77&lt;&gt;"","OBS",IF(AND(Aux!J77&lt;&gt;"",Aux!V77&lt;&gt;"",(N(Aux!V77)-N(Aux!J77)-1)&lt;='01_Criterios'!$C$13),"EST_INTERP",IF(AND(Aux!J77&lt;&gt;"",(9-N(Aux!J77))&lt;='01_Criterios'!$C$14),"EST_CARRY_FWD",IF(AND(Aux!V77&lt;&gt;"",(N(Aux!V77)-9)&lt;='01_Criterios'!$C$15),"EST_CARRY_BWD","SEM_DADO")))))</f>
        <v>OBS</v>
      </c>
      <c r="T77" s="20" t="str">
        <f>IF('03_Base_Indice'!$D77="","",IF('03_Base_Indice'!T77&lt;&gt;"","OBS",IF(AND(Aux!K77&lt;&gt;"",Aux!W77&lt;&gt;"",(N(Aux!W77)-N(Aux!K77)-1)&lt;='01_Criterios'!$C$13),"EST_INTERP",IF(AND(Aux!K77&lt;&gt;"",(10-N(Aux!K77))&lt;='01_Criterios'!$C$14),"EST_CARRY_FWD",IF(AND(Aux!W77&lt;&gt;"",(N(Aux!W77)-10)&lt;='01_Criterios'!$C$15),"EST_CARRY_BWD","SEM_DADO")))))</f>
        <v>OBS</v>
      </c>
      <c r="U77" s="20" t="str">
        <f>IF('03_Base_Indice'!$D77="","",IF('03_Base_Indice'!U77&lt;&gt;"","OBS",IF(AND(Aux!L77&lt;&gt;"",Aux!X77&lt;&gt;"",(N(Aux!X77)-N(Aux!L77)-1)&lt;='01_Criterios'!$C$13),"EST_INTERP",IF(AND(Aux!L77&lt;&gt;"",(11-N(Aux!L77))&lt;='01_Criterios'!$C$14),"EST_CARRY_FWD",IF(AND(Aux!X77&lt;&gt;"",(N(Aux!X77)-11)&lt;='01_Criterios'!$C$15),"EST_CARRY_BWD","SEM_DADO")))))</f>
        <v>OBS</v>
      </c>
      <c r="V77" s="20">
        <f>IF($D77="","",COUNTIF(K77:U77,"OBS"))</f>
        <v>11</v>
      </c>
      <c r="W77" s="20">
        <f>IF($D77="","",COUNTIF(K77:U77,"EST_*"))</f>
        <v>0</v>
      </c>
      <c r="X77" s="20">
        <f>IF($D77="","",COUNTIF(K77:U77,"SEM_DADO"))</f>
        <v>0</v>
      </c>
      <c r="Y77" s="20" t="str">
        <f>IF($D77="","",(V77+W77)&amp;"/11")</f>
        <v>11/11</v>
      </c>
    </row>
    <row r="78" spans="1:25">
      <c r="A78" s="6" t="str">
        <f>IF('03_Base_Indice'!$A78="","",'03_Base_Indice'!$A78)</f>
        <v>8. Diversificação Produtiva e Setor Privado</v>
      </c>
      <c r="B78" s="6">
        <f>'03_Base_Indice'!$B78</f>
        <v>4</v>
      </c>
      <c r="D78" s="6" t="str">
        <f>IF('03_Base_Indice'!$D78="","",'03_Base_Indice'!$D78)</f>
        <v>DIV001</v>
      </c>
      <c r="E78" s="6" t="str">
        <f>IF('03_Base_Indice'!$E78="","",'03_Base_Indice'!$E78)</f>
        <v>Productive Capacities Index - geral</v>
      </c>
      <c r="K78" s="20" t="str">
        <f>IF('03_Base_Indice'!$D78="","",IF('03_Base_Indice'!K78&lt;&gt;"","OBS",IF(AND(Aux!B78&lt;&gt;"",Aux!N78&lt;&gt;"",(N(Aux!N78)-N(Aux!B78)-1)&lt;='01_Criterios'!$C$13),"EST_INTERP",IF(AND(Aux!B78&lt;&gt;"",(1-N(Aux!B78))&lt;='01_Criterios'!$C$14),"EST_CARRY_FWD",IF(AND(Aux!N78&lt;&gt;"",(N(Aux!N78)-1)&lt;='01_Criterios'!$C$15),"EST_CARRY_BWD","SEM_DADO")))))</f>
        <v>OBS</v>
      </c>
      <c r="L78" s="20" t="str">
        <f>IF('03_Base_Indice'!$D78="","",IF('03_Base_Indice'!L78&lt;&gt;"","OBS",IF(AND(Aux!C78&lt;&gt;"",Aux!O78&lt;&gt;"",(N(Aux!O78)-N(Aux!C78)-1)&lt;='01_Criterios'!$C$13),"EST_INTERP",IF(AND(Aux!C78&lt;&gt;"",(2-N(Aux!C78))&lt;='01_Criterios'!$C$14),"EST_CARRY_FWD",IF(AND(Aux!O78&lt;&gt;"",(N(Aux!O78)-2)&lt;='01_Criterios'!$C$15),"EST_CARRY_BWD","SEM_DADO")))))</f>
        <v>OBS</v>
      </c>
      <c r="M78" s="20" t="str">
        <f>IF('03_Base_Indice'!$D78="","",IF('03_Base_Indice'!M78&lt;&gt;"","OBS",IF(AND(Aux!D78&lt;&gt;"",Aux!P78&lt;&gt;"",(N(Aux!P78)-N(Aux!D78)-1)&lt;='01_Criterios'!$C$13),"EST_INTERP",IF(AND(Aux!D78&lt;&gt;"",(3-N(Aux!D78))&lt;='01_Criterios'!$C$14),"EST_CARRY_FWD",IF(AND(Aux!P78&lt;&gt;"",(N(Aux!P78)-3)&lt;='01_Criterios'!$C$15),"EST_CARRY_BWD","SEM_DADO")))))</f>
        <v>OBS</v>
      </c>
      <c r="N78" s="20" t="str">
        <f>IF('03_Base_Indice'!$D78="","",IF('03_Base_Indice'!N78&lt;&gt;"","OBS",IF(AND(Aux!E78&lt;&gt;"",Aux!Q78&lt;&gt;"",(N(Aux!Q78)-N(Aux!E78)-1)&lt;='01_Criterios'!$C$13),"EST_INTERP",IF(AND(Aux!E78&lt;&gt;"",(4-N(Aux!E78))&lt;='01_Criterios'!$C$14),"EST_CARRY_FWD",IF(AND(Aux!Q78&lt;&gt;"",(N(Aux!Q78)-4)&lt;='01_Criterios'!$C$15),"EST_CARRY_BWD","SEM_DADO")))))</f>
        <v>OBS</v>
      </c>
      <c r="O78" s="20" t="str">
        <f>IF('03_Base_Indice'!$D78="","",IF('03_Base_Indice'!O78&lt;&gt;"","OBS",IF(AND(Aux!F78&lt;&gt;"",Aux!R78&lt;&gt;"",(N(Aux!R78)-N(Aux!F78)-1)&lt;='01_Criterios'!$C$13),"EST_INTERP",IF(AND(Aux!F78&lt;&gt;"",(5-N(Aux!F78))&lt;='01_Criterios'!$C$14),"EST_CARRY_FWD",IF(AND(Aux!R78&lt;&gt;"",(N(Aux!R78)-5)&lt;='01_Criterios'!$C$15),"EST_CARRY_BWD","SEM_DADO")))))</f>
        <v>OBS</v>
      </c>
      <c r="P78" s="20" t="str">
        <f>IF('03_Base_Indice'!$D78="","",IF('03_Base_Indice'!P78&lt;&gt;"","OBS",IF(AND(Aux!G78&lt;&gt;"",Aux!S78&lt;&gt;"",(N(Aux!S78)-N(Aux!G78)-1)&lt;='01_Criterios'!$C$13),"EST_INTERP",IF(AND(Aux!G78&lt;&gt;"",(6-N(Aux!G78))&lt;='01_Criterios'!$C$14),"EST_CARRY_FWD",IF(AND(Aux!S78&lt;&gt;"",(N(Aux!S78)-6)&lt;='01_Criterios'!$C$15),"EST_CARRY_BWD","SEM_DADO")))))</f>
        <v>OBS</v>
      </c>
      <c r="Q78" s="20" t="str">
        <f>IF('03_Base_Indice'!$D78="","",IF('03_Base_Indice'!Q78&lt;&gt;"","OBS",IF(AND(Aux!H78&lt;&gt;"",Aux!T78&lt;&gt;"",(N(Aux!T78)-N(Aux!H78)-1)&lt;='01_Criterios'!$C$13),"EST_INTERP",IF(AND(Aux!H78&lt;&gt;"",(7-N(Aux!H78))&lt;='01_Criterios'!$C$14),"EST_CARRY_FWD",IF(AND(Aux!T78&lt;&gt;"",(N(Aux!T78)-7)&lt;='01_Criterios'!$C$15),"EST_CARRY_BWD","SEM_DADO")))))</f>
        <v>OBS</v>
      </c>
      <c r="R78" s="20" t="str">
        <f>IF('03_Base_Indice'!$D78="","",IF('03_Base_Indice'!R78&lt;&gt;"","OBS",IF(AND(Aux!I78&lt;&gt;"",Aux!U78&lt;&gt;"",(N(Aux!U78)-N(Aux!I78)-1)&lt;='01_Criterios'!$C$13),"EST_INTERP",IF(AND(Aux!I78&lt;&gt;"",(8-N(Aux!I78))&lt;='01_Criterios'!$C$14),"EST_CARRY_FWD",IF(AND(Aux!U78&lt;&gt;"",(N(Aux!U78)-8)&lt;='01_Criterios'!$C$15),"EST_CARRY_BWD","SEM_DADO")))))</f>
        <v>OBS</v>
      </c>
      <c r="S78" s="20" t="str">
        <f>IF('03_Base_Indice'!$D78="","",IF('03_Base_Indice'!S78&lt;&gt;"","OBS",IF(AND(Aux!J78&lt;&gt;"",Aux!V78&lt;&gt;"",(N(Aux!V78)-N(Aux!J78)-1)&lt;='01_Criterios'!$C$13),"EST_INTERP",IF(AND(Aux!J78&lt;&gt;"",(9-N(Aux!J78))&lt;='01_Criterios'!$C$14),"EST_CARRY_FWD",IF(AND(Aux!V78&lt;&gt;"",(N(Aux!V78)-9)&lt;='01_Criterios'!$C$15),"EST_CARRY_BWD","SEM_DADO")))))</f>
        <v>OBS</v>
      </c>
      <c r="T78" s="20" t="str">
        <f>IF('03_Base_Indice'!$D78="","",IF('03_Base_Indice'!T78&lt;&gt;"","OBS",IF(AND(Aux!K78&lt;&gt;"",Aux!W78&lt;&gt;"",(N(Aux!W78)-N(Aux!K78)-1)&lt;='01_Criterios'!$C$13),"EST_INTERP",IF(AND(Aux!K78&lt;&gt;"",(10-N(Aux!K78))&lt;='01_Criterios'!$C$14),"EST_CARRY_FWD",IF(AND(Aux!W78&lt;&gt;"",(N(Aux!W78)-10)&lt;='01_Criterios'!$C$15),"EST_CARRY_BWD","SEM_DADO")))))</f>
        <v>OBS</v>
      </c>
      <c r="U78" s="20" t="str">
        <f>IF('03_Base_Indice'!$D78="","",IF('03_Base_Indice'!U78&lt;&gt;"","OBS",IF(AND(Aux!L78&lt;&gt;"",Aux!X78&lt;&gt;"",(N(Aux!X78)-N(Aux!L78)-1)&lt;='01_Criterios'!$C$13),"EST_INTERP",IF(AND(Aux!L78&lt;&gt;"",(11-N(Aux!L78))&lt;='01_Criterios'!$C$14),"EST_CARRY_FWD",IF(AND(Aux!X78&lt;&gt;"",(N(Aux!X78)-11)&lt;='01_Criterios'!$C$15),"EST_CARRY_BWD","SEM_DADO")))))</f>
        <v>EST_CARRY_FWD</v>
      </c>
      <c r="V78" s="20">
        <f>IF($D78="","",COUNTIF(K78:U78,"OBS"))</f>
        <v>10</v>
      </c>
      <c r="W78" s="20">
        <f>IF($D78="","",COUNTIF(K78:U78,"EST_*"))</f>
        <v>1</v>
      </c>
      <c r="X78" s="20">
        <f>IF($D78="","",COUNTIF(K78:U78,"SEM_DADO"))</f>
        <v>0</v>
      </c>
      <c r="Y78" s="20" t="str">
        <f>IF($D78="","",(V78+W78)&amp;"/11")</f>
        <v>11/11</v>
      </c>
    </row>
    <row r="79" spans="1:25">
      <c r="A79" s="6" t="str">
        <f>IF('03_Base_Indice'!$A79="","",'03_Base_Indice'!$A79)</f>
        <v>8. Diversificação Produtiva e Setor Privado</v>
      </c>
      <c r="B79" s="6">
        <f>'03_Base_Indice'!$B79</f>
        <v>5</v>
      </c>
      <c r="D79" s="6" t="str">
        <f>IF('03_Base_Indice'!$D79="","",'03_Base_Indice'!$D79)</f>
        <v>DIV010</v>
      </c>
      <c r="E79" s="6" t="str">
        <f>IF('03_Base_Indice'!$E79="","",'03_Base_Indice'!$E79)</f>
        <v>Combustíveis nas exportações de mercadorias</v>
      </c>
      <c r="K79" s="20" t="str">
        <f>IF('03_Base_Indice'!$D79="","",IF('03_Base_Indice'!K79&lt;&gt;"","OBS",IF(AND(Aux!B79&lt;&gt;"",Aux!N79&lt;&gt;"",(N(Aux!N79)-N(Aux!B79)-1)&lt;='01_Criterios'!$C$13),"EST_INTERP",IF(AND(Aux!B79&lt;&gt;"",(1-N(Aux!B79))&lt;='01_Criterios'!$C$14),"EST_CARRY_FWD",IF(AND(Aux!N79&lt;&gt;"",(N(Aux!N79)-1)&lt;='01_Criterios'!$C$15),"EST_CARRY_BWD","SEM_DADO")))))</f>
        <v>OBS</v>
      </c>
      <c r="L79" s="20" t="str">
        <f>IF('03_Base_Indice'!$D79="","",IF('03_Base_Indice'!L79&lt;&gt;"","OBS",IF(AND(Aux!C79&lt;&gt;"",Aux!O79&lt;&gt;"",(N(Aux!O79)-N(Aux!C79)-1)&lt;='01_Criterios'!$C$13),"EST_INTERP",IF(AND(Aux!C79&lt;&gt;"",(2-N(Aux!C79))&lt;='01_Criterios'!$C$14),"EST_CARRY_FWD",IF(AND(Aux!O79&lt;&gt;"",(N(Aux!O79)-2)&lt;='01_Criterios'!$C$15),"EST_CARRY_BWD","SEM_DADO")))))</f>
        <v>OBS</v>
      </c>
      <c r="M79" s="20" t="str">
        <f>IF('03_Base_Indice'!$D79="","",IF('03_Base_Indice'!M79&lt;&gt;"","OBS",IF(AND(Aux!D79&lt;&gt;"",Aux!P79&lt;&gt;"",(N(Aux!P79)-N(Aux!D79)-1)&lt;='01_Criterios'!$C$13),"EST_INTERP",IF(AND(Aux!D79&lt;&gt;"",(3-N(Aux!D79))&lt;='01_Criterios'!$C$14),"EST_CARRY_FWD",IF(AND(Aux!P79&lt;&gt;"",(N(Aux!P79)-3)&lt;='01_Criterios'!$C$15),"EST_CARRY_BWD","SEM_DADO")))))</f>
        <v>OBS</v>
      </c>
      <c r="N79" s="20" t="str">
        <f>IF('03_Base_Indice'!$D79="","",IF('03_Base_Indice'!N79&lt;&gt;"","OBS",IF(AND(Aux!E79&lt;&gt;"",Aux!Q79&lt;&gt;"",(N(Aux!Q79)-N(Aux!E79)-1)&lt;='01_Criterios'!$C$13),"EST_INTERP",IF(AND(Aux!E79&lt;&gt;"",(4-N(Aux!E79))&lt;='01_Criterios'!$C$14),"EST_CARRY_FWD",IF(AND(Aux!Q79&lt;&gt;"",(N(Aux!Q79)-4)&lt;='01_Criterios'!$C$15),"EST_CARRY_BWD","SEM_DADO")))))</f>
        <v>OBS</v>
      </c>
      <c r="O79" s="20" t="str">
        <f>IF('03_Base_Indice'!$D79="","",IF('03_Base_Indice'!O79&lt;&gt;"","OBS",IF(AND(Aux!F79&lt;&gt;"",Aux!R79&lt;&gt;"",(N(Aux!R79)-N(Aux!F79)-1)&lt;='01_Criterios'!$C$13),"EST_INTERP",IF(AND(Aux!F79&lt;&gt;"",(5-N(Aux!F79))&lt;='01_Criterios'!$C$14),"EST_CARRY_FWD",IF(AND(Aux!R79&lt;&gt;"",(N(Aux!R79)-5)&lt;='01_Criterios'!$C$15),"EST_CARRY_BWD","SEM_DADO")))))</f>
        <v>OBS</v>
      </c>
      <c r="P79" s="20" t="str">
        <f>IF('03_Base_Indice'!$D79="","",IF('03_Base_Indice'!P79&lt;&gt;"","OBS",IF(AND(Aux!G79&lt;&gt;"",Aux!S79&lt;&gt;"",(N(Aux!S79)-N(Aux!G79)-1)&lt;='01_Criterios'!$C$13),"EST_INTERP",IF(AND(Aux!G79&lt;&gt;"",(6-N(Aux!G79))&lt;='01_Criterios'!$C$14),"EST_CARRY_FWD",IF(AND(Aux!S79&lt;&gt;"",(N(Aux!S79)-6)&lt;='01_Criterios'!$C$15),"EST_CARRY_BWD","SEM_DADO")))))</f>
        <v>OBS</v>
      </c>
      <c r="Q79" s="20" t="str">
        <f>IF('03_Base_Indice'!$D79="","",IF('03_Base_Indice'!Q79&lt;&gt;"","OBS",IF(AND(Aux!H79&lt;&gt;"",Aux!T79&lt;&gt;"",(N(Aux!T79)-N(Aux!H79)-1)&lt;='01_Criterios'!$C$13),"EST_INTERP",IF(AND(Aux!H79&lt;&gt;"",(7-N(Aux!H79))&lt;='01_Criterios'!$C$14),"EST_CARRY_FWD",IF(AND(Aux!T79&lt;&gt;"",(N(Aux!T79)-7)&lt;='01_Criterios'!$C$15),"EST_CARRY_BWD","SEM_DADO")))))</f>
        <v>OBS</v>
      </c>
      <c r="R79" s="20" t="str">
        <f>IF('03_Base_Indice'!$D79="","",IF('03_Base_Indice'!R79&lt;&gt;"","OBS",IF(AND(Aux!I79&lt;&gt;"",Aux!U79&lt;&gt;"",(N(Aux!U79)-N(Aux!I79)-1)&lt;='01_Criterios'!$C$13),"EST_INTERP",IF(AND(Aux!I79&lt;&gt;"",(8-N(Aux!I79))&lt;='01_Criterios'!$C$14),"EST_CARRY_FWD",IF(AND(Aux!U79&lt;&gt;"",(N(Aux!U79)-8)&lt;='01_Criterios'!$C$15),"EST_CARRY_BWD","SEM_DADO")))))</f>
        <v>OBS</v>
      </c>
      <c r="S79" s="20" t="str">
        <f>IF('03_Base_Indice'!$D79="","",IF('03_Base_Indice'!S79&lt;&gt;"","OBS",IF(AND(Aux!J79&lt;&gt;"",Aux!V79&lt;&gt;"",(N(Aux!V79)-N(Aux!J79)-1)&lt;='01_Criterios'!$C$13),"EST_INTERP",IF(AND(Aux!J79&lt;&gt;"",(9-N(Aux!J79))&lt;='01_Criterios'!$C$14),"EST_CARRY_FWD",IF(AND(Aux!V79&lt;&gt;"",(N(Aux!V79)-9)&lt;='01_Criterios'!$C$15),"EST_CARRY_BWD","SEM_DADO")))))</f>
        <v>OBS</v>
      </c>
      <c r="T79" s="20" t="str">
        <f>IF('03_Base_Indice'!$D79="","",IF('03_Base_Indice'!T79&lt;&gt;"","OBS",IF(AND(Aux!K79&lt;&gt;"",Aux!W79&lt;&gt;"",(N(Aux!W79)-N(Aux!K79)-1)&lt;='01_Criterios'!$C$13),"EST_INTERP",IF(AND(Aux!K79&lt;&gt;"",(10-N(Aux!K79))&lt;='01_Criterios'!$C$14),"EST_CARRY_FWD",IF(AND(Aux!W79&lt;&gt;"",(N(Aux!W79)-10)&lt;='01_Criterios'!$C$15),"EST_CARRY_BWD","SEM_DADO")))))</f>
        <v>OBS</v>
      </c>
      <c r="U79" s="20" t="str">
        <f>IF('03_Base_Indice'!$D79="","",IF('03_Base_Indice'!U79&lt;&gt;"","OBS",IF(AND(Aux!L79&lt;&gt;"",Aux!X79&lt;&gt;"",(N(Aux!X79)-N(Aux!L79)-1)&lt;='01_Criterios'!$C$13),"EST_INTERP",IF(AND(Aux!L79&lt;&gt;"",(11-N(Aux!L79))&lt;='01_Criterios'!$C$14),"EST_CARRY_FWD",IF(AND(Aux!X79&lt;&gt;"",(N(Aux!X79)-11)&lt;='01_Criterios'!$C$15),"EST_CARRY_BWD","SEM_DADO")))))</f>
        <v>EST_CARRY_FWD</v>
      </c>
      <c r="V79" s="20">
        <f>IF($D79="","",COUNTIF(K79:U79,"OBS"))</f>
        <v>10</v>
      </c>
      <c r="W79" s="20">
        <f>IF($D79="","",COUNTIF(K79:U79,"EST_*"))</f>
        <v>1</v>
      </c>
      <c r="X79" s="20">
        <f>IF($D79="","",COUNTIF(K79:U79,"SEM_DADO"))</f>
        <v>0</v>
      </c>
      <c r="Y79" s="20" t="str">
        <f>IF($D79="","",(V79+W79)&amp;"/11")</f>
        <v>11/11</v>
      </c>
    </row>
    <row r="80" spans="1:25">
      <c r="A80" s="6" t="str">
        <f>IF('03_Base_Indice'!$A80="","",'03_Base_Indice'!$A80)</f>
        <v>8. Diversificação Produtiva e Setor Privado</v>
      </c>
      <c r="B80" s="6">
        <f>'03_Base_Indice'!$B80</f>
        <v>6</v>
      </c>
      <c r="D80" s="6" t="str">
        <f>IF('03_Base_Indice'!$D80="","",'03_Base_Indice'!$D80)</f>
        <v/>
      </c>
      <c r="E80" s="6" t="str">
        <f>IF('03_Base_Indice'!$E80="","",'03_Base_Indice'!$E80)</f>
        <v/>
      </c>
      <c r="K80" s="20" t="str">
        <f>IF('03_Base_Indice'!$D80="","",IF('03_Base_Indice'!K80&lt;&gt;"","OBS",IF(AND(Aux!B80&lt;&gt;"",Aux!N80&lt;&gt;"",(N(Aux!N80)-N(Aux!B80)-1)&lt;='01_Criterios'!$C$13),"EST_INTERP",IF(AND(Aux!B80&lt;&gt;"",(1-N(Aux!B80))&lt;='01_Criterios'!$C$14),"EST_CARRY_FWD",IF(AND(Aux!N80&lt;&gt;"",(N(Aux!N80)-1)&lt;='01_Criterios'!$C$15),"EST_CARRY_BWD","SEM_DADO")))))</f>
        <v/>
      </c>
      <c r="L80" s="20" t="str">
        <f>IF('03_Base_Indice'!$D80="","",IF('03_Base_Indice'!L80&lt;&gt;"","OBS",IF(AND(Aux!C80&lt;&gt;"",Aux!O80&lt;&gt;"",(N(Aux!O80)-N(Aux!C80)-1)&lt;='01_Criterios'!$C$13),"EST_INTERP",IF(AND(Aux!C80&lt;&gt;"",(2-N(Aux!C80))&lt;='01_Criterios'!$C$14),"EST_CARRY_FWD",IF(AND(Aux!O80&lt;&gt;"",(N(Aux!O80)-2)&lt;='01_Criterios'!$C$15),"EST_CARRY_BWD","SEM_DADO")))))</f>
        <v/>
      </c>
      <c r="M80" s="20" t="str">
        <f>IF('03_Base_Indice'!$D80="","",IF('03_Base_Indice'!M80&lt;&gt;"","OBS",IF(AND(Aux!D80&lt;&gt;"",Aux!P80&lt;&gt;"",(N(Aux!P80)-N(Aux!D80)-1)&lt;='01_Criterios'!$C$13),"EST_INTERP",IF(AND(Aux!D80&lt;&gt;"",(3-N(Aux!D80))&lt;='01_Criterios'!$C$14),"EST_CARRY_FWD",IF(AND(Aux!P80&lt;&gt;"",(N(Aux!P80)-3)&lt;='01_Criterios'!$C$15),"EST_CARRY_BWD","SEM_DADO")))))</f>
        <v/>
      </c>
      <c r="N80" s="20" t="str">
        <f>IF('03_Base_Indice'!$D80="","",IF('03_Base_Indice'!N80&lt;&gt;"","OBS",IF(AND(Aux!E80&lt;&gt;"",Aux!Q80&lt;&gt;"",(N(Aux!Q80)-N(Aux!E80)-1)&lt;='01_Criterios'!$C$13),"EST_INTERP",IF(AND(Aux!E80&lt;&gt;"",(4-N(Aux!E80))&lt;='01_Criterios'!$C$14),"EST_CARRY_FWD",IF(AND(Aux!Q80&lt;&gt;"",(N(Aux!Q80)-4)&lt;='01_Criterios'!$C$15),"EST_CARRY_BWD","SEM_DADO")))))</f>
        <v/>
      </c>
      <c r="O80" s="20" t="str">
        <f>IF('03_Base_Indice'!$D80="","",IF('03_Base_Indice'!O80&lt;&gt;"","OBS",IF(AND(Aux!F80&lt;&gt;"",Aux!R80&lt;&gt;"",(N(Aux!R80)-N(Aux!F80)-1)&lt;='01_Criterios'!$C$13),"EST_INTERP",IF(AND(Aux!F80&lt;&gt;"",(5-N(Aux!F80))&lt;='01_Criterios'!$C$14),"EST_CARRY_FWD",IF(AND(Aux!R80&lt;&gt;"",(N(Aux!R80)-5)&lt;='01_Criterios'!$C$15),"EST_CARRY_BWD","SEM_DADO")))))</f>
        <v/>
      </c>
      <c r="P80" s="20" t="str">
        <f>IF('03_Base_Indice'!$D80="","",IF('03_Base_Indice'!P80&lt;&gt;"","OBS",IF(AND(Aux!G80&lt;&gt;"",Aux!S80&lt;&gt;"",(N(Aux!S80)-N(Aux!G80)-1)&lt;='01_Criterios'!$C$13),"EST_INTERP",IF(AND(Aux!G80&lt;&gt;"",(6-N(Aux!G80))&lt;='01_Criterios'!$C$14),"EST_CARRY_FWD",IF(AND(Aux!S80&lt;&gt;"",(N(Aux!S80)-6)&lt;='01_Criterios'!$C$15),"EST_CARRY_BWD","SEM_DADO")))))</f>
        <v/>
      </c>
      <c r="Q80" s="20" t="str">
        <f>IF('03_Base_Indice'!$D80="","",IF('03_Base_Indice'!Q80&lt;&gt;"","OBS",IF(AND(Aux!H80&lt;&gt;"",Aux!T80&lt;&gt;"",(N(Aux!T80)-N(Aux!H80)-1)&lt;='01_Criterios'!$C$13),"EST_INTERP",IF(AND(Aux!H80&lt;&gt;"",(7-N(Aux!H80))&lt;='01_Criterios'!$C$14),"EST_CARRY_FWD",IF(AND(Aux!T80&lt;&gt;"",(N(Aux!T80)-7)&lt;='01_Criterios'!$C$15),"EST_CARRY_BWD","SEM_DADO")))))</f>
        <v/>
      </c>
      <c r="R80" s="20" t="str">
        <f>IF('03_Base_Indice'!$D80="","",IF('03_Base_Indice'!R80&lt;&gt;"","OBS",IF(AND(Aux!I80&lt;&gt;"",Aux!U80&lt;&gt;"",(N(Aux!U80)-N(Aux!I80)-1)&lt;='01_Criterios'!$C$13),"EST_INTERP",IF(AND(Aux!I80&lt;&gt;"",(8-N(Aux!I80))&lt;='01_Criterios'!$C$14),"EST_CARRY_FWD",IF(AND(Aux!U80&lt;&gt;"",(N(Aux!U80)-8)&lt;='01_Criterios'!$C$15),"EST_CARRY_BWD","SEM_DADO")))))</f>
        <v/>
      </c>
      <c r="S80" s="20" t="str">
        <f>IF('03_Base_Indice'!$D80="","",IF('03_Base_Indice'!S80&lt;&gt;"","OBS",IF(AND(Aux!J80&lt;&gt;"",Aux!V80&lt;&gt;"",(N(Aux!V80)-N(Aux!J80)-1)&lt;='01_Criterios'!$C$13),"EST_INTERP",IF(AND(Aux!J80&lt;&gt;"",(9-N(Aux!J80))&lt;='01_Criterios'!$C$14),"EST_CARRY_FWD",IF(AND(Aux!V80&lt;&gt;"",(N(Aux!V80)-9)&lt;='01_Criterios'!$C$15),"EST_CARRY_BWD","SEM_DADO")))))</f>
        <v/>
      </c>
      <c r="T80" s="20" t="str">
        <f>IF('03_Base_Indice'!$D80="","",IF('03_Base_Indice'!T80&lt;&gt;"","OBS",IF(AND(Aux!K80&lt;&gt;"",Aux!W80&lt;&gt;"",(N(Aux!W80)-N(Aux!K80)-1)&lt;='01_Criterios'!$C$13),"EST_INTERP",IF(AND(Aux!K80&lt;&gt;"",(10-N(Aux!K80))&lt;='01_Criterios'!$C$14),"EST_CARRY_FWD",IF(AND(Aux!W80&lt;&gt;"",(N(Aux!W80)-10)&lt;='01_Criterios'!$C$15),"EST_CARRY_BWD","SEM_DADO")))))</f>
        <v/>
      </c>
      <c r="U80" s="20" t="str">
        <f>IF('03_Base_Indice'!$D80="","",IF('03_Base_Indice'!U80&lt;&gt;"","OBS",IF(AND(Aux!L80&lt;&gt;"",Aux!X80&lt;&gt;"",(N(Aux!X80)-N(Aux!L80)-1)&lt;='01_Criterios'!$C$13),"EST_INTERP",IF(AND(Aux!L80&lt;&gt;"",(11-N(Aux!L80))&lt;='01_Criterios'!$C$14),"EST_CARRY_FWD",IF(AND(Aux!X80&lt;&gt;"",(N(Aux!X80)-11)&lt;='01_Criterios'!$C$15),"EST_CARRY_BWD","SEM_DADO")))))</f>
        <v/>
      </c>
      <c r="V80" s="20" t="str">
        <f>IF($D80="","",COUNTIF(K80:U80,"OBS"))</f>
        <v/>
      </c>
      <c r="W80" s="20" t="str">
        <f>IF($D80="","",COUNTIF(K80:U80,"EST_*"))</f>
        <v/>
      </c>
      <c r="X80" s="20" t="str">
        <f>IF($D80="","",COUNTIF(K80:U80,"SEM_DADO"))</f>
        <v/>
      </c>
      <c r="Y80" s="20" t="str">
        <f>IF($D80="","",(V80+W80)&amp;"/11")</f>
        <v/>
      </c>
    </row>
    <row r="81" spans="1:25">
      <c r="A81" s="6" t="str">
        <f>IF('03_Base_Indice'!$A81="","",'03_Base_Indice'!$A81)</f>
        <v>8. Diversificação Produtiva e Setor Privado</v>
      </c>
      <c r="B81" s="6">
        <f>'03_Base_Indice'!$B81</f>
        <v>7</v>
      </c>
      <c r="D81" s="6" t="str">
        <f>IF('03_Base_Indice'!$D81="","",'03_Base_Indice'!$D81)</f>
        <v/>
      </c>
      <c r="E81" s="6" t="str">
        <f>IF('03_Base_Indice'!$E81="","",'03_Base_Indice'!$E81)</f>
        <v/>
      </c>
      <c r="K81" s="20" t="str">
        <f>IF('03_Base_Indice'!$D81="","",IF('03_Base_Indice'!K81&lt;&gt;"","OBS",IF(AND(Aux!B81&lt;&gt;"",Aux!N81&lt;&gt;"",(N(Aux!N81)-N(Aux!B81)-1)&lt;='01_Criterios'!$C$13),"EST_INTERP",IF(AND(Aux!B81&lt;&gt;"",(1-N(Aux!B81))&lt;='01_Criterios'!$C$14),"EST_CARRY_FWD",IF(AND(Aux!N81&lt;&gt;"",(N(Aux!N81)-1)&lt;='01_Criterios'!$C$15),"EST_CARRY_BWD","SEM_DADO")))))</f>
        <v/>
      </c>
      <c r="L81" s="20" t="str">
        <f>IF('03_Base_Indice'!$D81="","",IF('03_Base_Indice'!L81&lt;&gt;"","OBS",IF(AND(Aux!C81&lt;&gt;"",Aux!O81&lt;&gt;"",(N(Aux!O81)-N(Aux!C81)-1)&lt;='01_Criterios'!$C$13),"EST_INTERP",IF(AND(Aux!C81&lt;&gt;"",(2-N(Aux!C81))&lt;='01_Criterios'!$C$14),"EST_CARRY_FWD",IF(AND(Aux!O81&lt;&gt;"",(N(Aux!O81)-2)&lt;='01_Criterios'!$C$15),"EST_CARRY_BWD","SEM_DADO")))))</f>
        <v/>
      </c>
      <c r="M81" s="20" t="str">
        <f>IF('03_Base_Indice'!$D81="","",IF('03_Base_Indice'!M81&lt;&gt;"","OBS",IF(AND(Aux!D81&lt;&gt;"",Aux!P81&lt;&gt;"",(N(Aux!P81)-N(Aux!D81)-1)&lt;='01_Criterios'!$C$13),"EST_INTERP",IF(AND(Aux!D81&lt;&gt;"",(3-N(Aux!D81))&lt;='01_Criterios'!$C$14),"EST_CARRY_FWD",IF(AND(Aux!P81&lt;&gt;"",(N(Aux!P81)-3)&lt;='01_Criterios'!$C$15),"EST_CARRY_BWD","SEM_DADO")))))</f>
        <v/>
      </c>
      <c r="N81" s="20" t="str">
        <f>IF('03_Base_Indice'!$D81="","",IF('03_Base_Indice'!N81&lt;&gt;"","OBS",IF(AND(Aux!E81&lt;&gt;"",Aux!Q81&lt;&gt;"",(N(Aux!Q81)-N(Aux!E81)-1)&lt;='01_Criterios'!$C$13),"EST_INTERP",IF(AND(Aux!E81&lt;&gt;"",(4-N(Aux!E81))&lt;='01_Criterios'!$C$14),"EST_CARRY_FWD",IF(AND(Aux!Q81&lt;&gt;"",(N(Aux!Q81)-4)&lt;='01_Criterios'!$C$15),"EST_CARRY_BWD","SEM_DADO")))))</f>
        <v/>
      </c>
      <c r="O81" s="20" t="str">
        <f>IF('03_Base_Indice'!$D81="","",IF('03_Base_Indice'!O81&lt;&gt;"","OBS",IF(AND(Aux!F81&lt;&gt;"",Aux!R81&lt;&gt;"",(N(Aux!R81)-N(Aux!F81)-1)&lt;='01_Criterios'!$C$13),"EST_INTERP",IF(AND(Aux!F81&lt;&gt;"",(5-N(Aux!F81))&lt;='01_Criterios'!$C$14),"EST_CARRY_FWD",IF(AND(Aux!R81&lt;&gt;"",(N(Aux!R81)-5)&lt;='01_Criterios'!$C$15),"EST_CARRY_BWD","SEM_DADO")))))</f>
        <v/>
      </c>
      <c r="P81" s="20" t="str">
        <f>IF('03_Base_Indice'!$D81="","",IF('03_Base_Indice'!P81&lt;&gt;"","OBS",IF(AND(Aux!G81&lt;&gt;"",Aux!S81&lt;&gt;"",(N(Aux!S81)-N(Aux!G81)-1)&lt;='01_Criterios'!$C$13),"EST_INTERP",IF(AND(Aux!G81&lt;&gt;"",(6-N(Aux!G81))&lt;='01_Criterios'!$C$14),"EST_CARRY_FWD",IF(AND(Aux!S81&lt;&gt;"",(N(Aux!S81)-6)&lt;='01_Criterios'!$C$15),"EST_CARRY_BWD","SEM_DADO")))))</f>
        <v/>
      </c>
      <c r="Q81" s="20" t="str">
        <f>IF('03_Base_Indice'!$D81="","",IF('03_Base_Indice'!Q81&lt;&gt;"","OBS",IF(AND(Aux!H81&lt;&gt;"",Aux!T81&lt;&gt;"",(N(Aux!T81)-N(Aux!H81)-1)&lt;='01_Criterios'!$C$13),"EST_INTERP",IF(AND(Aux!H81&lt;&gt;"",(7-N(Aux!H81))&lt;='01_Criterios'!$C$14),"EST_CARRY_FWD",IF(AND(Aux!T81&lt;&gt;"",(N(Aux!T81)-7)&lt;='01_Criterios'!$C$15),"EST_CARRY_BWD","SEM_DADO")))))</f>
        <v/>
      </c>
      <c r="R81" s="20" t="str">
        <f>IF('03_Base_Indice'!$D81="","",IF('03_Base_Indice'!R81&lt;&gt;"","OBS",IF(AND(Aux!I81&lt;&gt;"",Aux!U81&lt;&gt;"",(N(Aux!U81)-N(Aux!I81)-1)&lt;='01_Criterios'!$C$13),"EST_INTERP",IF(AND(Aux!I81&lt;&gt;"",(8-N(Aux!I81))&lt;='01_Criterios'!$C$14),"EST_CARRY_FWD",IF(AND(Aux!U81&lt;&gt;"",(N(Aux!U81)-8)&lt;='01_Criterios'!$C$15),"EST_CARRY_BWD","SEM_DADO")))))</f>
        <v/>
      </c>
      <c r="S81" s="20" t="str">
        <f>IF('03_Base_Indice'!$D81="","",IF('03_Base_Indice'!S81&lt;&gt;"","OBS",IF(AND(Aux!J81&lt;&gt;"",Aux!V81&lt;&gt;"",(N(Aux!V81)-N(Aux!J81)-1)&lt;='01_Criterios'!$C$13),"EST_INTERP",IF(AND(Aux!J81&lt;&gt;"",(9-N(Aux!J81))&lt;='01_Criterios'!$C$14),"EST_CARRY_FWD",IF(AND(Aux!V81&lt;&gt;"",(N(Aux!V81)-9)&lt;='01_Criterios'!$C$15),"EST_CARRY_BWD","SEM_DADO")))))</f>
        <v/>
      </c>
      <c r="T81" s="20" t="str">
        <f>IF('03_Base_Indice'!$D81="","",IF('03_Base_Indice'!T81&lt;&gt;"","OBS",IF(AND(Aux!K81&lt;&gt;"",Aux!W81&lt;&gt;"",(N(Aux!W81)-N(Aux!K81)-1)&lt;='01_Criterios'!$C$13),"EST_INTERP",IF(AND(Aux!K81&lt;&gt;"",(10-N(Aux!K81))&lt;='01_Criterios'!$C$14),"EST_CARRY_FWD",IF(AND(Aux!W81&lt;&gt;"",(N(Aux!W81)-10)&lt;='01_Criterios'!$C$15),"EST_CARRY_BWD","SEM_DADO")))))</f>
        <v/>
      </c>
      <c r="U81" s="20" t="str">
        <f>IF('03_Base_Indice'!$D81="","",IF('03_Base_Indice'!U81&lt;&gt;"","OBS",IF(AND(Aux!L81&lt;&gt;"",Aux!X81&lt;&gt;"",(N(Aux!X81)-N(Aux!L81)-1)&lt;='01_Criterios'!$C$13),"EST_INTERP",IF(AND(Aux!L81&lt;&gt;"",(11-N(Aux!L81))&lt;='01_Criterios'!$C$14),"EST_CARRY_FWD",IF(AND(Aux!X81&lt;&gt;"",(N(Aux!X81)-11)&lt;='01_Criterios'!$C$15),"EST_CARRY_BWD","SEM_DADO")))))</f>
        <v/>
      </c>
      <c r="V81" s="20" t="str">
        <f>IF($D81="","",COUNTIF(K81:U81,"OBS"))</f>
        <v/>
      </c>
      <c r="W81" s="20" t="str">
        <f>IF($D81="","",COUNTIF(K81:U81,"EST_*"))</f>
        <v/>
      </c>
      <c r="X81" s="20" t="str">
        <f>IF($D81="","",COUNTIF(K81:U81,"SEM_DADO"))</f>
        <v/>
      </c>
      <c r="Y81" s="20" t="str">
        <f>IF($D81="","",(V81+W81)&amp;"/11")</f>
        <v/>
      </c>
    </row>
    <row r="82" spans="1:25">
      <c r="A82" s="6" t="str">
        <f>IF('03_Base_Indice'!$A82="","",'03_Base_Indice'!$A82)</f>
        <v>8. Diversificação Produtiva e Setor Privado</v>
      </c>
      <c r="B82" s="6">
        <f>'03_Base_Indice'!$B82</f>
        <v>8</v>
      </c>
      <c r="D82" s="6" t="str">
        <f>IF('03_Base_Indice'!$D82="","",'03_Base_Indice'!$D82)</f>
        <v/>
      </c>
      <c r="E82" s="6" t="str">
        <f>IF('03_Base_Indice'!$E82="","",'03_Base_Indice'!$E82)</f>
        <v/>
      </c>
      <c r="K82" s="20" t="str">
        <f>IF('03_Base_Indice'!$D82="","",IF('03_Base_Indice'!K82&lt;&gt;"","OBS",IF(AND(Aux!B82&lt;&gt;"",Aux!N82&lt;&gt;"",(N(Aux!N82)-N(Aux!B82)-1)&lt;='01_Criterios'!$C$13),"EST_INTERP",IF(AND(Aux!B82&lt;&gt;"",(1-N(Aux!B82))&lt;='01_Criterios'!$C$14),"EST_CARRY_FWD",IF(AND(Aux!N82&lt;&gt;"",(N(Aux!N82)-1)&lt;='01_Criterios'!$C$15),"EST_CARRY_BWD","SEM_DADO")))))</f>
        <v/>
      </c>
      <c r="L82" s="20" t="str">
        <f>IF('03_Base_Indice'!$D82="","",IF('03_Base_Indice'!L82&lt;&gt;"","OBS",IF(AND(Aux!C82&lt;&gt;"",Aux!O82&lt;&gt;"",(N(Aux!O82)-N(Aux!C82)-1)&lt;='01_Criterios'!$C$13),"EST_INTERP",IF(AND(Aux!C82&lt;&gt;"",(2-N(Aux!C82))&lt;='01_Criterios'!$C$14),"EST_CARRY_FWD",IF(AND(Aux!O82&lt;&gt;"",(N(Aux!O82)-2)&lt;='01_Criterios'!$C$15),"EST_CARRY_BWD","SEM_DADO")))))</f>
        <v/>
      </c>
      <c r="M82" s="20" t="str">
        <f>IF('03_Base_Indice'!$D82="","",IF('03_Base_Indice'!M82&lt;&gt;"","OBS",IF(AND(Aux!D82&lt;&gt;"",Aux!P82&lt;&gt;"",(N(Aux!P82)-N(Aux!D82)-1)&lt;='01_Criterios'!$C$13),"EST_INTERP",IF(AND(Aux!D82&lt;&gt;"",(3-N(Aux!D82))&lt;='01_Criterios'!$C$14),"EST_CARRY_FWD",IF(AND(Aux!P82&lt;&gt;"",(N(Aux!P82)-3)&lt;='01_Criterios'!$C$15),"EST_CARRY_BWD","SEM_DADO")))))</f>
        <v/>
      </c>
      <c r="N82" s="20" t="str">
        <f>IF('03_Base_Indice'!$D82="","",IF('03_Base_Indice'!N82&lt;&gt;"","OBS",IF(AND(Aux!E82&lt;&gt;"",Aux!Q82&lt;&gt;"",(N(Aux!Q82)-N(Aux!E82)-1)&lt;='01_Criterios'!$C$13),"EST_INTERP",IF(AND(Aux!E82&lt;&gt;"",(4-N(Aux!E82))&lt;='01_Criterios'!$C$14),"EST_CARRY_FWD",IF(AND(Aux!Q82&lt;&gt;"",(N(Aux!Q82)-4)&lt;='01_Criterios'!$C$15),"EST_CARRY_BWD","SEM_DADO")))))</f>
        <v/>
      </c>
      <c r="O82" s="20" t="str">
        <f>IF('03_Base_Indice'!$D82="","",IF('03_Base_Indice'!O82&lt;&gt;"","OBS",IF(AND(Aux!F82&lt;&gt;"",Aux!R82&lt;&gt;"",(N(Aux!R82)-N(Aux!F82)-1)&lt;='01_Criterios'!$C$13),"EST_INTERP",IF(AND(Aux!F82&lt;&gt;"",(5-N(Aux!F82))&lt;='01_Criterios'!$C$14),"EST_CARRY_FWD",IF(AND(Aux!R82&lt;&gt;"",(N(Aux!R82)-5)&lt;='01_Criterios'!$C$15),"EST_CARRY_BWD","SEM_DADO")))))</f>
        <v/>
      </c>
      <c r="P82" s="20" t="str">
        <f>IF('03_Base_Indice'!$D82="","",IF('03_Base_Indice'!P82&lt;&gt;"","OBS",IF(AND(Aux!G82&lt;&gt;"",Aux!S82&lt;&gt;"",(N(Aux!S82)-N(Aux!G82)-1)&lt;='01_Criterios'!$C$13),"EST_INTERP",IF(AND(Aux!G82&lt;&gt;"",(6-N(Aux!G82))&lt;='01_Criterios'!$C$14),"EST_CARRY_FWD",IF(AND(Aux!S82&lt;&gt;"",(N(Aux!S82)-6)&lt;='01_Criterios'!$C$15),"EST_CARRY_BWD","SEM_DADO")))))</f>
        <v/>
      </c>
      <c r="Q82" s="20" t="str">
        <f>IF('03_Base_Indice'!$D82="","",IF('03_Base_Indice'!Q82&lt;&gt;"","OBS",IF(AND(Aux!H82&lt;&gt;"",Aux!T82&lt;&gt;"",(N(Aux!T82)-N(Aux!H82)-1)&lt;='01_Criterios'!$C$13),"EST_INTERP",IF(AND(Aux!H82&lt;&gt;"",(7-N(Aux!H82))&lt;='01_Criterios'!$C$14),"EST_CARRY_FWD",IF(AND(Aux!T82&lt;&gt;"",(N(Aux!T82)-7)&lt;='01_Criterios'!$C$15),"EST_CARRY_BWD","SEM_DADO")))))</f>
        <v/>
      </c>
      <c r="R82" s="20" t="str">
        <f>IF('03_Base_Indice'!$D82="","",IF('03_Base_Indice'!R82&lt;&gt;"","OBS",IF(AND(Aux!I82&lt;&gt;"",Aux!U82&lt;&gt;"",(N(Aux!U82)-N(Aux!I82)-1)&lt;='01_Criterios'!$C$13),"EST_INTERP",IF(AND(Aux!I82&lt;&gt;"",(8-N(Aux!I82))&lt;='01_Criterios'!$C$14),"EST_CARRY_FWD",IF(AND(Aux!U82&lt;&gt;"",(N(Aux!U82)-8)&lt;='01_Criterios'!$C$15),"EST_CARRY_BWD","SEM_DADO")))))</f>
        <v/>
      </c>
      <c r="S82" s="20" t="str">
        <f>IF('03_Base_Indice'!$D82="","",IF('03_Base_Indice'!S82&lt;&gt;"","OBS",IF(AND(Aux!J82&lt;&gt;"",Aux!V82&lt;&gt;"",(N(Aux!V82)-N(Aux!J82)-1)&lt;='01_Criterios'!$C$13),"EST_INTERP",IF(AND(Aux!J82&lt;&gt;"",(9-N(Aux!J82))&lt;='01_Criterios'!$C$14),"EST_CARRY_FWD",IF(AND(Aux!V82&lt;&gt;"",(N(Aux!V82)-9)&lt;='01_Criterios'!$C$15),"EST_CARRY_BWD","SEM_DADO")))))</f>
        <v/>
      </c>
      <c r="T82" s="20" t="str">
        <f>IF('03_Base_Indice'!$D82="","",IF('03_Base_Indice'!T82&lt;&gt;"","OBS",IF(AND(Aux!K82&lt;&gt;"",Aux!W82&lt;&gt;"",(N(Aux!W82)-N(Aux!K82)-1)&lt;='01_Criterios'!$C$13),"EST_INTERP",IF(AND(Aux!K82&lt;&gt;"",(10-N(Aux!K82))&lt;='01_Criterios'!$C$14),"EST_CARRY_FWD",IF(AND(Aux!W82&lt;&gt;"",(N(Aux!W82)-10)&lt;='01_Criterios'!$C$15),"EST_CARRY_BWD","SEM_DADO")))))</f>
        <v/>
      </c>
      <c r="U82" s="20" t="str">
        <f>IF('03_Base_Indice'!$D82="","",IF('03_Base_Indice'!U82&lt;&gt;"","OBS",IF(AND(Aux!L82&lt;&gt;"",Aux!X82&lt;&gt;"",(N(Aux!X82)-N(Aux!L82)-1)&lt;='01_Criterios'!$C$13),"EST_INTERP",IF(AND(Aux!L82&lt;&gt;"",(11-N(Aux!L82))&lt;='01_Criterios'!$C$14),"EST_CARRY_FWD",IF(AND(Aux!X82&lt;&gt;"",(N(Aux!X82)-11)&lt;='01_Criterios'!$C$15),"EST_CARRY_BWD","SEM_DADO")))))</f>
        <v/>
      </c>
      <c r="V82" s="20" t="str">
        <f>IF($D82="","",COUNTIF(K82:U82,"OBS"))</f>
        <v/>
      </c>
      <c r="W82" s="20" t="str">
        <f>IF($D82="","",COUNTIF(K82:U82,"EST_*"))</f>
        <v/>
      </c>
      <c r="X82" s="20" t="str">
        <f>IF($D82="","",COUNTIF(K82:U82,"SEM_DADO"))</f>
        <v/>
      </c>
      <c r="Y82" s="20" t="str">
        <f>IF($D82="","",(V82+W82)&amp;"/11")</f>
        <v/>
      </c>
    </row>
    <row r="83" spans="1:25">
      <c r="A83" s="6" t="str">
        <f>IF('03_Base_Indice'!$A83="","",'03_Base_Indice'!$A83)</f>
        <v>8. Diversificação Produtiva e Setor Privado</v>
      </c>
      <c r="B83" s="6">
        <f>'03_Base_Indice'!$B83</f>
        <v>9</v>
      </c>
      <c r="D83" s="6" t="str">
        <f>IF('03_Base_Indice'!$D83="","",'03_Base_Indice'!$D83)</f>
        <v/>
      </c>
      <c r="E83" s="6" t="str">
        <f>IF('03_Base_Indice'!$E83="","",'03_Base_Indice'!$E83)</f>
        <v/>
      </c>
      <c r="K83" s="20" t="str">
        <f>IF('03_Base_Indice'!$D83="","",IF('03_Base_Indice'!K83&lt;&gt;"","OBS",IF(AND(Aux!B83&lt;&gt;"",Aux!N83&lt;&gt;"",(N(Aux!N83)-N(Aux!B83)-1)&lt;='01_Criterios'!$C$13),"EST_INTERP",IF(AND(Aux!B83&lt;&gt;"",(1-N(Aux!B83))&lt;='01_Criterios'!$C$14),"EST_CARRY_FWD",IF(AND(Aux!N83&lt;&gt;"",(N(Aux!N83)-1)&lt;='01_Criterios'!$C$15),"EST_CARRY_BWD","SEM_DADO")))))</f>
        <v/>
      </c>
      <c r="L83" s="20" t="str">
        <f>IF('03_Base_Indice'!$D83="","",IF('03_Base_Indice'!L83&lt;&gt;"","OBS",IF(AND(Aux!C83&lt;&gt;"",Aux!O83&lt;&gt;"",(N(Aux!O83)-N(Aux!C83)-1)&lt;='01_Criterios'!$C$13),"EST_INTERP",IF(AND(Aux!C83&lt;&gt;"",(2-N(Aux!C83))&lt;='01_Criterios'!$C$14),"EST_CARRY_FWD",IF(AND(Aux!O83&lt;&gt;"",(N(Aux!O83)-2)&lt;='01_Criterios'!$C$15),"EST_CARRY_BWD","SEM_DADO")))))</f>
        <v/>
      </c>
      <c r="M83" s="20" t="str">
        <f>IF('03_Base_Indice'!$D83="","",IF('03_Base_Indice'!M83&lt;&gt;"","OBS",IF(AND(Aux!D83&lt;&gt;"",Aux!P83&lt;&gt;"",(N(Aux!P83)-N(Aux!D83)-1)&lt;='01_Criterios'!$C$13),"EST_INTERP",IF(AND(Aux!D83&lt;&gt;"",(3-N(Aux!D83))&lt;='01_Criterios'!$C$14),"EST_CARRY_FWD",IF(AND(Aux!P83&lt;&gt;"",(N(Aux!P83)-3)&lt;='01_Criterios'!$C$15),"EST_CARRY_BWD","SEM_DADO")))))</f>
        <v/>
      </c>
      <c r="N83" s="20" t="str">
        <f>IF('03_Base_Indice'!$D83="","",IF('03_Base_Indice'!N83&lt;&gt;"","OBS",IF(AND(Aux!E83&lt;&gt;"",Aux!Q83&lt;&gt;"",(N(Aux!Q83)-N(Aux!E83)-1)&lt;='01_Criterios'!$C$13),"EST_INTERP",IF(AND(Aux!E83&lt;&gt;"",(4-N(Aux!E83))&lt;='01_Criterios'!$C$14),"EST_CARRY_FWD",IF(AND(Aux!Q83&lt;&gt;"",(N(Aux!Q83)-4)&lt;='01_Criterios'!$C$15),"EST_CARRY_BWD","SEM_DADO")))))</f>
        <v/>
      </c>
      <c r="O83" s="20" t="str">
        <f>IF('03_Base_Indice'!$D83="","",IF('03_Base_Indice'!O83&lt;&gt;"","OBS",IF(AND(Aux!F83&lt;&gt;"",Aux!R83&lt;&gt;"",(N(Aux!R83)-N(Aux!F83)-1)&lt;='01_Criterios'!$C$13),"EST_INTERP",IF(AND(Aux!F83&lt;&gt;"",(5-N(Aux!F83))&lt;='01_Criterios'!$C$14),"EST_CARRY_FWD",IF(AND(Aux!R83&lt;&gt;"",(N(Aux!R83)-5)&lt;='01_Criterios'!$C$15),"EST_CARRY_BWD","SEM_DADO")))))</f>
        <v/>
      </c>
      <c r="P83" s="20" t="str">
        <f>IF('03_Base_Indice'!$D83="","",IF('03_Base_Indice'!P83&lt;&gt;"","OBS",IF(AND(Aux!G83&lt;&gt;"",Aux!S83&lt;&gt;"",(N(Aux!S83)-N(Aux!G83)-1)&lt;='01_Criterios'!$C$13),"EST_INTERP",IF(AND(Aux!G83&lt;&gt;"",(6-N(Aux!G83))&lt;='01_Criterios'!$C$14),"EST_CARRY_FWD",IF(AND(Aux!S83&lt;&gt;"",(N(Aux!S83)-6)&lt;='01_Criterios'!$C$15),"EST_CARRY_BWD","SEM_DADO")))))</f>
        <v/>
      </c>
      <c r="Q83" s="20" t="str">
        <f>IF('03_Base_Indice'!$D83="","",IF('03_Base_Indice'!Q83&lt;&gt;"","OBS",IF(AND(Aux!H83&lt;&gt;"",Aux!T83&lt;&gt;"",(N(Aux!T83)-N(Aux!H83)-1)&lt;='01_Criterios'!$C$13),"EST_INTERP",IF(AND(Aux!H83&lt;&gt;"",(7-N(Aux!H83))&lt;='01_Criterios'!$C$14),"EST_CARRY_FWD",IF(AND(Aux!T83&lt;&gt;"",(N(Aux!T83)-7)&lt;='01_Criterios'!$C$15),"EST_CARRY_BWD","SEM_DADO")))))</f>
        <v/>
      </c>
      <c r="R83" s="20" t="str">
        <f>IF('03_Base_Indice'!$D83="","",IF('03_Base_Indice'!R83&lt;&gt;"","OBS",IF(AND(Aux!I83&lt;&gt;"",Aux!U83&lt;&gt;"",(N(Aux!U83)-N(Aux!I83)-1)&lt;='01_Criterios'!$C$13),"EST_INTERP",IF(AND(Aux!I83&lt;&gt;"",(8-N(Aux!I83))&lt;='01_Criterios'!$C$14),"EST_CARRY_FWD",IF(AND(Aux!U83&lt;&gt;"",(N(Aux!U83)-8)&lt;='01_Criterios'!$C$15),"EST_CARRY_BWD","SEM_DADO")))))</f>
        <v/>
      </c>
      <c r="S83" s="20" t="str">
        <f>IF('03_Base_Indice'!$D83="","",IF('03_Base_Indice'!S83&lt;&gt;"","OBS",IF(AND(Aux!J83&lt;&gt;"",Aux!V83&lt;&gt;"",(N(Aux!V83)-N(Aux!J83)-1)&lt;='01_Criterios'!$C$13),"EST_INTERP",IF(AND(Aux!J83&lt;&gt;"",(9-N(Aux!J83))&lt;='01_Criterios'!$C$14),"EST_CARRY_FWD",IF(AND(Aux!V83&lt;&gt;"",(N(Aux!V83)-9)&lt;='01_Criterios'!$C$15),"EST_CARRY_BWD","SEM_DADO")))))</f>
        <v/>
      </c>
      <c r="T83" s="20" t="str">
        <f>IF('03_Base_Indice'!$D83="","",IF('03_Base_Indice'!T83&lt;&gt;"","OBS",IF(AND(Aux!K83&lt;&gt;"",Aux!W83&lt;&gt;"",(N(Aux!W83)-N(Aux!K83)-1)&lt;='01_Criterios'!$C$13),"EST_INTERP",IF(AND(Aux!K83&lt;&gt;"",(10-N(Aux!K83))&lt;='01_Criterios'!$C$14),"EST_CARRY_FWD",IF(AND(Aux!W83&lt;&gt;"",(N(Aux!W83)-10)&lt;='01_Criterios'!$C$15),"EST_CARRY_BWD","SEM_DADO")))))</f>
        <v/>
      </c>
      <c r="U83" s="20" t="str">
        <f>IF('03_Base_Indice'!$D83="","",IF('03_Base_Indice'!U83&lt;&gt;"","OBS",IF(AND(Aux!L83&lt;&gt;"",Aux!X83&lt;&gt;"",(N(Aux!X83)-N(Aux!L83)-1)&lt;='01_Criterios'!$C$13),"EST_INTERP",IF(AND(Aux!L83&lt;&gt;"",(11-N(Aux!L83))&lt;='01_Criterios'!$C$14),"EST_CARRY_FWD",IF(AND(Aux!X83&lt;&gt;"",(N(Aux!X83)-11)&lt;='01_Criterios'!$C$15),"EST_CARRY_BWD","SEM_DADO")))))</f>
        <v/>
      </c>
      <c r="V83" s="20" t="str">
        <f>IF($D83="","",COUNTIF(K83:U83,"OBS"))</f>
        <v/>
      </c>
      <c r="W83" s="20" t="str">
        <f>IF($D83="","",COUNTIF(K83:U83,"EST_*"))</f>
        <v/>
      </c>
      <c r="X83" s="20" t="str">
        <f>IF($D83="","",COUNTIF(K83:U83,"SEM_DADO"))</f>
        <v/>
      </c>
      <c r="Y83" s="20" t="str">
        <f>IF($D83="","",(V83+W83)&amp;"/11")</f>
        <v/>
      </c>
    </row>
    <row r="84" spans="1:25">
      <c r="A84" s="6" t="str">
        <f>IF('03_Base_Indice'!$A84="","",'03_Base_Indice'!$A84)</f>
        <v>8. Diversificação Produtiva e Setor Privado</v>
      </c>
      <c r="B84" s="6">
        <f>'03_Base_Indice'!$B84</f>
        <v>10</v>
      </c>
      <c r="D84" s="6" t="str">
        <f>IF('03_Base_Indice'!$D84="","",'03_Base_Indice'!$D84)</f>
        <v/>
      </c>
      <c r="E84" s="6" t="str">
        <f>IF('03_Base_Indice'!$E84="","",'03_Base_Indice'!$E84)</f>
        <v/>
      </c>
      <c r="K84" s="20" t="str">
        <f>IF('03_Base_Indice'!$D84="","",IF('03_Base_Indice'!K84&lt;&gt;"","OBS",IF(AND(Aux!B84&lt;&gt;"",Aux!N84&lt;&gt;"",(N(Aux!N84)-N(Aux!B84)-1)&lt;='01_Criterios'!$C$13),"EST_INTERP",IF(AND(Aux!B84&lt;&gt;"",(1-N(Aux!B84))&lt;='01_Criterios'!$C$14),"EST_CARRY_FWD",IF(AND(Aux!N84&lt;&gt;"",(N(Aux!N84)-1)&lt;='01_Criterios'!$C$15),"EST_CARRY_BWD","SEM_DADO")))))</f>
        <v/>
      </c>
      <c r="L84" s="20" t="str">
        <f>IF('03_Base_Indice'!$D84="","",IF('03_Base_Indice'!L84&lt;&gt;"","OBS",IF(AND(Aux!C84&lt;&gt;"",Aux!O84&lt;&gt;"",(N(Aux!O84)-N(Aux!C84)-1)&lt;='01_Criterios'!$C$13),"EST_INTERP",IF(AND(Aux!C84&lt;&gt;"",(2-N(Aux!C84))&lt;='01_Criterios'!$C$14),"EST_CARRY_FWD",IF(AND(Aux!O84&lt;&gt;"",(N(Aux!O84)-2)&lt;='01_Criterios'!$C$15),"EST_CARRY_BWD","SEM_DADO")))))</f>
        <v/>
      </c>
      <c r="M84" s="20" t="str">
        <f>IF('03_Base_Indice'!$D84="","",IF('03_Base_Indice'!M84&lt;&gt;"","OBS",IF(AND(Aux!D84&lt;&gt;"",Aux!P84&lt;&gt;"",(N(Aux!P84)-N(Aux!D84)-1)&lt;='01_Criterios'!$C$13),"EST_INTERP",IF(AND(Aux!D84&lt;&gt;"",(3-N(Aux!D84))&lt;='01_Criterios'!$C$14),"EST_CARRY_FWD",IF(AND(Aux!P84&lt;&gt;"",(N(Aux!P84)-3)&lt;='01_Criterios'!$C$15),"EST_CARRY_BWD","SEM_DADO")))))</f>
        <v/>
      </c>
      <c r="N84" s="20" t="str">
        <f>IF('03_Base_Indice'!$D84="","",IF('03_Base_Indice'!N84&lt;&gt;"","OBS",IF(AND(Aux!E84&lt;&gt;"",Aux!Q84&lt;&gt;"",(N(Aux!Q84)-N(Aux!E84)-1)&lt;='01_Criterios'!$C$13),"EST_INTERP",IF(AND(Aux!E84&lt;&gt;"",(4-N(Aux!E84))&lt;='01_Criterios'!$C$14),"EST_CARRY_FWD",IF(AND(Aux!Q84&lt;&gt;"",(N(Aux!Q84)-4)&lt;='01_Criterios'!$C$15),"EST_CARRY_BWD","SEM_DADO")))))</f>
        <v/>
      </c>
      <c r="O84" s="20" t="str">
        <f>IF('03_Base_Indice'!$D84="","",IF('03_Base_Indice'!O84&lt;&gt;"","OBS",IF(AND(Aux!F84&lt;&gt;"",Aux!R84&lt;&gt;"",(N(Aux!R84)-N(Aux!F84)-1)&lt;='01_Criterios'!$C$13),"EST_INTERP",IF(AND(Aux!F84&lt;&gt;"",(5-N(Aux!F84))&lt;='01_Criterios'!$C$14),"EST_CARRY_FWD",IF(AND(Aux!R84&lt;&gt;"",(N(Aux!R84)-5)&lt;='01_Criterios'!$C$15),"EST_CARRY_BWD","SEM_DADO")))))</f>
        <v/>
      </c>
      <c r="P84" s="20" t="str">
        <f>IF('03_Base_Indice'!$D84="","",IF('03_Base_Indice'!P84&lt;&gt;"","OBS",IF(AND(Aux!G84&lt;&gt;"",Aux!S84&lt;&gt;"",(N(Aux!S84)-N(Aux!G84)-1)&lt;='01_Criterios'!$C$13),"EST_INTERP",IF(AND(Aux!G84&lt;&gt;"",(6-N(Aux!G84))&lt;='01_Criterios'!$C$14),"EST_CARRY_FWD",IF(AND(Aux!S84&lt;&gt;"",(N(Aux!S84)-6)&lt;='01_Criterios'!$C$15),"EST_CARRY_BWD","SEM_DADO")))))</f>
        <v/>
      </c>
      <c r="Q84" s="20" t="str">
        <f>IF('03_Base_Indice'!$D84="","",IF('03_Base_Indice'!Q84&lt;&gt;"","OBS",IF(AND(Aux!H84&lt;&gt;"",Aux!T84&lt;&gt;"",(N(Aux!T84)-N(Aux!H84)-1)&lt;='01_Criterios'!$C$13),"EST_INTERP",IF(AND(Aux!H84&lt;&gt;"",(7-N(Aux!H84))&lt;='01_Criterios'!$C$14),"EST_CARRY_FWD",IF(AND(Aux!T84&lt;&gt;"",(N(Aux!T84)-7)&lt;='01_Criterios'!$C$15),"EST_CARRY_BWD","SEM_DADO")))))</f>
        <v/>
      </c>
      <c r="R84" s="20" t="str">
        <f>IF('03_Base_Indice'!$D84="","",IF('03_Base_Indice'!R84&lt;&gt;"","OBS",IF(AND(Aux!I84&lt;&gt;"",Aux!U84&lt;&gt;"",(N(Aux!U84)-N(Aux!I84)-1)&lt;='01_Criterios'!$C$13),"EST_INTERP",IF(AND(Aux!I84&lt;&gt;"",(8-N(Aux!I84))&lt;='01_Criterios'!$C$14),"EST_CARRY_FWD",IF(AND(Aux!U84&lt;&gt;"",(N(Aux!U84)-8)&lt;='01_Criterios'!$C$15),"EST_CARRY_BWD","SEM_DADO")))))</f>
        <v/>
      </c>
      <c r="S84" s="20" t="str">
        <f>IF('03_Base_Indice'!$D84="","",IF('03_Base_Indice'!S84&lt;&gt;"","OBS",IF(AND(Aux!J84&lt;&gt;"",Aux!V84&lt;&gt;"",(N(Aux!V84)-N(Aux!J84)-1)&lt;='01_Criterios'!$C$13),"EST_INTERP",IF(AND(Aux!J84&lt;&gt;"",(9-N(Aux!J84))&lt;='01_Criterios'!$C$14),"EST_CARRY_FWD",IF(AND(Aux!V84&lt;&gt;"",(N(Aux!V84)-9)&lt;='01_Criterios'!$C$15),"EST_CARRY_BWD","SEM_DADO")))))</f>
        <v/>
      </c>
      <c r="T84" s="20" t="str">
        <f>IF('03_Base_Indice'!$D84="","",IF('03_Base_Indice'!T84&lt;&gt;"","OBS",IF(AND(Aux!K84&lt;&gt;"",Aux!W84&lt;&gt;"",(N(Aux!W84)-N(Aux!K84)-1)&lt;='01_Criterios'!$C$13),"EST_INTERP",IF(AND(Aux!K84&lt;&gt;"",(10-N(Aux!K84))&lt;='01_Criterios'!$C$14),"EST_CARRY_FWD",IF(AND(Aux!W84&lt;&gt;"",(N(Aux!W84)-10)&lt;='01_Criterios'!$C$15),"EST_CARRY_BWD","SEM_DADO")))))</f>
        <v/>
      </c>
      <c r="U84" s="20" t="str">
        <f>IF('03_Base_Indice'!$D84="","",IF('03_Base_Indice'!U84&lt;&gt;"","OBS",IF(AND(Aux!L84&lt;&gt;"",Aux!X84&lt;&gt;"",(N(Aux!X84)-N(Aux!L84)-1)&lt;='01_Criterios'!$C$13),"EST_INTERP",IF(AND(Aux!L84&lt;&gt;"",(11-N(Aux!L84))&lt;='01_Criterios'!$C$14),"EST_CARRY_FWD",IF(AND(Aux!X84&lt;&gt;"",(N(Aux!X84)-11)&lt;='01_Criterios'!$C$15),"EST_CARRY_BWD","SEM_DADO")))))</f>
        <v/>
      </c>
      <c r="V84" s="20" t="str">
        <f>IF($D84="","",COUNTIF(K84:U84,"OBS"))</f>
        <v/>
      </c>
      <c r="W84" s="20" t="str">
        <f>IF($D84="","",COUNTIF(K84:U84,"EST_*"))</f>
        <v/>
      </c>
      <c r="X84" s="20" t="str">
        <f>IF($D84="","",COUNTIF(K84:U84,"SEM_DADO"))</f>
        <v/>
      </c>
      <c r="Y84" s="20" t="str">
        <f>IF($D84="","",(V84+W84)&amp;"/11")</f>
        <v/>
      </c>
    </row>
    <row r="85" spans="1:25">
      <c r="A85" s="6" t="str">
        <f>IF('03_Base_Indice'!$A85="","",'03_Base_Indice'!$A85)</f>
        <v>9. Ambiente, Clima e Resiliência</v>
      </c>
      <c r="B85" s="6">
        <f>'03_Base_Indice'!$B85</f>
        <v>1</v>
      </c>
      <c r="D85" s="6" t="str">
        <f>IF('03_Base_Indice'!$D85="","",'03_Base_Indice'!$D85)</f>
        <v/>
      </c>
      <c r="E85" s="6" t="str">
        <f>IF('03_Base_Indice'!$E85="","",'03_Base_Indice'!$E85)</f>
        <v/>
      </c>
      <c r="K85" s="20" t="str">
        <f>IF('03_Base_Indice'!$D85="","",IF('03_Base_Indice'!K85&lt;&gt;"","OBS",IF(AND(Aux!B85&lt;&gt;"",Aux!N85&lt;&gt;"",(N(Aux!N85)-N(Aux!B85)-1)&lt;='01_Criterios'!$C$13),"EST_INTERP",IF(AND(Aux!B85&lt;&gt;"",(1-N(Aux!B85))&lt;='01_Criterios'!$C$14),"EST_CARRY_FWD",IF(AND(Aux!N85&lt;&gt;"",(N(Aux!N85)-1)&lt;='01_Criterios'!$C$15),"EST_CARRY_BWD","SEM_DADO")))))</f>
        <v/>
      </c>
      <c r="L85" s="20" t="str">
        <f>IF('03_Base_Indice'!$D85="","",IF('03_Base_Indice'!L85&lt;&gt;"","OBS",IF(AND(Aux!C85&lt;&gt;"",Aux!O85&lt;&gt;"",(N(Aux!O85)-N(Aux!C85)-1)&lt;='01_Criterios'!$C$13),"EST_INTERP",IF(AND(Aux!C85&lt;&gt;"",(2-N(Aux!C85))&lt;='01_Criterios'!$C$14),"EST_CARRY_FWD",IF(AND(Aux!O85&lt;&gt;"",(N(Aux!O85)-2)&lt;='01_Criterios'!$C$15),"EST_CARRY_BWD","SEM_DADO")))))</f>
        <v/>
      </c>
      <c r="M85" s="20" t="str">
        <f>IF('03_Base_Indice'!$D85="","",IF('03_Base_Indice'!M85&lt;&gt;"","OBS",IF(AND(Aux!D85&lt;&gt;"",Aux!P85&lt;&gt;"",(N(Aux!P85)-N(Aux!D85)-1)&lt;='01_Criterios'!$C$13),"EST_INTERP",IF(AND(Aux!D85&lt;&gt;"",(3-N(Aux!D85))&lt;='01_Criterios'!$C$14),"EST_CARRY_FWD",IF(AND(Aux!P85&lt;&gt;"",(N(Aux!P85)-3)&lt;='01_Criterios'!$C$15),"EST_CARRY_BWD","SEM_DADO")))))</f>
        <v/>
      </c>
      <c r="N85" s="20" t="str">
        <f>IF('03_Base_Indice'!$D85="","",IF('03_Base_Indice'!N85&lt;&gt;"","OBS",IF(AND(Aux!E85&lt;&gt;"",Aux!Q85&lt;&gt;"",(N(Aux!Q85)-N(Aux!E85)-1)&lt;='01_Criterios'!$C$13),"EST_INTERP",IF(AND(Aux!E85&lt;&gt;"",(4-N(Aux!E85))&lt;='01_Criterios'!$C$14),"EST_CARRY_FWD",IF(AND(Aux!Q85&lt;&gt;"",(N(Aux!Q85)-4)&lt;='01_Criterios'!$C$15),"EST_CARRY_BWD","SEM_DADO")))))</f>
        <v/>
      </c>
      <c r="O85" s="20" t="str">
        <f>IF('03_Base_Indice'!$D85="","",IF('03_Base_Indice'!O85&lt;&gt;"","OBS",IF(AND(Aux!F85&lt;&gt;"",Aux!R85&lt;&gt;"",(N(Aux!R85)-N(Aux!F85)-1)&lt;='01_Criterios'!$C$13),"EST_INTERP",IF(AND(Aux!F85&lt;&gt;"",(5-N(Aux!F85))&lt;='01_Criterios'!$C$14),"EST_CARRY_FWD",IF(AND(Aux!R85&lt;&gt;"",(N(Aux!R85)-5)&lt;='01_Criterios'!$C$15),"EST_CARRY_BWD","SEM_DADO")))))</f>
        <v/>
      </c>
      <c r="P85" s="20" t="str">
        <f>IF('03_Base_Indice'!$D85="","",IF('03_Base_Indice'!P85&lt;&gt;"","OBS",IF(AND(Aux!G85&lt;&gt;"",Aux!S85&lt;&gt;"",(N(Aux!S85)-N(Aux!G85)-1)&lt;='01_Criterios'!$C$13),"EST_INTERP",IF(AND(Aux!G85&lt;&gt;"",(6-N(Aux!G85))&lt;='01_Criterios'!$C$14),"EST_CARRY_FWD",IF(AND(Aux!S85&lt;&gt;"",(N(Aux!S85)-6)&lt;='01_Criterios'!$C$15),"EST_CARRY_BWD","SEM_DADO")))))</f>
        <v/>
      </c>
      <c r="Q85" s="20" t="str">
        <f>IF('03_Base_Indice'!$D85="","",IF('03_Base_Indice'!Q85&lt;&gt;"","OBS",IF(AND(Aux!H85&lt;&gt;"",Aux!T85&lt;&gt;"",(N(Aux!T85)-N(Aux!H85)-1)&lt;='01_Criterios'!$C$13),"EST_INTERP",IF(AND(Aux!H85&lt;&gt;"",(7-N(Aux!H85))&lt;='01_Criterios'!$C$14),"EST_CARRY_FWD",IF(AND(Aux!T85&lt;&gt;"",(N(Aux!T85)-7)&lt;='01_Criterios'!$C$15),"EST_CARRY_BWD","SEM_DADO")))))</f>
        <v/>
      </c>
      <c r="R85" s="20" t="str">
        <f>IF('03_Base_Indice'!$D85="","",IF('03_Base_Indice'!R85&lt;&gt;"","OBS",IF(AND(Aux!I85&lt;&gt;"",Aux!U85&lt;&gt;"",(N(Aux!U85)-N(Aux!I85)-1)&lt;='01_Criterios'!$C$13),"EST_INTERP",IF(AND(Aux!I85&lt;&gt;"",(8-N(Aux!I85))&lt;='01_Criterios'!$C$14),"EST_CARRY_FWD",IF(AND(Aux!U85&lt;&gt;"",(N(Aux!U85)-8)&lt;='01_Criterios'!$C$15),"EST_CARRY_BWD","SEM_DADO")))))</f>
        <v/>
      </c>
      <c r="S85" s="20" t="str">
        <f>IF('03_Base_Indice'!$D85="","",IF('03_Base_Indice'!S85&lt;&gt;"","OBS",IF(AND(Aux!J85&lt;&gt;"",Aux!V85&lt;&gt;"",(N(Aux!V85)-N(Aux!J85)-1)&lt;='01_Criterios'!$C$13),"EST_INTERP",IF(AND(Aux!J85&lt;&gt;"",(9-N(Aux!J85))&lt;='01_Criterios'!$C$14),"EST_CARRY_FWD",IF(AND(Aux!V85&lt;&gt;"",(N(Aux!V85)-9)&lt;='01_Criterios'!$C$15),"EST_CARRY_BWD","SEM_DADO")))))</f>
        <v/>
      </c>
      <c r="T85" s="20" t="str">
        <f>IF('03_Base_Indice'!$D85="","",IF('03_Base_Indice'!T85&lt;&gt;"","OBS",IF(AND(Aux!K85&lt;&gt;"",Aux!W85&lt;&gt;"",(N(Aux!W85)-N(Aux!K85)-1)&lt;='01_Criterios'!$C$13),"EST_INTERP",IF(AND(Aux!K85&lt;&gt;"",(10-N(Aux!K85))&lt;='01_Criterios'!$C$14),"EST_CARRY_FWD",IF(AND(Aux!W85&lt;&gt;"",(N(Aux!W85)-10)&lt;='01_Criterios'!$C$15),"EST_CARRY_BWD","SEM_DADO")))))</f>
        <v/>
      </c>
      <c r="U85" s="20" t="str">
        <f>IF('03_Base_Indice'!$D85="","",IF('03_Base_Indice'!U85&lt;&gt;"","OBS",IF(AND(Aux!L85&lt;&gt;"",Aux!X85&lt;&gt;"",(N(Aux!X85)-N(Aux!L85)-1)&lt;='01_Criterios'!$C$13),"EST_INTERP",IF(AND(Aux!L85&lt;&gt;"",(11-N(Aux!L85))&lt;='01_Criterios'!$C$14),"EST_CARRY_FWD",IF(AND(Aux!X85&lt;&gt;"",(N(Aux!X85)-11)&lt;='01_Criterios'!$C$15),"EST_CARRY_BWD","SEM_DADO")))))</f>
        <v/>
      </c>
      <c r="V85" s="20" t="str">
        <f>IF($D85="","",COUNTIF(K85:U85,"OBS"))</f>
        <v/>
      </c>
      <c r="W85" s="20" t="str">
        <f>IF($D85="","",COUNTIF(K85:U85,"EST_*"))</f>
        <v/>
      </c>
      <c r="X85" s="20" t="str">
        <f>IF($D85="","",COUNTIF(K85:U85,"SEM_DADO"))</f>
        <v/>
      </c>
      <c r="Y85" s="20" t="str">
        <f>IF($D85="","",(V85+W85)&amp;"/11")</f>
        <v/>
      </c>
    </row>
    <row r="86" spans="1:25">
      <c r="A86" s="6" t="str">
        <f>IF('03_Base_Indice'!$A86="","",'03_Base_Indice'!$A86)</f>
        <v>9. Ambiente, Clima e Resiliência</v>
      </c>
      <c r="B86" s="6">
        <f>'03_Base_Indice'!$B86</f>
        <v>2</v>
      </c>
      <c r="D86" s="6" t="str">
        <f>IF('03_Base_Indice'!$D86="","",'03_Base_Indice'!$D86)</f>
        <v/>
      </c>
      <c r="E86" s="6" t="str">
        <f>IF('03_Base_Indice'!$E86="","",'03_Base_Indice'!$E86)</f>
        <v/>
      </c>
      <c r="K86" s="20" t="str">
        <f>IF('03_Base_Indice'!$D86="","",IF('03_Base_Indice'!K86&lt;&gt;"","OBS",IF(AND(Aux!B86&lt;&gt;"",Aux!N86&lt;&gt;"",(N(Aux!N86)-N(Aux!B86)-1)&lt;='01_Criterios'!$C$13),"EST_INTERP",IF(AND(Aux!B86&lt;&gt;"",(1-N(Aux!B86))&lt;='01_Criterios'!$C$14),"EST_CARRY_FWD",IF(AND(Aux!N86&lt;&gt;"",(N(Aux!N86)-1)&lt;='01_Criterios'!$C$15),"EST_CARRY_BWD","SEM_DADO")))))</f>
        <v/>
      </c>
      <c r="L86" s="20" t="str">
        <f>IF('03_Base_Indice'!$D86="","",IF('03_Base_Indice'!L86&lt;&gt;"","OBS",IF(AND(Aux!C86&lt;&gt;"",Aux!O86&lt;&gt;"",(N(Aux!O86)-N(Aux!C86)-1)&lt;='01_Criterios'!$C$13),"EST_INTERP",IF(AND(Aux!C86&lt;&gt;"",(2-N(Aux!C86))&lt;='01_Criterios'!$C$14),"EST_CARRY_FWD",IF(AND(Aux!O86&lt;&gt;"",(N(Aux!O86)-2)&lt;='01_Criterios'!$C$15),"EST_CARRY_BWD","SEM_DADO")))))</f>
        <v/>
      </c>
      <c r="M86" s="20" t="str">
        <f>IF('03_Base_Indice'!$D86="","",IF('03_Base_Indice'!M86&lt;&gt;"","OBS",IF(AND(Aux!D86&lt;&gt;"",Aux!P86&lt;&gt;"",(N(Aux!P86)-N(Aux!D86)-1)&lt;='01_Criterios'!$C$13),"EST_INTERP",IF(AND(Aux!D86&lt;&gt;"",(3-N(Aux!D86))&lt;='01_Criterios'!$C$14),"EST_CARRY_FWD",IF(AND(Aux!P86&lt;&gt;"",(N(Aux!P86)-3)&lt;='01_Criterios'!$C$15),"EST_CARRY_BWD","SEM_DADO")))))</f>
        <v/>
      </c>
      <c r="N86" s="20" t="str">
        <f>IF('03_Base_Indice'!$D86="","",IF('03_Base_Indice'!N86&lt;&gt;"","OBS",IF(AND(Aux!E86&lt;&gt;"",Aux!Q86&lt;&gt;"",(N(Aux!Q86)-N(Aux!E86)-1)&lt;='01_Criterios'!$C$13),"EST_INTERP",IF(AND(Aux!E86&lt;&gt;"",(4-N(Aux!E86))&lt;='01_Criterios'!$C$14),"EST_CARRY_FWD",IF(AND(Aux!Q86&lt;&gt;"",(N(Aux!Q86)-4)&lt;='01_Criterios'!$C$15),"EST_CARRY_BWD","SEM_DADO")))))</f>
        <v/>
      </c>
      <c r="O86" s="20" t="str">
        <f>IF('03_Base_Indice'!$D86="","",IF('03_Base_Indice'!O86&lt;&gt;"","OBS",IF(AND(Aux!F86&lt;&gt;"",Aux!R86&lt;&gt;"",(N(Aux!R86)-N(Aux!F86)-1)&lt;='01_Criterios'!$C$13),"EST_INTERP",IF(AND(Aux!F86&lt;&gt;"",(5-N(Aux!F86))&lt;='01_Criterios'!$C$14),"EST_CARRY_FWD",IF(AND(Aux!R86&lt;&gt;"",(N(Aux!R86)-5)&lt;='01_Criterios'!$C$15),"EST_CARRY_BWD","SEM_DADO")))))</f>
        <v/>
      </c>
      <c r="P86" s="20" t="str">
        <f>IF('03_Base_Indice'!$D86="","",IF('03_Base_Indice'!P86&lt;&gt;"","OBS",IF(AND(Aux!G86&lt;&gt;"",Aux!S86&lt;&gt;"",(N(Aux!S86)-N(Aux!G86)-1)&lt;='01_Criterios'!$C$13),"EST_INTERP",IF(AND(Aux!G86&lt;&gt;"",(6-N(Aux!G86))&lt;='01_Criterios'!$C$14),"EST_CARRY_FWD",IF(AND(Aux!S86&lt;&gt;"",(N(Aux!S86)-6)&lt;='01_Criterios'!$C$15),"EST_CARRY_BWD","SEM_DADO")))))</f>
        <v/>
      </c>
      <c r="Q86" s="20" t="str">
        <f>IF('03_Base_Indice'!$D86="","",IF('03_Base_Indice'!Q86&lt;&gt;"","OBS",IF(AND(Aux!H86&lt;&gt;"",Aux!T86&lt;&gt;"",(N(Aux!T86)-N(Aux!H86)-1)&lt;='01_Criterios'!$C$13),"EST_INTERP",IF(AND(Aux!H86&lt;&gt;"",(7-N(Aux!H86))&lt;='01_Criterios'!$C$14),"EST_CARRY_FWD",IF(AND(Aux!T86&lt;&gt;"",(N(Aux!T86)-7)&lt;='01_Criterios'!$C$15),"EST_CARRY_BWD","SEM_DADO")))))</f>
        <v/>
      </c>
      <c r="R86" s="20" t="str">
        <f>IF('03_Base_Indice'!$D86="","",IF('03_Base_Indice'!R86&lt;&gt;"","OBS",IF(AND(Aux!I86&lt;&gt;"",Aux!U86&lt;&gt;"",(N(Aux!U86)-N(Aux!I86)-1)&lt;='01_Criterios'!$C$13),"EST_INTERP",IF(AND(Aux!I86&lt;&gt;"",(8-N(Aux!I86))&lt;='01_Criterios'!$C$14),"EST_CARRY_FWD",IF(AND(Aux!U86&lt;&gt;"",(N(Aux!U86)-8)&lt;='01_Criterios'!$C$15),"EST_CARRY_BWD","SEM_DADO")))))</f>
        <v/>
      </c>
      <c r="S86" s="20" t="str">
        <f>IF('03_Base_Indice'!$D86="","",IF('03_Base_Indice'!S86&lt;&gt;"","OBS",IF(AND(Aux!J86&lt;&gt;"",Aux!V86&lt;&gt;"",(N(Aux!V86)-N(Aux!J86)-1)&lt;='01_Criterios'!$C$13),"EST_INTERP",IF(AND(Aux!J86&lt;&gt;"",(9-N(Aux!J86))&lt;='01_Criterios'!$C$14),"EST_CARRY_FWD",IF(AND(Aux!V86&lt;&gt;"",(N(Aux!V86)-9)&lt;='01_Criterios'!$C$15),"EST_CARRY_BWD","SEM_DADO")))))</f>
        <v/>
      </c>
      <c r="T86" s="20" t="str">
        <f>IF('03_Base_Indice'!$D86="","",IF('03_Base_Indice'!T86&lt;&gt;"","OBS",IF(AND(Aux!K86&lt;&gt;"",Aux!W86&lt;&gt;"",(N(Aux!W86)-N(Aux!K86)-1)&lt;='01_Criterios'!$C$13),"EST_INTERP",IF(AND(Aux!K86&lt;&gt;"",(10-N(Aux!K86))&lt;='01_Criterios'!$C$14),"EST_CARRY_FWD",IF(AND(Aux!W86&lt;&gt;"",(N(Aux!W86)-10)&lt;='01_Criterios'!$C$15),"EST_CARRY_BWD","SEM_DADO")))))</f>
        <v/>
      </c>
      <c r="U86" s="20" t="str">
        <f>IF('03_Base_Indice'!$D86="","",IF('03_Base_Indice'!U86&lt;&gt;"","OBS",IF(AND(Aux!L86&lt;&gt;"",Aux!X86&lt;&gt;"",(N(Aux!X86)-N(Aux!L86)-1)&lt;='01_Criterios'!$C$13),"EST_INTERP",IF(AND(Aux!L86&lt;&gt;"",(11-N(Aux!L86))&lt;='01_Criterios'!$C$14),"EST_CARRY_FWD",IF(AND(Aux!X86&lt;&gt;"",(N(Aux!X86)-11)&lt;='01_Criterios'!$C$15),"EST_CARRY_BWD","SEM_DADO")))))</f>
        <v/>
      </c>
      <c r="V86" s="20" t="str">
        <f>IF($D86="","",COUNTIF(K86:U86,"OBS"))</f>
        <v/>
      </c>
      <c r="W86" s="20" t="str">
        <f>IF($D86="","",COUNTIF(K86:U86,"EST_*"))</f>
        <v/>
      </c>
      <c r="X86" s="20" t="str">
        <f>IF($D86="","",COUNTIF(K86:U86,"SEM_DADO"))</f>
        <v/>
      </c>
      <c r="Y86" s="20" t="str">
        <f>IF($D86="","",(V86+W86)&amp;"/11")</f>
        <v/>
      </c>
    </row>
    <row r="87" spans="1:25">
      <c r="A87" s="6" t="str">
        <f>IF('03_Base_Indice'!$A87="","",'03_Base_Indice'!$A87)</f>
        <v>9. Ambiente, Clima e Resiliência</v>
      </c>
      <c r="B87" s="6">
        <f>'03_Base_Indice'!$B87</f>
        <v>3</v>
      </c>
      <c r="D87" s="6" t="str">
        <f>IF('03_Base_Indice'!$D87="","",'03_Base_Indice'!$D87)</f>
        <v/>
      </c>
      <c r="E87" s="6" t="str">
        <f>IF('03_Base_Indice'!$E87="","",'03_Base_Indice'!$E87)</f>
        <v/>
      </c>
      <c r="K87" s="20" t="str">
        <f>IF('03_Base_Indice'!$D87="","",IF('03_Base_Indice'!K87&lt;&gt;"","OBS",IF(AND(Aux!B87&lt;&gt;"",Aux!N87&lt;&gt;"",(N(Aux!N87)-N(Aux!B87)-1)&lt;='01_Criterios'!$C$13),"EST_INTERP",IF(AND(Aux!B87&lt;&gt;"",(1-N(Aux!B87))&lt;='01_Criterios'!$C$14),"EST_CARRY_FWD",IF(AND(Aux!N87&lt;&gt;"",(N(Aux!N87)-1)&lt;='01_Criterios'!$C$15),"EST_CARRY_BWD","SEM_DADO")))))</f>
        <v/>
      </c>
      <c r="L87" s="20" t="str">
        <f>IF('03_Base_Indice'!$D87="","",IF('03_Base_Indice'!L87&lt;&gt;"","OBS",IF(AND(Aux!C87&lt;&gt;"",Aux!O87&lt;&gt;"",(N(Aux!O87)-N(Aux!C87)-1)&lt;='01_Criterios'!$C$13),"EST_INTERP",IF(AND(Aux!C87&lt;&gt;"",(2-N(Aux!C87))&lt;='01_Criterios'!$C$14),"EST_CARRY_FWD",IF(AND(Aux!O87&lt;&gt;"",(N(Aux!O87)-2)&lt;='01_Criterios'!$C$15),"EST_CARRY_BWD","SEM_DADO")))))</f>
        <v/>
      </c>
      <c r="M87" s="20" t="str">
        <f>IF('03_Base_Indice'!$D87="","",IF('03_Base_Indice'!M87&lt;&gt;"","OBS",IF(AND(Aux!D87&lt;&gt;"",Aux!P87&lt;&gt;"",(N(Aux!P87)-N(Aux!D87)-1)&lt;='01_Criterios'!$C$13),"EST_INTERP",IF(AND(Aux!D87&lt;&gt;"",(3-N(Aux!D87))&lt;='01_Criterios'!$C$14),"EST_CARRY_FWD",IF(AND(Aux!P87&lt;&gt;"",(N(Aux!P87)-3)&lt;='01_Criterios'!$C$15),"EST_CARRY_BWD","SEM_DADO")))))</f>
        <v/>
      </c>
      <c r="N87" s="20" t="str">
        <f>IF('03_Base_Indice'!$D87="","",IF('03_Base_Indice'!N87&lt;&gt;"","OBS",IF(AND(Aux!E87&lt;&gt;"",Aux!Q87&lt;&gt;"",(N(Aux!Q87)-N(Aux!E87)-1)&lt;='01_Criterios'!$C$13),"EST_INTERP",IF(AND(Aux!E87&lt;&gt;"",(4-N(Aux!E87))&lt;='01_Criterios'!$C$14),"EST_CARRY_FWD",IF(AND(Aux!Q87&lt;&gt;"",(N(Aux!Q87)-4)&lt;='01_Criterios'!$C$15),"EST_CARRY_BWD","SEM_DADO")))))</f>
        <v/>
      </c>
      <c r="O87" s="20" t="str">
        <f>IF('03_Base_Indice'!$D87="","",IF('03_Base_Indice'!O87&lt;&gt;"","OBS",IF(AND(Aux!F87&lt;&gt;"",Aux!R87&lt;&gt;"",(N(Aux!R87)-N(Aux!F87)-1)&lt;='01_Criterios'!$C$13),"EST_INTERP",IF(AND(Aux!F87&lt;&gt;"",(5-N(Aux!F87))&lt;='01_Criterios'!$C$14),"EST_CARRY_FWD",IF(AND(Aux!R87&lt;&gt;"",(N(Aux!R87)-5)&lt;='01_Criterios'!$C$15),"EST_CARRY_BWD","SEM_DADO")))))</f>
        <v/>
      </c>
      <c r="P87" s="20" t="str">
        <f>IF('03_Base_Indice'!$D87="","",IF('03_Base_Indice'!P87&lt;&gt;"","OBS",IF(AND(Aux!G87&lt;&gt;"",Aux!S87&lt;&gt;"",(N(Aux!S87)-N(Aux!G87)-1)&lt;='01_Criterios'!$C$13),"EST_INTERP",IF(AND(Aux!G87&lt;&gt;"",(6-N(Aux!G87))&lt;='01_Criterios'!$C$14),"EST_CARRY_FWD",IF(AND(Aux!S87&lt;&gt;"",(N(Aux!S87)-6)&lt;='01_Criterios'!$C$15),"EST_CARRY_BWD","SEM_DADO")))))</f>
        <v/>
      </c>
      <c r="Q87" s="20" t="str">
        <f>IF('03_Base_Indice'!$D87="","",IF('03_Base_Indice'!Q87&lt;&gt;"","OBS",IF(AND(Aux!H87&lt;&gt;"",Aux!T87&lt;&gt;"",(N(Aux!T87)-N(Aux!H87)-1)&lt;='01_Criterios'!$C$13),"EST_INTERP",IF(AND(Aux!H87&lt;&gt;"",(7-N(Aux!H87))&lt;='01_Criterios'!$C$14),"EST_CARRY_FWD",IF(AND(Aux!T87&lt;&gt;"",(N(Aux!T87)-7)&lt;='01_Criterios'!$C$15),"EST_CARRY_BWD","SEM_DADO")))))</f>
        <v/>
      </c>
      <c r="R87" s="20" t="str">
        <f>IF('03_Base_Indice'!$D87="","",IF('03_Base_Indice'!R87&lt;&gt;"","OBS",IF(AND(Aux!I87&lt;&gt;"",Aux!U87&lt;&gt;"",(N(Aux!U87)-N(Aux!I87)-1)&lt;='01_Criterios'!$C$13),"EST_INTERP",IF(AND(Aux!I87&lt;&gt;"",(8-N(Aux!I87))&lt;='01_Criterios'!$C$14),"EST_CARRY_FWD",IF(AND(Aux!U87&lt;&gt;"",(N(Aux!U87)-8)&lt;='01_Criterios'!$C$15),"EST_CARRY_BWD","SEM_DADO")))))</f>
        <v/>
      </c>
      <c r="S87" s="20" t="str">
        <f>IF('03_Base_Indice'!$D87="","",IF('03_Base_Indice'!S87&lt;&gt;"","OBS",IF(AND(Aux!J87&lt;&gt;"",Aux!V87&lt;&gt;"",(N(Aux!V87)-N(Aux!J87)-1)&lt;='01_Criterios'!$C$13),"EST_INTERP",IF(AND(Aux!J87&lt;&gt;"",(9-N(Aux!J87))&lt;='01_Criterios'!$C$14),"EST_CARRY_FWD",IF(AND(Aux!V87&lt;&gt;"",(N(Aux!V87)-9)&lt;='01_Criterios'!$C$15),"EST_CARRY_BWD","SEM_DADO")))))</f>
        <v/>
      </c>
      <c r="T87" s="20" t="str">
        <f>IF('03_Base_Indice'!$D87="","",IF('03_Base_Indice'!T87&lt;&gt;"","OBS",IF(AND(Aux!K87&lt;&gt;"",Aux!W87&lt;&gt;"",(N(Aux!W87)-N(Aux!K87)-1)&lt;='01_Criterios'!$C$13),"EST_INTERP",IF(AND(Aux!K87&lt;&gt;"",(10-N(Aux!K87))&lt;='01_Criterios'!$C$14),"EST_CARRY_FWD",IF(AND(Aux!W87&lt;&gt;"",(N(Aux!W87)-10)&lt;='01_Criterios'!$C$15),"EST_CARRY_BWD","SEM_DADO")))))</f>
        <v/>
      </c>
      <c r="U87" s="20" t="str">
        <f>IF('03_Base_Indice'!$D87="","",IF('03_Base_Indice'!U87&lt;&gt;"","OBS",IF(AND(Aux!L87&lt;&gt;"",Aux!X87&lt;&gt;"",(N(Aux!X87)-N(Aux!L87)-1)&lt;='01_Criterios'!$C$13),"EST_INTERP",IF(AND(Aux!L87&lt;&gt;"",(11-N(Aux!L87))&lt;='01_Criterios'!$C$14),"EST_CARRY_FWD",IF(AND(Aux!X87&lt;&gt;"",(N(Aux!X87)-11)&lt;='01_Criterios'!$C$15),"EST_CARRY_BWD","SEM_DADO")))))</f>
        <v/>
      </c>
      <c r="V87" s="20" t="str">
        <f>IF($D87="","",COUNTIF(K87:U87,"OBS"))</f>
        <v/>
      </c>
      <c r="W87" s="20" t="str">
        <f>IF($D87="","",COUNTIF(K87:U87,"EST_*"))</f>
        <v/>
      </c>
      <c r="X87" s="20" t="str">
        <f>IF($D87="","",COUNTIF(K87:U87,"SEM_DADO"))</f>
        <v/>
      </c>
      <c r="Y87" s="20" t="str">
        <f>IF($D87="","",(V87+W87)&amp;"/11")</f>
        <v/>
      </c>
    </row>
    <row r="88" spans="1:25">
      <c r="A88" s="6" t="str">
        <f>IF('03_Base_Indice'!$A88="","",'03_Base_Indice'!$A88)</f>
        <v>9. Ambiente, Clima e Resiliência</v>
      </c>
      <c r="B88" s="6">
        <f>'03_Base_Indice'!$B88</f>
        <v>4</v>
      </c>
      <c r="D88" s="6" t="str">
        <f>IF('03_Base_Indice'!$D88="","",'03_Base_Indice'!$D88)</f>
        <v/>
      </c>
      <c r="E88" s="6" t="str">
        <f>IF('03_Base_Indice'!$E88="","",'03_Base_Indice'!$E88)</f>
        <v/>
      </c>
      <c r="K88" s="20" t="str">
        <f>IF('03_Base_Indice'!$D88="","",IF('03_Base_Indice'!K88&lt;&gt;"","OBS",IF(AND(Aux!B88&lt;&gt;"",Aux!N88&lt;&gt;"",(N(Aux!N88)-N(Aux!B88)-1)&lt;='01_Criterios'!$C$13),"EST_INTERP",IF(AND(Aux!B88&lt;&gt;"",(1-N(Aux!B88))&lt;='01_Criterios'!$C$14),"EST_CARRY_FWD",IF(AND(Aux!N88&lt;&gt;"",(N(Aux!N88)-1)&lt;='01_Criterios'!$C$15),"EST_CARRY_BWD","SEM_DADO")))))</f>
        <v/>
      </c>
      <c r="L88" s="20" t="str">
        <f>IF('03_Base_Indice'!$D88="","",IF('03_Base_Indice'!L88&lt;&gt;"","OBS",IF(AND(Aux!C88&lt;&gt;"",Aux!O88&lt;&gt;"",(N(Aux!O88)-N(Aux!C88)-1)&lt;='01_Criterios'!$C$13),"EST_INTERP",IF(AND(Aux!C88&lt;&gt;"",(2-N(Aux!C88))&lt;='01_Criterios'!$C$14),"EST_CARRY_FWD",IF(AND(Aux!O88&lt;&gt;"",(N(Aux!O88)-2)&lt;='01_Criterios'!$C$15),"EST_CARRY_BWD","SEM_DADO")))))</f>
        <v/>
      </c>
      <c r="M88" s="20" t="str">
        <f>IF('03_Base_Indice'!$D88="","",IF('03_Base_Indice'!M88&lt;&gt;"","OBS",IF(AND(Aux!D88&lt;&gt;"",Aux!P88&lt;&gt;"",(N(Aux!P88)-N(Aux!D88)-1)&lt;='01_Criterios'!$C$13),"EST_INTERP",IF(AND(Aux!D88&lt;&gt;"",(3-N(Aux!D88))&lt;='01_Criterios'!$C$14),"EST_CARRY_FWD",IF(AND(Aux!P88&lt;&gt;"",(N(Aux!P88)-3)&lt;='01_Criterios'!$C$15),"EST_CARRY_BWD","SEM_DADO")))))</f>
        <v/>
      </c>
      <c r="N88" s="20" t="str">
        <f>IF('03_Base_Indice'!$D88="","",IF('03_Base_Indice'!N88&lt;&gt;"","OBS",IF(AND(Aux!E88&lt;&gt;"",Aux!Q88&lt;&gt;"",(N(Aux!Q88)-N(Aux!E88)-1)&lt;='01_Criterios'!$C$13),"EST_INTERP",IF(AND(Aux!E88&lt;&gt;"",(4-N(Aux!E88))&lt;='01_Criterios'!$C$14),"EST_CARRY_FWD",IF(AND(Aux!Q88&lt;&gt;"",(N(Aux!Q88)-4)&lt;='01_Criterios'!$C$15),"EST_CARRY_BWD","SEM_DADO")))))</f>
        <v/>
      </c>
      <c r="O88" s="20" t="str">
        <f>IF('03_Base_Indice'!$D88="","",IF('03_Base_Indice'!O88&lt;&gt;"","OBS",IF(AND(Aux!F88&lt;&gt;"",Aux!R88&lt;&gt;"",(N(Aux!R88)-N(Aux!F88)-1)&lt;='01_Criterios'!$C$13),"EST_INTERP",IF(AND(Aux!F88&lt;&gt;"",(5-N(Aux!F88))&lt;='01_Criterios'!$C$14),"EST_CARRY_FWD",IF(AND(Aux!R88&lt;&gt;"",(N(Aux!R88)-5)&lt;='01_Criterios'!$C$15),"EST_CARRY_BWD","SEM_DADO")))))</f>
        <v/>
      </c>
      <c r="P88" s="20" t="str">
        <f>IF('03_Base_Indice'!$D88="","",IF('03_Base_Indice'!P88&lt;&gt;"","OBS",IF(AND(Aux!G88&lt;&gt;"",Aux!S88&lt;&gt;"",(N(Aux!S88)-N(Aux!G88)-1)&lt;='01_Criterios'!$C$13),"EST_INTERP",IF(AND(Aux!G88&lt;&gt;"",(6-N(Aux!G88))&lt;='01_Criterios'!$C$14),"EST_CARRY_FWD",IF(AND(Aux!S88&lt;&gt;"",(N(Aux!S88)-6)&lt;='01_Criterios'!$C$15),"EST_CARRY_BWD","SEM_DADO")))))</f>
        <v/>
      </c>
      <c r="Q88" s="20" t="str">
        <f>IF('03_Base_Indice'!$D88="","",IF('03_Base_Indice'!Q88&lt;&gt;"","OBS",IF(AND(Aux!H88&lt;&gt;"",Aux!T88&lt;&gt;"",(N(Aux!T88)-N(Aux!H88)-1)&lt;='01_Criterios'!$C$13),"EST_INTERP",IF(AND(Aux!H88&lt;&gt;"",(7-N(Aux!H88))&lt;='01_Criterios'!$C$14),"EST_CARRY_FWD",IF(AND(Aux!T88&lt;&gt;"",(N(Aux!T88)-7)&lt;='01_Criterios'!$C$15),"EST_CARRY_BWD","SEM_DADO")))))</f>
        <v/>
      </c>
      <c r="R88" s="20" t="str">
        <f>IF('03_Base_Indice'!$D88="","",IF('03_Base_Indice'!R88&lt;&gt;"","OBS",IF(AND(Aux!I88&lt;&gt;"",Aux!U88&lt;&gt;"",(N(Aux!U88)-N(Aux!I88)-1)&lt;='01_Criterios'!$C$13),"EST_INTERP",IF(AND(Aux!I88&lt;&gt;"",(8-N(Aux!I88))&lt;='01_Criterios'!$C$14),"EST_CARRY_FWD",IF(AND(Aux!U88&lt;&gt;"",(N(Aux!U88)-8)&lt;='01_Criterios'!$C$15),"EST_CARRY_BWD","SEM_DADO")))))</f>
        <v/>
      </c>
      <c r="S88" s="20" t="str">
        <f>IF('03_Base_Indice'!$D88="","",IF('03_Base_Indice'!S88&lt;&gt;"","OBS",IF(AND(Aux!J88&lt;&gt;"",Aux!V88&lt;&gt;"",(N(Aux!V88)-N(Aux!J88)-1)&lt;='01_Criterios'!$C$13),"EST_INTERP",IF(AND(Aux!J88&lt;&gt;"",(9-N(Aux!J88))&lt;='01_Criterios'!$C$14),"EST_CARRY_FWD",IF(AND(Aux!V88&lt;&gt;"",(N(Aux!V88)-9)&lt;='01_Criterios'!$C$15),"EST_CARRY_BWD","SEM_DADO")))))</f>
        <v/>
      </c>
      <c r="T88" s="20" t="str">
        <f>IF('03_Base_Indice'!$D88="","",IF('03_Base_Indice'!T88&lt;&gt;"","OBS",IF(AND(Aux!K88&lt;&gt;"",Aux!W88&lt;&gt;"",(N(Aux!W88)-N(Aux!K88)-1)&lt;='01_Criterios'!$C$13),"EST_INTERP",IF(AND(Aux!K88&lt;&gt;"",(10-N(Aux!K88))&lt;='01_Criterios'!$C$14),"EST_CARRY_FWD",IF(AND(Aux!W88&lt;&gt;"",(N(Aux!W88)-10)&lt;='01_Criterios'!$C$15),"EST_CARRY_BWD","SEM_DADO")))))</f>
        <v/>
      </c>
      <c r="U88" s="20" t="str">
        <f>IF('03_Base_Indice'!$D88="","",IF('03_Base_Indice'!U88&lt;&gt;"","OBS",IF(AND(Aux!L88&lt;&gt;"",Aux!X88&lt;&gt;"",(N(Aux!X88)-N(Aux!L88)-1)&lt;='01_Criterios'!$C$13),"EST_INTERP",IF(AND(Aux!L88&lt;&gt;"",(11-N(Aux!L88))&lt;='01_Criterios'!$C$14),"EST_CARRY_FWD",IF(AND(Aux!X88&lt;&gt;"",(N(Aux!X88)-11)&lt;='01_Criterios'!$C$15),"EST_CARRY_BWD","SEM_DADO")))))</f>
        <v/>
      </c>
      <c r="V88" s="20" t="str">
        <f>IF($D88="","",COUNTIF(K88:U88,"OBS"))</f>
        <v/>
      </c>
      <c r="W88" s="20" t="str">
        <f>IF($D88="","",COUNTIF(K88:U88,"EST_*"))</f>
        <v/>
      </c>
      <c r="X88" s="20" t="str">
        <f>IF($D88="","",COUNTIF(K88:U88,"SEM_DADO"))</f>
        <v/>
      </c>
      <c r="Y88" s="20" t="str">
        <f>IF($D88="","",(V88+W88)&amp;"/11")</f>
        <v/>
      </c>
    </row>
    <row r="89" spans="1:25">
      <c r="A89" s="6" t="str">
        <f>IF('03_Base_Indice'!$A89="","",'03_Base_Indice'!$A89)</f>
        <v>9. Ambiente, Clima e Resiliência</v>
      </c>
      <c r="B89" s="6">
        <f>'03_Base_Indice'!$B89</f>
        <v>5</v>
      </c>
      <c r="D89" s="6" t="str">
        <f>IF('03_Base_Indice'!$D89="","",'03_Base_Indice'!$D89)</f>
        <v/>
      </c>
      <c r="E89" s="6" t="str">
        <f>IF('03_Base_Indice'!$E89="","",'03_Base_Indice'!$E89)</f>
        <v/>
      </c>
      <c r="K89" s="20" t="str">
        <f>IF('03_Base_Indice'!$D89="","",IF('03_Base_Indice'!K89&lt;&gt;"","OBS",IF(AND(Aux!B89&lt;&gt;"",Aux!N89&lt;&gt;"",(N(Aux!N89)-N(Aux!B89)-1)&lt;='01_Criterios'!$C$13),"EST_INTERP",IF(AND(Aux!B89&lt;&gt;"",(1-N(Aux!B89))&lt;='01_Criterios'!$C$14),"EST_CARRY_FWD",IF(AND(Aux!N89&lt;&gt;"",(N(Aux!N89)-1)&lt;='01_Criterios'!$C$15),"EST_CARRY_BWD","SEM_DADO")))))</f>
        <v/>
      </c>
      <c r="L89" s="20" t="str">
        <f>IF('03_Base_Indice'!$D89="","",IF('03_Base_Indice'!L89&lt;&gt;"","OBS",IF(AND(Aux!C89&lt;&gt;"",Aux!O89&lt;&gt;"",(N(Aux!O89)-N(Aux!C89)-1)&lt;='01_Criterios'!$C$13),"EST_INTERP",IF(AND(Aux!C89&lt;&gt;"",(2-N(Aux!C89))&lt;='01_Criterios'!$C$14),"EST_CARRY_FWD",IF(AND(Aux!O89&lt;&gt;"",(N(Aux!O89)-2)&lt;='01_Criterios'!$C$15),"EST_CARRY_BWD","SEM_DADO")))))</f>
        <v/>
      </c>
      <c r="M89" s="20" t="str">
        <f>IF('03_Base_Indice'!$D89="","",IF('03_Base_Indice'!M89&lt;&gt;"","OBS",IF(AND(Aux!D89&lt;&gt;"",Aux!P89&lt;&gt;"",(N(Aux!P89)-N(Aux!D89)-1)&lt;='01_Criterios'!$C$13),"EST_INTERP",IF(AND(Aux!D89&lt;&gt;"",(3-N(Aux!D89))&lt;='01_Criterios'!$C$14),"EST_CARRY_FWD",IF(AND(Aux!P89&lt;&gt;"",(N(Aux!P89)-3)&lt;='01_Criterios'!$C$15),"EST_CARRY_BWD","SEM_DADO")))))</f>
        <v/>
      </c>
      <c r="N89" s="20" t="str">
        <f>IF('03_Base_Indice'!$D89="","",IF('03_Base_Indice'!N89&lt;&gt;"","OBS",IF(AND(Aux!E89&lt;&gt;"",Aux!Q89&lt;&gt;"",(N(Aux!Q89)-N(Aux!E89)-1)&lt;='01_Criterios'!$C$13),"EST_INTERP",IF(AND(Aux!E89&lt;&gt;"",(4-N(Aux!E89))&lt;='01_Criterios'!$C$14),"EST_CARRY_FWD",IF(AND(Aux!Q89&lt;&gt;"",(N(Aux!Q89)-4)&lt;='01_Criterios'!$C$15),"EST_CARRY_BWD","SEM_DADO")))))</f>
        <v/>
      </c>
      <c r="O89" s="20" t="str">
        <f>IF('03_Base_Indice'!$D89="","",IF('03_Base_Indice'!O89&lt;&gt;"","OBS",IF(AND(Aux!F89&lt;&gt;"",Aux!R89&lt;&gt;"",(N(Aux!R89)-N(Aux!F89)-1)&lt;='01_Criterios'!$C$13),"EST_INTERP",IF(AND(Aux!F89&lt;&gt;"",(5-N(Aux!F89))&lt;='01_Criterios'!$C$14),"EST_CARRY_FWD",IF(AND(Aux!R89&lt;&gt;"",(N(Aux!R89)-5)&lt;='01_Criterios'!$C$15),"EST_CARRY_BWD","SEM_DADO")))))</f>
        <v/>
      </c>
      <c r="P89" s="20" t="str">
        <f>IF('03_Base_Indice'!$D89="","",IF('03_Base_Indice'!P89&lt;&gt;"","OBS",IF(AND(Aux!G89&lt;&gt;"",Aux!S89&lt;&gt;"",(N(Aux!S89)-N(Aux!G89)-1)&lt;='01_Criterios'!$C$13),"EST_INTERP",IF(AND(Aux!G89&lt;&gt;"",(6-N(Aux!G89))&lt;='01_Criterios'!$C$14),"EST_CARRY_FWD",IF(AND(Aux!S89&lt;&gt;"",(N(Aux!S89)-6)&lt;='01_Criterios'!$C$15),"EST_CARRY_BWD","SEM_DADO")))))</f>
        <v/>
      </c>
      <c r="Q89" s="20" t="str">
        <f>IF('03_Base_Indice'!$D89="","",IF('03_Base_Indice'!Q89&lt;&gt;"","OBS",IF(AND(Aux!H89&lt;&gt;"",Aux!T89&lt;&gt;"",(N(Aux!T89)-N(Aux!H89)-1)&lt;='01_Criterios'!$C$13),"EST_INTERP",IF(AND(Aux!H89&lt;&gt;"",(7-N(Aux!H89))&lt;='01_Criterios'!$C$14),"EST_CARRY_FWD",IF(AND(Aux!T89&lt;&gt;"",(N(Aux!T89)-7)&lt;='01_Criterios'!$C$15),"EST_CARRY_BWD","SEM_DADO")))))</f>
        <v/>
      </c>
      <c r="R89" s="20" t="str">
        <f>IF('03_Base_Indice'!$D89="","",IF('03_Base_Indice'!R89&lt;&gt;"","OBS",IF(AND(Aux!I89&lt;&gt;"",Aux!U89&lt;&gt;"",(N(Aux!U89)-N(Aux!I89)-1)&lt;='01_Criterios'!$C$13),"EST_INTERP",IF(AND(Aux!I89&lt;&gt;"",(8-N(Aux!I89))&lt;='01_Criterios'!$C$14),"EST_CARRY_FWD",IF(AND(Aux!U89&lt;&gt;"",(N(Aux!U89)-8)&lt;='01_Criterios'!$C$15),"EST_CARRY_BWD","SEM_DADO")))))</f>
        <v/>
      </c>
      <c r="S89" s="20" t="str">
        <f>IF('03_Base_Indice'!$D89="","",IF('03_Base_Indice'!S89&lt;&gt;"","OBS",IF(AND(Aux!J89&lt;&gt;"",Aux!V89&lt;&gt;"",(N(Aux!V89)-N(Aux!J89)-1)&lt;='01_Criterios'!$C$13),"EST_INTERP",IF(AND(Aux!J89&lt;&gt;"",(9-N(Aux!J89))&lt;='01_Criterios'!$C$14),"EST_CARRY_FWD",IF(AND(Aux!V89&lt;&gt;"",(N(Aux!V89)-9)&lt;='01_Criterios'!$C$15),"EST_CARRY_BWD","SEM_DADO")))))</f>
        <v/>
      </c>
      <c r="T89" s="20" t="str">
        <f>IF('03_Base_Indice'!$D89="","",IF('03_Base_Indice'!T89&lt;&gt;"","OBS",IF(AND(Aux!K89&lt;&gt;"",Aux!W89&lt;&gt;"",(N(Aux!W89)-N(Aux!K89)-1)&lt;='01_Criterios'!$C$13),"EST_INTERP",IF(AND(Aux!K89&lt;&gt;"",(10-N(Aux!K89))&lt;='01_Criterios'!$C$14),"EST_CARRY_FWD",IF(AND(Aux!W89&lt;&gt;"",(N(Aux!W89)-10)&lt;='01_Criterios'!$C$15),"EST_CARRY_BWD","SEM_DADO")))))</f>
        <v/>
      </c>
      <c r="U89" s="20" t="str">
        <f>IF('03_Base_Indice'!$D89="","",IF('03_Base_Indice'!U89&lt;&gt;"","OBS",IF(AND(Aux!L89&lt;&gt;"",Aux!X89&lt;&gt;"",(N(Aux!X89)-N(Aux!L89)-1)&lt;='01_Criterios'!$C$13),"EST_INTERP",IF(AND(Aux!L89&lt;&gt;"",(11-N(Aux!L89))&lt;='01_Criterios'!$C$14),"EST_CARRY_FWD",IF(AND(Aux!X89&lt;&gt;"",(N(Aux!X89)-11)&lt;='01_Criterios'!$C$15),"EST_CARRY_BWD","SEM_DADO")))))</f>
        <v/>
      </c>
      <c r="V89" s="20" t="str">
        <f>IF($D89="","",COUNTIF(K89:U89,"OBS"))</f>
        <v/>
      </c>
      <c r="W89" s="20" t="str">
        <f>IF($D89="","",COUNTIF(K89:U89,"EST_*"))</f>
        <v/>
      </c>
      <c r="X89" s="20" t="str">
        <f>IF($D89="","",COUNTIF(K89:U89,"SEM_DADO"))</f>
        <v/>
      </c>
      <c r="Y89" s="20" t="str">
        <f>IF($D89="","",(V89+W89)&amp;"/11")</f>
        <v/>
      </c>
    </row>
    <row r="90" spans="1:25">
      <c r="A90" s="6" t="str">
        <f>IF('03_Base_Indice'!$A90="","",'03_Base_Indice'!$A90)</f>
        <v>9. Ambiente, Clima e Resiliência</v>
      </c>
      <c r="B90" s="6">
        <f>'03_Base_Indice'!$B90</f>
        <v>6</v>
      </c>
      <c r="D90" s="6" t="str">
        <f>IF('03_Base_Indice'!$D90="","",'03_Base_Indice'!$D90)</f>
        <v/>
      </c>
      <c r="E90" s="6" t="str">
        <f>IF('03_Base_Indice'!$E90="","",'03_Base_Indice'!$E90)</f>
        <v/>
      </c>
      <c r="K90" s="20" t="str">
        <f>IF('03_Base_Indice'!$D90="","",IF('03_Base_Indice'!K90&lt;&gt;"","OBS",IF(AND(Aux!B90&lt;&gt;"",Aux!N90&lt;&gt;"",(N(Aux!N90)-N(Aux!B90)-1)&lt;='01_Criterios'!$C$13),"EST_INTERP",IF(AND(Aux!B90&lt;&gt;"",(1-N(Aux!B90))&lt;='01_Criterios'!$C$14),"EST_CARRY_FWD",IF(AND(Aux!N90&lt;&gt;"",(N(Aux!N90)-1)&lt;='01_Criterios'!$C$15),"EST_CARRY_BWD","SEM_DADO")))))</f>
        <v/>
      </c>
      <c r="L90" s="20" t="str">
        <f>IF('03_Base_Indice'!$D90="","",IF('03_Base_Indice'!L90&lt;&gt;"","OBS",IF(AND(Aux!C90&lt;&gt;"",Aux!O90&lt;&gt;"",(N(Aux!O90)-N(Aux!C90)-1)&lt;='01_Criterios'!$C$13),"EST_INTERP",IF(AND(Aux!C90&lt;&gt;"",(2-N(Aux!C90))&lt;='01_Criterios'!$C$14),"EST_CARRY_FWD",IF(AND(Aux!O90&lt;&gt;"",(N(Aux!O90)-2)&lt;='01_Criterios'!$C$15),"EST_CARRY_BWD","SEM_DADO")))))</f>
        <v/>
      </c>
      <c r="M90" s="20" t="str">
        <f>IF('03_Base_Indice'!$D90="","",IF('03_Base_Indice'!M90&lt;&gt;"","OBS",IF(AND(Aux!D90&lt;&gt;"",Aux!P90&lt;&gt;"",(N(Aux!P90)-N(Aux!D90)-1)&lt;='01_Criterios'!$C$13),"EST_INTERP",IF(AND(Aux!D90&lt;&gt;"",(3-N(Aux!D90))&lt;='01_Criterios'!$C$14),"EST_CARRY_FWD",IF(AND(Aux!P90&lt;&gt;"",(N(Aux!P90)-3)&lt;='01_Criterios'!$C$15),"EST_CARRY_BWD","SEM_DADO")))))</f>
        <v/>
      </c>
      <c r="N90" s="20" t="str">
        <f>IF('03_Base_Indice'!$D90="","",IF('03_Base_Indice'!N90&lt;&gt;"","OBS",IF(AND(Aux!E90&lt;&gt;"",Aux!Q90&lt;&gt;"",(N(Aux!Q90)-N(Aux!E90)-1)&lt;='01_Criterios'!$C$13),"EST_INTERP",IF(AND(Aux!E90&lt;&gt;"",(4-N(Aux!E90))&lt;='01_Criterios'!$C$14),"EST_CARRY_FWD",IF(AND(Aux!Q90&lt;&gt;"",(N(Aux!Q90)-4)&lt;='01_Criterios'!$C$15),"EST_CARRY_BWD","SEM_DADO")))))</f>
        <v/>
      </c>
      <c r="O90" s="20" t="str">
        <f>IF('03_Base_Indice'!$D90="","",IF('03_Base_Indice'!O90&lt;&gt;"","OBS",IF(AND(Aux!F90&lt;&gt;"",Aux!R90&lt;&gt;"",(N(Aux!R90)-N(Aux!F90)-1)&lt;='01_Criterios'!$C$13),"EST_INTERP",IF(AND(Aux!F90&lt;&gt;"",(5-N(Aux!F90))&lt;='01_Criterios'!$C$14),"EST_CARRY_FWD",IF(AND(Aux!R90&lt;&gt;"",(N(Aux!R90)-5)&lt;='01_Criterios'!$C$15),"EST_CARRY_BWD","SEM_DADO")))))</f>
        <v/>
      </c>
      <c r="P90" s="20" t="str">
        <f>IF('03_Base_Indice'!$D90="","",IF('03_Base_Indice'!P90&lt;&gt;"","OBS",IF(AND(Aux!G90&lt;&gt;"",Aux!S90&lt;&gt;"",(N(Aux!S90)-N(Aux!G90)-1)&lt;='01_Criterios'!$C$13),"EST_INTERP",IF(AND(Aux!G90&lt;&gt;"",(6-N(Aux!G90))&lt;='01_Criterios'!$C$14),"EST_CARRY_FWD",IF(AND(Aux!S90&lt;&gt;"",(N(Aux!S90)-6)&lt;='01_Criterios'!$C$15),"EST_CARRY_BWD","SEM_DADO")))))</f>
        <v/>
      </c>
      <c r="Q90" s="20" t="str">
        <f>IF('03_Base_Indice'!$D90="","",IF('03_Base_Indice'!Q90&lt;&gt;"","OBS",IF(AND(Aux!H90&lt;&gt;"",Aux!T90&lt;&gt;"",(N(Aux!T90)-N(Aux!H90)-1)&lt;='01_Criterios'!$C$13),"EST_INTERP",IF(AND(Aux!H90&lt;&gt;"",(7-N(Aux!H90))&lt;='01_Criterios'!$C$14),"EST_CARRY_FWD",IF(AND(Aux!T90&lt;&gt;"",(N(Aux!T90)-7)&lt;='01_Criterios'!$C$15),"EST_CARRY_BWD","SEM_DADO")))))</f>
        <v/>
      </c>
      <c r="R90" s="20" t="str">
        <f>IF('03_Base_Indice'!$D90="","",IF('03_Base_Indice'!R90&lt;&gt;"","OBS",IF(AND(Aux!I90&lt;&gt;"",Aux!U90&lt;&gt;"",(N(Aux!U90)-N(Aux!I90)-1)&lt;='01_Criterios'!$C$13),"EST_INTERP",IF(AND(Aux!I90&lt;&gt;"",(8-N(Aux!I90))&lt;='01_Criterios'!$C$14),"EST_CARRY_FWD",IF(AND(Aux!U90&lt;&gt;"",(N(Aux!U90)-8)&lt;='01_Criterios'!$C$15),"EST_CARRY_BWD","SEM_DADO")))))</f>
        <v/>
      </c>
      <c r="S90" s="20" t="str">
        <f>IF('03_Base_Indice'!$D90="","",IF('03_Base_Indice'!S90&lt;&gt;"","OBS",IF(AND(Aux!J90&lt;&gt;"",Aux!V90&lt;&gt;"",(N(Aux!V90)-N(Aux!J90)-1)&lt;='01_Criterios'!$C$13),"EST_INTERP",IF(AND(Aux!J90&lt;&gt;"",(9-N(Aux!J90))&lt;='01_Criterios'!$C$14),"EST_CARRY_FWD",IF(AND(Aux!V90&lt;&gt;"",(N(Aux!V90)-9)&lt;='01_Criterios'!$C$15),"EST_CARRY_BWD","SEM_DADO")))))</f>
        <v/>
      </c>
      <c r="T90" s="20" t="str">
        <f>IF('03_Base_Indice'!$D90="","",IF('03_Base_Indice'!T90&lt;&gt;"","OBS",IF(AND(Aux!K90&lt;&gt;"",Aux!W90&lt;&gt;"",(N(Aux!W90)-N(Aux!K90)-1)&lt;='01_Criterios'!$C$13),"EST_INTERP",IF(AND(Aux!K90&lt;&gt;"",(10-N(Aux!K90))&lt;='01_Criterios'!$C$14),"EST_CARRY_FWD",IF(AND(Aux!W90&lt;&gt;"",(N(Aux!W90)-10)&lt;='01_Criterios'!$C$15),"EST_CARRY_BWD","SEM_DADO")))))</f>
        <v/>
      </c>
      <c r="U90" s="20" t="str">
        <f>IF('03_Base_Indice'!$D90="","",IF('03_Base_Indice'!U90&lt;&gt;"","OBS",IF(AND(Aux!L90&lt;&gt;"",Aux!X90&lt;&gt;"",(N(Aux!X90)-N(Aux!L90)-1)&lt;='01_Criterios'!$C$13),"EST_INTERP",IF(AND(Aux!L90&lt;&gt;"",(11-N(Aux!L90))&lt;='01_Criterios'!$C$14),"EST_CARRY_FWD",IF(AND(Aux!X90&lt;&gt;"",(N(Aux!X90)-11)&lt;='01_Criterios'!$C$15),"EST_CARRY_BWD","SEM_DADO")))))</f>
        <v/>
      </c>
      <c r="V90" s="20" t="str">
        <f>IF($D90="","",COUNTIF(K90:U90,"OBS"))</f>
        <v/>
      </c>
      <c r="W90" s="20" t="str">
        <f>IF($D90="","",COUNTIF(K90:U90,"EST_*"))</f>
        <v/>
      </c>
      <c r="X90" s="20" t="str">
        <f>IF($D90="","",COUNTIF(K90:U90,"SEM_DADO"))</f>
        <v/>
      </c>
      <c r="Y90" s="20" t="str">
        <f>IF($D90="","",(V90+W90)&amp;"/11")</f>
        <v/>
      </c>
    </row>
    <row r="91" spans="1:25">
      <c r="A91" s="6" t="str">
        <f>IF('03_Base_Indice'!$A91="","",'03_Base_Indice'!$A91)</f>
        <v>9. Ambiente, Clima e Resiliência</v>
      </c>
      <c r="B91" s="6">
        <f>'03_Base_Indice'!$B91</f>
        <v>7</v>
      </c>
      <c r="D91" s="6" t="str">
        <f>IF('03_Base_Indice'!$D91="","",'03_Base_Indice'!$D91)</f>
        <v/>
      </c>
      <c r="E91" s="6" t="str">
        <f>IF('03_Base_Indice'!$E91="","",'03_Base_Indice'!$E91)</f>
        <v/>
      </c>
      <c r="K91" s="20" t="str">
        <f>IF('03_Base_Indice'!$D91="","",IF('03_Base_Indice'!K91&lt;&gt;"","OBS",IF(AND(Aux!B91&lt;&gt;"",Aux!N91&lt;&gt;"",(N(Aux!N91)-N(Aux!B91)-1)&lt;='01_Criterios'!$C$13),"EST_INTERP",IF(AND(Aux!B91&lt;&gt;"",(1-N(Aux!B91))&lt;='01_Criterios'!$C$14),"EST_CARRY_FWD",IF(AND(Aux!N91&lt;&gt;"",(N(Aux!N91)-1)&lt;='01_Criterios'!$C$15),"EST_CARRY_BWD","SEM_DADO")))))</f>
        <v/>
      </c>
      <c r="L91" s="20" t="str">
        <f>IF('03_Base_Indice'!$D91="","",IF('03_Base_Indice'!L91&lt;&gt;"","OBS",IF(AND(Aux!C91&lt;&gt;"",Aux!O91&lt;&gt;"",(N(Aux!O91)-N(Aux!C91)-1)&lt;='01_Criterios'!$C$13),"EST_INTERP",IF(AND(Aux!C91&lt;&gt;"",(2-N(Aux!C91))&lt;='01_Criterios'!$C$14),"EST_CARRY_FWD",IF(AND(Aux!O91&lt;&gt;"",(N(Aux!O91)-2)&lt;='01_Criterios'!$C$15),"EST_CARRY_BWD","SEM_DADO")))))</f>
        <v/>
      </c>
      <c r="M91" s="20" t="str">
        <f>IF('03_Base_Indice'!$D91="","",IF('03_Base_Indice'!M91&lt;&gt;"","OBS",IF(AND(Aux!D91&lt;&gt;"",Aux!P91&lt;&gt;"",(N(Aux!P91)-N(Aux!D91)-1)&lt;='01_Criterios'!$C$13),"EST_INTERP",IF(AND(Aux!D91&lt;&gt;"",(3-N(Aux!D91))&lt;='01_Criterios'!$C$14),"EST_CARRY_FWD",IF(AND(Aux!P91&lt;&gt;"",(N(Aux!P91)-3)&lt;='01_Criterios'!$C$15),"EST_CARRY_BWD","SEM_DADO")))))</f>
        <v/>
      </c>
      <c r="N91" s="20" t="str">
        <f>IF('03_Base_Indice'!$D91="","",IF('03_Base_Indice'!N91&lt;&gt;"","OBS",IF(AND(Aux!E91&lt;&gt;"",Aux!Q91&lt;&gt;"",(N(Aux!Q91)-N(Aux!E91)-1)&lt;='01_Criterios'!$C$13),"EST_INTERP",IF(AND(Aux!E91&lt;&gt;"",(4-N(Aux!E91))&lt;='01_Criterios'!$C$14),"EST_CARRY_FWD",IF(AND(Aux!Q91&lt;&gt;"",(N(Aux!Q91)-4)&lt;='01_Criterios'!$C$15),"EST_CARRY_BWD","SEM_DADO")))))</f>
        <v/>
      </c>
      <c r="O91" s="20" t="str">
        <f>IF('03_Base_Indice'!$D91="","",IF('03_Base_Indice'!O91&lt;&gt;"","OBS",IF(AND(Aux!F91&lt;&gt;"",Aux!R91&lt;&gt;"",(N(Aux!R91)-N(Aux!F91)-1)&lt;='01_Criterios'!$C$13),"EST_INTERP",IF(AND(Aux!F91&lt;&gt;"",(5-N(Aux!F91))&lt;='01_Criterios'!$C$14),"EST_CARRY_FWD",IF(AND(Aux!R91&lt;&gt;"",(N(Aux!R91)-5)&lt;='01_Criterios'!$C$15),"EST_CARRY_BWD","SEM_DADO")))))</f>
        <v/>
      </c>
      <c r="P91" s="20" t="str">
        <f>IF('03_Base_Indice'!$D91="","",IF('03_Base_Indice'!P91&lt;&gt;"","OBS",IF(AND(Aux!G91&lt;&gt;"",Aux!S91&lt;&gt;"",(N(Aux!S91)-N(Aux!G91)-1)&lt;='01_Criterios'!$C$13),"EST_INTERP",IF(AND(Aux!G91&lt;&gt;"",(6-N(Aux!G91))&lt;='01_Criterios'!$C$14),"EST_CARRY_FWD",IF(AND(Aux!S91&lt;&gt;"",(N(Aux!S91)-6)&lt;='01_Criterios'!$C$15),"EST_CARRY_BWD","SEM_DADO")))))</f>
        <v/>
      </c>
      <c r="Q91" s="20" t="str">
        <f>IF('03_Base_Indice'!$D91="","",IF('03_Base_Indice'!Q91&lt;&gt;"","OBS",IF(AND(Aux!H91&lt;&gt;"",Aux!T91&lt;&gt;"",(N(Aux!T91)-N(Aux!H91)-1)&lt;='01_Criterios'!$C$13),"EST_INTERP",IF(AND(Aux!H91&lt;&gt;"",(7-N(Aux!H91))&lt;='01_Criterios'!$C$14),"EST_CARRY_FWD",IF(AND(Aux!T91&lt;&gt;"",(N(Aux!T91)-7)&lt;='01_Criterios'!$C$15),"EST_CARRY_BWD","SEM_DADO")))))</f>
        <v/>
      </c>
      <c r="R91" s="20" t="str">
        <f>IF('03_Base_Indice'!$D91="","",IF('03_Base_Indice'!R91&lt;&gt;"","OBS",IF(AND(Aux!I91&lt;&gt;"",Aux!U91&lt;&gt;"",(N(Aux!U91)-N(Aux!I91)-1)&lt;='01_Criterios'!$C$13),"EST_INTERP",IF(AND(Aux!I91&lt;&gt;"",(8-N(Aux!I91))&lt;='01_Criterios'!$C$14),"EST_CARRY_FWD",IF(AND(Aux!U91&lt;&gt;"",(N(Aux!U91)-8)&lt;='01_Criterios'!$C$15),"EST_CARRY_BWD","SEM_DADO")))))</f>
        <v/>
      </c>
      <c r="S91" s="20" t="str">
        <f>IF('03_Base_Indice'!$D91="","",IF('03_Base_Indice'!S91&lt;&gt;"","OBS",IF(AND(Aux!J91&lt;&gt;"",Aux!V91&lt;&gt;"",(N(Aux!V91)-N(Aux!J91)-1)&lt;='01_Criterios'!$C$13),"EST_INTERP",IF(AND(Aux!J91&lt;&gt;"",(9-N(Aux!J91))&lt;='01_Criterios'!$C$14),"EST_CARRY_FWD",IF(AND(Aux!V91&lt;&gt;"",(N(Aux!V91)-9)&lt;='01_Criterios'!$C$15),"EST_CARRY_BWD","SEM_DADO")))))</f>
        <v/>
      </c>
      <c r="T91" s="20" t="str">
        <f>IF('03_Base_Indice'!$D91="","",IF('03_Base_Indice'!T91&lt;&gt;"","OBS",IF(AND(Aux!K91&lt;&gt;"",Aux!W91&lt;&gt;"",(N(Aux!W91)-N(Aux!K91)-1)&lt;='01_Criterios'!$C$13),"EST_INTERP",IF(AND(Aux!K91&lt;&gt;"",(10-N(Aux!K91))&lt;='01_Criterios'!$C$14),"EST_CARRY_FWD",IF(AND(Aux!W91&lt;&gt;"",(N(Aux!W91)-10)&lt;='01_Criterios'!$C$15),"EST_CARRY_BWD","SEM_DADO")))))</f>
        <v/>
      </c>
      <c r="U91" s="20" t="str">
        <f>IF('03_Base_Indice'!$D91="","",IF('03_Base_Indice'!U91&lt;&gt;"","OBS",IF(AND(Aux!L91&lt;&gt;"",Aux!X91&lt;&gt;"",(N(Aux!X91)-N(Aux!L91)-1)&lt;='01_Criterios'!$C$13),"EST_INTERP",IF(AND(Aux!L91&lt;&gt;"",(11-N(Aux!L91))&lt;='01_Criterios'!$C$14),"EST_CARRY_FWD",IF(AND(Aux!X91&lt;&gt;"",(N(Aux!X91)-11)&lt;='01_Criterios'!$C$15),"EST_CARRY_BWD","SEM_DADO")))))</f>
        <v/>
      </c>
      <c r="V91" s="20" t="str">
        <f>IF($D91="","",COUNTIF(K91:U91,"OBS"))</f>
        <v/>
      </c>
      <c r="W91" s="20" t="str">
        <f>IF($D91="","",COUNTIF(K91:U91,"EST_*"))</f>
        <v/>
      </c>
      <c r="X91" s="20" t="str">
        <f>IF($D91="","",COUNTIF(K91:U91,"SEM_DADO"))</f>
        <v/>
      </c>
      <c r="Y91" s="20" t="str">
        <f>IF($D91="","",(V91+W91)&amp;"/11")</f>
        <v/>
      </c>
    </row>
    <row r="92" spans="1:25">
      <c r="A92" s="6" t="str">
        <f>IF('03_Base_Indice'!$A92="","",'03_Base_Indice'!$A92)</f>
        <v>9. Ambiente, Clima e Resiliência</v>
      </c>
      <c r="B92" s="6">
        <f>'03_Base_Indice'!$B92</f>
        <v>8</v>
      </c>
      <c r="D92" s="6" t="str">
        <f>IF('03_Base_Indice'!$D92="","",'03_Base_Indice'!$D92)</f>
        <v/>
      </c>
      <c r="E92" s="6" t="str">
        <f>IF('03_Base_Indice'!$E92="","",'03_Base_Indice'!$E92)</f>
        <v/>
      </c>
      <c r="K92" s="20" t="str">
        <f>IF('03_Base_Indice'!$D92="","",IF('03_Base_Indice'!K92&lt;&gt;"","OBS",IF(AND(Aux!B92&lt;&gt;"",Aux!N92&lt;&gt;"",(N(Aux!N92)-N(Aux!B92)-1)&lt;='01_Criterios'!$C$13),"EST_INTERP",IF(AND(Aux!B92&lt;&gt;"",(1-N(Aux!B92))&lt;='01_Criterios'!$C$14),"EST_CARRY_FWD",IF(AND(Aux!N92&lt;&gt;"",(N(Aux!N92)-1)&lt;='01_Criterios'!$C$15),"EST_CARRY_BWD","SEM_DADO")))))</f>
        <v/>
      </c>
      <c r="L92" s="20" t="str">
        <f>IF('03_Base_Indice'!$D92="","",IF('03_Base_Indice'!L92&lt;&gt;"","OBS",IF(AND(Aux!C92&lt;&gt;"",Aux!O92&lt;&gt;"",(N(Aux!O92)-N(Aux!C92)-1)&lt;='01_Criterios'!$C$13),"EST_INTERP",IF(AND(Aux!C92&lt;&gt;"",(2-N(Aux!C92))&lt;='01_Criterios'!$C$14),"EST_CARRY_FWD",IF(AND(Aux!O92&lt;&gt;"",(N(Aux!O92)-2)&lt;='01_Criterios'!$C$15),"EST_CARRY_BWD","SEM_DADO")))))</f>
        <v/>
      </c>
      <c r="M92" s="20" t="str">
        <f>IF('03_Base_Indice'!$D92="","",IF('03_Base_Indice'!M92&lt;&gt;"","OBS",IF(AND(Aux!D92&lt;&gt;"",Aux!P92&lt;&gt;"",(N(Aux!P92)-N(Aux!D92)-1)&lt;='01_Criterios'!$C$13),"EST_INTERP",IF(AND(Aux!D92&lt;&gt;"",(3-N(Aux!D92))&lt;='01_Criterios'!$C$14),"EST_CARRY_FWD",IF(AND(Aux!P92&lt;&gt;"",(N(Aux!P92)-3)&lt;='01_Criterios'!$C$15),"EST_CARRY_BWD","SEM_DADO")))))</f>
        <v/>
      </c>
      <c r="N92" s="20" t="str">
        <f>IF('03_Base_Indice'!$D92="","",IF('03_Base_Indice'!N92&lt;&gt;"","OBS",IF(AND(Aux!E92&lt;&gt;"",Aux!Q92&lt;&gt;"",(N(Aux!Q92)-N(Aux!E92)-1)&lt;='01_Criterios'!$C$13),"EST_INTERP",IF(AND(Aux!E92&lt;&gt;"",(4-N(Aux!E92))&lt;='01_Criterios'!$C$14),"EST_CARRY_FWD",IF(AND(Aux!Q92&lt;&gt;"",(N(Aux!Q92)-4)&lt;='01_Criterios'!$C$15),"EST_CARRY_BWD","SEM_DADO")))))</f>
        <v/>
      </c>
      <c r="O92" s="20" t="str">
        <f>IF('03_Base_Indice'!$D92="","",IF('03_Base_Indice'!O92&lt;&gt;"","OBS",IF(AND(Aux!F92&lt;&gt;"",Aux!R92&lt;&gt;"",(N(Aux!R92)-N(Aux!F92)-1)&lt;='01_Criterios'!$C$13),"EST_INTERP",IF(AND(Aux!F92&lt;&gt;"",(5-N(Aux!F92))&lt;='01_Criterios'!$C$14),"EST_CARRY_FWD",IF(AND(Aux!R92&lt;&gt;"",(N(Aux!R92)-5)&lt;='01_Criterios'!$C$15),"EST_CARRY_BWD","SEM_DADO")))))</f>
        <v/>
      </c>
      <c r="P92" s="20" t="str">
        <f>IF('03_Base_Indice'!$D92="","",IF('03_Base_Indice'!P92&lt;&gt;"","OBS",IF(AND(Aux!G92&lt;&gt;"",Aux!S92&lt;&gt;"",(N(Aux!S92)-N(Aux!G92)-1)&lt;='01_Criterios'!$C$13),"EST_INTERP",IF(AND(Aux!G92&lt;&gt;"",(6-N(Aux!G92))&lt;='01_Criterios'!$C$14),"EST_CARRY_FWD",IF(AND(Aux!S92&lt;&gt;"",(N(Aux!S92)-6)&lt;='01_Criterios'!$C$15),"EST_CARRY_BWD","SEM_DADO")))))</f>
        <v/>
      </c>
      <c r="Q92" s="20" t="str">
        <f>IF('03_Base_Indice'!$D92="","",IF('03_Base_Indice'!Q92&lt;&gt;"","OBS",IF(AND(Aux!H92&lt;&gt;"",Aux!T92&lt;&gt;"",(N(Aux!T92)-N(Aux!H92)-1)&lt;='01_Criterios'!$C$13),"EST_INTERP",IF(AND(Aux!H92&lt;&gt;"",(7-N(Aux!H92))&lt;='01_Criterios'!$C$14),"EST_CARRY_FWD",IF(AND(Aux!T92&lt;&gt;"",(N(Aux!T92)-7)&lt;='01_Criterios'!$C$15),"EST_CARRY_BWD","SEM_DADO")))))</f>
        <v/>
      </c>
      <c r="R92" s="20" t="str">
        <f>IF('03_Base_Indice'!$D92="","",IF('03_Base_Indice'!R92&lt;&gt;"","OBS",IF(AND(Aux!I92&lt;&gt;"",Aux!U92&lt;&gt;"",(N(Aux!U92)-N(Aux!I92)-1)&lt;='01_Criterios'!$C$13),"EST_INTERP",IF(AND(Aux!I92&lt;&gt;"",(8-N(Aux!I92))&lt;='01_Criterios'!$C$14),"EST_CARRY_FWD",IF(AND(Aux!U92&lt;&gt;"",(N(Aux!U92)-8)&lt;='01_Criterios'!$C$15),"EST_CARRY_BWD","SEM_DADO")))))</f>
        <v/>
      </c>
      <c r="S92" s="20" t="str">
        <f>IF('03_Base_Indice'!$D92="","",IF('03_Base_Indice'!S92&lt;&gt;"","OBS",IF(AND(Aux!J92&lt;&gt;"",Aux!V92&lt;&gt;"",(N(Aux!V92)-N(Aux!J92)-1)&lt;='01_Criterios'!$C$13),"EST_INTERP",IF(AND(Aux!J92&lt;&gt;"",(9-N(Aux!J92))&lt;='01_Criterios'!$C$14),"EST_CARRY_FWD",IF(AND(Aux!V92&lt;&gt;"",(N(Aux!V92)-9)&lt;='01_Criterios'!$C$15),"EST_CARRY_BWD","SEM_DADO")))))</f>
        <v/>
      </c>
      <c r="T92" s="20" t="str">
        <f>IF('03_Base_Indice'!$D92="","",IF('03_Base_Indice'!T92&lt;&gt;"","OBS",IF(AND(Aux!K92&lt;&gt;"",Aux!W92&lt;&gt;"",(N(Aux!W92)-N(Aux!K92)-1)&lt;='01_Criterios'!$C$13),"EST_INTERP",IF(AND(Aux!K92&lt;&gt;"",(10-N(Aux!K92))&lt;='01_Criterios'!$C$14),"EST_CARRY_FWD",IF(AND(Aux!W92&lt;&gt;"",(N(Aux!W92)-10)&lt;='01_Criterios'!$C$15),"EST_CARRY_BWD","SEM_DADO")))))</f>
        <v/>
      </c>
      <c r="U92" s="20" t="str">
        <f>IF('03_Base_Indice'!$D92="","",IF('03_Base_Indice'!U92&lt;&gt;"","OBS",IF(AND(Aux!L92&lt;&gt;"",Aux!X92&lt;&gt;"",(N(Aux!X92)-N(Aux!L92)-1)&lt;='01_Criterios'!$C$13),"EST_INTERP",IF(AND(Aux!L92&lt;&gt;"",(11-N(Aux!L92))&lt;='01_Criterios'!$C$14),"EST_CARRY_FWD",IF(AND(Aux!X92&lt;&gt;"",(N(Aux!X92)-11)&lt;='01_Criterios'!$C$15),"EST_CARRY_BWD","SEM_DADO")))))</f>
        <v/>
      </c>
      <c r="V92" s="20" t="str">
        <f>IF($D92="","",COUNTIF(K92:U92,"OBS"))</f>
        <v/>
      </c>
      <c r="W92" s="20" t="str">
        <f>IF($D92="","",COUNTIF(K92:U92,"EST_*"))</f>
        <v/>
      </c>
      <c r="X92" s="20" t="str">
        <f>IF($D92="","",COUNTIF(K92:U92,"SEM_DADO"))</f>
        <v/>
      </c>
      <c r="Y92" s="20" t="str">
        <f>IF($D92="","",(V92+W92)&amp;"/11")</f>
        <v/>
      </c>
    </row>
    <row r="93" spans="1:25">
      <c r="A93" s="6" t="str">
        <f>IF('03_Base_Indice'!$A93="","",'03_Base_Indice'!$A93)</f>
        <v>9. Ambiente, Clima e Resiliência</v>
      </c>
      <c r="B93" s="6">
        <f>'03_Base_Indice'!$B93</f>
        <v>9</v>
      </c>
      <c r="D93" s="6" t="str">
        <f>IF('03_Base_Indice'!$D93="","",'03_Base_Indice'!$D93)</f>
        <v/>
      </c>
      <c r="E93" s="6" t="str">
        <f>IF('03_Base_Indice'!$E93="","",'03_Base_Indice'!$E93)</f>
        <v/>
      </c>
      <c r="K93" s="20" t="str">
        <f>IF('03_Base_Indice'!$D93="","",IF('03_Base_Indice'!K93&lt;&gt;"","OBS",IF(AND(Aux!B93&lt;&gt;"",Aux!N93&lt;&gt;"",(N(Aux!N93)-N(Aux!B93)-1)&lt;='01_Criterios'!$C$13),"EST_INTERP",IF(AND(Aux!B93&lt;&gt;"",(1-N(Aux!B93))&lt;='01_Criterios'!$C$14),"EST_CARRY_FWD",IF(AND(Aux!N93&lt;&gt;"",(N(Aux!N93)-1)&lt;='01_Criterios'!$C$15),"EST_CARRY_BWD","SEM_DADO")))))</f>
        <v/>
      </c>
      <c r="L93" s="20" t="str">
        <f>IF('03_Base_Indice'!$D93="","",IF('03_Base_Indice'!L93&lt;&gt;"","OBS",IF(AND(Aux!C93&lt;&gt;"",Aux!O93&lt;&gt;"",(N(Aux!O93)-N(Aux!C93)-1)&lt;='01_Criterios'!$C$13),"EST_INTERP",IF(AND(Aux!C93&lt;&gt;"",(2-N(Aux!C93))&lt;='01_Criterios'!$C$14),"EST_CARRY_FWD",IF(AND(Aux!O93&lt;&gt;"",(N(Aux!O93)-2)&lt;='01_Criterios'!$C$15),"EST_CARRY_BWD","SEM_DADO")))))</f>
        <v/>
      </c>
      <c r="M93" s="20" t="str">
        <f>IF('03_Base_Indice'!$D93="","",IF('03_Base_Indice'!M93&lt;&gt;"","OBS",IF(AND(Aux!D93&lt;&gt;"",Aux!P93&lt;&gt;"",(N(Aux!P93)-N(Aux!D93)-1)&lt;='01_Criterios'!$C$13),"EST_INTERP",IF(AND(Aux!D93&lt;&gt;"",(3-N(Aux!D93))&lt;='01_Criterios'!$C$14),"EST_CARRY_FWD",IF(AND(Aux!P93&lt;&gt;"",(N(Aux!P93)-3)&lt;='01_Criterios'!$C$15),"EST_CARRY_BWD","SEM_DADO")))))</f>
        <v/>
      </c>
      <c r="N93" s="20" t="str">
        <f>IF('03_Base_Indice'!$D93="","",IF('03_Base_Indice'!N93&lt;&gt;"","OBS",IF(AND(Aux!E93&lt;&gt;"",Aux!Q93&lt;&gt;"",(N(Aux!Q93)-N(Aux!E93)-1)&lt;='01_Criterios'!$C$13),"EST_INTERP",IF(AND(Aux!E93&lt;&gt;"",(4-N(Aux!E93))&lt;='01_Criterios'!$C$14),"EST_CARRY_FWD",IF(AND(Aux!Q93&lt;&gt;"",(N(Aux!Q93)-4)&lt;='01_Criterios'!$C$15),"EST_CARRY_BWD","SEM_DADO")))))</f>
        <v/>
      </c>
      <c r="O93" s="20" t="str">
        <f>IF('03_Base_Indice'!$D93="","",IF('03_Base_Indice'!O93&lt;&gt;"","OBS",IF(AND(Aux!F93&lt;&gt;"",Aux!R93&lt;&gt;"",(N(Aux!R93)-N(Aux!F93)-1)&lt;='01_Criterios'!$C$13),"EST_INTERP",IF(AND(Aux!F93&lt;&gt;"",(5-N(Aux!F93))&lt;='01_Criterios'!$C$14),"EST_CARRY_FWD",IF(AND(Aux!R93&lt;&gt;"",(N(Aux!R93)-5)&lt;='01_Criterios'!$C$15),"EST_CARRY_BWD","SEM_DADO")))))</f>
        <v/>
      </c>
      <c r="P93" s="20" t="str">
        <f>IF('03_Base_Indice'!$D93="","",IF('03_Base_Indice'!P93&lt;&gt;"","OBS",IF(AND(Aux!G93&lt;&gt;"",Aux!S93&lt;&gt;"",(N(Aux!S93)-N(Aux!G93)-1)&lt;='01_Criterios'!$C$13),"EST_INTERP",IF(AND(Aux!G93&lt;&gt;"",(6-N(Aux!G93))&lt;='01_Criterios'!$C$14),"EST_CARRY_FWD",IF(AND(Aux!S93&lt;&gt;"",(N(Aux!S93)-6)&lt;='01_Criterios'!$C$15),"EST_CARRY_BWD","SEM_DADO")))))</f>
        <v/>
      </c>
      <c r="Q93" s="20" t="str">
        <f>IF('03_Base_Indice'!$D93="","",IF('03_Base_Indice'!Q93&lt;&gt;"","OBS",IF(AND(Aux!H93&lt;&gt;"",Aux!T93&lt;&gt;"",(N(Aux!T93)-N(Aux!H93)-1)&lt;='01_Criterios'!$C$13),"EST_INTERP",IF(AND(Aux!H93&lt;&gt;"",(7-N(Aux!H93))&lt;='01_Criterios'!$C$14),"EST_CARRY_FWD",IF(AND(Aux!T93&lt;&gt;"",(N(Aux!T93)-7)&lt;='01_Criterios'!$C$15),"EST_CARRY_BWD","SEM_DADO")))))</f>
        <v/>
      </c>
      <c r="R93" s="20" t="str">
        <f>IF('03_Base_Indice'!$D93="","",IF('03_Base_Indice'!R93&lt;&gt;"","OBS",IF(AND(Aux!I93&lt;&gt;"",Aux!U93&lt;&gt;"",(N(Aux!U93)-N(Aux!I93)-1)&lt;='01_Criterios'!$C$13),"EST_INTERP",IF(AND(Aux!I93&lt;&gt;"",(8-N(Aux!I93))&lt;='01_Criterios'!$C$14),"EST_CARRY_FWD",IF(AND(Aux!U93&lt;&gt;"",(N(Aux!U93)-8)&lt;='01_Criterios'!$C$15),"EST_CARRY_BWD","SEM_DADO")))))</f>
        <v/>
      </c>
      <c r="S93" s="20" t="str">
        <f>IF('03_Base_Indice'!$D93="","",IF('03_Base_Indice'!S93&lt;&gt;"","OBS",IF(AND(Aux!J93&lt;&gt;"",Aux!V93&lt;&gt;"",(N(Aux!V93)-N(Aux!J93)-1)&lt;='01_Criterios'!$C$13),"EST_INTERP",IF(AND(Aux!J93&lt;&gt;"",(9-N(Aux!J93))&lt;='01_Criterios'!$C$14),"EST_CARRY_FWD",IF(AND(Aux!V93&lt;&gt;"",(N(Aux!V93)-9)&lt;='01_Criterios'!$C$15),"EST_CARRY_BWD","SEM_DADO")))))</f>
        <v/>
      </c>
      <c r="T93" s="20" t="str">
        <f>IF('03_Base_Indice'!$D93="","",IF('03_Base_Indice'!T93&lt;&gt;"","OBS",IF(AND(Aux!K93&lt;&gt;"",Aux!W93&lt;&gt;"",(N(Aux!W93)-N(Aux!K93)-1)&lt;='01_Criterios'!$C$13),"EST_INTERP",IF(AND(Aux!K93&lt;&gt;"",(10-N(Aux!K93))&lt;='01_Criterios'!$C$14),"EST_CARRY_FWD",IF(AND(Aux!W93&lt;&gt;"",(N(Aux!W93)-10)&lt;='01_Criterios'!$C$15),"EST_CARRY_BWD","SEM_DADO")))))</f>
        <v/>
      </c>
      <c r="U93" s="20" t="str">
        <f>IF('03_Base_Indice'!$D93="","",IF('03_Base_Indice'!U93&lt;&gt;"","OBS",IF(AND(Aux!L93&lt;&gt;"",Aux!X93&lt;&gt;"",(N(Aux!X93)-N(Aux!L93)-1)&lt;='01_Criterios'!$C$13),"EST_INTERP",IF(AND(Aux!L93&lt;&gt;"",(11-N(Aux!L93))&lt;='01_Criterios'!$C$14),"EST_CARRY_FWD",IF(AND(Aux!X93&lt;&gt;"",(N(Aux!X93)-11)&lt;='01_Criterios'!$C$15),"EST_CARRY_BWD","SEM_DADO")))))</f>
        <v/>
      </c>
      <c r="V93" s="20" t="str">
        <f>IF($D93="","",COUNTIF(K93:U93,"OBS"))</f>
        <v/>
      </c>
      <c r="W93" s="20" t="str">
        <f>IF($D93="","",COUNTIF(K93:U93,"EST_*"))</f>
        <v/>
      </c>
      <c r="X93" s="20" t="str">
        <f>IF($D93="","",COUNTIF(K93:U93,"SEM_DADO"))</f>
        <v/>
      </c>
      <c r="Y93" s="20" t="str">
        <f>IF($D93="","",(V93+W93)&amp;"/11")</f>
        <v/>
      </c>
    </row>
    <row r="94" spans="1:25">
      <c r="A94" s="6" t="str">
        <f>IF('03_Base_Indice'!$A94="","",'03_Base_Indice'!$A94)</f>
        <v>9. Ambiente, Clima e Resiliência</v>
      </c>
      <c r="B94" s="6">
        <f>'03_Base_Indice'!$B94</f>
        <v>10</v>
      </c>
      <c r="D94" s="6" t="str">
        <f>IF('03_Base_Indice'!$D94="","",'03_Base_Indice'!$D94)</f>
        <v/>
      </c>
      <c r="E94" s="6" t="str">
        <f>IF('03_Base_Indice'!$E94="","",'03_Base_Indice'!$E94)</f>
        <v/>
      </c>
      <c r="K94" s="20" t="str">
        <f>IF('03_Base_Indice'!$D94="","",IF('03_Base_Indice'!K94&lt;&gt;"","OBS",IF(AND(Aux!B94&lt;&gt;"",Aux!N94&lt;&gt;"",(N(Aux!N94)-N(Aux!B94)-1)&lt;='01_Criterios'!$C$13),"EST_INTERP",IF(AND(Aux!B94&lt;&gt;"",(1-N(Aux!B94))&lt;='01_Criterios'!$C$14),"EST_CARRY_FWD",IF(AND(Aux!N94&lt;&gt;"",(N(Aux!N94)-1)&lt;='01_Criterios'!$C$15),"EST_CARRY_BWD","SEM_DADO")))))</f>
        <v/>
      </c>
      <c r="L94" s="20" t="str">
        <f>IF('03_Base_Indice'!$D94="","",IF('03_Base_Indice'!L94&lt;&gt;"","OBS",IF(AND(Aux!C94&lt;&gt;"",Aux!O94&lt;&gt;"",(N(Aux!O94)-N(Aux!C94)-1)&lt;='01_Criterios'!$C$13),"EST_INTERP",IF(AND(Aux!C94&lt;&gt;"",(2-N(Aux!C94))&lt;='01_Criterios'!$C$14),"EST_CARRY_FWD",IF(AND(Aux!O94&lt;&gt;"",(N(Aux!O94)-2)&lt;='01_Criterios'!$C$15),"EST_CARRY_BWD","SEM_DADO")))))</f>
        <v/>
      </c>
      <c r="M94" s="20" t="str">
        <f>IF('03_Base_Indice'!$D94="","",IF('03_Base_Indice'!M94&lt;&gt;"","OBS",IF(AND(Aux!D94&lt;&gt;"",Aux!P94&lt;&gt;"",(N(Aux!P94)-N(Aux!D94)-1)&lt;='01_Criterios'!$C$13),"EST_INTERP",IF(AND(Aux!D94&lt;&gt;"",(3-N(Aux!D94))&lt;='01_Criterios'!$C$14),"EST_CARRY_FWD",IF(AND(Aux!P94&lt;&gt;"",(N(Aux!P94)-3)&lt;='01_Criterios'!$C$15),"EST_CARRY_BWD","SEM_DADO")))))</f>
        <v/>
      </c>
      <c r="N94" s="20" t="str">
        <f>IF('03_Base_Indice'!$D94="","",IF('03_Base_Indice'!N94&lt;&gt;"","OBS",IF(AND(Aux!E94&lt;&gt;"",Aux!Q94&lt;&gt;"",(N(Aux!Q94)-N(Aux!E94)-1)&lt;='01_Criterios'!$C$13),"EST_INTERP",IF(AND(Aux!E94&lt;&gt;"",(4-N(Aux!E94))&lt;='01_Criterios'!$C$14),"EST_CARRY_FWD",IF(AND(Aux!Q94&lt;&gt;"",(N(Aux!Q94)-4)&lt;='01_Criterios'!$C$15),"EST_CARRY_BWD","SEM_DADO")))))</f>
        <v/>
      </c>
      <c r="O94" s="20" t="str">
        <f>IF('03_Base_Indice'!$D94="","",IF('03_Base_Indice'!O94&lt;&gt;"","OBS",IF(AND(Aux!F94&lt;&gt;"",Aux!R94&lt;&gt;"",(N(Aux!R94)-N(Aux!F94)-1)&lt;='01_Criterios'!$C$13),"EST_INTERP",IF(AND(Aux!F94&lt;&gt;"",(5-N(Aux!F94))&lt;='01_Criterios'!$C$14),"EST_CARRY_FWD",IF(AND(Aux!R94&lt;&gt;"",(N(Aux!R94)-5)&lt;='01_Criterios'!$C$15),"EST_CARRY_BWD","SEM_DADO")))))</f>
        <v/>
      </c>
      <c r="P94" s="20" t="str">
        <f>IF('03_Base_Indice'!$D94="","",IF('03_Base_Indice'!P94&lt;&gt;"","OBS",IF(AND(Aux!G94&lt;&gt;"",Aux!S94&lt;&gt;"",(N(Aux!S94)-N(Aux!G94)-1)&lt;='01_Criterios'!$C$13),"EST_INTERP",IF(AND(Aux!G94&lt;&gt;"",(6-N(Aux!G94))&lt;='01_Criterios'!$C$14),"EST_CARRY_FWD",IF(AND(Aux!S94&lt;&gt;"",(N(Aux!S94)-6)&lt;='01_Criterios'!$C$15),"EST_CARRY_BWD","SEM_DADO")))))</f>
        <v/>
      </c>
      <c r="Q94" s="20" t="str">
        <f>IF('03_Base_Indice'!$D94="","",IF('03_Base_Indice'!Q94&lt;&gt;"","OBS",IF(AND(Aux!H94&lt;&gt;"",Aux!T94&lt;&gt;"",(N(Aux!T94)-N(Aux!H94)-1)&lt;='01_Criterios'!$C$13),"EST_INTERP",IF(AND(Aux!H94&lt;&gt;"",(7-N(Aux!H94))&lt;='01_Criterios'!$C$14),"EST_CARRY_FWD",IF(AND(Aux!T94&lt;&gt;"",(N(Aux!T94)-7)&lt;='01_Criterios'!$C$15),"EST_CARRY_BWD","SEM_DADO")))))</f>
        <v/>
      </c>
      <c r="R94" s="20" t="str">
        <f>IF('03_Base_Indice'!$D94="","",IF('03_Base_Indice'!R94&lt;&gt;"","OBS",IF(AND(Aux!I94&lt;&gt;"",Aux!U94&lt;&gt;"",(N(Aux!U94)-N(Aux!I94)-1)&lt;='01_Criterios'!$C$13),"EST_INTERP",IF(AND(Aux!I94&lt;&gt;"",(8-N(Aux!I94))&lt;='01_Criterios'!$C$14),"EST_CARRY_FWD",IF(AND(Aux!U94&lt;&gt;"",(N(Aux!U94)-8)&lt;='01_Criterios'!$C$15),"EST_CARRY_BWD","SEM_DADO")))))</f>
        <v/>
      </c>
      <c r="S94" s="20" t="str">
        <f>IF('03_Base_Indice'!$D94="","",IF('03_Base_Indice'!S94&lt;&gt;"","OBS",IF(AND(Aux!J94&lt;&gt;"",Aux!V94&lt;&gt;"",(N(Aux!V94)-N(Aux!J94)-1)&lt;='01_Criterios'!$C$13),"EST_INTERP",IF(AND(Aux!J94&lt;&gt;"",(9-N(Aux!J94))&lt;='01_Criterios'!$C$14),"EST_CARRY_FWD",IF(AND(Aux!V94&lt;&gt;"",(N(Aux!V94)-9)&lt;='01_Criterios'!$C$15),"EST_CARRY_BWD","SEM_DADO")))))</f>
        <v/>
      </c>
      <c r="T94" s="20" t="str">
        <f>IF('03_Base_Indice'!$D94="","",IF('03_Base_Indice'!T94&lt;&gt;"","OBS",IF(AND(Aux!K94&lt;&gt;"",Aux!W94&lt;&gt;"",(N(Aux!W94)-N(Aux!K94)-1)&lt;='01_Criterios'!$C$13),"EST_INTERP",IF(AND(Aux!K94&lt;&gt;"",(10-N(Aux!K94))&lt;='01_Criterios'!$C$14),"EST_CARRY_FWD",IF(AND(Aux!W94&lt;&gt;"",(N(Aux!W94)-10)&lt;='01_Criterios'!$C$15),"EST_CARRY_BWD","SEM_DADO")))))</f>
        <v/>
      </c>
      <c r="U94" s="20" t="str">
        <f>IF('03_Base_Indice'!$D94="","",IF('03_Base_Indice'!U94&lt;&gt;"","OBS",IF(AND(Aux!L94&lt;&gt;"",Aux!X94&lt;&gt;"",(N(Aux!X94)-N(Aux!L94)-1)&lt;='01_Criterios'!$C$13),"EST_INTERP",IF(AND(Aux!L94&lt;&gt;"",(11-N(Aux!L94))&lt;='01_Criterios'!$C$14),"EST_CARRY_FWD",IF(AND(Aux!X94&lt;&gt;"",(N(Aux!X94)-11)&lt;='01_Criterios'!$C$15),"EST_CARRY_BWD","SEM_DADO")))))</f>
        <v/>
      </c>
      <c r="V94" s="20" t="str">
        <f>IF($D94="","",COUNTIF(K94:U94,"OBS"))</f>
        <v/>
      </c>
      <c r="W94" s="20" t="str">
        <f>IF($D94="","",COUNTIF(K94:U94,"EST_*"))</f>
        <v/>
      </c>
      <c r="X94" s="20" t="str">
        <f>IF($D94="","",COUNTIF(K94:U94,"SEM_DADO"))</f>
        <v/>
      </c>
      <c r="Y94" s="20" t="str">
        <f>IF($D94="","",(V94+W94)&amp;"/11")</f>
        <v/>
      </c>
    </row>
    <row r="95" spans="1:25">
      <c r="A95" s="6" t="str">
        <f>IF('03_Base_Indice'!$A95="","",'03_Base_Indice'!$A95)</f>
        <v>10. Demografia, Território e Urbanização</v>
      </c>
      <c r="B95" s="6">
        <f>'03_Base_Indice'!$B95</f>
        <v>1</v>
      </c>
      <c r="D95" s="6" t="str">
        <f>IF('03_Base_Indice'!$D95="","",'03_Base_Indice'!$D95)</f>
        <v/>
      </c>
      <c r="E95" s="6" t="str">
        <f>IF('03_Base_Indice'!$E95="","",'03_Base_Indice'!$E95)</f>
        <v/>
      </c>
      <c r="K95" s="20" t="str">
        <f>IF('03_Base_Indice'!$D95="","",IF('03_Base_Indice'!K95&lt;&gt;"","OBS",IF(AND(Aux!B95&lt;&gt;"",Aux!N95&lt;&gt;"",(N(Aux!N95)-N(Aux!B95)-1)&lt;='01_Criterios'!$C$13),"EST_INTERP",IF(AND(Aux!B95&lt;&gt;"",(1-N(Aux!B95))&lt;='01_Criterios'!$C$14),"EST_CARRY_FWD",IF(AND(Aux!N95&lt;&gt;"",(N(Aux!N95)-1)&lt;='01_Criterios'!$C$15),"EST_CARRY_BWD","SEM_DADO")))))</f>
        <v/>
      </c>
      <c r="L95" s="20" t="str">
        <f>IF('03_Base_Indice'!$D95="","",IF('03_Base_Indice'!L95&lt;&gt;"","OBS",IF(AND(Aux!C95&lt;&gt;"",Aux!O95&lt;&gt;"",(N(Aux!O95)-N(Aux!C95)-1)&lt;='01_Criterios'!$C$13),"EST_INTERP",IF(AND(Aux!C95&lt;&gt;"",(2-N(Aux!C95))&lt;='01_Criterios'!$C$14),"EST_CARRY_FWD",IF(AND(Aux!O95&lt;&gt;"",(N(Aux!O95)-2)&lt;='01_Criterios'!$C$15),"EST_CARRY_BWD","SEM_DADO")))))</f>
        <v/>
      </c>
      <c r="M95" s="20" t="str">
        <f>IF('03_Base_Indice'!$D95="","",IF('03_Base_Indice'!M95&lt;&gt;"","OBS",IF(AND(Aux!D95&lt;&gt;"",Aux!P95&lt;&gt;"",(N(Aux!P95)-N(Aux!D95)-1)&lt;='01_Criterios'!$C$13),"EST_INTERP",IF(AND(Aux!D95&lt;&gt;"",(3-N(Aux!D95))&lt;='01_Criterios'!$C$14),"EST_CARRY_FWD",IF(AND(Aux!P95&lt;&gt;"",(N(Aux!P95)-3)&lt;='01_Criterios'!$C$15),"EST_CARRY_BWD","SEM_DADO")))))</f>
        <v/>
      </c>
      <c r="N95" s="20" t="str">
        <f>IF('03_Base_Indice'!$D95="","",IF('03_Base_Indice'!N95&lt;&gt;"","OBS",IF(AND(Aux!E95&lt;&gt;"",Aux!Q95&lt;&gt;"",(N(Aux!Q95)-N(Aux!E95)-1)&lt;='01_Criterios'!$C$13),"EST_INTERP",IF(AND(Aux!E95&lt;&gt;"",(4-N(Aux!E95))&lt;='01_Criterios'!$C$14),"EST_CARRY_FWD",IF(AND(Aux!Q95&lt;&gt;"",(N(Aux!Q95)-4)&lt;='01_Criterios'!$C$15),"EST_CARRY_BWD","SEM_DADO")))))</f>
        <v/>
      </c>
      <c r="O95" s="20" t="str">
        <f>IF('03_Base_Indice'!$D95="","",IF('03_Base_Indice'!O95&lt;&gt;"","OBS",IF(AND(Aux!F95&lt;&gt;"",Aux!R95&lt;&gt;"",(N(Aux!R95)-N(Aux!F95)-1)&lt;='01_Criterios'!$C$13),"EST_INTERP",IF(AND(Aux!F95&lt;&gt;"",(5-N(Aux!F95))&lt;='01_Criterios'!$C$14),"EST_CARRY_FWD",IF(AND(Aux!R95&lt;&gt;"",(N(Aux!R95)-5)&lt;='01_Criterios'!$C$15),"EST_CARRY_BWD","SEM_DADO")))))</f>
        <v/>
      </c>
      <c r="P95" s="20" t="str">
        <f>IF('03_Base_Indice'!$D95="","",IF('03_Base_Indice'!P95&lt;&gt;"","OBS",IF(AND(Aux!G95&lt;&gt;"",Aux!S95&lt;&gt;"",(N(Aux!S95)-N(Aux!G95)-1)&lt;='01_Criterios'!$C$13),"EST_INTERP",IF(AND(Aux!G95&lt;&gt;"",(6-N(Aux!G95))&lt;='01_Criterios'!$C$14),"EST_CARRY_FWD",IF(AND(Aux!S95&lt;&gt;"",(N(Aux!S95)-6)&lt;='01_Criterios'!$C$15),"EST_CARRY_BWD","SEM_DADO")))))</f>
        <v/>
      </c>
      <c r="Q95" s="20" t="str">
        <f>IF('03_Base_Indice'!$D95="","",IF('03_Base_Indice'!Q95&lt;&gt;"","OBS",IF(AND(Aux!H95&lt;&gt;"",Aux!T95&lt;&gt;"",(N(Aux!T95)-N(Aux!H95)-1)&lt;='01_Criterios'!$C$13),"EST_INTERP",IF(AND(Aux!H95&lt;&gt;"",(7-N(Aux!H95))&lt;='01_Criterios'!$C$14),"EST_CARRY_FWD",IF(AND(Aux!T95&lt;&gt;"",(N(Aux!T95)-7)&lt;='01_Criterios'!$C$15),"EST_CARRY_BWD","SEM_DADO")))))</f>
        <v/>
      </c>
      <c r="R95" s="20" t="str">
        <f>IF('03_Base_Indice'!$D95="","",IF('03_Base_Indice'!R95&lt;&gt;"","OBS",IF(AND(Aux!I95&lt;&gt;"",Aux!U95&lt;&gt;"",(N(Aux!U95)-N(Aux!I95)-1)&lt;='01_Criterios'!$C$13),"EST_INTERP",IF(AND(Aux!I95&lt;&gt;"",(8-N(Aux!I95))&lt;='01_Criterios'!$C$14),"EST_CARRY_FWD",IF(AND(Aux!U95&lt;&gt;"",(N(Aux!U95)-8)&lt;='01_Criterios'!$C$15),"EST_CARRY_BWD","SEM_DADO")))))</f>
        <v/>
      </c>
      <c r="S95" s="20" t="str">
        <f>IF('03_Base_Indice'!$D95="","",IF('03_Base_Indice'!S95&lt;&gt;"","OBS",IF(AND(Aux!J95&lt;&gt;"",Aux!V95&lt;&gt;"",(N(Aux!V95)-N(Aux!J95)-1)&lt;='01_Criterios'!$C$13),"EST_INTERP",IF(AND(Aux!J95&lt;&gt;"",(9-N(Aux!J95))&lt;='01_Criterios'!$C$14),"EST_CARRY_FWD",IF(AND(Aux!V95&lt;&gt;"",(N(Aux!V95)-9)&lt;='01_Criterios'!$C$15),"EST_CARRY_BWD","SEM_DADO")))))</f>
        <v/>
      </c>
      <c r="T95" s="20" t="str">
        <f>IF('03_Base_Indice'!$D95="","",IF('03_Base_Indice'!T95&lt;&gt;"","OBS",IF(AND(Aux!K95&lt;&gt;"",Aux!W95&lt;&gt;"",(N(Aux!W95)-N(Aux!K95)-1)&lt;='01_Criterios'!$C$13),"EST_INTERP",IF(AND(Aux!K95&lt;&gt;"",(10-N(Aux!K95))&lt;='01_Criterios'!$C$14),"EST_CARRY_FWD",IF(AND(Aux!W95&lt;&gt;"",(N(Aux!W95)-10)&lt;='01_Criterios'!$C$15),"EST_CARRY_BWD","SEM_DADO")))))</f>
        <v/>
      </c>
      <c r="U95" s="20" t="str">
        <f>IF('03_Base_Indice'!$D95="","",IF('03_Base_Indice'!U95&lt;&gt;"","OBS",IF(AND(Aux!L95&lt;&gt;"",Aux!X95&lt;&gt;"",(N(Aux!X95)-N(Aux!L95)-1)&lt;='01_Criterios'!$C$13),"EST_INTERP",IF(AND(Aux!L95&lt;&gt;"",(11-N(Aux!L95))&lt;='01_Criterios'!$C$14),"EST_CARRY_FWD",IF(AND(Aux!X95&lt;&gt;"",(N(Aux!X95)-11)&lt;='01_Criterios'!$C$15),"EST_CARRY_BWD","SEM_DADO")))))</f>
        <v/>
      </c>
      <c r="V95" s="20" t="str">
        <f>IF($D95="","",COUNTIF(K95:U95,"OBS"))</f>
        <v/>
      </c>
      <c r="W95" s="20" t="str">
        <f>IF($D95="","",COUNTIF(K95:U95,"EST_*"))</f>
        <v/>
      </c>
      <c r="X95" s="20" t="str">
        <f>IF($D95="","",COUNTIF(K95:U95,"SEM_DADO"))</f>
        <v/>
      </c>
      <c r="Y95" s="20" t="str">
        <f>IF($D95="","",(V95+W95)&amp;"/11")</f>
        <v/>
      </c>
    </row>
    <row r="96" spans="1:25">
      <c r="A96" s="6" t="str">
        <f>IF('03_Base_Indice'!$A96="","",'03_Base_Indice'!$A96)</f>
        <v>10. Demografia, Território e Urbanização</v>
      </c>
      <c r="B96" s="6">
        <f>'03_Base_Indice'!$B96</f>
        <v>2</v>
      </c>
      <c r="D96" s="6" t="str">
        <f>IF('03_Base_Indice'!$D96="","",'03_Base_Indice'!$D96)</f>
        <v/>
      </c>
      <c r="E96" s="6" t="str">
        <f>IF('03_Base_Indice'!$E96="","",'03_Base_Indice'!$E96)</f>
        <v/>
      </c>
      <c r="K96" s="20" t="str">
        <f>IF('03_Base_Indice'!$D96="","",IF('03_Base_Indice'!K96&lt;&gt;"","OBS",IF(AND(Aux!B96&lt;&gt;"",Aux!N96&lt;&gt;"",(N(Aux!N96)-N(Aux!B96)-1)&lt;='01_Criterios'!$C$13),"EST_INTERP",IF(AND(Aux!B96&lt;&gt;"",(1-N(Aux!B96))&lt;='01_Criterios'!$C$14),"EST_CARRY_FWD",IF(AND(Aux!N96&lt;&gt;"",(N(Aux!N96)-1)&lt;='01_Criterios'!$C$15),"EST_CARRY_BWD","SEM_DADO")))))</f>
        <v/>
      </c>
      <c r="L96" s="20" t="str">
        <f>IF('03_Base_Indice'!$D96="","",IF('03_Base_Indice'!L96&lt;&gt;"","OBS",IF(AND(Aux!C96&lt;&gt;"",Aux!O96&lt;&gt;"",(N(Aux!O96)-N(Aux!C96)-1)&lt;='01_Criterios'!$C$13),"EST_INTERP",IF(AND(Aux!C96&lt;&gt;"",(2-N(Aux!C96))&lt;='01_Criterios'!$C$14),"EST_CARRY_FWD",IF(AND(Aux!O96&lt;&gt;"",(N(Aux!O96)-2)&lt;='01_Criterios'!$C$15),"EST_CARRY_BWD","SEM_DADO")))))</f>
        <v/>
      </c>
      <c r="M96" s="20" t="str">
        <f>IF('03_Base_Indice'!$D96="","",IF('03_Base_Indice'!M96&lt;&gt;"","OBS",IF(AND(Aux!D96&lt;&gt;"",Aux!P96&lt;&gt;"",(N(Aux!P96)-N(Aux!D96)-1)&lt;='01_Criterios'!$C$13),"EST_INTERP",IF(AND(Aux!D96&lt;&gt;"",(3-N(Aux!D96))&lt;='01_Criterios'!$C$14),"EST_CARRY_FWD",IF(AND(Aux!P96&lt;&gt;"",(N(Aux!P96)-3)&lt;='01_Criterios'!$C$15),"EST_CARRY_BWD","SEM_DADO")))))</f>
        <v/>
      </c>
      <c r="N96" s="20" t="str">
        <f>IF('03_Base_Indice'!$D96="","",IF('03_Base_Indice'!N96&lt;&gt;"","OBS",IF(AND(Aux!E96&lt;&gt;"",Aux!Q96&lt;&gt;"",(N(Aux!Q96)-N(Aux!E96)-1)&lt;='01_Criterios'!$C$13),"EST_INTERP",IF(AND(Aux!E96&lt;&gt;"",(4-N(Aux!E96))&lt;='01_Criterios'!$C$14),"EST_CARRY_FWD",IF(AND(Aux!Q96&lt;&gt;"",(N(Aux!Q96)-4)&lt;='01_Criterios'!$C$15),"EST_CARRY_BWD","SEM_DADO")))))</f>
        <v/>
      </c>
      <c r="O96" s="20" t="str">
        <f>IF('03_Base_Indice'!$D96="","",IF('03_Base_Indice'!O96&lt;&gt;"","OBS",IF(AND(Aux!F96&lt;&gt;"",Aux!R96&lt;&gt;"",(N(Aux!R96)-N(Aux!F96)-1)&lt;='01_Criterios'!$C$13),"EST_INTERP",IF(AND(Aux!F96&lt;&gt;"",(5-N(Aux!F96))&lt;='01_Criterios'!$C$14),"EST_CARRY_FWD",IF(AND(Aux!R96&lt;&gt;"",(N(Aux!R96)-5)&lt;='01_Criterios'!$C$15),"EST_CARRY_BWD","SEM_DADO")))))</f>
        <v/>
      </c>
      <c r="P96" s="20" t="str">
        <f>IF('03_Base_Indice'!$D96="","",IF('03_Base_Indice'!P96&lt;&gt;"","OBS",IF(AND(Aux!G96&lt;&gt;"",Aux!S96&lt;&gt;"",(N(Aux!S96)-N(Aux!G96)-1)&lt;='01_Criterios'!$C$13),"EST_INTERP",IF(AND(Aux!G96&lt;&gt;"",(6-N(Aux!G96))&lt;='01_Criterios'!$C$14),"EST_CARRY_FWD",IF(AND(Aux!S96&lt;&gt;"",(N(Aux!S96)-6)&lt;='01_Criterios'!$C$15),"EST_CARRY_BWD","SEM_DADO")))))</f>
        <v/>
      </c>
      <c r="Q96" s="20" t="str">
        <f>IF('03_Base_Indice'!$D96="","",IF('03_Base_Indice'!Q96&lt;&gt;"","OBS",IF(AND(Aux!H96&lt;&gt;"",Aux!T96&lt;&gt;"",(N(Aux!T96)-N(Aux!H96)-1)&lt;='01_Criterios'!$C$13),"EST_INTERP",IF(AND(Aux!H96&lt;&gt;"",(7-N(Aux!H96))&lt;='01_Criterios'!$C$14),"EST_CARRY_FWD",IF(AND(Aux!T96&lt;&gt;"",(N(Aux!T96)-7)&lt;='01_Criterios'!$C$15),"EST_CARRY_BWD","SEM_DADO")))))</f>
        <v/>
      </c>
      <c r="R96" s="20" t="str">
        <f>IF('03_Base_Indice'!$D96="","",IF('03_Base_Indice'!R96&lt;&gt;"","OBS",IF(AND(Aux!I96&lt;&gt;"",Aux!U96&lt;&gt;"",(N(Aux!U96)-N(Aux!I96)-1)&lt;='01_Criterios'!$C$13),"EST_INTERP",IF(AND(Aux!I96&lt;&gt;"",(8-N(Aux!I96))&lt;='01_Criterios'!$C$14),"EST_CARRY_FWD",IF(AND(Aux!U96&lt;&gt;"",(N(Aux!U96)-8)&lt;='01_Criterios'!$C$15),"EST_CARRY_BWD","SEM_DADO")))))</f>
        <v/>
      </c>
      <c r="S96" s="20" t="str">
        <f>IF('03_Base_Indice'!$D96="","",IF('03_Base_Indice'!S96&lt;&gt;"","OBS",IF(AND(Aux!J96&lt;&gt;"",Aux!V96&lt;&gt;"",(N(Aux!V96)-N(Aux!J96)-1)&lt;='01_Criterios'!$C$13),"EST_INTERP",IF(AND(Aux!J96&lt;&gt;"",(9-N(Aux!J96))&lt;='01_Criterios'!$C$14),"EST_CARRY_FWD",IF(AND(Aux!V96&lt;&gt;"",(N(Aux!V96)-9)&lt;='01_Criterios'!$C$15),"EST_CARRY_BWD","SEM_DADO")))))</f>
        <v/>
      </c>
      <c r="T96" s="20" t="str">
        <f>IF('03_Base_Indice'!$D96="","",IF('03_Base_Indice'!T96&lt;&gt;"","OBS",IF(AND(Aux!K96&lt;&gt;"",Aux!W96&lt;&gt;"",(N(Aux!W96)-N(Aux!K96)-1)&lt;='01_Criterios'!$C$13),"EST_INTERP",IF(AND(Aux!K96&lt;&gt;"",(10-N(Aux!K96))&lt;='01_Criterios'!$C$14),"EST_CARRY_FWD",IF(AND(Aux!W96&lt;&gt;"",(N(Aux!W96)-10)&lt;='01_Criterios'!$C$15),"EST_CARRY_BWD","SEM_DADO")))))</f>
        <v/>
      </c>
      <c r="U96" s="20" t="str">
        <f>IF('03_Base_Indice'!$D96="","",IF('03_Base_Indice'!U96&lt;&gt;"","OBS",IF(AND(Aux!L96&lt;&gt;"",Aux!X96&lt;&gt;"",(N(Aux!X96)-N(Aux!L96)-1)&lt;='01_Criterios'!$C$13),"EST_INTERP",IF(AND(Aux!L96&lt;&gt;"",(11-N(Aux!L96))&lt;='01_Criterios'!$C$14),"EST_CARRY_FWD",IF(AND(Aux!X96&lt;&gt;"",(N(Aux!X96)-11)&lt;='01_Criterios'!$C$15),"EST_CARRY_BWD","SEM_DADO")))))</f>
        <v/>
      </c>
      <c r="V96" s="20" t="str">
        <f>IF($D96="","",COUNTIF(K96:U96,"OBS"))</f>
        <v/>
      </c>
      <c r="W96" s="20" t="str">
        <f>IF($D96="","",COUNTIF(K96:U96,"EST_*"))</f>
        <v/>
      </c>
      <c r="X96" s="20" t="str">
        <f>IF($D96="","",COUNTIF(K96:U96,"SEM_DADO"))</f>
        <v/>
      </c>
      <c r="Y96" s="20" t="str">
        <f>IF($D96="","",(V96+W96)&amp;"/11")</f>
        <v/>
      </c>
    </row>
    <row r="97" spans="1:25">
      <c r="A97" s="6" t="str">
        <f>IF('03_Base_Indice'!$A97="","",'03_Base_Indice'!$A97)</f>
        <v>10. Demografia, Território e Urbanização</v>
      </c>
      <c r="B97" s="6">
        <f>'03_Base_Indice'!$B97</f>
        <v>3</v>
      </c>
      <c r="D97" s="6" t="str">
        <f>IF('03_Base_Indice'!$D97="","",'03_Base_Indice'!$D97)</f>
        <v/>
      </c>
      <c r="E97" s="6" t="str">
        <f>IF('03_Base_Indice'!$E97="","",'03_Base_Indice'!$E97)</f>
        <v/>
      </c>
      <c r="K97" s="20" t="str">
        <f>IF('03_Base_Indice'!$D97="","",IF('03_Base_Indice'!K97&lt;&gt;"","OBS",IF(AND(Aux!B97&lt;&gt;"",Aux!N97&lt;&gt;"",(N(Aux!N97)-N(Aux!B97)-1)&lt;='01_Criterios'!$C$13),"EST_INTERP",IF(AND(Aux!B97&lt;&gt;"",(1-N(Aux!B97))&lt;='01_Criterios'!$C$14),"EST_CARRY_FWD",IF(AND(Aux!N97&lt;&gt;"",(N(Aux!N97)-1)&lt;='01_Criterios'!$C$15),"EST_CARRY_BWD","SEM_DADO")))))</f>
        <v/>
      </c>
      <c r="L97" s="20" t="str">
        <f>IF('03_Base_Indice'!$D97="","",IF('03_Base_Indice'!L97&lt;&gt;"","OBS",IF(AND(Aux!C97&lt;&gt;"",Aux!O97&lt;&gt;"",(N(Aux!O97)-N(Aux!C97)-1)&lt;='01_Criterios'!$C$13),"EST_INTERP",IF(AND(Aux!C97&lt;&gt;"",(2-N(Aux!C97))&lt;='01_Criterios'!$C$14),"EST_CARRY_FWD",IF(AND(Aux!O97&lt;&gt;"",(N(Aux!O97)-2)&lt;='01_Criterios'!$C$15),"EST_CARRY_BWD","SEM_DADO")))))</f>
        <v/>
      </c>
      <c r="M97" s="20" t="str">
        <f>IF('03_Base_Indice'!$D97="","",IF('03_Base_Indice'!M97&lt;&gt;"","OBS",IF(AND(Aux!D97&lt;&gt;"",Aux!P97&lt;&gt;"",(N(Aux!P97)-N(Aux!D97)-1)&lt;='01_Criterios'!$C$13),"EST_INTERP",IF(AND(Aux!D97&lt;&gt;"",(3-N(Aux!D97))&lt;='01_Criterios'!$C$14),"EST_CARRY_FWD",IF(AND(Aux!P97&lt;&gt;"",(N(Aux!P97)-3)&lt;='01_Criterios'!$C$15),"EST_CARRY_BWD","SEM_DADO")))))</f>
        <v/>
      </c>
      <c r="N97" s="20" t="str">
        <f>IF('03_Base_Indice'!$D97="","",IF('03_Base_Indice'!N97&lt;&gt;"","OBS",IF(AND(Aux!E97&lt;&gt;"",Aux!Q97&lt;&gt;"",(N(Aux!Q97)-N(Aux!E97)-1)&lt;='01_Criterios'!$C$13),"EST_INTERP",IF(AND(Aux!E97&lt;&gt;"",(4-N(Aux!E97))&lt;='01_Criterios'!$C$14),"EST_CARRY_FWD",IF(AND(Aux!Q97&lt;&gt;"",(N(Aux!Q97)-4)&lt;='01_Criterios'!$C$15),"EST_CARRY_BWD","SEM_DADO")))))</f>
        <v/>
      </c>
      <c r="O97" s="20" t="str">
        <f>IF('03_Base_Indice'!$D97="","",IF('03_Base_Indice'!O97&lt;&gt;"","OBS",IF(AND(Aux!F97&lt;&gt;"",Aux!R97&lt;&gt;"",(N(Aux!R97)-N(Aux!F97)-1)&lt;='01_Criterios'!$C$13),"EST_INTERP",IF(AND(Aux!F97&lt;&gt;"",(5-N(Aux!F97))&lt;='01_Criterios'!$C$14),"EST_CARRY_FWD",IF(AND(Aux!R97&lt;&gt;"",(N(Aux!R97)-5)&lt;='01_Criterios'!$C$15),"EST_CARRY_BWD","SEM_DADO")))))</f>
        <v/>
      </c>
      <c r="P97" s="20" t="str">
        <f>IF('03_Base_Indice'!$D97="","",IF('03_Base_Indice'!P97&lt;&gt;"","OBS",IF(AND(Aux!G97&lt;&gt;"",Aux!S97&lt;&gt;"",(N(Aux!S97)-N(Aux!G97)-1)&lt;='01_Criterios'!$C$13),"EST_INTERP",IF(AND(Aux!G97&lt;&gt;"",(6-N(Aux!G97))&lt;='01_Criterios'!$C$14),"EST_CARRY_FWD",IF(AND(Aux!S97&lt;&gt;"",(N(Aux!S97)-6)&lt;='01_Criterios'!$C$15),"EST_CARRY_BWD","SEM_DADO")))))</f>
        <v/>
      </c>
      <c r="Q97" s="20" t="str">
        <f>IF('03_Base_Indice'!$D97="","",IF('03_Base_Indice'!Q97&lt;&gt;"","OBS",IF(AND(Aux!H97&lt;&gt;"",Aux!T97&lt;&gt;"",(N(Aux!T97)-N(Aux!H97)-1)&lt;='01_Criterios'!$C$13),"EST_INTERP",IF(AND(Aux!H97&lt;&gt;"",(7-N(Aux!H97))&lt;='01_Criterios'!$C$14),"EST_CARRY_FWD",IF(AND(Aux!T97&lt;&gt;"",(N(Aux!T97)-7)&lt;='01_Criterios'!$C$15),"EST_CARRY_BWD","SEM_DADO")))))</f>
        <v/>
      </c>
      <c r="R97" s="20" t="str">
        <f>IF('03_Base_Indice'!$D97="","",IF('03_Base_Indice'!R97&lt;&gt;"","OBS",IF(AND(Aux!I97&lt;&gt;"",Aux!U97&lt;&gt;"",(N(Aux!U97)-N(Aux!I97)-1)&lt;='01_Criterios'!$C$13),"EST_INTERP",IF(AND(Aux!I97&lt;&gt;"",(8-N(Aux!I97))&lt;='01_Criterios'!$C$14),"EST_CARRY_FWD",IF(AND(Aux!U97&lt;&gt;"",(N(Aux!U97)-8)&lt;='01_Criterios'!$C$15),"EST_CARRY_BWD","SEM_DADO")))))</f>
        <v/>
      </c>
      <c r="S97" s="20" t="str">
        <f>IF('03_Base_Indice'!$D97="","",IF('03_Base_Indice'!S97&lt;&gt;"","OBS",IF(AND(Aux!J97&lt;&gt;"",Aux!V97&lt;&gt;"",(N(Aux!V97)-N(Aux!J97)-1)&lt;='01_Criterios'!$C$13),"EST_INTERP",IF(AND(Aux!J97&lt;&gt;"",(9-N(Aux!J97))&lt;='01_Criterios'!$C$14),"EST_CARRY_FWD",IF(AND(Aux!V97&lt;&gt;"",(N(Aux!V97)-9)&lt;='01_Criterios'!$C$15),"EST_CARRY_BWD","SEM_DADO")))))</f>
        <v/>
      </c>
      <c r="T97" s="20" t="str">
        <f>IF('03_Base_Indice'!$D97="","",IF('03_Base_Indice'!T97&lt;&gt;"","OBS",IF(AND(Aux!K97&lt;&gt;"",Aux!W97&lt;&gt;"",(N(Aux!W97)-N(Aux!K97)-1)&lt;='01_Criterios'!$C$13),"EST_INTERP",IF(AND(Aux!K97&lt;&gt;"",(10-N(Aux!K97))&lt;='01_Criterios'!$C$14),"EST_CARRY_FWD",IF(AND(Aux!W97&lt;&gt;"",(N(Aux!W97)-10)&lt;='01_Criterios'!$C$15),"EST_CARRY_BWD","SEM_DADO")))))</f>
        <v/>
      </c>
      <c r="U97" s="20" t="str">
        <f>IF('03_Base_Indice'!$D97="","",IF('03_Base_Indice'!U97&lt;&gt;"","OBS",IF(AND(Aux!L97&lt;&gt;"",Aux!X97&lt;&gt;"",(N(Aux!X97)-N(Aux!L97)-1)&lt;='01_Criterios'!$C$13),"EST_INTERP",IF(AND(Aux!L97&lt;&gt;"",(11-N(Aux!L97))&lt;='01_Criterios'!$C$14),"EST_CARRY_FWD",IF(AND(Aux!X97&lt;&gt;"",(N(Aux!X97)-11)&lt;='01_Criterios'!$C$15),"EST_CARRY_BWD","SEM_DADO")))))</f>
        <v/>
      </c>
      <c r="V97" s="20" t="str">
        <f>IF($D97="","",COUNTIF(K97:U97,"OBS"))</f>
        <v/>
      </c>
      <c r="W97" s="20" t="str">
        <f>IF($D97="","",COUNTIF(K97:U97,"EST_*"))</f>
        <v/>
      </c>
      <c r="X97" s="20" t="str">
        <f>IF($D97="","",COUNTIF(K97:U97,"SEM_DADO"))</f>
        <v/>
      </c>
      <c r="Y97" s="20" t="str">
        <f>IF($D97="","",(V97+W97)&amp;"/11")</f>
        <v/>
      </c>
    </row>
    <row r="98" spans="1:25">
      <c r="A98" s="6" t="str">
        <f>IF('03_Base_Indice'!$A98="","",'03_Base_Indice'!$A98)</f>
        <v>10. Demografia, Território e Urbanização</v>
      </c>
      <c r="B98" s="6">
        <f>'03_Base_Indice'!$B98</f>
        <v>4</v>
      </c>
      <c r="D98" s="6" t="str">
        <f>IF('03_Base_Indice'!$D98="","",'03_Base_Indice'!$D98)</f>
        <v/>
      </c>
      <c r="E98" s="6" t="str">
        <f>IF('03_Base_Indice'!$E98="","",'03_Base_Indice'!$E98)</f>
        <v/>
      </c>
      <c r="K98" s="20" t="str">
        <f>IF('03_Base_Indice'!$D98="","",IF('03_Base_Indice'!K98&lt;&gt;"","OBS",IF(AND(Aux!B98&lt;&gt;"",Aux!N98&lt;&gt;"",(N(Aux!N98)-N(Aux!B98)-1)&lt;='01_Criterios'!$C$13),"EST_INTERP",IF(AND(Aux!B98&lt;&gt;"",(1-N(Aux!B98))&lt;='01_Criterios'!$C$14),"EST_CARRY_FWD",IF(AND(Aux!N98&lt;&gt;"",(N(Aux!N98)-1)&lt;='01_Criterios'!$C$15),"EST_CARRY_BWD","SEM_DADO")))))</f>
        <v/>
      </c>
      <c r="L98" s="20" t="str">
        <f>IF('03_Base_Indice'!$D98="","",IF('03_Base_Indice'!L98&lt;&gt;"","OBS",IF(AND(Aux!C98&lt;&gt;"",Aux!O98&lt;&gt;"",(N(Aux!O98)-N(Aux!C98)-1)&lt;='01_Criterios'!$C$13),"EST_INTERP",IF(AND(Aux!C98&lt;&gt;"",(2-N(Aux!C98))&lt;='01_Criterios'!$C$14),"EST_CARRY_FWD",IF(AND(Aux!O98&lt;&gt;"",(N(Aux!O98)-2)&lt;='01_Criterios'!$C$15),"EST_CARRY_BWD","SEM_DADO")))))</f>
        <v/>
      </c>
      <c r="M98" s="20" t="str">
        <f>IF('03_Base_Indice'!$D98="","",IF('03_Base_Indice'!M98&lt;&gt;"","OBS",IF(AND(Aux!D98&lt;&gt;"",Aux!P98&lt;&gt;"",(N(Aux!P98)-N(Aux!D98)-1)&lt;='01_Criterios'!$C$13),"EST_INTERP",IF(AND(Aux!D98&lt;&gt;"",(3-N(Aux!D98))&lt;='01_Criterios'!$C$14),"EST_CARRY_FWD",IF(AND(Aux!P98&lt;&gt;"",(N(Aux!P98)-3)&lt;='01_Criterios'!$C$15),"EST_CARRY_BWD","SEM_DADO")))))</f>
        <v/>
      </c>
      <c r="N98" s="20" t="str">
        <f>IF('03_Base_Indice'!$D98="","",IF('03_Base_Indice'!N98&lt;&gt;"","OBS",IF(AND(Aux!E98&lt;&gt;"",Aux!Q98&lt;&gt;"",(N(Aux!Q98)-N(Aux!E98)-1)&lt;='01_Criterios'!$C$13),"EST_INTERP",IF(AND(Aux!E98&lt;&gt;"",(4-N(Aux!E98))&lt;='01_Criterios'!$C$14),"EST_CARRY_FWD",IF(AND(Aux!Q98&lt;&gt;"",(N(Aux!Q98)-4)&lt;='01_Criterios'!$C$15),"EST_CARRY_BWD","SEM_DADO")))))</f>
        <v/>
      </c>
      <c r="O98" s="20" t="str">
        <f>IF('03_Base_Indice'!$D98="","",IF('03_Base_Indice'!O98&lt;&gt;"","OBS",IF(AND(Aux!F98&lt;&gt;"",Aux!R98&lt;&gt;"",(N(Aux!R98)-N(Aux!F98)-1)&lt;='01_Criterios'!$C$13),"EST_INTERP",IF(AND(Aux!F98&lt;&gt;"",(5-N(Aux!F98))&lt;='01_Criterios'!$C$14),"EST_CARRY_FWD",IF(AND(Aux!R98&lt;&gt;"",(N(Aux!R98)-5)&lt;='01_Criterios'!$C$15),"EST_CARRY_BWD","SEM_DADO")))))</f>
        <v/>
      </c>
      <c r="P98" s="20" t="str">
        <f>IF('03_Base_Indice'!$D98="","",IF('03_Base_Indice'!P98&lt;&gt;"","OBS",IF(AND(Aux!G98&lt;&gt;"",Aux!S98&lt;&gt;"",(N(Aux!S98)-N(Aux!G98)-1)&lt;='01_Criterios'!$C$13),"EST_INTERP",IF(AND(Aux!G98&lt;&gt;"",(6-N(Aux!G98))&lt;='01_Criterios'!$C$14),"EST_CARRY_FWD",IF(AND(Aux!S98&lt;&gt;"",(N(Aux!S98)-6)&lt;='01_Criterios'!$C$15),"EST_CARRY_BWD","SEM_DADO")))))</f>
        <v/>
      </c>
      <c r="Q98" s="20" t="str">
        <f>IF('03_Base_Indice'!$D98="","",IF('03_Base_Indice'!Q98&lt;&gt;"","OBS",IF(AND(Aux!H98&lt;&gt;"",Aux!T98&lt;&gt;"",(N(Aux!T98)-N(Aux!H98)-1)&lt;='01_Criterios'!$C$13),"EST_INTERP",IF(AND(Aux!H98&lt;&gt;"",(7-N(Aux!H98))&lt;='01_Criterios'!$C$14),"EST_CARRY_FWD",IF(AND(Aux!T98&lt;&gt;"",(N(Aux!T98)-7)&lt;='01_Criterios'!$C$15),"EST_CARRY_BWD","SEM_DADO")))))</f>
        <v/>
      </c>
      <c r="R98" s="20" t="str">
        <f>IF('03_Base_Indice'!$D98="","",IF('03_Base_Indice'!R98&lt;&gt;"","OBS",IF(AND(Aux!I98&lt;&gt;"",Aux!U98&lt;&gt;"",(N(Aux!U98)-N(Aux!I98)-1)&lt;='01_Criterios'!$C$13),"EST_INTERP",IF(AND(Aux!I98&lt;&gt;"",(8-N(Aux!I98))&lt;='01_Criterios'!$C$14),"EST_CARRY_FWD",IF(AND(Aux!U98&lt;&gt;"",(N(Aux!U98)-8)&lt;='01_Criterios'!$C$15),"EST_CARRY_BWD","SEM_DADO")))))</f>
        <v/>
      </c>
      <c r="S98" s="20" t="str">
        <f>IF('03_Base_Indice'!$D98="","",IF('03_Base_Indice'!S98&lt;&gt;"","OBS",IF(AND(Aux!J98&lt;&gt;"",Aux!V98&lt;&gt;"",(N(Aux!V98)-N(Aux!J98)-1)&lt;='01_Criterios'!$C$13),"EST_INTERP",IF(AND(Aux!J98&lt;&gt;"",(9-N(Aux!J98))&lt;='01_Criterios'!$C$14),"EST_CARRY_FWD",IF(AND(Aux!V98&lt;&gt;"",(N(Aux!V98)-9)&lt;='01_Criterios'!$C$15),"EST_CARRY_BWD","SEM_DADO")))))</f>
        <v/>
      </c>
      <c r="T98" s="20" t="str">
        <f>IF('03_Base_Indice'!$D98="","",IF('03_Base_Indice'!T98&lt;&gt;"","OBS",IF(AND(Aux!K98&lt;&gt;"",Aux!W98&lt;&gt;"",(N(Aux!W98)-N(Aux!K98)-1)&lt;='01_Criterios'!$C$13),"EST_INTERP",IF(AND(Aux!K98&lt;&gt;"",(10-N(Aux!K98))&lt;='01_Criterios'!$C$14),"EST_CARRY_FWD",IF(AND(Aux!W98&lt;&gt;"",(N(Aux!W98)-10)&lt;='01_Criterios'!$C$15),"EST_CARRY_BWD","SEM_DADO")))))</f>
        <v/>
      </c>
      <c r="U98" s="20" t="str">
        <f>IF('03_Base_Indice'!$D98="","",IF('03_Base_Indice'!U98&lt;&gt;"","OBS",IF(AND(Aux!L98&lt;&gt;"",Aux!X98&lt;&gt;"",(N(Aux!X98)-N(Aux!L98)-1)&lt;='01_Criterios'!$C$13),"EST_INTERP",IF(AND(Aux!L98&lt;&gt;"",(11-N(Aux!L98))&lt;='01_Criterios'!$C$14),"EST_CARRY_FWD",IF(AND(Aux!X98&lt;&gt;"",(N(Aux!X98)-11)&lt;='01_Criterios'!$C$15),"EST_CARRY_BWD","SEM_DADO")))))</f>
        <v/>
      </c>
      <c r="V98" s="20" t="str">
        <f>IF($D98="","",COUNTIF(K98:U98,"OBS"))</f>
        <v/>
      </c>
      <c r="W98" s="20" t="str">
        <f>IF($D98="","",COUNTIF(K98:U98,"EST_*"))</f>
        <v/>
      </c>
      <c r="X98" s="20" t="str">
        <f>IF($D98="","",COUNTIF(K98:U98,"SEM_DADO"))</f>
        <v/>
      </c>
      <c r="Y98" s="20" t="str">
        <f>IF($D98="","",(V98+W98)&amp;"/11")</f>
        <v/>
      </c>
    </row>
    <row r="99" spans="1:25">
      <c r="A99" s="6" t="str">
        <f>IF('03_Base_Indice'!$A99="","",'03_Base_Indice'!$A99)</f>
        <v>10. Demografia, Território e Urbanização</v>
      </c>
      <c r="B99" s="6">
        <f>'03_Base_Indice'!$B99</f>
        <v>5</v>
      </c>
      <c r="D99" s="6" t="str">
        <f>IF('03_Base_Indice'!$D99="","",'03_Base_Indice'!$D99)</f>
        <v/>
      </c>
      <c r="E99" s="6" t="str">
        <f>IF('03_Base_Indice'!$E99="","",'03_Base_Indice'!$E99)</f>
        <v/>
      </c>
      <c r="K99" s="20" t="str">
        <f>IF('03_Base_Indice'!$D99="","",IF('03_Base_Indice'!K99&lt;&gt;"","OBS",IF(AND(Aux!B99&lt;&gt;"",Aux!N99&lt;&gt;"",(N(Aux!N99)-N(Aux!B99)-1)&lt;='01_Criterios'!$C$13),"EST_INTERP",IF(AND(Aux!B99&lt;&gt;"",(1-N(Aux!B99))&lt;='01_Criterios'!$C$14),"EST_CARRY_FWD",IF(AND(Aux!N99&lt;&gt;"",(N(Aux!N99)-1)&lt;='01_Criterios'!$C$15),"EST_CARRY_BWD","SEM_DADO")))))</f>
        <v/>
      </c>
      <c r="L99" s="20" t="str">
        <f>IF('03_Base_Indice'!$D99="","",IF('03_Base_Indice'!L99&lt;&gt;"","OBS",IF(AND(Aux!C99&lt;&gt;"",Aux!O99&lt;&gt;"",(N(Aux!O99)-N(Aux!C99)-1)&lt;='01_Criterios'!$C$13),"EST_INTERP",IF(AND(Aux!C99&lt;&gt;"",(2-N(Aux!C99))&lt;='01_Criterios'!$C$14),"EST_CARRY_FWD",IF(AND(Aux!O99&lt;&gt;"",(N(Aux!O99)-2)&lt;='01_Criterios'!$C$15),"EST_CARRY_BWD","SEM_DADO")))))</f>
        <v/>
      </c>
      <c r="M99" s="20" t="str">
        <f>IF('03_Base_Indice'!$D99="","",IF('03_Base_Indice'!M99&lt;&gt;"","OBS",IF(AND(Aux!D99&lt;&gt;"",Aux!P99&lt;&gt;"",(N(Aux!P99)-N(Aux!D99)-1)&lt;='01_Criterios'!$C$13),"EST_INTERP",IF(AND(Aux!D99&lt;&gt;"",(3-N(Aux!D99))&lt;='01_Criterios'!$C$14),"EST_CARRY_FWD",IF(AND(Aux!P99&lt;&gt;"",(N(Aux!P99)-3)&lt;='01_Criterios'!$C$15),"EST_CARRY_BWD","SEM_DADO")))))</f>
        <v/>
      </c>
      <c r="N99" s="20" t="str">
        <f>IF('03_Base_Indice'!$D99="","",IF('03_Base_Indice'!N99&lt;&gt;"","OBS",IF(AND(Aux!E99&lt;&gt;"",Aux!Q99&lt;&gt;"",(N(Aux!Q99)-N(Aux!E99)-1)&lt;='01_Criterios'!$C$13),"EST_INTERP",IF(AND(Aux!E99&lt;&gt;"",(4-N(Aux!E99))&lt;='01_Criterios'!$C$14),"EST_CARRY_FWD",IF(AND(Aux!Q99&lt;&gt;"",(N(Aux!Q99)-4)&lt;='01_Criterios'!$C$15),"EST_CARRY_BWD","SEM_DADO")))))</f>
        <v/>
      </c>
      <c r="O99" s="20" t="str">
        <f>IF('03_Base_Indice'!$D99="","",IF('03_Base_Indice'!O99&lt;&gt;"","OBS",IF(AND(Aux!F99&lt;&gt;"",Aux!R99&lt;&gt;"",(N(Aux!R99)-N(Aux!F99)-1)&lt;='01_Criterios'!$C$13),"EST_INTERP",IF(AND(Aux!F99&lt;&gt;"",(5-N(Aux!F99))&lt;='01_Criterios'!$C$14),"EST_CARRY_FWD",IF(AND(Aux!R99&lt;&gt;"",(N(Aux!R99)-5)&lt;='01_Criterios'!$C$15),"EST_CARRY_BWD","SEM_DADO")))))</f>
        <v/>
      </c>
      <c r="P99" s="20" t="str">
        <f>IF('03_Base_Indice'!$D99="","",IF('03_Base_Indice'!P99&lt;&gt;"","OBS",IF(AND(Aux!G99&lt;&gt;"",Aux!S99&lt;&gt;"",(N(Aux!S99)-N(Aux!G99)-1)&lt;='01_Criterios'!$C$13),"EST_INTERP",IF(AND(Aux!G99&lt;&gt;"",(6-N(Aux!G99))&lt;='01_Criterios'!$C$14),"EST_CARRY_FWD",IF(AND(Aux!S99&lt;&gt;"",(N(Aux!S99)-6)&lt;='01_Criterios'!$C$15),"EST_CARRY_BWD","SEM_DADO")))))</f>
        <v/>
      </c>
      <c r="Q99" s="20" t="str">
        <f>IF('03_Base_Indice'!$D99="","",IF('03_Base_Indice'!Q99&lt;&gt;"","OBS",IF(AND(Aux!H99&lt;&gt;"",Aux!T99&lt;&gt;"",(N(Aux!T99)-N(Aux!H99)-1)&lt;='01_Criterios'!$C$13),"EST_INTERP",IF(AND(Aux!H99&lt;&gt;"",(7-N(Aux!H99))&lt;='01_Criterios'!$C$14),"EST_CARRY_FWD",IF(AND(Aux!T99&lt;&gt;"",(N(Aux!T99)-7)&lt;='01_Criterios'!$C$15),"EST_CARRY_BWD","SEM_DADO")))))</f>
        <v/>
      </c>
      <c r="R99" s="20" t="str">
        <f>IF('03_Base_Indice'!$D99="","",IF('03_Base_Indice'!R99&lt;&gt;"","OBS",IF(AND(Aux!I99&lt;&gt;"",Aux!U99&lt;&gt;"",(N(Aux!U99)-N(Aux!I99)-1)&lt;='01_Criterios'!$C$13),"EST_INTERP",IF(AND(Aux!I99&lt;&gt;"",(8-N(Aux!I99))&lt;='01_Criterios'!$C$14),"EST_CARRY_FWD",IF(AND(Aux!U99&lt;&gt;"",(N(Aux!U99)-8)&lt;='01_Criterios'!$C$15),"EST_CARRY_BWD","SEM_DADO")))))</f>
        <v/>
      </c>
      <c r="S99" s="20" t="str">
        <f>IF('03_Base_Indice'!$D99="","",IF('03_Base_Indice'!S99&lt;&gt;"","OBS",IF(AND(Aux!J99&lt;&gt;"",Aux!V99&lt;&gt;"",(N(Aux!V99)-N(Aux!J99)-1)&lt;='01_Criterios'!$C$13),"EST_INTERP",IF(AND(Aux!J99&lt;&gt;"",(9-N(Aux!J99))&lt;='01_Criterios'!$C$14),"EST_CARRY_FWD",IF(AND(Aux!V99&lt;&gt;"",(N(Aux!V99)-9)&lt;='01_Criterios'!$C$15),"EST_CARRY_BWD","SEM_DADO")))))</f>
        <v/>
      </c>
      <c r="T99" s="20" t="str">
        <f>IF('03_Base_Indice'!$D99="","",IF('03_Base_Indice'!T99&lt;&gt;"","OBS",IF(AND(Aux!K99&lt;&gt;"",Aux!W99&lt;&gt;"",(N(Aux!W99)-N(Aux!K99)-1)&lt;='01_Criterios'!$C$13),"EST_INTERP",IF(AND(Aux!K99&lt;&gt;"",(10-N(Aux!K99))&lt;='01_Criterios'!$C$14),"EST_CARRY_FWD",IF(AND(Aux!W99&lt;&gt;"",(N(Aux!W99)-10)&lt;='01_Criterios'!$C$15),"EST_CARRY_BWD","SEM_DADO")))))</f>
        <v/>
      </c>
      <c r="U99" s="20" t="str">
        <f>IF('03_Base_Indice'!$D99="","",IF('03_Base_Indice'!U99&lt;&gt;"","OBS",IF(AND(Aux!L99&lt;&gt;"",Aux!X99&lt;&gt;"",(N(Aux!X99)-N(Aux!L99)-1)&lt;='01_Criterios'!$C$13),"EST_INTERP",IF(AND(Aux!L99&lt;&gt;"",(11-N(Aux!L99))&lt;='01_Criterios'!$C$14),"EST_CARRY_FWD",IF(AND(Aux!X99&lt;&gt;"",(N(Aux!X99)-11)&lt;='01_Criterios'!$C$15),"EST_CARRY_BWD","SEM_DADO")))))</f>
        <v/>
      </c>
      <c r="V99" s="20" t="str">
        <f>IF($D99="","",COUNTIF(K99:U99,"OBS"))</f>
        <v/>
      </c>
      <c r="W99" s="20" t="str">
        <f>IF($D99="","",COUNTIF(K99:U99,"EST_*"))</f>
        <v/>
      </c>
      <c r="X99" s="20" t="str">
        <f>IF($D99="","",COUNTIF(K99:U99,"SEM_DADO"))</f>
        <v/>
      </c>
      <c r="Y99" s="20" t="str">
        <f>IF($D99="","",(V99+W99)&amp;"/11")</f>
        <v/>
      </c>
    </row>
    <row r="100" spans="1:25">
      <c r="A100" s="6" t="str">
        <f>IF('03_Base_Indice'!$A100="","",'03_Base_Indice'!$A100)</f>
        <v>10. Demografia, Território e Urbanização</v>
      </c>
      <c r="B100" s="6">
        <f>'03_Base_Indice'!$B100</f>
        <v>6</v>
      </c>
      <c r="D100" s="6" t="str">
        <f>IF('03_Base_Indice'!$D100="","",'03_Base_Indice'!$D100)</f>
        <v/>
      </c>
      <c r="E100" s="6" t="str">
        <f>IF('03_Base_Indice'!$E100="","",'03_Base_Indice'!$E100)</f>
        <v/>
      </c>
      <c r="K100" s="20" t="str">
        <f>IF('03_Base_Indice'!$D100="","",IF('03_Base_Indice'!K100&lt;&gt;"","OBS",IF(AND(Aux!B100&lt;&gt;"",Aux!N100&lt;&gt;"",(N(Aux!N100)-N(Aux!B100)-1)&lt;='01_Criterios'!$C$13),"EST_INTERP",IF(AND(Aux!B100&lt;&gt;"",(1-N(Aux!B100))&lt;='01_Criterios'!$C$14),"EST_CARRY_FWD",IF(AND(Aux!N100&lt;&gt;"",(N(Aux!N100)-1)&lt;='01_Criterios'!$C$15),"EST_CARRY_BWD","SEM_DADO")))))</f>
        <v/>
      </c>
      <c r="L100" s="20" t="str">
        <f>IF('03_Base_Indice'!$D100="","",IF('03_Base_Indice'!L100&lt;&gt;"","OBS",IF(AND(Aux!C100&lt;&gt;"",Aux!O100&lt;&gt;"",(N(Aux!O100)-N(Aux!C100)-1)&lt;='01_Criterios'!$C$13),"EST_INTERP",IF(AND(Aux!C100&lt;&gt;"",(2-N(Aux!C100))&lt;='01_Criterios'!$C$14),"EST_CARRY_FWD",IF(AND(Aux!O100&lt;&gt;"",(N(Aux!O100)-2)&lt;='01_Criterios'!$C$15),"EST_CARRY_BWD","SEM_DADO")))))</f>
        <v/>
      </c>
      <c r="M100" s="20" t="str">
        <f>IF('03_Base_Indice'!$D100="","",IF('03_Base_Indice'!M100&lt;&gt;"","OBS",IF(AND(Aux!D100&lt;&gt;"",Aux!P100&lt;&gt;"",(N(Aux!P100)-N(Aux!D100)-1)&lt;='01_Criterios'!$C$13),"EST_INTERP",IF(AND(Aux!D100&lt;&gt;"",(3-N(Aux!D100))&lt;='01_Criterios'!$C$14),"EST_CARRY_FWD",IF(AND(Aux!P100&lt;&gt;"",(N(Aux!P100)-3)&lt;='01_Criterios'!$C$15),"EST_CARRY_BWD","SEM_DADO")))))</f>
        <v/>
      </c>
      <c r="N100" s="20" t="str">
        <f>IF('03_Base_Indice'!$D100="","",IF('03_Base_Indice'!N100&lt;&gt;"","OBS",IF(AND(Aux!E100&lt;&gt;"",Aux!Q100&lt;&gt;"",(N(Aux!Q100)-N(Aux!E100)-1)&lt;='01_Criterios'!$C$13),"EST_INTERP",IF(AND(Aux!E100&lt;&gt;"",(4-N(Aux!E100))&lt;='01_Criterios'!$C$14),"EST_CARRY_FWD",IF(AND(Aux!Q100&lt;&gt;"",(N(Aux!Q100)-4)&lt;='01_Criterios'!$C$15),"EST_CARRY_BWD","SEM_DADO")))))</f>
        <v/>
      </c>
      <c r="O100" s="20" t="str">
        <f>IF('03_Base_Indice'!$D100="","",IF('03_Base_Indice'!O100&lt;&gt;"","OBS",IF(AND(Aux!F100&lt;&gt;"",Aux!R100&lt;&gt;"",(N(Aux!R100)-N(Aux!F100)-1)&lt;='01_Criterios'!$C$13),"EST_INTERP",IF(AND(Aux!F100&lt;&gt;"",(5-N(Aux!F100))&lt;='01_Criterios'!$C$14),"EST_CARRY_FWD",IF(AND(Aux!R100&lt;&gt;"",(N(Aux!R100)-5)&lt;='01_Criterios'!$C$15),"EST_CARRY_BWD","SEM_DADO")))))</f>
        <v/>
      </c>
      <c r="P100" s="20" t="str">
        <f>IF('03_Base_Indice'!$D100="","",IF('03_Base_Indice'!P100&lt;&gt;"","OBS",IF(AND(Aux!G100&lt;&gt;"",Aux!S100&lt;&gt;"",(N(Aux!S100)-N(Aux!G100)-1)&lt;='01_Criterios'!$C$13),"EST_INTERP",IF(AND(Aux!G100&lt;&gt;"",(6-N(Aux!G100))&lt;='01_Criterios'!$C$14),"EST_CARRY_FWD",IF(AND(Aux!S100&lt;&gt;"",(N(Aux!S100)-6)&lt;='01_Criterios'!$C$15),"EST_CARRY_BWD","SEM_DADO")))))</f>
        <v/>
      </c>
      <c r="Q100" s="20" t="str">
        <f>IF('03_Base_Indice'!$D100="","",IF('03_Base_Indice'!Q100&lt;&gt;"","OBS",IF(AND(Aux!H100&lt;&gt;"",Aux!T100&lt;&gt;"",(N(Aux!T100)-N(Aux!H100)-1)&lt;='01_Criterios'!$C$13),"EST_INTERP",IF(AND(Aux!H100&lt;&gt;"",(7-N(Aux!H100))&lt;='01_Criterios'!$C$14),"EST_CARRY_FWD",IF(AND(Aux!T100&lt;&gt;"",(N(Aux!T100)-7)&lt;='01_Criterios'!$C$15),"EST_CARRY_BWD","SEM_DADO")))))</f>
        <v/>
      </c>
      <c r="R100" s="20" t="str">
        <f>IF('03_Base_Indice'!$D100="","",IF('03_Base_Indice'!R100&lt;&gt;"","OBS",IF(AND(Aux!I100&lt;&gt;"",Aux!U100&lt;&gt;"",(N(Aux!U100)-N(Aux!I100)-1)&lt;='01_Criterios'!$C$13),"EST_INTERP",IF(AND(Aux!I100&lt;&gt;"",(8-N(Aux!I100))&lt;='01_Criterios'!$C$14),"EST_CARRY_FWD",IF(AND(Aux!U100&lt;&gt;"",(N(Aux!U100)-8)&lt;='01_Criterios'!$C$15),"EST_CARRY_BWD","SEM_DADO")))))</f>
        <v/>
      </c>
      <c r="S100" s="20" t="str">
        <f>IF('03_Base_Indice'!$D100="","",IF('03_Base_Indice'!S100&lt;&gt;"","OBS",IF(AND(Aux!J100&lt;&gt;"",Aux!V100&lt;&gt;"",(N(Aux!V100)-N(Aux!J100)-1)&lt;='01_Criterios'!$C$13),"EST_INTERP",IF(AND(Aux!J100&lt;&gt;"",(9-N(Aux!J100))&lt;='01_Criterios'!$C$14),"EST_CARRY_FWD",IF(AND(Aux!V100&lt;&gt;"",(N(Aux!V100)-9)&lt;='01_Criterios'!$C$15),"EST_CARRY_BWD","SEM_DADO")))))</f>
        <v/>
      </c>
      <c r="T100" s="20" t="str">
        <f>IF('03_Base_Indice'!$D100="","",IF('03_Base_Indice'!T100&lt;&gt;"","OBS",IF(AND(Aux!K100&lt;&gt;"",Aux!W100&lt;&gt;"",(N(Aux!W100)-N(Aux!K100)-1)&lt;='01_Criterios'!$C$13),"EST_INTERP",IF(AND(Aux!K100&lt;&gt;"",(10-N(Aux!K100))&lt;='01_Criterios'!$C$14),"EST_CARRY_FWD",IF(AND(Aux!W100&lt;&gt;"",(N(Aux!W100)-10)&lt;='01_Criterios'!$C$15),"EST_CARRY_BWD","SEM_DADO")))))</f>
        <v/>
      </c>
      <c r="U100" s="20" t="str">
        <f>IF('03_Base_Indice'!$D100="","",IF('03_Base_Indice'!U100&lt;&gt;"","OBS",IF(AND(Aux!L100&lt;&gt;"",Aux!X100&lt;&gt;"",(N(Aux!X100)-N(Aux!L100)-1)&lt;='01_Criterios'!$C$13),"EST_INTERP",IF(AND(Aux!L100&lt;&gt;"",(11-N(Aux!L100))&lt;='01_Criterios'!$C$14),"EST_CARRY_FWD",IF(AND(Aux!X100&lt;&gt;"",(N(Aux!X100)-11)&lt;='01_Criterios'!$C$15),"EST_CARRY_BWD","SEM_DADO")))))</f>
        <v/>
      </c>
      <c r="V100" s="20" t="str">
        <f>IF($D100="","",COUNTIF(K100:U100,"OBS"))</f>
        <v/>
      </c>
      <c r="W100" s="20" t="str">
        <f>IF($D100="","",COUNTIF(K100:U100,"EST_*"))</f>
        <v/>
      </c>
      <c r="X100" s="20" t="str">
        <f>IF($D100="","",COUNTIF(K100:U100,"SEM_DADO"))</f>
        <v/>
      </c>
      <c r="Y100" s="20" t="str">
        <f>IF($D100="","",(V100+W100)&amp;"/11")</f>
        <v/>
      </c>
    </row>
    <row r="101" spans="1:25">
      <c r="A101" s="6" t="str">
        <f>IF('03_Base_Indice'!$A101="","",'03_Base_Indice'!$A101)</f>
        <v>10. Demografia, Território e Urbanização</v>
      </c>
      <c r="B101" s="6">
        <f>'03_Base_Indice'!$B101</f>
        <v>7</v>
      </c>
      <c r="D101" s="6" t="str">
        <f>IF('03_Base_Indice'!$D101="","",'03_Base_Indice'!$D101)</f>
        <v/>
      </c>
      <c r="E101" s="6" t="str">
        <f>IF('03_Base_Indice'!$E101="","",'03_Base_Indice'!$E101)</f>
        <v/>
      </c>
      <c r="K101" s="20" t="str">
        <f>IF('03_Base_Indice'!$D101="","",IF('03_Base_Indice'!K101&lt;&gt;"","OBS",IF(AND(Aux!B101&lt;&gt;"",Aux!N101&lt;&gt;"",(N(Aux!N101)-N(Aux!B101)-1)&lt;='01_Criterios'!$C$13),"EST_INTERP",IF(AND(Aux!B101&lt;&gt;"",(1-N(Aux!B101))&lt;='01_Criterios'!$C$14),"EST_CARRY_FWD",IF(AND(Aux!N101&lt;&gt;"",(N(Aux!N101)-1)&lt;='01_Criterios'!$C$15),"EST_CARRY_BWD","SEM_DADO")))))</f>
        <v/>
      </c>
      <c r="L101" s="20" t="str">
        <f>IF('03_Base_Indice'!$D101="","",IF('03_Base_Indice'!L101&lt;&gt;"","OBS",IF(AND(Aux!C101&lt;&gt;"",Aux!O101&lt;&gt;"",(N(Aux!O101)-N(Aux!C101)-1)&lt;='01_Criterios'!$C$13),"EST_INTERP",IF(AND(Aux!C101&lt;&gt;"",(2-N(Aux!C101))&lt;='01_Criterios'!$C$14),"EST_CARRY_FWD",IF(AND(Aux!O101&lt;&gt;"",(N(Aux!O101)-2)&lt;='01_Criterios'!$C$15),"EST_CARRY_BWD","SEM_DADO")))))</f>
        <v/>
      </c>
      <c r="M101" s="20" t="str">
        <f>IF('03_Base_Indice'!$D101="","",IF('03_Base_Indice'!M101&lt;&gt;"","OBS",IF(AND(Aux!D101&lt;&gt;"",Aux!P101&lt;&gt;"",(N(Aux!P101)-N(Aux!D101)-1)&lt;='01_Criterios'!$C$13),"EST_INTERP",IF(AND(Aux!D101&lt;&gt;"",(3-N(Aux!D101))&lt;='01_Criterios'!$C$14),"EST_CARRY_FWD",IF(AND(Aux!P101&lt;&gt;"",(N(Aux!P101)-3)&lt;='01_Criterios'!$C$15),"EST_CARRY_BWD","SEM_DADO")))))</f>
        <v/>
      </c>
      <c r="N101" s="20" t="str">
        <f>IF('03_Base_Indice'!$D101="","",IF('03_Base_Indice'!N101&lt;&gt;"","OBS",IF(AND(Aux!E101&lt;&gt;"",Aux!Q101&lt;&gt;"",(N(Aux!Q101)-N(Aux!E101)-1)&lt;='01_Criterios'!$C$13),"EST_INTERP",IF(AND(Aux!E101&lt;&gt;"",(4-N(Aux!E101))&lt;='01_Criterios'!$C$14),"EST_CARRY_FWD",IF(AND(Aux!Q101&lt;&gt;"",(N(Aux!Q101)-4)&lt;='01_Criterios'!$C$15),"EST_CARRY_BWD","SEM_DADO")))))</f>
        <v/>
      </c>
      <c r="O101" s="20" t="str">
        <f>IF('03_Base_Indice'!$D101="","",IF('03_Base_Indice'!O101&lt;&gt;"","OBS",IF(AND(Aux!F101&lt;&gt;"",Aux!R101&lt;&gt;"",(N(Aux!R101)-N(Aux!F101)-1)&lt;='01_Criterios'!$C$13),"EST_INTERP",IF(AND(Aux!F101&lt;&gt;"",(5-N(Aux!F101))&lt;='01_Criterios'!$C$14),"EST_CARRY_FWD",IF(AND(Aux!R101&lt;&gt;"",(N(Aux!R101)-5)&lt;='01_Criterios'!$C$15),"EST_CARRY_BWD","SEM_DADO")))))</f>
        <v/>
      </c>
      <c r="P101" s="20" t="str">
        <f>IF('03_Base_Indice'!$D101="","",IF('03_Base_Indice'!P101&lt;&gt;"","OBS",IF(AND(Aux!G101&lt;&gt;"",Aux!S101&lt;&gt;"",(N(Aux!S101)-N(Aux!G101)-1)&lt;='01_Criterios'!$C$13),"EST_INTERP",IF(AND(Aux!G101&lt;&gt;"",(6-N(Aux!G101))&lt;='01_Criterios'!$C$14),"EST_CARRY_FWD",IF(AND(Aux!S101&lt;&gt;"",(N(Aux!S101)-6)&lt;='01_Criterios'!$C$15),"EST_CARRY_BWD","SEM_DADO")))))</f>
        <v/>
      </c>
      <c r="Q101" s="20" t="str">
        <f>IF('03_Base_Indice'!$D101="","",IF('03_Base_Indice'!Q101&lt;&gt;"","OBS",IF(AND(Aux!H101&lt;&gt;"",Aux!T101&lt;&gt;"",(N(Aux!T101)-N(Aux!H101)-1)&lt;='01_Criterios'!$C$13),"EST_INTERP",IF(AND(Aux!H101&lt;&gt;"",(7-N(Aux!H101))&lt;='01_Criterios'!$C$14),"EST_CARRY_FWD",IF(AND(Aux!T101&lt;&gt;"",(N(Aux!T101)-7)&lt;='01_Criterios'!$C$15),"EST_CARRY_BWD","SEM_DADO")))))</f>
        <v/>
      </c>
      <c r="R101" s="20" t="str">
        <f>IF('03_Base_Indice'!$D101="","",IF('03_Base_Indice'!R101&lt;&gt;"","OBS",IF(AND(Aux!I101&lt;&gt;"",Aux!U101&lt;&gt;"",(N(Aux!U101)-N(Aux!I101)-1)&lt;='01_Criterios'!$C$13),"EST_INTERP",IF(AND(Aux!I101&lt;&gt;"",(8-N(Aux!I101))&lt;='01_Criterios'!$C$14),"EST_CARRY_FWD",IF(AND(Aux!U101&lt;&gt;"",(N(Aux!U101)-8)&lt;='01_Criterios'!$C$15),"EST_CARRY_BWD","SEM_DADO")))))</f>
        <v/>
      </c>
      <c r="S101" s="20" t="str">
        <f>IF('03_Base_Indice'!$D101="","",IF('03_Base_Indice'!S101&lt;&gt;"","OBS",IF(AND(Aux!J101&lt;&gt;"",Aux!V101&lt;&gt;"",(N(Aux!V101)-N(Aux!J101)-1)&lt;='01_Criterios'!$C$13),"EST_INTERP",IF(AND(Aux!J101&lt;&gt;"",(9-N(Aux!J101))&lt;='01_Criterios'!$C$14),"EST_CARRY_FWD",IF(AND(Aux!V101&lt;&gt;"",(N(Aux!V101)-9)&lt;='01_Criterios'!$C$15),"EST_CARRY_BWD","SEM_DADO")))))</f>
        <v/>
      </c>
      <c r="T101" s="20" t="str">
        <f>IF('03_Base_Indice'!$D101="","",IF('03_Base_Indice'!T101&lt;&gt;"","OBS",IF(AND(Aux!K101&lt;&gt;"",Aux!W101&lt;&gt;"",(N(Aux!W101)-N(Aux!K101)-1)&lt;='01_Criterios'!$C$13),"EST_INTERP",IF(AND(Aux!K101&lt;&gt;"",(10-N(Aux!K101))&lt;='01_Criterios'!$C$14),"EST_CARRY_FWD",IF(AND(Aux!W101&lt;&gt;"",(N(Aux!W101)-10)&lt;='01_Criterios'!$C$15),"EST_CARRY_BWD","SEM_DADO")))))</f>
        <v/>
      </c>
      <c r="U101" s="20" t="str">
        <f>IF('03_Base_Indice'!$D101="","",IF('03_Base_Indice'!U101&lt;&gt;"","OBS",IF(AND(Aux!L101&lt;&gt;"",Aux!X101&lt;&gt;"",(N(Aux!X101)-N(Aux!L101)-1)&lt;='01_Criterios'!$C$13),"EST_INTERP",IF(AND(Aux!L101&lt;&gt;"",(11-N(Aux!L101))&lt;='01_Criterios'!$C$14),"EST_CARRY_FWD",IF(AND(Aux!X101&lt;&gt;"",(N(Aux!X101)-11)&lt;='01_Criterios'!$C$15),"EST_CARRY_BWD","SEM_DADO")))))</f>
        <v/>
      </c>
      <c r="V101" s="20" t="str">
        <f>IF($D101="","",COUNTIF(K101:U101,"OBS"))</f>
        <v/>
      </c>
      <c r="W101" s="20" t="str">
        <f>IF($D101="","",COUNTIF(K101:U101,"EST_*"))</f>
        <v/>
      </c>
      <c r="X101" s="20" t="str">
        <f>IF($D101="","",COUNTIF(K101:U101,"SEM_DADO"))</f>
        <v/>
      </c>
      <c r="Y101" s="20" t="str">
        <f>IF($D101="","",(V101+W101)&amp;"/11")</f>
        <v/>
      </c>
    </row>
    <row r="102" spans="1:25">
      <c r="A102" s="6" t="str">
        <f>IF('03_Base_Indice'!$A102="","",'03_Base_Indice'!$A102)</f>
        <v>10. Demografia, Território e Urbanização</v>
      </c>
      <c r="B102" s="6">
        <f>'03_Base_Indice'!$B102</f>
        <v>8</v>
      </c>
      <c r="D102" s="6" t="str">
        <f>IF('03_Base_Indice'!$D102="","",'03_Base_Indice'!$D102)</f>
        <v/>
      </c>
      <c r="E102" s="6" t="str">
        <f>IF('03_Base_Indice'!$E102="","",'03_Base_Indice'!$E102)</f>
        <v/>
      </c>
      <c r="K102" s="20" t="str">
        <f>IF('03_Base_Indice'!$D102="","",IF('03_Base_Indice'!K102&lt;&gt;"","OBS",IF(AND(Aux!B102&lt;&gt;"",Aux!N102&lt;&gt;"",(N(Aux!N102)-N(Aux!B102)-1)&lt;='01_Criterios'!$C$13),"EST_INTERP",IF(AND(Aux!B102&lt;&gt;"",(1-N(Aux!B102))&lt;='01_Criterios'!$C$14),"EST_CARRY_FWD",IF(AND(Aux!N102&lt;&gt;"",(N(Aux!N102)-1)&lt;='01_Criterios'!$C$15),"EST_CARRY_BWD","SEM_DADO")))))</f>
        <v/>
      </c>
      <c r="L102" s="20" t="str">
        <f>IF('03_Base_Indice'!$D102="","",IF('03_Base_Indice'!L102&lt;&gt;"","OBS",IF(AND(Aux!C102&lt;&gt;"",Aux!O102&lt;&gt;"",(N(Aux!O102)-N(Aux!C102)-1)&lt;='01_Criterios'!$C$13),"EST_INTERP",IF(AND(Aux!C102&lt;&gt;"",(2-N(Aux!C102))&lt;='01_Criterios'!$C$14),"EST_CARRY_FWD",IF(AND(Aux!O102&lt;&gt;"",(N(Aux!O102)-2)&lt;='01_Criterios'!$C$15),"EST_CARRY_BWD","SEM_DADO")))))</f>
        <v/>
      </c>
      <c r="M102" s="20" t="str">
        <f>IF('03_Base_Indice'!$D102="","",IF('03_Base_Indice'!M102&lt;&gt;"","OBS",IF(AND(Aux!D102&lt;&gt;"",Aux!P102&lt;&gt;"",(N(Aux!P102)-N(Aux!D102)-1)&lt;='01_Criterios'!$C$13),"EST_INTERP",IF(AND(Aux!D102&lt;&gt;"",(3-N(Aux!D102))&lt;='01_Criterios'!$C$14),"EST_CARRY_FWD",IF(AND(Aux!P102&lt;&gt;"",(N(Aux!P102)-3)&lt;='01_Criterios'!$C$15),"EST_CARRY_BWD","SEM_DADO")))))</f>
        <v/>
      </c>
      <c r="N102" s="20" t="str">
        <f>IF('03_Base_Indice'!$D102="","",IF('03_Base_Indice'!N102&lt;&gt;"","OBS",IF(AND(Aux!E102&lt;&gt;"",Aux!Q102&lt;&gt;"",(N(Aux!Q102)-N(Aux!E102)-1)&lt;='01_Criterios'!$C$13),"EST_INTERP",IF(AND(Aux!E102&lt;&gt;"",(4-N(Aux!E102))&lt;='01_Criterios'!$C$14),"EST_CARRY_FWD",IF(AND(Aux!Q102&lt;&gt;"",(N(Aux!Q102)-4)&lt;='01_Criterios'!$C$15),"EST_CARRY_BWD","SEM_DADO")))))</f>
        <v/>
      </c>
      <c r="O102" s="20" t="str">
        <f>IF('03_Base_Indice'!$D102="","",IF('03_Base_Indice'!O102&lt;&gt;"","OBS",IF(AND(Aux!F102&lt;&gt;"",Aux!R102&lt;&gt;"",(N(Aux!R102)-N(Aux!F102)-1)&lt;='01_Criterios'!$C$13),"EST_INTERP",IF(AND(Aux!F102&lt;&gt;"",(5-N(Aux!F102))&lt;='01_Criterios'!$C$14),"EST_CARRY_FWD",IF(AND(Aux!R102&lt;&gt;"",(N(Aux!R102)-5)&lt;='01_Criterios'!$C$15),"EST_CARRY_BWD","SEM_DADO")))))</f>
        <v/>
      </c>
      <c r="P102" s="20" t="str">
        <f>IF('03_Base_Indice'!$D102="","",IF('03_Base_Indice'!P102&lt;&gt;"","OBS",IF(AND(Aux!G102&lt;&gt;"",Aux!S102&lt;&gt;"",(N(Aux!S102)-N(Aux!G102)-1)&lt;='01_Criterios'!$C$13),"EST_INTERP",IF(AND(Aux!G102&lt;&gt;"",(6-N(Aux!G102))&lt;='01_Criterios'!$C$14),"EST_CARRY_FWD",IF(AND(Aux!S102&lt;&gt;"",(N(Aux!S102)-6)&lt;='01_Criterios'!$C$15),"EST_CARRY_BWD","SEM_DADO")))))</f>
        <v/>
      </c>
      <c r="Q102" s="20" t="str">
        <f>IF('03_Base_Indice'!$D102="","",IF('03_Base_Indice'!Q102&lt;&gt;"","OBS",IF(AND(Aux!H102&lt;&gt;"",Aux!T102&lt;&gt;"",(N(Aux!T102)-N(Aux!H102)-1)&lt;='01_Criterios'!$C$13),"EST_INTERP",IF(AND(Aux!H102&lt;&gt;"",(7-N(Aux!H102))&lt;='01_Criterios'!$C$14),"EST_CARRY_FWD",IF(AND(Aux!T102&lt;&gt;"",(N(Aux!T102)-7)&lt;='01_Criterios'!$C$15),"EST_CARRY_BWD","SEM_DADO")))))</f>
        <v/>
      </c>
      <c r="R102" s="20" t="str">
        <f>IF('03_Base_Indice'!$D102="","",IF('03_Base_Indice'!R102&lt;&gt;"","OBS",IF(AND(Aux!I102&lt;&gt;"",Aux!U102&lt;&gt;"",(N(Aux!U102)-N(Aux!I102)-1)&lt;='01_Criterios'!$C$13),"EST_INTERP",IF(AND(Aux!I102&lt;&gt;"",(8-N(Aux!I102))&lt;='01_Criterios'!$C$14),"EST_CARRY_FWD",IF(AND(Aux!U102&lt;&gt;"",(N(Aux!U102)-8)&lt;='01_Criterios'!$C$15),"EST_CARRY_BWD","SEM_DADO")))))</f>
        <v/>
      </c>
      <c r="S102" s="20" t="str">
        <f>IF('03_Base_Indice'!$D102="","",IF('03_Base_Indice'!S102&lt;&gt;"","OBS",IF(AND(Aux!J102&lt;&gt;"",Aux!V102&lt;&gt;"",(N(Aux!V102)-N(Aux!J102)-1)&lt;='01_Criterios'!$C$13),"EST_INTERP",IF(AND(Aux!J102&lt;&gt;"",(9-N(Aux!J102))&lt;='01_Criterios'!$C$14),"EST_CARRY_FWD",IF(AND(Aux!V102&lt;&gt;"",(N(Aux!V102)-9)&lt;='01_Criterios'!$C$15),"EST_CARRY_BWD","SEM_DADO")))))</f>
        <v/>
      </c>
      <c r="T102" s="20" t="str">
        <f>IF('03_Base_Indice'!$D102="","",IF('03_Base_Indice'!T102&lt;&gt;"","OBS",IF(AND(Aux!K102&lt;&gt;"",Aux!W102&lt;&gt;"",(N(Aux!W102)-N(Aux!K102)-1)&lt;='01_Criterios'!$C$13),"EST_INTERP",IF(AND(Aux!K102&lt;&gt;"",(10-N(Aux!K102))&lt;='01_Criterios'!$C$14),"EST_CARRY_FWD",IF(AND(Aux!W102&lt;&gt;"",(N(Aux!W102)-10)&lt;='01_Criterios'!$C$15),"EST_CARRY_BWD","SEM_DADO")))))</f>
        <v/>
      </c>
      <c r="U102" s="20" t="str">
        <f>IF('03_Base_Indice'!$D102="","",IF('03_Base_Indice'!U102&lt;&gt;"","OBS",IF(AND(Aux!L102&lt;&gt;"",Aux!X102&lt;&gt;"",(N(Aux!X102)-N(Aux!L102)-1)&lt;='01_Criterios'!$C$13),"EST_INTERP",IF(AND(Aux!L102&lt;&gt;"",(11-N(Aux!L102))&lt;='01_Criterios'!$C$14),"EST_CARRY_FWD",IF(AND(Aux!X102&lt;&gt;"",(N(Aux!X102)-11)&lt;='01_Criterios'!$C$15),"EST_CARRY_BWD","SEM_DADO")))))</f>
        <v/>
      </c>
      <c r="V102" s="20" t="str">
        <f>IF($D102="","",COUNTIF(K102:U102,"OBS"))</f>
        <v/>
      </c>
      <c r="W102" s="20" t="str">
        <f>IF($D102="","",COUNTIF(K102:U102,"EST_*"))</f>
        <v/>
      </c>
      <c r="X102" s="20" t="str">
        <f>IF($D102="","",COUNTIF(K102:U102,"SEM_DADO"))</f>
        <v/>
      </c>
      <c r="Y102" s="20" t="str">
        <f>IF($D102="","",(V102+W102)&amp;"/11")</f>
        <v/>
      </c>
    </row>
    <row r="103" spans="1:25">
      <c r="A103" s="6" t="str">
        <f>IF('03_Base_Indice'!$A103="","",'03_Base_Indice'!$A103)</f>
        <v>10. Demografia, Território e Urbanização</v>
      </c>
      <c r="B103" s="6">
        <f>'03_Base_Indice'!$B103</f>
        <v>9</v>
      </c>
      <c r="D103" s="6" t="str">
        <f>IF('03_Base_Indice'!$D103="","",'03_Base_Indice'!$D103)</f>
        <v/>
      </c>
      <c r="E103" s="6" t="str">
        <f>IF('03_Base_Indice'!$E103="","",'03_Base_Indice'!$E103)</f>
        <v/>
      </c>
      <c r="K103" s="20" t="str">
        <f>IF('03_Base_Indice'!$D103="","",IF('03_Base_Indice'!K103&lt;&gt;"","OBS",IF(AND(Aux!B103&lt;&gt;"",Aux!N103&lt;&gt;"",(N(Aux!N103)-N(Aux!B103)-1)&lt;='01_Criterios'!$C$13),"EST_INTERP",IF(AND(Aux!B103&lt;&gt;"",(1-N(Aux!B103))&lt;='01_Criterios'!$C$14),"EST_CARRY_FWD",IF(AND(Aux!N103&lt;&gt;"",(N(Aux!N103)-1)&lt;='01_Criterios'!$C$15),"EST_CARRY_BWD","SEM_DADO")))))</f>
        <v/>
      </c>
      <c r="L103" s="20" t="str">
        <f>IF('03_Base_Indice'!$D103="","",IF('03_Base_Indice'!L103&lt;&gt;"","OBS",IF(AND(Aux!C103&lt;&gt;"",Aux!O103&lt;&gt;"",(N(Aux!O103)-N(Aux!C103)-1)&lt;='01_Criterios'!$C$13),"EST_INTERP",IF(AND(Aux!C103&lt;&gt;"",(2-N(Aux!C103))&lt;='01_Criterios'!$C$14),"EST_CARRY_FWD",IF(AND(Aux!O103&lt;&gt;"",(N(Aux!O103)-2)&lt;='01_Criterios'!$C$15),"EST_CARRY_BWD","SEM_DADO")))))</f>
        <v/>
      </c>
      <c r="M103" s="20" t="str">
        <f>IF('03_Base_Indice'!$D103="","",IF('03_Base_Indice'!M103&lt;&gt;"","OBS",IF(AND(Aux!D103&lt;&gt;"",Aux!P103&lt;&gt;"",(N(Aux!P103)-N(Aux!D103)-1)&lt;='01_Criterios'!$C$13),"EST_INTERP",IF(AND(Aux!D103&lt;&gt;"",(3-N(Aux!D103))&lt;='01_Criterios'!$C$14),"EST_CARRY_FWD",IF(AND(Aux!P103&lt;&gt;"",(N(Aux!P103)-3)&lt;='01_Criterios'!$C$15),"EST_CARRY_BWD","SEM_DADO")))))</f>
        <v/>
      </c>
      <c r="N103" s="20" t="str">
        <f>IF('03_Base_Indice'!$D103="","",IF('03_Base_Indice'!N103&lt;&gt;"","OBS",IF(AND(Aux!E103&lt;&gt;"",Aux!Q103&lt;&gt;"",(N(Aux!Q103)-N(Aux!E103)-1)&lt;='01_Criterios'!$C$13),"EST_INTERP",IF(AND(Aux!E103&lt;&gt;"",(4-N(Aux!E103))&lt;='01_Criterios'!$C$14),"EST_CARRY_FWD",IF(AND(Aux!Q103&lt;&gt;"",(N(Aux!Q103)-4)&lt;='01_Criterios'!$C$15),"EST_CARRY_BWD","SEM_DADO")))))</f>
        <v/>
      </c>
      <c r="O103" s="20" t="str">
        <f>IF('03_Base_Indice'!$D103="","",IF('03_Base_Indice'!O103&lt;&gt;"","OBS",IF(AND(Aux!F103&lt;&gt;"",Aux!R103&lt;&gt;"",(N(Aux!R103)-N(Aux!F103)-1)&lt;='01_Criterios'!$C$13),"EST_INTERP",IF(AND(Aux!F103&lt;&gt;"",(5-N(Aux!F103))&lt;='01_Criterios'!$C$14),"EST_CARRY_FWD",IF(AND(Aux!R103&lt;&gt;"",(N(Aux!R103)-5)&lt;='01_Criterios'!$C$15),"EST_CARRY_BWD","SEM_DADO")))))</f>
        <v/>
      </c>
      <c r="P103" s="20" t="str">
        <f>IF('03_Base_Indice'!$D103="","",IF('03_Base_Indice'!P103&lt;&gt;"","OBS",IF(AND(Aux!G103&lt;&gt;"",Aux!S103&lt;&gt;"",(N(Aux!S103)-N(Aux!G103)-1)&lt;='01_Criterios'!$C$13),"EST_INTERP",IF(AND(Aux!G103&lt;&gt;"",(6-N(Aux!G103))&lt;='01_Criterios'!$C$14),"EST_CARRY_FWD",IF(AND(Aux!S103&lt;&gt;"",(N(Aux!S103)-6)&lt;='01_Criterios'!$C$15),"EST_CARRY_BWD","SEM_DADO")))))</f>
        <v/>
      </c>
      <c r="Q103" s="20" t="str">
        <f>IF('03_Base_Indice'!$D103="","",IF('03_Base_Indice'!Q103&lt;&gt;"","OBS",IF(AND(Aux!H103&lt;&gt;"",Aux!T103&lt;&gt;"",(N(Aux!T103)-N(Aux!H103)-1)&lt;='01_Criterios'!$C$13),"EST_INTERP",IF(AND(Aux!H103&lt;&gt;"",(7-N(Aux!H103))&lt;='01_Criterios'!$C$14),"EST_CARRY_FWD",IF(AND(Aux!T103&lt;&gt;"",(N(Aux!T103)-7)&lt;='01_Criterios'!$C$15),"EST_CARRY_BWD","SEM_DADO")))))</f>
        <v/>
      </c>
      <c r="R103" s="20" t="str">
        <f>IF('03_Base_Indice'!$D103="","",IF('03_Base_Indice'!R103&lt;&gt;"","OBS",IF(AND(Aux!I103&lt;&gt;"",Aux!U103&lt;&gt;"",(N(Aux!U103)-N(Aux!I103)-1)&lt;='01_Criterios'!$C$13),"EST_INTERP",IF(AND(Aux!I103&lt;&gt;"",(8-N(Aux!I103))&lt;='01_Criterios'!$C$14),"EST_CARRY_FWD",IF(AND(Aux!U103&lt;&gt;"",(N(Aux!U103)-8)&lt;='01_Criterios'!$C$15),"EST_CARRY_BWD","SEM_DADO")))))</f>
        <v/>
      </c>
      <c r="S103" s="20" t="str">
        <f>IF('03_Base_Indice'!$D103="","",IF('03_Base_Indice'!S103&lt;&gt;"","OBS",IF(AND(Aux!J103&lt;&gt;"",Aux!V103&lt;&gt;"",(N(Aux!V103)-N(Aux!J103)-1)&lt;='01_Criterios'!$C$13),"EST_INTERP",IF(AND(Aux!J103&lt;&gt;"",(9-N(Aux!J103))&lt;='01_Criterios'!$C$14),"EST_CARRY_FWD",IF(AND(Aux!V103&lt;&gt;"",(N(Aux!V103)-9)&lt;='01_Criterios'!$C$15),"EST_CARRY_BWD","SEM_DADO")))))</f>
        <v/>
      </c>
      <c r="T103" s="20" t="str">
        <f>IF('03_Base_Indice'!$D103="","",IF('03_Base_Indice'!T103&lt;&gt;"","OBS",IF(AND(Aux!K103&lt;&gt;"",Aux!W103&lt;&gt;"",(N(Aux!W103)-N(Aux!K103)-1)&lt;='01_Criterios'!$C$13),"EST_INTERP",IF(AND(Aux!K103&lt;&gt;"",(10-N(Aux!K103))&lt;='01_Criterios'!$C$14),"EST_CARRY_FWD",IF(AND(Aux!W103&lt;&gt;"",(N(Aux!W103)-10)&lt;='01_Criterios'!$C$15),"EST_CARRY_BWD","SEM_DADO")))))</f>
        <v/>
      </c>
      <c r="U103" s="20" t="str">
        <f>IF('03_Base_Indice'!$D103="","",IF('03_Base_Indice'!U103&lt;&gt;"","OBS",IF(AND(Aux!L103&lt;&gt;"",Aux!X103&lt;&gt;"",(N(Aux!X103)-N(Aux!L103)-1)&lt;='01_Criterios'!$C$13),"EST_INTERP",IF(AND(Aux!L103&lt;&gt;"",(11-N(Aux!L103))&lt;='01_Criterios'!$C$14),"EST_CARRY_FWD",IF(AND(Aux!X103&lt;&gt;"",(N(Aux!X103)-11)&lt;='01_Criterios'!$C$15),"EST_CARRY_BWD","SEM_DADO")))))</f>
        <v/>
      </c>
      <c r="V103" s="20" t="str">
        <f>IF($D103="","",COUNTIF(K103:U103,"OBS"))</f>
        <v/>
      </c>
      <c r="W103" s="20" t="str">
        <f>IF($D103="","",COUNTIF(K103:U103,"EST_*"))</f>
        <v/>
      </c>
      <c r="X103" s="20" t="str">
        <f>IF($D103="","",COUNTIF(K103:U103,"SEM_DADO"))</f>
        <v/>
      </c>
      <c r="Y103" s="20" t="str">
        <f>IF($D103="","",(V103+W103)&amp;"/11")</f>
        <v/>
      </c>
    </row>
    <row r="104" spans="1:25">
      <c r="A104" s="6" t="str">
        <f>IF('03_Base_Indice'!$A104="","",'03_Base_Indice'!$A104)</f>
        <v>10. Demografia, Território e Urbanização</v>
      </c>
      <c r="B104" s="6">
        <f>'03_Base_Indice'!$B104</f>
        <v>10</v>
      </c>
      <c r="D104" s="6" t="str">
        <f>IF('03_Base_Indice'!$D104="","",'03_Base_Indice'!$D104)</f>
        <v/>
      </c>
      <c r="E104" s="6" t="str">
        <f>IF('03_Base_Indice'!$E104="","",'03_Base_Indice'!$E104)</f>
        <v/>
      </c>
      <c r="K104" s="20" t="str">
        <f>IF('03_Base_Indice'!$D104="","",IF('03_Base_Indice'!K104&lt;&gt;"","OBS",IF(AND(Aux!B104&lt;&gt;"",Aux!N104&lt;&gt;"",(N(Aux!N104)-N(Aux!B104)-1)&lt;='01_Criterios'!$C$13),"EST_INTERP",IF(AND(Aux!B104&lt;&gt;"",(1-N(Aux!B104))&lt;='01_Criterios'!$C$14),"EST_CARRY_FWD",IF(AND(Aux!N104&lt;&gt;"",(N(Aux!N104)-1)&lt;='01_Criterios'!$C$15),"EST_CARRY_BWD","SEM_DADO")))))</f>
        <v/>
      </c>
      <c r="L104" s="20" t="str">
        <f>IF('03_Base_Indice'!$D104="","",IF('03_Base_Indice'!L104&lt;&gt;"","OBS",IF(AND(Aux!C104&lt;&gt;"",Aux!O104&lt;&gt;"",(N(Aux!O104)-N(Aux!C104)-1)&lt;='01_Criterios'!$C$13),"EST_INTERP",IF(AND(Aux!C104&lt;&gt;"",(2-N(Aux!C104))&lt;='01_Criterios'!$C$14),"EST_CARRY_FWD",IF(AND(Aux!O104&lt;&gt;"",(N(Aux!O104)-2)&lt;='01_Criterios'!$C$15),"EST_CARRY_BWD","SEM_DADO")))))</f>
        <v/>
      </c>
      <c r="M104" s="20" t="str">
        <f>IF('03_Base_Indice'!$D104="","",IF('03_Base_Indice'!M104&lt;&gt;"","OBS",IF(AND(Aux!D104&lt;&gt;"",Aux!P104&lt;&gt;"",(N(Aux!P104)-N(Aux!D104)-1)&lt;='01_Criterios'!$C$13),"EST_INTERP",IF(AND(Aux!D104&lt;&gt;"",(3-N(Aux!D104))&lt;='01_Criterios'!$C$14),"EST_CARRY_FWD",IF(AND(Aux!P104&lt;&gt;"",(N(Aux!P104)-3)&lt;='01_Criterios'!$C$15),"EST_CARRY_BWD","SEM_DADO")))))</f>
        <v/>
      </c>
      <c r="N104" s="20" t="str">
        <f>IF('03_Base_Indice'!$D104="","",IF('03_Base_Indice'!N104&lt;&gt;"","OBS",IF(AND(Aux!E104&lt;&gt;"",Aux!Q104&lt;&gt;"",(N(Aux!Q104)-N(Aux!E104)-1)&lt;='01_Criterios'!$C$13),"EST_INTERP",IF(AND(Aux!E104&lt;&gt;"",(4-N(Aux!E104))&lt;='01_Criterios'!$C$14),"EST_CARRY_FWD",IF(AND(Aux!Q104&lt;&gt;"",(N(Aux!Q104)-4)&lt;='01_Criterios'!$C$15),"EST_CARRY_BWD","SEM_DADO")))))</f>
        <v/>
      </c>
      <c r="O104" s="20" t="str">
        <f>IF('03_Base_Indice'!$D104="","",IF('03_Base_Indice'!O104&lt;&gt;"","OBS",IF(AND(Aux!F104&lt;&gt;"",Aux!R104&lt;&gt;"",(N(Aux!R104)-N(Aux!F104)-1)&lt;='01_Criterios'!$C$13),"EST_INTERP",IF(AND(Aux!F104&lt;&gt;"",(5-N(Aux!F104))&lt;='01_Criterios'!$C$14),"EST_CARRY_FWD",IF(AND(Aux!R104&lt;&gt;"",(N(Aux!R104)-5)&lt;='01_Criterios'!$C$15),"EST_CARRY_BWD","SEM_DADO")))))</f>
        <v/>
      </c>
      <c r="P104" s="20" t="str">
        <f>IF('03_Base_Indice'!$D104="","",IF('03_Base_Indice'!P104&lt;&gt;"","OBS",IF(AND(Aux!G104&lt;&gt;"",Aux!S104&lt;&gt;"",(N(Aux!S104)-N(Aux!G104)-1)&lt;='01_Criterios'!$C$13),"EST_INTERP",IF(AND(Aux!G104&lt;&gt;"",(6-N(Aux!G104))&lt;='01_Criterios'!$C$14),"EST_CARRY_FWD",IF(AND(Aux!S104&lt;&gt;"",(N(Aux!S104)-6)&lt;='01_Criterios'!$C$15),"EST_CARRY_BWD","SEM_DADO")))))</f>
        <v/>
      </c>
      <c r="Q104" s="20" t="str">
        <f>IF('03_Base_Indice'!$D104="","",IF('03_Base_Indice'!Q104&lt;&gt;"","OBS",IF(AND(Aux!H104&lt;&gt;"",Aux!T104&lt;&gt;"",(N(Aux!T104)-N(Aux!H104)-1)&lt;='01_Criterios'!$C$13),"EST_INTERP",IF(AND(Aux!H104&lt;&gt;"",(7-N(Aux!H104))&lt;='01_Criterios'!$C$14),"EST_CARRY_FWD",IF(AND(Aux!T104&lt;&gt;"",(N(Aux!T104)-7)&lt;='01_Criterios'!$C$15),"EST_CARRY_BWD","SEM_DADO")))))</f>
        <v/>
      </c>
      <c r="R104" s="20" t="str">
        <f>IF('03_Base_Indice'!$D104="","",IF('03_Base_Indice'!R104&lt;&gt;"","OBS",IF(AND(Aux!I104&lt;&gt;"",Aux!U104&lt;&gt;"",(N(Aux!U104)-N(Aux!I104)-1)&lt;='01_Criterios'!$C$13),"EST_INTERP",IF(AND(Aux!I104&lt;&gt;"",(8-N(Aux!I104))&lt;='01_Criterios'!$C$14),"EST_CARRY_FWD",IF(AND(Aux!U104&lt;&gt;"",(N(Aux!U104)-8)&lt;='01_Criterios'!$C$15),"EST_CARRY_BWD","SEM_DADO")))))</f>
        <v/>
      </c>
      <c r="S104" s="20" t="str">
        <f>IF('03_Base_Indice'!$D104="","",IF('03_Base_Indice'!S104&lt;&gt;"","OBS",IF(AND(Aux!J104&lt;&gt;"",Aux!V104&lt;&gt;"",(N(Aux!V104)-N(Aux!J104)-1)&lt;='01_Criterios'!$C$13),"EST_INTERP",IF(AND(Aux!J104&lt;&gt;"",(9-N(Aux!J104))&lt;='01_Criterios'!$C$14),"EST_CARRY_FWD",IF(AND(Aux!V104&lt;&gt;"",(N(Aux!V104)-9)&lt;='01_Criterios'!$C$15),"EST_CARRY_BWD","SEM_DADO")))))</f>
        <v/>
      </c>
      <c r="T104" s="20" t="str">
        <f>IF('03_Base_Indice'!$D104="","",IF('03_Base_Indice'!T104&lt;&gt;"","OBS",IF(AND(Aux!K104&lt;&gt;"",Aux!W104&lt;&gt;"",(N(Aux!W104)-N(Aux!K104)-1)&lt;='01_Criterios'!$C$13),"EST_INTERP",IF(AND(Aux!K104&lt;&gt;"",(10-N(Aux!K104))&lt;='01_Criterios'!$C$14),"EST_CARRY_FWD",IF(AND(Aux!W104&lt;&gt;"",(N(Aux!W104)-10)&lt;='01_Criterios'!$C$15),"EST_CARRY_BWD","SEM_DADO")))))</f>
        <v/>
      </c>
      <c r="U104" s="20" t="str">
        <f>IF('03_Base_Indice'!$D104="","",IF('03_Base_Indice'!U104&lt;&gt;"","OBS",IF(AND(Aux!L104&lt;&gt;"",Aux!X104&lt;&gt;"",(N(Aux!X104)-N(Aux!L104)-1)&lt;='01_Criterios'!$C$13),"EST_INTERP",IF(AND(Aux!L104&lt;&gt;"",(11-N(Aux!L104))&lt;='01_Criterios'!$C$14),"EST_CARRY_FWD",IF(AND(Aux!X104&lt;&gt;"",(N(Aux!X104)-11)&lt;='01_Criterios'!$C$15),"EST_CARRY_BWD","SEM_DADO")))))</f>
        <v/>
      </c>
      <c r="V104" s="20" t="str">
        <f>IF($D104="","",COUNTIF(K104:U104,"OBS"))</f>
        <v/>
      </c>
      <c r="W104" s="20" t="str">
        <f>IF($D104="","",COUNTIF(K104:U104,"EST_*"))</f>
        <v/>
      </c>
      <c r="X104" s="20" t="str">
        <f>IF($D104="","",COUNTIF(K104:U104,"SEM_DADO"))</f>
        <v/>
      </c>
      <c r="Y104" s="20" t="str">
        <f>IF($D104="","",(V104+W104)&amp;"/11")</f>
        <v/>
      </c>
    </row>
    <row r="105" spans="1:25">
      <c r="A105" s="6" t="str">
        <f>IF('03_Base_Indice'!$A105="","",'03_Base_Indice'!$A105)</f>
        <v>11. Transformação Digital e Inovação</v>
      </c>
      <c r="B105" s="6">
        <f>'03_Base_Indice'!$B105</f>
        <v>1</v>
      </c>
      <c r="D105" s="6" t="str">
        <f>IF('03_Base_Indice'!$D105="","",'03_Base_Indice'!$D105)</f>
        <v/>
      </c>
      <c r="E105" s="6" t="str">
        <f>IF('03_Base_Indice'!$E105="","",'03_Base_Indice'!$E105)</f>
        <v/>
      </c>
      <c r="K105" s="20" t="str">
        <f>IF('03_Base_Indice'!$D105="","",IF('03_Base_Indice'!K105&lt;&gt;"","OBS",IF(AND(Aux!B105&lt;&gt;"",Aux!N105&lt;&gt;"",(N(Aux!N105)-N(Aux!B105)-1)&lt;='01_Criterios'!$C$13),"EST_INTERP",IF(AND(Aux!B105&lt;&gt;"",(1-N(Aux!B105))&lt;='01_Criterios'!$C$14),"EST_CARRY_FWD",IF(AND(Aux!N105&lt;&gt;"",(N(Aux!N105)-1)&lt;='01_Criterios'!$C$15),"EST_CARRY_BWD","SEM_DADO")))))</f>
        <v/>
      </c>
      <c r="L105" s="20" t="str">
        <f>IF('03_Base_Indice'!$D105="","",IF('03_Base_Indice'!L105&lt;&gt;"","OBS",IF(AND(Aux!C105&lt;&gt;"",Aux!O105&lt;&gt;"",(N(Aux!O105)-N(Aux!C105)-1)&lt;='01_Criterios'!$C$13),"EST_INTERP",IF(AND(Aux!C105&lt;&gt;"",(2-N(Aux!C105))&lt;='01_Criterios'!$C$14),"EST_CARRY_FWD",IF(AND(Aux!O105&lt;&gt;"",(N(Aux!O105)-2)&lt;='01_Criterios'!$C$15),"EST_CARRY_BWD","SEM_DADO")))))</f>
        <v/>
      </c>
      <c r="M105" s="20" t="str">
        <f>IF('03_Base_Indice'!$D105="","",IF('03_Base_Indice'!M105&lt;&gt;"","OBS",IF(AND(Aux!D105&lt;&gt;"",Aux!P105&lt;&gt;"",(N(Aux!P105)-N(Aux!D105)-1)&lt;='01_Criterios'!$C$13),"EST_INTERP",IF(AND(Aux!D105&lt;&gt;"",(3-N(Aux!D105))&lt;='01_Criterios'!$C$14),"EST_CARRY_FWD",IF(AND(Aux!P105&lt;&gt;"",(N(Aux!P105)-3)&lt;='01_Criterios'!$C$15),"EST_CARRY_BWD","SEM_DADO")))))</f>
        <v/>
      </c>
      <c r="N105" s="20" t="str">
        <f>IF('03_Base_Indice'!$D105="","",IF('03_Base_Indice'!N105&lt;&gt;"","OBS",IF(AND(Aux!E105&lt;&gt;"",Aux!Q105&lt;&gt;"",(N(Aux!Q105)-N(Aux!E105)-1)&lt;='01_Criterios'!$C$13),"EST_INTERP",IF(AND(Aux!E105&lt;&gt;"",(4-N(Aux!E105))&lt;='01_Criterios'!$C$14),"EST_CARRY_FWD",IF(AND(Aux!Q105&lt;&gt;"",(N(Aux!Q105)-4)&lt;='01_Criterios'!$C$15),"EST_CARRY_BWD","SEM_DADO")))))</f>
        <v/>
      </c>
      <c r="O105" s="20" t="str">
        <f>IF('03_Base_Indice'!$D105="","",IF('03_Base_Indice'!O105&lt;&gt;"","OBS",IF(AND(Aux!F105&lt;&gt;"",Aux!R105&lt;&gt;"",(N(Aux!R105)-N(Aux!F105)-1)&lt;='01_Criterios'!$C$13),"EST_INTERP",IF(AND(Aux!F105&lt;&gt;"",(5-N(Aux!F105))&lt;='01_Criterios'!$C$14),"EST_CARRY_FWD",IF(AND(Aux!R105&lt;&gt;"",(N(Aux!R105)-5)&lt;='01_Criterios'!$C$15),"EST_CARRY_BWD","SEM_DADO")))))</f>
        <v/>
      </c>
      <c r="P105" s="20" t="str">
        <f>IF('03_Base_Indice'!$D105="","",IF('03_Base_Indice'!P105&lt;&gt;"","OBS",IF(AND(Aux!G105&lt;&gt;"",Aux!S105&lt;&gt;"",(N(Aux!S105)-N(Aux!G105)-1)&lt;='01_Criterios'!$C$13),"EST_INTERP",IF(AND(Aux!G105&lt;&gt;"",(6-N(Aux!G105))&lt;='01_Criterios'!$C$14),"EST_CARRY_FWD",IF(AND(Aux!S105&lt;&gt;"",(N(Aux!S105)-6)&lt;='01_Criterios'!$C$15),"EST_CARRY_BWD","SEM_DADO")))))</f>
        <v/>
      </c>
      <c r="Q105" s="20" t="str">
        <f>IF('03_Base_Indice'!$D105="","",IF('03_Base_Indice'!Q105&lt;&gt;"","OBS",IF(AND(Aux!H105&lt;&gt;"",Aux!T105&lt;&gt;"",(N(Aux!T105)-N(Aux!H105)-1)&lt;='01_Criterios'!$C$13),"EST_INTERP",IF(AND(Aux!H105&lt;&gt;"",(7-N(Aux!H105))&lt;='01_Criterios'!$C$14),"EST_CARRY_FWD",IF(AND(Aux!T105&lt;&gt;"",(N(Aux!T105)-7)&lt;='01_Criterios'!$C$15),"EST_CARRY_BWD","SEM_DADO")))))</f>
        <v/>
      </c>
      <c r="R105" s="20" t="str">
        <f>IF('03_Base_Indice'!$D105="","",IF('03_Base_Indice'!R105&lt;&gt;"","OBS",IF(AND(Aux!I105&lt;&gt;"",Aux!U105&lt;&gt;"",(N(Aux!U105)-N(Aux!I105)-1)&lt;='01_Criterios'!$C$13),"EST_INTERP",IF(AND(Aux!I105&lt;&gt;"",(8-N(Aux!I105))&lt;='01_Criterios'!$C$14),"EST_CARRY_FWD",IF(AND(Aux!U105&lt;&gt;"",(N(Aux!U105)-8)&lt;='01_Criterios'!$C$15),"EST_CARRY_BWD","SEM_DADO")))))</f>
        <v/>
      </c>
      <c r="S105" s="20" t="str">
        <f>IF('03_Base_Indice'!$D105="","",IF('03_Base_Indice'!S105&lt;&gt;"","OBS",IF(AND(Aux!J105&lt;&gt;"",Aux!V105&lt;&gt;"",(N(Aux!V105)-N(Aux!J105)-1)&lt;='01_Criterios'!$C$13),"EST_INTERP",IF(AND(Aux!J105&lt;&gt;"",(9-N(Aux!J105))&lt;='01_Criterios'!$C$14),"EST_CARRY_FWD",IF(AND(Aux!V105&lt;&gt;"",(N(Aux!V105)-9)&lt;='01_Criterios'!$C$15),"EST_CARRY_BWD","SEM_DADO")))))</f>
        <v/>
      </c>
      <c r="T105" s="20" t="str">
        <f>IF('03_Base_Indice'!$D105="","",IF('03_Base_Indice'!T105&lt;&gt;"","OBS",IF(AND(Aux!K105&lt;&gt;"",Aux!W105&lt;&gt;"",(N(Aux!W105)-N(Aux!K105)-1)&lt;='01_Criterios'!$C$13),"EST_INTERP",IF(AND(Aux!K105&lt;&gt;"",(10-N(Aux!K105))&lt;='01_Criterios'!$C$14),"EST_CARRY_FWD",IF(AND(Aux!W105&lt;&gt;"",(N(Aux!W105)-10)&lt;='01_Criterios'!$C$15),"EST_CARRY_BWD","SEM_DADO")))))</f>
        <v/>
      </c>
      <c r="U105" s="20" t="str">
        <f>IF('03_Base_Indice'!$D105="","",IF('03_Base_Indice'!U105&lt;&gt;"","OBS",IF(AND(Aux!L105&lt;&gt;"",Aux!X105&lt;&gt;"",(N(Aux!X105)-N(Aux!L105)-1)&lt;='01_Criterios'!$C$13),"EST_INTERP",IF(AND(Aux!L105&lt;&gt;"",(11-N(Aux!L105))&lt;='01_Criterios'!$C$14),"EST_CARRY_FWD",IF(AND(Aux!X105&lt;&gt;"",(N(Aux!X105)-11)&lt;='01_Criterios'!$C$15),"EST_CARRY_BWD","SEM_DADO")))))</f>
        <v/>
      </c>
      <c r="V105" s="20" t="str">
        <f>IF($D105="","",COUNTIF(K105:U105,"OBS"))</f>
        <v/>
      </c>
      <c r="W105" s="20" t="str">
        <f>IF($D105="","",COUNTIF(K105:U105,"EST_*"))</f>
        <v/>
      </c>
      <c r="X105" s="20" t="str">
        <f>IF($D105="","",COUNTIF(K105:U105,"SEM_DADO"))</f>
        <v/>
      </c>
      <c r="Y105" s="20" t="str">
        <f>IF($D105="","",(V105+W105)&amp;"/11")</f>
        <v/>
      </c>
    </row>
    <row r="106" spans="1:25">
      <c r="A106" s="6" t="str">
        <f>IF('03_Base_Indice'!$A106="","",'03_Base_Indice'!$A106)</f>
        <v>11. Transformação Digital e Inovação</v>
      </c>
      <c r="B106" s="6">
        <f>'03_Base_Indice'!$B106</f>
        <v>2</v>
      </c>
      <c r="D106" s="6" t="str">
        <f>IF('03_Base_Indice'!$D106="","",'03_Base_Indice'!$D106)</f>
        <v/>
      </c>
      <c r="E106" s="6" t="str">
        <f>IF('03_Base_Indice'!$E106="","",'03_Base_Indice'!$E106)</f>
        <v/>
      </c>
      <c r="K106" s="20" t="str">
        <f>IF('03_Base_Indice'!$D106="","",IF('03_Base_Indice'!K106&lt;&gt;"","OBS",IF(AND(Aux!B106&lt;&gt;"",Aux!N106&lt;&gt;"",(N(Aux!N106)-N(Aux!B106)-1)&lt;='01_Criterios'!$C$13),"EST_INTERP",IF(AND(Aux!B106&lt;&gt;"",(1-N(Aux!B106))&lt;='01_Criterios'!$C$14),"EST_CARRY_FWD",IF(AND(Aux!N106&lt;&gt;"",(N(Aux!N106)-1)&lt;='01_Criterios'!$C$15),"EST_CARRY_BWD","SEM_DADO")))))</f>
        <v/>
      </c>
      <c r="L106" s="20" t="str">
        <f>IF('03_Base_Indice'!$D106="","",IF('03_Base_Indice'!L106&lt;&gt;"","OBS",IF(AND(Aux!C106&lt;&gt;"",Aux!O106&lt;&gt;"",(N(Aux!O106)-N(Aux!C106)-1)&lt;='01_Criterios'!$C$13),"EST_INTERP",IF(AND(Aux!C106&lt;&gt;"",(2-N(Aux!C106))&lt;='01_Criterios'!$C$14),"EST_CARRY_FWD",IF(AND(Aux!O106&lt;&gt;"",(N(Aux!O106)-2)&lt;='01_Criterios'!$C$15),"EST_CARRY_BWD","SEM_DADO")))))</f>
        <v/>
      </c>
      <c r="M106" s="20" t="str">
        <f>IF('03_Base_Indice'!$D106="","",IF('03_Base_Indice'!M106&lt;&gt;"","OBS",IF(AND(Aux!D106&lt;&gt;"",Aux!P106&lt;&gt;"",(N(Aux!P106)-N(Aux!D106)-1)&lt;='01_Criterios'!$C$13),"EST_INTERP",IF(AND(Aux!D106&lt;&gt;"",(3-N(Aux!D106))&lt;='01_Criterios'!$C$14),"EST_CARRY_FWD",IF(AND(Aux!P106&lt;&gt;"",(N(Aux!P106)-3)&lt;='01_Criterios'!$C$15),"EST_CARRY_BWD","SEM_DADO")))))</f>
        <v/>
      </c>
      <c r="N106" s="20" t="str">
        <f>IF('03_Base_Indice'!$D106="","",IF('03_Base_Indice'!N106&lt;&gt;"","OBS",IF(AND(Aux!E106&lt;&gt;"",Aux!Q106&lt;&gt;"",(N(Aux!Q106)-N(Aux!E106)-1)&lt;='01_Criterios'!$C$13),"EST_INTERP",IF(AND(Aux!E106&lt;&gt;"",(4-N(Aux!E106))&lt;='01_Criterios'!$C$14),"EST_CARRY_FWD",IF(AND(Aux!Q106&lt;&gt;"",(N(Aux!Q106)-4)&lt;='01_Criterios'!$C$15),"EST_CARRY_BWD","SEM_DADO")))))</f>
        <v/>
      </c>
      <c r="O106" s="20" t="str">
        <f>IF('03_Base_Indice'!$D106="","",IF('03_Base_Indice'!O106&lt;&gt;"","OBS",IF(AND(Aux!F106&lt;&gt;"",Aux!R106&lt;&gt;"",(N(Aux!R106)-N(Aux!F106)-1)&lt;='01_Criterios'!$C$13),"EST_INTERP",IF(AND(Aux!F106&lt;&gt;"",(5-N(Aux!F106))&lt;='01_Criterios'!$C$14),"EST_CARRY_FWD",IF(AND(Aux!R106&lt;&gt;"",(N(Aux!R106)-5)&lt;='01_Criterios'!$C$15),"EST_CARRY_BWD","SEM_DADO")))))</f>
        <v/>
      </c>
      <c r="P106" s="20" t="str">
        <f>IF('03_Base_Indice'!$D106="","",IF('03_Base_Indice'!P106&lt;&gt;"","OBS",IF(AND(Aux!G106&lt;&gt;"",Aux!S106&lt;&gt;"",(N(Aux!S106)-N(Aux!G106)-1)&lt;='01_Criterios'!$C$13),"EST_INTERP",IF(AND(Aux!G106&lt;&gt;"",(6-N(Aux!G106))&lt;='01_Criterios'!$C$14),"EST_CARRY_FWD",IF(AND(Aux!S106&lt;&gt;"",(N(Aux!S106)-6)&lt;='01_Criterios'!$C$15),"EST_CARRY_BWD","SEM_DADO")))))</f>
        <v/>
      </c>
      <c r="Q106" s="20" t="str">
        <f>IF('03_Base_Indice'!$D106="","",IF('03_Base_Indice'!Q106&lt;&gt;"","OBS",IF(AND(Aux!H106&lt;&gt;"",Aux!T106&lt;&gt;"",(N(Aux!T106)-N(Aux!H106)-1)&lt;='01_Criterios'!$C$13),"EST_INTERP",IF(AND(Aux!H106&lt;&gt;"",(7-N(Aux!H106))&lt;='01_Criterios'!$C$14),"EST_CARRY_FWD",IF(AND(Aux!T106&lt;&gt;"",(N(Aux!T106)-7)&lt;='01_Criterios'!$C$15),"EST_CARRY_BWD","SEM_DADO")))))</f>
        <v/>
      </c>
      <c r="R106" s="20" t="str">
        <f>IF('03_Base_Indice'!$D106="","",IF('03_Base_Indice'!R106&lt;&gt;"","OBS",IF(AND(Aux!I106&lt;&gt;"",Aux!U106&lt;&gt;"",(N(Aux!U106)-N(Aux!I106)-1)&lt;='01_Criterios'!$C$13),"EST_INTERP",IF(AND(Aux!I106&lt;&gt;"",(8-N(Aux!I106))&lt;='01_Criterios'!$C$14),"EST_CARRY_FWD",IF(AND(Aux!U106&lt;&gt;"",(N(Aux!U106)-8)&lt;='01_Criterios'!$C$15),"EST_CARRY_BWD","SEM_DADO")))))</f>
        <v/>
      </c>
      <c r="S106" s="20" t="str">
        <f>IF('03_Base_Indice'!$D106="","",IF('03_Base_Indice'!S106&lt;&gt;"","OBS",IF(AND(Aux!J106&lt;&gt;"",Aux!V106&lt;&gt;"",(N(Aux!V106)-N(Aux!J106)-1)&lt;='01_Criterios'!$C$13),"EST_INTERP",IF(AND(Aux!J106&lt;&gt;"",(9-N(Aux!J106))&lt;='01_Criterios'!$C$14),"EST_CARRY_FWD",IF(AND(Aux!V106&lt;&gt;"",(N(Aux!V106)-9)&lt;='01_Criterios'!$C$15),"EST_CARRY_BWD","SEM_DADO")))))</f>
        <v/>
      </c>
      <c r="T106" s="20" t="str">
        <f>IF('03_Base_Indice'!$D106="","",IF('03_Base_Indice'!T106&lt;&gt;"","OBS",IF(AND(Aux!K106&lt;&gt;"",Aux!W106&lt;&gt;"",(N(Aux!W106)-N(Aux!K106)-1)&lt;='01_Criterios'!$C$13),"EST_INTERP",IF(AND(Aux!K106&lt;&gt;"",(10-N(Aux!K106))&lt;='01_Criterios'!$C$14),"EST_CARRY_FWD",IF(AND(Aux!W106&lt;&gt;"",(N(Aux!W106)-10)&lt;='01_Criterios'!$C$15),"EST_CARRY_BWD","SEM_DADO")))))</f>
        <v/>
      </c>
      <c r="U106" s="20" t="str">
        <f>IF('03_Base_Indice'!$D106="","",IF('03_Base_Indice'!U106&lt;&gt;"","OBS",IF(AND(Aux!L106&lt;&gt;"",Aux!X106&lt;&gt;"",(N(Aux!X106)-N(Aux!L106)-1)&lt;='01_Criterios'!$C$13),"EST_INTERP",IF(AND(Aux!L106&lt;&gt;"",(11-N(Aux!L106))&lt;='01_Criterios'!$C$14),"EST_CARRY_FWD",IF(AND(Aux!X106&lt;&gt;"",(N(Aux!X106)-11)&lt;='01_Criterios'!$C$15),"EST_CARRY_BWD","SEM_DADO")))))</f>
        <v/>
      </c>
      <c r="V106" s="20" t="str">
        <f>IF($D106="","",COUNTIF(K106:U106,"OBS"))</f>
        <v/>
      </c>
      <c r="W106" s="20" t="str">
        <f>IF($D106="","",COUNTIF(K106:U106,"EST_*"))</f>
        <v/>
      </c>
      <c r="X106" s="20" t="str">
        <f>IF($D106="","",COUNTIF(K106:U106,"SEM_DADO"))</f>
        <v/>
      </c>
      <c r="Y106" s="20" t="str">
        <f>IF($D106="","",(V106+W106)&amp;"/11")</f>
        <v/>
      </c>
    </row>
    <row r="107" spans="1:25">
      <c r="A107" s="6" t="str">
        <f>IF('03_Base_Indice'!$A107="","",'03_Base_Indice'!$A107)</f>
        <v>11. Transformação Digital e Inovação</v>
      </c>
      <c r="B107" s="6">
        <f>'03_Base_Indice'!$B107</f>
        <v>3</v>
      </c>
      <c r="D107" s="6" t="str">
        <f>IF('03_Base_Indice'!$D107="","",'03_Base_Indice'!$D107)</f>
        <v/>
      </c>
      <c r="E107" s="6" t="str">
        <f>IF('03_Base_Indice'!$E107="","",'03_Base_Indice'!$E107)</f>
        <v/>
      </c>
      <c r="K107" s="20" t="str">
        <f>IF('03_Base_Indice'!$D107="","",IF('03_Base_Indice'!K107&lt;&gt;"","OBS",IF(AND(Aux!B107&lt;&gt;"",Aux!N107&lt;&gt;"",(N(Aux!N107)-N(Aux!B107)-1)&lt;='01_Criterios'!$C$13),"EST_INTERP",IF(AND(Aux!B107&lt;&gt;"",(1-N(Aux!B107))&lt;='01_Criterios'!$C$14),"EST_CARRY_FWD",IF(AND(Aux!N107&lt;&gt;"",(N(Aux!N107)-1)&lt;='01_Criterios'!$C$15),"EST_CARRY_BWD","SEM_DADO")))))</f>
        <v/>
      </c>
      <c r="L107" s="20" t="str">
        <f>IF('03_Base_Indice'!$D107="","",IF('03_Base_Indice'!L107&lt;&gt;"","OBS",IF(AND(Aux!C107&lt;&gt;"",Aux!O107&lt;&gt;"",(N(Aux!O107)-N(Aux!C107)-1)&lt;='01_Criterios'!$C$13),"EST_INTERP",IF(AND(Aux!C107&lt;&gt;"",(2-N(Aux!C107))&lt;='01_Criterios'!$C$14),"EST_CARRY_FWD",IF(AND(Aux!O107&lt;&gt;"",(N(Aux!O107)-2)&lt;='01_Criterios'!$C$15),"EST_CARRY_BWD","SEM_DADO")))))</f>
        <v/>
      </c>
      <c r="M107" s="20" t="str">
        <f>IF('03_Base_Indice'!$D107="","",IF('03_Base_Indice'!M107&lt;&gt;"","OBS",IF(AND(Aux!D107&lt;&gt;"",Aux!P107&lt;&gt;"",(N(Aux!P107)-N(Aux!D107)-1)&lt;='01_Criterios'!$C$13),"EST_INTERP",IF(AND(Aux!D107&lt;&gt;"",(3-N(Aux!D107))&lt;='01_Criterios'!$C$14),"EST_CARRY_FWD",IF(AND(Aux!P107&lt;&gt;"",(N(Aux!P107)-3)&lt;='01_Criterios'!$C$15),"EST_CARRY_BWD","SEM_DADO")))))</f>
        <v/>
      </c>
      <c r="N107" s="20" t="str">
        <f>IF('03_Base_Indice'!$D107="","",IF('03_Base_Indice'!N107&lt;&gt;"","OBS",IF(AND(Aux!E107&lt;&gt;"",Aux!Q107&lt;&gt;"",(N(Aux!Q107)-N(Aux!E107)-1)&lt;='01_Criterios'!$C$13),"EST_INTERP",IF(AND(Aux!E107&lt;&gt;"",(4-N(Aux!E107))&lt;='01_Criterios'!$C$14),"EST_CARRY_FWD",IF(AND(Aux!Q107&lt;&gt;"",(N(Aux!Q107)-4)&lt;='01_Criterios'!$C$15),"EST_CARRY_BWD","SEM_DADO")))))</f>
        <v/>
      </c>
      <c r="O107" s="20" t="str">
        <f>IF('03_Base_Indice'!$D107="","",IF('03_Base_Indice'!O107&lt;&gt;"","OBS",IF(AND(Aux!F107&lt;&gt;"",Aux!R107&lt;&gt;"",(N(Aux!R107)-N(Aux!F107)-1)&lt;='01_Criterios'!$C$13),"EST_INTERP",IF(AND(Aux!F107&lt;&gt;"",(5-N(Aux!F107))&lt;='01_Criterios'!$C$14),"EST_CARRY_FWD",IF(AND(Aux!R107&lt;&gt;"",(N(Aux!R107)-5)&lt;='01_Criterios'!$C$15),"EST_CARRY_BWD","SEM_DADO")))))</f>
        <v/>
      </c>
      <c r="P107" s="20" t="str">
        <f>IF('03_Base_Indice'!$D107="","",IF('03_Base_Indice'!P107&lt;&gt;"","OBS",IF(AND(Aux!G107&lt;&gt;"",Aux!S107&lt;&gt;"",(N(Aux!S107)-N(Aux!G107)-1)&lt;='01_Criterios'!$C$13),"EST_INTERP",IF(AND(Aux!G107&lt;&gt;"",(6-N(Aux!G107))&lt;='01_Criterios'!$C$14),"EST_CARRY_FWD",IF(AND(Aux!S107&lt;&gt;"",(N(Aux!S107)-6)&lt;='01_Criterios'!$C$15),"EST_CARRY_BWD","SEM_DADO")))))</f>
        <v/>
      </c>
      <c r="Q107" s="20" t="str">
        <f>IF('03_Base_Indice'!$D107="","",IF('03_Base_Indice'!Q107&lt;&gt;"","OBS",IF(AND(Aux!H107&lt;&gt;"",Aux!T107&lt;&gt;"",(N(Aux!T107)-N(Aux!H107)-1)&lt;='01_Criterios'!$C$13),"EST_INTERP",IF(AND(Aux!H107&lt;&gt;"",(7-N(Aux!H107))&lt;='01_Criterios'!$C$14),"EST_CARRY_FWD",IF(AND(Aux!T107&lt;&gt;"",(N(Aux!T107)-7)&lt;='01_Criterios'!$C$15),"EST_CARRY_BWD","SEM_DADO")))))</f>
        <v/>
      </c>
      <c r="R107" s="20" t="str">
        <f>IF('03_Base_Indice'!$D107="","",IF('03_Base_Indice'!R107&lt;&gt;"","OBS",IF(AND(Aux!I107&lt;&gt;"",Aux!U107&lt;&gt;"",(N(Aux!U107)-N(Aux!I107)-1)&lt;='01_Criterios'!$C$13),"EST_INTERP",IF(AND(Aux!I107&lt;&gt;"",(8-N(Aux!I107))&lt;='01_Criterios'!$C$14),"EST_CARRY_FWD",IF(AND(Aux!U107&lt;&gt;"",(N(Aux!U107)-8)&lt;='01_Criterios'!$C$15),"EST_CARRY_BWD","SEM_DADO")))))</f>
        <v/>
      </c>
      <c r="S107" s="20" t="str">
        <f>IF('03_Base_Indice'!$D107="","",IF('03_Base_Indice'!S107&lt;&gt;"","OBS",IF(AND(Aux!J107&lt;&gt;"",Aux!V107&lt;&gt;"",(N(Aux!V107)-N(Aux!J107)-1)&lt;='01_Criterios'!$C$13),"EST_INTERP",IF(AND(Aux!J107&lt;&gt;"",(9-N(Aux!J107))&lt;='01_Criterios'!$C$14),"EST_CARRY_FWD",IF(AND(Aux!V107&lt;&gt;"",(N(Aux!V107)-9)&lt;='01_Criterios'!$C$15),"EST_CARRY_BWD","SEM_DADO")))))</f>
        <v/>
      </c>
      <c r="T107" s="20" t="str">
        <f>IF('03_Base_Indice'!$D107="","",IF('03_Base_Indice'!T107&lt;&gt;"","OBS",IF(AND(Aux!K107&lt;&gt;"",Aux!W107&lt;&gt;"",(N(Aux!W107)-N(Aux!K107)-1)&lt;='01_Criterios'!$C$13),"EST_INTERP",IF(AND(Aux!K107&lt;&gt;"",(10-N(Aux!K107))&lt;='01_Criterios'!$C$14),"EST_CARRY_FWD",IF(AND(Aux!W107&lt;&gt;"",(N(Aux!W107)-10)&lt;='01_Criterios'!$C$15),"EST_CARRY_BWD","SEM_DADO")))))</f>
        <v/>
      </c>
      <c r="U107" s="20" t="str">
        <f>IF('03_Base_Indice'!$D107="","",IF('03_Base_Indice'!U107&lt;&gt;"","OBS",IF(AND(Aux!L107&lt;&gt;"",Aux!X107&lt;&gt;"",(N(Aux!X107)-N(Aux!L107)-1)&lt;='01_Criterios'!$C$13),"EST_INTERP",IF(AND(Aux!L107&lt;&gt;"",(11-N(Aux!L107))&lt;='01_Criterios'!$C$14),"EST_CARRY_FWD",IF(AND(Aux!X107&lt;&gt;"",(N(Aux!X107)-11)&lt;='01_Criterios'!$C$15),"EST_CARRY_BWD","SEM_DADO")))))</f>
        <v/>
      </c>
      <c r="V107" s="20" t="str">
        <f>IF($D107="","",COUNTIF(K107:U107,"OBS"))</f>
        <v/>
      </c>
      <c r="W107" s="20" t="str">
        <f>IF($D107="","",COUNTIF(K107:U107,"EST_*"))</f>
        <v/>
      </c>
      <c r="X107" s="20" t="str">
        <f>IF($D107="","",COUNTIF(K107:U107,"SEM_DADO"))</f>
        <v/>
      </c>
      <c r="Y107" s="20" t="str">
        <f>IF($D107="","",(V107+W107)&amp;"/11")</f>
        <v/>
      </c>
    </row>
    <row r="108" spans="1:25">
      <c r="A108" s="6" t="str">
        <f>IF('03_Base_Indice'!$A108="","",'03_Base_Indice'!$A108)</f>
        <v>11. Transformação Digital e Inovação</v>
      </c>
      <c r="B108" s="6">
        <f>'03_Base_Indice'!$B108</f>
        <v>4</v>
      </c>
      <c r="D108" s="6" t="str">
        <f>IF('03_Base_Indice'!$D108="","",'03_Base_Indice'!$D108)</f>
        <v/>
      </c>
      <c r="E108" s="6" t="str">
        <f>IF('03_Base_Indice'!$E108="","",'03_Base_Indice'!$E108)</f>
        <v/>
      </c>
      <c r="K108" s="20" t="str">
        <f>IF('03_Base_Indice'!$D108="","",IF('03_Base_Indice'!K108&lt;&gt;"","OBS",IF(AND(Aux!B108&lt;&gt;"",Aux!N108&lt;&gt;"",(N(Aux!N108)-N(Aux!B108)-1)&lt;='01_Criterios'!$C$13),"EST_INTERP",IF(AND(Aux!B108&lt;&gt;"",(1-N(Aux!B108))&lt;='01_Criterios'!$C$14),"EST_CARRY_FWD",IF(AND(Aux!N108&lt;&gt;"",(N(Aux!N108)-1)&lt;='01_Criterios'!$C$15),"EST_CARRY_BWD","SEM_DADO")))))</f>
        <v/>
      </c>
      <c r="L108" s="20" t="str">
        <f>IF('03_Base_Indice'!$D108="","",IF('03_Base_Indice'!L108&lt;&gt;"","OBS",IF(AND(Aux!C108&lt;&gt;"",Aux!O108&lt;&gt;"",(N(Aux!O108)-N(Aux!C108)-1)&lt;='01_Criterios'!$C$13),"EST_INTERP",IF(AND(Aux!C108&lt;&gt;"",(2-N(Aux!C108))&lt;='01_Criterios'!$C$14),"EST_CARRY_FWD",IF(AND(Aux!O108&lt;&gt;"",(N(Aux!O108)-2)&lt;='01_Criterios'!$C$15),"EST_CARRY_BWD","SEM_DADO")))))</f>
        <v/>
      </c>
      <c r="M108" s="20" t="str">
        <f>IF('03_Base_Indice'!$D108="","",IF('03_Base_Indice'!M108&lt;&gt;"","OBS",IF(AND(Aux!D108&lt;&gt;"",Aux!P108&lt;&gt;"",(N(Aux!P108)-N(Aux!D108)-1)&lt;='01_Criterios'!$C$13),"EST_INTERP",IF(AND(Aux!D108&lt;&gt;"",(3-N(Aux!D108))&lt;='01_Criterios'!$C$14),"EST_CARRY_FWD",IF(AND(Aux!P108&lt;&gt;"",(N(Aux!P108)-3)&lt;='01_Criterios'!$C$15),"EST_CARRY_BWD","SEM_DADO")))))</f>
        <v/>
      </c>
      <c r="N108" s="20" t="str">
        <f>IF('03_Base_Indice'!$D108="","",IF('03_Base_Indice'!N108&lt;&gt;"","OBS",IF(AND(Aux!E108&lt;&gt;"",Aux!Q108&lt;&gt;"",(N(Aux!Q108)-N(Aux!E108)-1)&lt;='01_Criterios'!$C$13),"EST_INTERP",IF(AND(Aux!E108&lt;&gt;"",(4-N(Aux!E108))&lt;='01_Criterios'!$C$14),"EST_CARRY_FWD",IF(AND(Aux!Q108&lt;&gt;"",(N(Aux!Q108)-4)&lt;='01_Criterios'!$C$15),"EST_CARRY_BWD","SEM_DADO")))))</f>
        <v/>
      </c>
      <c r="O108" s="20" t="str">
        <f>IF('03_Base_Indice'!$D108="","",IF('03_Base_Indice'!O108&lt;&gt;"","OBS",IF(AND(Aux!F108&lt;&gt;"",Aux!R108&lt;&gt;"",(N(Aux!R108)-N(Aux!F108)-1)&lt;='01_Criterios'!$C$13),"EST_INTERP",IF(AND(Aux!F108&lt;&gt;"",(5-N(Aux!F108))&lt;='01_Criterios'!$C$14),"EST_CARRY_FWD",IF(AND(Aux!R108&lt;&gt;"",(N(Aux!R108)-5)&lt;='01_Criterios'!$C$15),"EST_CARRY_BWD","SEM_DADO")))))</f>
        <v/>
      </c>
      <c r="P108" s="20" t="str">
        <f>IF('03_Base_Indice'!$D108="","",IF('03_Base_Indice'!P108&lt;&gt;"","OBS",IF(AND(Aux!G108&lt;&gt;"",Aux!S108&lt;&gt;"",(N(Aux!S108)-N(Aux!G108)-1)&lt;='01_Criterios'!$C$13),"EST_INTERP",IF(AND(Aux!G108&lt;&gt;"",(6-N(Aux!G108))&lt;='01_Criterios'!$C$14),"EST_CARRY_FWD",IF(AND(Aux!S108&lt;&gt;"",(N(Aux!S108)-6)&lt;='01_Criterios'!$C$15),"EST_CARRY_BWD","SEM_DADO")))))</f>
        <v/>
      </c>
      <c r="Q108" s="20" t="str">
        <f>IF('03_Base_Indice'!$D108="","",IF('03_Base_Indice'!Q108&lt;&gt;"","OBS",IF(AND(Aux!H108&lt;&gt;"",Aux!T108&lt;&gt;"",(N(Aux!T108)-N(Aux!H108)-1)&lt;='01_Criterios'!$C$13),"EST_INTERP",IF(AND(Aux!H108&lt;&gt;"",(7-N(Aux!H108))&lt;='01_Criterios'!$C$14),"EST_CARRY_FWD",IF(AND(Aux!T108&lt;&gt;"",(N(Aux!T108)-7)&lt;='01_Criterios'!$C$15),"EST_CARRY_BWD","SEM_DADO")))))</f>
        <v/>
      </c>
      <c r="R108" s="20" t="str">
        <f>IF('03_Base_Indice'!$D108="","",IF('03_Base_Indice'!R108&lt;&gt;"","OBS",IF(AND(Aux!I108&lt;&gt;"",Aux!U108&lt;&gt;"",(N(Aux!U108)-N(Aux!I108)-1)&lt;='01_Criterios'!$C$13),"EST_INTERP",IF(AND(Aux!I108&lt;&gt;"",(8-N(Aux!I108))&lt;='01_Criterios'!$C$14),"EST_CARRY_FWD",IF(AND(Aux!U108&lt;&gt;"",(N(Aux!U108)-8)&lt;='01_Criterios'!$C$15),"EST_CARRY_BWD","SEM_DADO")))))</f>
        <v/>
      </c>
      <c r="S108" s="20" t="str">
        <f>IF('03_Base_Indice'!$D108="","",IF('03_Base_Indice'!S108&lt;&gt;"","OBS",IF(AND(Aux!J108&lt;&gt;"",Aux!V108&lt;&gt;"",(N(Aux!V108)-N(Aux!J108)-1)&lt;='01_Criterios'!$C$13),"EST_INTERP",IF(AND(Aux!J108&lt;&gt;"",(9-N(Aux!J108))&lt;='01_Criterios'!$C$14),"EST_CARRY_FWD",IF(AND(Aux!V108&lt;&gt;"",(N(Aux!V108)-9)&lt;='01_Criterios'!$C$15),"EST_CARRY_BWD","SEM_DADO")))))</f>
        <v/>
      </c>
      <c r="T108" s="20" t="str">
        <f>IF('03_Base_Indice'!$D108="","",IF('03_Base_Indice'!T108&lt;&gt;"","OBS",IF(AND(Aux!K108&lt;&gt;"",Aux!W108&lt;&gt;"",(N(Aux!W108)-N(Aux!K108)-1)&lt;='01_Criterios'!$C$13),"EST_INTERP",IF(AND(Aux!K108&lt;&gt;"",(10-N(Aux!K108))&lt;='01_Criterios'!$C$14),"EST_CARRY_FWD",IF(AND(Aux!W108&lt;&gt;"",(N(Aux!W108)-10)&lt;='01_Criterios'!$C$15),"EST_CARRY_BWD","SEM_DADO")))))</f>
        <v/>
      </c>
      <c r="U108" s="20" t="str">
        <f>IF('03_Base_Indice'!$D108="","",IF('03_Base_Indice'!U108&lt;&gt;"","OBS",IF(AND(Aux!L108&lt;&gt;"",Aux!X108&lt;&gt;"",(N(Aux!X108)-N(Aux!L108)-1)&lt;='01_Criterios'!$C$13),"EST_INTERP",IF(AND(Aux!L108&lt;&gt;"",(11-N(Aux!L108))&lt;='01_Criterios'!$C$14),"EST_CARRY_FWD",IF(AND(Aux!X108&lt;&gt;"",(N(Aux!X108)-11)&lt;='01_Criterios'!$C$15),"EST_CARRY_BWD","SEM_DADO")))))</f>
        <v/>
      </c>
      <c r="V108" s="20" t="str">
        <f>IF($D108="","",COUNTIF(K108:U108,"OBS"))</f>
        <v/>
      </c>
      <c r="W108" s="20" t="str">
        <f>IF($D108="","",COUNTIF(K108:U108,"EST_*"))</f>
        <v/>
      </c>
      <c r="X108" s="20" t="str">
        <f>IF($D108="","",COUNTIF(K108:U108,"SEM_DADO"))</f>
        <v/>
      </c>
      <c r="Y108" s="20" t="str">
        <f>IF($D108="","",(V108+W108)&amp;"/11")</f>
        <v/>
      </c>
    </row>
    <row r="109" spans="1:25">
      <c r="A109" s="6" t="str">
        <f>IF('03_Base_Indice'!$A109="","",'03_Base_Indice'!$A109)</f>
        <v>11. Transformação Digital e Inovação</v>
      </c>
      <c r="B109" s="6">
        <f>'03_Base_Indice'!$B109</f>
        <v>5</v>
      </c>
      <c r="D109" s="6" t="str">
        <f>IF('03_Base_Indice'!$D109="","",'03_Base_Indice'!$D109)</f>
        <v/>
      </c>
      <c r="E109" s="6" t="str">
        <f>IF('03_Base_Indice'!$E109="","",'03_Base_Indice'!$E109)</f>
        <v/>
      </c>
      <c r="K109" s="20" t="str">
        <f>IF('03_Base_Indice'!$D109="","",IF('03_Base_Indice'!K109&lt;&gt;"","OBS",IF(AND(Aux!B109&lt;&gt;"",Aux!N109&lt;&gt;"",(N(Aux!N109)-N(Aux!B109)-1)&lt;='01_Criterios'!$C$13),"EST_INTERP",IF(AND(Aux!B109&lt;&gt;"",(1-N(Aux!B109))&lt;='01_Criterios'!$C$14),"EST_CARRY_FWD",IF(AND(Aux!N109&lt;&gt;"",(N(Aux!N109)-1)&lt;='01_Criterios'!$C$15),"EST_CARRY_BWD","SEM_DADO")))))</f>
        <v/>
      </c>
      <c r="L109" s="20" t="str">
        <f>IF('03_Base_Indice'!$D109="","",IF('03_Base_Indice'!L109&lt;&gt;"","OBS",IF(AND(Aux!C109&lt;&gt;"",Aux!O109&lt;&gt;"",(N(Aux!O109)-N(Aux!C109)-1)&lt;='01_Criterios'!$C$13),"EST_INTERP",IF(AND(Aux!C109&lt;&gt;"",(2-N(Aux!C109))&lt;='01_Criterios'!$C$14),"EST_CARRY_FWD",IF(AND(Aux!O109&lt;&gt;"",(N(Aux!O109)-2)&lt;='01_Criterios'!$C$15),"EST_CARRY_BWD","SEM_DADO")))))</f>
        <v/>
      </c>
      <c r="M109" s="20" t="str">
        <f>IF('03_Base_Indice'!$D109="","",IF('03_Base_Indice'!M109&lt;&gt;"","OBS",IF(AND(Aux!D109&lt;&gt;"",Aux!P109&lt;&gt;"",(N(Aux!P109)-N(Aux!D109)-1)&lt;='01_Criterios'!$C$13),"EST_INTERP",IF(AND(Aux!D109&lt;&gt;"",(3-N(Aux!D109))&lt;='01_Criterios'!$C$14),"EST_CARRY_FWD",IF(AND(Aux!P109&lt;&gt;"",(N(Aux!P109)-3)&lt;='01_Criterios'!$C$15),"EST_CARRY_BWD","SEM_DADO")))))</f>
        <v/>
      </c>
      <c r="N109" s="20" t="str">
        <f>IF('03_Base_Indice'!$D109="","",IF('03_Base_Indice'!N109&lt;&gt;"","OBS",IF(AND(Aux!E109&lt;&gt;"",Aux!Q109&lt;&gt;"",(N(Aux!Q109)-N(Aux!E109)-1)&lt;='01_Criterios'!$C$13),"EST_INTERP",IF(AND(Aux!E109&lt;&gt;"",(4-N(Aux!E109))&lt;='01_Criterios'!$C$14),"EST_CARRY_FWD",IF(AND(Aux!Q109&lt;&gt;"",(N(Aux!Q109)-4)&lt;='01_Criterios'!$C$15),"EST_CARRY_BWD","SEM_DADO")))))</f>
        <v/>
      </c>
      <c r="O109" s="20" t="str">
        <f>IF('03_Base_Indice'!$D109="","",IF('03_Base_Indice'!O109&lt;&gt;"","OBS",IF(AND(Aux!F109&lt;&gt;"",Aux!R109&lt;&gt;"",(N(Aux!R109)-N(Aux!F109)-1)&lt;='01_Criterios'!$C$13),"EST_INTERP",IF(AND(Aux!F109&lt;&gt;"",(5-N(Aux!F109))&lt;='01_Criterios'!$C$14),"EST_CARRY_FWD",IF(AND(Aux!R109&lt;&gt;"",(N(Aux!R109)-5)&lt;='01_Criterios'!$C$15),"EST_CARRY_BWD","SEM_DADO")))))</f>
        <v/>
      </c>
      <c r="P109" s="20" t="str">
        <f>IF('03_Base_Indice'!$D109="","",IF('03_Base_Indice'!P109&lt;&gt;"","OBS",IF(AND(Aux!G109&lt;&gt;"",Aux!S109&lt;&gt;"",(N(Aux!S109)-N(Aux!G109)-1)&lt;='01_Criterios'!$C$13),"EST_INTERP",IF(AND(Aux!G109&lt;&gt;"",(6-N(Aux!G109))&lt;='01_Criterios'!$C$14),"EST_CARRY_FWD",IF(AND(Aux!S109&lt;&gt;"",(N(Aux!S109)-6)&lt;='01_Criterios'!$C$15),"EST_CARRY_BWD","SEM_DADO")))))</f>
        <v/>
      </c>
      <c r="Q109" s="20" t="str">
        <f>IF('03_Base_Indice'!$D109="","",IF('03_Base_Indice'!Q109&lt;&gt;"","OBS",IF(AND(Aux!H109&lt;&gt;"",Aux!T109&lt;&gt;"",(N(Aux!T109)-N(Aux!H109)-1)&lt;='01_Criterios'!$C$13),"EST_INTERP",IF(AND(Aux!H109&lt;&gt;"",(7-N(Aux!H109))&lt;='01_Criterios'!$C$14),"EST_CARRY_FWD",IF(AND(Aux!T109&lt;&gt;"",(N(Aux!T109)-7)&lt;='01_Criterios'!$C$15),"EST_CARRY_BWD","SEM_DADO")))))</f>
        <v/>
      </c>
      <c r="R109" s="20" t="str">
        <f>IF('03_Base_Indice'!$D109="","",IF('03_Base_Indice'!R109&lt;&gt;"","OBS",IF(AND(Aux!I109&lt;&gt;"",Aux!U109&lt;&gt;"",(N(Aux!U109)-N(Aux!I109)-1)&lt;='01_Criterios'!$C$13),"EST_INTERP",IF(AND(Aux!I109&lt;&gt;"",(8-N(Aux!I109))&lt;='01_Criterios'!$C$14),"EST_CARRY_FWD",IF(AND(Aux!U109&lt;&gt;"",(N(Aux!U109)-8)&lt;='01_Criterios'!$C$15),"EST_CARRY_BWD","SEM_DADO")))))</f>
        <v/>
      </c>
      <c r="S109" s="20" t="str">
        <f>IF('03_Base_Indice'!$D109="","",IF('03_Base_Indice'!S109&lt;&gt;"","OBS",IF(AND(Aux!J109&lt;&gt;"",Aux!V109&lt;&gt;"",(N(Aux!V109)-N(Aux!J109)-1)&lt;='01_Criterios'!$C$13),"EST_INTERP",IF(AND(Aux!J109&lt;&gt;"",(9-N(Aux!J109))&lt;='01_Criterios'!$C$14),"EST_CARRY_FWD",IF(AND(Aux!V109&lt;&gt;"",(N(Aux!V109)-9)&lt;='01_Criterios'!$C$15),"EST_CARRY_BWD","SEM_DADO")))))</f>
        <v/>
      </c>
      <c r="T109" s="20" t="str">
        <f>IF('03_Base_Indice'!$D109="","",IF('03_Base_Indice'!T109&lt;&gt;"","OBS",IF(AND(Aux!K109&lt;&gt;"",Aux!W109&lt;&gt;"",(N(Aux!W109)-N(Aux!K109)-1)&lt;='01_Criterios'!$C$13),"EST_INTERP",IF(AND(Aux!K109&lt;&gt;"",(10-N(Aux!K109))&lt;='01_Criterios'!$C$14),"EST_CARRY_FWD",IF(AND(Aux!W109&lt;&gt;"",(N(Aux!W109)-10)&lt;='01_Criterios'!$C$15),"EST_CARRY_BWD","SEM_DADO")))))</f>
        <v/>
      </c>
      <c r="U109" s="20" t="str">
        <f>IF('03_Base_Indice'!$D109="","",IF('03_Base_Indice'!U109&lt;&gt;"","OBS",IF(AND(Aux!L109&lt;&gt;"",Aux!X109&lt;&gt;"",(N(Aux!X109)-N(Aux!L109)-1)&lt;='01_Criterios'!$C$13),"EST_INTERP",IF(AND(Aux!L109&lt;&gt;"",(11-N(Aux!L109))&lt;='01_Criterios'!$C$14),"EST_CARRY_FWD",IF(AND(Aux!X109&lt;&gt;"",(N(Aux!X109)-11)&lt;='01_Criterios'!$C$15),"EST_CARRY_BWD","SEM_DADO")))))</f>
        <v/>
      </c>
      <c r="V109" s="20" t="str">
        <f>IF($D109="","",COUNTIF(K109:U109,"OBS"))</f>
        <v/>
      </c>
      <c r="W109" s="20" t="str">
        <f>IF($D109="","",COUNTIF(K109:U109,"EST_*"))</f>
        <v/>
      </c>
      <c r="X109" s="20" t="str">
        <f>IF($D109="","",COUNTIF(K109:U109,"SEM_DADO"))</f>
        <v/>
      </c>
      <c r="Y109" s="20" t="str">
        <f>IF($D109="","",(V109+W109)&amp;"/11")</f>
        <v/>
      </c>
    </row>
    <row r="110" spans="1:25">
      <c r="A110" s="6" t="str">
        <f>IF('03_Base_Indice'!$A110="","",'03_Base_Indice'!$A110)</f>
        <v>11. Transformação Digital e Inovação</v>
      </c>
      <c r="B110" s="6">
        <f>'03_Base_Indice'!$B110</f>
        <v>6</v>
      </c>
      <c r="D110" s="6" t="str">
        <f>IF('03_Base_Indice'!$D110="","",'03_Base_Indice'!$D110)</f>
        <v/>
      </c>
      <c r="E110" s="6" t="str">
        <f>IF('03_Base_Indice'!$E110="","",'03_Base_Indice'!$E110)</f>
        <v/>
      </c>
      <c r="K110" s="20" t="str">
        <f>IF('03_Base_Indice'!$D110="","",IF('03_Base_Indice'!K110&lt;&gt;"","OBS",IF(AND(Aux!B110&lt;&gt;"",Aux!N110&lt;&gt;"",(N(Aux!N110)-N(Aux!B110)-1)&lt;='01_Criterios'!$C$13),"EST_INTERP",IF(AND(Aux!B110&lt;&gt;"",(1-N(Aux!B110))&lt;='01_Criterios'!$C$14),"EST_CARRY_FWD",IF(AND(Aux!N110&lt;&gt;"",(N(Aux!N110)-1)&lt;='01_Criterios'!$C$15),"EST_CARRY_BWD","SEM_DADO")))))</f>
        <v/>
      </c>
      <c r="L110" s="20" t="str">
        <f>IF('03_Base_Indice'!$D110="","",IF('03_Base_Indice'!L110&lt;&gt;"","OBS",IF(AND(Aux!C110&lt;&gt;"",Aux!O110&lt;&gt;"",(N(Aux!O110)-N(Aux!C110)-1)&lt;='01_Criterios'!$C$13),"EST_INTERP",IF(AND(Aux!C110&lt;&gt;"",(2-N(Aux!C110))&lt;='01_Criterios'!$C$14),"EST_CARRY_FWD",IF(AND(Aux!O110&lt;&gt;"",(N(Aux!O110)-2)&lt;='01_Criterios'!$C$15),"EST_CARRY_BWD","SEM_DADO")))))</f>
        <v/>
      </c>
      <c r="M110" s="20" t="str">
        <f>IF('03_Base_Indice'!$D110="","",IF('03_Base_Indice'!M110&lt;&gt;"","OBS",IF(AND(Aux!D110&lt;&gt;"",Aux!P110&lt;&gt;"",(N(Aux!P110)-N(Aux!D110)-1)&lt;='01_Criterios'!$C$13),"EST_INTERP",IF(AND(Aux!D110&lt;&gt;"",(3-N(Aux!D110))&lt;='01_Criterios'!$C$14),"EST_CARRY_FWD",IF(AND(Aux!P110&lt;&gt;"",(N(Aux!P110)-3)&lt;='01_Criterios'!$C$15),"EST_CARRY_BWD","SEM_DADO")))))</f>
        <v/>
      </c>
      <c r="N110" s="20" t="str">
        <f>IF('03_Base_Indice'!$D110="","",IF('03_Base_Indice'!N110&lt;&gt;"","OBS",IF(AND(Aux!E110&lt;&gt;"",Aux!Q110&lt;&gt;"",(N(Aux!Q110)-N(Aux!E110)-1)&lt;='01_Criterios'!$C$13),"EST_INTERP",IF(AND(Aux!E110&lt;&gt;"",(4-N(Aux!E110))&lt;='01_Criterios'!$C$14),"EST_CARRY_FWD",IF(AND(Aux!Q110&lt;&gt;"",(N(Aux!Q110)-4)&lt;='01_Criterios'!$C$15),"EST_CARRY_BWD","SEM_DADO")))))</f>
        <v/>
      </c>
      <c r="O110" s="20" t="str">
        <f>IF('03_Base_Indice'!$D110="","",IF('03_Base_Indice'!O110&lt;&gt;"","OBS",IF(AND(Aux!F110&lt;&gt;"",Aux!R110&lt;&gt;"",(N(Aux!R110)-N(Aux!F110)-1)&lt;='01_Criterios'!$C$13),"EST_INTERP",IF(AND(Aux!F110&lt;&gt;"",(5-N(Aux!F110))&lt;='01_Criterios'!$C$14),"EST_CARRY_FWD",IF(AND(Aux!R110&lt;&gt;"",(N(Aux!R110)-5)&lt;='01_Criterios'!$C$15),"EST_CARRY_BWD","SEM_DADO")))))</f>
        <v/>
      </c>
      <c r="P110" s="20" t="str">
        <f>IF('03_Base_Indice'!$D110="","",IF('03_Base_Indice'!P110&lt;&gt;"","OBS",IF(AND(Aux!G110&lt;&gt;"",Aux!S110&lt;&gt;"",(N(Aux!S110)-N(Aux!G110)-1)&lt;='01_Criterios'!$C$13),"EST_INTERP",IF(AND(Aux!G110&lt;&gt;"",(6-N(Aux!G110))&lt;='01_Criterios'!$C$14),"EST_CARRY_FWD",IF(AND(Aux!S110&lt;&gt;"",(N(Aux!S110)-6)&lt;='01_Criterios'!$C$15),"EST_CARRY_BWD","SEM_DADO")))))</f>
        <v/>
      </c>
      <c r="Q110" s="20" t="str">
        <f>IF('03_Base_Indice'!$D110="","",IF('03_Base_Indice'!Q110&lt;&gt;"","OBS",IF(AND(Aux!H110&lt;&gt;"",Aux!T110&lt;&gt;"",(N(Aux!T110)-N(Aux!H110)-1)&lt;='01_Criterios'!$C$13),"EST_INTERP",IF(AND(Aux!H110&lt;&gt;"",(7-N(Aux!H110))&lt;='01_Criterios'!$C$14),"EST_CARRY_FWD",IF(AND(Aux!T110&lt;&gt;"",(N(Aux!T110)-7)&lt;='01_Criterios'!$C$15),"EST_CARRY_BWD","SEM_DADO")))))</f>
        <v/>
      </c>
      <c r="R110" s="20" t="str">
        <f>IF('03_Base_Indice'!$D110="","",IF('03_Base_Indice'!R110&lt;&gt;"","OBS",IF(AND(Aux!I110&lt;&gt;"",Aux!U110&lt;&gt;"",(N(Aux!U110)-N(Aux!I110)-1)&lt;='01_Criterios'!$C$13),"EST_INTERP",IF(AND(Aux!I110&lt;&gt;"",(8-N(Aux!I110))&lt;='01_Criterios'!$C$14),"EST_CARRY_FWD",IF(AND(Aux!U110&lt;&gt;"",(N(Aux!U110)-8)&lt;='01_Criterios'!$C$15),"EST_CARRY_BWD","SEM_DADO")))))</f>
        <v/>
      </c>
      <c r="S110" s="20" t="str">
        <f>IF('03_Base_Indice'!$D110="","",IF('03_Base_Indice'!S110&lt;&gt;"","OBS",IF(AND(Aux!J110&lt;&gt;"",Aux!V110&lt;&gt;"",(N(Aux!V110)-N(Aux!J110)-1)&lt;='01_Criterios'!$C$13),"EST_INTERP",IF(AND(Aux!J110&lt;&gt;"",(9-N(Aux!J110))&lt;='01_Criterios'!$C$14),"EST_CARRY_FWD",IF(AND(Aux!V110&lt;&gt;"",(N(Aux!V110)-9)&lt;='01_Criterios'!$C$15),"EST_CARRY_BWD","SEM_DADO")))))</f>
        <v/>
      </c>
      <c r="T110" s="20" t="str">
        <f>IF('03_Base_Indice'!$D110="","",IF('03_Base_Indice'!T110&lt;&gt;"","OBS",IF(AND(Aux!K110&lt;&gt;"",Aux!W110&lt;&gt;"",(N(Aux!W110)-N(Aux!K110)-1)&lt;='01_Criterios'!$C$13),"EST_INTERP",IF(AND(Aux!K110&lt;&gt;"",(10-N(Aux!K110))&lt;='01_Criterios'!$C$14),"EST_CARRY_FWD",IF(AND(Aux!W110&lt;&gt;"",(N(Aux!W110)-10)&lt;='01_Criterios'!$C$15),"EST_CARRY_BWD","SEM_DADO")))))</f>
        <v/>
      </c>
      <c r="U110" s="20" t="str">
        <f>IF('03_Base_Indice'!$D110="","",IF('03_Base_Indice'!U110&lt;&gt;"","OBS",IF(AND(Aux!L110&lt;&gt;"",Aux!X110&lt;&gt;"",(N(Aux!X110)-N(Aux!L110)-1)&lt;='01_Criterios'!$C$13),"EST_INTERP",IF(AND(Aux!L110&lt;&gt;"",(11-N(Aux!L110))&lt;='01_Criterios'!$C$14),"EST_CARRY_FWD",IF(AND(Aux!X110&lt;&gt;"",(N(Aux!X110)-11)&lt;='01_Criterios'!$C$15),"EST_CARRY_BWD","SEM_DADO")))))</f>
        <v/>
      </c>
      <c r="V110" s="20" t="str">
        <f>IF($D110="","",COUNTIF(K110:U110,"OBS"))</f>
        <v/>
      </c>
      <c r="W110" s="20" t="str">
        <f>IF($D110="","",COUNTIF(K110:U110,"EST_*"))</f>
        <v/>
      </c>
      <c r="X110" s="20" t="str">
        <f>IF($D110="","",COUNTIF(K110:U110,"SEM_DADO"))</f>
        <v/>
      </c>
      <c r="Y110" s="20" t="str">
        <f>IF($D110="","",(V110+W110)&amp;"/11")</f>
        <v/>
      </c>
    </row>
    <row r="111" spans="1:25">
      <c r="A111" s="6" t="str">
        <f>IF('03_Base_Indice'!$A111="","",'03_Base_Indice'!$A111)</f>
        <v>11. Transformação Digital e Inovação</v>
      </c>
      <c r="B111" s="6">
        <f>'03_Base_Indice'!$B111</f>
        <v>7</v>
      </c>
      <c r="D111" s="6" t="str">
        <f>IF('03_Base_Indice'!$D111="","",'03_Base_Indice'!$D111)</f>
        <v/>
      </c>
      <c r="E111" s="6" t="str">
        <f>IF('03_Base_Indice'!$E111="","",'03_Base_Indice'!$E111)</f>
        <v/>
      </c>
      <c r="K111" s="20" t="str">
        <f>IF('03_Base_Indice'!$D111="","",IF('03_Base_Indice'!K111&lt;&gt;"","OBS",IF(AND(Aux!B111&lt;&gt;"",Aux!N111&lt;&gt;"",(N(Aux!N111)-N(Aux!B111)-1)&lt;='01_Criterios'!$C$13),"EST_INTERP",IF(AND(Aux!B111&lt;&gt;"",(1-N(Aux!B111))&lt;='01_Criterios'!$C$14),"EST_CARRY_FWD",IF(AND(Aux!N111&lt;&gt;"",(N(Aux!N111)-1)&lt;='01_Criterios'!$C$15),"EST_CARRY_BWD","SEM_DADO")))))</f>
        <v/>
      </c>
      <c r="L111" s="20" t="str">
        <f>IF('03_Base_Indice'!$D111="","",IF('03_Base_Indice'!L111&lt;&gt;"","OBS",IF(AND(Aux!C111&lt;&gt;"",Aux!O111&lt;&gt;"",(N(Aux!O111)-N(Aux!C111)-1)&lt;='01_Criterios'!$C$13),"EST_INTERP",IF(AND(Aux!C111&lt;&gt;"",(2-N(Aux!C111))&lt;='01_Criterios'!$C$14),"EST_CARRY_FWD",IF(AND(Aux!O111&lt;&gt;"",(N(Aux!O111)-2)&lt;='01_Criterios'!$C$15),"EST_CARRY_BWD","SEM_DADO")))))</f>
        <v/>
      </c>
      <c r="M111" s="20" t="str">
        <f>IF('03_Base_Indice'!$D111="","",IF('03_Base_Indice'!M111&lt;&gt;"","OBS",IF(AND(Aux!D111&lt;&gt;"",Aux!P111&lt;&gt;"",(N(Aux!P111)-N(Aux!D111)-1)&lt;='01_Criterios'!$C$13),"EST_INTERP",IF(AND(Aux!D111&lt;&gt;"",(3-N(Aux!D111))&lt;='01_Criterios'!$C$14),"EST_CARRY_FWD",IF(AND(Aux!P111&lt;&gt;"",(N(Aux!P111)-3)&lt;='01_Criterios'!$C$15),"EST_CARRY_BWD","SEM_DADO")))))</f>
        <v/>
      </c>
      <c r="N111" s="20" t="str">
        <f>IF('03_Base_Indice'!$D111="","",IF('03_Base_Indice'!N111&lt;&gt;"","OBS",IF(AND(Aux!E111&lt;&gt;"",Aux!Q111&lt;&gt;"",(N(Aux!Q111)-N(Aux!E111)-1)&lt;='01_Criterios'!$C$13),"EST_INTERP",IF(AND(Aux!E111&lt;&gt;"",(4-N(Aux!E111))&lt;='01_Criterios'!$C$14),"EST_CARRY_FWD",IF(AND(Aux!Q111&lt;&gt;"",(N(Aux!Q111)-4)&lt;='01_Criterios'!$C$15),"EST_CARRY_BWD","SEM_DADO")))))</f>
        <v/>
      </c>
      <c r="O111" s="20" t="str">
        <f>IF('03_Base_Indice'!$D111="","",IF('03_Base_Indice'!O111&lt;&gt;"","OBS",IF(AND(Aux!F111&lt;&gt;"",Aux!R111&lt;&gt;"",(N(Aux!R111)-N(Aux!F111)-1)&lt;='01_Criterios'!$C$13),"EST_INTERP",IF(AND(Aux!F111&lt;&gt;"",(5-N(Aux!F111))&lt;='01_Criterios'!$C$14),"EST_CARRY_FWD",IF(AND(Aux!R111&lt;&gt;"",(N(Aux!R111)-5)&lt;='01_Criterios'!$C$15),"EST_CARRY_BWD","SEM_DADO")))))</f>
        <v/>
      </c>
      <c r="P111" s="20" t="str">
        <f>IF('03_Base_Indice'!$D111="","",IF('03_Base_Indice'!P111&lt;&gt;"","OBS",IF(AND(Aux!G111&lt;&gt;"",Aux!S111&lt;&gt;"",(N(Aux!S111)-N(Aux!G111)-1)&lt;='01_Criterios'!$C$13),"EST_INTERP",IF(AND(Aux!G111&lt;&gt;"",(6-N(Aux!G111))&lt;='01_Criterios'!$C$14),"EST_CARRY_FWD",IF(AND(Aux!S111&lt;&gt;"",(N(Aux!S111)-6)&lt;='01_Criterios'!$C$15),"EST_CARRY_BWD","SEM_DADO")))))</f>
        <v/>
      </c>
      <c r="Q111" s="20" t="str">
        <f>IF('03_Base_Indice'!$D111="","",IF('03_Base_Indice'!Q111&lt;&gt;"","OBS",IF(AND(Aux!H111&lt;&gt;"",Aux!T111&lt;&gt;"",(N(Aux!T111)-N(Aux!H111)-1)&lt;='01_Criterios'!$C$13),"EST_INTERP",IF(AND(Aux!H111&lt;&gt;"",(7-N(Aux!H111))&lt;='01_Criterios'!$C$14),"EST_CARRY_FWD",IF(AND(Aux!T111&lt;&gt;"",(N(Aux!T111)-7)&lt;='01_Criterios'!$C$15),"EST_CARRY_BWD","SEM_DADO")))))</f>
        <v/>
      </c>
      <c r="R111" s="20" t="str">
        <f>IF('03_Base_Indice'!$D111="","",IF('03_Base_Indice'!R111&lt;&gt;"","OBS",IF(AND(Aux!I111&lt;&gt;"",Aux!U111&lt;&gt;"",(N(Aux!U111)-N(Aux!I111)-1)&lt;='01_Criterios'!$C$13),"EST_INTERP",IF(AND(Aux!I111&lt;&gt;"",(8-N(Aux!I111))&lt;='01_Criterios'!$C$14),"EST_CARRY_FWD",IF(AND(Aux!U111&lt;&gt;"",(N(Aux!U111)-8)&lt;='01_Criterios'!$C$15),"EST_CARRY_BWD","SEM_DADO")))))</f>
        <v/>
      </c>
      <c r="S111" s="20" t="str">
        <f>IF('03_Base_Indice'!$D111="","",IF('03_Base_Indice'!S111&lt;&gt;"","OBS",IF(AND(Aux!J111&lt;&gt;"",Aux!V111&lt;&gt;"",(N(Aux!V111)-N(Aux!J111)-1)&lt;='01_Criterios'!$C$13),"EST_INTERP",IF(AND(Aux!J111&lt;&gt;"",(9-N(Aux!J111))&lt;='01_Criterios'!$C$14),"EST_CARRY_FWD",IF(AND(Aux!V111&lt;&gt;"",(N(Aux!V111)-9)&lt;='01_Criterios'!$C$15),"EST_CARRY_BWD","SEM_DADO")))))</f>
        <v/>
      </c>
      <c r="T111" s="20" t="str">
        <f>IF('03_Base_Indice'!$D111="","",IF('03_Base_Indice'!T111&lt;&gt;"","OBS",IF(AND(Aux!K111&lt;&gt;"",Aux!W111&lt;&gt;"",(N(Aux!W111)-N(Aux!K111)-1)&lt;='01_Criterios'!$C$13),"EST_INTERP",IF(AND(Aux!K111&lt;&gt;"",(10-N(Aux!K111))&lt;='01_Criterios'!$C$14),"EST_CARRY_FWD",IF(AND(Aux!W111&lt;&gt;"",(N(Aux!W111)-10)&lt;='01_Criterios'!$C$15),"EST_CARRY_BWD","SEM_DADO")))))</f>
        <v/>
      </c>
      <c r="U111" s="20" t="str">
        <f>IF('03_Base_Indice'!$D111="","",IF('03_Base_Indice'!U111&lt;&gt;"","OBS",IF(AND(Aux!L111&lt;&gt;"",Aux!X111&lt;&gt;"",(N(Aux!X111)-N(Aux!L111)-1)&lt;='01_Criterios'!$C$13),"EST_INTERP",IF(AND(Aux!L111&lt;&gt;"",(11-N(Aux!L111))&lt;='01_Criterios'!$C$14),"EST_CARRY_FWD",IF(AND(Aux!X111&lt;&gt;"",(N(Aux!X111)-11)&lt;='01_Criterios'!$C$15),"EST_CARRY_BWD","SEM_DADO")))))</f>
        <v/>
      </c>
      <c r="V111" s="20" t="str">
        <f>IF($D111="","",COUNTIF(K111:U111,"OBS"))</f>
        <v/>
      </c>
      <c r="W111" s="20" t="str">
        <f>IF($D111="","",COUNTIF(K111:U111,"EST_*"))</f>
        <v/>
      </c>
      <c r="X111" s="20" t="str">
        <f>IF($D111="","",COUNTIF(K111:U111,"SEM_DADO"))</f>
        <v/>
      </c>
      <c r="Y111" s="20" t="str">
        <f>IF($D111="","",(V111+W111)&amp;"/11")</f>
        <v/>
      </c>
    </row>
    <row r="112" spans="1:25">
      <c r="A112" s="6" t="str">
        <f>IF('03_Base_Indice'!$A112="","",'03_Base_Indice'!$A112)</f>
        <v>11. Transformação Digital e Inovação</v>
      </c>
      <c r="B112" s="6">
        <f>'03_Base_Indice'!$B112</f>
        <v>8</v>
      </c>
      <c r="D112" s="6" t="str">
        <f>IF('03_Base_Indice'!$D112="","",'03_Base_Indice'!$D112)</f>
        <v/>
      </c>
      <c r="E112" s="6" t="str">
        <f>IF('03_Base_Indice'!$E112="","",'03_Base_Indice'!$E112)</f>
        <v/>
      </c>
      <c r="K112" s="20" t="str">
        <f>IF('03_Base_Indice'!$D112="","",IF('03_Base_Indice'!K112&lt;&gt;"","OBS",IF(AND(Aux!B112&lt;&gt;"",Aux!N112&lt;&gt;"",(N(Aux!N112)-N(Aux!B112)-1)&lt;='01_Criterios'!$C$13),"EST_INTERP",IF(AND(Aux!B112&lt;&gt;"",(1-N(Aux!B112))&lt;='01_Criterios'!$C$14),"EST_CARRY_FWD",IF(AND(Aux!N112&lt;&gt;"",(N(Aux!N112)-1)&lt;='01_Criterios'!$C$15),"EST_CARRY_BWD","SEM_DADO")))))</f>
        <v/>
      </c>
      <c r="L112" s="20" t="str">
        <f>IF('03_Base_Indice'!$D112="","",IF('03_Base_Indice'!L112&lt;&gt;"","OBS",IF(AND(Aux!C112&lt;&gt;"",Aux!O112&lt;&gt;"",(N(Aux!O112)-N(Aux!C112)-1)&lt;='01_Criterios'!$C$13),"EST_INTERP",IF(AND(Aux!C112&lt;&gt;"",(2-N(Aux!C112))&lt;='01_Criterios'!$C$14),"EST_CARRY_FWD",IF(AND(Aux!O112&lt;&gt;"",(N(Aux!O112)-2)&lt;='01_Criterios'!$C$15),"EST_CARRY_BWD","SEM_DADO")))))</f>
        <v/>
      </c>
      <c r="M112" s="20" t="str">
        <f>IF('03_Base_Indice'!$D112="","",IF('03_Base_Indice'!M112&lt;&gt;"","OBS",IF(AND(Aux!D112&lt;&gt;"",Aux!P112&lt;&gt;"",(N(Aux!P112)-N(Aux!D112)-1)&lt;='01_Criterios'!$C$13),"EST_INTERP",IF(AND(Aux!D112&lt;&gt;"",(3-N(Aux!D112))&lt;='01_Criterios'!$C$14),"EST_CARRY_FWD",IF(AND(Aux!P112&lt;&gt;"",(N(Aux!P112)-3)&lt;='01_Criterios'!$C$15),"EST_CARRY_BWD","SEM_DADO")))))</f>
        <v/>
      </c>
      <c r="N112" s="20" t="str">
        <f>IF('03_Base_Indice'!$D112="","",IF('03_Base_Indice'!N112&lt;&gt;"","OBS",IF(AND(Aux!E112&lt;&gt;"",Aux!Q112&lt;&gt;"",(N(Aux!Q112)-N(Aux!E112)-1)&lt;='01_Criterios'!$C$13),"EST_INTERP",IF(AND(Aux!E112&lt;&gt;"",(4-N(Aux!E112))&lt;='01_Criterios'!$C$14),"EST_CARRY_FWD",IF(AND(Aux!Q112&lt;&gt;"",(N(Aux!Q112)-4)&lt;='01_Criterios'!$C$15),"EST_CARRY_BWD","SEM_DADO")))))</f>
        <v/>
      </c>
      <c r="O112" s="20" t="str">
        <f>IF('03_Base_Indice'!$D112="","",IF('03_Base_Indice'!O112&lt;&gt;"","OBS",IF(AND(Aux!F112&lt;&gt;"",Aux!R112&lt;&gt;"",(N(Aux!R112)-N(Aux!F112)-1)&lt;='01_Criterios'!$C$13),"EST_INTERP",IF(AND(Aux!F112&lt;&gt;"",(5-N(Aux!F112))&lt;='01_Criterios'!$C$14),"EST_CARRY_FWD",IF(AND(Aux!R112&lt;&gt;"",(N(Aux!R112)-5)&lt;='01_Criterios'!$C$15),"EST_CARRY_BWD","SEM_DADO")))))</f>
        <v/>
      </c>
      <c r="P112" s="20" t="str">
        <f>IF('03_Base_Indice'!$D112="","",IF('03_Base_Indice'!P112&lt;&gt;"","OBS",IF(AND(Aux!G112&lt;&gt;"",Aux!S112&lt;&gt;"",(N(Aux!S112)-N(Aux!G112)-1)&lt;='01_Criterios'!$C$13),"EST_INTERP",IF(AND(Aux!G112&lt;&gt;"",(6-N(Aux!G112))&lt;='01_Criterios'!$C$14),"EST_CARRY_FWD",IF(AND(Aux!S112&lt;&gt;"",(N(Aux!S112)-6)&lt;='01_Criterios'!$C$15),"EST_CARRY_BWD","SEM_DADO")))))</f>
        <v/>
      </c>
      <c r="Q112" s="20" t="str">
        <f>IF('03_Base_Indice'!$D112="","",IF('03_Base_Indice'!Q112&lt;&gt;"","OBS",IF(AND(Aux!H112&lt;&gt;"",Aux!T112&lt;&gt;"",(N(Aux!T112)-N(Aux!H112)-1)&lt;='01_Criterios'!$C$13),"EST_INTERP",IF(AND(Aux!H112&lt;&gt;"",(7-N(Aux!H112))&lt;='01_Criterios'!$C$14),"EST_CARRY_FWD",IF(AND(Aux!T112&lt;&gt;"",(N(Aux!T112)-7)&lt;='01_Criterios'!$C$15),"EST_CARRY_BWD","SEM_DADO")))))</f>
        <v/>
      </c>
      <c r="R112" s="20" t="str">
        <f>IF('03_Base_Indice'!$D112="","",IF('03_Base_Indice'!R112&lt;&gt;"","OBS",IF(AND(Aux!I112&lt;&gt;"",Aux!U112&lt;&gt;"",(N(Aux!U112)-N(Aux!I112)-1)&lt;='01_Criterios'!$C$13),"EST_INTERP",IF(AND(Aux!I112&lt;&gt;"",(8-N(Aux!I112))&lt;='01_Criterios'!$C$14),"EST_CARRY_FWD",IF(AND(Aux!U112&lt;&gt;"",(N(Aux!U112)-8)&lt;='01_Criterios'!$C$15),"EST_CARRY_BWD","SEM_DADO")))))</f>
        <v/>
      </c>
      <c r="S112" s="20" t="str">
        <f>IF('03_Base_Indice'!$D112="","",IF('03_Base_Indice'!S112&lt;&gt;"","OBS",IF(AND(Aux!J112&lt;&gt;"",Aux!V112&lt;&gt;"",(N(Aux!V112)-N(Aux!J112)-1)&lt;='01_Criterios'!$C$13),"EST_INTERP",IF(AND(Aux!J112&lt;&gt;"",(9-N(Aux!J112))&lt;='01_Criterios'!$C$14),"EST_CARRY_FWD",IF(AND(Aux!V112&lt;&gt;"",(N(Aux!V112)-9)&lt;='01_Criterios'!$C$15),"EST_CARRY_BWD","SEM_DADO")))))</f>
        <v/>
      </c>
      <c r="T112" s="20" t="str">
        <f>IF('03_Base_Indice'!$D112="","",IF('03_Base_Indice'!T112&lt;&gt;"","OBS",IF(AND(Aux!K112&lt;&gt;"",Aux!W112&lt;&gt;"",(N(Aux!W112)-N(Aux!K112)-1)&lt;='01_Criterios'!$C$13),"EST_INTERP",IF(AND(Aux!K112&lt;&gt;"",(10-N(Aux!K112))&lt;='01_Criterios'!$C$14),"EST_CARRY_FWD",IF(AND(Aux!W112&lt;&gt;"",(N(Aux!W112)-10)&lt;='01_Criterios'!$C$15),"EST_CARRY_BWD","SEM_DADO")))))</f>
        <v/>
      </c>
      <c r="U112" s="20" t="str">
        <f>IF('03_Base_Indice'!$D112="","",IF('03_Base_Indice'!U112&lt;&gt;"","OBS",IF(AND(Aux!L112&lt;&gt;"",Aux!X112&lt;&gt;"",(N(Aux!X112)-N(Aux!L112)-1)&lt;='01_Criterios'!$C$13),"EST_INTERP",IF(AND(Aux!L112&lt;&gt;"",(11-N(Aux!L112))&lt;='01_Criterios'!$C$14),"EST_CARRY_FWD",IF(AND(Aux!X112&lt;&gt;"",(N(Aux!X112)-11)&lt;='01_Criterios'!$C$15),"EST_CARRY_BWD","SEM_DADO")))))</f>
        <v/>
      </c>
      <c r="V112" s="20" t="str">
        <f>IF($D112="","",COUNTIF(K112:U112,"OBS"))</f>
        <v/>
      </c>
      <c r="W112" s="20" t="str">
        <f>IF($D112="","",COUNTIF(K112:U112,"EST_*"))</f>
        <v/>
      </c>
      <c r="X112" s="20" t="str">
        <f>IF($D112="","",COUNTIF(K112:U112,"SEM_DADO"))</f>
        <v/>
      </c>
      <c r="Y112" s="20" t="str">
        <f>IF($D112="","",(V112+W112)&amp;"/11")</f>
        <v/>
      </c>
    </row>
    <row r="113" spans="1:25">
      <c r="A113" s="6" t="str">
        <f>IF('03_Base_Indice'!$A113="","",'03_Base_Indice'!$A113)</f>
        <v>11. Transformação Digital e Inovação</v>
      </c>
      <c r="B113" s="6">
        <f>'03_Base_Indice'!$B113</f>
        <v>9</v>
      </c>
      <c r="D113" s="6" t="str">
        <f>IF('03_Base_Indice'!$D113="","",'03_Base_Indice'!$D113)</f>
        <v/>
      </c>
      <c r="E113" s="6" t="str">
        <f>IF('03_Base_Indice'!$E113="","",'03_Base_Indice'!$E113)</f>
        <v/>
      </c>
      <c r="K113" s="20" t="str">
        <f>IF('03_Base_Indice'!$D113="","",IF('03_Base_Indice'!K113&lt;&gt;"","OBS",IF(AND(Aux!B113&lt;&gt;"",Aux!N113&lt;&gt;"",(N(Aux!N113)-N(Aux!B113)-1)&lt;='01_Criterios'!$C$13),"EST_INTERP",IF(AND(Aux!B113&lt;&gt;"",(1-N(Aux!B113))&lt;='01_Criterios'!$C$14),"EST_CARRY_FWD",IF(AND(Aux!N113&lt;&gt;"",(N(Aux!N113)-1)&lt;='01_Criterios'!$C$15),"EST_CARRY_BWD","SEM_DADO")))))</f>
        <v/>
      </c>
      <c r="L113" s="20" t="str">
        <f>IF('03_Base_Indice'!$D113="","",IF('03_Base_Indice'!L113&lt;&gt;"","OBS",IF(AND(Aux!C113&lt;&gt;"",Aux!O113&lt;&gt;"",(N(Aux!O113)-N(Aux!C113)-1)&lt;='01_Criterios'!$C$13),"EST_INTERP",IF(AND(Aux!C113&lt;&gt;"",(2-N(Aux!C113))&lt;='01_Criterios'!$C$14),"EST_CARRY_FWD",IF(AND(Aux!O113&lt;&gt;"",(N(Aux!O113)-2)&lt;='01_Criterios'!$C$15),"EST_CARRY_BWD","SEM_DADO")))))</f>
        <v/>
      </c>
      <c r="M113" s="20" t="str">
        <f>IF('03_Base_Indice'!$D113="","",IF('03_Base_Indice'!M113&lt;&gt;"","OBS",IF(AND(Aux!D113&lt;&gt;"",Aux!P113&lt;&gt;"",(N(Aux!P113)-N(Aux!D113)-1)&lt;='01_Criterios'!$C$13),"EST_INTERP",IF(AND(Aux!D113&lt;&gt;"",(3-N(Aux!D113))&lt;='01_Criterios'!$C$14),"EST_CARRY_FWD",IF(AND(Aux!P113&lt;&gt;"",(N(Aux!P113)-3)&lt;='01_Criterios'!$C$15),"EST_CARRY_BWD","SEM_DADO")))))</f>
        <v/>
      </c>
      <c r="N113" s="20" t="str">
        <f>IF('03_Base_Indice'!$D113="","",IF('03_Base_Indice'!N113&lt;&gt;"","OBS",IF(AND(Aux!E113&lt;&gt;"",Aux!Q113&lt;&gt;"",(N(Aux!Q113)-N(Aux!E113)-1)&lt;='01_Criterios'!$C$13),"EST_INTERP",IF(AND(Aux!E113&lt;&gt;"",(4-N(Aux!E113))&lt;='01_Criterios'!$C$14),"EST_CARRY_FWD",IF(AND(Aux!Q113&lt;&gt;"",(N(Aux!Q113)-4)&lt;='01_Criterios'!$C$15),"EST_CARRY_BWD","SEM_DADO")))))</f>
        <v/>
      </c>
      <c r="O113" s="20" t="str">
        <f>IF('03_Base_Indice'!$D113="","",IF('03_Base_Indice'!O113&lt;&gt;"","OBS",IF(AND(Aux!F113&lt;&gt;"",Aux!R113&lt;&gt;"",(N(Aux!R113)-N(Aux!F113)-1)&lt;='01_Criterios'!$C$13),"EST_INTERP",IF(AND(Aux!F113&lt;&gt;"",(5-N(Aux!F113))&lt;='01_Criterios'!$C$14),"EST_CARRY_FWD",IF(AND(Aux!R113&lt;&gt;"",(N(Aux!R113)-5)&lt;='01_Criterios'!$C$15),"EST_CARRY_BWD","SEM_DADO")))))</f>
        <v/>
      </c>
      <c r="P113" s="20" t="str">
        <f>IF('03_Base_Indice'!$D113="","",IF('03_Base_Indice'!P113&lt;&gt;"","OBS",IF(AND(Aux!G113&lt;&gt;"",Aux!S113&lt;&gt;"",(N(Aux!S113)-N(Aux!G113)-1)&lt;='01_Criterios'!$C$13),"EST_INTERP",IF(AND(Aux!G113&lt;&gt;"",(6-N(Aux!G113))&lt;='01_Criterios'!$C$14),"EST_CARRY_FWD",IF(AND(Aux!S113&lt;&gt;"",(N(Aux!S113)-6)&lt;='01_Criterios'!$C$15),"EST_CARRY_BWD","SEM_DADO")))))</f>
        <v/>
      </c>
      <c r="Q113" s="20" t="str">
        <f>IF('03_Base_Indice'!$D113="","",IF('03_Base_Indice'!Q113&lt;&gt;"","OBS",IF(AND(Aux!H113&lt;&gt;"",Aux!T113&lt;&gt;"",(N(Aux!T113)-N(Aux!H113)-1)&lt;='01_Criterios'!$C$13),"EST_INTERP",IF(AND(Aux!H113&lt;&gt;"",(7-N(Aux!H113))&lt;='01_Criterios'!$C$14),"EST_CARRY_FWD",IF(AND(Aux!T113&lt;&gt;"",(N(Aux!T113)-7)&lt;='01_Criterios'!$C$15),"EST_CARRY_BWD","SEM_DADO")))))</f>
        <v/>
      </c>
      <c r="R113" s="20" t="str">
        <f>IF('03_Base_Indice'!$D113="","",IF('03_Base_Indice'!R113&lt;&gt;"","OBS",IF(AND(Aux!I113&lt;&gt;"",Aux!U113&lt;&gt;"",(N(Aux!U113)-N(Aux!I113)-1)&lt;='01_Criterios'!$C$13),"EST_INTERP",IF(AND(Aux!I113&lt;&gt;"",(8-N(Aux!I113))&lt;='01_Criterios'!$C$14),"EST_CARRY_FWD",IF(AND(Aux!U113&lt;&gt;"",(N(Aux!U113)-8)&lt;='01_Criterios'!$C$15),"EST_CARRY_BWD","SEM_DADO")))))</f>
        <v/>
      </c>
      <c r="S113" s="20" t="str">
        <f>IF('03_Base_Indice'!$D113="","",IF('03_Base_Indice'!S113&lt;&gt;"","OBS",IF(AND(Aux!J113&lt;&gt;"",Aux!V113&lt;&gt;"",(N(Aux!V113)-N(Aux!J113)-1)&lt;='01_Criterios'!$C$13),"EST_INTERP",IF(AND(Aux!J113&lt;&gt;"",(9-N(Aux!J113))&lt;='01_Criterios'!$C$14),"EST_CARRY_FWD",IF(AND(Aux!V113&lt;&gt;"",(N(Aux!V113)-9)&lt;='01_Criterios'!$C$15),"EST_CARRY_BWD","SEM_DADO")))))</f>
        <v/>
      </c>
      <c r="T113" s="20" t="str">
        <f>IF('03_Base_Indice'!$D113="","",IF('03_Base_Indice'!T113&lt;&gt;"","OBS",IF(AND(Aux!K113&lt;&gt;"",Aux!W113&lt;&gt;"",(N(Aux!W113)-N(Aux!K113)-1)&lt;='01_Criterios'!$C$13),"EST_INTERP",IF(AND(Aux!K113&lt;&gt;"",(10-N(Aux!K113))&lt;='01_Criterios'!$C$14),"EST_CARRY_FWD",IF(AND(Aux!W113&lt;&gt;"",(N(Aux!W113)-10)&lt;='01_Criterios'!$C$15),"EST_CARRY_BWD","SEM_DADO")))))</f>
        <v/>
      </c>
      <c r="U113" s="20" t="str">
        <f>IF('03_Base_Indice'!$D113="","",IF('03_Base_Indice'!U113&lt;&gt;"","OBS",IF(AND(Aux!L113&lt;&gt;"",Aux!X113&lt;&gt;"",(N(Aux!X113)-N(Aux!L113)-1)&lt;='01_Criterios'!$C$13),"EST_INTERP",IF(AND(Aux!L113&lt;&gt;"",(11-N(Aux!L113))&lt;='01_Criterios'!$C$14),"EST_CARRY_FWD",IF(AND(Aux!X113&lt;&gt;"",(N(Aux!X113)-11)&lt;='01_Criterios'!$C$15),"EST_CARRY_BWD","SEM_DADO")))))</f>
        <v/>
      </c>
      <c r="V113" s="20" t="str">
        <f>IF($D113="","",COUNTIF(K113:U113,"OBS"))</f>
        <v/>
      </c>
      <c r="W113" s="20" t="str">
        <f>IF($D113="","",COUNTIF(K113:U113,"EST_*"))</f>
        <v/>
      </c>
      <c r="X113" s="20" t="str">
        <f>IF($D113="","",COUNTIF(K113:U113,"SEM_DADO"))</f>
        <v/>
      </c>
      <c r="Y113" s="20" t="str">
        <f>IF($D113="","",(V113+W113)&amp;"/11")</f>
        <v/>
      </c>
    </row>
    <row r="114" spans="1:25">
      <c r="A114" s="6" t="str">
        <f>IF('03_Base_Indice'!$A114="","",'03_Base_Indice'!$A114)</f>
        <v>11. Transformação Digital e Inovação</v>
      </c>
      <c r="B114" s="6">
        <f>'03_Base_Indice'!$B114</f>
        <v>10</v>
      </c>
      <c r="D114" s="6" t="str">
        <f>IF('03_Base_Indice'!$D114="","",'03_Base_Indice'!$D114)</f>
        <v/>
      </c>
      <c r="E114" s="6" t="str">
        <f>IF('03_Base_Indice'!$E114="","",'03_Base_Indice'!$E114)</f>
        <v/>
      </c>
      <c r="K114" s="20" t="str">
        <f>IF('03_Base_Indice'!$D114="","",IF('03_Base_Indice'!K114&lt;&gt;"","OBS",IF(AND(Aux!B114&lt;&gt;"",Aux!N114&lt;&gt;"",(N(Aux!N114)-N(Aux!B114)-1)&lt;='01_Criterios'!$C$13),"EST_INTERP",IF(AND(Aux!B114&lt;&gt;"",(1-N(Aux!B114))&lt;='01_Criterios'!$C$14),"EST_CARRY_FWD",IF(AND(Aux!N114&lt;&gt;"",(N(Aux!N114)-1)&lt;='01_Criterios'!$C$15),"EST_CARRY_BWD","SEM_DADO")))))</f>
        <v/>
      </c>
      <c r="L114" s="20" t="str">
        <f>IF('03_Base_Indice'!$D114="","",IF('03_Base_Indice'!L114&lt;&gt;"","OBS",IF(AND(Aux!C114&lt;&gt;"",Aux!O114&lt;&gt;"",(N(Aux!O114)-N(Aux!C114)-1)&lt;='01_Criterios'!$C$13),"EST_INTERP",IF(AND(Aux!C114&lt;&gt;"",(2-N(Aux!C114))&lt;='01_Criterios'!$C$14),"EST_CARRY_FWD",IF(AND(Aux!O114&lt;&gt;"",(N(Aux!O114)-2)&lt;='01_Criterios'!$C$15),"EST_CARRY_BWD","SEM_DADO")))))</f>
        <v/>
      </c>
      <c r="M114" s="20" t="str">
        <f>IF('03_Base_Indice'!$D114="","",IF('03_Base_Indice'!M114&lt;&gt;"","OBS",IF(AND(Aux!D114&lt;&gt;"",Aux!P114&lt;&gt;"",(N(Aux!P114)-N(Aux!D114)-1)&lt;='01_Criterios'!$C$13),"EST_INTERP",IF(AND(Aux!D114&lt;&gt;"",(3-N(Aux!D114))&lt;='01_Criterios'!$C$14),"EST_CARRY_FWD",IF(AND(Aux!P114&lt;&gt;"",(N(Aux!P114)-3)&lt;='01_Criterios'!$C$15),"EST_CARRY_BWD","SEM_DADO")))))</f>
        <v/>
      </c>
      <c r="N114" s="20" t="str">
        <f>IF('03_Base_Indice'!$D114="","",IF('03_Base_Indice'!N114&lt;&gt;"","OBS",IF(AND(Aux!E114&lt;&gt;"",Aux!Q114&lt;&gt;"",(N(Aux!Q114)-N(Aux!E114)-1)&lt;='01_Criterios'!$C$13),"EST_INTERP",IF(AND(Aux!E114&lt;&gt;"",(4-N(Aux!E114))&lt;='01_Criterios'!$C$14),"EST_CARRY_FWD",IF(AND(Aux!Q114&lt;&gt;"",(N(Aux!Q114)-4)&lt;='01_Criterios'!$C$15),"EST_CARRY_BWD","SEM_DADO")))))</f>
        <v/>
      </c>
      <c r="O114" s="20" t="str">
        <f>IF('03_Base_Indice'!$D114="","",IF('03_Base_Indice'!O114&lt;&gt;"","OBS",IF(AND(Aux!F114&lt;&gt;"",Aux!R114&lt;&gt;"",(N(Aux!R114)-N(Aux!F114)-1)&lt;='01_Criterios'!$C$13),"EST_INTERP",IF(AND(Aux!F114&lt;&gt;"",(5-N(Aux!F114))&lt;='01_Criterios'!$C$14),"EST_CARRY_FWD",IF(AND(Aux!R114&lt;&gt;"",(N(Aux!R114)-5)&lt;='01_Criterios'!$C$15),"EST_CARRY_BWD","SEM_DADO")))))</f>
        <v/>
      </c>
      <c r="P114" s="20" t="str">
        <f>IF('03_Base_Indice'!$D114="","",IF('03_Base_Indice'!P114&lt;&gt;"","OBS",IF(AND(Aux!G114&lt;&gt;"",Aux!S114&lt;&gt;"",(N(Aux!S114)-N(Aux!G114)-1)&lt;='01_Criterios'!$C$13),"EST_INTERP",IF(AND(Aux!G114&lt;&gt;"",(6-N(Aux!G114))&lt;='01_Criterios'!$C$14),"EST_CARRY_FWD",IF(AND(Aux!S114&lt;&gt;"",(N(Aux!S114)-6)&lt;='01_Criterios'!$C$15),"EST_CARRY_BWD","SEM_DADO")))))</f>
        <v/>
      </c>
      <c r="Q114" s="20" t="str">
        <f>IF('03_Base_Indice'!$D114="","",IF('03_Base_Indice'!Q114&lt;&gt;"","OBS",IF(AND(Aux!H114&lt;&gt;"",Aux!T114&lt;&gt;"",(N(Aux!T114)-N(Aux!H114)-1)&lt;='01_Criterios'!$C$13),"EST_INTERP",IF(AND(Aux!H114&lt;&gt;"",(7-N(Aux!H114))&lt;='01_Criterios'!$C$14),"EST_CARRY_FWD",IF(AND(Aux!T114&lt;&gt;"",(N(Aux!T114)-7)&lt;='01_Criterios'!$C$15),"EST_CARRY_BWD","SEM_DADO")))))</f>
        <v/>
      </c>
      <c r="R114" s="20" t="str">
        <f>IF('03_Base_Indice'!$D114="","",IF('03_Base_Indice'!R114&lt;&gt;"","OBS",IF(AND(Aux!I114&lt;&gt;"",Aux!U114&lt;&gt;"",(N(Aux!U114)-N(Aux!I114)-1)&lt;='01_Criterios'!$C$13),"EST_INTERP",IF(AND(Aux!I114&lt;&gt;"",(8-N(Aux!I114))&lt;='01_Criterios'!$C$14),"EST_CARRY_FWD",IF(AND(Aux!U114&lt;&gt;"",(N(Aux!U114)-8)&lt;='01_Criterios'!$C$15),"EST_CARRY_BWD","SEM_DADO")))))</f>
        <v/>
      </c>
      <c r="S114" s="20" t="str">
        <f>IF('03_Base_Indice'!$D114="","",IF('03_Base_Indice'!S114&lt;&gt;"","OBS",IF(AND(Aux!J114&lt;&gt;"",Aux!V114&lt;&gt;"",(N(Aux!V114)-N(Aux!J114)-1)&lt;='01_Criterios'!$C$13),"EST_INTERP",IF(AND(Aux!J114&lt;&gt;"",(9-N(Aux!J114))&lt;='01_Criterios'!$C$14),"EST_CARRY_FWD",IF(AND(Aux!V114&lt;&gt;"",(N(Aux!V114)-9)&lt;='01_Criterios'!$C$15),"EST_CARRY_BWD","SEM_DADO")))))</f>
        <v/>
      </c>
      <c r="T114" s="20" t="str">
        <f>IF('03_Base_Indice'!$D114="","",IF('03_Base_Indice'!T114&lt;&gt;"","OBS",IF(AND(Aux!K114&lt;&gt;"",Aux!W114&lt;&gt;"",(N(Aux!W114)-N(Aux!K114)-1)&lt;='01_Criterios'!$C$13),"EST_INTERP",IF(AND(Aux!K114&lt;&gt;"",(10-N(Aux!K114))&lt;='01_Criterios'!$C$14),"EST_CARRY_FWD",IF(AND(Aux!W114&lt;&gt;"",(N(Aux!W114)-10)&lt;='01_Criterios'!$C$15),"EST_CARRY_BWD","SEM_DADO")))))</f>
        <v/>
      </c>
      <c r="U114" s="20" t="str">
        <f>IF('03_Base_Indice'!$D114="","",IF('03_Base_Indice'!U114&lt;&gt;"","OBS",IF(AND(Aux!L114&lt;&gt;"",Aux!X114&lt;&gt;"",(N(Aux!X114)-N(Aux!L114)-1)&lt;='01_Criterios'!$C$13),"EST_INTERP",IF(AND(Aux!L114&lt;&gt;"",(11-N(Aux!L114))&lt;='01_Criterios'!$C$14),"EST_CARRY_FWD",IF(AND(Aux!X114&lt;&gt;"",(N(Aux!X114)-11)&lt;='01_Criterios'!$C$15),"EST_CARRY_BWD","SEM_DADO")))))</f>
        <v/>
      </c>
      <c r="V114" s="20" t="str">
        <f>IF($D114="","",COUNTIF(K114:U114,"OBS"))</f>
        <v/>
      </c>
      <c r="W114" s="20" t="str">
        <f>IF($D114="","",COUNTIF(K114:U114,"EST_*"))</f>
        <v/>
      </c>
      <c r="X114" s="20" t="str">
        <f>IF($D114="","",COUNTIF(K114:U114,"SEM_DADO"))</f>
        <v/>
      </c>
      <c r="Y114" s="20" t="str">
        <f>IF($D114="","",(V114+W114)&amp;"/11")</f>
        <v/>
      </c>
    </row>
  </sheetData>
  <conditionalFormatting sqref="K5:U114">
    <cfRule type="cellIs" dxfId="1" priority="1" operator="equal">
      <formula>"SEM_DADO"</formula>
    </cfRule>
    <cfRule type="expression" dxfId="0" priority="2">
      <formula>LEFT(K5,4)="EST_"</formula>
    </cfRule>
  </conditionalFormatting>
  <hyperlinks>
    <hyperlink ref="A1" location="'00_Painel'!A1" display="← Painel" xr:uid="{00000000-0004-0000-0500-000000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6DCE4"/>
  </sheetPr>
  <dimension ref="A1:U114"/>
  <sheetViews>
    <sheetView workbookViewId="0">
      <pane xSplit="5" ySplit="4" topLeftCell="F15" activePane="bottomRight" state="frozen"/>
      <selection pane="bottomRight" activeCell="K6" sqref="K6"/>
      <selection pane="bottomLeft"/>
      <selection pane="topRight"/>
    </sheetView>
  </sheetViews>
  <sheetFormatPr defaultRowHeight="14.45"/>
  <cols>
    <col min="1" max="1" width="30" customWidth="1"/>
    <col min="2" max="2" width="5" customWidth="1"/>
    <col min="3" max="3" width="3" customWidth="1"/>
    <col min="4" max="4" width="9" customWidth="1"/>
    <col min="5" max="5" width="44" customWidth="1"/>
    <col min="7" max="7" width="8" customWidth="1"/>
    <col min="11" max="21" width="8" customWidth="1"/>
  </cols>
  <sheetData>
    <row r="1" spans="1:21">
      <c r="A1" s="3" t="s">
        <v>27</v>
      </c>
    </row>
    <row r="2" spans="1:21" ht="23.45" customHeight="1">
      <c r="B2" s="1" t="s">
        <v>1798</v>
      </c>
    </row>
    <row r="3" spans="1:21">
      <c r="B3" s="2" t="s">
        <v>1799</v>
      </c>
    </row>
    <row r="4" spans="1:21">
      <c r="A4" s="11" t="s">
        <v>24</v>
      </c>
      <c r="B4" s="11" t="s">
        <v>120</v>
      </c>
      <c r="D4" s="11" t="s">
        <v>90</v>
      </c>
      <c r="E4" s="11" t="s">
        <v>92</v>
      </c>
      <c r="G4" s="11" t="s">
        <v>94</v>
      </c>
      <c r="K4" s="11" t="s">
        <v>1778</v>
      </c>
      <c r="L4" s="11" t="s">
        <v>1779</v>
      </c>
      <c r="M4" s="11" t="s">
        <v>1780</v>
      </c>
      <c r="N4" s="11" t="s">
        <v>1781</v>
      </c>
      <c r="O4" s="11" t="s">
        <v>1782</v>
      </c>
      <c r="P4" s="11" t="s">
        <v>1783</v>
      </c>
      <c r="Q4" s="11" t="s">
        <v>1784</v>
      </c>
      <c r="R4" s="11" t="s">
        <v>1785</v>
      </c>
      <c r="S4" s="11" t="s">
        <v>1786</v>
      </c>
      <c r="T4" s="11" t="s">
        <v>1787</v>
      </c>
      <c r="U4" s="11" t="s">
        <v>1788</v>
      </c>
    </row>
    <row r="5" spans="1:21">
      <c r="A5" s="6" t="str">
        <f>IF('03_Base_Indice'!$A5="","",'03_Base_Indice'!$A5)</f>
        <v>1. Governança e Estado de Direito</v>
      </c>
      <c r="B5" s="6">
        <f>'03_Base_Indice'!$B5</f>
        <v>1</v>
      </c>
      <c r="D5" s="6" t="str">
        <f>IF('03_Base_Indice'!$D5="","",'03_Base_Indice'!$D5)</f>
        <v>GOV01</v>
      </c>
      <c r="E5" s="6" t="str">
        <f>IF('03_Base_Indice'!$E5="","",'03_Base_Indice'!$E5)</f>
        <v>Índice de Percepção da Corrupção</v>
      </c>
      <c r="G5" s="20" t="str">
        <f>IF('03_Base_Indice'!$G5="","",'03_Base_Indice'!$G5)</f>
        <v>+</v>
      </c>
      <c r="K5" s="31">
        <f>IF($D5="","",IF('04_Dados_Ajustados'!K5="","",IF('03_Base_Indice'!$G5="+",MIN('01_Criterios'!$C$10,MAX('01_Criterios'!$C$9,'01_Criterios'!$C$9+('01_Criterios'!$C$10-'01_Criterios'!$C$9)*('04_Dados_Ajustados'!K5-'03_Base_Indice'!$H5)/('03_Base_Indice'!$I5-'03_Base_Indice'!$H5))),MIN('01_Criterios'!$C$10,MAX('01_Criterios'!$C$9,'01_Criterios'!$C$9+('01_Criterios'!$C$10-'01_Criterios'!$C$9)*('03_Base_Indice'!$I5-'04_Dados_Ajustados'!K5)/('03_Base_Indice'!$I5-'03_Base_Indice'!$H5))))))</f>
        <v>15</v>
      </c>
      <c r="L5" s="31">
        <f>IF($D5="","",IF('04_Dados_Ajustados'!L5="","",IF('03_Base_Indice'!$G5="+",MIN('01_Criterios'!$C$10,MAX('01_Criterios'!$C$9,'01_Criterios'!$C$9+('01_Criterios'!$C$10-'01_Criterios'!$C$9)*('04_Dados_Ajustados'!L5-'03_Base_Indice'!$H5)/('03_Base_Indice'!$I5-'03_Base_Indice'!$H5))),MIN('01_Criterios'!$C$10,MAX('01_Criterios'!$C$9,'01_Criterios'!$C$9+('01_Criterios'!$C$10-'01_Criterios'!$C$9)*('03_Base_Indice'!$I5-'04_Dados_Ajustados'!L5)/('03_Base_Indice'!$I5-'03_Base_Indice'!$H5))))))</f>
        <v>18</v>
      </c>
      <c r="M5" s="31">
        <f>IF($D5="","",IF('04_Dados_Ajustados'!M5="","",IF('03_Base_Indice'!$G5="+",MIN('01_Criterios'!$C$10,MAX('01_Criterios'!$C$9,'01_Criterios'!$C$9+('01_Criterios'!$C$10-'01_Criterios'!$C$9)*('04_Dados_Ajustados'!M5-'03_Base_Indice'!$H5)/('03_Base_Indice'!$I5-'03_Base_Indice'!$H5))),MIN('01_Criterios'!$C$10,MAX('01_Criterios'!$C$9,'01_Criterios'!$C$9+('01_Criterios'!$C$10-'01_Criterios'!$C$9)*('03_Base_Indice'!$I5-'04_Dados_Ajustados'!M5)/('03_Base_Indice'!$I5-'03_Base_Indice'!$H5))))))</f>
        <v>19</v>
      </c>
      <c r="N5" s="31">
        <f>IF($D5="","",IF('04_Dados_Ajustados'!N5="","",IF('03_Base_Indice'!$G5="+",MIN('01_Criterios'!$C$10,MAX('01_Criterios'!$C$9,'01_Criterios'!$C$9+('01_Criterios'!$C$10-'01_Criterios'!$C$9)*('04_Dados_Ajustados'!N5-'03_Base_Indice'!$H5)/('03_Base_Indice'!$I5-'03_Base_Indice'!$H5))),MIN('01_Criterios'!$C$10,MAX('01_Criterios'!$C$9,'01_Criterios'!$C$9+('01_Criterios'!$C$10-'01_Criterios'!$C$9)*('03_Base_Indice'!$I5-'04_Dados_Ajustados'!N5)/('03_Base_Indice'!$I5-'03_Base_Indice'!$H5))))))</f>
        <v>19</v>
      </c>
      <c r="O5" s="31">
        <f>IF($D5="","",IF('04_Dados_Ajustados'!O5="","",IF('03_Base_Indice'!$G5="+",MIN('01_Criterios'!$C$10,MAX('01_Criterios'!$C$9,'01_Criterios'!$C$9+('01_Criterios'!$C$10-'01_Criterios'!$C$9)*('04_Dados_Ajustados'!O5-'03_Base_Indice'!$H5)/('03_Base_Indice'!$I5-'03_Base_Indice'!$H5))),MIN('01_Criterios'!$C$10,MAX('01_Criterios'!$C$9,'01_Criterios'!$C$9+('01_Criterios'!$C$10-'01_Criterios'!$C$9)*('03_Base_Indice'!$I5-'04_Dados_Ajustados'!O5)/('03_Base_Indice'!$I5-'03_Base_Indice'!$H5))))))</f>
        <v>26</v>
      </c>
      <c r="P5" s="31">
        <f>IF($D5="","",IF('04_Dados_Ajustados'!P5="","",IF('03_Base_Indice'!$G5="+",MIN('01_Criterios'!$C$10,MAX('01_Criterios'!$C$9,'01_Criterios'!$C$9+('01_Criterios'!$C$10-'01_Criterios'!$C$9)*('04_Dados_Ajustados'!P5-'03_Base_Indice'!$H5)/('03_Base_Indice'!$I5-'03_Base_Indice'!$H5))),MIN('01_Criterios'!$C$10,MAX('01_Criterios'!$C$9,'01_Criterios'!$C$9+('01_Criterios'!$C$10-'01_Criterios'!$C$9)*('03_Base_Indice'!$I5-'04_Dados_Ajustados'!P5)/('03_Base_Indice'!$I5-'03_Base_Indice'!$H5))))))</f>
        <v>27</v>
      </c>
      <c r="Q5" s="31">
        <f>IF($D5="","",IF('04_Dados_Ajustados'!Q5="","",IF('03_Base_Indice'!$G5="+",MIN('01_Criterios'!$C$10,MAX('01_Criterios'!$C$9,'01_Criterios'!$C$9+('01_Criterios'!$C$10-'01_Criterios'!$C$9)*('04_Dados_Ajustados'!Q5-'03_Base_Indice'!$H5)/('03_Base_Indice'!$I5-'03_Base_Indice'!$H5))),MIN('01_Criterios'!$C$10,MAX('01_Criterios'!$C$9,'01_Criterios'!$C$9+('01_Criterios'!$C$10-'01_Criterios'!$C$9)*('03_Base_Indice'!$I5-'04_Dados_Ajustados'!Q5)/('03_Base_Indice'!$I5-'03_Base_Indice'!$H5))))))</f>
        <v>29</v>
      </c>
      <c r="R5" s="31">
        <f>IF($D5="","",IF('04_Dados_Ajustados'!R5="","",IF('03_Base_Indice'!$G5="+",MIN('01_Criterios'!$C$10,MAX('01_Criterios'!$C$9,'01_Criterios'!$C$9+('01_Criterios'!$C$10-'01_Criterios'!$C$9)*('04_Dados_Ajustados'!R5-'03_Base_Indice'!$H5)/('03_Base_Indice'!$I5-'03_Base_Indice'!$H5))),MIN('01_Criterios'!$C$10,MAX('01_Criterios'!$C$9,'01_Criterios'!$C$9+('01_Criterios'!$C$10-'01_Criterios'!$C$9)*('03_Base_Indice'!$I5-'04_Dados_Ajustados'!R5)/('03_Base_Indice'!$I5-'03_Base_Indice'!$H5))))))</f>
        <v>33</v>
      </c>
      <c r="S5" s="31">
        <f>IF($D5="","",IF('04_Dados_Ajustados'!S5="","",IF('03_Base_Indice'!$G5="+",MIN('01_Criterios'!$C$10,MAX('01_Criterios'!$C$9,'01_Criterios'!$C$9+('01_Criterios'!$C$10-'01_Criterios'!$C$9)*('04_Dados_Ajustados'!S5-'03_Base_Indice'!$H5)/('03_Base_Indice'!$I5-'03_Base_Indice'!$H5))),MIN('01_Criterios'!$C$10,MAX('01_Criterios'!$C$9,'01_Criterios'!$C$9+('01_Criterios'!$C$10-'01_Criterios'!$C$9)*('03_Base_Indice'!$I5-'04_Dados_Ajustados'!S5)/('03_Base_Indice'!$I5-'03_Base_Indice'!$H5))))))</f>
        <v>33</v>
      </c>
      <c r="T5" s="31">
        <f>IF($D5="","",IF('04_Dados_Ajustados'!T5="","",IF('03_Base_Indice'!$G5="+",MIN('01_Criterios'!$C$10,MAX('01_Criterios'!$C$9,'01_Criterios'!$C$9+('01_Criterios'!$C$10-'01_Criterios'!$C$9)*('04_Dados_Ajustados'!T5-'03_Base_Indice'!$H5)/('03_Base_Indice'!$I5-'03_Base_Indice'!$H5))),MIN('01_Criterios'!$C$10,MAX('01_Criterios'!$C$9,'01_Criterios'!$C$9+('01_Criterios'!$C$10-'01_Criterios'!$C$9)*('03_Base_Indice'!$I5-'04_Dados_Ajustados'!T5)/('03_Base_Indice'!$I5-'03_Base_Indice'!$H5))))))</f>
        <v>32</v>
      </c>
      <c r="U5" s="31">
        <f>IF($D5="","",IF('04_Dados_Ajustados'!U5="","",IF('03_Base_Indice'!$G5="+",MIN('01_Criterios'!$C$10,MAX('01_Criterios'!$C$9,'01_Criterios'!$C$9+('01_Criterios'!$C$10-'01_Criterios'!$C$9)*('04_Dados_Ajustados'!U5-'03_Base_Indice'!$H5)/('03_Base_Indice'!$I5-'03_Base_Indice'!$H5))),MIN('01_Criterios'!$C$10,MAX('01_Criterios'!$C$9,'01_Criterios'!$C$9+('01_Criterios'!$C$10-'01_Criterios'!$C$9)*('03_Base_Indice'!$I5-'04_Dados_Ajustados'!U5)/('03_Base_Indice'!$I5-'03_Base_Indice'!$H5))))))</f>
        <v>32</v>
      </c>
    </row>
    <row r="6" spans="1:21">
      <c r="A6" s="6" t="str">
        <f>IF('03_Base_Indice'!$A6="","",'03_Base_Indice'!$A6)</f>
        <v>1. Governança e Estado de Direito</v>
      </c>
      <c r="B6" s="6">
        <f>'03_Base_Indice'!$B6</f>
        <v>2</v>
      </c>
      <c r="D6" s="6" t="str">
        <f>IF('03_Base_Indice'!$D6="","",'03_Base_Indice'!$D6)</f>
        <v>GOV004</v>
      </c>
      <c r="E6" s="6" t="str">
        <f>IF('03_Base_Indice'!$E6="","",'03_Base_Indice'!$E6)</f>
        <v>Estabilidade Política (WGI)</v>
      </c>
      <c r="G6" s="20" t="str">
        <f>IF('03_Base_Indice'!$G6="","",'03_Base_Indice'!$G6)</f>
        <v>+</v>
      </c>
      <c r="K6" s="31">
        <f>IF($D6="","",IF('04_Dados_Ajustados'!K6="","",IF('03_Base_Indice'!$G6="+",MIN('01_Criterios'!$C$10,MAX('01_Criterios'!$C$9,'01_Criterios'!$C$9+('01_Criterios'!$C$10-'01_Criterios'!$C$9)*('04_Dados_Ajustados'!K6-'03_Base_Indice'!$H6)/('03_Base_Indice'!$I6-'03_Base_Indice'!$H6))),MIN('01_Criterios'!$C$10,MAX('01_Criterios'!$C$9,'01_Criterios'!$C$9+('01_Criterios'!$C$10-'01_Criterios'!$C$9)*('03_Base_Indice'!$I6-'04_Dados_Ajustados'!K6)/('03_Base_Indice'!$I6-'03_Base_Indice'!$H6))))))</f>
        <v>38.817947999999994</v>
      </c>
      <c r="L6" s="31">
        <f>IF($D6="","",IF('04_Dados_Ajustados'!L6="","",IF('03_Base_Indice'!$G6="+",MIN('01_Criterios'!$C$10,MAX('01_Criterios'!$C$9,'01_Criterios'!$C$9+('01_Criterios'!$C$10-'01_Criterios'!$C$9)*('04_Dados_Ajustados'!L6-'03_Base_Indice'!$H6)/('03_Base_Indice'!$I6-'03_Base_Indice'!$H6))),MIN('01_Criterios'!$C$10,MAX('01_Criterios'!$C$9,'01_Criterios'!$C$9+('01_Criterios'!$C$10-'01_Criterios'!$C$9)*('03_Base_Indice'!$I6-'04_Dados_Ajustados'!L6)/('03_Base_Indice'!$I6-'03_Base_Indice'!$H6))))))</f>
        <v>41.30744</v>
      </c>
      <c r="M6" s="31">
        <f>IF($D6="","",IF('04_Dados_Ajustados'!M6="","",IF('03_Base_Indice'!$G6="+",MIN('01_Criterios'!$C$10,MAX('01_Criterios'!$C$9,'01_Criterios'!$C$9+('01_Criterios'!$C$10-'01_Criterios'!$C$9)*('04_Dados_Ajustados'!M6-'03_Base_Indice'!$H6)/('03_Base_Indice'!$I6-'03_Base_Indice'!$H6))),MIN('01_Criterios'!$C$10,MAX('01_Criterios'!$C$9,'01_Criterios'!$C$9+('01_Criterios'!$C$10-'01_Criterios'!$C$9)*('03_Base_Indice'!$I6-'04_Dados_Ajustados'!M6)/('03_Base_Indice'!$I6-'03_Base_Indice'!$H6))))))</f>
        <v>39.255710000000001</v>
      </c>
      <c r="N6" s="31">
        <f>IF($D6="","",IF('04_Dados_Ajustados'!N6="","",IF('03_Base_Indice'!$G6="+",MIN('01_Criterios'!$C$10,MAX('01_Criterios'!$C$9,'01_Criterios'!$C$9+('01_Criterios'!$C$10-'01_Criterios'!$C$9)*('04_Dados_Ajustados'!N6-'03_Base_Indice'!$H6)/('03_Base_Indice'!$I6-'03_Base_Indice'!$H6))),MIN('01_Criterios'!$C$10,MAX('01_Criterios'!$C$9,'01_Criterios'!$C$9+('01_Criterios'!$C$10-'01_Criterios'!$C$9)*('03_Base_Indice'!$I6-'04_Dados_Ajustados'!N6)/('03_Base_Indice'!$I6-'03_Base_Indice'!$H6))))))</f>
        <v>41.883765999999994</v>
      </c>
      <c r="O6" s="31">
        <f>IF($D6="","",IF('04_Dados_Ajustados'!O6="","",IF('03_Base_Indice'!$G6="+",MIN('01_Criterios'!$C$10,MAX('01_Criterios'!$C$9,'01_Criterios'!$C$9+('01_Criterios'!$C$10-'01_Criterios'!$C$9)*('04_Dados_Ajustados'!O6-'03_Base_Indice'!$H6)/('03_Base_Indice'!$I6-'03_Base_Indice'!$H6))),MIN('01_Criterios'!$C$10,MAX('01_Criterios'!$C$9,'01_Criterios'!$C$9+('01_Criterios'!$C$10-'01_Criterios'!$C$9)*('03_Base_Indice'!$I6-'04_Dados_Ajustados'!O6)/('03_Base_Indice'!$I6-'03_Base_Indice'!$H6))))))</f>
        <v>41.585921999999997</v>
      </c>
      <c r="P6" s="31">
        <f>IF($D6="","",IF('04_Dados_Ajustados'!P6="","",IF('03_Base_Indice'!$G6="+",MIN('01_Criterios'!$C$10,MAX('01_Criterios'!$C$9,'01_Criterios'!$C$9+('01_Criterios'!$C$10-'01_Criterios'!$C$9)*('04_Dados_Ajustados'!P6-'03_Base_Indice'!$H6)/('03_Base_Indice'!$I6-'03_Base_Indice'!$H6))),MIN('01_Criterios'!$C$10,MAX('01_Criterios'!$C$9,'01_Criterios'!$C$9+('01_Criterios'!$C$10-'01_Criterios'!$C$9)*('03_Base_Indice'!$I6-'04_Dados_Ajustados'!P6)/('03_Base_Indice'!$I6-'03_Base_Indice'!$H6))))))</f>
        <v>37.144731999999998</v>
      </c>
      <c r="Q6" s="31">
        <f>IF($D6="","",IF('04_Dados_Ajustados'!Q6="","",IF('03_Base_Indice'!$G6="+",MIN('01_Criterios'!$C$10,MAX('01_Criterios'!$C$9,'01_Criterios'!$C$9+('01_Criterios'!$C$10-'01_Criterios'!$C$9)*('04_Dados_Ajustados'!Q6-'03_Base_Indice'!$H6)/('03_Base_Indice'!$I6-'03_Base_Indice'!$H6))),MIN('01_Criterios'!$C$10,MAX('01_Criterios'!$C$9,'01_Criterios'!$C$9+('01_Criterios'!$C$10-'01_Criterios'!$C$9)*('03_Base_Indice'!$I6-'04_Dados_Ajustados'!Q6)/('03_Base_Indice'!$I6-'03_Base_Indice'!$H6))))))</f>
        <v>34.127864000000002</v>
      </c>
      <c r="R6" s="31">
        <f>IF($D6="","",IF('04_Dados_Ajustados'!R6="","",IF('03_Base_Indice'!$G6="+",MIN('01_Criterios'!$C$10,MAX('01_Criterios'!$C$9,'01_Criterios'!$C$9+('01_Criterios'!$C$10-'01_Criterios'!$C$9)*('04_Dados_Ajustados'!R6-'03_Base_Indice'!$H6)/('03_Base_Indice'!$I6-'03_Base_Indice'!$H6))),MIN('01_Criterios'!$C$10,MAX('01_Criterios'!$C$9,'01_Criterios'!$C$9+('01_Criterios'!$C$10-'01_Criterios'!$C$9)*('03_Base_Indice'!$I6-'04_Dados_Ajustados'!R6)/('03_Base_Indice'!$I6-'03_Base_Indice'!$H6))))))</f>
        <v>39.171864000000006</v>
      </c>
      <c r="S6" s="31">
        <f>IF($D6="","",IF('04_Dados_Ajustados'!S6="","",IF('03_Base_Indice'!$G6="+",MIN('01_Criterios'!$C$10,MAX('01_Criterios'!$C$9,'01_Criterios'!$C$9+('01_Criterios'!$C$10-'01_Criterios'!$C$9)*('04_Dados_Ajustados'!S6-'03_Base_Indice'!$H6)/('03_Base_Indice'!$I6-'03_Base_Indice'!$H6))),MIN('01_Criterios'!$C$10,MAX('01_Criterios'!$C$9,'01_Criterios'!$C$9+('01_Criterios'!$C$10-'01_Criterios'!$C$9)*('03_Base_Indice'!$I6-'04_Dados_Ajustados'!S6)/('03_Base_Indice'!$I6-'03_Base_Indice'!$H6))))))</f>
        <v>43.736691999999998</v>
      </c>
      <c r="T6" s="31">
        <f>IF($D6="","",IF('04_Dados_Ajustados'!T6="","",IF('03_Base_Indice'!$G6="+",MIN('01_Criterios'!$C$10,MAX('01_Criterios'!$C$9,'01_Criterios'!$C$9+('01_Criterios'!$C$10-'01_Criterios'!$C$9)*('04_Dados_Ajustados'!T6-'03_Base_Indice'!$H6)/('03_Base_Indice'!$I6-'03_Base_Indice'!$H6))),MIN('01_Criterios'!$C$10,MAX('01_Criterios'!$C$9,'01_Criterios'!$C$9+('01_Criterios'!$C$10-'01_Criterios'!$C$9)*('03_Base_Indice'!$I6-'04_Dados_Ajustados'!T6)/('03_Base_Indice'!$I6-'03_Base_Indice'!$H6))))))</f>
        <v>38.528071999999995</v>
      </c>
      <c r="U6" s="31">
        <f>IF($D6="","",IF('04_Dados_Ajustados'!U6="","",IF('03_Base_Indice'!$G6="+",MIN('01_Criterios'!$C$10,MAX('01_Criterios'!$C$9,'01_Criterios'!$C$9+('01_Criterios'!$C$10-'01_Criterios'!$C$9)*('04_Dados_Ajustados'!U6-'03_Base_Indice'!$H6)/('03_Base_Indice'!$I6-'03_Base_Indice'!$H6))),MIN('01_Criterios'!$C$10,MAX('01_Criterios'!$C$9,'01_Criterios'!$C$9+('01_Criterios'!$C$10-'01_Criterios'!$C$9)*('03_Base_Indice'!$I6-'04_Dados_Ajustados'!U6)/('03_Base_Indice'!$I6-'03_Base_Indice'!$H6))))))</f>
        <v>38.528071999999995</v>
      </c>
    </row>
    <row r="7" spans="1:21">
      <c r="A7" s="6" t="str">
        <f>IF('03_Base_Indice'!$A7="","",'03_Base_Indice'!$A7)</f>
        <v>1. Governança e Estado de Direito</v>
      </c>
      <c r="B7" s="6">
        <f>'03_Base_Indice'!$B7</f>
        <v>3</v>
      </c>
      <c r="D7" s="6" t="str">
        <f>IF('03_Base_Indice'!$D7="","",'03_Base_Indice'!$D7)</f>
        <v>GOV02</v>
      </c>
      <c r="E7" s="6" t="str">
        <f>IF('03_Base_Indice'!$E7="","",'03_Base_Indice'!$E7)</f>
        <v>WGI - Estado de Direito</v>
      </c>
      <c r="G7" s="20" t="str">
        <f>IF('03_Base_Indice'!$G7="","",'03_Base_Indice'!$G7)</f>
        <v>+</v>
      </c>
      <c r="K7" s="31">
        <f>IF($D7="","",IF('04_Dados_Ajustados'!K7="","",IF('03_Base_Indice'!$G7="+",MIN('01_Criterios'!$C$10,MAX('01_Criterios'!$C$9,'01_Criterios'!$C$9+('01_Criterios'!$C$10-'01_Criterios'!$C$9)*('04_Dados_Ajustados'!K7-'03_Base_Indice'!$H7)/('03_Base_Indice'!$I7-'03_Base_Indice'!$H7))),MIN('01_Criterios'!$C$10,MAX('01_Criterios'!$C$9,'01_Criterios'!$C$9+('01_Criterios'!$C$10-'01_Criterios'!$C$9)*('03_Base_Indice'!$I7-'04_Dados_Ajustados'!K7)/('03_Base_Indice'!$I7-'03_Base_Indice'!$H7))))))</f>
        <v>23.827406</v>
      </c>
      <c r="L7" s="31">
        <f>IF($D7="","",IF('04_Dados_Ajustados'!L7="","",IF('03_Base_Indice'!$G7="+",MIN('01_Criterios'!$C$10,MAX('01_Criterios'!$C$9,'01_Criterios'!$C$9+('01_Criterios'!$C$10-'01_Criterios'!$C$9)*('04_Dados_Ajustados'!L7-'03_Base_Indice'!$H7)/('03_Base_Indice'!$I7-'03_Base_Indice'!$H7))),MIN('01_Criterios'!$C$10,MAX('01_Criterios'!$C$9,'01_Criterios'!$C$9+('01_Criterios'!$C$10-'01_Criterios'!$C$9)*('03_Base_Indice'!$I7-'04_Dados_Ajustados'!L7)/('03_Base_Indice'!$I7-'03_Base_Indice'!$H7))))))</f>
        <v>23.424472000000002</v>
      </c>
      <c r="M7" s="31">
        <f>IF($D7="","",IF('04_Dados_Ajustados'!M7="","",IF('03_Base_Indice'!$G7="+",MIN('01_Criterios'!$C$10,MAX('01_Criterios'!$C$9,'01_Criterios'!$C$9+('01_Criterios'!$C$10-'01_Criterios'!$C$9)*('04_Dados_Ajustados'!M7-'03_Base_Indice'!$H7)/('03_Base_Indice'!$I7-'03_Base_Indice'!$H7))),MIN('01_Criterios'!$C$10,MAX('01_Criterios'!$C$9,'01_Criterios'!$C$9+('01_Criterios'!$C$10-'01_Criterios'!$C$9)*('03_Base_Indice'!$I7-'04_Dados_Ajustados'!M7)/('03_Base_Indice'!$I7-'03_Base_Indice'!$H7))))))</f>
        <v>23.36589</v>
      </c>
      <c r="N7" s="31">
        <f>IF($D7="","",IF('04_Dados_Ajustados'!N7="","",IF('03_Base_Indice'!$G7="+",MIN('01_Criterios'!$C$10,MAX('01_Criterios'!$C$9,'01_Criterios'!$C$9+('01_Criterios'!$C$10-'01_Criterios'!$C$9)*('04_Dados_Ajustados'!N7-'03_Base_Indice'!$H7)/('03_Base_Indice'!$I7-'03_Base_Indice'!$H7))),MIN('01_Criterios'!$C$10,MAX('01_Criterios'!$C$9,'01_Criterios'!$C$9+('01_Criterios'!$C$10-'01_Criterios'!$C$9)*('03_Base_Indice'!$I7-'04_Dados_Ajustados'!N7)/('03_Base_Indice'!$I7-'03_Base_Indice'!$H7))))))</f>
        <v>27.788955999999995</v>
      </c>
      <c r="O7" s="31">
        <f>IF($D7="","",IF('04_Dados_Ajustados'!O7="","",IF('03_Base_Indice'!$G7="+",MIN('01_Criterios'!$C$10,MAX('01_Criterios'!$C$9,'01_Criterios'!$C$9+('01_Criterios'!$C$10-'01_Criterios'!$C$9)*('04_Dados_Ajustados'!O7-'03_Base_Indice'!$H7)/('03_Base_Indice'!$I7-'03_Base_Indice'!$H7))),MIN('01_Criterios'!$C$10,MAX('01_Criterios'!$C$9,'01_Criterios'!$C$9+('01_Criterios'!$C$10-'01_Criterios'!$C$9)*('03_Base_Indice'!$I7-'04_Dados_Ajustados'!O7)/('03_Base_Indice'!$I7-'03_Base_Indice'!$H7))))))</f>
        <v>28.960636000000001</v>
      </c>
      <c r="P7" s="31">
        <f>IF($D7="","",IF('04_Dados_Ajustados'!P7="","",IF('03_Base_Indice'!$G7="+",MIN('01_Criterios'!$C$10,MAX('01_Criterios'!$C$9,'01_Criterios'!$C$9+('01_Criterios'!$C$10-'01_Criterios'!$C$9)*('04_Dados_Ajustados'!P7-'03_Base_Indice'!$H7)/('03_Base_Indice'!$I7-'03_Base_Indice'!$H7))),MIN('01_Criterios'!$C$10,MAX('01_Criterios'!$C$9,'01_Criterios'!$C$9+('01_Criterios'!$C$10-'01_Criterios'!$C$9)*('03_Base_Indice'!$I7-'04_Dados_Ajustados'!P7)/('03_Base_Indice'!$I7-'03_Base_Indice'!$H7))))))</f>
        <v>31.049923999999997</v>
      </c>
      <c r="Q7" s="31">
        <f>IF($D7="","",IF('04_Dados_Ajustados'!Q7="","",IF('03_Base_Indice'!$G7="+",MIN('01_Criterios'!$C$10,MAX('01_Criterios'!$C$9,'01_Criterios'!$C$9+('01_Criterios'!$C$10-'01_Criterios'!$C$9)*('04_Dados_Ajustados'!Q7-'03_Base_Indice'!$H7)/('03_Base_Indice'!$I7-'03_Base_Indice'!$H7))),MIN('01_Criterios'!$C$10,MAX('01_Criterios'!$C$9,'01_Criterios'!$C$9+('01_Criterios'!$C$10-'01_Criterios'!$C$9)*('03_Base_Indice'!$I7-'04_Dados_Ajustados'!Q7)/('03_Base_Indice'!$I7-'03_Base_Indice'!$H7))))))</f>
        <v>28.039730000000002</v>
      </c>
      <c r="R7" s="31">
        <f>IF($D7="","",IF('04_Dados_Ajustados'!R7="","",IF('03_Base_Indice'!$G7="+",MIN('01_Criterios'!$C$10,MAX('01_Criterios'!$C$9,'01_Criterios'!$C$9+('01_Criterios'!$C$10-'01_Criterios'!$C$9)*('04_Dados_Ajustados'!R7-'03_Base_Indice'!$H7)/('03_Base_Indice'!$I7-'03_Base_Indice'!$H7))),MIN('01_Criterios'!$C$10,MAX('01_Criterios'!$C$9,'01_Criterios'!$C$9+('01_Criterios'!$C$10-'01_Criterios'!$C$9)*('03_Base_Indice'!$I7-'04_Dados_Ajustados'!R7)/('03_Base_Indice'!$I7-'03_Base_Indice'!$H7))))))</f>
        <v>26.749122</v>
      </c>
      <c r="S7" s="31">
        <f>IF($D7="","",IF('04_Dados_Ajustados'!S7="","",IF('03_Base_Indice'!$G7="+",MIN('01_Criterios'!$C$10,MAX('01_Criterios'!$C$9,'01_Criterios'!$C$9+('01_Criterios'!$C$10-'01_Criterios'!$C$9)*('04_Dados_Ajustados'!S7-'03_Base_Indice'!$H7)/('03_Base_Indice'!$I7-'03_Base_Indice'!$H7))),MIN('01_Criterios'!$C$10,MAX('01_Criterios'!$C$9,'01_Criterios'!$C$9+('01_Criterios'!$C$10-'01_Criterios'!$C$9)*('03_Base_Indice'!$I7-'04_Dados_Ajustados'!S7)/('03_Base_Indice'!$I7-'03_Base_Indice'!$H7))))))</f>
        <v>26.111135999999998</v>
      </c>
      <c r="T7" s="31">
        <f>IF($D7="","",IF('04_Dados_Ajustados'!T7="","",IF('03_Base_Indice'!$G7="+",MIN('01_Criterios'!$C$10,MAX('01_Criterios'!$C$9,'01_Criterios'!$C$9+('01_Criterios'!$C$10-'01_Criterios'!$C$9)*('04_Dados_Ajustados'!T7-'03_Base_Indice'!$H7)/('03_Base_Indice'!$I7-'03_Base_Indice'!$H7))),MIN('01_Criterios'!$C$10,MAX('01_Criterios'!$C$9,'01_Criterios'!$C$9+('01_Criterios'!$C$10-'01_Criterios'!$C$9)*('03_Base_Indice'!$I7-'04_Dados_Ajustados'!T7)/('03_Base_Indice'!$I7-'03_Base_Indice'!$H7))))))</f>
        <v>26.605183999999998</v>
      </c>
      <c r="U7" s="31">
        <f>IF($D7="","",IF('04_Dados_Ajustados'!U7="","",IF('03_Base_Indice'!$G7="+",MIN('01_Criterios'!$C$10,MAX('01_Criterios'!$C$9,'01_Criterios'!$C$9+('01_Criterios'!$C$10-'01_Criterios'!$C$9)*('04_Dados_Ajustados'!U7-'03_Base_Indice'!$H7)/('03_Base_Indice'!$I7-'03_Base_Indice'!$H7))),MIN('01_Criterios'!$C$10,MAX('01_Criterios'!$C$9,'01_Criterios'!$C$9+('01_Criterios'!$C$10-'01_Criterios'!$C$9)*('03_Base_Indice'!$I7-'04_Dados_Ajustados'!U7)/('03_Base_Indice'!$I7-'03_Base_Indice'!$H7))))))</f>
        <v>26.605183999999998</v>
      </c>
    </row>
    <row r="8" spans="1:21">
      <c r="A8" s="6" t="str">
        <f>IF('03_Base_Indice'!$A8="","",'03_Base_Indice'!$A8)</f>
        <v>1. Governança e Estado de Direito</v>
      </c>
      <c r="B8" s="6">
        <f>'03_Base_Indice'!$B8</f>
        <v>4</v>
      </c>
      <c r="D8" s="6" t="str">
        <f>IF('03_Base_Indice'!$D8="","",'03_Base_Indice'!$D8)</f>
        <v>GOV03</v>
      </c>
      <c r="E8" s="6" t="str">
        <f>IF('03_Base_Indice'!$E8="","",'03_Base_Indice'!$E8)</f>
        <v>WGI - Eficiência do Governo</v>
      </c>
      <c r="G8" s="20" t="str">
        <f>IF('03_Base_Indice'!$G8="","",'03_Base_Indice'!$G8)</f>
        <v>+</v>
      </c>
      <c r="K8" s="31">
        <f>IF($D8="","",IF('04_Dados_Ajustados'!K8="","",IF('03_Base_Indice'!$G8="+",MIN('01_Criterios'!$C$10,MAX('01_Criterios'!$C$9,'01_Criterios'!$C$9+('01_Criterios'!$C$10-'01_Criterios'!$C$9)*('04_Dados_Ajustados'!K8-'03_Base_Indice'!$H8)/('03_Base_Indice'!$I8-'03_Base_Indice'!$H8))),MIN('01_Criterios'!$C$10,MAX('01_Criterios'!$C$9,'01_Criterios'!$C$9+('01_Criterios'!$C$10-'01_Criterios'!$C$9)*('03_Base_Indice'!$I8-'04_Dados_Ajustados'!K8)/('03_Base_Indice'!$I8-'03_Base_Indice'!$H8))))))</f>
        <v>31.243525999999996</v>
      </c>
      <c r="L8" s="31">
        <f>IF($D8="","",IF('04_Dados_Ajustados'!L8="","",IF('03_Base_Indice'!$G8="+",MIN('01_Criterios'!$C$10,MAX('01_Criterios'!$C$9,'01_Criterios'!$C$9+('01_Criterios'!$C$10-'01_Criterios'!$C$9)*('04_Dados_Ajustados'!L8-'03_Base_Indice'!$H8)/('03_Base_Indice'!$I8-'03_Base_Indice'!$H8))),MIN('01_Criterios'!$C$10,MAX('01_Criterios'!$C$9,'01_Criterios'!$C$9+('01_Criterios'!$C$10-'01_Criterios'!$C$9)*('03_Base_Indice'!$I8-'04_Dados_Ajustados'!L8)/('03_Base_Indice'!$I8-'03_Base_Indice'!$H8))))))</f>
        <v>31.012306000000002</v>
      </c>
      <c r="M8" s="31">
        <f>IF($D8="","",IF('04_Dados_Ajustados'!M8="","",IF('03_Base_Indice'!$G8="+",MIN('01_Criterios'!$C$10,MAX('01_Criterios'!$C$9,'01_Criterios'!$C$9+('01_Criterios'!$C$10-'01_Criterios'!$C$9)*('04_Dados_Ajustados'!M8-'03_Base_Indice'!$H8)/('03_Base_Indice'!$I8-'03_Base_Indice'!$H8))),MIN('01_Criterios'!$C$10,MAX('01_Criterios'!$C$9,'01_Criterios'!$C$9+('01_Criterios'!$C$10-'01_Criterios'!$C$9)*('03_Base_Indice'!$I8-'04_Dados_Ajustados'!M8)/('03_Base_Indice'!$I8-'03_Base_Indice'!$H8))))))</f>
        <v>30.637686000000002</v>
      </c>
      <c r="N8" s="31">
        <f>IF($D8="","",IF('04_Dados_Ajustados'!N8="","",IF('03_Base_Indice'!$G8="+",MIN('01_Criterios'!$C$10,MAX('01_Criterios'!$C$9,'01_Criterios'!$C$9+('01_Criterios'!$C$10-'01_Criterios'!$C$9)*('04_Dados_Ajustados'!N8-'03_Base_Indice'!$H8)/('03_Base_Indice'!$I8-'03_Base_Indice'!$H8))),MIN('01_Criterios'!$C$10,MAX('01_Criterios'!$C$9,'01_Criterios'!$C$9+('01_Criterios'!$C$10-'01_Criterios'!$C$9)*('03_Base_Indice'!$I8-'04_Dados_Ajustados'!N8)/('03_Base_Indice'!$I8-'03_Base_Indice'!$H8))))))</f>
        <v>30.430795999999997</v>
      </c>
      <c r="O8" s="31">
        <f>IF($D8="","",IF('04_Dados_Ajustados'!O8="","",IF('03_Base_Indice'!$G8="+",MIN('01_Criterios'!$C$10,MAX('01_Criterios'!$C$9,'01_Criterios'!$C$9+('01_Criterios'!$C$10-'01_Criterios'!$C$9)*('04_Dados_Ajustados'!O8-'03_Base_Indice'!$H8)/('03_Base_Indice'!$I8-'03_Base_Indice'!$H8))),MIN('01_Criterios'!$C$10,MAX('01_Criterios'!$C$9,'01_Criterios'!$C$9+('01_Criterios'!$C$10-'01_Criterios'!$C$9)*('03_Base_Indice'!$I8-'04_Dados_Ajustados'!O8)/('03_Base_Indice'!$I8-'03_Base_Indice'!$H8))))))</f>
        <v>31.766069999999996</v>
      </c>
      <c r="P8" s="31">
        <f>IF($D8="","",IF('04_Dados_Ajustados'!P8="","",IF('03_Base_Indice'!$G8="+",MIN('01_Criterios'!$C$10,MAX('01_Criterios'!$C$9,'01_Criterios'!$C$9+('01_Criterios'!$C$10-'01_Criterios'!$C$9)*('04_Dados_Ajustados'!P8-'03_Base_Indice'!$H8)/('03_Base_Indice'!$I8-'03_Base_Indice'!$H8))),MIN('01_Criterios'!$C$10,MAX('01_Criterios'!$C$9,'01_Criterios'!$C$9+('01_Criterios'!$C$10-'01_Criterios'!$C$9)*('03_Base_Indice'!$I8-'04_Dados_Ajustados'!P8)/('03_Base_Indice'!$I8-'03_Base_Indice'!$H8))))))</f>
        <v>29.672792000000005</v>
      </c>
      <c r="Q8" s="31">
        <f>IF($D8="","",IF('04_Dados_Ajustados'!Q8="","",IF('03_Base_Indice'!$G8="+",MIN('01_Criterios'!$C$10,MAX('01_Criterios'!$C$9,'01_Criterios'!$C$9+('01_Criterios'!$C$10-'01_Criterios'!$C$9)*('04_Dados_Ajustados'!Q8-'03_Base_Indice'!$H8)/('03_Base_Indice'!$I8-'03_Base_Indice'!$H8))),MIN('01_Criterios'!$C$10,MAX('01_Criterios'!$C$9,'01_Criterios'!$C$9+('01_Criterios'!$C$10-'01_Criterios'!$C$9)*('03_Base_Indice'!$I8-'04_Dados_Ajustados'!Q8)/('03_Base_Indice'!$I8-'03_Base_Indice'!$H8))))))</f>
        <v>31.305984000000002</v>
      </c>
      <c r="R8" s="31">
        <f>IF($D8="","",IF('04_Dados_Ajustados'!R8="","",IF('03_Base_Indice'!$G8="+",MIN('01_Criterios'!$C$10,MAX('01_Criterios'!$C$9,'01_Criterios'!$C$9+('01_Criterios'!$C$10-'01_Criterios'!$C$9)*('04_Dados_Ajustados'!R8-'03_Base_Indice'!$H8)/('03_Base_Indice'!$I8-'03_Base_Indice'!$H8))),MIN('01_Criterios'!$C$10,MAX('01_Criterios'!$C$9,'01_Criterios'!$C$9+('01_Criterios'!$C$10-'01_Criterios'!$C$9)*('03_Base_Indice'!$I8-'04_Dados_Ajustados'!R8)/('03_Base_Indice'!$I8-'03_Base_Indice'!$H8))))))</f>
        <v>33.348563999999996</v>
      </c>
      <c r="S8" s="31">
        <f>IF($D8="","",IF('04_Dados_Ajustados'!S8="","",IF('03_Base_Indice'!$G8="+",MIN('01_Criterios'!$C$10,MAX('01_Criterios'!$C$9,'01_Criterios'!$C$9+('01_Criterios'!$C$10-'01_Criterios'!$C$9)*('04_Dados_Ajustados'!S8-'03_Base_Indice'!$H8)/('03_Base_Indice'!$I8-'03_Base_Indice'!$H8))),MIN('01_Criterios'!$C$10,MAX('01_Criterios'!$C$9,'01_Criterios'!$C$9+('01_Criterios'!$C$10-'01_Criterios'!$C$9)*('03_Base_Indice'!$I8-'04_Dados_Ajustados'!S8)/('03_Base_Indice'!$I8-'03_Base_Indice'!$H8))))))</f>
        <v>33.425947999999998</v>
      </c>
      <c r="T8" s="31">
        <f>IF($D8="","",IF('04_Dados_Ajustados'!T8="","",IF('03_Base_Indice'!$G8="+",MIN('01_Criterios'!$C$10,MAX('01_Criterios'!$C$9,'01_Criterios'!$C$9+('01_Criterios'!$C$10-'01_Criterios'!$C$9)*('04_Dados_Ajustados'!T8-'03_Base_Indice'!$H8)/('03_Base_Indice'!$I8-'03_Base_Indice'!$H8))),MIN('01_Criterios'!$C$10,MAX('01_Criterios'!$C$9,'01_Criterios'!$C$9+('01_Criterios'!$C$10-'01_Criterios'!$C$9)*('03_Base_Indice'!$I8-'04_Dados_Ajustados'!T8)/('03_Base_Indice'!$I8-'03_Base_Indice'!$H8))))))</f>
        <v>34.296182000000002</v>
      </c>
      <c r="U8" s="31">
        <f>IF($D8="","",IF('04_Dados_Ajustados'!U8="","",IF('03_Base_Indice'!$G8="+",MIN('01_Criterios'!$C$10,MAX('01_Criterios'!$C$9,'01_Criterios'!$C$9+('01_Criterios'!$C$10-'01_Criterios'!$C$9)*('04_Dados_Ajustados'!U8-'03_Base_Indice'!$H8)/('03_Base_Indice'!$I8-'03_Base_Indice'!$H8))),MIN('01_Criterios'!$C$10,MAX('01_Criterios'!$C$9,'01_Criterios'!$C$9+('01_Criterios'!$C$10-'01_Criterios'!$C$9)*('03_Base_Indice'!$I8-'04_Dados_Ajustados'!U8)/('03_Base_Indice'!$I8-'03_Base_Indice'!$H8))))))</f>
        <v>34.296182000000002</v>
      </c>
    </row>
    <row r="9" spans="1:21">
      <c r="A9" s="6" t="str">
        <f>IF('03_Base_Indice'!$A9="","",'03_Base_Indice'!$A9)</f>
        <v>1. Governança e Estado de Direito</v>
      </c>
      <c r="B9" s="6">
        <f>'03_Base_Indice'!$B9</f>
        <v>5</v>
      </c>
      <c r="D9" s="6" t="str">
        <f>IF('03_Base_Indice'!$D9="","",'03_Base_Indice'!$D9)</f>
        <v>GOV05</v>
      </c>
      <c r="E9" s="6" t="str">
        <f>IF('03_Base_Indice'!$E9="","",'03_Base_Indice'!$E9)</f>
        <v>WGI - Qualidade Regulatória</v>
      </c>
      <c r="G9" s="20" t="str">
        <f>IF('03_Base_Indice'!$G9="","",'03_Base_Indice'!$G9)</f>
        <v>+</v>
      </c>
      <c r="K9" s="31">
        <f>IF($D9="","",IF('04_Dados_Ajustados'!K9="","",IF('03_Base_Indice'!$G9="+",MIN('01_Criterios'!$C$10,MAX('01_Criterios'!$C$9,'01_Criterios'!$C$9+('01_Criterios'!$C$10-'01_Criterios'!$C$9)*('04_Dados_Ajustados'!K9-'03_Base_Indice'!$H9)/('03_Base_Indice'!$I9-'03_Base_Indice'!$H9))),MIN('01_Criterios'!$C$10,MAX('01_Criterios'!$C$9,'01_Criterios'!$C$9+('01_Criterios'!$C$10-'01_Criterios'!$C$9)*('03_Base_Indice'!$I9-'04_Dados_Ajustados'!K9)/('03_Base_Indice'!$I9-'03_Base_Indice'!$H9))))))</f>
        <v>28.190110000000004</v>
      </c>
      <c r="L9" s="31">
        <f>IF($D9="","",IF('04_Dados_Ajustados'!L9="","",IF('03_Base_Indice'!$G9="+",MIN('01_Criterios'!$C$10,MAX('01_Criterios'!$C$9,'01_Criterios'!$C$9+('01_Criterios'!$C$10-'01_Criterios'!$C$9)*('04_Dados_Ajustados'!L9-'03_Base_Indice'!$H9)/('03_Base_Indice'!$I9-'03_Base_Indice'!$H9))),MIN('01_Criterios'!$C$10,MAX('01_Criterios'!$C$9,'01_Criterios'!$C$9+('01_Criterios'!$C$10-'01_Criterios'!$C$9)*('03_Base_Indice'!$I9-'04_Dados_Ajustados'!L9)/('03_Base_Indice'!$I9-'03_Base_Indice'!$H9))))))</f>
        <v>26.391529999999999</v>
      </c>
      <c r="M9" s="31">
        <f>IF($D9="","",IF('04_Dados_Ajustados'!M9="","",IF('03_Base_Indice'!$G9="+",MIN('01_Criterios'!$C$10,MAX('01_Criterios'!$C$9,'01_Criterios'!$C$9+('01_Criterios'!$C$10-'01_Criterios'!$C$9)*('04_Dados_Ajustados'!M9-'03_Base_Indice'!$H9)/('03_Base_Indice'!$I9-'03_Base_Indice'!$H9))),MIN('01_Criterios'!$C$10,MAX('01_Criterios'!$C$9,'01_Criterios'!$C$9+('01_Criterios'!$C$10-'01_Criterios'!$C$9)*('03_Base_Indice'!$I9-'04_Dados_Ajustados'!M9)/('03_Base_Indice'!$I9-'03_Base_Indice'!$H9))))))</f>
        <v>26.400230000000001</v>
      </c>
      <c r="N9" s="31">
        <f>IF($D9="","",IF('04_Dados_Ajustados'!N9="","",IF('03_Base_Indice'!$G9="+",MIN('01_Criterios'!$C$10,MAX('01_Criterios'!$C$9,'01_Criterios'!$C$9+('01_Criterios'!$C$10-'01_Criterios'!$C$9)*('04_Dados_Ajustados'!N9-'03_Base_Indice'!$H9)/('03_Base_Indice'!$I9-'03_Base_Indice'!$H9))),MIN('01_Criterios'!$C$10,MAX('01_Criterios'!$C$9,'01_Criterios'!$C$9+('01_Criterios'!$C$10-'01_Criterios'!$C$9)*('03_Base_Indice'!$I9-'04_Dados_Ajustados'!N9)/('03_Base_Indice'!$I9-'03_Base_Indice'!$H9))))))</f>
        <v>28.751213999999997</v>
      </c>
      <c r="O9" s="31">
        <f>IF($D9="","",IF('04_Dados_Ajustados'!O9="","",IF('03_Base_Indice'!$G9="+",MIN('01_Criterios'!$C$10,MAX('01_Criterios'!$C$9,'01_Criterios'!$C$9+('01_Criterios'!$C$10-'01_Criterios'!$C$9)*('04_Dados_Ajustados'!O9-'03_Base_Indice'!$H9)/('03_Base_Indice'!$I9-'03_Base_Indice'!$H9))),MIN('01_Criterios'!$C$10,MAX('01_Criterios'!$C$9,'01_Criterios'!$C$9+('01_Criterios'!$C$10-'01_Criterios'!$C$9)*('03_Base_Indice'!$I9-'04_Dados_Ajustados'!O9)/('03_Base_Indice'!$I9-'03_Base_Indice'!$H9))))))</f>
        <v>30.078291999999998</v>
      </c>
      <c r="P9" s="31">
        <f>IF($D9="","",IF('04_Dados_Ajustados'!P9="","",IF('03_Base_Indice'!$G9="+",MIN('01_Criterios'!$C$10,MAX('01_Criterios'!$C$9,'01_Criterios'!$C$9+('01_Criterios'!$C$10-'01_Criterios'!$C$9)*('04_Dados_Ajustados'!P9-'03_Base_Indice'!$H9)/('03_Base_Indice'!$I9-'03_Base_Indice'!$H9))),MIN('01_Criterios'!$C$10,MAX('01_Criterios'!$C$9,'01_Criterios'!$C$9+('01_Criterios'!$C$10-'01_Criterios'!$C$9)*('03_Base_Indice'!$I9-'04_Dados_Ajustados'!P9)/('03_Base_Indice'!$I9-'03_Base_Indice'!$H9))))))</f>
        <v>29.222363999999999</v>
      </c>
      <c r="Q9" s="31">
        <f>IF($D9="","",IF('04_Dados_Ajustados'!Q9="","",IF('03_Base_Indice'!$G9="+",MIN('01_Criterios'!$C$10,MAX('01_Criterios'!$C$9,'01_Criterios'!$C$9+('01_Criterios'!$C$10-'01_Criterios'!$C$9)*('04_Dados_Ajustados'!Q9-'03_Base_Indice'!$H9)/('03_Base_Indice'!$I9-'03_Base_Indice'!$H9))),MIN('01_Criterios'!$C$10,MAX('01_Criterios'!$C$9,'01_Criterios'!$C$9+('01_Criterios'!$C$10-'01_Criterios'!$C$9)*('03_Base_Indice'!$I9-'04_Dados_Ajustados'!Q9)/('03_Base_Indice'!$I9-'03_Base_Indice'!$H9))))))</f>
        <v>33.027631999999997</v>
      </c>
      <c r="R9" s="31">
        <f>IF($D9="","",IF('04_Dados_Ajustados'!R9="","",IF('03_Base_Indice'!$G9="+",MIN('01_Criterios'!$C$10,MAX('01_Criterios'!$C$9,'01_Criterios'!$C$9+('01_Criterios'!$C$10-'01_Criterios'!$C$9)*('04_Dados_Ajustados'!R9-'03_Base_Indice'!$H9)/('03_Base_Indice'!$I9-'03_Base_Indice'!$H9))),MIN('01_Criterios'!$C$10,MAX('01_Criterios'!$C$9,'01_Criterios'!$C$9+('01_Criterios'!$C$10-'01_Criterios'!$C$9)*('03_Base_Indice'!$I9-'04_Dados_Ajustados'!R9)/('03_Base_Indice'!$I9-'03_Base_Indice'!$H9))))))</f>
        <v>32.762357999999999</v>
      </c>
      <c r="S9" s="31">
        <f>IF($D9="","",IF('04_Dados_Ajustados'!S9="","",IF('03_Base_Indice'!$G9="+",MIN('01_Criterios'!$C$10,MAX('01_Criterios'!$C$9,'01_Criterios'!$C$9+('01_Criterios'!$C$10-'01_Criterios'!$C$9)*('04_Dados_Ajustados'!S9-'03_Base_Indice'!$H9)/('03_Base_Indice'!$I9-'03_Base_Indice'!$H9))),MIN('01_Criterios'!$C$10,MAX('01_Criterios'!$C$9,'01_Criterios'!$C$9+('01_Criterios'!$C$10-'01_Criterios'!$C$9)*('03_Base_Indice'!$I9-'04_Dados_Ajustados'!S9)/('03_Base_Indice'!$I9-'03_Base_Indice'!$H9))))))</f>
        <v>31.913159999999998</v>
      </c>
      <c r="T9" s="31">
        <f>IF($D9="","",IF('04_Dados_Ajustados'!T9="","",IF('03_Base_Indice'!$G9="+",MIN('01_Criterios'!$C$10,MAX('01_Criterios'!$C$9,'01_Criterios'!$C$9+('01_Criterios'!$C$10-'01_Criterios'!$C$9)*('04_Dados_Ajustados'!T9-'03_Base_Indice'!$H9)/('03_Base_Indice'!$I9-'03_Base_Indice'!$H9))),MIN('01_Criterios'!$C$10,MAX('01_Criterios'!$C$9,'01_Criterios'!$C$9+('01_Criterios'!$C$10-'01_Criterios'!$C$9)*('03_Base_Indice'!$I9-'04_Dados_Ajustados'!T9)/('03_Base_Indice'!$I9-'03_Base_Indice'!$H9))))))</f>
        <v>34.5396</v>
      </c>
      <c r="U9" s="31">
        <f>IF($D9="","",IF('04_Dados_Ajustados'!U9="","",IF('03_Base_Indice'!$G9="+",MIN('01_Criterios'!$C$10,MAX('01_Criterios'!$C$9,'01_Criterios'!$C$9+('01_Criterios'!$C$10-'01_Criterios'!$C$9)*('04_Dados_Ajustados'!U9-'03_Base_Indice'!$H9)/('03_Base_Indice'!$I9-'03_Base_Indice'!$H9))),MIN('01_Criterios'!$C$10,MAX('01_Criterios'!$C$9,'01_Criterios'!$C$9+('01_Criterios'!$C$10-'01_Criterios'!$C$9)*('03_Base_Indice'!$I9-'04_Dados_Ajustados'!U9)/('03_Base_Indice'!$I9-'03_Base_Indice'!$H9))))))</f>
        <v>34.5396</v>
      </c>
    </row>
    <row r="10" spans="1:21">
      <c r="A10" s="6" t="str">
        <f>IF('03_Base_Indice'!$A10="","",'03_Base_Indice'!$A10)</f>
        <v>1. Governança e Estado de Direito</v>
      </c>
      <c r="B10" s="6">
        <f>'03_Base_Indice'!$B10</f>
        <v>6</v>
      </c>
      <c r="D10" s="6" t="str">
        <f>IF('03_Base_Indice'!$D10="","",'03_Base_Indice'!$D10)</f>
        <v/>
      </c>
      <c r="E10" s="6" t="str">
        <f>IF('03_Base_Indice'!$E10="","",'03_Base_Indice'!$E10)</f>
        <v/>
      </c>
      <c r="G10" s="20" t="str">
        <f>IF('03_Base_Indice'!$G10="","",'03_Base_Indice'!$G10)</f>
        <v/>
      </c>
      <c r="K10" s="31" t="str">
        <f>IF($D10="","",IF('04_Dados_Ajustados'!K10="","",IF('03_Base_Indice'!$G10="+",MIN('01_Criterios'!$C$10,MAX('01_Criterios'!$C$9,'01_Criterios'!$C$9+('01_Criterios'!$C$10-'01_Criterios'!$C$9)*('04_Dados_Ajustados'!K10-'03_Base_Indice'!$H10)/('03_Base_Indice'!$I10-'03_Base_Indice'!$H10))),MIN('01_Criterios'!$C$10,MAX('01_Criterios'!$C$9,'01_Criterios'!$C$9+('01_Criterios'!$C$10-'01_Criterios'!$C$9)*('03_Base_Indice'!$I10-'04_Dados_Ajustados'!K10)/('03_Base_Indice'!$I10-'03_Base_Indice'!$H10))))))</f>
        <v/>
      </c>
      <c r="L10" s="31" t="str">
        <f>IF($D10="","",IF('04_Dados_Ajustados'!L10="","",IF('03_Base_Indice'!$G10="+",MIN('01_Criterios'!$C$10,MAX('01_Criterios'!$C$9,'01_Criterios'!$C$9+('01_Criterios'!$C$10-'01_Criterios'!$C$9)*('04_Dados_Ajustados'!L10-'03_Base_Indice'!$H10)/('03_Base_Indice'!$I10-'03_Base_Indice'!$H10))),MIN('01_Criterios'!$C$10,MAX('01_Criterios'!$C$9,'01_Criterios'!$C$9+('01_Criterios'!$C$10-'01_Criterios'!$C$9)*('03_Base_Indice'!$I10-'04_Dados_Ajustados'!L10)/('03_Base_Indice'!$I10-'03_Base_Indice'!$H10))))))</f>
        <v/>
      </c>
      <c r="M10" s="31" t="str">
        <f>IF($D10="","",IF('04_Dados_Ajustados'!M10="","",IF('03_Base_Indice'!$G10="+",MIN('01_Criterios'!$C$10,MAX('01_Criterios'!$C$9,'01_Criterios'!$C$9+('01_Criterios'!$C$10-'01_Criterios'!$C$9)*('04_Dados_Ajustados'!M10-'03_Base_Indice'!$H10)/('03_Base_Indice'!$I10-'03_Base_Indice'!$H10))),MIN('01_Criterios'!$C$10,MAX('01_Criterios'!$C$9,'01_Criterios'!$C$9+('01_Criterios'!$C$10-'01_Criterios'!$C$9)*('03_Base_Indice'!$I10-'04_Dados_Ajustados'!M10)/('03_Base_Indice'!$I10-'03_Base_Indice'!$H10))))))</f>
        <v/>
      </c>
      <c r="N10" s="31" t="str">
        <f>IF($D10="","",IF('04_Dados_Ajustados'!N10="","",IF('03_Base_Indice'!$G10="+",MIN('01_Criterios'!$C$10,MAX('01_Criterios'!$C$9,'01_Criterios'!$C$9+('01_Criterios'!$C$10-'01_Criterios'!$C$9)*('04_Dados_Ajustados'!N10-'03_Base_Indice'!$H10)/('03_Base_Indice'!$I10-'03_Base_Indice'!$H10))),MIN('01_Criterios'!$C$10,MAX('01_Criterios'!$C$9,'01_Criterios'!$C$9+('01_Criterios'!$C$10-'01_Criterios'!$C$9)*('03_Base_Indice'!$I10-'04_Dados_Ajustados'!N10)/('03_Base_Indice'!$I10-'03_Base_Indice'!$H10))))))</f>
        <v/>
      </c>
      <c r="O10" s="31" t="str">
        <f>IF($D10="","",IF('04_Dados_Ajustados'!O10="","",IF('03_Base_Indice'!$G10="+",MIN('01_Criterios'!$C$10,MAX('01_Criterios'!$C$9,'01_Criterios'!$C$9+('01_Criterios'!$C$10-'01_Criterios'!$C$9)*('04_Dados_Ajustados'!O10-'03_Base_Indice'!$H10)/('03_Base_Indice'!$I10-'03_Base_Indice'!$H10))),MIN('01_Criterios'!$C$10,MAX('01_Criterios'!$C$9,'01_Criterios'!$C$9+('01_Criterios'!$C$10-'01_Criterios'!$C$9)*('03_Base_Indice'!$I10-'04_Dados_Ajustados'!O10)/('03_Base_Indice'!$I10-'03_Base_Indice'!$H10))))))</f>
        <v/>
      </c>
      <c r="P10" s="31" t="str">
        <f>IF($D10="","",IF('04_Dados_Ajustados'!P10="","",IF('03_Base_Indice'!$G10="+",MIN('01_Criterios'!$C$10,MAX('01_Criterios'!$C$9,'01_Criterios'!$C$9+('01_Criterios'!$C$10-'01_Criterios'!$C$9)*('04_Dados_Ajustados'!P10-'03_Base_Indice'!$H10)/('03_Base_Indice'!$I10-'03_Base_Indice'!$H10))),MIN('01_Criterios'!$C$10,MAX('01_Criterios'!$C$9,'01_Criterios'!$C$9+('01_Criterios'!$C$10-'01_Criterios'!$C$9)*('03_Base_Indice'!$I10-'04_Dados_Ajustados'!P10)/('03_Base_Indice'!$I10-'03_Base_Indice'!$H10))))))</f>
        <v/>
      </c>
      <c r="Q10" s="31" t="str">
        <f>IF($D10="","",IF('04_Dados_Ajustados'!Q10="","",IF('03_Base_Indice'!$G10="+",MIN('01_Criterios'!$C$10,MAX('01_Criterios'!$C$9,'01_Criterios'!$C$9+('01_Criterios'!$C$10-'01_Criterios'!$C$9)*('04_Dados_Ajustados'!Q10-'03_Base_Indice'!$H10)/('03_Base_Indice'!$I10-'03_Base_Indice'!$H10))),MIN('01_Criterios'!$C$10,MAX('01_Criterios'!$C$9,'01_Criterios'!$C$9+('01_Criterios'!$C$10-'01_Criterios'!$C$9)*('03_Base_Indice'!$I10-'04_Dados_Ajustados'!Q10)/('03_Base_Indice'!$I10-'03_Base_Indice'!$H10))))))</f>
        <v/>
      </c>
      <c r="R10" s="31" t="str">
        <f>IF($D10="","",IF('04_Dados_Ajustados'!R10="","",IF('03_Base_Indice'!$G10="+",MIN('01_Criterios'!$C$10,MAX('01_Criterios'!$C$9,'01_Criterios'!$C$9+('01_Criterios'!$C$10-'01_Criterios'!$C$9)*('04_Dados_Ajustados'!R10-'03_Base_Indice'!$H10)/('03_Base_Indice'!$I10-'03_Base_Indice'!$H10))),MIN('01_Criterios'!$C$10,MAX('01_Criterios'!$C$9,'01_Criterios'!$C$9+('01_Criterios'!$C$10-'01_Criterios'!$C$9)*('03_Base_Indice'!$I10-'04_Dados_Ajustados'!R10)/('03_Base_Indice'!$I10-'03_Base_Indice'!$H10))))))</f>
        <v/>
      </c>
      <c r="S10" s="31" t="str">
        <f>IF($D10="","",IF('04_Dados_Ajustados'!S10="","",IF('03_Base_Indice'!$G10="+",MIN('01_Criterios'!$C$10,MAX('01_Criterios'!$C$9,'01_Criterios'!$C$9+('01_Criterios'!$C$10-'01_Criterios'!$C$9)*('04_Dados_Ajustados'!S10-'03_Base_Indice'!$H10)/('03_Base_Indice'!$I10-'03_Base_Indice'!$H10))),MIN('01_Criterios'!$C$10,MAX('01_Criterios'!$C$9,'01_Criterios'!$C$9+('01_Criterios'!$C$10-'01_Criterios'!$C$9)*('03_Base_Indice'!$I10-'04_Dados_Ajustados'!S10)/('03_Base_Indice'!$I10-'03_Base_Indice'!$H10))))))</f>
        <v/>
      </c>
      <c r="T10" s="31" t="str">
        <f>IF($D10="","",IF('04_Dados_Ajustados'!T10="","",IF('03_Base_Indice'!$G10="+",MIN('01_Criterios'!$C$10,MAX('01_Criterios'!$C$9,'01_Criterios'!$C$9+('01_Criterios'!$C$10-'01_Criterios'!$C$9)*('04_Dados_Ajustados'!T10-'03_Base_Indice'!$H10)/('03_Base_Indice'!$I10-'03_Base_Indice'!$H10))),MIN('01_Criterios'!$C$10,MAX('01_Criterios'!$C$9,'01_Criterios'!$C$9+('01_Criterios'!$C$10-'01_Criterios'!$C$9)*('03_Base_Indice'!$I10-'04_Dados_Ajustados'!T10)/('03_Base_Indice'!$I10-'03_Base_Indice'!$H10))))))</f>
        <v/>
      </c>
      <c r="U10" s="31" t="str">
        <f>IF($D10="","",IF('04_Dados_Ajustados'!U10="","",IF('03_Base_Indice'!$G10="+",MIN('01_Criterios'!$C$10,MAX('01_Criterios'!$C$9,'01_Criterios'!$C$9+('01_Criterios'!$C$10-'01_Criterios'!$C$9)*('04_Dados_Ajustados'!U10-'03_Base_Indice'!$H10)/('03_Base_Indice'!$I10-'03_Base_Indice'!$H10))),MIN('01_Criterios'!$C$10,MAX('01_Criterios'!$C$9,'01_Criterios'!$C$9+('01_Criterios'!$C$10-'01_Criterios'!$C$9)*('03_Base_Indice'!$I10-'04_Dados_Ajustados'!U10)/('03_Base_Indice'!$I10-'03_Base_Indice'!$H10))))))</f>
        <v/>
      </c>
    </row>
    <row r="11" spans="1:21">
      <c r="A11" s="6" t="str">
        <f>IF('03_Base_Indice'!$A11="","",'03_Base_Indice'!$A11)</f>
        <v>1. Governança e Estado de Direito</v>
      </c>
      <c r="B11" s="6">
        <f>'03_Base_Indice'!$B11</f>
        <v>7</v>
      </c>
      <c r="D11" s="6" t="str">
        <f>IF('03_Base_Indice'!$D11="","",'03_Base_Indice'!$D11)</f>
        <v/>
      </c>
      <c r="E11" s="6" t="str">
        <f>IF('03_Base_Indice'!$E11="","",'03_Base_Indice'!$E11)</f>
        <v/>
      </c>
      <c r="G11" s="20" t="str">
        <f>IF('03_Base_Indice'!$G11="","",'03_Base_Indice'!$G11)</f>
        <v/>
      </c>
      <c r="K11" s="31" t="str">
        <f>IF($D11="","",IF('04_Dados_Ajustados'!K11="","",IF('03_Base_Indice'!$G11="+",MIN('01_Criterios'!$C$10,MAX('01_Criterios'!$C$9,'01_Criterios'!$C$9+('01_Criterios'!$C$10-'01_Criterios'!$C$9)*('04_Dados_Ajustados'!K11-'03_Base_Indice'!$H11)/('03_Base_Indice'!$I11-'03_Base_Indice'!$H11))),MIN('01_Criterios'!$C$10,MAX('01_Criterios'!$C$9,'01_Criterios'!$C$9+('01_Criterios'!$C$10-'01_Criterios'!$C$9)*('03_Base_Indice'!$I11-'04_Dados_Ajustados'!K11)/('03_Base_Indice'!$I11-'03_Base_Indice'!$H11))))))</f>
        <v/>
      </c>
      <c r="L11" s="31" t="str">
        <f>IF($D11="","",IF('04_Dados_Ajustados'!L11="","",IF('03_Base_Indice'!$G11="+",MIN('01_Criterios'!$C$10,MAX('01_Criterios'!$C$9,'01_Criterios'!$C$9+('01_Criterios'!$C$10-'01_Criterios'!$C$9)*('04_Dados_Ajustados'!L11-'03_Base_Indice'!$H11)/('03_Base_Indice'!$I11-'03_Base_Indice'!$H11))),MIN('01_Criterios'!$C$10,MAX('01_Criterios'!$C$9,'01_Criterios'!$C$9+('01_Criterios'!$C$10-'01_Criterios'!$C$9)*('03_Base_Indice'!$I11-'04_Dados_Ajustados'!L11)/('03_Base_Indice'!$I11-'03_Base_Indice'!$H11))))))</f>
        <v/>
      </c>
      <c r="M11" s="31" t="str">
        <f>IF($D11="","",IF('04_Dados_Ajustados'!M11="","",IF('03_Base_Indice'!$G11="+",MIN('01_Criterios'!$C$10,MAX('01_Criterios'!$C$9,'01_Criterios'!$C$9+('01_Criterios'!$C$10-'01_Criterios'!$C$9)*('04_Dados_Ajustados'!M11-'03_Base_Indice'!$H11)/('03_Base_Indice'!$I11-'03_Base_Indice'!$H11))),MIN('01_Criterios'!$C$10,MAX('01_Criterios'!$C$9,'01_Criterios'!$C$9+('01_Criterios'!$C$10-'01_Criterios'!$C$9)*('03_Base_Indice'!$I11-'04_Dados_Ajustados'!M11)/('03_Base_Indice'!$I11-'03_Base_Indice'!$H11))))))</f>
        <v/>
      </c>
      <c r="N11" s="31" t="str">
        <f>IF($D11="","",IF('04_Dados_Ajustados'!N11="","",IF('03_Base_Indice'!$G11="+",MIN('01_Criterios'!$C$10,MAX('01_Criterios'!$C$9,'01_Criterios'!$C$9+('01_Criterios'!$C$10-'01_Criterios'!$C$9)*('04_Dados_Ajustados'!N11-'03_Base_Indice'!$H11)/('03_Base_Indice'!$I11-'03_Base_Indice'!$H11))),MIN('01_Criterios'!$C$10,MAX('01_Criterios'!$C$9,'01_Criterios'!$C$9+('01_Criterios'!$C$10-'01_Criterios'!$C$9)*('03_Base_Indice'!$I11-'04_Dados_Ajustados'!N11)/('03_Base_Indice'!$I11-'03_Base_Indice'!$H11))))))</f>
        <v/>
      </c>
      <c r="O11" s="31" t="str">
        <f>IF($D11="","",IF('04_Dados_Ajustados'!O11="","",IF('03_Base_Indice'!$G11="+",MIN('01_Criterios'!$C$10,MAX('01_Criterios'!$C$9,'01_Criterios'!$C$9+('01_Criterios'!$C$10-'01_Criterios'!$C$9)*('04_Dados_Ajustados'!O11-'03_Base_Indice'!$H11)/('03_Base_Indice'!$I11-'03_Base_Indice'!$H11))),MIN('01_Criterios'!$C$10,MAX('01_Criterios'!$C$9,'01_Criterios'!$C$9+('01_Criterios'!$C$10-'01_Criterios'!$C$9)*('03_Base_Indice'!$I11-'04_Dados_Ajustados'!O11)/('03_Base_Indice'!$I11-'03_Base_Indice'!$H11))))))</f>
        <v/>
      </c>
      <c r="P11" s="31" t="str">
        <f>IF($D11="","",IF('04_Dados_Ajustados'!P11="","",IF('03_Base_Indice'!$G11="+",MIN('01_Criterios'!$C$10,MAX('01_Criterios'!$C$9,'01_Criterios'!$C$9+('01_Criterios'!$C$10-'01_Criterios'!$C$9)*('04_Dados_Ajustados'!P11-'03_Base_Indice'!$H11)/('03_Base_Indice'!$I11-'03_Base_Indice'!$H11))),MIN('01_Criterios'!$C$10,MAX('01_Criterios'!$C$9,'01_Criterios'!$C$9+('01_Criterios'!$C$10-'01_Criterios'!$C$9)*('03_Base_Indice'!$I11-'04_Dados_Ajustados'!P11)/('03_Base_Indice'!$I11-'03_Base_Indice'!$H11))))))</f>
        <v/>
      </c>
      <c r="Q11" s="31" t="str">
        <f>IF($D11="","",IF('04_Dados_Ajustados'!Q11="","",IF('03_Base_Indice'!$G11="+",MIN('01_Criterios'!$C$10,MAX('01_Criterios'!$C$9,'01_Criterios'!$C$9+('01_Criterios'!$C$10-'01_Criterios'!$C$9)*('04_Dados_Ajustados'!Q11-'03_Base_Indice'!$H11)/('03_Base_Indice'!$I11-'03_Base_Indice'!$H11))),MIN('01_Criterios'!$C$10,MAX('01_Criterios'!$C$9,'01_Criterios'!$C$9+('01_Criterios'!$C$10-'01_Criterios'!$C$9)*('03_Base_Indice'!$I11-'04_Dados_Ajustados'!Q11)/('03_Base_Indice'!$I11-'03_Base_Indice'!$H11))))))</f>
        <v/>
      </c>
      <c r="R11" s="31" t="str">
        <f>IF($D11="","",IF('04_Dados_Ajustados'!R11="","",IF('03_Base_Indice'!$G11="+",MIN('01_Criterios'!$C$10,MAX('01_Criterios'!$C$9,'01_Criterios'!$C$9+('01_Criterios'!$C$10-'01_Criterios'!$C$9)*('04_Dados_Ajustados'!R11-'03_Base_Indice'!$H11)/('03_Base_Indice'!$I11-'03_Base_Indice'!$H11))),MIN('01_Criterios'!$C$10,MAX('01_Criterios'!$C$9,'01_Criterios'!$C$9+('01_Criterios'!$C$10-'01_Criterios'!$C$9)*('03_Base_Indice'!$I11-'04_Dados_Ajustados'!R11)/('03_Base_Indice'!$I11-'03_Base_Indice'!$H11))))))</f>
        <v/>
      </c>
      <c r="S11" s="31" t="str">
        <f>IF($D11="","",IF('04_Dados_Ajustados'!S11="","",IF('03_Base_Indice'!$G11="+",MIN('01_Criterios'!$C$10,MAX('01_Criterios'!$C$9,'01_Criterios'!$C$9+('01_Criterios'!$C$10-'01_Criterios'!$C$9)*('04_Dados_Ajustados'!S11-'03_Base_Indice'!$H11)/('03_Base_Indice'!$I11-'03_Base_Indice'!$H11))),MIN('01_Criterios'!$C$10,MAX('01_Criterios'!$C$9,'01_Criterios'!$C$9+('01_Criterios'!$C$10-'01_Criterios'!$C$9)*('03_Base_Indice'!$I11-'04_Dados_Ajustados'!S11)/('03_Base_Indice'!$I11-'03_Base_Indice'!$H11))))))</f>
        <v/>
      </c>
      <c r="T11" s="31" t="str">
        <f>IF($D11="","",IF('04_Dados_Ajustados'!T11="","",IF('03_Base_Indice'!$G11="+",MIN('01_Criterios'!$C$10,MAX('01_Criterios'!$C$9,'01_Criterios'!$C$9+('01_Criterios'!$C$10-'01_Criterios'!$C$9)*('04_Dados_Ajustados'!T11-'03_Base_Indice'!$H11)/('03_Base_Indice'!$I11-'03_Base_Indice'!$H11))),MIN('01_Criterios'!$C$10,MAX('01_Criterios'!$C$9,'01_Criterios'!$C$9+('01_Criterios'!$C$10-'01_Criterios'!$C$9)*('03_Base_Indice'!$I11-'04_Dados_Ajustados'!T11)/('03_Base_Indice'!$I11-'03_Base_Indice'!$H11))))))</f>
        <v/>
      </c>
      <c r="U11" s="31" t="str">
        <f>IF($D11="","",IF('04_Dados_Ajustados'!U11="","",IF('03_Base_Indice'!$G11="+",MIN('01_Criterios'!$C$10,MAX('01_Criterios'!$C$9,'01_Criterios'!$C$9+('01_Criterios'!$C$10-'01_Criterios'!$C$9)*('04_Dados_Ajustados'!U11-'03_Base_Indice'!$H11)/('03_Base_Indice'!$I11-'03_Base_Indice'!$H11))),MIN('01_Criterios'!$C$10,MAX('01_Criterios'!$C$9,'01_Criterios'!$C$9+('01_Criterios'!$C$10-'01_Criterios'!$C$9)*('03_Base_Indice'!$I11-'04_Dados_Ajustados'!U11)/('03_Base_Indice'!$I11-'03_Base_Indice'!$H11))))))</f>
        <v/>
      </c>
    </row>
    <row r="12" spans="1:21">
      <c r="A12" s="6" t="str">
        <f>IF('03_Base_Indice'!$A12="","",'03_Base_Indice'!$A12)</f>
        <v>1. Governança e Estado de Direito</v>
      </c>
      <c r="B12" s="6">
        <f>'03_Base_Indice'!$B12</f>
        <v>8</v>
      </c>
      <c r="D12" s="6" t="str">
        <f>IF('03_Base_Indice'!$D12="","",'03_Base_Indice'!$D12)</f>
        <v/>
      </c>
      <c r="E12" s="6" t="str">
        <f>IF('03_Base_Indice'!$E12="","",'03_Base_Indice'!$E12)</f>
        <v/>
      </c>
      <c r="G12" s="20" t="str">
        <f>IF('03_Base_Indice'!$G12="","",'03_Base_Indice'!$G12)</f>
        <v/>
      </c>
      <c r="K12" s="31" t="str">
        <f>IF($D12="","",IF('04_Dados_Ajustados'!K12="","",IF('03_Base_Indice'!$G12="+",MIN('01_Criterios'!$C$10,MAX('01_Criterios'!$C$9,'01_Criterios'!$C$9+('01_Criterios'!$C$10-'01_Criterios'!$C$9)*('04_Dados_Ajustados'!K12-'03_Base_Indice'!$H12)/('03_Base_Indice'!$I12-'03_Base_Indice'!$H12))),MIN('01_Criterios'!$C$10,MAX('01_Criterios'!$C$9,'01_Criterios'!$C$9+('01_Criterios'!$C$10-'01_Criterios'!$C$9)*('03_Base_Indice'!$I12-'04_Dados_Ajustados'!K12)/('03_Base_Indice'!$I12-'03_Base_Indice'!$H12))))))</f>
        <v/>
      </c>
      <c r="L12" s="31" t="str">
        <f>IF($D12="","",IF('04_Dados_Ajustados'!L12="","",IF('03_Base_Indice'!$G12="+",MIN('01_Criterios'!$C$10,MAX('01_Criterios'!$C$9,'01_Criterios'!$C$9+('01_Criterios'!$C$10-'01_Criterios'!$C$9)*('04_Dados_Ajustados'!L12-'03_Base_Indice'!$H12)/('03_Base_Indice'!$I12-'03_Base_Indice'!$H12))),MIN('01_Criterios'!$C$10,MAX('01_Criterios'!$C$9,'01_Criterios'!$C$9+('01_Criterios'!$C$10-'01_Criterios'!$C$9)*('03_Base_Indice'!$I12-'04_Dados_Ajustados'!L12)/('03_Base_Indice'!$I12-'03_Base_Indice'!$H12))))))</f>
        <v/>
      </c>
      <c r="M12" s="31" t="str">
        <f>IF($D12="","",IF('04_Dados_Ajustados'!M12="","",IF('03_Base_Indice'!$G12="+",MIN('01_Criterios'!$C$10,MAX('01_Criterios'!$C$9,'01_Criterios'!$C$9+('01_Criterios'!$C$10-'01_Criterios'!$C$9)*('04_Dados_Ajustados'!M12-'03_Base_Indice'!$H12)/('03_Base_Indice'!$I12-'03_Base_Indice'!$H12))),MIN('01_Criterios'!$C$10,MAX('01_Criterios'!$C$9,'01_Criterios'!$C$9+('01_Criterios'!$C$10-'01_Criterios'!$C$9)*('03_Base_Indice'!$I12-'04_Dados_Ajustados'!M12)/('03_Base_Indice'!$I12-'03_Base_Indice'!$H12))))))</f>
        <v/>
      </c>
      <c r="N12" s="31" t="str">
        <f>IF($D12="","",IF('04_Dados_Ajustados'!N12="","",IF('03_Base_Indice'!$G12="+",MIN('01_Criterios'!$C$10,MAX('01_Criterios'!$C$9,'01_Criterios'!$C$9+('01_Criterios'!$C$10-'01_Criterios'!$C$9)*('04_Dados_Ajustados'!N12-'03_Base_Indice'!$H12)/('03_Base_Indice'!$I12-'03_Base_Indice'!$H12))),MIN('01_Criterios'!$C$10,MAX('01_Criterios'!$C$9,'01_Criterios'!$C$9+('01_Criterios'!$C$10-'01_Criterios'!$C$9)*('03_Base_Indice'!$I12-'04_Dados_Ajustados'!N12)/('03_Base_Indice'!$I12-'03_Base_Indice'!$H12))))))</f>
        <v/>
      </c>
      <c r="O12" s="31" t="str">
        <f>IF($D12="","",IF('04_Dados_Ajustados'!O12="","",IF('03_Base_Indice'!$G12="+",MIN('01_Criterios'!$C$10,MAX('01_Criterios'!$C$9,'01_Criterios'!$C$9+('01_Criterios'!$C$10-'01_Criterios'!$C$9)*('04_Dados_Ajustados'!O12-'03_Base_Indice'!$H12)/('03_Base_Indice'!$I12-'03_Base_Indice'!$H12))),MIN('01_Criterios'!$C$10,MAX('01_Criterios'!$C$9,'01_Criterios'!$C$9+('01_Criterios'!$C$10-'01_Criterios'!$C$9)*('03_Base_Indice'!$I12-'04_Dados_Ajustados'!O12)/('03_Base_Indice'!$I12-'03_Base_Indice'!$H12))))))</f>
        <v/>
      </c>
      <c r="P12" s="31" t="str">
        <f>IF($D12="","",IF('04_Dados_Ajustados'!P12="","",IF('03_Base_Indice'!$G12="+",MIN('01_Criterios'!$C$10,MAX('01_Criterios'!$C$9,'01_Criterios'!$C$9+('01_Criterios'!$C$10-'01_Criterios'!$C$9)*('04_Dados_Ajustados'!P12-'03_Base_Indice'!$H12)/('03_Base_Indice'!$I12-'03_Base_Indice'!$H12))),MIN('01_Criterios'!$C$10,MAX('01_Criterios'!$C$9,'01_Criterios'!$C$9+('01_Criterios'!$C$10-'01_Criterios'!$C$9)*('03_Base_Indice'!$I12-'04_Dados_Ajustados'!P12)/('03_Base_Indice'!$I12-'03_Base_Indice'!$H12))))))</f>
        <v/>
      </c>
      <c r="Q12" s="31" t="str">
        <f>IF($D12="","",IF('04_Dados_Ajustados'!Q12="","",IF('03_Base_Indice'!$G12="+",MIN('01_Criterios'!$C$10,MAX('01_Criterios'!$C$9,'01_Criterios'!$C$9+('01_Criterios'!$C$10-'01_Criterios'!$C$9)*('04_Dados_Ajustados'!Q12-'03_Base_Indice'!$H12)/('03_Base_Indice'!$I12-'03_Base_Indice'!$H12))),MIN('01_Criterios'!$C$10,MAX('01_Criterios'!$C$9,'01_Criterios'!$C$9+('01_Criterios'!$C$10-'01_Criterios'!$C$9)*('03_Base_Indice'!$I12-'04_Dados_Ajustados'!Q12)/('03_Base_Indice'!$I12-'03_Base_Indice'!$H12))))))</f>
        <v/>
      </c>
      <c r="R12" s="31" t="str">
        <f>IF($D12="","",IF('04_Dados_Ajustados'!R12="","",IF('03_Base_Indice'!$G12="+",MIN('01_Criterios'!$C$10,MAX('01_Criterios'!$C$9,'01_Criterios'!$C$9+('01_Criterios'!$C$10-'01_Criterios'!$C$9)*('04_Dados_Ajustados'!R12-'03_Base_Indice'!$H12)/('03_Base_Indice'!$I12-'03_Base_Indice'!$H12))),MIN('01_Criterios'!$C$10,MAX('01_Criterios'!$C$9,'01_Criterios'!$C$9+('01_Criterios'!$C$10-'01_Criterios'!$C$9)*('03_Base_Indice'!$I12-'04_Dados_Ajustados'!R12)/('03_Base_Indice'!$I12-'03_Base_Indice'!$H12))))))</f>
        <v/>
      </c>
      <c r="S12" s="31" t="str">
        <f>IF($D12="","",IF('04_Dados_Ajustados'!S12="","",IF('03_Base_Indice'!$G12="+",MIN('01_Criterios'!$C$10,MAX('01_Criterios'!$C$9,'01_Criterios'!$C$9+('01_Criterios'!$C$10-'01_Criterios'!$C$9)*('04_Dados_Ajustados'!S12-'03_Base_Indice'!$H12)/('03_Base_Indice'!$I12-'03_Base_Indice'!$H12))),MIN('01_Criterios'!$C$10,MAX('01_Criterios'!$C$9,'01_Criterios'!$C$9+('01_Criterios'!$C$10-'01_Criterios'!$C$9)*('03_Base_Indice'!$I12-'04_Dados_Ajustados'!S12)/('03_Base_Indice'!$I12-'03_Base_Indice'!$H12))))))</f>
        <v/>
      </c>
      <c r="T12" s="31" t="str">
        <f>IF($D12="","",IF('04_Dados_Ajustados'!T12="","",IF('03_Base_Indice'!$G12="+",MIN('01_Criterios'!$C$10,MAX('01_Criterios'!$C$9,'01_Criterios'!$C$9+('01_Criterios'!$C$10-'01_Criterios'!$C$9)*('04_Dados_Ajustados'!T12-'03_Base_Indice'!$H12)/('03_Base_Indice'!$I12-'03_Base_Indice'!$H12))),MIN('01_Criterios'!$C$10,MAX('01_Criterios'!$C$9,'01_Criterios'!$C$9+('01_Criterios'!$C$10-'01_Criterios'!$C$9)*('03_Base_Indice'!$I12-'04_Dados_Ajustados'!T12)/('03_Base_Indice'!$I12-'03_Base_Indice'!$H12))))))</f>
        <v/>
      </c>
      <c r="U12" s="31" t="str">
        <f>IF($D12="","",IF('04_Dados_Ajustados'!U12="","",IF('03_Base_Indice'!$G12="+",MIN('01_Criterios'!$C$10,MAX('01_Criterios'!$C$9,'01_Criterios'!$C$9+('01_Criterios'!$C$10-'01_Criterios'!$C$9)*('04_Dados_Ajustados'!U12-'03_Base_Indice'!$H12)/('03_Base_Indice'!$I12-'03_Base_Indice'!$H12))),MIN('01_Criterios'!$C$10,MAX('01_Criterios'!$C$9,'01_Criterios'!$C$9+('01_Criterios'!$C$10-'01_Criterios'!$C$9)*('03_Base_Indice'!$I12-'04_Dados_Ajustados'!U12)/('03_Base_Indice'!$I12-'03_Base_Indice'!$H12))))))</f>
        <v/>
      </c>
    </row>
    <row r="13" spans="1:21">
      <c r="A13" s="6" t="str">
        <f>IF('03_Base_Indice'!$A13="","",'03_Base_Indice'!$A13)</f>
        <v>1. Governança e Estado de Direito</v>
      </c>
      <c r="B13" s="6">
        <f>'03_Base_Indice'!$B13</f>
        <v>9</v>
      </c>
      <c r="D13" s="6" t="str">
        <f>IF('03_Base_Indice'!$D13="","",'03_Base_Indice'!$D13)</f>
        <v/>
      </c>
      <c r="E13" s="6" t="str">
        <f>IF('03_Base_Indice'!$E13="","",'03_Base_Indice'!$E13)</f>
        <v/>
      </c>
      <c r="G13" s="20" t="str">
        <f>IF('03_Base_Indice'!$G13="","",'03_Base_Indice'!$G13)</f>
        <v/>
      </c>
      <c r="K13" s="31" t="str">
        <f>IF($D13="","",IF('04_Dados_Ajustados'!K13="","",IF('03_Base_Indice'!$G13="+",MIN('01_Criterios'!$C$10,MAX('01_Criterios'!$C$9,'01_Criterios'!$C$9+('01_Criterios'!$C$10-'01_Criterios'!$C$9)*('04_Dados_Ajustados'!K13-'03_Base_Indice'!$H13)/('03_Base_Indice'!$I13-'03_Base_Indice'!$H13))),MIN('01_Criterios'!$C$10,MAX('01_Criterios'!$C$9,'01_Criterios'!$C$9+('01_Criterios'!$C$10-'01_Criterios'!$C$9)*('03_Base_Indice'!$I13-'04_Dados_Ajustados'!K13)/('03_Base_Indice'!$I13-'03_Base_Indice'!$H13))))))</f>
        <v/>
      </c>
      <c r="L13" s="31" t="str">
        <f>IF($D13="","",IF('04_Dados_Ajustados'!L13="","",IF('03_Base_Indice'!$G13="+",MIN('01_Criterios'!$C$10,MAX('01_Criterios'!$C$9,'01_Criterios'!$C$9+('01_Criterios'!$C$10-'01_Criterios'!$C$9)*('04_Dados_Ajustados'!L13-'03_Base_Indice'!$H13)/('03_Base_Indice'!$I13-'03_Base_Indice'!$H13))),MIN('01_Criterios'!$C$10,MAX('01_Criterios'!$C$9,'01_Criterios'!$C$9+('01_Criterios'!$C$10-'01_Criterios'!$C$9)*('03_Base_Indice'!$I13-'04_Dados_Ajustados'!L13)/('03_Base_Indice'!$I13-'03_Base_Indice'!$H13))))))</f>
        <v/>
      </c>
      <c r="M13" s="31" t="str">
        <f>IF($D13="","",IF('04_Dados_Ajustados'!M13="","",IF('03_Base_Indice'!$G13="+",MIN('01_Criterios'!$C$10,MAX('01_Criterios'!$C$9,'01_Criterios'!$C$9+('01_Criterios'!$C$10-'01_Criterios'!$C$9)*('04_Dados_Ajustados'!M13-'03_Base_Indice'!$H13)/('03_Base_Indice'!$I13-'03_Base_Indice'!$H13))),MIN('01_Criterios'!$C$10,MAX('01_Criterios'!$C$9,'01_Criterios'!$C$9+('01_Criterios'!$C$10-'01_Criterios'!$C$9)*('03_Base_Indice'!$I13-'04_Dados_Ajustados'!M13)/('03_Base_Indice'!$I13-'03_Base_Indice'!$H13))))))</f>
        <v/>
      </c>
      <c r="N13" s="31" t="str">
        <f>IF($D13="","",IF('04_Dados_Ajustados'!N13="","",IF('03_Base_Indice'!$G13="+",MIN('01_Criterios'!$C$10,MAX('01_Criterios'!$C$9,'01_Criterios'!$C$9+('01_Criterios'!$C$10-'01_Criterios'!$C$9)*('04_Dados_Ajustados'!N13-'03_Base_Indice'!$H13)/('03_Base_Indice'!$I13-'03_Base_Indice'!$H13))),MIN('01_Criterios'!$C$10,MAX('01_Criterios'!$C$9,'01_Criterios'!$C$9+('01_Criterios'!$C$10-'01_Criterios'!$C$9)*('03_Base_Indice'!$I13-'04_Dados_Ajustados'!N13)/('03_Base_Indice'!$I13-'03_Base_Indice'!$H13))))))</f>
        <v/>
      </c>
      <c r="O13" s="31" t="str">
        <f>IF($D13="","",IF('04_Dados_Ajustados'!O13="","",IF('03_Base_Indice'!$G13="+",MIN('01_Criterios'!$C$10,MAX('01_Criterios'!$C$9,'01_Criterios'!$C$9+('01_Criterios'!$C$10-'01_Criterios'!$C$9)*('04_Dados_Ajustados'!O13-'03_Base_Indice'!$H13)/('03_Base_Indice'!$I13-'03_Base_Indice'!$H13))),MIN('01_Criterios'!$C$10,MAX('01_Criterios'!$C$9,'01_Criterios'!$C$9+('01_Criterios'!$C$10-'01_Criterios'!$C$9)*('03_Base_Indice'!$I13-'04_Dados_Ajustados'!O13)/('03_Base_Indice'!$I13-'03_Base_Indice'!$H13))))))</f>
        <v/>
      </c>
      <c r="P13" s="31" t="str">
        <f>IF($D13="","",IF('04_Dados_Ajustados'!P13="","",IF('03_Base_Indice'!$G13="+",MIN('01_Criterios'!$C$10,MAX('01_Criterios'!$C$9,'01_Criterios'!$C$9+('01_Criterios'!$C$10-'01_Criterios'!$C$9)*('04_Dados_Ajustados'!P13-'03_Base_Indice'!$H13)/('03_Base_Indice'!$I13-'03_Base_Indice'!$H13))),MIN('01_Criterios'!$C$10,MAX('01_Criterios'!$C$9,'01_Criterios'!$C$9+('01_Criterios'!$C$10-'01_Criterios'!$C$9)*('03_Base_Indice'!$I13-'04_Dados_Ajustados'!P13)/('03_Base_Indice'!$I13-'03_Base_Indice'!$H13))))))</f>
        <v/>
      </c>
      <c r="Q13" s="31" t="str">
        <f>IF($D13="","",IF('04_Dados_Ajustados'!Q13="","",IF('03_Base_Indice'!$G13="+",MIN('01_Criterios'!$C$10,MAX('01_Criterios'!$C$9,'01_Criterios'!$C$9+('01_Criterios'!$C$10-'01_Criterios'!$C$9)*('04_Dados_Ajustados'!Q13-'03_Base_Indice'!$H13)/('03_Base_Indice'!$I13-'03_Base_Indice'!$H13))),MIN('01_Criterios'!$C$10,MAX('01_Criterios'!$C$9,'01_Criterios'!$C$9+('01_Criterios'!$C$10-'01_Criterios'!$C$9)*('03_Base_Indice'!$I13-'04_Dados_Ajustados'!Q13)/('03_Base_Indice'!$I13-'03_Base_Indice'!$H13))))))</f>
        <v/>
      </c>
      <c r="R13" s="31" t="str">
        <f>IF($D13="","",IF('04_Dados_Ajustados'!R13="","",IF('03_Base_Indice'!$G13="+",MIN('01_Criterios'!$C$10,MAX('01_Criterios'!$C$9,'01_Criterios'!$C$9+('01_Criterios'!$C$10-'01_Criterios'!$C$9)*('04_Dados_Ajustados'!R13-'03_Base_Indice'!$H13)/('03_Base_Indice'!$I13-'03_Base_Indice'!$H13))),MIN('01_Criterios'!$C$10,MAX('01_Criterios'!$C$9,'01_Criterios'!$C$9+('01_Criterios'!$C$10-'01_Criterios'!$C$9)*('03_Base_Indice'!$I13-'04_Dados_Ajustados'!R13)/('03_Base_Indice'!$I13-'03_Base_Indice'!$H13))))))</f>
        <v/>
      </c>
      <c r="S13" s="31" t="str">
        <f>IF($D13="","",IF('04_Dados_Ajustados'!S13="","",IF('03_Base_Indice'!$G13="+",MIN('01_Criterios'!$C$10,MAX('01_Criterios'!$C$9,'01_Criterios'!$C$9+('01_Criterios'!$C$10-'01_Criterios'!$C$9)*('04_Dados_Ajustados'!S13-'03_Base_Indice'!$H13)/('03_Base_Indice'!$I13-'03_Base_Indice'!$H13))),MIN('01_Criterios'!$C$10,MAX('01_Criterios'!$C$9,'01_Criterios'!$C$9+('01_Criterios'!$C$10-'01_Criterios'!$C$9)*('03_Base_Indice'!$I13-'04_Dados_Ajustados'!S13)/('03_Base_Indice'!$I13-'03_Base_Indice'!$H13))))))</f>
        <v/>
      </c>
      <c r="T13" s="31" t="str">
        <f>IF($D13="","",IF('04_Dados_Ajustados'!T13="","",IF('03_Base_Indice'!$G13="+",MIN('01_Criterios'!$C$10,MAX('01_Criterios'!$C$9,'01_Criterios'!$C$9+('01_Criterios'!$C$10-'01_Criterios'!$C$9)*('04_Dados_Ajustados'!T13-'03_Base_Indice'!$H13)/('03_Base_Indice'!$I13-'03_Base_Indice'!$H13))),MIN('01_Criterios'!$C$10,MAX('01_Criterios'!$C$9,'01_Criterios'!$C$9+('01_Criterios'!$C$10-'01_Criterios'!$C$9)*('03_Base_Indice'!$I13-'04_Dados_Ajustados'!T13)/('03_Base_Indice'!$I13-'03_Base_Indice'!$H13))))))</f>
        <v/>
      </c>
      <c r="U13" s="31" t="str">
        <f>IF($D13="","",IF('04_Dados_Ajustados'!U13="","",IF('03_Base_Indice'!$G13="+",MIN('01_Criterios'!$C$10,MAX('01_Criterios'!$C$9,'01_Criterios'!$C$9+('01_Criterios'!$C$10-'01_Criterios'!$C$9)*('04_Dados_Ajustados'!U13-'03_Base_Indice'!$H13)/('03_Base_Indice'!$I13-'03_Base_Indice'!$H13))),MIN('01_Criterios'!$C$10,MAX('01_Criterios'!$C$9,'01_Criterios'!$C$9+('01_Criterios'!$C$10-'01_Criterios'!$C$9)*('03_Base_Indice'!$I13-'04_Dados_Ajustados'!U13)/('03_Base_Indice'!$I13-'03_Base_Indice'!$H13))))))</f>
        <v/>
      </c>
    </row>
    <row r="14" spans="1:21">
      <c r="A14" s="6" t="str">
        <f>IF('03_Base_Indice'!$A14="","",'03_Base_Indice'!$A14)</f>
        <v>1. Governança e Estado de Direito</v>
      </c>
      <c r="B14" s="6">
        <f>'03_Base_Indice'!$B14</f>
        <v>10</v>
      </c>
      <c r="D14" s="6" t="str">
        <f>IF('03_Base_Indice'!$D14="","",'03_Base_Indice'!$D14)</f>
        <v/>
      </c>
      <c r="E14" s="6" t="str">
        <f>IF('03_Base_Indice'!$E14="","",'03_Base_Indice'!$E14)</f>
        <v/>
      </c>
      <c r="G14" s="20" t="str">
        <f>IF('03_Base_Indice'!$G14="","",'03_Base_Indice'!$G14)</f>
        <v/>
      </c>
      <c r="K14" s="31" t="str">
        <f>IF($D14="","",IF('04_Dados_Ajustados'!K14="","",IF('03_Base_Indice'!$G14="+",MIN('01_Criterios'!$C$10,MAX('01_Criterios'!$C$9,'01_Criterios'!$C$9+('01_Criterios'!$C$10-'01_Criterios'!$C$9)*('04_Dados_Ajustados'!K14-'03_Base_Indice'!$H14)/('03_Base_Indice'!$I14-'03_Base_Indice'!$H14))),MIN('01_Criterios'!$C$10,MAX('01_Criterios'!$C$9,'01_Criterios'!$C$9+('01_Criterios'!$C$10-'01_Criterios'!$C$9)*('03_Base_Indice'!$I14-'04_Dados_Ajustados'!K14)/('03_Base_Indice'!$I14-'03_Base_Indice'!$H14))))))</f>
        <v/>
      </c>
      <c r="L14" s="31" t="str">
        <f>IF($D14="","",IF('04_Dados_Ajustados'!L14="","",IF('03_Base_Indice'!$G14="+",MIN('01_Criterios'!$C$10,MAX('01_Criterios'!$C$9,'01_Criterios'!$C$9+('01_Criterios'!$C$10-'01_Criterios'!$C$9)*('04_Dados_Ajustados'!L14-'03_Base_Indice'!$H14)/('03_Base_Indice'!$I14-'03_Base_Indice'!$H14))),MIN('01_Criterios'!$C$10,MAX('01_Criterios'!$C$9,'01_Criterios'!$C$9+('01_Criterios'!$C$10-'01_Criterios'!$C$9)*('03_Base_Indice'!$I14-'04_Dados_Ajustados'!L14)/('03_Base_Indice'!$I14-'03_Base_Indice'!$H14))))))</f>
        <v/>
      </c>
      <c r="M14" s="31" t="str">
        <f>IF($D14="","",IF('04_Dados_Ajustados'!M14="","",IF('03_Base_Indice'!$G14="+",MIN('01_Criterios'!$C$10,MAX('01_Criterios'!$C$9,'01_Criterios'!$C$9+('01_Criterios'!$C$10-'01_Criterios'!$C$9)*('04_Dados_Ajustados'!M14-'03_Base_Indice'!$H14)/('03_Base_Indice'!$I14-'03_Base_Indice'!$H14))),MIN('01_Criterios'!$C$10,MAX('01_Criterios'!$C$9,'01_Criterios'!$C$9+('01_Criterios'!$C$10-'01_Criterios'!$C$9)*('03_Base_Indice'!$I14-'04_Dados_Ajustados'!M14)/('03_Base_Indice'!$I14-'03_Base_Indice'!$H14))))))</f>
        <v/>
      </c>
      <c r="N14" s="31" t="str">
        <f>IF($D14="","",IF('04_Dados_Ajustados'!N14="","",IF('03_Base_Indice'!$G14="+",MIN('01_Criterios'!$C$10,MAX('01_Criterios'!$C$9,'01_Criterios'!$C$9+('01_Criterios'!$C$10-'01_Criterios'!$C$9)*('04_Dados_Ajustados'!N14-'03_Base_Indice'!$H14)/('03_Base_Indice'!$I14-'03_Base_Indice'!$H14))),MIN('01_Criterios'!$C$10,MAX('01_Criterios'!$C$9,'01_Criterios'!$C$9+('01_Criterios'!$C$10-'01_Criterios'!$C$9)*('03_Base_Indice'!$I14-'04_Dados_Ajustados'!N14)/('03_Base_Indice'!$I14-'03_Base_Indice'!$H14))))))</f>
        <v/>
      </c>
      <c r="O14" s="31" t="str">
        <f>IF($D14="","",IF('04_Dados_Ajustados'!O14="","",IF('03_Base_Indice'!$G14="+",MIN('01_Criterios'!$C$10,MAX('01_Criterios'!$C$9,'01_Criterios'!$C$9+('01_Criterios'!$C$10-'01_Criterios'!$C$9)*('04_Dados_Ajustados'!O14-'03_Base_Indice'!$H14)/('03_Base_Indice'!$I14-'03_Base_Indice'!$H14))),MIN('01_Criterios'!$C$10,MAX('01_Criterios'!$C$9,'01_Criterios'!$C$9+('01_Criterios'!$C$10-'01_Criterios'!$C$9)*('03_Base_Indice'!$I14-'04_Dados_Ajustados'!O14)/('03_Base_Indice'!$I14-'03_Base_Indice'!$H14))))))</f>
        <v/>
      </c>
      <c r="P14" s="31" t="str">
        <f>IF($D14="","",IF('04_Dados_Ajustados'!P14="","",IF('03_Base_Indice'!$G14="+",MIN('01_Criterios'!$C$10,MAX('01_Criterios'!$C$9,'01_Criterios'!$C$9+('01_Criterios'!$C$10-'01_Criterios'!$C$9)*('04_Dados_Ajustados'!P14-'03_Base_Indice'!$H14)/('03_Base_Indice'!$I14-'03_Base_Indice'!$H14))),MIN('01_Criterios'!$C$10,MAX('01_Criterios'!$C$9,'01_Criterios'!$C$9+('01_Criterios'!$C$10-'01_Criterios'!$C$9)*('03_Base_Indice'!$I14-'04_Dados_Ajustados'!P14)/('03_Base_Indice'!$I14-'03_Base_Indice'!$H14))))))</f>
        <v/>
      </c>
      <c r="Q14" s="31" t="str">
        <f>IF($D14="","",IF('04_Dados_Ajustados'!Q14="","",IF('03_Base_Indice'!$G14="+",MIN('01_Criterios'!$C$10,MAX('01_Criterios'!$C$9,'01_Criterios'!$C$9+('01_Criterios'!$C$10-'01_Criterios'!$C$9)*('04_Dados_Ajustados'!Q14-'03_Base_Indice'!$H14)/('03_Base_Indice'!$I14-'03_Base_Indice'!$H14))),MIN('01_Criterios'!$C$10,MAX('01_Criterios'!$C$9,'01_Criterios'!$C$9+('01_Criterios'!$C$10-'01_Criterios'!$C$9)*('03_Base_Indice'!$I14-'04_Dados_Ajustados'!Q14)/('03_Base_Indice'!$I14-'03_Base_Indice'!$H14))))))</f>
        <v/>
      </c>
      <c r="R14" s="31" t="str">
        <f>IF($D14="","",IF('04_Dados_Ajustados'!R14="","",IF('03_Base_Indice'!$G14="+",MIN('01_Criterios'!$C$10,MAX('01_Criterios'!$C$9,'01_Criterios'!$C$9+('01_Criterios'!$C$10-'01_Criterios'!$C$9)*('04_Dados_Ajustados'!R14-'03_Base_Indice'!$H14)/('03_Base_Indice'!$I14-'03_Base_Indice'!$H14))),MIN('01_Criterios'!$C$10,MAX('01_Criterios'!$C$9,'01_Criterios'!$C$9+('01_Criterios'!$C$10-'01_Criterios'!$C$9)*('03_Base_Indice'!$I14-'04_Dados_Ajustados'!R14)/('03_Base_Indice'!$I14-'03_Base_Indice'!$H14))))))</f>
        <v/>
      </c>
      <c r="S14" s="31" t="str">
        <f>IF($D14="","",IF('04_Dados_Ajustados'!S14="","",IF('03_Base_Indice'!$G14="+",MIN('01_Criterios'!$C$10,MAX('01_Criterios'!$C$9,'01_Criterios'!$C$9+('01_Criterios'!$C$10-'01_Criterios'!$C$9)*('04_Dados_Ajustados'!S14-'03_Base_Indice'!$H14)/('03_Base_Indice'!$I14-'03_Base_Indice'!$H14))),MIN('01_Criterios'!$C$10,MAX('01_Criterios'!$C$9,'01_Criterios'!$C$9+('01_Criterios'!$C$10-'01_Criterios'!$C$9)*('03_Base_Indice'!$I14-'04_Dados_Ajustados'!S14)/('03_Base_Indice'!$I14-'03_Base_Indice'!$H14))))))</f>
        <v/>
      </c>
      <c r="T14" s="31" t="str">
        <f>IF($D14="","",IF('04_Dados_Ajustados'!T14="","",IF('03_Base_Indice'!$G14="+",MIN('01_Criterios'!$C$10,MAX('01_Criterios'!$C$9,'01_Criterios'!$C$9+('01_Criterios'!$C$10-'01_Criterios'!$C$9)*('04_Dados_Ajustados'!T14-'03_Base_Indice'!$H14)/('03_Base_Indice'!$I14-'03_Base_Indice'!$H14))),MIN('01_Criterios'!$C$10,MAX('01_Criterios'!$C$9,'01_Criterios'!$C$9+('01_Criterios'!$C$10-'01_Criterios'!$C$9)*('03_Base_Indice'!$I14-'04_Dados_Ajustados'!T14)/('03_Base_Indice'!$I14-'03_Base_Indice'!$H14))))))</f>
        <v/>
      </c>
      <c r="U14" s="31" t="str">
        <f>IF($D14="","",IF('04_Dados_Ajustados'!U14="","",IF('03_Base_Indice'!$G14="+",MIN('01_Criterios'!$C$10,MAX('01_Criterios'!$C$9,'01_Criterios'!$C$9+('01_Criterios'!$C$10-'01_Criterios'!$C$9)*('04_Dados_Ajustados'!U14-'03_Base_Indice'!$H14)/('03_Base_Indice'!$I14-'03_Base_Indice'!$H14))),MIN('01_Criterios'!$C$10,MAX('01_Criterios'!$C$9,'01_Criterios'!$C$9+('01_Criterios'!$C$10-'01_Criterios'!$C$9)*('03_Base_Indice'!$I14-'04_Dados_Ajustados'!U14)/('03_Base_Indice'!$I14-'03_Base_Indice'!$H14))))))</f>
        <v/>
      </c>
    </row>
    <row r="15" spans="1:21">
      <c r="A15" s="6" t="str">
        <f>IF('03_Base_Indice'!$A15="","",'03_Base_Indice'!$A15)</f>
        <v>2. Estabilidade Macroeconómica</v>
      </c>
      <c r="B15" s="6">
        <f>'03_Base_Indice'!$B15</f>
        <v>1</v>
      </c>
      <c r="D15" s="6" t="str">
        <f>IF('03_Base_Indice'!$D15="","",'03_Base_Indice'!$D15)</f>
        <v>MAC001</v>
      </c>
      <c r="E15" s="6" t="str">
        <f>IF('03_Base_Indice'!$E15="","",'03_Base_Indice'!$E15)</f>
        <v>Taxa de Crescimento do PIB</v>
      </c>
      <c r="G15" s="20" t="str">
        <f>IF('03_Base_Indice'!$G15="","",'03_Base_Indice'!$G15)</f>
        <v>+</v>
      </c>
      <c r="K15" s="31">
        <f>IF($D15="","",IF('04_Dados_Ajustados'!K15="","",IF('03_Base_Indice'!$G15="+",MIN('01_Criterios'!$C$10,MAX('01_Criterios'!$C$9,'01_Criterios'!$C$9+('01_Criterios'!$C$10-'01_Criterios'!$C$9)*('04_Dados_Ajustados'!K15-'03_Base_Indice'!$H15)/('03_Base_Indice'!$I15-'03_Base_Indice'!$H15))),MIN('01_Criterios'!$C$10,MAX('01_Criterios'!$C$9,'01_Criterios'!$C$9+('01_Criterios'!$C$10-'01_Criterios'!$C$9)*('03_Base_Indice'!$I15-'04_Dados_Ajustados'!K15)/('03_Base_Indice'!$I15-'03_Base_Indice'!$H15))))))</f>
        <v>43.052710843660009</v>
      </c>
      <c r="L15" s="31">
        <f>IF($D15="","",IF('04_Dados_Ajustados'!L15="","",IF('03_Base_Indice'!$G15="+",MIN('01_Criterios'!$C$10,MAX('01_Criterios'!$C$9,'01_Criterios'!$C$9+('01_Criterios'!$C$10-'01_Criterios'!$C$9)*('04_Dados_Ajustados'!L15-'03_Base_Indice'!$H15)/('03_Base_Indice'!$I15-'03_Base_Indice'!$H15))),MIN('01_Criterios'!$C$10,MAX('01_Criterios'!$C$9,'01_Criterios'!$C$9+('01_Criterios'!$C$10-'01_Criterios'!$C$9)*('03_Base_Indice'!$I15-'04_Dados_Ajustados'!L15)/('03_Base_Indice'!$I15-'03_Base_Indice'!$H15))))))</f>
        <v>39.067692180778863</v>
      </c>
      <c r="M15" s="31">
        <f>IF($D15="","",IF('04_Dados_Ajustados'!M15="","",IF('03_Base_Indice'!$G15="+",MIN('01_Criterios'!$C$10,MAX('01_Criterios'!$C$9,'01_Criterios'!$C$9+('01_Criterios'!$C$10-'01_Criterios'!$C$9)*('04_Dados_Ajustados'!M15-'03_Base_Indice'!$H15)/('03_Base_Indice'!$I15-'03_Base_Indice'!$H15))),MIN('01_Criterios'!$C$10,MAX('01_Criterios'!$C$9,'01_Criterios'!$C$9+('01_Criterios'!$C$10-'01_Criterios'!$C$9)*('03_Base_Indice'!$I15-'04_Dados_Ajustados'!M15)/('03_Base_Indice'!$I15-'03_Base_Indice'!$H15))))))</f>
        <v>39.341245372155697</v>
      </c>
      <c r="N15" s="31">
        <f>IF($D15="","",IF('04_Dados_Ajustados'!N15="","",IF('03_Base_Indice'!$G15="+",MIN('01_Criterios'!$C$10,MAX('01_Criterios'!$C$9,'01_Criterios'!$C$9+('01_Criterios'!$C$10-'01_Criterios'!$C$9)*('04_Dados_Ajustados'!N15-'03_Base_Indice'!$H15)/('03_Base_Indice'!$I15-'03_Base_Indice'!$H15))),MIN('01_Criterios'!$C$10,MAX('01_Criterios'!$C$9,'01_Criterios'!$C$9+('01_Criterios'!$C$10-'01_Criterios'!$C$9)*('03_Base_Indice'!$I15-'04_Dados_Ajustados'!N15)/('03_Base_Indice'!$I15-'03_Base_Indice'!$H15))))))</f>
        <v>37.973209825535378</v>
      </c>
      <c r="O15" s="31">
        <f>IF($D15="","",IF('04_Dados_Ajustados'!O15="","",IF('03_Base_Indice'!$G15="+",MIN('01_Criterios'!$C$10,MAX('01_Criterios'!$C$9,'01_Criterios'!$C$9+('01_Criterios'!$C$10-'01_Criterios'!$C$9)*('04_Dados_Ajustados'!O15-'03_Base_Indice'!$H15)/('03_Base_Indice'!$I15-'03_Base_Indice'!$H15))),MIN('01_Criterios'!$C$10,MAX('01_Criterios'!$C$9,'01_Criterios'!$C$9+('01_Criterios'!$C$10-'01_Criterios'!$C$9)*('03_Base_Indice'!$I15-'04_Dados_Ajustados'!O15)/('03_Base_Indice'!$I15-'03_Base_Indice'!$H15))))))</f>
        <v>35.779063420226521</v>
      </c>
      <c r="P15" s="31">
        <f>IF($D15="","",IF('04_Dados_Ajustados'!P15="","",IF('03_Base_Indice'!$G15="+",MIN('01_Criterios'!$C$10,MAX('01_Criterios'!$C$9,'01_Criterios'!$C$9+('01_Criterios'!$C$10-'01_Criterios'!$C$9)*('04_Dados_Ajustados'!P15-'03_Base_Indice'!$H15)/('03_Base_Indice'!$I15-'03_Base_Indice'!$H15))),MIN('01_Criterios'!$C$10,MAX('01_Criterios'!$C$9,'01_Criterios'!$C$9+('01_Criterios'!$C$10-'01_Criterios'!$C$9)*('03_Base_Indice'!$I15-'04_Dados_Ajustados'!P15)/('03_Base_Indice'!$I15-'03_Base_Indice'!$H15))))))</f>
        <v>18.906034867999718</v>
      </c>
      <c r="Q15" s="31">
        <f>IF($D15="","",IF('04_Dados_Ajustados'!Q15="","",IF('03_Base_Indice'!$G15="+",MIN('01_Criterios'!$C$10,MAX('01_Criterios'!$C$9,'01_Criterios'!$C$9+('01_Criterios'!$C$10-'01_Criterios'!$C$9)*('04_Dados_Ajustados'!Q15-'03_Base_Indice'!$H15)/('03_Base_Indice'!$I15-'03_Base_Indice'!$H15))),MIN('01_Criterios'!$C$10,MAX('01_Criterios'!$C$9,'01_Criterios'!$C$9+('01_Criterios'!$C$10-'01_Criterios'!$C$9)*('03_Base_Indice'!$I15-'04_Dados_Ajustados'!Q15)/('03_Base_Indice'!$I15-'03_Base_Indice'!$H15))))))</f>
        <v>44.362334797792585</v>
      </c>
      <c r="R15" s="31">
        <f>IF($D15="","",IF('04_Dados_Ajustados'!R15="","",IF('03_Base_Indice'!$G15="+",MIN('01_Criterios'!$C$10,MAX('01_Criterios'!$C$9,'01_Criterios'!$C$9+('01_Criterios'!$C$10-'01_Criterios'!$C$9)*('04_Dados_Ajustados'!R15-'03_Base_Indice'!$H15)/('03_Base_Indice'!$I15-'03_Base_Indice'!$H15))),MIN('01_Criterios'!$C$10,MAX('01_Criterios'!$C$9,'01_Criterios'!$C$9+('01_Criterios'!$C$10-'01_Criterios'!$C$9)*('03_Base_Indice'!$I15-'04_Dados_Ajustados'!R15)/('03_Base_Indice'!$I15-'03_Base_Indice'!$H15))))))</f>
        <v>54.229968267026663</v>
      </c>
      <c r="S15" s="31">
        <f>IF($D15="","",IF('04_Dados_Ajustados'!S15="","",IF('03_Base_Indice'!$G15="+",MIN('01_Criterios'!$C$10,MAX('01_Criterios'!$C$9,'01_Criterios'!$C$9+('01_Criterios'!$C$10-'01_Criterios'!$C$9)*('04_Dados_Ajustados'!S15-'03_Base_Indice'!$H15)/('03_Base_Indice'!$I15-'03_Base_Indice'!$H15))),MIN('01_Criterios'!$C$10,MAX('01_Criterios'!$C$9,'01_Criterios'!$C$9+('01_Criterios'!$C$10-'01_Criterios'!$C$9)*('03_Base_Indice'!$I15-'04_Dados_Ajustados'!S15)/('03_Base_Indice'!$I15-'03_Base_Indice'!$H15))))))</f>
        <v>45.280663483241263</v>
      </c>
      <c r="T15" s="31">
        <f>IF($D15="","",IF('04_Dados_Ajustados'!T15="","",IF('03_Base_Indice'!$G15="+",MIN('01_Criterios'!$C$10,MAX('01_Criterios'!$C$9,'01_Criterios'!$C$9+('01_Criterios'!$C$10-'01_Criterios'!$C$9)*('04_Dados_Ajustados'!T15-'03_Base_Indice'!$H15)/('03_Base_Indice'!$I15-'03_Base_Indice'!$H15))),MIN('01_Criterios'!$C$10,MAX('01_Criterios'!$C$9,'01_Criterios'!$C$9+('01_Criterios'!$C$10-'01_Criterios'!$C$9)*('03_Base_Indice'!$I15-'04_Dados_Ajustados'!T15)/('03_Base_Indice'!$I15-'03_Base_Indice'!$H15))))))</f>
        <v>59.810714417038241</v>
      </c>
      <c r="U15" s="31">
        <f>IF($D15="","",IF('04_Dados_Ajustados'!U15="","",IF('03_Base_Indice'!$G15="+",MIN('01_Criterios'!$C$10,MAX('01_Criterios'!$C$9,'01_Criterios'!$C$9+('01_Criterios'!$C$10-'01_Criterios'!$C$9)*('04_Dados_Ajustados'!U15-'03_Base_Indice'!$H15)/('03_Base_Indice'!$I15-'03_Base_Indice'!$H15))),MIN('01_Criterios'!$C$10,MAX('01_Criterios'!$C$9,'01_Criterios'!$C$9+('01_Criterios'!$C$10-'01_Criterios'!$C$9)*('03_Base_Indice'!$I15-'04_Dados_Ajustados'!U15)/('03_Base_Indice'!$I15-'03_Base_Indice'!$H15))))))</f>
        <v>52.534141698000333</v>
      </c>
    </row>
    <row r="16" spans="1:21">
      <c r="A16" s="6" t="str">
        <f>IF('03_Base_Indice'!$A16="","",'03_Base_Indice'!$A16)</f>
        <v>2. Estabilidade Macroeconómica</v>
      </c>
      <c r="B16" s="6">
        <f>'03_Base_Indice'!$B16</f>
        <v>2</v>
      </c>
      <c r="D16" s="6" t="str">
        <f>IF('03_Base_Indice'!$D16="","",'03_Base_Indice'!$D16)</f>
        <v>MAC002</v>
      </c>
      <c r="E16" s="6" t="str">
        <f>IF('03_Base_Indice'!$E16="","",'03_Base_Indice'!$E16)</f>
        <v>PIB per Capita (USD)</v>
      </c>
      <c r="G16" s="20" t="str">
        <f>IF('03_Base_Indice'!$G16="","",'03_Base_Indice'!$G16)</f>
        <v>+</v>
      </c>
      <c r="K16" s="31">
        <f>IF($D16="","",IF('04_Dados_Ajustados'!K16="","",IF('03_Base_Indice'!$G16="+",MIN('01_Criterios'!$C$10,MAX('01_Criterios'!$C$9,'01_Criterios'!$C$9+('01_Criterios'!$C$10-'01_Criterios'!$C$9)*('04_Dados_Ajustados'!K16-'03_Base_Indice'!$H16)/('03_Base_Indice'!$I16-'03_Base_Indice'!$H16))),MIN('01_Criterios'!$C$10,MAX('01_Criterios'!$C$9,'01_Criterios'!$C$9+('01_Criterios'!$C$10-'01_Criterios'!$C$9)*('03_Base_Indice'!$I16-'04_Dados_Ajustados'!K16)/('03_Base_Indice'!$I16-'03_Base_Indice'!$H16))))))</f>
        <v>21.667096132431226</v>
      </c>
      <c r="L16" s="31">
        <f>IF($D16="","",IF('04_Dados_Ajustados'!L16="","",IF('03_Base_Indice'!$G16="+",MIN('01_Criterios'!$C$10,MAX('01_Criterios'!$C$9,'01_Criterios'!$C$9+('01_Criterios'!$C$10-'01_Criterios'!$C$9)*('04_Dados_Ajustados'!L16-'03_Base_Indice'!$H16)/('03_Base_Indice'!$I16-'03_Base_Indice'!$H16))),MIN('01_Criterios'!$C$10,MAX('01_Criterios'!$C$9,'01_Criterios'!$C$9+('01_Criterios'!$C$10-'01_Criterios'!$C$9)*('03_Base_Indice'!$I16-'04_Dados_Ajustados'!L16)/('03_Base_Indice'!$I16-'03_Base_Indice'!$H16))))))</f>
        <v>10.912920247910661</v>
      </c>
      <c r="M16" s="31">
        <f>IF($D16="","",IF('04_Dados_Ajustados'!M16="","",IF('03_Base_Indice'!$G16="+",MIN('01_Criterios'!$C$10,MAX('01_Criterios'!$C$9,'01_Criterios'!$C$9+('01_Criterios'!$C$10-'01_Criterios'!$C$9)*('04_Dados_Ajustados'!M16-'03_Base_Indice'!$H16)/('03_Base_Indice'!$I16-'03_Base_Indice'!$H16))),MIN('01_Criterios'!$C$10,MAX('01_Criterios'!$C$9,'01_Criterios'!$C$9+('01_Criterios'!$C$10-'01_Criterios'!$C$9)*('03_Base_Indice'!$I16-'04_Dados_Ajustados'!M16)/('03_Base_Indice'!$I16-'03_Base_Indice'!$H16))))))</f>
        <v>16.083792962104269</v>
      </c>
      <c r="N16" s="31">
        <f>IF($D16="","",IF('04_Dados_Ajustados'!N16="","",IF('03_Base_Indice'!$G16="+",MIN('01_Criterios'!$C$10,MAX('01_Criterios'!$C$9,'01_Criterios'!$C$9+('01_Criterios'!$C$10-'01_Criterios'!$C$9)*('04_Dados_Ajustados'!N16-'03_Base_Indice'!$H16)/('03_Base_Indice'!$I16-'03_Base_Indice'!$H16))),MIN('01_Criterios'!$C$10,MAX('01_Criterios'!$C$9,'01_Criterios'!$C$9+('01_Criterios'!$C$10-'01_Criterios'!$C$9)*('03_Base_Indice'!$I16-'04_Dados_Ajustados'!N16)/('03_Base_Indice'!$I16-'03_Base_Indice'!$H16))))))</f>
        <v>16.495381543361834</v>
      </c>
      <c r="O16" s="31">
        <f>IF($D16="","",IF('04_Dados_Ajustados'!O16="","",IF('03_Base_Indice'!$G16="+",MIN('01_Criterios'!$C$10,MAX('01_Criterios'!$C$9,'01_Criterios'!$C$9+('01_Criterios'!$C$10-'01_Criterios'!$C$9)*('04_Dados_Ajustados'!O16-'03_Base_Indice'!$H16)/('03_Base_Indice'!$I16-'03_Base_Indice'!$H16))),MIN('01_Criterios'!$C$10,MAX('01_Criterios'!$C$9,'01_Criterios'!$C$9+('01_Criterios'!$C$10-'01_Criterios'!$C$9)*('03_Base_Indice'!$I16-'04_Dados_Ajustados'!O16)/('03_Base_Indice'!$I16-'03_Base_Indice'!$H16))))))</f>
        <v>13.847366014733947</v>
      </c>
      <c r="P16" s="31">
        <f>IF($D16="","",IF('04_Dados_Ajustados'!P16="","",IF('03_Base_Indice'!$G16="+",MIN('01_Criterios'!$C$10,MAX('01_Criterios'!$C$9,'01_Criterios'!$C$9+('01_Criterios'!$C$10-'01_Criterios'!$C$9)*('04_Dados_Ajustados'!P16-'03_Base_Indice'!$H16)/('03_Base_Indice'!$I16-'03_Base_Indice'!$H16))),MIN('01_Criterios'!$C$10,MAX('01_Criterios'!$C$9,'01_Criterios'!$C$9+('01_Criterios'!$C$10-'01_Criterios'!$C$9)*('03_Base_Indice'!$I16-'04_Dados_Ajustados'!P16)/('03_Base_Indice'!$I16-'03_Base_Indice'!$H16))))))</f>
        <v>8.6150309230910622</v>
      </c>
      <c r="Q16" s="31">
        <f>IF($D16="","",IF('04_Dados_Ajustados'!Q16="","",IF('03_Base_Indice'!$G16="+",MIN('01_Criterios'!$C$10,MAX('01_Criterios'!$C$9,'01_Criterios'!$C$9+('01_Criterios'!$C$10-'01_Criterios'!$C$9)*('04_Dados_Ajustados'!Q16-'03_Base_Indice'!$H16)/('03_Base_Indice'!$I16-'03_Base_Indice'!$H16))),MIN('01_Criterios'!$C$10,MAX('01_Criterios'!$C$9,'01_Criterios'!$C$9+('01_Criterios'!$C$10-'01_Criterios'!$C$9)*('03_Base_Indice'!$I16-'04_Dados_Ajustados'!Q16)/('03_Base_Indice'!$I16-'03_Base_Indice'!$H16))))))</f>
        <v>12.185988611143708</v>
      </c>
      <c r="R16" s="31">
        <f>IF($D16="","",IF('04_Dados_Ajustados'!R16="","",IF('03_Base_Indice'!$G16="+",MIN('01_Criterios'!$C$10,MAX('01_Criterios'!$C$9,'01_Criterios'!$C$9+('01_Criterios'!$C$10-'01_Criterios'!$C$9)*('04_Dados_Ajustados'!R16-'03_Base_Indice'!$H16)/('03_Base_Indice'!$I16-'03_Base_Indice'!$H16))),MIN('01_Criterios'!$C$10,MAX('01_Criterios'!$C$9,'01_Criterios'!$C$9+('01_Criterios'!$C$10-'01_Criterios'!$C$9)*('03_Base_Indice'!$I16-'04_Dados_Ajustados'!R16)/('03_Base_Indice'!$I16-'03_Base_Indice'!$H16))))))</f>
        <v>21.369218557058016</v>
      </c>
      <c r="S16" s="31">
        <f>IF($D16="","",IF('04_Dados_Ajustados'!S16="","",IF('03_Base_Indice'!$G16="+",MIN('01_Criterios'!$C$10,MAX('01_Criterios'!$C$9,'01_Criterios'!$C$9+('01_Criterios'!$C$10-'01_Criterios'!$C$9)*('04_Dados_Ajustados'!S16-'03_Base_Indice'!$H16)/('03_Base_Indice'!$I16-'03_Base_Indice'!$H16))),MIN('01_Criterios'!$C$10,MAX('01_Criterios'!$C$9,'01_Criterios'!$C$9+('01_Criterios'!$C$10-'01_Criterios'!$C$9)*('03_Base_Indice'!$I16-'04_Dados_Ajustados'!S16)/('03_Base_Indice'!$I16-'03_Base_Indice'!$H16))))))</f>
        <v>16.451817181434926</v>
      </c>
      <c r="T16" s="31">
        <f>IF($D16="","",IF('04_Dados_Ajustados'!T16="","",IF('03_Base_Indice'!$G16="+",MIN('01_Criterios'!$C$10,MAX('01_Criterios'!$C$9,'01_Criterios'!$C$9+('01_Criterios'!$C$10-'01_Criterios'!$C$9)*('04_Dados_Ajustados'!T16-'03_Base_Indice'!$H16)/('03_Base_Indice'!$I16-'03_Base_Indice'!$H16))),MIN('01_Criterios'!$C$10,MAX('01_Criterios'!$C$9,'01_Criterios'!$C$9+('01_Criterios'!$C$10-'01_Criterios'!$C$9)*('03_Base_Indice'!$I16-'04_Dados_Ajustados'!T16)/('03_Base_Indice'!$I16-'03_Base_Indice'!$H16))))))</f>
        <v>15.315993149635542</v>
      </c>
      <c r="U16" s="31">
        <f>IF($D16="","",IF('04_Dados_Ajustados'!U16="","",IF('03_Base_Indice'!$G16="+",MIN('01_Criterios'!$C$10,MAX('01_Criterios'!$C$9,'01_Criterios'!$C$9+('01_Criterios'!$C$10-'01_Criterios'!$C$9)*('04_Dados_Ajustados'!U16-'03_Base_Indice'!$H16)/('03_Base_Indice'!$I16-'03_Base_Indice'!$H16))),MIN('01_Criterios'!$C$10,MAX('01_Criterios'!$C$9,'01_Criterios'!$C$9+('01_Criterios'!$C$10-'01_Criterios'!$C$9)*('03_Base_Indice'!$I16-'04_Dados_Ajustados'!U16)/('03_Base_Indice'!$I16-'03_Base_Indice'!$H16))))))</f>
        <v>18.13432154007328</v>
      </c>
    </row>
    <row r="17" spans="1:21">
      <c r="A17" s="6" t="str">
        <f>IF('03_Base_Indice'!$A17="","",'03_Base_Indice'!$A17)</f>
        <v>2. Estabilidade Macroeconómica</v>
      </c>
      <c r="B17" s="6">
        <f>'03_Base_Indice'!$B17</f>
        <v>3</v>
      </c>
      <c r="D17" s="6" t="str">
        <f>IF('03_Base_Indice'!$D17="","",'03_Base_Indice'!$D17)</f>
        <v>MAC003</v>
      </c>
      <c r="E17" s="6" t="str">
        <f>IF('03_Base_Indice'!$E17="","",'03_Base_Indice'!$E17)</f>
        <v>Inflação (IPC)</v>
      </c>
      <c r="G17" s="20" t="str">
        <f>IF('03_Base_Indice'!$G17="","",'03_Base_Indice'!$G17)</f>
        <v>-</v>
      </c>
      <c r="K17" s="31">
        <f>IF($D17="","",IF('04_Dados_Ajustados'!K17="","",IF('03_Base_Indice'!$G17="+",MIN('01_Criterios'!$C$10,MAX('01_Criterios'!$C$9,'01_Criterios'!$C$9+('01_Criterios'!$C$10-'01_Criterios'!$C$9)*('04_Dados_Ajustados'!K17-'03_Base_Indice'!$H17)/('03_Base_Indice'!$I17-'03_Base_Indice'!$H17))),MIN('01_Criterios'!$C$10,MAX('01_Criterios'!$C$9,'01_Criterios'!$C$9+('01_Criterios'!$C$10-'01_Criterios'!$C$9)*('03_Base_Indice'!$I17-'04_Dados_Ajustados'!K17)/('03_Base_Indice'!$I17-'03_Base_Indice'!$H17))))))</f>
        <v>81.288055689324324</v>
      </c>
      <c r="L17" s="31">
        <f>IF($D17="","",IF('04_Dados_Ajustados'!L17="","",IF('03_Base_Indice'!$G17="+",MIN('01_Criterios'!$C$10,MAX('01_Criterios'!$C$9,'01_Criterios'!$C$9+('01_Criterios'!$C$10-'01_Criterios'!$C$9)*('04_Dados_Ajustados'!L17-'03_Base_Indice'!$H17)/('03_Base_Indice'!$I17-'03_Base_Indice'!$H17))),MIN('01_Criterios'!$C$10,MAX('01_Criterios'!$C$9,'01_Criterios'!$C$9+('01_Criterios'!$C$10-'01_Criterios'!$C$9)*('03_Base_Indice'!$I17-'04_Dados_Ajustados'!L17)/('03_Base_Indice'!$I17-'03_Base_Indice'!$H17))))))</f>
        <v>38.611169838656181</v>
      </c>
      <c r="M17" s="31">
        <f>IF($D17="","",IF('04_Dados_Ajustados'!M17="","",IF('03_Base_Indice'!$G17="+",MIN('01_Criterios'!$C$10,MAX('01_Criterios'!$C$9,'01_Criterios'!$C$9+('01_Criterios'!$C$10-'01_Criterios'!$C$9)*('04_Dados_Ajustados'!M17-'03_Base_Indice'!$H17)/('03_Base_Indice'!$I17-'03_Base_Indice'!$H17))),MIN('01_Criterios'!$C$10,MAX('01_Criterios'!$C$9,'01_Criterios'!$C$9+('01_Criterios'!$C$10-'01_Criterios'!$C$9)*('03_Base_Indice'!$I17-'04_Dados_Ajustados'!M17)/('03_Base_Indice'!$I17-'03_Base_Indice'!$H17))))))</f>
        <v>40.311040196864141</v>
      </c>
      <c r="N17" s="31">
        <f>IF($D17="","",IF('04_Dados_Ajustados'!N17="","",IF('03_Base_Indice'!$G17="+",MIN('01_Criterios'!$C$10,MAX('01_Criterios'!$C$9,'01_Criterios'!$C$9+('01_Criterios'!$C$10-'01_Criterios'!$C$9)*('04_Dados_Ajustados'!N17-'03_Base_Indice'!$H17)/('03_Base_Indice'!$I17-'03_Base_Indice'!$H17))),MIN('01_Criterios'!$C$10,MAX('01_Criterios'!$C$9,'01_Criterios'!$C$9+('01_Criterios'!$C$10-'01_Criterios'!$C$9)*('03_Base_Indice'!$I17-'04_Dados_Ajustados'!N17)/('03_Base_Indice'!$I17-'03_Base_Indice'!$H17))))))</f>
        <v>60.74212405969584</v>
      </c>
      <c r="O17" s="31">
        <f>IF($D17="","",IF('04_Dados_Ajustados'!O17="","",IF('03_Base_Indice'!$G17="+",MIN('01_Criterios'!$C$10,MAX('01_Criterios'!$C$9,'01_Criterios'!$C$9+('01_Criterios'!$C$10-'01_Criterios'!$C$9)*('04_Dados_Ajustados'!O17-'03_Base_Indice'!$H17)/('03_Base_Indice'!$I17-'03_Base_Indice'!$H17))),MIN('01_Criterios'!$C$10,MAX('01_Criterios'!$C$9,'01_Criterios'!$C$9+('01_Criterios'!$C$10-'01_Criterios'!$C$9)*('03_Base_Indice'!$I17-'04_Dados_Ajustados'!O17)/('03_Base_Indice'!$I17-'03_Base_Indice'!$H17))))))</f>
        <v>65.83809171312393</v>
      </c>
      <c r="P17" s="31">
        <f>IF($D17="","",IF('04_Dados_Ajustados'!P17="","",IF('03_Base_Indice'!$G17="+",MIN('01_Criterios'!$C$10,MAX('01_Criterios'!$C$9,'01_Criterios'!$C$9+('01_Criterios'!$C$10-'01_Criterios'!$C$9)*('04_Dados_Ajustados'!P17-'03_Base_Indice'!$H17)/('03_Base_Indice'!$I17-'03_Base_Indice'!$H17))),MIN('01_Criterios'!$C$10,MAX('01_Criterios'!$C$9,'01_Criterios'!$C$9+('01_Criterios'!$C$10-'01_Criterios'!$C$9)*('03_Base_Indice'!$I17-'04_Dados_Ajustados'!P17)/('03_Base_Indice'!$I17-'03_Base_Indice'!$H17))))))</f>
        <v>55.456921505898066</v>
      </c>
      <c r="Q17" s="31">
        <f>IF($D17="","",IF('04_Dados_Ajustados'!Q17="","",IF('03_Base_Indice'!$G17="+",MIN('01_Criterios'!$C$10,MAX('01_Criterios'!$C$9,'01_Criterios'!$C$9+('01_Criterios'!$C$10-'01_Criterios'!$C$9)*('04_Dados_Ajustados'!Q17-'03_Base_Indice'!$H17)/('03_Base_Indice'!$I17-'03_Base_Indice'!$H17))),MIN('01_Criterios'!$C$10,MAX('01_Criterios'!$C$9,'01_Criterios'!$C$9+('01_Criterios'!$C$10-'01_Criterios'!$C$9)*('03_Base_Indice'!$I17-'04_Dados_Ajustados'!Q17)/('03_Base_Indice'!$I17-'03_Base_Indice'!$H17))))))</f>
        <v>48.491410231621877</v>
      </c>
      <c r="R17" s="31">
        <f>IF($D17="","",IF('04_Dados_Ajustados'!R17="","",IF('03_Base_Indice'!$G17="+",MIN('01_Criterios'!$C$10,MAX('01_Criterios'!$C$9,'01_Criterios'!$C$9+('01_Criterios'!$C$10-'01_Criterios'!$C$9)*('04_Dados_Ajustados'!R17-'03_Base_Indice'!$H17)/('03_Base_Indice'!$I17-'03_Base_Indice'!$H17))),MIN('01_Criterios'!$C$10,MAX('01_Criterios'!$C$9,'01_Criterios'!$C$9+('01_Criterios'!$C$10-'01_Criterios'!$C$9)*('03_Base_Indice'!$I17-'04_Dados_Ajustados'!R17)/('03_Base_Indice'!$I17-'03_Base_Indice'!$H17))))))</f>
        <v>57.289419735835551</v>
      </c>
      <c r="S17" s="31">
        <f>IF($D17="","",IF('04_Dados_Ajustados'!S17="","",IF('03_Base_Indice'!$G17="+",MIN('01_Criterios'!$C$10,MAX('01_Criterios'!$C$9,'01_Criterios'!$C$9+('01_Criterios'!$C$10-'01_Criterios'!$C$9)*('04_Dados_Ajustados'!S17-'03_Base_Indice'!$H17)/('03_Base_Indice'!$I17-'03_Base_Indice'!$H17))),MIN('01_Criterios'!$C$10,MAX('01_Criterios'!$C$9,'01_Criterios'!$C$9+('01_Criterios'!$C$10-'01_Criterios'!$C$9)*('03_Base_Indice'!$I17-'04_Dados_Ajustados'!S17)/('03_Base_Indice'!$I17-'03_Base_Indice'!$H17))))))</f>
        <v>72.711796446457043</v>
      </c>
      <c r="T17" s="31">
        <f>IF($D17="","",IF('04_Dados_Ajustados'!T17="","",IF('03_Base_Indice'!$G17="+",MIN('01_Criterios'!$C$10,MAX('01_Criterios'!$C$9,'01_Criterios'!$C$9+('01_Criterios'!$C$10-'01_Criterios'!$C$9)*('04_Dados_Ajustados'!T17-'03_Base_Indice'!$H17)/('03_Base_Indice'!$I17-'03_Base_Indice'!$H17))),MIN('01_Criterios'!$C$10,MAX('01_Criterios'!$C$9,'01_Criterios'!$C$9+('01_Criterios'!$C$10-'01_Criterios'!$C$9)*('03_Base_Indice'!$I17-'04_Dados_Ajustados'!T17)/('03_Base_Indice'!$I17-'03_Base_Indice'!$H17))))))</f>
        <v>43.51901021684553</v>
      </c>
      <c r="U17" s="31">
        <f>IF($D17="","",IF('04_Dados_Ajustados'!U17="","",IF('03_Base_Indice'!$G17="+",MIN('01_Criterios'!$C$10,MAX('01_Criterios'!$C$9,'01_Criterios'!$C$9+('01_Criterios'!$C$10-'01_Criterios'!$C$9)*('04_Dados_Ajustados'!U17-'03_Base_Indice'!$H17)/('03_Base_Indice'!$I17-'03_Base_Indice'!$H17))),MIN('01_Criterios'!$C$10,MAX('01_Criterios'!$C$9,'01_Criterios'!$C$9+('01_Criterios'!$C$10-'01_Criterios'!$C$9)*('03_Base_Indice'!$I17-'04_Dados_Ajustados'!U17)/('03_Base_Indice'!$I17-'03_Base_Indice'!$H17))))))</f>
        <v>59.675960485533757</v>
      </c>
    </row>
    <row r="18" spans="1:21">
      <c r="A18" s="6" t="str">
        <f>IF('03_Base_Indice'!$A18="","",'03_Base_Indice'!$A18)</f>
        <v>2. Estabilidade Macroeconómica</v>
      </c>
      <c r="B18" s="6">
        <f>'03_Base_Indice'!$B18</f>
        <v>4</v>
      </c>
      <c r="D18" s="6" t="str">
        <f>IF('03_Base_Indice'!$D18="","",'03_Base_Indice'!$D18)</f>
        <v>MAC004</v>
      </c>
      <c r="E18" s="6" t="str">
        <f>IF('03_Base_Indice'!$E18="","",'03_Base_Indice'!$E18)</f>
        <v>Dívida Pública (% do PIB)</v>
      </c>
      <c r="G18" s="20" t="str">
        <f>IF('03_Base_Indice'!$G18="","",'03_Base_Indice'!$G18)</f>
        <v>-</v>
      </c>
      <c r="K18" s="31">
        <f>IF($D18="","",IF('04_Dados_Ajustados'!K18="","",IF('03_Base_Indice'!$G18="+",MIN('01_Criterios'!$C$10,MAX('01_Criterios'!$C$9,'01_Criterios'!$C$9+('01_Criterios'!$C$10-'01_Criterios'!$C$9)*('04_Dados_Ajustados'!K18-'03_Base_Indice'!$H18)/('03_Base_Indice'!$I18-'03_Base_Indice'!$H18))),MIN('01_Criterios'!$C$10,MAX('01_Criterios'!$C$9,'01_Criterios'!$C$9+('01_Criterios'!$C$10-'01_Criterios'!$C$9)*('03_Base_Indice'!$I18-'04_Dados_Ajustados'!K18)/('03_Base_Indice'!$I18-'03_Base_Indice'!$H18))))))</f>
        <v>66.666666666666671</v>
      </c>
      <c r="L18" s="31">
        <f>IF($D18="","",IF('04_Dados_Ajustados'!L18="","",IF('03_Base_Indice'!$G18="+",MIN('01_Criterios'!$C$10,MAX('01_Criterios'!$C$9,'01_Criterios'!$C$9+('01_Criterios'!$C$10-'01_Criterios'!$C$9)*('04_Dados_Ajustados'!L18-'03_Base_Indice'!$H18)/('03_Base_Indice'!$I18-'03_Base_Indice'!$H18))),MIN('01_Criterios'!$C$10,MAX('01_Criterios'!$C$9,'01_Criterios'!$C$9+('01_Criterios'!$C$10-'01_Criterios'!$C$9)*('03_Base_Indice'!$I18-'04_Dados_Ajustados'!L18)/('03_Base_Indice'!$I18-'03_Base_Indice'!$H18))))))</f>
        <v>55.333333333333336</v>
      </c>
      <c r="M18" s="31">
        <f>IF($D18="","",IF('04_Dados_Ajustados'!M18="","",IF('03_Base_Indice'!$G18="+",MIN('01_Criterios'!$C$10,MAX('01_Criterios'!$C$9,'01_Criterios'!$C$9+('01_Criterios'!$C$10-'01_Criterios'!$C$9)*('04_Dados_Ajustados'!M18-'03_Base_Indice'!$H18)/('03_Base_Indice'!$I18-'03_Base_Indice'!$H18))),MIN('01_Criterios'!$C$10,MAX('01_Criterios'!$C$9,'01_Criterios'!$C$9+('01_Criterios'!$C$10-'01_Criterios'!$C$9)*('03_Base_Indice'!$I18-'04_Dados_Ajustados'!M18)/('03_Base_Indice'!$I18-'03_Base_Indice'!$H18))))))</f>
        <v>60</v>
      </c>
      <c r="N18" s="31">
        <f>IF($D18="","",IF('04_Dados_Ajustados'!N18="","",IF('03_Base_Indice'!$G18="+",MIN('01_Criterios'!$C$10,MAX('01_Criterios'!$C$9,'01_Criterios'!$C$9+('01_Criterios'!$C$10-'01_Criterios'!$C$9)*('04_Dados_Ajustados'!N18-'03_Base_Indice'!$H18)/('03_Base_Indice'!$I18-'03_Base_Indice'!$H18))),MIN('01_Criterios'!$C$10,MAX('01_Criterios'!$C$9,'01_Criterios'!$C$9+('01_Criterios'!$C$10-'01_Criterios'!$C$9)*('03_Base_Indice'!$I18-'04_Dados_Ajustados'!N18)/('03_Base_Indice'!$I18-'03_Base_Indice'!$H18))))))</f>
        <v>44.666666666666664</v>
      </c>
      <c r="O18" s="31">
        <f>IF($D18="","",IF('04_Dados_Ajustados'!O18="","",IF('03_Base_Indice'!$G18="+",MIN('01_Criterios'!$C$10,MAX('01_Criterios'!$C$9,'01_Criterios'!$C$9+('01_Criterios'!$C$10-'01_Criterios'!$C$9)*('04_Dados_Ajustados'!O18-'03_Base_Indice'!$H18)/('03_Base_Indice'!$I18-'03_Base_Indice'!$H18))),MIN('01_Criterios'!$C$10,MAX('01_Criterios'!$C$9,'01_Criterios'!$C$9+('01_Criterios'!$C$10-'01_Criterios'!$C$9)*('03_Base_Indice'!$I18-'04_Dados_Ajustados'!O18)/('03_Base_Indice'!$I18-'03_Base_Indice'!$H18))))))</f>
        <v>32.666666666666664</v>
      </c>
      <c r="P18" s="31">
        <f>IF($D18="","",IF('04_Dados_Ajustados'!P18="","",IF('03_Base_Indice'!$G18="+",MIN('01_Criterios'!$C$10,MAX('01_Criterios'!$C$9,'01_Criterios'!$C$9+('01_Criterios'!$C$10-'01_Criterios'!$C$9)*('04_Dados_Ajustados'!P18-'03_Base_Indice'!$H18)/('03_Base_Indice'!$I18-'03_Base_Indice'!$H18))),MIN('01_Criterios'!$C$10,MAX('01_Criterios'!$C$9,'01_Criterios'!$C$9+('01_Criterios'!$C$10-'01_Criterios'!$C$9)*('03_Base_Indice'!$I18-'04_Dados_Ajustados'!P18)/('03_Base_Indice'!$I18-'03_Base_Indice'!$H18))))))</f>
        <v>20.666666666666668</v>
      </c>
      <c r="Q18" s="31">
        <f>IF($D18="","",IF('04_Dados_Ajustados'!Q18="","",IF('03_Base_Indice'!$G18="+",MIN('01_Criterios'!$C$10,MAX('01_Criterios'!$C$9,'01_Criterios'!$C$9+('01_Criterios'!$C$10-'01_Criterios'!$C$9)*('04_Dados_Ajustados'!Q18-'03_Base_Indice'!$H18)/('03_Base_Indice'!$I18-'03_Base_Indice'!$H18))),MIN('01_Criterios'!$C$10,MAX('01_Criterios'!$C$9,'01_Criterios'!$C$9+('01_Criterios'!$C$10-'01_Criterios'!$C$9)*('03_Base_Indice'!$I18-'04_Dados_Ajustados'!Q18)/('03_Base_Indice'!$I18-'03_Base_Indice'!$H18))))))</f>
        <v>50.666666666666664</v>
      </c>
      <c r="R18" s="31">
        <f>IF($D18="","",IF('04_Dados_Ajustados'!R18="","",IF('03_Base_Indice'!$G18="+",MIN('01_Criterios'!$C$10,MAX('01_Criterios'!$C$9,'01_Criterios'!$C$9+('01_Criterios'!$C$10-'01_Criterios'!$C$9)*('04_Dados_Ajustados'!R18-'03_Base_Indice'!$H18)/('03_Base_Indice'!$I18-'03_Base_Indice'!$H18))),MIN('01_Criterios'!$C$10,MAX('01_Criterios'!$C$9,'01_Criterios'!$C$9+('01_Criterios'!$C$10-'01_Criterios'!$C$9)*('03_Base_Indice'!$I18-'04_Dados_Ajustados'!R18)/('03_Base_Indice'!$I18-'03_Base_Indice'!$H18))))))</f>
        <v>62.666666666666664</v>
      </c>
      <c r="S18" s="31">
        <f>IF($D18="","",IF('04_Dados_Ajustados'!S18="","",IF('03_Base_Indice'!$G18="+",MIN('01_Criterios'!$C$10,MAX('01_Criterios'!$C$9,'01_Criterios'!$C$9+('01_Criterios'!$C$10-'01_Criterios'!$C$9)*('04_Dados_Ajustados'!S18-'03_Base_Indice'!$H18)/('03_Base_Indice'!$I18-'03_Base_Indice'!$H18))),MIN('01_Criterios'!$C$10,MAX('01_Criterios'!$C$9,'01_Criterios'!$C$9+('01_Criterios'!$C$10-'01_Criterios'!$C$9)*('03_Base_Indice'!$I18-'04_Dados_Ajustados'!S18)/('03_Base_Indice'!$I18-'03_Base_Indice'!$H18))))))</f>
        <v>52</v>
      </c>
      <c r="T18" s="31">
        <f>IF($D18="","",IF('04_Dados_Ajustados'!T18="","",IF('03_Base_Indice'!$G18="+",MIN('01_Criterios'!$C$10,MAX('01_Criterios'!$C$9,'01_Criterios'!$C$9+('01_Criterios'!$C$10-'01_Criterios'!$C$9)*('04_Dados_Ajustados'!T18-'03_Base_Indice'!$H18)/('03_Base_Indice'!$I18-'03_Base_Indice'!$H18))),MIN('01_Criterios'!$C$10,MAX('01_Criterios'!$C$9,'01_Criterios'!$C$9+('01_Criterios'!$C$10-'01_Criterios'!$C$9)*('03_Base_Indice'!$I18-'04_Dados_Ajustados'!T18)/('03_Base_Indice'!$I18-'03_Base_Indice'!$H18))))))</f>
        <v>60</v>
      </c>
      <c r="U18" s="31">
        <f>IF($D18="","",IF('04_Dados_Ajustados'!U18="","",IF('03_Base_Indice'!$G18="+",MIN('01_Criterios'!$C$10,MAX('01_Criterios'!$C$9,'01_Criterios'!$C$9+('01_Criterios'!$C$10-'01_Criterios'!$C$9)*('04_Dados_Ajustados'!U18-'03_Base_Indice'!$H18)/('03_Base_Indice'!$I18-'03_Base_Indice'!$H18))),MIN('01_Criterios'!$C$10,MAX('01_Criterios'!$C$9,'01_Criterios'!$C$9+('01_Criterios'!$C$10-'01_Criterios'!$C$9)*('03_Base_Indice'!$I18-'04_Dados_Ajustados'!U18)/('03_Base_Indice'!$I18-'03_Base_Indice'!$H18))))))</f>
        <v>58</v>
      </c>
    </row>
    <row r="19" spans="1:21">
      <c r="A19" s="6" t="str">
        <f>IF('03_Base_Indice'!$A19="","",'03_Base_Indice'!$A19)</f>
        <v>2. Estabilidade Macroeconómica</v>
      </c>
      <c r="B19" s="6">
        <f>'03_Base_Indice'!$B19</f>
        <v>5</v>
      </c>
      <c r="D19" s="6" t="str">
        <f>IF('03_Base_Indice'!$D19="","",'03_Base_Indice'!$D19)</f>
        <v>MAC005</v>
      </c>
      <c r="E19" s="6" t="str">
        <f>IF('03_Base_Indice'!$E19="","",'03_Base_Indice'!$E19)</f>
        <v>Saldo Orçamental (% do PIB)</v>
      </c>
      <c r="G19" s="20" t="str">
        <f>IF('03_Base_Indice'!$G19="","",'03_Base_Indice'!$G19)</f>
        <v>+</v>
      </c>
      <c r="K19" s="31">
        <f>IF($D19="","",IF('04_Dados_Ajustados'!K19="","",IF('03_Base_Indice'!$G19="+",MIN('01_Criterios'!$C$10,MAX('01_Criterios'!$C$9,'01_Criterios'!$C$9+('01_Criterios'!$C$10-'01_Criterios'!$C$9)*('04_Dados_Ajustados'!K19-'03_Base_Indice'!$H19)/('03_Base_Indice'!$I19-'03_Base_Indice'!$H19))),MIN('01_Criterios'!$C$10,MAX('01_Criterios'!$C$9,'01_Criterios'!$C$9+('01_Criterios'!$C$10-'01_Criterios'!$C$9)*('03_Base_Indice'!$I19-'04_Dados_Ajustados'!K19)/('03_Base_Indice'!$I19-'03_Base_Indice'!$H19))))))</f>
        <v>52</v>
      </c>
      <c r="L19" s="31">
        <f>IF($D19="","",IF('04_Dados_Ajustados'!L19="","",IF('03_Base_Indice'!$G19="+",MIN('01_Criterios'!$C$10,MAX('01_Criterios'!$C$9,'01_Criterios'!$C$9+('01_Criterios'!$C$10-'01_Criterios'!$C$9)*('04_Dados_Ajustados'!L19-'03_Base_Indice'!$H19)/('03_Base_Indice'!$I19-'03_Base_Indice'!$H19))),MIN('01_Criterios'!$C$10,MAX('01_Criterios'!$C$9,'01_Criterios'!$C$9+('01_Criterios'!$C$10-'01_Criterios'!$C$9)*('03_Base_Indice'!$I19-'04_Dados_Ajustados'!L19)/('03_Base_Indice'!$I19-'03_Base_Indice'!$H19))))))</f>
        <v>48</v>
      </c>
      <c r="M19" s="31">
        <f>IF($D19="","",IF('04_Dados_Ajustados'!M19="","",IF('03_Base_Indice'!$G19="+",MIN('01_Criterios'!$C$10,MAX('01_Criterios'!$C$9,'01_Criterios'!$C$9+('01_Criterios'!$C$10-'01_Criterios'!$C$9)*('04_Dados_Ajustados'!M19-'03_Base_Indice'!$H19)/('03_Base_Indice'!$I19-'03_Base_Indice'!$H19))),MIN('01_Criterios'!$C$10,MAX('01_Criterios'!$C$9,'01_Criterios'!$C$9+('01_Criterios'!$C$10-'01_Criterios'!$C$9)*('03_Base_Indice'!$I19-'04_Dados_Ajustados'!M19)/('03_Base_Indice'!$I19-'03_Base_Indice'!$H19))))))</f>
        <v>66</v>
      </c>
      <c r="N19" s="31">
        <f>IF($D19="","",IF('04_Dados_Ajustados'!N19="","",IF('03_Base_Indice'!$G19="+",MIN('01_Criterios'!$C$10,MAX('01_Criterios'!$C$9,'01_Criterios'!$C$9+('01_Criterios'!$C$10-'01_Criterios'!$C$9)*('04_Dados_Ajustados'!N19-'03_Base_Indice'!$H19)/('03_Base_Indice'!$I19-'03_Base_Indice'!$H19))),MIN('01_Criterios'!$C$10,MAX('01_Criterios'!$C$9,'01_Criterios'!$C$9+('01_Criterios'!$C$10-'01_Criterios'!$C$9)*('03_Base_Indice'!$I19-'04_Dados_Ajustados'!N19)/('03_Base_Indice'!$I19-'03_Base_Indice'!$H19))))))</f>
        <v>58</v>
      </c>
      <c r="O19" s="31">
        <f>IF($D19="","",IF('04_Dados_Ajustados'!O19="","",IF('03_Base_Indice'!$G19="+",MIN('01_Criterios'!$C$10,MAX('01_Criterios'!$C$9,'01_Criterios'!$C$9+('01_Criterios'!$C$10-'01_Criterios'!$C$9)*('04_Dados_Ajustados'!O19-'03_Base_Indice'!$H19)/('03_Base_Indice'!$I19-'03_Base_Indice'!$H19))),MIN('01_Criterios'!$C$10,MAX('01_Criterios'!$C$9,'01_Criterios'!$C$9+('01_Criterios'!$C$10-'01_Criterios'!$C$9)*('03_Base_Indice'!$I19-'04_Dados_Ajustados'!O19)/('03_Base_Indice'!$I19-'03_Base_Indice'!$H19))))))</f>
        <v>62</v>
      </c>
      <c r="P19" s="31">
        <f>IF($D19="","",IF('04_Dados_Ajustados'!P19="","",IF('03_Base_Indice'!$G19="+",MIN('01_Criterios'!$C$10,MAX('01_Criterios'!$C$9,'01_Criterios'!$C$9+('01_Criterios'!$C$10-'01_Criterios'!$C$9)*('04_Dados_Ajustados'!P19-'03_Base_Indice'!$H19)/('03_Base_Indice'!$I19-'03_Base_Indice'!$H19))),MIN('01_Criterios'!$C$10,MAX('01_Criterios'!$C$9,'01_Criterios'!$C$9+('01_Criterios'!$C$10-'01_Criterios'!$C$9)*('03_Base_Indice'!$I19-'04_Dados_Ajustados'!P19)/('03_Base_Indice'!$I19-'03_Base_Indice'!$H19))))))</f>
        <v>40</v>
      </c>
      <c r="Q19" s="31">
        <f>IF($D19="","",IF('04_Dados_Ajustados'!Q19="","",IF('03_Base_Indice'!$G19="+",MIN('01_Criterios'!$C$10,MAX('01_Criterios'!$C$9,'01_Criterios'!$C$9+('01_Criterios'!$C$10-'01_Criterios'!$C$9)*('04_Dados_Ajustados'!Q19-'03_Base_Indice'!$H19)/('03_Base_Indice'!$I19-'03_Base_Indice'!$H19))),MIN('01_Criterios'!$C$10,MAX('01_Criterios'!$C$9,'01_Criterios'!$C$9+('01_Criterios'!$C$10-'01_Criterios'!$C$9)*('03_Base_Indice'!$I19-'04_Dados_Ajustados'!Q19)/('03_Base_Indice'!$I19-'03_Base_Indice'!$H19))))))</f>
        <v>66</v>
      </c>
      <c r="R19" s="31">
        <f>IF($D19="","",IF('04_Dados_Ajustados'!R19="","",IF('03_Base_Indice'!$G19="+",MIN('01_Criterios'!$C$10,MAX('01_Criterios'!$C$9,'01_Criterios'!$C$9+('01_Criterios'!$C$10-'01_Criterios'!$C$9)*('04_Dados_Ajustados'!R19-'03_Base_Indice'!$H19)/('03_Base_Indice'!$I19-'03_Base_Indice'!$H19))),MIN('01_Criterios'!$C$10,MAX('01_Criterios'!$C$9,'01_Criterios'!$C$9+('01_Criterios'!$C$10-'01_Criterios'!$C$9)*('03_Base_Indice'!$I19-'04_Dados_Ajustados'!R19)/('03_Base_Indice'!$I19-'03_Base_Indice'!$H19))))))</f>
        <v>62.8</v>
      </c>
      <c r="S19" s="31">
        <f>IF($D19="","",IF('04_Dados_Ajustados'!S19="","",IF('03_Base_Indice'!$G19="+",MIN('01_Criterios'!$C$10,MAX('01_Criterios'!$C$9,'01_Criterios'!$C$9+('01_Criterios'!$C$10-'01_Criterios'!$C$9)*('04_Dados_Ajustados'!S19-'03_Base_Indice'!$H19)/('03_Base_Indice'!$I19-'03_Base_Indice'!$H19))),MIN('01_Criterios'!$C$10,MAX('01_Criterios'!$C$9,'01_Criterios'!$C$9+('01_Criterios'!$C$10-'01_Criterios'!$C$9)*('03_Base_Indice'!$I19-'04_Dados_Ajustados'!S19)/('03_Base_Indice'!$I19-'03_Base_Indice'!$H19))))))</f>
        <v>52.4</v>
      </c>
      <c r="T19" s="31">
        <f>IF($D19="","",IF('04_Dados_Ajustados'!T19="","",IF('03_Base_Indice'!$G19="+",MIN('01_Criterios'!$C$10,MAX('01_Criterios'!$C$9,'01_Criterios'!$C$9+('01_Criterios'!$C$10-'01_Criterios'!$C$9)*('04_Dados_Ajustados'!T19-'03_Base_Indice'!$H19)/('03_Base_Indice'!$I19-'03_Base_Indice'!$H19))),MIN('01_Criterios'!$C$10,MAX('01_Criterios'!$C$9,'01_Criterios'!$C$9+('01_Criterios'!$C$10-'01_Criterios'!$C$9)*('03_Base_Indice'!$I19-'04_Dados_Ajustados'!T19)/('03_Base_Indice'!$I19-'03_Base_Indice'!$H19))))))</f>
        <v>54</v>
      </c>
      <c r="U19" s="31">
        <f>IF($D19="","",IF('04_Dados_Ajustados'!U19="","",IF('03_Base_Indice'!$G19="+",MIN('01_Criterios'!$C$10,MAX('01_Criterios'!$C$9,'01_Criterios'!$C$9+('01_Criterios'!$C$10-'01_Criterios'!$C$9)*('04_Dados_Ajustados'!U19-'03_Base_Indice'!$H19)/('03_Base_Indice'!$I19-'03_Base_Indice'!$H19))),MIN('01_Criterios'!$C$10,MAX('01_Criterios'!$C$9,'01_Criterios'!$C$9+('01_Criterios'!$C$10-'01_Criterios'!$C$9)*('03_Base_Indice'!$I19-'04_Dados_Ajustados'!U19)/('03_Base_Indice'!$I19-'03_Base_Indice'!$H19))))))</f>
        <v>53.4</v>
      </c>
    </row>
    <row r="20" spans="1:21">
      <c r="A20" s="6" t="str">
        <f>IF('03_Base_Indice'!$A20="","",'03_Base_Indice'!$A20)</f>
        <v>2. Estabilidade Macroeconómica</v>
      </c>
      <c r="B20" s="6">
        <f>'03_Base_Indice'!$B20</f>
        <v>6</v>
      </c>
      <c r="D20" s="6" t="str">
        <f>IF('03_Base_Indice'!$D20="","",'03_Base_Indice'!$D20)</f>
        <v>MAC007</v>
      </c>
      <c r="E20" s="6" t="str">
        <f>IF('03_Base_Indice'!$E20="","",'03_Base_Indice'!$E20)</f>
        <v>Reservas Internacionais (meses)</v>
      </c>
      <c r="G20" s="20" t="str">
        <f>IF('03_Base_Indice'!$G20="","",'03_Base_Indice'!$G20)</f>
        <v>+</v>
      </c>
      <c r="K20" s="31">
        <f>IF($D20="","",IF('04_Dados_Ajustados'!K20="","",IF('03_Base_Indice'!$G20="+",MIN('01_Criterios'!$C$10,MAX('01_Criterios'!$C$9,'01_Criterios'!$C$9+('01_Criterios'!$C$10-'01_Criterios'!$C$9)*('04_Dados_Ajustados'!K20-'03_Base_Indice'!$H20)/('03_Base_Indice'!$I20-'03_Base_Indice'!$H20))),MIN('01_Criterios'!$C$10,MAX('01_Criterios'!$C$9,'01_Criterios'!$C$9+('01_Criterios'!$C$10-'01_Criterios'!$C$9)*('03_Base_Indice'!$I20-'04_Dados_Ajustados'!K20)/('03_Base_Indice'!$I20-'03_Base_Indice'!$H20))))))</f>
        <v>54.017047422070078</v>
      </c>
      <c r="L20" s="31">
        <f>IF($D20="","",IF('04_Dados_Ajustados'!L20="","",IF('03_Base_Indice'!$G20="+",MIN('01_Criterios'!$C$10,MAX('01_Criterios'!$C$9,'01_Criterios'!$C$9+('01_Criterios'!$C$10-'01_Criterios'!$C$9)*('04_Dados_Ajustados'!L20-'03_Base_Indice'!$H20)/('03_Base_Indice'!$I20-'03_Base_Indice'!$H20))),MIN('01_Criterios'!$C$10,MAX('01_Criterios'!$C$9,'01_Criterios'!$C$9+('01_Criterios'!$C$10-'01_Criterios'!$C$9)*('03_Base_Indice'!$I20-'04_Dados_Ajustados'!L20)/('03_Base_Indice'!$I20-'03_Base_Indice'!$H20))))))</f>
        <v>75.698926707506175</v>
      </c>
      <c r="M20" s="31">
        <f>IF($D20="","",IF('04_Dados_Ajustados'!M20="","",IF('03_Base_Indice'!$G20="+",MIN('01_Criterios'!$C$10,MAX('01_Criterios'!$C$9,'01_Criterios'!$C$9+('01_Criterios'!$C$10-'01_Criterios'!$C$9)*('04_Dados_Ajustados'!M20-'03_Base_Indice'!$H20)/('03_Base_Indice'!$I20-'03_Base_Indice'!$H20))),MIN('01_Criterios'!$C$10,MAX('01_Criterios'!$C$9,'01_Criterios'!$C$9+('01_Criterios'!$C$10-'01_Criterios'!$C$9)*('03_Base_Indice'!$I20-'04_Dados_Ajustados'!M20)/('03_Base_Indice'!$I20-'03_Base_Indice'!$H20))))))</f>
        <v>48.484890987071502</v>
      </c>
      <c r="N20" s="31">
        <f>IF($D20="","",IF('04_Dados_Ajustados'!N20="","",IF('03_Base_Indice'!$G20="+",MIN('01_Criterios'!$C$10,MAX('01_Criterios'!$C$9,'01_Criterios'!$C$9+('01_Criterios'!$C$10-'01_Criterios'!$C$9)*('04_Dados_Ajustados'!N20-'03_Base_Indice'!$H20)/('03_Base_Indice'!$I20-'03_Base_Indice'!$H20))),MIN('01_Criterios'!$C$10,MAX('01_Criterios'!$C$9,'01_Criterios'!$C$9+('01_Criterios'!$C$10-'01_Criterios'!$C$9)*('03_Base_Indice'!$I20-'04_Dados_Ajustados'!N20)/('03_Base_Indice'!$I20-'03_Base_Indice'!$H20))))))</f>
        <v>45.105334617386667</v>
      </c>
      <c r="O20" s="31">
        <f>IF($D20="","",IF('04_Dados_Ajustados'!O20="","",IF('03_Base_Indice'!$G20="+",MIN('01_Criterios'!$C$10,MAX('01_Criterios'!$C$9,'01_Criterios'!$C$9+('01_Criterios'!$C$10-'01_Criterios'!$C$9)*('04_Dados_Ajustados'!O20-'03_Base_Indice'!$H20)/('03_Base_Indice'!$I20-'03_Base_Indice'!$H20))),MIN('01_Criterios'!$C$10,MAX('01_Criterios'!$C$9,'01_Criterios'!$C$9+('01_Criterios'!$C$10-'01_Criterios'!$C$9)*('03_Base_Indice'!$I20-'04_Dados_Ajustados'!O20)/('03_Base_Indice'!$I20-'03_Base_Indice'!$H20))))))</f>
        <v>53.542452416388663</v>
      </c>
      <c r="P20" s="31">
        <f>IF($D20="","",IF('04_Dados_Ajustados'!P20="","",IF('03_Base_Indice'!$G20="+",MIN('01_Criterios'!$C$10,MAX('01_Criterios'!$C$9,'01_Criterios'!$C$9+('01_Criterios'!$C$10-'01_Criterios'!$C$9)*('04_Dados_Ajustados'!P20-'03_Base_Indice'!$H20)/('03_Base_Indice'!$I20-'03_Base_Indice'!$H20))),MIN('01_Criterios'!$C$10,MAX('01_Criterios'!$C$9,'01_Criterios'!$C$9+('01_Criterios'!$C$10-'01_Criterios'!$C$9)*('03_Base_Indice'!$I20-'04_Dados_Ajustados'!P20)/('03_Base_Indice'!$I20-'03_Base_Indice'!$H20))))))</f>
        <v>66.884564359229913</v>
      </c>
      <c r="Q20" s="31">
        <f>IF($D20="","",IF('04_Dados_Ajustados'!Q20="","",IF('03_Base_Indice'!$G20="+",MIN('01_Criterios'!$C$10,MAX('01_Criterios'!$C$9,'01_Criterios'!$C$9+('01_Criterios'!$C$10-'01_Criterios'!$C$9)*('04_Dados_Ajustados'!Q20-'03_Base_Indice'!$H20)/('03_Base_Indice'!$I20-'03_Base_Indice'!$H20))),MIN('01_Criterios'!$C$10,MAX('01_Criterios'!$C$9,'01_Criterios'!$C$9+('01_Criterios'!$C$10-'01_Criterios'!$C$9)*('03_Base_Indice'!$I20-'04_Dados_Ajustados'!Q20)/('03_Base_Indice'!$I20-'03_Base_Indice'!$H20))))))</f>
        <v>57.909617887414505</v>
      </c>
      <c r="R20" s="31">
        <f>IF($D20="","",IF('04_Dados_Ajustados'!R20="","",IF('03_Base_Indice'!$G20="+",MIN('01_Criterios'!$C$10,MAX('01_Criterios'!$C$9,'01_Criterios'!$C$9+('01_Criterios'!$C$10-'01_Criterios'!$C$9)*('04_Dados_Ajustados'!R20-'03_Base_Indice'!$H20)/('03_Base_Indice'!$I20-'03_Base_Indice'!$H20))),MIN('01_Criterios'!$C$10,MAX('01_Criterios'!$C$9,'01_Criterios'!$C$9+('01_Criterios'!$C$10-'01_Criterios'!$C$9)*('03_Base_Indice'!$I20-'04_Dados_Ajustados'!R20)/('03_Base_Indice'!$I20-'03_Base_Indice'!$H20))))))</f>
        <v>36.473607229052341</v>
      </c>
      <c r="S20" s="31">
        <f>IF($D20="","",IF('04_Dados_Ajustados'!S20="","",IF('03_Base_Indice'!$G20="+",MIN('01_Criterios'!$C$10,MAX('01_Criterios'!$C$9,'01_Criterios'!$C$9+('01_Criterios'!$C$10-'01_Criterios'!$C$9)*('04_Dados_Ajustados'!S20-'03_Base_Indice'!$H20)/('03_Base_Indice'!$I20-'03_Base_Indice'!$H20))),MIN('01_Criterios'!$C$10,MAX('01_Criterios'!$C$9,'01_Criterios'!$C$9+('01_Criterios'!$C$10-'01_Criterios'!$C$9)*('03_Base_Indice'!$I20-'04_Dados_Ajustados'!S20)/('03_Base_Indice'!$I20-'03_Base_Indice'!$H20))))))</f>
        <v>42.410592796702666</v>
      </c>
      <c r="T20" s="31">
        <f>IF($D20="","",IF('04_Dados_Ajustados'!T20="","",IF('03_Base_Indice'!$G20="+",MIN('01_Criterios'!$C$10,MAX('01_Criterios'!$C$9,'01_Criterios'!$C$9+('01_Criterios'!$C$10-'01_Criterios'!$C$9)*('04_Dados_Ajustados'!T20-'03_Base_Indice'!$H20)/('03_Base_Indice'!$I20-'03_Base_Indice'!$H20))),MIN('01_Criterios'!$C$10,MAX('01_Criterios'!$C$9,'01_Criterios'!$C$9+('01_Criterios'!$C$10-'01_Criterios'!$C$9)*('03_Base_Indice'!$I20-'04_Dados_Ajustados'!T20)/('03_Base_Indice'!$I20-'03_Base_Indice'!$H20))))))</f>
        <v>45.947909214942662</v>
      </c>
      <c r="U20" s="31">
        <f>IF($D20="","",IF('04_Dados_Ajustados'!U20="","",IF('03_Base_Indice'!$G20="+",MIN('01_Criterios'!$C$10,MAX('01_Criterios'!$C$9,'01_Criterios'!$C$9+('01_Criterios'!$C$10-'01_Criterios'!$C$9)*('04_Dados_Ajustados'!U20-'03_Base_Indice'!$H20)/('03_Base_Indice'!$I20-'03_Base_Indice'!$H20))),MIN('01_Criterios'!$C$10,MAX('01_Criterios'!$C$9,'01_Criterios'!$C$9+('01_Criterios'!$C$10-'01_Criterios'!$C$9)*('03_Base_Indice'!$I20-'04_Dados_Ajustados'!U20)/('03_Base_Indice'!$I20-'03_Base_Indice'!$H20))))))</f>
        <v>44.356685731208039</v>
      </c>
    </row>
    <row r="21" spans="1:21">
      <c r="A21" s="6" t="str">
        <f>IF('03_Base_Indice'!$A21="","",'03_Base_Indice'!$A21)</f>
        <v>2. Estabilidade Macroeconómica</v>
      </c>
      <c r="B21" s="6">
        <f>'03_Base_Indice'!$B21</f>
        <v>7</v>
      </c>
      <c r="D21" s="6" t="str">
        <f>IF('03_Base_Indice'!$D21="","",'03_Base_Indice'!$D21)</f>
        <v>MAC014</v>
      </c>
      <c r="E21" s="6" t="str">
        <f>IF('03_Base_Indice'!$E21="","",'03_Base_Indice'!$E21)</f>
        <v>Crescimento do PIB não petrolífero</v>
      </c>
      <c r="G21" s="20" t="str">
        <f>IF('03_Base_Indice'!$G21="","",'03_Base_Indice'!$G21)</f>
        <v>+</v>
      </c>
      <c r="K21" s="31">
        <f>IF($D21="","",IF('04_Dados_Ajustados'!K21="","",IF('03_Base_Indice'!$G21="+",MIN('01_Criterios'!$C$10,MAX('01_Criterios'!$C$9,'01_Criterios'!$C$9+('01_Criterios'!$C$10-'01_Criterios'!$C$9)*('04_Dados_Ajustados'!K21-'03_Base_Indice'!$H21)/('03_Base_Indice'!$I21-'03_Base_Indice'!$H21))),MIN('01_Criterios'!$C$10,MAX('01_Criterios'!$C$9,'01_Criterios'!$C$9+('01_Criterios'!$C$10-'01_Criterios'!$C$9)*('03_Base_Indice'!$I21-'04_Dados_Ajustados'!K21)/('03_Base_Indice'!$I21-'03_Base_Indice'!$H21))))))</f>
        <v>25.244799999999994</v>
      </c>
      <c r="L21" s="31">
        <f>IF($D21="","",IF('04_Dados_Ajustados'!L21="","",IF('03_Base_Indice'!$G21="+",MIN('01_Criterios'!$C$10,MAX('01_Criterios'!$C$9,'01_Criterios'!$C$9+('01_Criterios'!$C$10-'01_Criterios'!$C$9)*('04_Dados_Ajustados'!L21-'03_Base_Indice'!$H21)/('03_Base_Indice'!$I21-'03_Base_Indice'!$H21))),MIN('01_Criterios'!$C$10,MAX('01_Criterios'!$C$9,'01_Criterios'!$C$9+('01_Criterios'!$C$10-'01_Criterios'!$C$9)*('03_Base_Indice'!$I21-'04_Dados_Ajustados'!L21)/('03_Base_Indice'!$I21-'03_Base_Indice'!$H21))))))</f>
        <v>43.71</v>
      </c>
      <c r="M21" s="31">
        <f>IF($D21="","",IF('04_Dados_Ajustados'!M21="","",IF('03_Base_Indice'!$G21="+",MIN('01_Criterios'!$C$10,MAX('01_Criterios'!$C$9,'01_Criterios'!$C$9+('01_Criterios'!$C$10-'01_Criterios'!$C$9)*('04_Dados_Ajustados'!M21-'03_Base_Indice'!$H21)/('03_Base_Indice'!$I21-'03_Base_Indice'!$H21))),MIN('01_Criterios'!$C$10,MAX('01_Criterios'!$C$9,'01_Criterios'!$C$9+('01_Criterios'!$C$10-'01_Criterios'!$C$9)*('03_Base_Indice'!$I21-'04_Dados_Ajustados'!M21)/('03_Base_Indice'!$I21-'03_Base_Indice'!$H21))))))</f>
        <v>55.680399999999999</v>
      </c>
      <c r="N21" s="31">
        <f>IF($D21="","",IF('04_Dados_Ajustados'!N21="","",IF('03_Base_Indice'!$G21="+",MIN('01_Criterios'!$C$10,MAX('01_Criterios'!$C$9,'01_Criterios'!$C$9+('01_Criterios'!$C$10-'01_Criterios'!$C$9)*('04_Dados_Ajustados'!N21-'03_Base_Indice'!$H21)/('03_Base_Indice'!$I21-'03_Base_Indice'!$H21))),MIN('01_Criterios'!$C$10,MAX('01_Criterios'!$C$9,'01_Criterios'!$C$9+('01_Criterios'!$C$10-'01_Criterios'!$C$9)*('03_Base_Indice'!$I21-'04_Dados_Ajustados'!N21)/('03_Base_Indice'!$I21-'03_Base_Indice'!$H21))))))</f>
        <v>52.775599999999997</v>
      </c>
      <c r="O21" s="31">
        <f>IF($D21="","",IF('04_Dados_Ajustados'!O21="","",IF('03_Base_Indice'!$G21="+",MIN('01_Criterios'!$C$10,MAX('01_Criterios'!$C$9,'01_Criterios'!$C$9+('01_Criterios'!$C$10-'01_Criterios'!$C$9)*('04_Dados_Ajustados'!O21-'03_Base_Indice'!$H21)/('03_Base_Indice'!$I21-'03_Base_Indice'!$H21))),MIN('01_Criterios'!$C$10,MAX('01_Criterios'!$C$9,'01_Criterios'!$C$9+('01_Criterios'!$C$10-'01_Criterios'!$C$9)*('03_Base_Indice'!$I21-'04_Dados_Ajustados'!O21)/('03_Base_Indice'!$I21-'03_Base_Indice'!$H21))))))</f>
        <v>44.991599999999998</v>
      </c>
      <c r="P21" s="31">
        <f>IF($D21="","",IF('04_Dados_Ajustados'!P21="","",IF('03_Base_Indice'!$G21="+",MIN('01_Criterios'!$C$10,MAX('01_Criterios'!$C$9,'01_Criterios'!$C$9+('01_Criterios'!$C$10-'01_Criterios'!$C$9)*('04_Dados_Ajustados'!P21-'03_Base_Indice'!$H21)/('03_Base_Indice'!$I21-'03_Base_Indice'!$H21))),MIN('01_Criterios'!$C$10,MAX('01_Criterios'!$C$9,'01_Criterios'!$C$9+('01_Criterios'!$C$10-'01_Criterios'!$C$9)*('03_Base_Indice'!$I21-'04_Dados_Ajustados'!P21)/('03_Base_Indice'!$I21-'03_Base_Indice'!$H21))))))</f>
        <v>20.908799999999999</v>
      </c>
      <c r="Q21" s="31">
        <f>IF($D21="","",IF('04_Dados_Ajustados'!Q21="","",IF('03_Base_Indice'!$G21="+",MIN('01_Criterios'!$C$10,MAX('01_Criterios'!$C$9,'01_Criterios'!$C$9+('01_Criterios'!$C$10-'01_Criterios'!$C$9)*('04_Dados_Ajustados'!Q21-'03_Base_Indice'!$H21)/('03_Base_Indice'!$I21-'03_Base_Indice'!$H21))),MIN('01_Criterios'!$C$10,MAX('01_Criterios'!$C$9,'01_Criterios'!$C$9+('01_Criterios'!$C$10-'01_Criterios'!$C$9)*('03_Base_Indice'!$I21-'04_Dados_Ajustados'!Q21)/('03_Base_Indice'!$I21-'03_Base_Indice'!$H21))))))</f>
        <v>61.2532</v>
      </c>
      <c r="R21" s="31">
        <f>IF($D21="","",IF('04_Dados_Ajustados'!R21="","",IF('03_Base_Indice'!$G21="+",MIN('01_Criterios'!$C$10,MAX('01_Criterios'!$C$9,'01_Criterios'!$C$9+('01_Criterios'!$C$10-'01_Criterios'!$C$9)*('04_Dados_Ajustados'!R21-'03_Base_Indice'!$H21)/('03_Base_Indice'!$I21-'03_Base_Indice'!$H21))),MIN('01_Criterios'!$C$10,MAX('01_Criterios'!$C$9,'01_Criterios'!$C$9+('01_Criterios'!$C$10-'01_Criterios'!$C$9)*('03_Base_Indice'!$I21-'04_Dados_Ajustados'!R21)/('03_Base_Indice'!$I21-'03_Base_Indice'!$H21))))))</f>
        <v>52.582799999999999</v>
      </c>
      <c r="S21" s="31">
        <f>IF($D21="","",IF('04_Dados_Ajustados'!S21="","",IF('03_Base_Indice'!$G21="+",MIN('01_Criterios'!$C$10,MAX('01_Criterios'!$C$9,'01_Criterios'!$C$9+('01_Criterios'!$C$10-'01_Criterios'!$C$9)*('04_Dados_Ajustados'!S21-'03_Base_Indice'!$H21)/('03_Base_Indice'!$I21-'03_Base_Indice'!$H21))),MIN('01_Criterios'!$C$10,MAX('01_Criterios'!$C$9,'01_Criterios'!$C$9+('01_Criterios'!$C$10-'01_Criterios'!$C$9)*('03_Base_Indice'!$I21-'04_Dados_Ajustados'!S21)/('03_Base_Indice'!$I21-'03_Base_Indice'!$H21))))))</f>
        <v>49.588799999999999</v>
      </c>
      <c r="T21" s="31">
        <f>IF($D21="","",IF('04_Dados_Ajustados'!T21="","",IF('03_Base_Indice'!$G21="+",MIN('01_Criterios'!$C$10,MAX('01_Criterios'!$C$9,'01_Criterios'!$C$9+('01_Criterios'!$C$10-'01_Criterios'!$C$9)*('04_Dados_Ajustados'!T21-'03_Base_Indice'!$H21)/('03_Base_Indice'!$I21-'03_Base_Indice'!$H21))),MIN('01_Criterios'!$C$10,MAX('01_Criterios'!$C$9,'01_Criterios'!$C$9+('01_Criterios'!$C$10-'01_Criterios'!$C$9)*('03_Base_Indice'!$I21-'04_Dados_Ajustados'!T21)/('03_Base_Indice'!$I21-'03_Base_Indice'!$H21))))))</f>
        <v>61.580399999999997</v>
      </c>
      <c r="U21" s="31">
        <f>IF($D21="","",IF('04_Dados_Ajustados'!U21="","",IF('03_Base_Indice'!$G21="+",MIN('01_Criterios'!$C$10,MAX('01_Criterios'!$C$9,'01_Criterios'!$C$9+('01_Criterios'!$C$10-'01_Criterios'!$C$9)*('04_Dados_Ajustados'!U21-'03_Base_Indice'!$H21)/('03_Base_Indice'!$I21-'03_Base_Indice'!$H21))),MIN('01_Criterios'!$C$10,MAX('01_Criterios'!$C$9,'01_Criterios'!$C$9+('01_Criterios'!$C$10-'01_Criterios'!$C$9)*('03_Base_Indice'!$I21-'04_Dados_Ajustados'!U21)/('03_Base_Indice'!$I21-'03_Base_Indice'!$H21))))))</f>
        <v>61.517200000000003</v>
      </c>
    </row>
    <row r="22" spans="1:21">
      <c r="A22" s="6" t="str">
        <f>IF('03_Base_Indice'!$A22="","",'03_Base_Indice'!$A22)</f>
        <v>2. Estabilidade Macroeconómica</v>
      </c>
      <c r="B22" s="6">
        <f>'03_Base_Indice'!$B22</f>
        <v>8</v>
      </c>
      <c r="D22" s="6" t="str">
        <f>IF('03_Base_Indice'!$D22="","",'03_Base_Indice'!$D22)</f>
        <v/>
      </c>
      <c r="E22" s="6" t="str">
        <f>IF('03_Base_Indice'!$E22="","",'03_Base_Indice'!$E22)</f>
        <v/>
      </c>
      <c r="G22" s="20" t="str">
        <f>IF('03_Base_Indice'!$G22="","",'03_Base_Indice'!$G22)</f>
        <v/>
      </c>
      <c r="K22" s="31" t="str">
        <f>IF($D22="","",IF('04_Dados_Ajustados'!K22="","",IF('03_Base_Indice'!$G22="+",MIN('01_Criterios'!$C$10,MAX('01_Criterios'!$C$9,'01_Criterios'!$C$9+('01_Criterios'!$C$10-'01_Criterios'!$C$9)*('04_Dados_Ajustados'!K22-'03_Base_Indice'!$H22)/('03_Base_Indice'!$I22-'03_Base_Indice'!$H22))),MIN('01_Criterios'!$C$10,MAX('01_Criterios'!$C$9,'01_Criterios'!$C$9+('01_Criterios'!$C$10-'01_Criterios'!$C$9)*('03_Base_Indice'!$I22-'04_Dados_Ajustados'!K22)/('03_Base_Indice'!$I22-'03_Base_Indice'!$H22))))))</f>
        <v/>
      </c>
      <c r="L22" s="31" t="str">
        <f>IF($D22="","",IF('04_Dados_Ajustados'!L22="","",IF('03_Base_Indice'!$G22="+",MIN('01_Criterios'!$C$10,MAX('01_Criterios'!$C$9,'01_Criterios'!$C$9+('01_Criterios'!$C$10-'01_Criterios'!$C$9)*('04_Dados_Ajustados'!L22-'03_Base_Indice'!$H22)/('03_Base_Indice'!$I22-'03_Base_Indice'!$H22))),MIN('01_Criterios'!$C$10,MAX('01_Criterios'!$C$9,'01_Criterios'!$C$9+('01_Criterios'!$C$10-'01_Criterios'!$C$9)*('03_Base_Indice'!$I22-'04_Dados_Ajustados'!L22)/('03_Base_Indice'!$I22-'03_Base_Indice'!$H22))))))</f>
        <v/>
      </c>
      <c r="M22" s="31" t="str">
        <f>IF($D22="","",IF('04_Dados_Ajustados'!M22="","",IF('03_Base_Indice'!$G22="+",MIN('01_Criterios'!$C$10,MAX('01_Criterios'!$C$9,'01_Criterios'!$C$9+('01_Criterios'!$C$10-'01_Criterios'!$C$9)*('04_Dados_Ajustados'!M22-'03_Base_Indice'!$H22)/('03_Base_Indice'!$I22-'03_Base_Indice'!$H22))),MIN('01_Criterios'!$C$10,MAX('01_Criterios'!$C$9,'01_Criterios'!$C$9+('01_Criterios'!$C$10-'01_Criterios'!$C$9)*('03_Base_Indice'!$I22-'04_Dados_Ajustados'!M22)/('03_Base_Indice'!$I22-'03_Base_Indice'!$H22))))))</f>
        <v/>
      </c>
      <c r="N22" s="31" t="str">
        <f>IF($D22="","",IF('04_Dados_Ajustados'!N22="","",IF('03_Base_Indice'!$G22="+",MIN('01_Criterios'!$C$10,MAX('01_Criterios'!$C$9,'01_Criterios'!$C$9+('01_Criterios'!$C$10-'01_Criterios'!$C$9)*('04_Dados_Ajustados'!N22-'03_Base_Indice'!$H22)/('03_Base_Indice'!$I22-'03_Base_Indice'!$H22))),MIN('01_Criterios'!$C$10,MAX('01_Criterios'!$C$9,'01_Criterios'!$C$9+('01_Criterios'!$C$10-'01_Criterios'!$C$9)*('03_Base_Indice'!$I22-'04_Dados_Ajustados'!N22)/('03_Base_Indice'!$I22-'03_Base_Indice'!$H22))))))</f>
        <v/>
      </c>
      <c r="O22" s="31" t="str">
        <f>IF($D22="","",IF('04_Dados_Ajustados'!O22="","",IF('03_Base_Indice'!$G22="+",MIN('01_Criterios'!$C$10,MAX('01_Criterios'!$C$9,'01_Criterios'!$C$9+('01_Criterios'!$C$10-'01_Criterios'!$C$9)*('04_Dados_Ajustados'!O22-'03_Base_Indice'!$H22)/('03_Base_Indice'!$I22-'03_Base_Indice'!$H22))),MIN('01_Criterios'!$C$10,MAX('01_Criterios'!$C$9,'01_Criterios'!$C$9+('01_Criterios'!$C$10-'01_Criterios'!$C$9)*('03_Base_Indice'!$I22-'04_Dados_Ajustados'!O22)/('03_Base_Indice'!$I22-'03_Base_Indice'!$H22))))))</f>
        <v/>
      </c>
      <c r="P22" s="31" t="str">
        <f>IF($D22="","",IF('04_Dados_Ajustados'!P22="","",IF('03_Base_Indice'!$G22="+",MIN('01_Criterios'!$C$10,MAX('01_Criterios'!$C$9,'01_Criterios'!$C$9+('01_Criterios'!$C$10-'01_Criterios'!$C$9)*('04_Dados_Ajustados'!P22-'03_Base_Indice'!$H22)/('03_Base_Indice'!$I22-'03_Base_Indice'!$H22))),MIN('01_Criterios'!$C$10,MAX('01_Criterios'!$C$9,'01_Criterios'!$C$9+('01_Criterios'!$C$10-'01_Criterios'!$C$9)*('03_Base_Indice'!$I22-'04_Dados_Ajustados'!P22)/('03_Base_Indice'!$I22-'03_Base_Indice'!$H22))))))</f>
        <v/>
      </c>
      <c r="Q22" s="31" t="str">
        <f>IF($D22="","",IF('04_Dados_Ajustados'!Q22="","",IF('03_Base_Indice'!$G22="+",MIN('01_Criterios'!$C$10,MAX('01_Criterios'!$C$9,'01_Criterios'!$C$9+('01_Criterios'!$C$10-'01_Criterios'!$C$9)*('04_Dados_Ajustados'!Q22-'03_Base_Indice'!$H22)/('03_Base_Indice'!$I22-'03_Base_Indice'!$H22))),MIN('01_Criterios'!$C$10,MAX('01_Criterios'!$C$9,'01_Criterios'!$C$9+('01_Criterios'!$C$10-'01_Criterios'!$C$9)*('03_Base_Indice'!$I22-'04_Dados_Ajustados'!Q22)/('03_Base_Indice'!$I22-'03_Base_Indice'!$H22))))))</f>
        <v/>
      </c>
      <c r="R22" s="31" t="str">
        <f>IF($D22="","",IF('04_Dados_Ajustados'!R22="","",IF('03_Base_Indice'!$G22="+",MIN('01_Criterios'!$C$10,MAX('01_Criterios'!$C$9,'01_Criterios'!$C$9+('01_Criterios'!$C$10-'01_Criterios'!$C$9)*('04_Dados_Ajustados'!R22-'03_Base_Indice'!$H22)/('03_Base_Indice'!$I22-'03_Base_Indice'!$H22))),MIN('01_Criterios'!$C$10,MAX('01_Criterios'!$C$9,'01_Criterios'!$C$9+('01_Criterios'!$C$10-'01_Criterios'!$C$9)*('03_Base_Indice'!$I22-'04_Dados_Ajustados'!R22)/('03_Base_Indice'!$I22-'03_Base_Indice'!$H22))))))</f>
        <v/>
      </c>
      <c r="S22" s="31" t="str">
        <f>IF($D22="","",IF('04_Dados_Ajustados'!S22="","",IF('03_Base_Indice'!$G22="+",MIN('01_Criterios'!$C$10,MAX('01_Criterios'!$C$9,'01_Criterios'!$C$9+('01_Criterios'!$C$10-'01_Criterios'!$C$9)*('04_Dados_Ajustados'!S22-'03_Base_Indice'!$H22)/('03_Base_Indice'!$I22-'03_Base_Indice'!$H22))),MIN('01_Criterios'!$C$10,MAX('01_Criterios'!$C$9,'01_Criterios'!$C$9+('01_Criterios'!$C$10-'01_Criterios'!$C$9)*('03_Base_Indice'!$I22-'04_Dados_Ajustados'!S22)/('03_Base_Indice'!$I22-'03_Base_Indice'!$H22))))))</f>
        <v/>
      </c>
      <c r="T22" s="31" t="str">
        <f>IF($D22="","",IF('04_Dados_Ajustados'!T22="","",IF('03_Base_Indice'!$G22="+",MIN('01_Criterios'!$C$10,MAX('01_Criterios'!$C$9,'01_Criterios'!$C$9+('01_Criterios'!$C$10-'01_Criterios'!$C$9)*('04_Dados_Ajustados'!T22-'03_Base_Indice'!$H22)/('03_Base_Indice'!$I22-'03_Base_Indice'!$H22))),MIN('01_Criterios'!$C$10,MAX('01_Criterios'!$C$9,'01_Criterios'!$C$9+('01_Criterios'!$C$10-'01_Criterios'!$C$9)*('03_Base_Indice'!$I22-'04_Dados_Ajustados'!T22)/('03_Base_Indice'!$I22-'03_Base_Indice'!$H22))))))</f>
        <v/>
      </c>
      <c r="U22" s="31" t="str">
        <f>IF($D22="","",IF('04_Dados_Ajustados'!U22="","",IF('03_Base_Indice'!$G22="+",MIN('01_Criterios'!$C$10,MAX('01_Criterios'!$C$9,'01_Criterios'!$C$9+('01_Criterios'!$C$10-'01_Criterios'!$C$9)*('04_Dados_Ajustados'!U22-'03_Base_Indice'!$H22)/('03_Base_Indice'!$I22-'03_Base_Indice'!$H22))),MIN('01_Criterios'!$C$10,MAX('01_Criterios'!$C$9,'01_Criterios'!$C$9+('01_Criterios'!$C$10-'01_Criterios'!$C$9)*('03_Base_Indice'!$I22-'04_Dados_Ajustados'!U22)/('03_Base_Indice'!$I22-'03_Base_Indice'!$H22))))))</f>
        <v/>
      </c>
    </row>
    <row r="23" spans="1:21">
      <c r="A23" s="6" t="str">
        <f>IF('03_Base_Indice'!$A23="","",'03_Base_Indice'!$A23)</f>
        <v>2. Estabilidade Macroeconómica</v>
      </c>
      <c r="B23" s="6">
        <f>'03_Base_Indice'!$B23</f>
        <v>9</v>
      </c>
      <c r="D23" s="6" t="str">
        <f>IF('03_Base_Indice'!$D23="","",'03_Base_Indice'!$D23)</f>
        <v/>
      </c>
      <c r="E23" s="6" t="str">
        <f>IF('03_Base_Indice'!$E23="","",'03_Base_Indice'!$E23)</f>
        <v/>
      </c>
      <c r="G23" s="20" t="str">
        <f>IF('03_Base_Indice'!$G23="","",'03_Base_Indice'!$G23)</f>
        <v/>
      </c>
      <c r="K23" s="31" t="str">
        <f>IF($D23="","",IF('04_Dados_Ajustados'!K23="","",IF('03_Base_Indice'!$G23="+",MIN('01_Criterios'!$C$10,MAX('01_Criterios'!$C$9,'01_Criterios'!$C$9+('01_Criterios'!$C$10-'01_Criterios'!$C$9)*('04_Dados_Ajustados'!K23-'03_Base_Indice'!$H23)/('03_Base_Indice'!$I23-'03_Base_Indice'!$H23))),MIN('01_Criterios'!$C$10,MAX('01_Criterios'!$C$9,'01_Criterios'!$C$9+('01_Criterios'!$C$10-'01_Criterios'!$C$9)*('03_Base_Indice'!$I23-'04_Dados_Ajustados'!K23)/('03_Base_Indice'!$I23-'03_Base_Indice'!$H23))))))</f>
        <v/>
      </c>
      <c r="L23" s="31" t="str">
        <f>IF($D23="","",IF('04_Dados_Ajustados'!L23="","",IF('03_Base_Indice'!$G23="+",MIN('01_Criterios'!$C$10,MAX('01_Criterios'!$C$9,'01_Criterios'!$C$9+('01_Criterios'!$C$10-'01_Criterios'!$C$9)*('04_Dados_Ajustados'!L23-'03_Base_Indice'!$H23)/('03_Base_Indice'!$I23-'03_Base_Indice'!$H23))),MIN('01_Criterios'!$C$10,MAX('01_Criterios'!$C$9,'01_Criterios'!$C$9+('01_Criterios'!$C$10-'01_Criterios'!$C$9)*('03_Base_Indice'!$I23-'04_Dados_Ajustados'!L23)/('03_Base_Indice'!$I23-'03_Base_Indice'!$H23))))))</f>
        <v/>
      </c>
      <c r="M23" s="31" t="str">
        <f>IF($D23="","",IF('04_Dados_Ajustados'!M23="","",IF('03_Base_Indice'!$G23="+",MIN('01_Criterios'!$C$10,MAX('01_Criterios'!$C$9,'01_Criterios'!$C$9+('01_Criterios'!$C$10-'01_Criterios'!$C$9)*('04_Dados_Ajustados'!M23-'03_Base_Indice'!$H23)/('03_Base_Indice'!$I23-'03_Base_Indice'!$H23))),MIN('01_Criterios'!$C$10,MAX('01_Criterios'!$C$9,'01_Criterios'!$C$9+('01_Criterios'!$C$10-'01_Criterios'!$C$9)*('03_Base_Indice'!$I23-'04_Dados_Ajustados'!M23)/('03_Base_Indice'!$I23-'03_Base_Indice'!$H23))))))</f>
        <v/>
      </c>
      <c r="N23" s="31" t="str">
        <f>IF($D23="","",IF('04_Dados_Ajustados'!N23="","",IF('03_Base_Indice'!$G23="+",MIN('01_Criterios'!$C$10,MAX('01_Criterios'!$C$9,'01_Criterios'!$C$9+('01_Criterios'!$C$10-'01_Criterios'!$C$9)*('04_Dados_Ajustados'!N23-'03_Base_Indice'!$H23)/('03_Base_Indice'!$I23-'03_Base_Indice'!$H23))),MIN('01_Criterios'!$C$10,MAX('01_Criterios'!$C$9,'01_Criterios'!$C$9+('01_Criterios'!$C$10-'01_Criterios'!$C$9)*('03_Base_Indice'!$I23-'04_Dados_Ajustados'!N23)/('03_Base_Indice'!$I23-'03_Base_Indice'!$H23))))))</f>
        <v/>
      </c>
      <c r="O23" s="31" t="str">
        <f>IF($D23="","",IF('04_Dados_Ajustados'!O23="","",IF('03_Base_Indice'!$G23="+",MIN('01_Criterios'!$C$10,MAX('01_Criterios'!$C$9,'01_Criterios'!$C$9+('01_Criterios'!$C$10-'01_Criterios'!$C$9)*('04_Dados_Ajustados'!O23-'03_Base_Indice'!$H23)/('03_Base_Indice'!$I23-'03_Base_Indice'!$H23))),MIN('01_Criterios'!$C$10,MAX('01_Criterios'!$C$9,'01_Criterios'!$C$9+('01_Criterios'!$C$10-'01_Criterios'!$C$9)*('03_Base_Indice'!$I23-'04_Dados_Ajustados'!O23)/('03_Base_Indice'!$I23-'03_Base_Indice'!$H23))))))</f>
        <v/>
      </c>
      <c r="P23" s="31" t="str">
        <f>IF($D23="","",IF('04_Dados_Ajustados'!P23="","",IF('03_Base_Indice'!$G23="+",MIN('01_Criterios'!$C$10,MAX('01_Criterios'!$C$9,'01_Criterios'!$C$9+('01_Criterios'!$C$10-'01_Criterios'!$C$9)*('04_Dados_Ajustados'!P23-'03_Base_Indice'!$H23)/('03_Base_Indice'!$I23-'03_Base_Indice'!$H23))),MIN('01_Criterios'!$C$10,MAX('01_Criterios'!$C$9,'01_Criterios'!$C$9+('01_Criterios'!$C$10-'01_Criterios'!$C$9)*('03_Base_Indice'!$I23-'04_Dados_Ajustados'!P23)/('03_Base_Indice'!$I23-'03_Base_Indice'!$H23))))))</f>
        <v/>
      </c>
      <c r="Q23" s="31" t="str">
        <f>IF($D23="","",IF('04_Dados_Ajustados'!Q23="","",IF('03_Base_Indice'!$G23="+",MIN('01_Criterios'!$C$10,MAX('01_Criterios'!$C$9,'01_Criterios'!$C$9+('01_Criterios'!$C$10-'01_Criterios'!$C$9)*('04_Dados_Ajustados'!Q23-'03_Base_Indice'!$H23)/('03_Base_Indice'!$I23-'03_Base_Indice'!$H23))),MIN('01_Criterios'!$C$10,MAX('01_Criterios'!$C$9,'01_Criterios'!$C$9+('01_Criterios'!$C$10-'01_Criterios'!$C$9)*('03_Base_Indice'!$I23-'04_Dados_Ajustados'!Q23)/('03_Base_Indice'!$I23-'03_Base_Indice'!$H23))))))</f>
        <v/>
      </c>
      <c r="R23" s="31" t="str">
        <f>IF($D23="","",IF('04_Dados_Ajustados'!R23="","",IF('03_Base_Indice'!$G23="+",MIN('01_Criterios'!$C$10,MAX('01_Criterios'!$C$9,'01_Criterios'!$C$9+('01_Criterios'!$C$10-'01_Criterios'!$C$9)*('04_Dados_Ajustados'!R23-'03_Base_Indice'!$H23)/('03_Base_Indice'!$I23-'03_Base_Indice'!$H23))),MIN('01_Criterios'!$C$10,MAX('01_Criterios'!$C$9,'01_Criterios'!$C$9+('01_Criterios'!$C$10-'01_Criterios'!$C$9)*('03_Base_Indice'!$I23-'04_Dados_Ajustados'!R23)/('03_Base_Indice'!$I23-'03_Base_Indice'!$H23))))))</f>
        <v/>
      </c>
      <c r="S23" s="31" t="str">
        <f>IF($D23="","",IF('04_Dados_Ajustados'!S23="","",IF('03_Base_Indice'!$G23="+",MIN('01_Criterios'!$C$10,MAX('01_Criterios'!$C$9,'01_Criterios'!$C$9+('01_Criterios'!$C$10-'01_Criterios'!$C$9)*('04_Dados_Ajustados'!S23-'03_Base_Indice'!$H23)/('03_Base_Indice'!$I23-'03_Base_Indice'!$H23))),MIN('01_Criterios'!$C$10,MAX('01_Criterios'!$C$9,'01_Criterios'!$C$9+('01_Criterios'!$C$10-'01_Criterios'!$C$9)*('03_Base_Indice'!$I23-'04_Dados_Ajustados'!S23)/('03_Base_Indice'!$I23-'03_Base_Indice'!$H23))))))</f>
        <v/>
      </c>
      <c r="T23" s="31" t="str">
        <f>IF($D23="","",IF('04_Dados_Ajustados'!T23="","",IF('03_Base_Indice'!$G23="+",MIN('01_Criterios'!$C$10,MAX('01_Criterios'!$C$9,'01_Criterios'!$C$9+('01_Criterios'!$C$10-'01_Criterios'!$C$9)*('04_Dados_Ajustados'!T23-'03_Base_Indice'!$H23)/('03_Base_Indice'!$I23-'03_Base_Indice'!$H23))),MIN('01_Criterios'!$C$10,MAX('01_Criterios'!$C$9,'01_Criterios'!$C$9+('01_Criterios'!$C$10-'01_Criterios'!$C$9)*('03_Base_Indice'!$I23-'04_Dados_Ajustados'!T23)/('03_Base_Indice'!$I23-'03_Base_Indice'!$H23))))))</f>
        <v/>
      </c>
      <c r="U23" s="31" t="str">
        <f>IF($D23="","",IF('04_Dados_Ajustados'!U23="","",IF('03_Base_Indice'!$G23="+",MIN('01_Criterios'!$C$10,MAX('01_Criterios'!$C$9,'01_Criterios'!$C$9+('01_Criterios'!$C$10-'01_Criterios'!$C$9)*('04_Dados_Ajustados'!U23-'03_Base_Indice'!$H23)/('03_Base_Indice'!$I23-'03_Base_Indice'!$H23))),MIN('01_Criterios'!$C$10,MAX('01_Criterios'!$C$9,'01_Criterios'!$C$9+('01_Criterios'!$C$10-'01_Criterios'!$C$9)*('03_Base_Indice'!$I23-'04_Dados_Ajustados'!U23)/('03_Base_Indice'!$I23-'03_Base_Indice'!$H23))))))</f>
        <v/>
      </c>
    </row>
    <row r="24" spans="1:21">
      <c r="A24" s="6" t="str">
        <f>IF('03_Base_Indice'!$A24="","",'03_Base_Indice'!$A24)</f>
        <v>2. Estabilidade Macroeconómica</v>
      </c>
      <c r="B24" s="6">
        <f>'03_Base_Indice'!$B24</f>
        <v>10</v>
      </c>
      <c r="D24" s="6" t="str">
        <f>IF('03_Base_Indice'!$D24="","",'03_Base_Indice'!$D24)</f>
        <v/>
      </c>
      <c r="E24" s="6" t="str">
        <f>IF('03_Base_Indice'!$E24="","",'03_Base_Indice'!$E24)</f>
        <v/>
      </c>
      <c r="G24" s="20" t="str">
        <f>IF('03_Base_Indice'!$G24="","",'03_Base_Indice'!$G24)</f>
        <v/>
      </c>
      <c r="K24" s="31" t="str">
        <f>IF($D24="","",IF('04_Dados_Ajustados'!K24="","",IF('03_Base_Indice'!$G24="+",MIN('01_Criterios'!$C$10,MAX('01_Criterios'!$C$9,'01_Criterios'!$C$9+('01_Criterios'!$C$10-'01_Criterios'!$C$9)*('04_Dados_Ajustados'!K24-'03_Base_Indice'!$H24)/('03_Base_Indice'!$I24-'03_Base_Indice'!$H24))),MIN('01_Criterios'!$C$10,MAX('01_Criterios'!$C$9,'01_Criterios'!$C$9+('01_Criterios'!$C$10-'01_Criterios'!$C$9)*('03_Base_Indice'!$I24-'04_Dados_Ajustados'!K24)/('03_Base_Indice'!$I24-'03_Base_Indice'!$H24))))))</f>
        <v/>
      </c>
      <c r="L24" s="31" t="str">
        <f>IF($D24="","",IF('04_Dados_Ajustados'!L24="","",IF('03_Base_Indice'!$G24="+",MIN('01_Criterios'!$C$10,MAX('01_Criterios'!$C$9,'01_Criterios'!$C$9+('01_Criterios'!$C$10-'01_Criterios'!$C$9)*('04_Dados_Ajustados'!L24-'03_Base_Indice'!$H24)/('03_Base_Indice'!$I24-'03_Base_Indice'!$H24))),MIN('01_Criterios'!$C$10,MAX('01_Criterios'!$C$9,'01_Criterios'!$C$9+('01_Criterios'!$C$10-'01_Criterios'!$C$9)*('03_Base_Indice'!$I24-'04_Dados_Ajustados'!L24)/('03_Base_Indice'!$I24-'03_Base_Indice'!$H24))))))</f>
        <v/>
      </c>
      <c r="M24" s="31" t="str">
        <f>IF($D24="","",IF('04_Dados_Ajustados'!M24="","",IF('03_Base_Indice'!$G24="+",MIN('01_Criterios'!$C$10,MAX('01_Criterios'!$C$9,'01_Criterios'!$C$9+('01_Criterios'!$C$10-'01_Criterios'!$C$9)*('04_Dados_Ajustados'!M24-'03_Base_Indice'!$H24)/('03_Base_Indice'!$I24-'03_Base_Indice'!$H24))),MIN('01_Criterios'!$C$10,MAX('01_Criterios'!$C$9,'01_Criterios'!$C$9+('01_Criterios'!$C$10-'01_Criterios'!$C$9)*('03_Base_Indice'!$I24-'04_Dados_Ajustados'!M24)/('03_Base_Indice'!$I24-'03_Base_Indice'!$H24))))))</f>
        <v/>
      </c>
      <c r="N24" s="31" t="str">
        <f>IF($D24="","",IF('04_Dados_Ajustados'!N24="","",IF('03_Base_Indice'!$G24="+",MIN('01_Criterios'!$C$10,MAX('01_Criterios'!$C$9,'01_Criterios'!$C$9+('01_Criterios'!$C$10-'01_Criterios'!$C$9)*('04_Dados_Ajustados'!N24-'03_Base_Indice'!$H24)/('03_Base_Indice'!$I24-'03_Base_Indice'!$H24))),MIN('01_Criterios'!$C$10,MAX('01_Criterios'!$C$9,'01_Criterios'!$C$9+('01_Criterios'!$C$10-'01_Criterios'!$C$9)*('03_Base_Indice'!$I24-'04_Dados_Ajustados'!N24)/('03_Base_Indice'!$I24-'03_Base_Indice'!$H24))))))</f>
        <v/>
      </c>
      <c r="O24" s="31" t="str">
        <f>IF($D24="","",IF('04_Dados_Ajustados'!O24="","",IF('03_Base_Indice'!$G24="+",MIN('01_Criterios'!$C$10,MAX('01_Criterios'!$C$9,'01_Criterios'!$C$9+('01_Criterios'!$C$10-'01_Criterios'!$C$9)*('04_Dados_Ajustados'!O24-'03_Base_Indice'!$H24)/('03_Base_Indice'!$I24-'03_Base_Indice'!$H24))),MIN('01_Criterios'!$C$10,MAX('01_Criterios'!$C$9,'01_Criterios'!$C$9+('01_Criterios'!$C$10-'01_Criterios'!$C$9)*('03_Base_Indice'!$I24-'04_Dados_Ajustados'!O24)/('03_Base_Indice'!$I24-'03_Base_Indice'!$H24))))))</f>
        <v/>
      </c>
      <c r="P24" s="31" t="str">
        <f>IF($D24="","",IF('04_Dados_Ajustados'!P24="","",IF('03_Base_Indice'!$G24="+",MIN('01_Criterios'!$C$10,MAX('01_Criterios'!$C$9,'01_Criterios'!$C$9+('01_Criterios'!$C$10-'01_Criterios'!$C$9)*('04_Dados_Ajustados'!P24-'03_Base_Indice'!$H24)/('03_Base_Indice'!$I24-'03_Base_Indice'!$H24))),MIN('01_Criterios'!$C$10,MAX('01_Criterios'!$C$9,'01_Criterios'!$C$9+('01_Criterios'!$C$10-'01_Criterios'!$C$9)*('03_Base_Indice'!$I24-'04_Dados_Ajustados'!P24)/('03_Base_Indice'!$I24-'03_Base_Indice'!$H24))))))</f>
        <v/>
      </c>
      <c r="Q24" s="31" t="str">
        <f>IF($D24="","",IF('04_Dados_Ajustados'!Q24="","",IF('03_Base_Indice'!$G24="+",MIN('01_Criterios'!$C$10,MAX('01_Criterios'!$C$9,'01_Criterios'!$C$9+('01_Criterios'!$C$10-'01_Criterios'!$C$9)*('04_Dados_Ajustados'!Q24-'03_Base_Indice'!$H24)/('03_Base_Indice'!$I24-'03_Base_Indice'!$H24))),MIN('01_Criterios'!$C$10,MAX('01_Criterios'!$C$9,'01_Criterios'!$C$9+('01_Criterios'!$C$10-'01_Criterios'!$C$9)*('03_Base_Indice'!$I24-'04_Dados_Ajustados'!Q24)/('03_Base_Indice'!$I24-'03_Base_Indice'!$H24))))))</f>
        <v/>
      </c>
      <c r="R24" s="31" t="str">
        <f>IF($D24="","",IF('04_Dados_Ajustados'!R24="","",IF('03_Base_Indice'!$G24="+",MIN('01_Criterios'!$C$10,MAX('01_Criterios'!$C$9,'01_Criterios'!$C$9+('01_Criterios'!$C$10-'01_Criterios'!$C$9)*('04_Dados_Ajustados'!R24-'03_Base_Indice'!$H24)/('03_Base_Indice'!$I24-'03_Base_Indice'!$H24))),MIN('01_Criterios'!$C$10,MAX('01_Criterios'!$C$9,'01_Criterios'!$C$9+('01_Criterios'!$C$10-'01_Criterios'!$C$9)*('03_Base_Indice'!$I24-'04_Dados_Ajustados'!R24)/('03_Base_Indice'!$I24-'03_Base_Indice'!$H24))))))</f>
        <v/>
      </c>
      <c r="S24" s="31" t="str">
        <f>IF($D24="","",IF('04_Dados_Ajustados'!S24="","",IF('03_Base_Indice'!$G24="+",MIN('01_Criterios'!$C$10,MAX('01_Criterios'!$C$9,'01_Criterios'!$C$9+('01_Criterios'!$C$10-'01_Criterios'!$C$9)*('04_Dados_Ajustados'!S24-'03_Base_Indice'!$H24)/('03_Base_Indice'!$I24-'03_Base_Indice'!$H24))),MIN('01_Criterios'!$C$10,MAX('01_Criterios'!$C$9,'01_Criterios'!$C$9+('01_Criterios'!$C$10-'01_Criterios'!$C$9)*('03_Base_Indice'!$I24-'04_Dados_Ajustados'!S24)/('03_Base_Indice'!$I24-'03_Base_Indice'!$H24))))))</f>
        <v/>
      </c>
      <c r="T24" s="31" t="str">
        <f>IF($D24="","",IF('04_Dados_Ajustados'!T24="","",IF('03_Base_Indice'!$G24="+",MIN('01_Criterios'!$C$10,MAX('01_Criterios'!$C$9,'01_Criterios'!$C$9+('01_Criterios'!$C$10-'01_Criterios'!$C$9)*('04_Dados_Ajustados'!T24-'03_Base_Indice'!$H24)/('03_Base_Indice'!$I24-'03_Base_Indice'!$H24))),MIN('01_Criterios'!$C$10,MAX('01_Criterios'!$C$9,'01_Criterios'!$C$9+('01_Criterios'!$C$10-'01_Criterios'!$C$9)*('03_Base_Indice'!$I24-'04_Dados_Ajustados'!T24)/('03_Base_Indice'!$I24-'03_Base_Indice'!$H24))))))</f>
        <v/>
      </c>
      <c r="U24" s="31" t="str">
        <f>IF($D24="","",IF('04_Dados_Ajustados'!U24="","",IF('03_Base_Indice'!$G24="+",MIN('01_Criterios'!$C$10,MAX('01_Criterios'!$C$9,'01_Criterios'!$C$9+('01_Criterios'!$C$10-'01_Criterios'!$C$9)*('04_Dados_Ajustados'!U24-'03_Base_Indice'!$H24)/('03_Base_Indice'!$I24-'03_Base_Indice'!$H24))),MIN('01_Criterios'!$C$10,MAX('01_Criterios'!$C$9,'01_Criterios'!$C$9+('01_Criterios'!$C$10-'01_Criterios'!$C$9)*('03_Base_Indice'!$I24-'04_Dados_Ajustados'!U24)/('03_Base_Indice'!$I24-'03_Base_Indice'!$H24))))))</f>
        <v/>
      </c>
    </row>
    <row r="25" spans="1:21">
      <c r="A25" s="6" t="str">
        <f>IF('03_Base_Indice'!$A25="","",'03_Base_Indice'!$A25)</f>
        <v>3. Capital Humano</v>
      </c>
      <c r="B25" s="6">
        <f>'03_Base_Indice'!$B25</f>
        <v>1</v>
      </c>
      <c r="D25" s="6" t="str">
        <f>IF('03_Base_Indice'!$D25="","",'03_Base_Indice'!$D25)</f>
        <v>HUM002</v>
      </c>
      <c r="E25" s="6" t="str">
        <f>IF('03_Base_Indice'!$E25="","",'03_Base_Indice'!$E25)</f>
        <v>Esperança Média de Vida</v>
      </c>
      <c r="G25" s="20" t="str">
        <f>IF('03_Base_Indice'!$G25="","",'03_Base_Indice'!$G25)</f>
        <v>+</v>
      </c>
      <c r="K25" s="31">
        <f>IF($D25="","",IF('04_Dados_Ajustados'!K25="","",IF('03_Base_Indice'!$G25="+",MIN('01_Criterios'!$C$10,MAX('01_Criterios'!$C$9,'01_Criterios'!$C$9+('01_Criterios'!$C$10-'01_Criterios'!$C$9)*('04_Dados_Ajustados'!K25-'03_Base_Indice'!$H25)/('03_Base_Indice'!$I25-'03_Base_Indice'!$H25))),MIN('01_Criterios'!$C$10,MAX('01_Criterios'!$C$9,'01_Criterios'!$C$9+('01_Criterios'!$C$10-'01_Criterios'!$C$9)*('03_Base_Indice'!$I25-'04_Dados_Ajustados'!K25)/('03_Base_Indice'!$I25-'03_Base_Indice'!$H25))))))</f>
        <v>46.760000000000005</v>
      </c>
      <c r="L25" s="31">
        <f>IF($D25="","",IF('04_Dados_Ajustados'!L25="","",IF('03_Base_Indice'!$G25="+",MIN('01_Criterios'!$C$10,MAX('01_Criterios'!$C$9,'01_Criterios'!$C$9+('01_Criterios'!$C$10-'01_Criterios'!$C$9)*('04_Dados_Ajustados'!L25-'03_Base_Indice'!$H25)/('03_Base_Indice'!$I25-'03_Base_Indice'!$H25))),MIN('01_Criterios'!$C$10,MAX('01_Criterios'!$C$9,'01_Criterios'!$C$9+('01_Criterios'!$C$10-'01_Criterios'!$C$9)*('03_Base_Indice'!$I25-'04_Dados_Ajustados'!L25)/('03_Base_Indice'!$I25-'03_Base_Indice'!$H25))))))</f>
        <v>48.042222222222222</v>
      </c>
      <c r="M25" s="31">
        <f>IF($D25="","",IF('04_Dados_Ajustados'!M25="","",IF('03_Base_Indice'!$G25="+",MIN('01_Criterios'!$C$10,MAX('01_Criterios'!$C$9,'01_Criterios'!$C$9+('01_Criterios'!$C$10-'01_Criterios'!$C$9)*('04_Dados_Ajustados'!M25-'03_Base_Indice'!$H25)/('03_Base_Indice'!$I25-'03_Base_Indice'!$H25))),MIN('01_Criterios'!$C$10,MAX('01_Criterios'!$C$9,'01_Criterios'!$C$9+('01_Criterios'!$C$10-'01_Criterios'!$C$9)*('03_Base_Indice'!$I25-'04_Dados_Ajustados'!M25)/('03_Base_Indice'!$I25-'03_Base_Indice'!$H25))))))</f>
        <v>49.16</v>
      </c>
      <c r="N25" s="31">
        <f>IF($D25="","",IF('04_Dados_Ajustados'!N25="","",IF('03_Base_Indice'!$G25="+",MIN('01_Criterios'!$C$10,MAX('01_Criterios'!$C$9,'01_Criterios'!$C$9+('01_Criterios'!$C$10-'01_Criterios'!$C$9)*('04_Dados_Ajustados'!N25-'03_Base_Indice'!$H25)/('03_Base_Indice'!$I25-'03_Base_Indice'!$H25))),MIN('01_Criterios'!$C$10,MAX('01_Criterios'!$C$9,'01_Criterios'!$C$9+('01_Criterios'!$C$10-'01_Criterios'!$C$9)*('03_Base_Indice'!$I25-'04_Dados_Ajustados'!N25)/('03_Base_Indice'!$I25-'03_Base_Indice'!$H25))))))</f>
        <v>50.271111111111104</v>
      </c>
      <c r="O25" s="31">
        <f>IF($D25="","",IF('04_Dados_Ajustados'!O25="","",IF('03_Base_Indice'!$G25="+",MIN('01_Criterios'!$C$10,MAX('01_Criterios'!$C$9,'01_Criterios'!$C$9+('01_Criterios'!$C$10-'01_Criterios'!$C$9)*('04_Dados_Ajustados'!O25-'03_Base_Indice'!$H25)/('03_Base_Indice'!$I25-'03_Base_Indice'!$H25))),MIN('01_Criterios'!$C$10,MAX('01_Criterios'!$C$9,'01_Criterios'!$C$9+('01_Criterios'!$C$10-'01_Criterios'!$C$9)*('03_Base_Indice'!$I25-'04_Dados_Ajustados'!O25)/('03_Base_Indice'!$I25-'03_Base_Indice'!$H25))))))</f>
        <v>51.224444444444451</v>
      </c>
      <c r="P25" s="31">
        <f>IF($D25="","",IF('04_Dados_Ajustados'!P25="","",IF('03_Base_Indice'!$G25="+",MIN('01_Criterios'!$C$10,MAX('01_Criterios'!$C$9,'01_Criterios'!$C$9+('01_Criterios'!$C$10-'01_Criterios'!$C$9)*('04_Dados_Ajustados'!P25-'03_Base_Indice'!$H25)/('03_Base_Indice'!$I25-'03_Base_Indice'!$H25))),MIN('01_Criterios'!$C$10,MAX('01_Criterios'!$C$9,'01_Criterios'!$C$9+('01_Criterios'!$C$10-'01_Criterios'!$C$9)*('03_Base_Indice'!$I25-'04_Dados_Ajustados'!P25)/('03_Base_Indice'!$I25-'03_Base_Indice'!$H25))))))</f>
        <v>51.36888888888889</v>
      </c>
      <c r="Q25" s="31">
        <f>IF($D25="","",IF('04_Dados_Ajustados'!Q25="","",IF('03_Base_Indice'!$G25="+",MIN('01_Criterios'!$C$10,MAX('01_Criterios'!$C$9,'01_Criterios'!$C$9+('01_Criterios'!$C$10-'01_Criterios'!$C$9)*('04_Dados_Ajustados'!Q25-'03_Base_Indice'!$H25)/('03_Base_Indice'!$I25-'03_Base_Indice'!$H25))),MIN('01_Criterios'!$C$10,MAX('01_Criterios'!$C$9,'01_Criterios'!$C$9+('01_Criterios'!$C$10-'01_Criterios'!$C$9)*('03_Base_Indice'!$I25-'04_Dados_Ajustados'!Q25)/('03_Base_Indice'!$I25-'03_Base_Indice'!$H25))))))</f>
        <v>51.017777777777773</v>
      </c>
      <c r="R25" s="31">
        <f>IF($D25="","",IF('04_Dados_Ajustados'!R25="","",IF('03_Base_Indice'!$G25="+",MIN('01_Criterios'!$C$10,MAX('01_Criterios'!$C$9,'01_Criterios'!$C$9+('01_Criterios'!$C$10-'01_Criterios'!$C$9)*('04_Dados_Ajustados'!R25-'03_Base_Indice'!$H25)/('03_Base_Indice'!$I25-'03_Base_Indice'!$H25))),MIN('01_Criterios'!$C$10,MAX('01_Criterios'!$C$9,'01_Criterios'!$C$9+('01_Criterios'!$C$10-'01_Criterios'!$C$9)*('03_Base_Indice'!$I25-'04_Dados_Ajustados'!R25)/('03_Base_Indice'!$I25-'03_Base_Indice'!$H25))))))</f>
        <v>53.879999999999988</v>
      </c>
      <c r="S25" s="31">
        <f>IF($D25="","",IF('04_Dados_Ajustados'!S25="","",IF('03_Base_Indice'!$G25="+",MIN('01_Criterios'!$C$10,MAX('01_Criterios'!$C$9,'01_Criterios'!$C$9+('01_Criterios'!$C$10-'01_Criterios'!$C$9)*('04_Dados_Ajustados'!S25-'03_Base_Indice'!$H25)/('03_Base_Indice'!$I25-'03_Base_Indice'!$H25))),MIN('01_Criterios'!$C$10,MAX('01_Criterios'!$C$9,'01_Criterios'!$C$9+('01_Criterios'!$C$10-'01_Criterios'!$C$9)*('03_Base_Indice'!$I25-'04_Dados_Ajustados'!S25)/('03_Base_Indice'!$I25-'03_Base_Indice'!$H25))))))</f>
        <v>54.704444444444448</v>
      </c>
      <c r="T25" s="31">
        <f>IF($D25="","",IF('04_Dados_Ajustados'!T25="","",IF('03_Base_Indice'!$G25="+",MIN('01_Criterios'!$C$10,MAX('01_Criterios'!$C$9,'01_Criterios'!$C$9+('01_Criterios'!$C$10-'01_Criterios'!$C$9)*('04_Dados_Ajustados'!T25-'03_Base_Indice'!$H25)/('03_Base_Indice'!$I25-'03_Base_Indice'!$H25))),MIN('01_Criterios'!$C$10,MAX('01_Criterios'!$C$9,'01_Criterios'!$C$9+('01_Criterios'!$C$10-'01_Criterios'!$C$9)*('03_Base_Indice'!$I25-'04_Dados_Ajustados'!T25)/('03_Base_Indice'!$I25-'03_Base_Indice'!$H25))))))</f>
        <v>55.122222222222241</v>
      </c>
      <c r="U25" s="31">
        <f>IF($D25="","",IF('04_Dados_Ajustados'!U25="","",IF('03_Base_Indice'!$G25="+",MIN('01_Criterios'!$C$10,MAX('01_Criterios'!$C$9,'01_Criterios'!$C$9+('01_Criterios'!$C$10-'01_Criterios'!$C$9)*('04_Dados_Ajustados'!U25-'03_Base_Indice'!$H25)/('03_Base_Indice'!$I25-'03_Base_Indice'!$H25))),MIN('01_Criterios'!$C$10,MAX('01_Criterios'!$C$9,'01_Criterios'!$C$9+('01_Criterios'!$C$10-'01_Criterios'!$C$9)*('03_Base_Indice'!$I25-'04_Dados_Ajustados'!U25)/('03_Base_Indice'!$I25-'03_Base_Indice'!$H25))))))</f>
        <v>55.555555555555557</v>
      </c>
    </row>
    <row r="26" spans="1:21">
      <c r="A26" s="6" t="str">
        <f>IF('03_Base_Indice'!$A26="","",'03_Base_Indice'!$A26)</f>
        <v>3. Capital Humano</v>
      </c>
      <c r="B26" s="6">
        <f>'03_Base_Indice'!$B26</f>
        <v>2</v>
      </c>
      <c r="D26" s="6" t="str">
        <f>IF('03_Base_Indice'!$D26="","",'03_Base_Indice'!$D26)</f>
        <v>HUM006</v>
      </c>
      <c r="E26" s="6" t="str">
        <f>IF('03_Base_Indice'!$E26="","",'03_Base_Indice'!$E26)</f>
        <v>Mortalidade Infantil (por 1000)</v>
      </c>
      <c r="G26" s="20" t="str">
        <f>IF('03_Base_Indice'!$G26="","",'03_Base_Indice'!$G26)</f>
        <v>-</v>
      </c>
      <c r="K26" s="31">
        <f>IF($D26="","",IF('04_Dados_Ajustados'!K26="","",IF('03_Base_Indice'!$G26="+",MIN('01_Criterios'!$C$10,MAX('01_Criterios'!$C$9,'01_Criterios'!$C$9+('01_Criterios'!$C$10-'01_Criterios'!$C$9)*('04_Dados_Ajustados'!K26-'03_Base_Indice'!$H26)/('03_Base_Indice'!$I26-'03_Base_Indice'!$H26))),MIN('01_Criterios'!$C$10,MAX('01_Criterios'!$C$9,'01_Criterios'!$C$9+('01_Criterios'!$C$10-'01_Criterios'!$C$9)*('03_Base_Indice'!$I26-'04_Dados_Ajustados'!K26)/('03_Base_Indice'!$I26-'03_Base_Indice'!$H26))))))</f>
        <v>74.13333333333334</v>
      </c>
      <c r="L26" s="31">
        <f>IF($D26="","",IF('04_Dados_Ajustados'!L26="","",IF('03_Base_Indice'!$G26="+",MIN('01_Criterios'!$C$10,MAX('01_Criterios'!$C$9,'01_Criterios'!$C$9+('01_Criterios'!$C$10-'01_Criterios'!$C$9)*('04_Dados_Ajustados'!L26-'03_Base_Indice'!$H26)/('03_Base_Indice'!$I26-'03_Base_Indice'!$H26))),MIN('01_Criterios'!$C$10,MAX('01_Criterios'!$C$9,'01_Criterios'!$C$9+('01_Criterios'!$C$10-'01_Criterios'!$C$9)*('03_Base_Indice'!$I26-'04_Dados_Ajustados'!L26)/('03_Base_Indice'!$I26-'03_Base_Indice'!$H26))))))</f>
        <v>74.933333333333337</v>
      </c>
      <c r="M26" s="31">
        <f>IF($D26="","",IF('04_Dados_Ajustados'!M26="","",IF('03_Base_Indice'!$G26="+",MIN('01_Criterios'!$C$10,MAX('01_Criterios'!$C$9,'01_Criterios'!$C$9+('01_Criterios'!$C$10-'01_Criterios'!$C$9)*('04_Dados_Ajustados'!M26-'03_Base_Indice'!$H26)/('03_Base_Indice'!$I26-'03_Base_Indice'!$H26))),MIN('01_Criterios'!$C$10,MAX('01_Criterios'!$C$9,'01_Criterios'!$C$9+('01_Criterios'!$C$10-'01_Criterios'!$C$9)*('03_Base_Indice'!$I26-'04_Dados_Ajustados'!M26)/('03_Base_Indice'!$I26-'03_Base_Indice'!$H26))))))</f>
        <v>75.533333333333331</v>
      </c>
      <c r="N26" s="31">
        <f>IF($D26="","",IF('04_Dados_Ajustados'!N26="","",IF('03_Base_Indice'!$G26="+",MIN('01_Criterios'!$C$10,MAX('01_Criterios'!$C$9,'01_Criterios'!$C$9+('01_Criterios'!$C$10-'01_Criterios'!$C$9)*('04_Dados_Ajustados'!N26-'03_Base_Indice'!$H26)/('03_Base_Indice'!$I26-'03_Base_Indice'!$H26))),MIN('01_Criterios'!$C$10,MAX('01_Criterios'!$C$9,'01_Criterios'!$C$9+('01_Criterios'!$C$10-'01_Criterios'!$C$9)*('03_Base_Indice'!$I26-'04_Dados_Ajustados'!N26)/('03_Base_Indice'!$I26-'03_Base_Indice'!$H26))))))</f>
        <v>76</v>
      </c>
      <c r="O26" s="31">
        <f>IF($D26="","",IF('04_Dados_Ajustados'!O26="","",IF('03_Base_Indice'!$G26="+",MIN('01_Criterios'!$C$10,MAX('01_Criterios'!$C$9,'01_Criterios'!$C$9+('01_Criterios'!$C$10-'01_Criterios'!$C$9)*('04_Dados_Ajustados'!O26-'03_Base_Indice'!$H26)/('03_Base_Indice'!$I26-'03_Base_Indice'!$H26))),MIN('01_Criterios'!$C$10,MAX('01_Criterios'!$C$9,'01_Criterios'!$C$9+('01_Criterios'!$C$10-'01_Criterios'!$C$9)*('03_Base_Indice'!$I26-'04_Dados_Ajustados'!O26)/('03_Base_Indice'!$I26-'03_Base_Indice'!$H26))))))</f>
        <v>76.333333333333329</v>
      </c>
      <c r="P26" s="31">
        <f>IF($D26="","",IF('04_Dados_Ajustados'!P26="","",IF('03_Base_Indice'!$G26="+",MIN('01_Criterios'!$C$10,MAX('01_Criterios'!$C$9,'01_Criterios'!$C$9+('01_Criterios'!$C$10-'01_Criterios'!$C$9)*('04_Dados_Ajustados'!P26-'03_Base_Indice'!$H26)/('03_Base_Indice'!$I26-'03_Base_Indice'!$H26))),MIN('01_Criterios'!$C$10,MAX('01_Criterios'!$C$9,'01_Criterios'!$C$9+('01_Criterios'!$C$10-'01_Criterios'!$C$9)*('03_Base_Indice'!$I26-'04_Dados_Ajustados'!P26)/('03_Base_Indice'!$I26-'03_Base_Indice'!$H26))))))</f>
        <v>76.733333333333334</v>
      </c>
      <c r="Q26" s="31">
        <f>IF($D26="","",IF('04_Dados_Ajustados'!Q26="","",IF('03_Base_Indice'!$G26="+",MIN('01_Criterios'!$C$10,MAX('01_Criterios'!$C$9,'01_Criterios'!$C$9+('01_Criterios'!$C$10-'01_Criterios'!$C$9)*('04_Dados_Ajustados'!Q26-'03_Base_Indice'!$H26)/('03_Base_Indice'!$I26-'03_Base_Indice'!$H26))),MIN('01_Criterios'!$C$10,MAX('01_Criterios'!$C$9,'01_Criterios'!$C$9+('01_Criterios'!$C$10-'01_Criterios'!$C$9)*('03_Base_Indice'!$I26-'04_Dados_Ajustados'!Q26)/('03_Base_Indice'!$I26-'03_Base_Indice'!$H26))))))</f>
        <v>77.066666666666663</v>
      </c>
      <c r="R26" s="31">
        <f>IF($D26="","",IF('04_Dados_Ajustados'!R26="","",IF('03_Base_Indice'!$G26="+",MIN('01_Criterios'!$C$10,MAX('01_Criterios'!$C$9,'01_Criterios'!$C$9+('01_Criterios'!$C$10-'01_Criterios'!$C$9)*('04_Dados_Ajustados'!R26-'03_Base_Indice'!$H26)/('03_Base_Indice'!$I26-'03_Base_Indice'!$H26))),MIN('01_Criterios'!$C$10,MAX('01_Criterios'!$C$9,'01_Criterios'!$C$9+('01_Criterios'!$C$10-'01_Criterios'!$C$9)*('03_Base_Indice'!$I26-'04_Dados_Ajustados'!R26)/('03_Base_Indice'!$I26-'03_Base_Indice'!$H26))))))</f>
        <v>77.533333333333331</v>
      </c>
      <c r="S26" s="31">
        <f>IF($D26="","",IF('04_Dados_Ajustados'!S26="","",IF('03_Base_Indice'!$G26="+",MIN('01_Criterios'!$C$10,MAX('01_Criterios'!$C$9,'01_Criterios'!$C$9+('01_Criterios'!$C$10-'01_Criterios'!$C$9)*('04_Dados_Ajustados'!S26-'03_Base_Indice'!$H26)/('03_Base_Indice'!$I26-'03_Base_Indice'!$H26))),MIN('01_Criterios'!$C$10,MAX('01_Criterios'!$C$9,'01_Criterios'!$C$9+('01_Criterios'!$C$10-'01_Criterios'!$C$9)*('03_Base_Indice'!$I26-'04_Dados_Ajustados'!S26)/('03_Base_Indice'!$I26-'03_Base_Indice'!$H26))))))</f>
        <v>78</v>
      </c>
      <c r="T26" s="31">
        <f>IF($D26="","",IF('04_Dados_Ajustados'!T26="","",IF('03_Base_Indice'!$G26="+",MIN('01_Criterios'!$C$10,MAX('01_Criterios'!$C$9,'01_Criterios'!$C$9+('01_Criterios'!$C$10-'01_Criterios'!$C$9)*('04_Dados_Ajustados'!T26-'03_Base_Indice'!$H26)/('03_Base_Indice'!$I26-'03_Base_Indice'!$H26))),MIN('01_Criterios'!$C$10,MAX('01_Criterios'!$C$9,'01_Criterios'!$C$9+('01_Criterios'!$C$10-'01_Criterios'!$C$9)*('03_Base_Indice'!$I26-'04_Dados_Ajustados'!T26)/('03_Base_Indice'!$I26-'03_Base_Indice'!$H26))))))</f>
        <v>78.599999999999994</v>
      </c>
      <c r="U26" s="31">
        <f>IF($D26="","",IF('04_Dados_Ajustados'!U26="","",IF('03_Base_Indice'!$G26="+",MIN('01_Criterios'!$C$10,MAX('01_Criterios'!$C$9,'01_Criterios'!$C$9+('01_Criterios'!$C$10-'01_Criterios'!$C$9)*('04_Dados_Ajustados'!U26-'03_Base_Indice'!$H26)/('03_Base_Indice'!$I26-'03_Base_Indice'!$H26))),MIN('01_Criterios'!$C$10,MAX('01_Criterios'!$C$9,'01_Criterios'!$C$9+('01_Criterios'!$C$10-'01_Criterios'!$C$9)*('03_Base_Indice'!$I26-'04_Dados_Ajustados'!U26)/('03_Base_Indice'!$I26-'03_Base_Indice'!$H26))))))</f>
        <v>78.599999999999994</v>
      </c>
    </row>
    <row r="27" spans="1:21">
      <c r="A27" s="6" t="str">
        <f>IF('03_Base_Indice'!$A27="","",'03_Base_Indice'!$A27)</f>
        <v>3. Capital Humano</v>
      </c>
      <c r="B27" s="6">
        <f>'03_Base_Indice'!$B27</f>
        <v>3</v>
      </c>
      <c r="D27" s="6" t="str">
        <f>IF('03_Base_Indice'!$D27="","",'03_Base_Indice'!$D27)</f>
        <v>HUM030</v>
      </c>
      <c r="E27" s="6" t="str">
        <f>IF('03_Base_Indice'!$E27="","",'03_Base_Indice'!$E27)</f>
        <v>Anos de escolaridade obrigatória</v>
      </c>
      <c r="G27" s="20" t="str">
        <f>IF('03_Base_Indice'!$G27="","",'03_Base_Indice'!$G27)</f>
        <v>+</v>
      </c>
      <c r="K27" s="31">
        <f>IF($D27="","",IF('04_Dados_Ajustados'!K27="","",IF('03_Base_Indice'!$G27="+",MIN('01_Criterios'!$C$10,MAX('01_Criterios'!$C$9,'01_Criterios'!$C$9+('01_Criterios'!$C$10-'01_Criterios'!$C$9)*('04_Dados_Ajustados'!K27-'03_Base_Indice'!$H27)/('03_Base_Indice'!$I27-'03_Base_Indice'!$H27))),MIN('01_Criterios'!$C$10,MAX('01_Criterios'!$C$9,'01_Criterios'!$C$9+('01_Criterios'!$C$10-'01_Criterios'!$C$9)*('03_Base_Indice'!$I27-'04_Dados_Ajustados'!K27)/('03_Base_Indice'!$I27-'03_Base_Indice'!$H27))))))</f>
        <v>46.153846153846153</v>
      </c>
      <c r="L27" s="31">
        <f>IF($D27="","",IF('04_Dados_Ajustados'!L27="","",IF('03_Base_Indice'!$G27="+",MIN('01_Criterios'!$C$10,MAX('01_Criterios'!$C$9,'01_Criterios'!$C$9+('01_Criterios'!$C$10-'01_Criterios'!$C$9)*('04_Dados_Ajustados'!L27-'03_Base_Indice'!$H27)/('03_Base_Indice'!$I27-'03_Base_Indice'!$H27))),MIN('01_Criterios'!$C$10,MAX('01_Criterios'!$C$9,'01_Criterios'!$C$9+('01_Criterios'!$C$10-'01_Criterios'!$C$9)*('03_Base_Indice'!$I27-'04_Dados_Ajustados'!L27)/('03_Base_Indice'!$I27-'03_Base_Indice'!$H27))))))</f>
        <v>76.92307692307692</v>
      </c>
      <c r="M27" s="31">
        <f>IF($D27="","",IF('04_Dados_Ajustados'!M27="","",IF('03_Base_Indice'!$G27="+",MIN('01_Criterios'!$C$10,MAX('01_Criterios'!$C$9,'01_Criterios'!$C$9+('01_Criterios'!$C$10-'01_Criterios'!$C$9)*('04_Dados_Ajustados'!M27-'03_Base_Indice'!$H27)/('03_Base_Indice'!$I27-'03_Base_Indice'!$H27))),MIN('01_Criterios'!$C$10,MAX('01_Criterios'!$C$9,'01_Criterios'!$C$9+('01_Criterios'!$C$10-'01_Criterios'!$C$9)*('03_Base_Indice'!$I27-'04_Dados_Ajustados'!M27)/('03_Base_Indice'!$I27-'03_Base_Indice'!$H27))))))</f>
        <v>76.92307692307692</v>
      </c>
      <c r="N27" s="31">
        <f>IF($D27="","",IF('04_Dados_Ajustados'!N27="","",IF('03_Base_Indice'!$G27="+",MIN('01_Criterios'!$C$10,MAX('01_Criterios'!$C$9,'01_Criterios'!$C$9+('01_Criterios'!$C$10-'01_Criterios'!$C$9)*('04_Dados_Ajustados'!N27-'03_Base_Indice'!$H27)/('03_Base_Indice'!$I27-'03_Base_Indice'!$H27))),MIN('01_Criterios'!$C$10,MAX('01_Criterios'!$C$9,'01_Criterios'!$C$9+('01_Criterios'!$C$10-'01_Criterios'!$C$9)*('03_Base_Indice'!$I27-'04_Dados_Ajustados'!N27)/('03_Base_Indice'!$I27-'03_Base_Indice'!$H27))))))</f>
        <v>76.92307692307692</v>
      </c>
      <c r="O27" s="31">
        <f>IF($D27="","",IF('04_Dados_Ajustados'!O27="","",IF('03_Base_Indice'!$G27="+",MIN('01_Criterios'!$C$10,MAX('01_Criterios'!$C$9,'01_Criterios'!$C$9+('01_Criterios'!$C$10-'01_Criterios'!$C$9)*('04_Dados_Ajustados'!O27-'03_Base_Indice'!$H27)/('03_Base_Indice'!$I27-'03_Base_Indice'!$H27))),MIN('01_Criterios'!$C$10,MAX('01_Criterios'!$C$9,'01_Criterios'!$C$9+('01_Criterios'!$C$10-'01_Criterios'!$C$9)*('03_Base_Indice'!$I27-'04_Dados_Ajustados'!O27)/('03_Base_Indice'!$I27-'03_Base_Indice'!$H27))))))</f>
        <v>76.92307692307692</v>
      </c>
      <c r="P27" s="31">
        <f>IF($D27="","",IF('04_Dados_Ajustados'!P27="","",IF('03_Base_Indice'!$G27="+",MIN('01_Criterios'!$C$10,MAX('01_Criterios'!$C$9,'01_Criterios'!$C$9+('01_Criterios'!$C$10-'01_Criterios'!$C$9)*('04_Dados_Ajustados'!P27-'03_Base_Indice'!$H27)/('03_Base_Indice'!$I27-'03_Base_Indice'!$H27))),MIN('01_Criterios'!$C$10,MAX('01_Criterios'!$C$9,'01_Criterios'!$C$9+('01_Criterios'!$C$10-'01_Criterios'!$C$9)*('03_Base_Indice'!$I27-'04_Dados_Ajustados'!P27)/('03_Base_Indice'!$I27-'03_Base_Indice'!$H27))))))</f>
        <v>76.92307692307692</v>
      </c>
      <c r="Q27" s="31">
        <f>IF($D27="","",IF('04_Dados_Ajustados'!Q27="","",IF('03_Base_Indice'!$G27="+",MIN('01_Criterios'!$C$10,MAX('01_Criterios'!$C$9,'01_Criterios'!$C$9+('01_Criterios'!$C$10-'01_Criterios'!$C$9)*('04_Dados_Ajustados'!Q27-'03_Base_Indice'!$H27)/('03_Base_Indice'!$I27-'03_Base_Indice'!$H27))),MIN('01_Criterios'!$C$10,MAX('01_Criterios'!$C$9,'01_Criterios'!$C$9+('01_Criterios'!$C$10-'01_Criterios'!$C$9)*('03_Base_Indice'!$I27-'04_Dados_Ajustados'!Q27)/('03_Base_Indice'!$I27-'03_Base_Indice'!$H27))))))</f>
        <v>76.92307692307692</v>
      </c>
      <c r="R27" s="31">
        <f>IF($D27="","",IF('04_Dados_Ajustados'!R27="","",IF('03_Base_Indice'!$G27="+",MIN('01_Criterios'!$C$10,MAX('01_Criterios'!$C$9,'01_Criterios'!$C$9+('01_Criterios'!$C$10-'01_Criterios'!$C$9)*('04_Dados_Ajustados'!R27-'03_Base_Indice'!$H27)/('03_Base_Indice'!$I27-'03_Base_Indice'!$H27))),MIN('01_Criterios'!$C$10,MAX('01_Criterios'!$C$9,'01_Criterios'!$C$9+('01_Criterios'!$C$10-'01_Criterios'!$C$9)*('03_Base_Indice'!$I27-'04_Dados_Ajustados'!R27)/('03_Base_Indice'!$I27-'03_Base_Indice'!$H27))))))</f>
        <v>76.92307692307692</v>
      </c>
      <c r="S27" s="31">
        <f>IF($D27="","",IF('04_Dados_Ajustados'!S27="","",IF('03_Base_Indice'!$G27="+",MIN('01_Criterios'!$C$10,MAX('01_Criterios'!$C$9,'01_Criterios'!$C$9+('01_Criterios'!$C$10-'01_Criterios'!$C$9)*('04_Dados_Ajustados'!S27-'03_Base_Indice'!$H27)/('03_Base_Indice'!$I27-'03_Base_Indice'!$H27))),MIN('01_Criterios'!$C$10,MAX('01_Criterios'!$C$9,'01_Criterios'!$C$9+('01_Criterios'!$C$10-'01_Criterios'!$C$9)*('03_Base_Indice'!$I27-'04_Dados_Ajustados'!S27)/('03_Base_Indice'!$I27-'03_Base_Indice'!$H27))))))</f>
        <v>76.92307692307692</v>
      </c>
      <c r="T27" s="31">
        <f>IF($D27="","",IF('04_Dados_Ajustados'!T27="","",IF('03_Base_Indice'!$G27="+",MIN('01_Criterios'!$C$10,MAX('01_Criterios'!$C$9,'01_Criterios'!$C$9+('01_Criterios'!$C$10-'01_Criterios'!$C$9)*('04_Dados_Ajustados'!T27-'03_Base_Indice'!$H27)/('03_Base_Indice'!$I27-'03_Base_Indice'!$H27))),MIN('01_Criterios'!$C$10,MAX('01_Criterios'!$C$9,'01_Criterios'!$C$9+('01_Criterios'!$C$10-'01_Criterios'!$C$9)*('03_Base_Indice'!$I27-'04_Dados_Ajustados'!T27)/('03_Base_Indice'!$I27-'03_Base_Indice'!$H27))))))</f>
        <v>76.92307692307692</v>
      </c>
      <c r="U27" s="31">
        <f>IF($D27="","",IF('04_Dados_Ajustados'!U27="","",IF('03_Base_Indice'!$G27="+",MIN('01_Criterios'!$C$10,MAX('01_Criterios'!$C$9,'01_Criterios'!$C$9+('01_Criterios'!$C$10-'01_Criterios'!$C$9)*('04_Dados_Ajustados'!U27-'03_Base_Indice'!$H27)/('03_Base_Indice'!$I27-'03_Base_Indice'!$H27))),MIN('01_Criterios'!$C$10,MAX('01_Criterios'!$C$9,'01_Criterios'!$C$9+('01_Criterios'!$C$10-'01_Criterios'!$C$9)*('03_Base_Indice'!$I27-'04_Dados_Ajustados'!U27)/('03_Base_Indice'!$I27-'03_Base_Indice'!$H27))))))</f>
        <v>76.92307692307692</v>
      </c>
    </row>
    <row r="28" spans="1:21">
      <c r="A28" s="6" t="str">
        <f>IF('03_Base_Indice'!$A28="","",'03_Base_Indice'!$A28)</f>
        <v>3. Capital Humano</v>
      </c>
      <c r="B28" s="6">
        <f>'03_Base_Indice'!$B28</f>
        <v>4</v>
      </c>
      <c r="D28" s="6" t="str">
        <f>IF('03_Base_Indice'!$D28="","",'03_Base_Indice'!$D28)</f>
        <v>HUM010</v>
      </c>
      <c r="E28" s="6" t="str">
        <f>IF('03_Base_Indice'!$E28="","",'03_Base_Indice'!$E28)</f>
        <v>Despesa pública em educação (% PIB)</v>
      </c>
      <c r="G28" s="20" t="str">
        <f>IF('03_Base_Indice'!$G28="","",'03_Base_Indice'!$G28)</f>
        <v>+</v>
      </c>
      <c r="K28" s="31">
        <f>IF($D28="","",IF('04_Dados_Ajustados'!K28="","",IF('03_Base_Indice'!$G28="+",MIN('01_Criterios'!$C$10,MAX('01_Criterios'!$C$9,'01_Criterios'!$C$9+('01_Criterios'!$C$10-'01_Criterios'!$C$9)*('04_Dados_Ajustados'!K28-'03_Base_Indice'!$H28)/('03_Base_Indice'!$I28-'03_Base_Indice'!$H28))),MIN('01_Criterios'!$C$10,MAX('01_Criterios'!$C$9,'01_Criterios'!$C$9+('01_Criterios'!$C$10-'01_Criterios'!$C$9)*('03_Base_Indice'!$I28-'04_Dados_Ajustados'!K28)/('03_Base_Indice'!$I28-'03_Base_Indice'!$H28))))))</f>
        <v>34.868958039341301</v>
      </c>
      <c r="L28" s="31">
        <f>IF($D28="","",IF('04_Dados_Ajustados'!L28="","",IF('03_Base_Indice'!$G28="+",MIN('01_Criterios'!$C$10,MAX('01_Criterios'!$C$9,'01_Criterios'!$C$9+('01_Criterios'!$C$10-'01_Criterios'!$C$9)*('04_Dados_Ajustados'!L28-'03_Base_Indice'!$H28)/('03_Base_Indice'!$I28-'03_Base_Indice'!$H28))),MIN('01_Criterios'!$C$10,MAX('01_Criterios'!$C$9,'01_Criterios'!$C$9+('01_Criterios'!$C$10-'01_Criterios'!$C$9)*('03_Base_Indice'!$I28-'04_Dados_Ajustados'!L28)/('03_Base_Indice'!$I28-'03_Base_Indice'!$H28))))))</f>
        <v>27.549366458272505</v>
      </c>
      <c r="M28" s="31">
        <f>IF($D28="","",IF('04_Dados_Ajustados'!M28="","",IF('03_Base_Indice'!$G28="+",MIN('01_Criterios'!$C$10,MAX('01_Criterios'!$C$9,'01_Criterios'!$C$9+('01_Criterios'!$C$10-'01_Criterios'!$C$9)*('04_Dados_Ajustados'!M28-'03_Base_Indice'!$H28)/('03_Base_Indice'!$I28-'03_Base_Indice'!$H28))),MIN('01_Criterios'!$C$10,MAX('01_Criterios'!$C$9,'01_Criterios'!$C$9+('01_Criterios'!$C$10-'01_Criterios'!$C$9)*('03_Base_Indice'!$I28-'04_Dados_Ajustados'!M28)/('03_Base_Indice'!$I28-'03_Base_Indice'!$H28))))))</f>
        <v>24.668788110488599</v>
      </c>
      <c r="N28" s="31">
        <f>IF($D28="","",IF('04_Dados_Ajustados'!N28="","",IF('03_Base_Indice'!$G28="+",MIN('01_Criterios'!$C$10,MAX('01_Criterios'!$C$9,'01_Criterios'!$C$9+('01_Criterios'!$C$10-'01_Criterios'!$C$9)*('04_Dados_Ajustados'!N28-'03_Base_Indice'!$H28)/('03_Base_Indice'!$I28-'03_Base_Indice'!$H28))),MIN('01_Criterios'!$C$10,MAX('01_Criterios'!$C$9,'01_Criterios'!$C$9+('01_Criterios'!$C$10-'01_Criterios'!$C$9)*('03_Base_Indice'!$I28-'04_Dados_Ajustados'!N28)/('03_Base_Indice'!$I28-'03_Base_Indice'!$H28))))))</f>
        <v>21.835129894627499</v>
      </c>
      <c r="O28" s="31">
        <f>IF($D28="","",IF('04_Dados_Ajustados'!O28="","",IF('03_Base_Indice'!$G28="+",MIN('01_Criterios'!$C$10,MAX('01_Criterios'!$C$9,'01_Criterios'!$C$9+('01_Criterios'!$C$10-'01_Criterios'!$C$9)*('04_Dados_Ajustados'!O28-'03_Base_Indice'!$H28)/('03_Base_Indice'!$I28-'03_Base_Indice'!$H28))),MIN('01_Criterios'!$C$10,MAX('01_Criterios'!$C$9,'01_Criterios'!$C$9+('01_Criterios'!$C$10-'01_Criterios'!$C$9)*('03_Base_Indice'!$I28-'04_Dados_Ajustados'!O28)/('03_Base_Indice'!$I28-'03_Base_Indice'!$H28))))))</f>
        <v>20.730643818160299</v>
      </c>
      <c r="P28" s="31">
        <f>IF($D28="","",IF('04_Dados_Ajustados'!P28="","",IF('03_Base_Indice'!$G28="+",MIN('01_Criterios'!$C$10,MAX('01_Criterios'!$C$9,'01_Criterios'!$C$9+('01_Criterios'!$C$10-'01_Criterios'!$C$9)*('04_Dados_Ajustados'!P28-'03_Base_Indice'!$H28)/('03_Base_Indice'!$I28-'03_Base_Indice'!$H28))),MIN('01_Criterios'!$C$10,MAX('01_Criterios'!$C$9,'01_Criterios'!$C$9+('01_Criterios'!$C$10-'01_Criterios'!$C$9)*('03_Base_Indice'!$I28-'04_Dados_Ajustados'!P28)/('03_Base_Indice'!$I28-'03_Base_Indice'!$H28))))))</f>
        <v>26.674473368928499</v>
      </c>
      <c r="Q28" s="31">
        <f>IF($D28="","",IF('04_Dados_Ajustados'!Q28="","",IF('03_Base_Indice'!$G28="+",MIN('01_Criterios'!$C$10,MAX('01_Criterios'!$C$9,'01_Criterios'!$C$9+('01_Criterios'!$C$10-'01_Criterios'!$C$9)*('04_Dados_Ajustados'!Q28-'03_Base_Indice'!$H28)/('03_Base_Indice'!$I28-'03_Base_Indice'!$H28))),MIN('01_Criterios'!$C$10,MAX('01_Criterios'!$C$9,'01_Criterios'!$C$9+('01_Criterios'!$C$10-'01_Criterios'!$C$9)*('03_Base_Indice'!$I28-'04_Dados_Ajustados'!Q28)/('03_Base_Indice'!$I28-'03_Base_Indice'!$H28))))))</f>
        <v>22.971968951324101</v>
      </c>
      <c r="R28" s="31">
        <f>IF($D28="","",IF('04_Dados_Ajustados'!R28="","",IF('03_Base_Indice'!$G28="+",MIN('01_Criterios'!$C$10,MAX('01_Criterios'!$C$9,'01_Criterios'!$C$9+('01_Criterios'!$C$10-'01_Criterios'!$C$9)*('04_Dados_Ajustados'!R28-'03_Base_Indice'!$H28)/('03_Base_Indice'!$I28-'03_Base_Indice'!$H28))),MIN('01_Criterios'!$C$10,MAX('01_Criterios'!$C$9,'01_Criterios'!$C$9+('01_Criterios'!$C$10-'01_Criterios'!$C$9)*('03_Base_Indice'!$I28-'04_Dados_Ajustados'!R28)/('03_Base_Indice'!$I28-'03_Base_Indice'!$H28))))))</f>
        <v>23.8535898416633</v>
      </c>
      <c r="S28" s="31">
        <f>IF($D28="","",IF('04_Dados_Ajustados'!S28="","",IF('03_Base_Indice'!$G28="+",MIN('01_Criterios'!$C$10,MAX('01_Criterios'!$C$9,'01_Criterios'!$C$9+('01_Criterios'!$C$10-'01_Criterios'!$C$9)*('04_Dados_Ajustados'!S28-'03_Base_Indice'!$H28)/('03_Base_Indice'!$I28-'03_Base_Indice'!$H28))),MIN('01_Criterios'!$C$10,MAX('01_Criterios'!$C$9,'01_Criterios'!$C$9+('01_Criterios'!$C$10-'01_Criterios'!$C$9)*('03_Base_Indice'!$I28-'04_Dados_Ajustados'!S28)/('03_Base_Indice'!$I28-'03_Base_Indice'!$H28))))))</f>
        <v>25.1273663315785</v>
      </c>
      <c r="T28" s="31">
        <f>IF($D28="","",IF('04_Dados_Ajustados'!T28="","",IF('03_Base_Indice'!$G28="+",MIN('01_Criterios'!$C$10,MAX('01_Criterios'!$C$9,'01_Criterios'!$C$9+('01_Criterios'!$C$10-'01_Criterios'!$C$9)*('04_Dados_Ajustados'!T28-'03_Base_Indice'!$H28)/('03_Base_Indice'!$I28-'03_Base_Indice'!$H28))),MIN('01_Criterios'!$C$10,MAX('01_Criterios'!$C$9,'01_Criterios'!$C$9+('01_Criterios'!$C$10-'01_Criterios'!$C$9)*('03_Base_Indice'!$I28-'04_Dados_Ajustados'!T28)/('03_Base_Indice'!$I28-'03_Base_Indice'!$H28))))))</f>
        <v>25.1273663315785</v>
      </c>
      <c r="U28" s="31">
        <f>IF($D28="","",IF('04_Dados_Ajustados'!U28="","",IF('03_Base_Indice'!$G28="+",MIN('01_Criterios'!$C$10,MAX('01_Criterios'!$C$9,'01_Criterios'!$C$9+('01_Criterios'!$C$10-'01_Criterios'!$C$9)*('04_Dados_Ajustados'!U28-'03_Base_Indice'!$H28)/('03_Base_Indice'!$I28-'03_Base_Indice'!$H28))),MIN('01_Criterios'!$C$10,MAX('01_Criterios'!$C$9,'01_Criterios'!$C$9+('01_Criterios'!$C$10-'01_Criterios'!$C$9)*('03_Base_Indice'!$I28-'04_Dados_Ajustados'!U28)/('03_Base_Indice'!$I28-'03_Base_Indice'!$H28))))))</f>
        <v>25.1273663315785</v>
      </c>
    </row>
    <row r="29" spans="1:21">
      <c r="A29" s="6" t="str">
        <f>IF('03_Base_Indice'!$A29="","",'03_Base_Indice'!$A29)</f>
        <v>3. Capital Humano</v>
      </c>
      <c r="B29" s="6">
        <f>'03_Base_Indice'!$B29</f>
        <v>5</v>
      </c>
      <c r="D29" s="6" t="str">
        <f>IF('03_Base_Indice'!$D29="","",'03_Base_Indice'!$D29)</f>
        <v/>
      </c>
      <c r="E29" s="6" t="str">
        <f>IF('03_Base_Indice'!$E29="","",'03_Base_Indice'!$E29)</f>
        <v/>
      </c>
      <c r="G29" s="20" t="str">
        <f>IF('03_Base_Indice'!$G29="","",'03_Base_Indice'!$G29)</f>
        <v/>
      </c>
      <c r="K29" s="31" t="str">
        <f>IF($D29="","",IF('04_Dados_Ajustados'!K29="","",IF('03_Base_Indice'!$G29="+",MIN('01_Criterios'!$C$10,MAX('01_Criterios'!$C$9,'01_Criterios'!$C$9+('01_Criterios'!$C$10-'01_Criterios'!$C$9)*('04_Dados_Ajustados'!K29-'03_Base_Indice'!$H29)/('03_Base_Indice'!$I29-'03_Base_Indice'!$H29))),MIN('01_Criterios'!$C$10,MAX('01_Criterios'!$C$9,'01_Criterios'!$C$9+('01_Criterios'!$C$10-'01_Criterios'!$C$9)*('03_Base_Indice'!$I29-'04_Dados_Ajustados'!K29)/('03_Base_Indice'!$I29-'03_Base_Indice'!$H29))))))</f>
        <v/>
      </c>
      <c r="L29" s="31" t="str">
        <f>IF($D29="","",IF('04_Dados_Ajustados'!L29="","",IF('03_Base_Indice'!$G29="+",MIN('01_Criterios'!$C$10,MAX('01_Criterios'!$C$9,'01_Criterios'!$C$9+('01_Criterios'!$C$10-'01_Criterios'!$C$9)*('04_Dados_Ajustados'!L29-'03_Base_Indice'!$H29)/('03_Base_Indice'!$I29-'03_Base_Indice'!$H29))),MIN('01_Criterios'!$C$10,MAX('01_Criterios'!$C$9,'01_Criterios'!$C$9+('01_Criterios'!$C$10-'01_Criterios'!$C$9)*('03_Base_Indice'!$I29-'04_Dados_Ajustados'!L29)/('03_Base_Indice'!$I29-'03_Base_Indice'!$H29))))))</f>
        <v/>
      </c>
      <c r="M29" s="31" t="str">
        <f>IF($D29="","",IF('04_Dados_Ajustados'!M29="","",IF('03_Base_Indice'!$G29="+",MIN('01_Criterios'!$C$10,MAX('01_Criterios'!$C$9,'01_Criterios'!$C$9+('01_Criterios'!$C$10-'01_Criterios'!$C$9)*('04_Dados_Ajustados'!M29-'03_Base_Indice'!$H29)/('03_Base_Indice'!$I29-'03_Base_Indice'!$H29))),MIN('01_Criterios'!$C$10,MAX('01_Criterios'!$C$9,'01_Criterios'!$C$9+('01_Criterios'!$C$10-'01_Criterios'!$C$9)*('03_Base_Indice'!$I29-'04_Dados_Ajustados'!M29)/('03_Base_Indice'!$I29-'03_Base_Indice'!$H29))))))</f>
        <v/>
      </c>
      <c r="N29" s="31" t="str">
        <f>IF($D29="","",IF('04_Dados_Ajustados'!N29="","",IF('03_Base_Indice'!$G29="+",MIN('01_Criterios'!$C$10,MAX('01_Criterios'!$C$9,'01_Criterios'!$C$9+('01_Criterios'!$C$10-'01_Criterios'!$C$9)*('04_Dados_Ajustados'!N29-'03_Base_Indice'!$H29)/('03_Base_Indice'!$I29-'03_Base_Indice'!$H29))),MIN('01_Criterios'!$C$10,MAX('01_Criterios'!$C$9,'01_Criterios'!$C$9+('01_Criterios'!$C$10-'01_Criterios'!$C$9)*('03_Base_Indice'!$I29-'04_Dados_Ajustados'!N29)/('03_Base_Indice'!$I29-'03_Base_Indice'!$H29))))))</f>
        <v/>
      </c>
      <c r="O29" s="31" t="str">
        <f>IF($D29="","",IF('04_Dados_Ajustados'!O29="","",IF('03_Base_Indice'!$G29="+",MIN('01_Criterios'!$C$10,MAX('01_Criterios'!$C$9,'01_Criterios'!$C$9+('01_Criterios'!$C$10-'01_Criterios'!$C$9)*('04_Dados_Ajustados'!O29-'03_Base_Indice'!$H29)/('03_Base_Indice'!$I29-'03_Base_Indice'!$H29))),MIN('01_Criterios'!$C$10,MAX('01_Criterios'!$C$9,'01_Criterios'!$C$9+('01_Criterios'!$C$10-'01_Criterios'!$C$9)*('03_Base_Indice'!$I29-'04_Dados_Ajustados'!O29)/('03_Base_Indice'!$I29-'03_Base_Indice'!$H29))))))</f>
        <v/>
      </c>
      <c r="P29" s="31" t="str">
        <f>IF($D29="","",IF('04_Dados_Ajustados'!P29="","",IF('03_Base_Indice'!$G29="+",MIN('01_Criterios'!$C$10,MAX('01_Criterios'!$C$9,'01_Criterios'!$C$9+('01_Criterios'!$C$10-'01_Criterios'!$C$9)*('04_Dados_Ajustados'!P29-'03_Base_Indice'!$H29)/('03_Base_Indice'!$I29-'03_Base_Indice'!$H29))),MIN('01_Criterios'!$C$10,MAX('01_Criterios'!$C$9,'01_Criterios'!$C$9+('01_Criterios'!$C$10-'01_Criterios'!$C$9)*('03_Base_Indice'!$I29-'04_Dados_Ajustados'!P29)/('03_Base_Indice'!$I29-'03_Base_Indice'!$H29))))))</f>
        <v/>
      </c>
      <c r="Q29" s="31" t="str">
        <f>IF($D29="","",IF('04_Dados_Ajustados'!Q29="","",IF('03_Base_Indice'!$G29="+",MIN('01_Criterios'!$C$10,MAX('01_Criterios'!$C$9,'01_Criterios'!$C$9+('01_Criterios'!$C$10-'01_Criterios'!$C$9)*('04_Dados_Ajustados'!Q29-'03_Base_Indice'!$H29)/('03_Base_Indice'!$I29-'03_Base_Indice'!$H29))),MIN('01_Criterios'!$C$10,MAX('01_Criterios'!$C$9,'01_Criterios'!$C$9+('01_Criterios'!$C$10-'01_Criterios'!$C$9)*('03_Base_Indice'!$I29-'04_Dados_Ajustados'!Q29)/('03_Base_Indice'!$I29-'03_Base_Indice'!$H29))))))</f>
        <v/>
      </c>
      <c r="R29" s="31" t="str">
        <f>IF($D29="","",IF('04_Dados_Ajustados'!R29="","",IF('03_Base_Indice'!$G29="+",MIN('01_Criterios'!$C$10,MAX('01_Criterios'!$C$9,'01_Criterios'!$C$9+('01_Criterios'!$C$10-'01_Criterios'!$C$9)*('04_Dados_Ajustados'!R29-'03_Base_Indice'!$H29)/('03_Base_Indice'!$I29-'03_Base_Indice'!$H29))),MIN('01_Criterios'!$C$10,MAX('01_Criterios'!$C$9,'01_Criterios'!$C$9+('01_Criterios'!$C$10-'01_Criterios'!$C$9)*('03_Base_Indice'!$I29-'04_Dados_Ajustados'!R29)/('03_Base_Indice'!$I29-'03_Base_Indice'!$H29))))))</f>
        <v/>
      </c>
      <c r="S29" s="31" t="str">
        <f>IF($D29="","",IF('04_Dados_Ajustados'!S29="","",IF('03_Base_Indice'!$G29="+",MIN('01_Criterios'!$C$10,MAX('01_Criterios'!$C$9,'01_Criterios'!$C$9+('01_Criterios'!$C$10-'01_Criterios'!$C$9)*('04_Dados_Ajustados'!S29-'03_Base_Indice'!$H29)/('03_Base_Indice'!$I29-'03_Base_Indice'!$H29))),MIN('01_Criterios'!$C$10,MAX('01_Criterios'!$C$9,'01_Criterios'!$C$9+('01_Criterios'!$C$10-'01_Criterios'!$C$9)*('03_Base_Indice'!$I29-'04_Dados_Ajustados'!S29)/('03_Base_Indice'!$I29-'03_Base_Indice'!$H29))))))</f>
        <v/>
      </c>
      <c r="T29" s="31" t="str">
        <f>IF($D29="","",IF('04_Dados_Ajustados'!T29="","",IF('03_Base_Indice'!$G29="+",MIN('01_Criterios'!$C$10,MAX('01_Criterios'!$C$9,'01_Criterios'!$C$9+('01_Criterios'!$C$10-'01_Criterios'!$C$9)*('04_Dados_Ajustados'!T29-'03_Base_Indice'!$H29)/('03_Base_Indice'!$I29-'03_Base_Indice'!$H29))),MIN('01_Criterios'!$C$10,MAX('01_Criterios'!$C$9,'01_Criterios'!$C$9+('01_Criterios'!$C$10-'01_Criterios'!$C$9)*('03_Base_Indice'!$I29-'04_Dados_Ajustados'!T29)/('03_Base_Indice'!$I29-'03_Base_Indice'!$H29))))))</f>
        <v/>
      </c>
      <c r="U29" s="31" t="str">
        <f>IF($D29="","",IF('04_Dados_Ajustados'!U29="","",IF('03_Base_Indice'!$G29="+",MIN('01_Criterios'!$C$10,MAX('01_Criterios'!$C$9,'01_Criterios'!$C$9+('01_Criterios'!$C$10-'01_Criterios'!$C$9)*('04_Dados_Ajustados'!U29-'03_Base_Indice'!$H29)/('03_Base_Indice'!$I29-'03_Base_Indice'!$H29))),MIN('01_Criterios'!$C$10,MAX('01_Criterios'!$C$9,'01_Criterios'!$C$9+('01_Criterios'!$C$10-'01_Criterios'!$C$9)*('03_Base_Indice'!$I29-'04_Dados_Ajustados'!U29)/('03_Base_Indice'!$I29-'03_Base_Indice'!$H29))))))</f>
        <v/>
      </c>
    </row>
    <row r="30" spans="1:21">
      <c r="A30" s="6" t="str">
        <f>IF('03_Base_Indice'!$A30="","",'03_Base_Indice'!$A30)</f>
        <v>3. Capital Humano</v>
      </c>
      <c r="B30" s="6">
        <f>'03_Base_Indice'!$B30</f>
        <v>6</v>
      </c>
      <c r="D30" s="6" t="str">
        <f>IF('03_Base_Indice'!$D30="","",'03_Base_Indice'!$D30)</f>
        <v/>
      </c>
      <c r="E30" s="6" t="str">
        <f>IF('03_Base_Indice'!$E30="","",'03_Base_Indice'!$E30)</f>
        <v/>
      </c>
      <c r="G30" s="20" t="str">
        <f>IF('03_Base_Indice'!$G30="","",'03_Base_Indice'!$G30)</f>
        <v/>
      </c>
      <c r="K30" s="31" t="str">
        <f>IF($D30="","",IF('04_Dados_Ajustados'!K30="","",IF('03_Base_Indice'!$G30="+",MIN('01_Criterios'!$C$10,MAX('01_Criterios'!$C$9,'01_Criterios'!$C$9+('01_Criterios'!$C$10-'01_Criterios'!$C$9)*('04_Dados_Ajustados'!K30-'03_Base_Indice'!$H30)/('03_Base_Indice'!$I30-'03_Base_Indice'!$H30))),MIN('01_Criterios'!$C$10,MAX('01_Criterios'!$C$9,'01_Criterios'!$C$9+('01_Criterios'!$C$10-'01_Criterios'!$C$9)*('03_Base_Indice'!$I30-'04_Dados_Ajustados'!K30)/('03_Base_Indice'!$I30-'03_Base_Indice'!$H30))))))</f>
        <v/>
      </c>
      <c r="L30" s="31" t="str">
        <f>IF($D30="","",IF('04_Dados_Ajustados'!L30="","",IF('03_Base_Indice'!$G30="+",MIN('01_Criterios'!$C$10,MAX('01_Criterios'!$C$9,'01_Criterios'!$C$9+('01_Criterios'!$C$10-'01_Criterios'!$C$9)*('04_Dados_Ajustados'!L30-'03_Base_Indice'!$H30)/('03_Base_Indice'!$I30-'03_Base_Indice'!$H30))),MIN('01_Criterios'!$C$10,MAX('01_Criterios'!$C$9,'01_Criterios'!$C$9+('01_Criterios'!$C$10-'01_Criterios'!$C$9)*('03_Base_Indice'!$I30-'04_Dados_Ajustados'!L30)/('03_Base_Indice'!$I30-'03_Base_Indice'!$H30))))))</f>
        <v/>
      </c>
      <c r="M30" s="31" t="str">
        <f>IF($D30="","",IF('04_Dados_Ajustados'!M30="","",IF('03_Base_Indice'!$G30="+",MIN('01_Criterios'!$C$10,MAX('01_Criterios'!$C$9,'01_Criterios'!$C$9+('01_Criterios'!$C$10-'01_Criterios'!$C$9)*('04_Dados_Ajustados'!M30-'03_Base_Indice'!$H30)/('03_Base_Indice'!$I30-'03_Base_Indice'!$H30))),MIN('01_Criterios'!$C$10,MAX('01_Criterios'!$C$9,'01_Criterios'!$C$9+('01_Criterios'!$C$10-'01_Criterios'!$C$9)*('03_Base_Indice'!$I30-'04_Dados_Ajustados'!M30)/('03_Base_Indice'!$I30-'03_Base_Indice'!$H30))))))</f>
        <v/>
      </c>
      <c r="N30" s="31" t="str">
        <f>IF($D30="","",IF('04_Dados_Ajustados'!N30="","",IF('03_Base_Indice'!$G30="+",MIN('01_Criterios'!$C$10,MAX('01_Criterios'!$C$9,'01_Criterios'!$C$9+('01_Criterios'!$C$10-'01_Criterios'!$C$9)*('04_Dados_Ajustados'!N30-'03_Base_Indice'!$H30)/('03_Base_Indice'!$I30-'03_Base_Indice'!$H30))),MIN('01_Criterios'!$C$10,MAX('01_Criterios'!$C$9,'01_Criterios'!$C$9+('01_Criterios'!$C$10-'01_Criterios'!$C$9)*('03_Base_Indice'!$I30-'04_Dados_Ajustados'!N30)/('03_Base_Indice'!$I30-'03_Base_Indice'!$H30))))))</f>
        <v/>
      </c>
      <c r="O30" s="31" t="str">
        <f>IF($D30="","",IF('04_Dados_Ajustados'!O30="","",IF('03_Base_Indice'!$G30="+",MIN('01_Criterios'!$C$10,MAX('01_Criterios'!$C$9,'01_Criterios'!$C$9+('01_Criterios'!$C$10-'01_Criterios'!$C$9)*('04_Dados_Ajustados'!O30-'03_Base_Indice'!$H30)/('03_Base_Indice'!$I30-'03_Base_Indice'!$H30))),MIN('01_Criterios'!$C$10,MAX('01_Criterios'!$C$9,'01_Criterios'!$C$9+('01_Criterios'!$C$10-'01_Criterios'!$C$9)*('03_Base_Indice'!$I30-'04_Dados_Ajustados'!O30)/('03_Base_Indice'!$I30-'03_Base_Indice'!$H30))))))</f>
        <v/>
      </c>
      <c r="P30" s="31" t="str">
        <f>IF($D30="","",IF('04_Dados_Ajustados'!P30="","",IF('03_Base_Indice'!$G30="+",MIN('01_Criterios'!$C$10,MAX('01_Criterios'!$C$9,'01_Criterios'!$C$9+('01_Criterios'!$C$10-'01_Criterios'!$C$9)*('04_Dados_Ajustados'!P30-'03_Base_Indice'!$H30)/('03_Base_Indice'!$I30-'03_Base_Indice'!$H30))),MIN('01_Criterios'!$C$10,MAX('01_Criterios'!$C$9,'01_Criterios'!$C$9+('01_Criterios'!$C$10-'01_Criterios'!$C$9)*('03_Base_Indice'!$I30-'04_Dados_Ajustados'!P30)/('03_Base_Indice'!$I30-'03_Base_Indice'!$H30))))))</f>
        <v/>
      </c>
      <c r="Q30" s="31" t="str">
        <f>IF($D30="","",IF('04_Dados_Ajustados'!Q30="","",IF('03_Base_Indice'!$G30="+",MIN('01_Criterios'!$C$10,MAX('01_Criterios'!$C$9,'01_Criterios'!$C$9+('01_Criterios'!$C$10-'01_Criterios'!$C$9)*('04_Dados_Ajustados'!Q30-'03_Base_Indice'!$H30)/('03_Base_Indice'!$I30-'03_Base_Indice'!$H30))),MIN('01_Criterios'!$C$10,MAX('01_Criterios'!$C$9,'01_Criterios'!$C$9+('01_Criterios'!$C$10-'01_Criterios'!$C$9)*('03_Base_Indice'!$I30-'04_Dados_Ajustados'!Q30)/('03_Base_Indice'!$I30-'03_Base_Indice'!$H30))))))</f>
        <v/>
      </c>
      <c r="R30" s="31" t="str">
        <f>IF($D30="","",IF('04_Dados_Ajustados'!R30="","",IF('03_Base_Indice'!$G30="+",MIN('01_Criterios'!$C$10,MAX('01_Criterios'!$C$9,'01_Criterios'!$C$9+('01_Criterios'!$C$10-'01_Criterios'!$C$9)*('04_Dados_Ajustados'!R30-'03_Base_Indice'!$H30)/('03_Base_Indice'!$I30-'03_Base_Indice'!$H30))),MIN('01_Criterios'!$C$10,MAX('01_Criterios'!$C$9,'01_Criterios'!$C$9+('01_Criterios'!$C$10-'01_Criterios'!$C$9)*('03_Base_Indice'!$I30-'04_Dados_Ajustados'!R30)/('03_Base_Indice'!$I30-'03_Base_Indice'!$H30))))))</f>
        <v/>
      </c>
      <c r="S30" s="31" t="str">
        <f>IF($D30="","",IF('04_Dados_Ajustados'!S30="","",IF('03_Base_Indice'!$G30="+",MIN('01_Criterios'!$C$10,MAX('01_Criterios'!$C$9,'01_Criterios'!$C$9+('01_Criterios'!$C$10-'01_Criterios'!$C$9)*('04_Dados_Ajustados'!S30-'03_Base_Indice'!$H30)/('03_Base_Indice'!$I30-'03_Base_Indice'!$H30))),MIN('01_Criterios'!$C$10,MAX('01_Criterios'!$C$9,'01_Criterios'!$C$9+('01_Criterios'!$C$10-'01_Criterios'!$C$9)*('03_Base_Indice'!$I30-'04_Dados_Ajustados'!S30)/('03_Base_Indice'!$I30-'03_Base_Indice'!$H30))))))</f>
        <v/>
      </c>
      <c r="T30" s="31" t="str">
        <f>IF($D30="","",IF('04_Dados_Ajustados'!T30="","",IF('03_Base_Indice'!$G30="+",MIN('01_Criterios'!$C$10,MAX('01_Criterios'!$C$9,'01_Criterios'!$C$9+('01_Criterios'!$C$10-'01_Criterios'!$C$9)*('04_Dados_Ajustados'!T30-'03_Base_Indice'!$H30)/('03_Base_Indice'!$I30-'03_Base_Indice'!$H30))),MIN('01_Criterios'!$C$10,MAX('01_Criterios'!$C$9,'01_Criterios'!$C$9+('01_Criterios'!$C$10-'01_Criterios'!$C$9)*('03_Base_Indice'!$I30-'04_Dados_Ajustados'!T30)/('03_Base_Indice'!$I30-'03_Base_Indice'!$H30))))))</f>
        <v/>
      </c>
      <c r="U30" s="31" t="str">
        <f>IF($D30="","",IF('04_Dados_Ajustados'!U30="","",IF('03_Base_Indice'!$G30="+",MIN('01_Criterios'!$C$10,MAX('01_Criterios'!$C$9,'01_Criterios'!$C$9+('01_Criterios'!$C$10-'01_Criterios'!$C$9)*('04_Dados_Ajustados'!U30-'03_Base_Indice'!$H30)/('03_Base_Indice'!$I30-'03_Base_Indice'!$H30))),MIN('01_Criterios'!$C$10,MAX('01_Criterios'!$C$9,'01_Criterios'!$C$9+('01_Criterios'!$C$10-'01_Criterios'!$C$9)*('03_Base_Indice'!$I30-'04_Dados_Ajustados'!U30)/('03_Base_Indice'!$I30-'03_Base_Indice'!$H30))))))</f>
        <v/>
      </c>
    </row>
    <row r="31" spans="1:21">
      <c r="A31" s="6" t="str">
        <f>IF('03_Base_Indice'!$A31="","",'03_Base_Indice'!$A31)</f>
        <v>3. Capital Humano</v>
      </c>
      <c r="B31" s="6">
        <f>'03_Base_Indice'!$B31</f>
        <v>7</v>
      </c>
      <c r="D31" s="6" t="str">
        <f>IF('03_Base_Indice'!$D31="","",'03_Base_Indice'!$D31)</f>
        <v/>
      </c>
      <c r="E31" s="6" t="str">
        <f>IF('03_Base_Indice'!$E31="","",'03_Base_Indice'!$E31)</f>
        <v/>
      </c>
      <c r="G31" s="20" t="str">
        <f>IF('03_Base_Indice'!$G31="","",'03_Base_Indice'!$G31)</f>
        <v/>
      </c>
      <c r="K31" s="31" t="str">
        <f>IF($D31="","",IF('04_Dados_Ajustados'!K31="","",IF('03_Base_Indice'!$G31="+",MIN('01_Criterios'!$C$10,MAX('01_Criterios'!$C$9,'01_Criterios'!$C$9+('01_Criterios'!$C$10-'01_Criterios'!$C$9)*('04_Dados_Ajustados'!K31-'03_Base_Indice'!$H31)/('03_Base_Indice'!$I31-'03_Base_Indice'!$H31))),MIN('01_Criterios'!$C$10,MAX('01_Criterios'!$C$9,'01_Criterios'!$C$9+('01_Criterios'!$C$10-'01_Criterios'!$C$9)*('03_Base_Indice'!$I31-'04_Dados_Ajustados'!K31)/('03_Base_Indice'!$I31-'03_Base_Indice'!$H31))))))</f>
        <v/>
      </c>
      <c r="L31" s="31" t="str">
        <f>IF($D31="","",IF('04_Dados_Ajustados'!L31="","",IF('03_Base_Indice'!$G31="+",MIN('01_Criterios'!$C$10,MAX('01_Criterios'!$C$9,'01_Criterios'!$C$9+('01_Criterios'!$C$10-'01_Criterios'!$C$9)*('04_Dados_Ajustados'!L31-'03_Base_Indice'!$H31)/('03_Base_Indice'!$I31-'03_Base_Indice'!$H31))),MIN('01_Criterios'!$C$10,MAX('01_Criterios'!$C$9,'01_Criterios'!$C$9+('01_Criterios'!$C$10-'01_Criterios'!$C$9)*('03_Base_Indice'!$I31-'04_Dados_Ajustados'!L31)/('03_Base_Indice'!$I31-'03_Base_Indice'!$H31))))))</f>
        <v/>
      </c>
      <c r="M31" s="31" t="str">
        <f>IF($D31="","",IF('04_Dados_Ajustados'!M31="","",IF('03_Base_Indice'!$G31="+",MIN('01_Criterios'!$C$10,MAX('01_Criterios'!$C$9,'01_Criterios'!$C$9+('01_Criterios'!$C$10-'01_Criterios'!$C$9)*('04_Dados_Ajustados'!M31-'03_Base_Indice'!$H31)/('03_Base_Indice'!$I31-'03_Base_Indice'!$H31))),MIN('01_Criterios'!$C$10,MAX('01_Criterios'!$C$9,'01_Criterios'!$C$9+('01_Criterios'!$C$10-'01_Criterios'!$C$9)*('03_Base_Indice'!$I31-'04_Dados_Ajustados'!M31)/('03_Base_Indice'!$I31-'03_Base_Indice'!$H31))))))</f>
        <v/>
      </c>
      <c r="N31" s="31" t="str">
        <f>IF($D31="","",IF('04_Dados_Ajustados'!N31="","",IF('03_Base_Indice'!$G31="+",MIN('01_Criterios'!$C$10,MAX('01_Criterios'!$C$9,'01_Criterios'!$C$9+('01_Criterios'!$C$10-'01_Criterios'!$C$9)*('04_Dados_Ajustados'!N31-'03_Base_Indice'!$H31)/('03_Base_Indice'!$I31-'03_Base_Indice'!$H31))),MIN('01_Criterios'!$C$10,MAX('01_Criterios'!$C$9,'01_Criterios'!$C$9+('01_Criterios'!$C$10-'01_Criterios'!$C$9)*('03_Base_Indice'!$I31-'04_Dados_Ajustados'!N31)/('03_Base_Indice'!$I31-'03_Base_Indice'!$H31))))))</f>
        <v/>
      </c>
      <c r="O31" s="31" t="str">
        <f>IF($D31="","",IF('04_Dados_Ajustados'!O31="","",IF('03_Base_Indice'!$G31="+",MIN('01_Criterios'!$C$10,MAX('01_Criterios'!$C$9,'01_Criterios'!$C$9+('01_Criterios'!$C$10-'01_Criterios'!$C$9)*('04_Dados_Ajustados'!O31-'03_Base_Indice'!$H31)/('03_Base_Indice'!$I31-'03_Base_Indice'!$H31))),MIN('01_Criterios'!$C$10,MAX('01_Criterios'!$C$9,'01_Criterios'!$C$9+('01_Criterios'!$C$10-'01_Criterios'!$C$9)*('03_Base_Indice'!$I31-'04_Dados_Ajustados'!O31)/('03_Base_Indice'!$I31-'03_Base_Indice'!$H31))))))</f>
        <v/>
      </c>
      <c r="P31" s="31" t="str">
        <f>IF($D31="","",IF('04_Dados_Ajustados'!P31="","",IF('03_Base_Indice'!$G31="+",MIN('01_Criterios'!$C$10,MAX('01_Criterios'!$C$9,'01_Criterios'!$C$9+('01_Criterios'!$C$10-'01_Criterios'!$C$9)*('04_Dados_Ajustados'!P31-'03_Base_Indice'!$H31)/('03_Base_Indice'!$I31-'03_Base_Indice'!$H31))),MIN('01_Criterios'!$C$10,MAX('01_Criterios'!$C$9,'01_Criterios'!$C$9+('01_Criterios'!$C$10-'01_Criterios'!$C$9)*('03_Base_Indice'!$I31-'04_Dados_Ajustados'!P31)/('03_Base_Indice'!$I31-'03_Base_Indice'!$H31))))))</f>
        <v/>
      </c>
      <c r="Q31" s="31" t="str">
        <f>IF($D31="","",IF('04_Dados_Ajustados'!Q31="","",IF('03_Base_Indice'!$G31="+",MIN('01_Criterios'!$C$10,MAX('01_Criterios'!$C$9,'01_Criterios'!$C$9+('01_Criterios'!$C$10-'01_Criterios'!$C$9)*('04_Dados_Ajustados'!Q31-'03_Base_Indice'!$H31)/('03_Base_Indice'!$I31-'03_Base_Indice'!$H31))),MIN('01_Criterios'!$C$10,MAX('01_Criterios'!$C$9,'01_Criterios'!$C$9+('01_Criterios'!$C$10-'01_Criterios'!$C$9)*('03_Base_Indice'!$I31-'04_Dados_Ajustados'!Q31)/('03_Base_Indice'!$I31-'03_Base_Indice'!$H31))))))</f>
        <v/>
      </c>
      <c r="R31" s="31" t="str">
        <f>IF($D31="","",IF('04_Dados_Ajustados'!R31="","",IF('03_Base_Indice'!$G31="+",MIN('01_Criterios'!$C$10,MAX('01_Criterios'!$C$9,'01_Criterios'!$C$9+('01_Criterios'!$C$10-'01_Criterios'!$C$9)*('04_Dados_Ajustados'!R31-'03_Base_Indice'!$H31)/('03_Base_Indice'!$I31-'03_Base_Indice'!$H31))),MIN('01_Criterios'!$C$10,MAX('01_Criterios'!$C$9,'01_Criterios'!$C$9+('01_Criterios'!$C$10-'01_Criterios'!$C$9)*('03_Base_Indice'!$I31-'04_Dados_Ajustados'!R31)/('03_Base_Indice'!$I31-'03_Base_Indice'!$H31))))))</f>
        <v/>
      </c>
      <c r="S31" s="31" t="str">
        <f>IF($D31="","",IF('04_Dados_Ajustados'!S31="","",IF('03_Base_Indice'!$G31="+",MIN('01_Criterios'!$C$10,MAX('01_Criterios'!$C$9,'01_Criterios'!$C$9+('01_Criterios'!$C$10-'01_Criterios'!$C$9)*('04_Dados_Ajustados'!S31-'03_Base_Indice'!$H31)/('03_Base_Indice'!$I31-'03_Base_Indice'!$H31))),MIN('01_Criterios'!$C$10,MAX('01_Criterios'!$C$9,'01_Criterios'!$C$9+('01_Criterios'!$C$10-'01_Criterios'!$C$9)*('03_Base_Indice'!$I31-'04_Dados_Ajustados'!S31)/('03_Base_Indice'!$I31-'03_Base_Indice'!$H31))))))</f>
        <v/>
      </c>
      <c r="T31" s="31" t="str">
        <f>IF($D31="","",IF('04_Dados_Ajustados'!T31="","",IF('03_Base_Indice'!$G31="+",MIN('01_Criterios'!$C$10,MAX('01_Criterios'!$C$9,'01_Criterios'!$C$9+('01_Criterios'!$C$10-'01_Criterios'!$C$9)*('04_Dados_Ajustados'!T31-'03_Base_Indice'!$H31)/('03_Base_Indice'!$I31-'03_Base_Indice'!$H31))),MIN('01_Criterios'!$C$10,MAX('01_Criterios'!$C$9,'01_Criterios'!$C$9+('01_Criterios'!$C$10-'01_Criterios'!$C$9)*('03_Base_Indice'!$I31-'04_Dados_Ajustados'!T31)/('03_Base_Indice'!$I31-'03_Base_Indice'!$H31))))))</f>
        <v/>
      </c>
      <c r="U31" s="31" t="str">
        <f>IF($D31="","",IF('04_Dados_Ajustados'!U31="","",IF('03_Base_Indice'!$G31="+",MIN('01_Criterios'!$C$10,MAX('01_Criterios'!$C$9,'01_Criterios'!$C$9+('01_Criterios'!$C$10-'01_Criterios'!$C$9)*('04_Dados_Ajustados'!U31-'03_Base_Indice'!$H31)/('03_Base_Indice'!$I31-'03_Base_Indice'!$H31))),MIN('01_Criterios'!$C$10,MAX('01_Criterios'!$C$9,'01_Criterios'!$C$9+('01_Criterios'!$C$10-'01_Criterios'!$C$9)*('03_Base_Indice'!$I31-'04_Dados_Ajustados'!U31)/('03_Base_Indice'!$I31-'03_Base_Indice'!$H31))))))</f>
        <v/>
      </c>
    </row>
    <row r="32" spans="1:21">
      <c r="A32" s="6" t="str">
        <f>IF('03_Base_Indice'!$A32="","",'03_Base_Indice'!$A32)</f>
        <v>3. Capital Humano</v>
      </c>
      <c r="B32" s="6">
        <f>'03_Base_Indice'!$B32</f>
        <v>8</v>
      </c>
      <c r="D32" s="6" t="str">
        <f>IF('03_Base_Indice'!$D32="","",'03_Base_Indice'!$D32)</f>
        <v/>
      </c>
      <c r="E32" s="6" t="str">
        <f>IF('03_Base_Indice'!$E32="","",'03_Base_Indice'!$E32)</f>
        <v/>
      </c>
      <c r="G32" s="20" t="str">
        <f>IF('03_Base_Indice'!$G32="","",'03_Base_Indice'!$G32)</f>
        <v/>
      </c>
      <c r="K32" s="31" t="str">
        <f>IF($D32="","",IF('04_Dados_Ajustados'!K32="","",IF('03_Base_Indice'!$G32="+",MIN('01_Criterios'!$C$10,MAX('01_Criterios'!$C$9,'01_Criterios'!$C$9+('01_Criterios'!$C$10-'01_Criterios'!$C$9)*('04_Dados_Ajustados'!K32-'03_Base_Indice'!$H32)/('03_Base_Indice'!$I32-'03_Base_Indice'!$H32))),MIN('01_Criterios'!$C$10,MAX('01_Criterios'!$C$9,'01_Criterios'!$C$9+('01_Criterios'!$C$10-'01_Criterios'!$C$9)*('03_Base_Indice'!$I32-'04_Dados_Ajustados'!K32)/('03_Base_Indice'!$I32-'03_Base_Indice'!$H32))))))</f>
        <v/>
      </c>
      <c r="L32" s="31" t="str">
        <f>IF($D32="","",IF('04_Dados_Ajustados'!L32="","",IF('03_Base_Indice'!$G32="+",MIN('01_Criterios'!$C$10,MAX('01_Criterios'!$C$9,'01_Criterios'!$C$9+('01_Criterios'!$C$10-'01_Criterios'!$C$9)*('04_Dados_Ajustados'!L32-'03_Base_Indice'!$H32)/('03_Base_Indice'!$I32-'03_Base_Indice'!$H32))),MIN('01_Criterios'!$C$10,MAX('01_Criterios'!$C$9,'01_Criterios'!$C$9+('01_Criterios'!$C$10-'01_Criterios'!$C$9)*('03_Base_Indice'!$I32-'04_Dados_Ajustados'!L32)/('03_Base_Indice'!$I32-'03_Base_Indice'!$H32))))))</f>
        <v/>
      </c>
      <c r="M32" s="31" t="str">
        <f>IF($D32="","",IF('04_Dados_Ajustados'!M32="","",IF('03_Base_Indice'!$G32="+",MIN('01_Criterios'!$C$10,MAX('01_Criterios'!$C$9,'01_Criterios'!$C$9+('01_Criterios'!$C$10-'01_Criterios'!$C$9)*('04_Dados_Ajustados'!M32-'03_Base_Indice'!$H32)/('03_Base_Indice'!$I32-'03_Base_Indice'!$H32))),MIN('01_Criterios'!$C$10,MAX('01_Criterios'!$C$9,'01_Criterios'!$C$9+('01_Criterios'!$C$10-'01_Criterios'!$C$9)*('03_Base_Indice'!$I32-'04_Dados_Ajustados'!M32)/('03_Base_Indice'!$I32-'03_Base_Indice'!$H32))))))</f>
        <v/>
      </c>
      <c r="N32" s="31" t="str">
        <f>IF($D32="","",IF('04_Dados_Ajustados'!N32="","",IF('03_Base_Indice'!$G32="+",MIN('01_Criterios'!$C$10,MAX('01_Criterios'!$C$9,'01_Criterios'!$C$9+('01_Criterios'!$C$10-'01_Criterios'!$C$9)*('04_Dados_Ajustados'!N32-'03_Base_Indice'!$H32)/('03_Base_Indice'!$I32-'03_Base_Indice'!$H32))),MIN('01_Criterios'!$C$10,MAX('01_Criterios'!$C$9,'01_Criterios'!$C$9+('01_Criterios'!$C$10-'01_Criterios'!$C$9)*('03_Base_Indice'!$I32-'04_Dados_Ajustados'!N32)/('03_Base_Indice'!$I32-'03_Base_Indice'!$H32))))))</f>
        <v/>
      </c>
      <c r="O32" s="31" t="str">
        <f>IF($D32="","",IF('04_Dados_Ajustados'!O32="","",IF('03_Base_Indice'!$G32="+",MIN('01_Criterios'!$C$10,MAX('01_Criterios'!$C$9,'01_Criterios'!$C$9+('01_Criterios'!$C$10-'01_Criterios'!$C$9)*('04_Dados_Ajustados'!O32-'03_Base_Indice'!$H32)/('03_Base_Indice'!$I32-'03_Base_Indice'!$H32))),MIN('01_Criterios'!$C$10,MAX('01_Criterios'!$C$9,'01_Criterios'!$C$9+('01_Criterios'!$C$10-'01_Criterios'!$C$9)*('03_Base_Indice'!$I32-'04_Dados_Ajustados'!O32)/('03_Base_Indice'!$I32-'03_Base_Indice'!$H32))))))</f>
        <v/>
      </c>
      <c r="P32" s="31" t="str">
        <f>IF($D32="","",IF('04_Dados_Ajustados'!P32="","",IF('03_Base_Indice'!$G32="+",MIN('01_Criterios'!$C$10,MAX('01_Criterios'!$C$9,'01_Criterios'!$C$9+('01_Criterios'!$C$10-'01_Criterios'!$C$9)*('04_Dados_Ajustados'!P32-'03_Base_Indice'!$H32)/('03_Base_Indice'!$I32-'03_Base_Indice'!$H32))),MIN('01_Criterios'!$C$10,MAX('01_Criterios'!$C$9,'01_Criterios'!$C$9+('01_Criterios'!$C$10-'01_Criterios'!$C$9)*('03_Base_Indice'!$I32-'04_Dados_Ajustados'!P32)/('03_Base_Indice'!$I32-'03_Base_Indice'!$H32))))))</f>
        <v/>
      </c>
      <c r="Q32" s="31" t="str">
        <f>IF($D32="","",IF('04_Dados_Ajustados'!Q32="","",IF('03_Base_Indice'!$G32="+",MIN('01_Criterios'!$C$10,MAX('01_Criterios'!$C$9,'01_Criterios'!$C$9+('01_Criterios'!$C$10-'01_Criterios'!$C$9)*('04_Dados_Ajustados'!Q32-'03_Base_Indice'!$H32)/('03_Base_Indice'!$I32-'03_Base_Indice'!$H32))),MIN('01_Criterios'!$C$10,MAX('01_Criterios'!$C$9,'01_Criterios'!$C$9+('01_Criterios'!$C$10-'01_Criterios'!$C$9)*('03_Base_Indice'!$I32-'04_Dados_Ajustados'!Q32)/('03_Base_Indice'!$I32-'03_Base_Indice'!$H32))))))</f>
        <v/>
      </c>
      <c r="R32" s="31" t="str">
        <f>IF($D32="","",IF('04_Dados_Ajustados'!R32="","",IF('03_Base_Indice'!$G32="+",MIN('01_Criterios'!$C$10,MAX('01_Criterios'!$C$9,'01_Criterios'!$C$9+('01_Criterios'!$C$10-'01_Criterios'!$C$9)*('04_Dados_Ajustados'!R32-'03_Base_Indice'!$H32)/('03_Base_Indice'!$I32-'03_Base_Indice'!$H32))),MIN('01_Criterios'!$C$10,MAX('01_Criterios'!$C$9,'01_Criterios'!$C$9+('01_Criterios'!$C$10-'01_Criterios'!$C$9)*('03_Base_Indice'!$I32-'04_Dados_Ajustados'!R32)/('03_Base_Indice'!$I32-'03_Base_Indice'!$H32))))))</f>
        <v/>
      </c>
      <c r="S32" s="31" t="str">
        <f>IF($D32="","",IF('04_Dados_Ajustados'!S32="","",IF('03_Base_Indice'!$G32="+",MIN('01_Criterios'!$C$10,MAX('01_Criterios'!$C$9,'01_Criterios'!$C$9+('01_Criterios'!$C$10-'01_Criterios'!$C$9)*('04_Dados_Ajustados'!S32-'03_Base_Indice'!$H32)/('03_Base_Indice'!$I32-'03_Base_Indice'!$H32))),MIN('01_Criterios'!$C$10,MAX('01_Criterios'!$C$9,'01_Criterios'!$C$9+('01_Criterios'!$C$10-'01_Criterios'!$C$9)*('03_Base_Indice'!$I32-'04_Dados_Ajustados'!S32)/('03_Base_Indice'!$I32-'03_Base_Indice'!$H32))))))</f>
        <v/>
      </c>
      <c r="T32" s="31" t="str">
        <f>IF($D32="","",IF('04_Dados_Ajustados'!T32="","",IF('03_Base_Indice'!$G32="+",MIN('01_Criterios'!$C$10,MAX('01_Criterios'!$C$9,'01_Criterios'!$C$9+('01_Criterios'!$C$10-'01_Criterios'!$C$9)*('04_Dados_Ajustados'!T32-'03_Base_Indice'!$H32)/('03_Base_Indice'!$I32-'03_Base_Indice'!$H32))),MIN('01_Criterios'!$C$10,MAX('01_Criterios'!$C$9,'01_Criterios'!$C$9+('01_Criterios'!$C$10-'01_Criterios'!$C$9)*('03_Base_Indice'!$I32-'04_Dados_Ajustados'!T32)/('03_Base_Indice'!$I32-'03_Base_Indice'!$H32))))))</f>
        <v/>
      </c>
      <c r="U32" s="31" t="str">
        <f>IF($D32="","",IF('04_Dados_Ajustados'!U32="","",IF('03_Base_Indice'!$G32="+",MIN('01_Criterios'!$C$10,MAX('01_Criterios'!$C$9,'01_Criterios'!$C$9+('01_Criterios'!$C$10-'01_Criterios'!$C$9)*('04_Dados_Ajustados'!U32-'03_Base_Indice'!$H32)/('03_Base_Indice'!$I32-'03_Base_Indice'!$H32))),MIN('01_Criterios'!$C$10,MAX('01_Criterios'!$C$9,'01_Criterios'!$C$9+('01_Criterios'!$C$10-'01_Criterios'!$C$9)*('03_Base_Indice'!$I32-'04_Dados_Ajustados'!U32)/('03_Base_Indice'!$I32-'03_Base_Indice'!$H32))))))</f>
        <v/>
      </c>
    </row>
    <row r="33" spans="1:21">
      <c r="A33" s="6" t="str">
        <f>IF('03_Base_Indice'!$A33="","",'03_Base_Indice'!$A33)</f>
        <v>3. Capital Humano</v>
      </c>
      <c r="B33" s="6">
        <f>'03_Base_Indice'!$B33</f>
        <v>9</v>
      </c>
      <c r="D33" s="6" t="str">
        <f>IF('03_Base_Indice'!$D33="","",'03_Base_Indice'!$D33)</f>
        <v/>
      </c>
      <c r="E33" s="6" t="str">
        <f>IF('03_Base_Indice'!$E33="","",'03_Base_Indice'!$E33)</f>
        <v/>
      </c>
      <c r="G33" s="20" t="str">
        <f>IF('03_Base_Indice'!$G33="","",'03_Base_Indice'!$G33)</f>
        <v/>
      </c>
      <c r="K33" s="31" t="str">
        <f>IF($D33="","",IF('04_Dados_Ajustados'!K33="","",IF('03_Base_Indice'!$G33="+",MIN('01_Criterios'!$C$10,MAX('01_Criterios'!$C$9,'01_Criterios'!$C$9+('01_Criterios'!$C$10-'01_Criterios'!$C$9)*('04_Dados_Ajustados'!K33-'03_Base_Indice'!$H33)/('03_Base_Indice'!$I33-'03_Base_Indice'!$H33))),MIN('01_Criterios'!$C$10,MAX('01_Criterios'!$C$9,'01_Criterios'!$C$9+('01_Criterios'!$C$10-'01_Criterios'!$C$9)*('03_Base_Indice'!$I33-'04_Dados_Ajustados'!K33)/('03_Base_Indice'!$I33-'03_Base_Indice'!$H33))))))</f>
        <v/>
      </c>
      <c r="L33" s="31" t="str">
        <f>IF($D33="","",IF('04_Dados_Ajustados'!L33="","",IF('03_Base_Indice'!$G33="+",MIN('01_Criterios'!$C$10,MAX('01_Criterios'!$C$9,'01_Criterios'!$C$9+('01_Criterios'!$C$10-'01_Criterios'!$C$9)*('04_Dados_Ajustados'!L33-'03_Base_Indice'!$H33)/('03_Base_Indice'!$I33-'03_Base_Indice'!$H33))),MIN('01_Criterios'!$C$10,MAX('01_Criterios'!$C$9,'01_Criterios'!$C$9+('01_Criterios'!$C$10-'01_Criterios'!$C$9)*('03_Base_Indice'!$I33-'04_Dados_Ajustados'!L33)/('03_Base_Indice'!$I33-'03_Base_Indice'!$H33))))))</f>
        <v/>
      </c>
      <c r="M33" s="31" t="str">
        <f>IF($D33="","",IF('04_Dados_Ajustados'!M33="","",IF('03_Base_Indice'!$G33="+",MIN('01_Criterios'!$C$10,MAX('01_Criterios'!$C$9,'01_Criterios'!$C$9+('01_Criterios'!$C$10-'01_Criterios'!$C$9)*('04_Dados_Ajustados'!M33-'03_Base_Indice'!$H33)/('03_Base_Indice'!$I33-'03_Base_Indice'!$H33))),MIN('01_Criterios'!$C$10,MAX('01_Criterios'!$C$9,'01_Criterios'!$C$9+('01_Criterios'!$C$10-'01_Criterios'!$C$9)*('03_Base_Indice'!$I33-'04_Dados_Ajustados'!M33)/('03_Base_Indice'!$I33-'03_Base_Indice'!$H33))))))</f>
        <v/>
      </c>
      <c r="N33" s="31" t="str">
        <f>IF($D33="","",IF('04_Dados_Ajustados'!N33="","",IF('03_Base_Indice'!$G33="+",MIN('01_Criterios'!$C$10,MAX('01_Criterios'!$C$9,'01_Criterios'!$C$9+('01_Criterios'!$C$10-'01_Criterios'!$C$9)*('04_Dados_Ajustados'!N33-'03_Base_Indice'!$H33)/('03_Base_Indice'!$I33-'03_Base_Indice'!$H33))),MIN('01_Criterios'!$C$10,MAX('01_Criterios'!$C$9,'01_Criterios'!$C$9+('01_Criterios'!$C$10-'01_Criterios'!$C$9)*('03_Base_Indice'!$I33-'04_Dados_Ajustados'!N33)/('03_Base_Indice'!$I33-'03_Base_Indice'!$H33))))))</f>
        <v/>
      </c>
      <c r="O33" s="31" t="str">
        <f>IF($D33="","",IF('04_Dados_Ajustados'!O33="","",IF('03_Base_Indice'!$G33="+",MIN('01_Criterios'!$C$10,MAX('01_Criterios'!$C$9,'01_Criterios'!$C$9+('01_Criterios'!$C$10-'01_Criterios'!$C$9)*('04_Dados_Ajustados'!O33-'03_Base_Indice'!$H33)/('03_Base_Indice'!$I33-'03_Base_Indice'!$H33))),MIN('01_Criterios'!$C$10,MAX('01_Criterios'!$C$9,'01_Criterios'!$C$9+('01_Criterios'!$C$10-'01_Criterios'!$C$9)*('03_Base_Indice'!$I33-'04_Dados_Ajustados'!O33)/('03_Base_Indice'!$I33-'03_Base_Indice'!$H33))))))</f>
        <v/>
      </c>
      <c r="P33" s="31" t="str">
        <f>IF($D33="","",IF('04_Dados_Ajustados'!P33="","",IF('03_Base_Indice'!$G33="+",MIN('01_Criterios'!$C$10,MAX('01_Criterios'!$C$9,'01_Criterios'!$C$9+('01_Criterios'!$C$10-'01_Criterios'!$C$9)*('04_Dados_Ajustados'!P33-'03_Base_Indice'!$H33)/('03_Base_Indice'!$I33-'03_Base_Indice'!$H33))),MIN('01_Criterios'!$C$10,MAX('01_Criterios'!$C$9,'01_Criterios'!$C$9+('01_Criterios'!$C$10-'01_Criterios'!$C$9)*('03_Base_Indice'!$I33-'04_Dados_Ajustados'!P33)/('03_Base_Indice'!$I33-'03_Base_Indice'!$H33))))))</f>
        <v/>
      </c>
      <c r="Q33" s="31" t="str">
        <f>IF($D33="","",IF('04_Dados_Ajustados'!Q33="","",IF('03_Base_Indice'!$G33="+",MIN('01_Criterios'!$C$10,MAX('01_Criterios'!$C$9,'01_Criterios'!$C$9+('01_Criterios'!$C$10-'01_Criterios'!$C$9)*('04_Dados_Ajustados'!Q33-'03_Base_Indice'!$H33)/('03_Base_Indice'!$I33-'03_Base_Indice'!$H33))),MIN('01_Criterios'!$C$10,MAX('01_Criterios'!$C$9,'01_Criterios'!$C$9+('01_Criterios'!$C$10-'01_Criterios'!$C$9)*('03_Base_Indice'!$I33-'04_Dados_Ajustados'!Q33)/('03_Base_Indice'!$I33-'03_Base_Indice'!$H33))))))</f>
        <v/>
      </c>
      <c r="R33" s="31" t="str">
        <f>IF($D33="","",IF('04_Dados_Ajustados'!R33="","",IF('03_Base_Indice'!$G33="+",MIN('01_Criterios'!$C$10,MAX('01_Criterios'!$C$9,'01_Criterios'!$C$9+('01_Criterios'!$C$10-'01_Criterios'!$C$9)*('04_Dados_Ajustados'!R33-'03_Base_Indice'!$H33)/('03_Base_Indice'!$I33-'03_Base_Indice'!$H33))),MIN('01_Criterios'!$C$10,MAX('01_Criterios'!$C$9,'01_Criterios'!$C$9+('01_Criterios'!$C$10-'01_Criterios'!$C$9)*('03_Base_Indice'!$I33-'04_Dados_Ajustados'!R33)/('03_Base_Indice'!$I33-'03_Base_Indice'!$H33))))))</f>
        <v/>
      </c>
      <c r="S33" s="31" t="str">
        <f>IF($D33="","",IF('04_Dados_Ajustados'!S33="","",IF('03_Base_Indice'!$G33="+",MIN('01_Criterios'!$C$10,MAX('01_Criterios'!$C$9,'01_Criterios'!$C$9+('01_Criterios'!$C$10-'01_Criterios'!$C$9)*('04_Dados_Ajustados'!S33-'03_Base_Indice'!$H33)/('03_Base_Indice'!$I33-'03_Base_Indice'!$H33))),MIN('01_Criterios'!$C$10,MAX('01_Criterios'!$C$9,'01_Criterios'!$C$9+('01_Criterios'!$C$10-'01_Criterios'!$C$9)*('03_Base_Indice'!$I33-'04_Dados_Ajustados'!S33)/('03_Base_Indice'!$I33-'03_Base_Indice'!$H33))))))</f>
        <v/>
      </c>
      <c r="T33" s="31" t="str">
        <f>IF($D33="","",IF('04_Dados_Ajustados'!T33="","",IF('03_Base_Indice'!$G33="+",MIN('01_Criterios'!$C$10,MAX('01_Criterios'!$C$9,'01_Criterios'!$C$9+('01_Criterios'!$C$10-'01_Criterios'!$C$9)*('04_Dados_Ajustados'!T33-'03_Base_Indice'!$H33)/('03_Base_Indice'!$I33-'03_Base_Indice'!$H33))),MIN('01_Criterios'!$C$10,MAX('01_Criterios'!$C$9,'01_Criterios'!$C$9+('01_Criterios'!$C$10-'01_Criterios'!$C$9)*('03_Base_Indice'!$I33-'04_Dados_Ajustados'!T33)/('03_Base_Indice'!$I33-'03_Base_Indice'!$H33))))))</f>
        <v/>
      </c>
      <c r="U33" s="31" t="str">
        <f>IF($D33="","",IF('04_Dados_Ajustados'!U33="","",IF('03_Base_Indice'!$G33="+",MIN('01_Criterios'!$C$10,MAX('01_Criterios'!$C$9,'01_Criterios'!$C$9+('01_Criterios'!$C$10-'01_Criterios'!$C$9)*('04_Dados_Ajustados'!U33-'03_Base_Indice'!$H33)/('03_Base_Indice'!$I33-'03_Base_Indice'!$H33))),MIN('01_Criterios'!$C$10,MAX('01_Criterios'!$C$9,'01_Criterios'!$C$9+('01_Criterios'!$C$10-'01_Criterios'!$C$9)*('03_Base_Indice'!$I33-'04_Dados_Ajustados'!U33)/('03_Base_Indice'!$I33-'03_Base_Indice'!$H33))))))</f>
        <v/>
      </c>
    </row>
    <row r="34" spans="1:21">
      <c r="A34" s="6" t="str">
        <f>IF('03_Base_Indice'!$A34="","",'03_Base_Indice'!$A34)</f>
        <v>3. Capital Humano</v>
      </c>
      <c r="B34" s="6">
        <f>'03_Base_Indice'!$B34</f>
        <v>10</v>
      </c>
      <c r="D34" s="6" t="str">
        <f>IF('03_Base_Indice'!$D34="","",'03_Base_Indice'!$D34)</f>
        <v/>
      </c>
      <c r="E34" s="6" t="str">
        <f>IF('03_Base_Indice'!$E34="","",'03_Base_Indice'!$E34)</f>
        <v/>
      </c>
      <c r="G34" s="20" t="str">
        <f>IF('03_Base_Indice'!$G34="","",'03_Base_Indice'!$G34)</f>
        <v/>
      </c>
      <c r="K34" s="31" t="str">
        <f>IF($D34="","",IF('04_Dados_Ajustados'!K34="","",IF('03_Base_Indice'!$G34="+",MIN('01_Criterios'!$C$10,MAX('01_Criterios'!$C$9,'01_Criterios'!$C$9+('01_Criterios'!$C$10-'01_Criterios'!$C$9)*('04_Dados_Ajustados'!K34-'03_Base_Indice'!$H34)/('03_Base_Indice'!$I34-'03_Base_Indice'!$H34))),MIN('01_Criterios'!$C$10,MAX('01_Criterios'!$C$9,'01_Criterios'!$C$9+('01_Criterios'!$C$10-'01_Criterios'!$C$9)*('03_Base_Indice'!$I34-'04_Dados_Ajustados'!K34)/('03_Base_Indice'!$I34-'03_Base_Indice'!$H34))))))</f>
        <v/>
      </c>
      <c r="L34" s="31" t="str">
        <f>IF($D34="","",IF('04_Dados_Ajustados'!L34="","",IF('03_Base_Indice'!$G34="+",MIN('01_Criterios'!$C$10,MAX('01_Criterios'!$C$9,'01_Criterios'!$C$9+('01_Criterios'!$C$10-'01_Criterios'!$C$9)*('04_Dados_Ajustados'!L34-'03_Base_Indice'!$H34)/('03_Base_Indice'!$I34-'03_Base_Indice'!$H34))),MIN('01_Criterios'!$C$10,MAX('01_Criterios'!$C$9,'01_Criterios'!$C$9+('01_Criterios'!$C$10-'01_Criterios'!$C$9)*('03_Base_Indice'!$I34-'04_Dados_Ajustados'!L34)/('03_Base_Indice'!$I34-'03_Base_Indice'!$H34))))))</f>
        <v/>
      </c>
      <c r="M34" s="31" t="str">
        <f>IF($D34="","",IF('04_Dados_Ajustados'!M34="","",IF('03_Base_Indice'!$G34="+",MIN('01_Criterios'!$C$10,MAX('01_Criterios'!$C$9,'01_Criterios'!$C$9+('01_Criterios'!$C$10-'01_Criterios'!$C$9)*('04_Dados_Ajustados'!M34-'03_Base_Indice'!$H34)/('03_Base_Indice'!$I34-'03_Base_Indice'!$H34))),MIN('01_Criterios'!$C$10,MAX('01_Criterios'!$C$9,'01_Criterios'!$C$9+('01_Criterios'!$C$10-'01_Criterios'!$C$9)*('03_Base_Indice'!$I34-'04_Dados_Ajustados'!M34)/('03_Base_Indice'!$I34-'03_Base_Indice'!$H34))))))</f>
        <v/>
      </c>
      <c r="N34" s="31" t="str">
        <f>IF($D34="","",IF('04_Dados_Ajustados'!N34="","",IF('03_Base_Indice'!$G34="+",MIN('01_Criterios'!$C$10,MAX('01_Criterios'!$C$9,'01_Criterios'!$C$9+('01_Criterios'!$C$10-'01_Criterios'!$C$9)*('04_Dados_Ajustados'!N34-'03_Base_Indice'!$H34)/('03_Base_Indice'!$I34-'03_Base_Indice'!$H34))),MIN('01_Criterios'!$C$10,MAX('01_Criterios'!$C$9,'01_Criterios'!$C$9+('01_Criterios'!$C$10-'01_Criterios'!$C$9)*('03_Base_Indice'!$I34-'04_Dados_Ajustados'!N34)/('03_Base_Indice'!$I34-'03_Base_Indice'!$H34))))))</f>
        <v/>
      </c>
      <c r="O34" s="31" t="str">
        <f>IF($D34="","",IF('04_Dados_Ajustados'!O34="","",IF('03_Base_Indice'!$G34="+",MIN('01_Criterios'!$C$10,MAX('01_Criterios'!$C$9,'01_Criterios'!$C$9+('01_Criterios'!$C$10-'01_Criterios'!$C$9)*('04_Dados_Ajustados'!O34-'03_Base_Indice'!$H34)/('03_Base_Indice'!$I34-'03_Base_Indice'!$H34))),MIN('01_Criterios'!$C$10,MAX('01_Criterios'!$C$9,'01_Criterios'!$C$9+('01_Criterios'!$C$10-'01_Criterios'!$C$9)*('03_Base_Indice'!$I34-'04_Dados_Ajustados'!O34)/('03_Base_Indice'!$I34-'03_Base_Indice'!$H34))))))</f>
        <v/>
      </c>
      <c r="P34" s="31" t="str">
        <f>IF($D34="","",IF('04_Dados_Ajustados'!P34="","",IF('03_Base_Indice'!$G34="+",MIN('01_Criterios'!$C$10,MAX('01_Criterios'!$C$9,'01_Criterios'!$C$9+('01_Criterios'!$C$10-'01_Criterios'!$C$9)*('04_Dados_Ajustados'!P34-'03_Base_Indice'!$H34)/('03_Base_Indice'!$I34-'03_Base_Indice'!$H34))),MIN('01_Criterios'!$C$10,MAX('01_Criterios'!$C$9,'01_Criterios'!$C$9+('01_Criterios'!$C$10-'01_Criterios'!$C$9)*('03_Base_Indice'!$I34-'04_Dados_Ajustados'!P34)/('03_Base_Indice'!$I34-'03_Base_Indice'!$H34))))))</f>
        <v/>
      </c>
      <c r="Q34" s="31" t="str">
        <f>IF($D34="","",IF('04_Dados_Ajustados'!Q34="","",IF('03_Base_Indice'!$G34="+",MIN('01_Criterios'!$C$10,MAX('01_Criterios'!$C$9,'01_Criterios'!$C$9+('01_Criterios'!$C$10-'01_Criterios'!$C$9)*('04_Dados_Ajustados'!Q34-'03_Base_Indice'!$H34)/('03_Base_Indice'!$I34-'03_Base_Indice'!$H34))),MIN('01_Criterios'!$C$10,MAX('01_Criterios'!$C$9,'01_Criterios'!$C$9+('01_Criterios'!$C$10-'01_Criterios'!$C$9)*('03_Base_Indice'!$I34-'04_Dados_Ajustados'!Q34)/('03_Base_Indice'!$I34-'03_Base_Indice'!$H34))))))</f>
        <v/>
      </c>
      <c r="R34" s="31" t="str">
        <f>IF($D34="","",IF('04_Dados_Ajustados'!R34="","",IF('03_Base_Indice'!$G34="+",MIN('01_Criterios'!$C$10,MAX('01_Criterios'!$C$9,'01_Criterios'!$C$9+('01_Criterios'!$C$10-'01_Criterios'!$C$9)*('04_Dados_Ajustados'!R34-'03_Base_Indice'!$H34)/('03_Base_Indice'!$I34-'03_Base_Indice'!$H34))),MIN('01_Criterios'!$C$10,MAX('01_Criterios'!$C$9,'01_Criterios'!$C$9+('01_Criterios'!$C$10-'01_Criterios'!$C$9)*('03_Base_Indice'!$I34-'04_Dados_Ajustados'!R34)/('03_Base_Indice'!$I34-'03_Base_Indice'!$H34))))))</f>
        <v/>
      </c>
      <c r="S34" s="31" t="str">
        <f>IF($D34="","",IF('04_Dados_Ajustados'!S34="","",IF('03_Base_Indice'!$G34="+",MIN('01_Criterios'!$C$10,MAX('01_Criterios'!$C$9,'01_Criterios'!$C$9+('01_Criterios'!$C$10-'01_Criterios'!$C$9)*('04_Dados_Ajustados'!S34-'03_Base_Indice'!$H34)/('03_Base_Indice'!$I34-'03_Base_Indice'!$H34))),MIN('01_Criterios'!$C$10,MAX('01_Criterios'!$C$9,'01_Criterios'!$C$9+('01_Criterios'!$C$10-'01_Criterios'!$C$9)*('03_Base_Indice'!$I34-'04_Dados_Ajustados'!S34)/('03_Base_Indice'!$I34-'03_Base_Indice'!$H34))))))</f>
        <v/>
      </c>
      <c r="T34" s="31" t="str">
        <f>IF($D34="","",IF('04_Dados_Ajustados'!T34="","",IF('03_Base_Indice'!$G34="+",MIN('01_Criterios'!$C$10,MAX('01_Criterios'!$C$9,'01_Criterios'!$C$9+('01_Criterios'!$C$10-'01_Criterios'!$C$9)*('04_Dados_Ajustados'!T34-'03_Base_Indice'!$H34)/('03_Base_Indice'!$I34-'03_Base_Indice'!$H34))),MIN('01_Criterios'!$C$10,MAX('01_Criterios'!$C$9,'01_Criterios'!$C$9+('01_Criterios'!$C$10-'01_Criterios'!$C$9)*('03_Base_Indice'!$I34-'04_Dados_Ajustados'!T34)/('03_Base_Indice'!$I34-'03_Base_Indice'!$H34))))))</f>
        <v/>
      </c>
      <c r="U34" s="31" t="str">
        <f>IF($D34="","",IF('04_Dados_Ajustados'!U34="","",IF('03_Base_Indice'!$G34="+",MIN('01_Criterios'!$C$10,MAX('01_Criterios'!$C$9,'01_Criterios'!$C$9+('01_Criterios'!$C$10-'01_Criterios'!$C$9)*('04_Dados_Ajustados'!U34-'03_Base_Indice'!$H34)/('03_Base_Indice'!$I34-'03_Base_Indice'!$H34))),MIN('01_Criterios'!$C$10,MAX('01_Criterios'!$C$9,'01_Criterios'!$C$9+('01_Criterios'!$C$10-'01_Criterios'!$C$9)*('03_Base_Indice'!$I34-'04_Dados_Ajustados'!U34)/('03_Base_Indice'!$I34-'03_Base_Indice'!$H34))))))</f>
        <v/>
      </c>
    </row>
    <row r="35" spans="1:21">
      <c r="A35" s="6" t="str">
        <f>IF('03_Base_Indice'!$A35="","",'03_Base_Indice'!$A35)</f>
        <v>4. Inclusão Social e Protecção</v>
      </c>
      <c r="B35" s="6">
        <f>'03_Base_Indice'!$B35</f>
        <v>1</v>
      </c>
      <c r="D35" s="6" t="str">
        <f>IF('03_Base_Indice'!$D35="","",'03_Base_Indice'!$D35)</f>
        <v>INC005</v>
      </c>
      <c r="E35" s="6" t="str">
        <f>IF('03_Base_Indice'!$E35="","",'03_Base_Indice'!$E35)</f>
        <v>RNB per Capita (USD)</v>
      </c>
      <c r="G35" s="20" t="str">
        <f>IF('03_Base_Indice'!$G35="","",'03_Base_Indice'!$G35)</f>
        <v>+</v>
      </c>
      <c r="K35" s="31">
        <f>IF($D35="","",IF('04_Dados_Ajustados'!K35="","",IF('03_Base_Indice'!$G35="+",MIN('01_Criterios'!$C$10,MAX('01_Criterios'!$C$9,'01_Criterios'!$C$9+('01_Criterios'!$C$10-'01_Criterios'!$C$9)*('04_Dados_Ajustados'!K35-'03_Base_Indice'!$H35)/('03_Base_Indice'!$I35-'03_Base_Indice'!$H35))),MIN('01_Criterios'!$C$10,MAX('01_Criterios'!$C$9,'01_Criterios'!$C$9+('01_Criterios'!$C$10-'01_Criterios'!$C$9)*('03_Base_Indice'!$I35-'04_Dados_Ajustados'!K35)/('03_Base_Indice'!$I35-'03_Base_Indice'!$H35))))))</f>
        <v>27.241379310344829</v>
      </c>
      <c r="L35" s="31">
        <f>IF($D35="","",IF('04_Dados_Ajustados'!L35="","",IF('03_Base_Indice'!$G35="+",MIN('01_Criterios'!$C$10,MAX('01_Criterios'!$C$9,'01_Criterios'!$C$9+('01_Criterios'!$C$10-'01_Criterios'!$C$9)*('04_Dados_Ajustados'!L35-'03_Base_Indice'!$H35)/('03_Base_Indice'!$I35-'03_Base_Indice'!$H35))),MIN('01_Criterios'!$C$10,MAX('01_Criterios'!$C$9,'01_Criterios'!$C$9+('01_Criterios'!$C$10-'01_Criterios'!$C$9)*('03_Base_Indice'!$I35-'04_Dados_Ajustados'!L35)/('03_Base_Indice'!$I35-'03_Base_Indice'!$H35))))))</f>
        <v>16.96551724137931</v>
      </c>
      <c r="M35" s="31">
        <f>IF($D35="","",IF('04_Dados_Ajustados'!M35="","",IF('03_Base_Indice'!$G35="+",MIN('01_Criterios'!$C$10,MAX('01_Criterios'!$C$9,'01_Criterios'!$C$9+('01_Criterios'!$C$10-'01_Criterios'!$C$9)*('04_Dados_Ajustados'!M35-'03_Base_Indice'!$H35)/('03_Base_Indice'!$I35-'03_Base_Indice'!$H35))),MIN('01_Criterios'!$C$10,MAX('01_Criterios'!$C$9,'01_Criterios'!$C$9+('01_Criterios'!$C$10-'01_Criterios'!$C$9)*('03_Base_Indice'!$I35-'04_Dados_Ajustados'!M35)/('03_Base_Indice'!$I35-'03_Base_Indice'!$H35))))))</f>
        <v>13.379310344827585</v>
      </c>
      <c r="N35" s="31">
        <f>IF($D35="","",IF('04_Dados_Ajustados'!N35="","",IF('03_Base_Indice'!$G35="+",MIN('01_Criterios'!$C$10,MAX('01_Criterios'!$C$9,'01_Criterios'!$C$9+('01_Criterios'!$C$10-'01_Criterios'!$C$9)*('04_Dados_Ajustados'!N35-'03_Base_Indice'!$H35)/('03_Base_Indice'!$I35-'03_Base_Indice'!$H35))),MIN('01_Criterios'!$C$10,MAX('01_Criterios'!$C$9,'01_Criterios'!$C$9+('01_Criterios'!$C$10-'01_Criterios'!$C$9)*('03_Base_Indice'!$I35-'04_Dados_Ajustados'!N35)/('03_Base_Indice'!$I35-'03_Base_Indice'!$H35))))))</f>
        <v>12.413793103448276</v>
      </c>
      <c r="O35" s="31">
        <f>IF($D35="","",IF('04_Dados_Ajustados'!O35="","",IF('03_Base_Indice'!$G35="+",MIN('01_Criterios'!$C$10,MAX('01_Criterios'!$C$9,'01_Criterios'!$C$9+('01_Criterios'!$C$10-'01_Criterios'!$C$9)*('04_Dados_Ajustados'!O35-'03_Base_Indice'!$H35)/('03_Base_Indice'!$I35-'03_Base_Indice'!$H35))),MIN('01_Criterios'!$C$10,MAX('01_Criterios'!$C$9,'01_Criterios'!$C$9+('01_Criterios'!$C$10-'01_Criterios'!$C$9)*('03_Base_Indice'!$I35-'04_Dados_Ajustados'!O35)/('03_Base_Indice'!$I35-'03_Base_Indice'!$H35))))))</f>
        <v>13.517241379310345</v>
      </c>
      <c r="P35" s="31">
        <f>IF($D35="","",IF('04_Dados_Ajustados'!P35="","",IF('03_Base_Indice'!$G35="+",MIN('01_Criterios'!$C$10,MAX('01_Criterios'!$C$9,'01_Criterios'!$C$9+('01_Criterios'!$C$10-'01_Criterios'!$C$9)*('04_Dados_Ajustados'!P35-'03_Base_Indice'!$H35)/('03_Base_Indice'!$I35-'03_Base_Indice'!$H35))),MIN('01_Criterios'!$C$10,MAX('01_Criterios'!$C$9,'01_Criterios'!$C$9+('01_Criterios'!$C$10-'01_Criterios'!$C$9)*('03_Base_Indice'!$I35-'04_Dados_Ajustados'!P35)/('03_Base_Indice'!$I35-'03_Base_Indice'!$H35))))))</f>
        <v>10.344827586206897</v>
      </c>
      <c r="Q35" s="31">
        <f>IF($D35="","",IF('04_Dados_Ajustados'!Q35="","",IF('03_Base_Indice'!$G35="+",MIN('01_Criterios'!$C$10,MAX('01_Criterios'!$C$9,'01_Criterios'!$C$9+('01_Criterios'!$C$10-'01_Criterios'!$C$9)*('04_Dados_Ajustados'!Q35-'03_Base_Indice'!$H35)/('03_Base_Indice'!$I35-'03_Base_Indice'!$H35))),MIN('01_Criterios'!$C$10,MAX('01_Criterios'!$C$9,'01_Criterios'!$C$9+('01_Criterios'!$C$10-'01_Criterios'!$C$9)*('03_Base_Indice'!$I35-'04_Dados_Ajustados'!Q35)/('03_Base_Indice'!$I35-'03_Base_Indice'!$H35))))))</f>
        <v>10.068965517241379</v>
      </c>
      <c r="R35" s="31">
        <f>IF($D35="","",IF('04_Dados_Ajustados'!R35="","",IF('03_Base_Indice'!$G35="+",MIN('01_Criterios'!$C$10,MAX('01_Criterios'!$C$9,'01_Criterios'!$C$9+('01_Criterios'!$C$10-'01_Criterios'!$C$9)*('04_Dados_Ajustados'!R35-'03_Base_Indice'!$H35)/('03_Base_Indice'!$I35-'03_Base_Indice'!$H35))),MIN('01_Criterios'!$C$10,MAX('01_Criterios'!$C$9,'01_Criterios'!$C$9+('01_Criterios'!$C$10-'01_Criterios'!$C$9)*('03_Base_Indice'!$I35-'04_Dados_Ajustados'!R35)/('03_Base_Indice'!$I35-'03_Base_Indice'!$H35))))))</f>
        <v>12.344827586206897</v>
      </c>
      <c r="S35" s="31">
        <f>IF($D35="","",IF('04_Dados_Ajustados'!S35="","",IF('03_Base_Indice'!$G35="+",MIN('01_Criterios'!$C$10,MAX('01_Criterios'!$C$9,'01_Criterios'!$C$9+('01_Criterios'!$C$10-'01_Criterios'!$C$9)*('04_Dados_Ajustados'!S35-'03_Base_Indice'!$H35)/('03_Base_Indice'!$I35-'03_Base_Indice'!$H35))),MIN('01_Criterios'!$C$10,MAX('01_Criterios'!$C$9,'01_Criterios'!$C$9+('01_Criterios'!$C$10-'01_Criterios'!$C$9)*('03_Base_Indice'!$I35-'04_Dados_Ajustados'!S35)/('03_Base_Indice'!$I35-'03_Base_Indice'!$H35))))))</f>
        <v>14.827586206896552</v>
      </c>
      <c r="T35" s="31">
        <f>IF($D35="","",IF('04_Dados_Ajustados'!T35="","",IF('03_Base_Indice'!$G35="+",MIN('01_Criterios'!$C$10,MAX('01_Criterios'!$C$9,'01_Criterios'!$C$9+('01_Criterios'!$C$10-'01_Criterios'!$C$9)*('04_Dados_Ajustados'!T35-'03_Base_Indice'!$H35)/('03_Base_Indice'!$I35-'03_Base_Indice'!$H35))),MIN('01_Criterios'!$C$10,MAX('01_Criterios'!$C$9,'01_Criterios'!$C$9+('01_Criterios'!$C$10-'01_Criterios'!$C$9)*('03_Base_Indice'!$I35-'04_Dados_Ajustados'!T35)/('03_Base_Indice'!$I35-'03_Base_Indice'!$H35))))))</f>
        <v>16.206896551724139</v>
      </c>
      <c r="U35" s="31">
        <f>IF($D35="","",IF('04_Dados_Ajustados'!U35="","",IF('03_Base_Indice'!$G35="+",MIN('01_Criterios'!$C$10,MAX('01_Criterios'!$C$9,'01_Criterios'!$C$9+('01_Criterios'!$C$10-'01_Criterios'!$C$9)*('04_Dados_Ajustados'!U35-'03_Base_Indice'!$H35)/('03_Base_Indice'!$I35-'03_Base_Indice'!$H35))),MIN('01_Criterios'!$C$10,MAX('01_Criterios'!$C$9,'01_Criterios'!$C$9+('01_Criterios'!$C$10-'01_Criterios'!$C$9)*('03_Base_Indice'!$I35-'04_Dados_Ajustados'!U35)/('03_Base_Indice'!$I35-'03_Base_Indice'!$H35))))))</f>
        <v>16.275862068965516</v>
      </c>
    </row>
    <row r="36" spans="1:21">
      <c r="A36" s="6" t="str">
        <f>IF('03_Base_Indice'!$A36="","",'03_Base_Indice'!$A36)</f>
        <v>4. Inclusão Social e Protecção</v>
      </c>
      <c r="B36" s="6">
        <f>'03_Base_Indice'!$B36</f>
        <v>2</v>
      </c>
      <c r="D36" s="6" t="str">
        <f>IF('03_Base_Indice'!$D36="","",'03_Base_Indice'!$D36)</f>
        <v>INC04</v>
      </c>
      <c r="E36" s="6" t="str">
        <f>IF('03_Base_Indice'!$E36="","",'03_Base_Indice'!$E36)</f>
        <v>Global Gender Gap Index</v>
      </c>
      <c r="G36" s="20" t="str">
        <f>IF('03_Base_Indice'!$G36="","",'03_Base_Indice'!$G36)</f>
        <v>+</v>
      </c>
      <c r="K36" s="31">
        <f>IF($D36="","",IF('04_Dados_Ajustados'!K36="","",IF('03_Base_Indice'!$G36="+",MIN('01_Criterios'!$C$10,MAX('01_Criterios'!$C$9,'01_Criterios'!$C$9+('01_Criterios'!$C$10-'01_Criterios'!$C$9)*('04_Dados_Ajustados'!K36-'03_Base_Indice'!$H36)/('03_Base_Indice'!$I36-'03_Base_Indice'!$H36))),MIN('01_Criterios'!$C$10,MAX('01_Criterios'!$C$9,'01_Criterios'!$C$9+('01_Criterios'!$C$10-'01_Criterios'!$C$9)*('03_Base_Indice'!$I36-'04_Dados_Ajustados'!K36)/('03_Base_Indice'!$I36-'03_Base_Indice'!$H36))))))</f>
        <v>63.7</v>
      </c>
      <c r="L36" s="31">
        <f>IF($D36="","",IF('04_Dados_Ajustados'!L36="","",IF('03_Base_Indice'!$G36="+",MIN('01_Criterios'!$C$10,MAX('01_Criterios'!$C$9,'01_Criterios'!$C$9+('01_Criterios'!$C$10-'01_Criterios'!$C$9)*('04_Dados_Ajustados'!L36-'03_Base_Indice'!$H36)/('03_Base_Indice'!$I36-'03_Base_Indice'!$H36))),MIN('01_Criterios'!$C$10,MAX('01_Criterios'!$C$9,'01_Criterios'!$C$9+('01_Criterios'!$C$10-'01_Criterios'!$C$9)*('03_Base_Indice'!$I36-'04_Dados_Ajustados'!L36)/('03_Base_Indice'!$I36-'03_Base_Indice'!$H36))))))</f>
        <v>64.3</v>
      </c>
      <c r="M36" s="31">
        <f>IF($D36="","",IF('04_Dados_Ajustados'!M36="","",IF('03_Base_Indice'!$G36="+",MIN('01_Criterios'!$C$10,MAX('01_Criterios'!$C$9,'01_Criterios'!$C$9+('01_Criterios'!$C$10-'01_Criterios'!$C$9)*('04_Dados_Ajustados'!M36-'03_Base_Indice'!$H36)/('03_Base_Indice'!$I36-'03_Base_Indice'!$H36))),MIN('01_Criterios'!$C$10,MAX('01_Criterios'!$C$9,'01_Criterios'!$C$9+('01_Criterios'!$C$10-'01_Criterios'!$C$9)*('03_Base_Indice'!$I36-'04_Dados_Ajustados'!M36)/('03_Base_Indice'!$I36-'03_Base_Indice'!$H36))))))</f>
        <v>64</v>
      </c>
      <c r="N36" s="31">
        <f>IF($D36="","",IF('04_Dados_Ajustados'!N36="","",IF('03_Base_Indice'!$G36="+",MIN('01_Criterios'!$C$10,MAX('01_Criterios'!$C$9,'01_Criterios'!$C$9+('01_Criterios'!$C$10-'01_Criterios'!$C$9)*('04_Dados_Ajustados'!N36-'03_Base_Indice'!$H36)/('03_Base_Indice'!$I36-'03_Base_Indice'!$H36))),MIN('01_Criterios'!$C$10,MAX('01_Criterios'!$C$9,'01_Criterios'!$C$9+('01_Criterios'!$C$10-'01_Criterios'!$C$9)*('03_Base_Indice'!$I36-'04_Dados_Ajustados'!N36)/('03_Base_Indice'!$I36-'03_Base_Indice'!$H36))))))</f>
        <v>63.3</v>
      </c>
      <c r="O36" s="31">
        <f>IF($D36="","",IF('04_Dados_Ajustados'!O36="","",IF('03_Base_Indice'!$G36="+",MIN('01_Criterios'!$C$10,MAX('01_Criterios'!$C$9,'01_Criterios'!$C$9+('01_Criterios'!$C$10-'01_Criterios'!$C$9)*('04_Dados_Ajustados'!O36-'03_Base_Indice'!$H36)/('03_Base_Indice'!$I36-'03_Base_Indice'!$H36))),MIN('01_Criterios'!$C$10,MAX('01_Criterios'!$C$9,'01_Criterios'!$C$9+('01_Criterios'!$C$10-'01_Criterios'!$C$9)*('03_Base_Indice'!$I36-'04_Dados_Ajustados'!O36)/('03_Base_Indice'!$I36-'03_Base_Indice'!$H36))))))</f>
        <v>64.650000000000006</v>
      </c>
      <c r="P36" s="31">
        <f>IF($D36="","",IF('04_Dados_Ajustados'!P36="","",IF('03_Base_Indice'!$G36="+",MIN('01_Criterios'!$C$10,MAX('01_Criterios'!$C$9,'01_Criterios'!$C$9+('01_Criterios'!$C$10-'01_Criterios'!$C$9)*('04_Dados_Ajustados'!P36-'03_Base_Indice'!$H36)/('03_Base_Indice'!$I36-'03_Base_Indice'!$H36))),MIN('01_Criterios'!$C$10,MAX('01_Criterios'!$C$9,'01_Criterios'!$C$9+('01_Criterios'!$C$10-'01_Criterios'!$C$9)*('03_Base_Indice'!$I36-'04_Dados_Ajustados'!P36)/('03_Base_Indice'!$I36-'03_Base_Indice'!$H36))))))</f>
        <v>66</v>
      </c>
      <c r="Q36" s="31">
        <f>IF($D36="","",IF('04_Dados_Ajustados'!Q36="","",IF('03_Base_Indice'!$G36="+",MIN('01_Criterios'!$C$10,MAX('01_Criterios'!$C$9,'01_Criterios'!$C$9+('01_Criterios'!$C$10-'01_Criterios'!$C$9)*('04_Dados_Ajustados'!Q36-'03_Base_Indice'!$H36)/('03_Base_Indice'!$I36-'03_Base_Indice'!$H36))),MIN('01_Criterios'!$C$10,MAX('01_Criterios'!$C$9,'01_Criterios'!$C$9+('01_Criterios'!$C$10-'01_Criterios'!$C$9)*('03_Base_Indice'!$I36-'04_Dados_Ajustados'!Q36)/('03_Base_Indice'!$I36-'03_Base_Indice'!$H36))))))</f>
        <v>65.7</v>
      </c>
      <c r="R36" s="31">
        <f>IF($D36="","",IF('04_Dados_Ajustados'!R36="","",IF('03_Base_Indice'!$G36="+",MIN('01_Criterios'!$C$10,MAX('01_Criterios'!$C$9,'01_Criterios'!$C$9+('01_Criterios'!$C$10-'01_Criterios'!$C$9)*('04_Dados_Ajustados'!R36-'03_Base_Indice'!$H36)/('03_Base_Indice'!$I36-'03_Base_Indice'!$H36))),MIN('01_Criterios'!$C$10,MAX('01_Criterios'!$C$9,'01_Criterios'!$C$9+('01_Criterios'!$C$10-'01_Criterios'!$C$9)*('03_Base_Indice'!$I36-'04_Dados_Ajustados'!R36)/('03_Base_Indice'!$I36-'03_Base_Indice'!$H36))))))</f>
        <v>63.800000000000004</v>
      </c>
      <c r="S36" s="31">
        <f>IF($D36="","",IF('04_Dados_Ajustados'!S36="","",IF('03_Base_Indice'!$G36="+",MIN('01_Criterios'!$C$10,MAX('01_Criterios'!$C$9,'01_Criterios'!$C$9+('01_Criterios'!$C$10-'01_Criterios'!$C$9)*('04_Dados_Ajustados'!S36-'03_Base_Indice'!$H36)/('03_Base_Indice'!$I36-'03_Base_Indice'!$H36))),MIN('01_Criterios'!$C$10,MAX('01_Criterios'!$C$9,'01_Criterios'!$C$9+('01_Criterios'!$C$10-'01_Criterios'!$C$9)*('03_Base_Indice'!$I36-'04_Dados_Ajustados'!S36)/('03_Base_Indice'!$I36-'03_Base_Indice'!$H36))))))</f>
        <v>65.600000000000009</v>
      </c>
      <c r="T36" s="31">
        <f>IF($D36="","",IF('04_Dados_Ajustados'!T36="","",IF('03_Base_Indice'!$G36="+",MIN('01_Criterios'!$C$10,MAX('01_Criterios'!$C$9,'01_Criterios'!$C$9+('01_Criterios'!$C$10-'01_Criterios'!$C$9)*('04_Dados_Ajustados'!T36-'03_Base_Indice'!$H36)/('03_Base_Indice'!$I36-'03_Base_Indice'!$H36))),MIN('01_Criterios'!$C$10,MAX('01_Criterios'!$C$9,'01_Criterios'!$C$9+('01_Criterios'!$C$10-'01_Criterios'!$C$9)*('03_Base_Indice'!$I36-'04_Dados_Ajustados'!T36)/('03_Base_Indice'!$I36-'03_Base_Indice'!$H36))))))</f>
        <v>66.8</v>
      </c>
      <c r="U36" s="31">
        <f>IF($D36="","",IF('04_Dados_Ajustados'!U36="","",IF('03_Base_Indice'!$G36="+",MIN('01_Criterios'!$C$10,MAX('01_Criterios'!$C$9,'01_Criterios'!$C$9+('01_Criterios'!$C$10-'01_Criterios'!$C$9)*('04_Dados_Ajustados'!U36-'03_Base_Indice'!$H36)/('03_Base_Indice'!$I36-'03_Base_Indice'!$H36))),MIN('01_Criterios'!$C$10,MAX('01_Criterios'!$C$9,'01_Criterios'!$C$9+('01_Criterios'!$C$10-'01_Criterios'!$C$9)*('03_Base_Indice'!$I36-'04_Dados_Ajustados'!U36)/('03_Base_Indice'!$I36-'03_Base_Indice'!$H36))))))</f>
        <v>66.8</v>
      </c>
    </row>
    <row r="37" spans="1:21">
      <c r="A37" s="6" t="str">
        <f>IF('03_Base_Indice'!$A37="","",'03_Base_Indice'!$A37)</f>
        <v>4. Inclusão Social e Protecção</v>
      </c>
      <c r="B37" s="6">
        <f>'03_Base_Indice'!$B37</f>
        <v>3</v>
      </c>
      <c r="D37" s="6" t="str">
        <f>IF('03_Base_Indice'!$D37="","",'03_Base_Indice'!$D37)</f>
        <v>INC06</v>
      </c>
      <c r="E37" s="6" t="str">
        <f>IF('03_Base_Indice'!$E37="","",'03_Base_Indice'!$E37)</f>
        <v>Mulheres no parlamento</v>
      </c>
      <c r="G37" s="20" t="str">
        <f>IF('03_Base_Indice'!$G37="","",'03_Base_Indice'!$G37)</f>
        <v>+</v>
      </c>
      <c r="K37" s="31">
        <f>IF($D37="","",IF('04_Dados_Ajustados'!K37="","",IF('03_Base_Indice'!$G37="+",MIN('01_Criterios'!$C$10,MAX('01_Criterios'!$C$9,'01_Criterios'!$C$9+('01_Criterios'!$C$10-'01_Criterios'!$C$9)*('04_Dados_Ajustados'!K37-'03_Base_Indice'!$H37)/('03_Base_Indice'!$I37-'03_Base_Indice'!$H37))),MIN('01_Criterios'!$C$10,MAX('01_Criterios'!$C$9,'01_Criterios'!$C$9+('01_Criterios'!$C$10-'01_Criterios'!$C$9)*('03_Base_Indice'!$I37-'04_Dados_Ajustados'!K37)/('03_Base_Indice'!$I37-'03_Base_Indice'!$H37))))))</f>
        <v>61.363636363636331</v>
      </c>
      <c r="L37" s="31">
        <f>IF($D37="","",IF('04_Dados_Ajustados'!L37="","",IF('03_Base_Indice'!$G37="+",MIN('01_Criterios'!$C$10,MAX('01_Criterios'!$C$9,'01_Criterios'!$C$9+('01_Criterios'!$C$10-'01_Criterios'!$C$9)*('04_Dados_Ajustados'!L37-'03_Base_Indice'!$H37)/('03_Base_Indice'!$I37-'03_Base_Indice'!$H37))),MIN('01_Criterios'!$C$10,MAX('01_Criterios'!$C$9,'01_Criterios'!$C$9+('01_Criterios'!$C$10-'01_Criterios'!$C$9)*('03_Base_Indice'!$I37-'04_Dados_Ajustados'!L37)/('03_Base_Indice'!$I37-'03_Base_Indice'!$H37))))))</f>
        <v>61.363636363636331</v>
      </c>
      <c r="M37" s="31">
        <f>IF($D37="","",IF('04_Dados_Ajustados'!M37="","",IF('03_Base_Indice'!$G37="+",MIN('01_Criterios'!$C$10,MAX('01_Criterios'!$C$9,'01_Criterios'!$C$9+('01_Criterios'!$C$10-'01_Criterios'!$C$9)*('04_Dados_Ajustados'!M37-'03_Base_Indice'!$H37)/('03_Base_Indice'!$I37-'03_Base_Indice'!$H37))),MIN('01_Criterios'!$C$10,MAX('01_Criterios'!$C$9,'01_Criterios'!$C$9+('01_Criterios'!$C$10-'01_Criterios'!$C$9)*('03_Base_Indice'!$I37-'04_Dados_Ajustados'!M37)/('03_Base_Indice'!$I37-'03_Base_Indice'!$H37))))))</f>
        <v>50.757575757575836</v>
      </c>
      <c r="N37" s="31">
        <f>IF($D37="","",IF('04_Dados_Ajustados'!N37="","",IF('03_Base_Indice'!$G37="+",MIN('01_Criterios'!$C$10,MAX('01_Criterios'!$C$9,'01_Criterios'!$C$9+('01_Criterios'!$C$10-'01_Criterios'!$C$9)*('04_Dados_Ajustados'!N37-'03_Base_Indice'!$H37)/('03_Base_Indice'!$I37-'03_Base_Indice'!$H37))),MIN('01_Criterios'!$C$10,MAX('01_Criterios'!$C$9,'01_Criterios'!$C$9+('01_Criterios'!$C$10-'01_Criterios'!$C$9)*('03_Base_Indice'!$I37-'04_Dados_Ajustados'!N37)/('03_Base_Indice'!$I37-'03_Base_Indice'!$H37))))))</f>
        <v>50.757575757575836</v>
      </c>
      <c r="O37" s="31">
        <f>IF($D37="","",IF('04_Dados_Ajustados'!O37="","",IF('03_Base_Indice'!$G37="+",MIN('01_Criterios'!$C$10,MAX('01_Criterios'!$C$9,'01_Criterios'!$C$9+('01_Criterios'!$C$10-'01_Criterios'!$C$9)*('04_Dados_Ajustados'!O37-'03_Base_Indice'!$H37)/('03_Base_Indice'!$I37-'03_Base_Indice'!$H37))),MIN('01_Criterios'!$C$10,MAX('01_Criterios'!$C$9,'01_Criterios'!$C$9+('01_Criterios'!$C$10-'01_Criterios'!$C$9)*('03_Base_Indice'!$I37-'04_Dados_Ajustados'!O37)/('03_Base_Indice'!$I37-'03_Base_Indice'!$H37))))))</f>
        <v>50</v>
      </c>
      <c r="P37" s="31">
        <f>IF($D37="","",IF('04_Dados_Ajustados'!P37="","",IF('03_Base_Indice'!$G37="+",MIN('01_Criterios'!$C$10,MAX('01_Criterios'!$C$9,'01_Criterios'!$C$9+('01_Criterios'!$C$10-'01_Criterios'!$C$9)*('04_Dados_Ajustados'!P37-'03_Base_Indice'!$H37)/('03_Base_Indice'!$I37-'03_Base_Indice'!$H37))),MIN('01_Criterios'!$C$10,MAX('01_Criterios'!$C$9,'01_Criterios'!$C$9+('01_Criterios'!$C$10-'01_Criterios'!$C$9)*('03_Base_Indice'!$I37-'04_Dados_Ajustados'!P37)/('03_Base_Indice'!$I37-'03_Base_Indice'!$H37))))))</f>
        <v>50</v>
      </c>
      <c r="Q37" s="31">
        <f>IF($D37="","",IF('04_Dados_Ajustados'!Q37="","",IF('03_Base_Indice'!$G37="+",MIN('01_Criterios'!$C$10,MAX('01_Criterios'!$C$9,'01_Criterios'!$C$9+('01_Criterios'!$C$10-'01_Criterios'!$C$9)*('04_Dados_Ajustados'!Q37-'03_Base_Indice'!$H37)/('03_Base_Indice'!$I37-'03_Base_Indice'!$H37))),MIN('01_Criterios'!$C$10,MAX('01_Criterios'!$C$9,'01_Criterios'!$C$9+('01_Criterios'!$C$10-'01_Criterios'!$C$9)*('03_Base_Indice'!$I37-'04_Dados_Ajustados'!Q37)/('03_Base_Indice'!$I37-'03_Base_Indice'!$H37))))))</f>
        <v>49.242424242424164</v>
      </c>
      <c r="R37" s="31">
        <f>IF($D37="","",IF('04_Dados_Ajustados'!R37="","",IF('03_Base_Indice'!$G37="+",MIN('01_Criterios'!$C$10,MAX('01_Criterios'!$C$9,'01_Criterios'!$C$9+('01_Criterios'!$C$10-'01_Criterios'!$C$9)*('04_Dados_Ajustados'!R37-'03_Base_Indice'!$H37)/('03_Base_Indice'!$I37-'03_Base_Indice'!$H37))),MIN('01_Criterios'!$C$10,MAX('01_Criterios'!$C$9,'01_Criterios'!$C$9+('01_Criterios'!$C$10-'01_Criterios'!$C$9)*('03_Base_Indice'!$I37-'04_Dados_Ajustados'!R37)/('03_Base_Indice'!$I37-'03_Base_Indice'!$H37))))))</f>
        <v>56.060606060605998</v>
      </c>
      <c r="S37" s="31">
        <f>IF($D37="","",IF('04_Dados_Ajustados'!S37="","",IF('03_Base_Indice'!$G37="+",MIN('01_Criterios'!$C$10,MAX('01_Criterios'!$C$9,'01_Criterios'!$C$9+('01_Criterios'!$C$10-'01_Criterios'!$C$9)*('04_Dados_Ajustados'!S37-'03_Base_Indice'!$H37)/('03_Base_Indice'!$I37-'03_Base_Indice'!$H37))),MIN('01_Criterios'!$C$10,MAX('01_Criterios'!$C$9,'01_Criterios'!$C$9+('01_Criterios'!$C$10-'01_Criterios'!$C$9)*('03_Base_Indice'!$I37-'04_Dados_Ajustados'!S37)/('03_Base_Indice'!$I37-'03_Base_Indice'!$H37))))))</f>
        <v>56.060606060605998</v>
      </c>
      <c r="T37" s="31">
        <f>IF($D37="","",IF('04_Dados_Ajustados'!T37="","",IF('03_Base_Indice'!$G37="+",MIN('01_Criterios'!$C$10,MAX('01_Criterios'!$C$9,'01_Criterios'!$C$9+('01_Criterios'!$C$10-'01_Criterios'!$C$9)*('04_Dados_Ajustados'!T37-'03_Base_Indice'!$H37)/('03_Base_Indice'!$I37-'03_Base_Indice'!$H37))),MIN('01_Criterios'!$C$10,MAX('01_Criterios'!$C$9,'01_Criterios'!$C$9+('01_Criterios'!$C$10-'01_Criterios'!$C$9)*('03_Base_Indice'!$I37-'04_Dados_Ajustados'!T37)/('03_Base_Indice'!$I37-'03_Base_Indice'!$H37))))))</f>
        <v>65.909090909090821</v>
      </c>
      <c r="U37" s="31">
        <f>IF($D37="","",IF('04_Dados_Ajustados'!U37="","",IF('03_Base_Indice'!$G37="+",MIN('01_Criterios'!$C$10,MAX('01_Criterios'!$C$9,'01_Criterios'!$C$9+('01_Criterios'!$C$10-'01_Criterios'!$C$9)*('04_Dados_Ajustados'!U37-'03_Base_Indice'!$H37)/('03_Base_Indice'!$I37-'03_Base_Indice'!$H37))),MIN('01_Criterios'!$C$10,MAX('01_Criterios'!$C$9,'01_Criterios'!$C$9+('01_Criterios'!$C$10-'01_Criterios'!$C$9)*('03_Base_Indice'!$I37-'04_Dados_Ajustados'!U37)/('03_Base_Indice'!$I37-'03_Base_Indice'!$H37))))))</f>
        <v>65.15151515151517</v>
      </c>
    </row>
    <row r="38" spans="1:21">
      <c r="A38" s="6" t="str">
        <f>IF('03_Base_Indice'!$A38="","",'03_Base_Indice'!$A38)</f>
        <v>4. Inclusão Social e Protecção</v>
      </c>
      <c r="B38" s="6">
        <f>'03_Base_Indice'!$B38</f>
        <v>4</v>
      </c>
      <c r="D38" s="6" t="str">
        <f>IF('03_Base_Indice'!$D38="","",'03_Base_Indice'!$D38)</f>
        <v/>
      </c>
      <c r="E38" s="6" t="str">
        <f>IF('03_Base_Indice'!$E38="","",'03_Base_Indice'!$E38)</f>
        <v/>
      </c>
      <c r="G38" s="20" t="str">
        <f>IF('03_Base_Indice'!$G38="","",'03_Base_Indice'!$G38)</f>
        <v/>
      </c>
      <c r="K38" s="31" t="str">
        <f>IF($D38="","",IF('04_Dados_Ajustados'!K38="","",IF('03_Base_Indice'!$G38="+",MIN('01_Criterios'!$C$10,MAX('01_Criterios'!$C$9,'01_Criterios'!$C$9+('01_Criterios'!$C$10-'01_Criterios'!$C$9)*('04_Dados_Ajustados'!K38-'03_Base_Indice'!$H38)/('03_Base_Indice'!$I38-'03_Base_Indice'!$H38))),MIN('01_Criterios'!$C$10,MAX('01_Criterios'!$C$9,'01_Criterios'!$C$9+('01_Criterios'!$C$10-'01_Criterios'!$C$9)*('03_Base_Indice'!$I38-'04_Dados_Ajustados'!K38)/('03_Base_Indice'!$I38-'03_Base_Indice'!$H38))))))</f>
        <v/>
      </c>
      <c r="L38" s="31" t="str">
        <f>IF($D38="","",IF('04_Dados_Ajustados'!L38="","",IF('03_Base_Indice'!$G38="+",MIN('01_Criterios'!$C$10,MAX('01_Criterios'!$C$9,'01_Criterios'!$C$9+('01_Criterios'!$C$10-'01_Criterios'!$C$9)*('04_Dados_Ajustados'!L38-'03_Base_Indice'!$H38)/('03_Base_Indice'!$I38-'03_Base_Indice'!$H38))),MIN('01_Criterios'!$C$10,MAX('01_Criterios'!$C$9,'01_Criterios'!$C$9+('01_Criterios'!$C$10-'01_Criterios'!$C$9)*('03_Base_Indice'!$I38-'04_Dados_Ajustados'!L38)/('03_Base_Indice'!$I38-'03_Base_Indice'!$H38))))))</f>
        <v/>
      </c>
      <c r="M38" s="31" t="str">
        <f>IF($D38="","",IF('04_Dados_Ajustados'!M38="","",IF('03_Base_Indice'!$G38="+",MIN('01_Criterios'!$C$10,MAX('01_Criterios'!$C$9,'01_Criterios'!$C$9+('01_Criterios'!$C$10-'01_Criterios'!$C$9)*('04_Dados_Ajustados'!M38-'03_Base_Indice'!$H38)/('03_Base_Indice'!$I38-'03_Base_Indice'!$H38))),MIN('01_Criterios'!$C$10,MAX('01_Criterios'!$C$9,'01_Criterios'!$C$9+('01_Criterios'!$C$10-'01_Criterios'!$C$9)*('03_Base_Indice'!$I38-'04_Dados_Ajustados'!M38)/('03_Base_Indice'!$I38-'03_Base_Indice'!$H38))))))</f>
        <v/>
      </c>
      <c r="N38" s="31" t="str">
        <f>IF($D38="","",IF('04_Dados_Ajustados'!N38="","",IF('03_Base_Indice'!$G38="+",MIN('01_Criterios'!$C$10,MAX('01_Criterios'!$C$9,'01_Criterios'!$C$9+('01_Criterios'!$C$10-'01_Criterios'!$C$9)*('04_Dados_Ajustados'!N38-'03_Base_Indice'!$H38)/('03_Base_Indice'!$I38-'03_Base_Indice'!$H38))),MIN('01_Criterios'!$C$10,MAX('01_Criterios'!$C$9,'01_Criterios'!$C$9+('01_Criterios'!$C$10-'01_Criterios'!$C$9)*('03_Base_Indice'!$I38-'04_Dados_Ajustados'!N38)/('03_Base_Indice'!$I38-'03_Base_Indice'!$H38))))))</f>
        <v/>
      </c>
      <c r="O38" s="31" t="str">
        <f>IF($D38="","",IF('04_Dados_Ajustados'!O38="","",IF('03_Base_Indice'!$G38="+",MIN('01_Criterios'!$C$10,MAX('01_Criterios'!$C$9,'01_Criterios'!$C$9+('01_Criterios'!$C$10-'01_Criterios'!$C$9)*('04_Dados_Ajustados'!O38-'03_Base_Indice'!$H38)/('03_Base_Indice'!$I38-'03_Base_Indice'!$H38))),MIN('01_Criterios'!$C$10,MAX('01_Criterios'!$C$9,'01_Criterios'!$C$9+('01_Criterios'!$C$10-'01_Criterios'!$C$9)*('03_Base_Indice'!$I38-'04_Dados_Ajustados'!O38)/('03_Base_Indice'!$I38-'03_Base_Indice'!$H38))))))</f>
        <v/>
      </c>
      <c r="P38" s="31" t="str">
        <f>IF($D38="","",IF('04_Dados_Ajustados'!P38="","",IF('03_Base_Indice'!$G38="+",MIN('01_Criterios'!$C$10,MAX('01_Criterios'!$C$9,'01_Criterios'!$C$9+('01_Criterios'!$C$10-'01_Criterios'!$C$9)*('04_Dados_Ajustados'!P38-'03_Base_Indice'!$H38)/('03_Base_Indice'!$I38-'03_Base_Indice'!$H38))),MIN('01_Criterios'!$C$10,MAX('01_Criterios'!$C$9,'01_Criterios'!$C$9+('01_Criterios'!$C$10-'01_Criterios'!$C$9)*('03_Base_Indice'!$I38-'04_Dados_Ajustados'!P38)/('03_Base_Indice'!$I38-'03_Base_Indice'!$H38))))))</f>
        <v/>
      </c>
      <c r="Q38" s="31" t="str">
        <f>IF($D38="","",IF('04_Dados_Ajustados'!Q38="","",IF('03_Base_Indice'!$G38="+",MIN('01_Criterios'!$C$10,MAX('01_Criterios'!$C$9,'01_Criterios'!$C$9+('01_Criterios'!$C$10-'01_Criterios'!$C$9)*('04_Dados_Ajustados'!Q38-'03_Base_Indice'!$H38)/('03_Base_Indice'!$I38-'03_Base_Indice'!$H38))),MIN('01_Criterios'!$C$10,MAX('01_Criterios'!$C$9,'01_Criterios'!$C$9+('01_Criterios'!$C$10-'01_Criterios'!$C$9)*('03_Base_Indice'!$I38-'04_Dados_Ajustados'!Q38)/('03_Base_Indice'!$I38-'03_Base_Indice'!$H38))))))</f>
        <v/>
      </c>
      <c r="R38" s="31" t="str">
        <f>IF($D38="","",IF('04_Dados_Ajustados'!R38="","",IF('03_Base_Indice'!$G38="+",MIN('01_Criterios'!$C$10,MAX('01_Criterios'!$C$9,'01_Criterios'!$C$9+('01_Criterios'!$C$10-'01_Criterios'!$C$9)*('04_Dados_Ajustados'!R38-'03_Base_Indice'!$H38)/('03_Base_Indice'!$I38-'03_Base_Indice'!$H38))),MIN('01_Criterios'!$C$10,MAX('01_Criterios'!$C$9,'01_Criterios'!$C$9+('01_Criterios'!$C$10-'01_Criterios'!$C$9)*('03_Base_Indice'!$I38-'04_Dados_Ajustados'!R38)/('03_Base_Indice'!$I38-'03_Base_Indice'!$H38))))))</f>
        <v/>
      </c>
      <c r="S38" s="31" t="str">
        <f>IF($D38="","",IF('04_Dados_Ajustados'!S38="","",IF('03_Base_Indice'!$G38="+",MIN('01_Criterios'!$C$10,MAX('01_Criterios'!$C$9,'01_Criterios'!$C$9+('01_Criterios'!$C$10-'01_Criterios'!$C$9)*('04_Dados_Ajustados'!S38-'03_Base_Indice'!$H38)/('03_Base_Indice'!$I38-'03_Base_Indice'!$H38))),MIN('01_Criterios'!$C$10,MAX('01_Criterios'!$C$9,'01_Criterios'!$C$9+('01_Criterios'!$C$10-'01_Criterios'!$C$9)*('03_Base_Indice'!$I38-'04_Dados_Ajustados'!S38)/('03_Base_Indice'!$I38-'03_Base_Indice'!$H38))))))</f>
        <v/>
      </c>
      <c r="T38" s="31" t="str">
        <f>IF($D38="","",IF('04_Dados_Ajustados'!T38="","",IF('03_Base_Indice'!$G38="+",MIN('01_Criterios'!$C$10,MAX('01_Criterios'!$C$9,'01_Criterios'!$C$9+('01_Criterios'!$C$10-'01_Criterios'!$C$9)*('04_Dados_Ajustados'!T38-'03_Base_Indice'!$H38)/('03_Base_Indice'!$I38-'03_Base_Indice'!$H38))),MIN('01_Criterios'!$C$10,MAX('01_Criterios'!$C$9,'01_Criterios'!$C$9+('01_Criterios'!$C$10-'01_Criterios'!$C$9)*('03_Base_Indice'!$I38-'04_Dados_Ajustados'!T38)/('03_Base_Indice'!$I38-'03_Base_Indice'!$H38))))))</f>
        <v/>
      </c>
      <c r="U38" s="31" t="str">
        <f>IF($D38="","",IF('04_Dados_Ajustados'!U38="","",IF('03_Base_Indice'!$G38="+",MIN('01_Criterios'!$C$10,MAX('01_Criterios'!$C$9,'01_Criterios'!$C$9+('01_Criterios'!$C$10-'01_Criterios'!$C$9)*('04_Dados_Ajustados'!U38-'03_Base_Indice'!$H38)/('03_Base_Indice'!$I38-'03_Base_Indice'!$H38))),MIN('01_Criterios'!$C$10,MAX('01_Criterios'!$C$9,'01_Criterios'!$C$9+('01_Criterios'!$C$10-'01_Criterios'!$C$9)*('03_Base_Indice'!$I38-'04_Dados_Ajustados'!U38)/('03_Base_Indice'!$I38-'03_Base_Indice'!$H38))))))</f>
        <v/>
      </c>
    </row>
    <row r="39" spans="1:21">
      <c r="A39" s="6" t="str">
        <f>IF('03_Base_Indice'!$A39="","",'03_Base_Indice'!$A39)</f>
        <v>4. Inclusão Social e Protecção</v>
      </c>
      <c r="B39" s="6">
        <f>'03_Base_Indice'!$B39</f>
        <v>5</v>
      </c>
      <c r="D39" s="6" t="str">
        <f>IF('03_Base_Indice'!$D39="","",'03_Base_Indice'!$D39)</f>
        <v/>
      </c>
      <c r="E39" s="6" t="str">
        <f>IF('03_Base_Indice'!$E39="","",'03_Base_Indice'!$E39)</f>
        <v/>
      </c>
      <c r="G39" s="20" t="str">
        <f>IF('03_Base_Indice'!$G39="","",'03_Base_Indice'!$G39)</f>
        <v/>
      </c>
      <c r="K39" s="31" t="str">
        <f>IF($D39="","",IF('04_Dados_Ajustados'!K39="","",IF('03_Base_Indice'!$G39="+",MIN('01_Criterios'!$C$10,MAX('01_Criterios'!$C$9,'01_Criterios'!$C$9+('01_Criterios'!$C$10-'01_Criterios'!$C$9)*('04_Dados_Ajustados'!K39-'03_Base_Indice'!$H39)/('03_Base_Indice'!$I39-'03_Base_Indice'!$H39))),MIN('01_Criterios'!$C$10,MAX('01_Criterios'!$C$9,'01_Criterios'!$C$9+('01_Criterios'!$C$10-'01_Criterios'!$C$9)*('03_Base_Indice'!$I39-'04_Dados_Ajustados'!K39)/('03_Base_Indice'!$I39-'03_Base_Indice'!$H39))))))</f>
        <v/>
      </c>
      <c r="L39" s="31" t="str">
        <f>IF($D39="","",IF('04_Dados_Ajustados'!L39="","",IF('03_Base_Indice'!$G39="+",MIN('01_Criterios'!$C$10,MAX('01_Criterios'!$C$9,'01_Criterios'!$C$9+('01_Criterios'!$C$10-'01_Criterios'!$C$9)*('04_Dados_Ajustados'!L39-'03_Base_Indice'!$H39)/('03_Base_Indice'!$I39-'03_Base_Indice'!$H39))),MIN('01_Criterios'!$C$10,MAX('01_Criterios'!$C$9,'01_Criterios'!$C$9+('01_Criterios'!$C$10-'01_Criterios'!$C$9)*('03_Base_Indice'!$I39-'04_Dados_Ajustados'!L39)/('03_Base_Indice'!$I39-'03_Base_Indice'!$H39))))))</f>
        <v/>
      </c>
      <c r="M39" s="31" t="str">
        <f>IF($D39="","",IF('04_Dados_Ajustados'!M39="","",IF('03_Base_Indice'!$G39="+",MIN('01_Criterios'!$C$10,MAX('01_Criterios'!$C$9,'01_Criterios'!$C$9+('01_Criterios'!$C$10-'01_Criterios'!$C$9)*('04_Dados_Ajustados'!M39-'03_Base_Indice'!$H39)/('03_Base_Indice'!$I39-'03_Base_Indice'!$H39))),MIN('01_Criterios'!$C$10,MAX('01_Criterios'!$C$9,'01_Criterios'!$C$9+('01_Criterios'!$C$10-'01_Criterios'!$C$9)*('03_Base_Indice'!$I39-'04_Dados_Ajustados'!M39)/('03_Base_Indice'!$I39-'03_Base_Indice'!$H39))))))</f>
        <v/>
      </c>
      <c r="N39" s="31" t="str">
        <f>IF($D39="","",IF('04_Dados_Ajustados'!N39="","",IF('03_Base_Indice'!$G39="+",MIN('01_Criterios'!$C$10,MAX('01_Criterios'!$C$9,'01_Criterios'!$C$9+('01_Criterios'!$C$10-'01_Criterios'!$C$9)*('04_Dados_Ajustados'!N39-'03_Base_Indice'!$H39)/('03_Base_Indice'!$I39-'03_Base_Indice'!$H39))),MIN('01_Criterios'!$C$10,MAX('01_Criterios'!$C$9,'01_Criterios'!$C$9+('01_Criterios'!$C$10-'01_Criterios'!$C$9)*('03_Base_Indice'!$I39-'04_Dados_Ajustados'!N39)/('03_Base_Indice'!$I39-'03_Base_Indice'!$H39))))))</f>
        <v/>
      </c>
      <c r="O39" s="31" t="str">
        <f>IF($D39="","",IF('04_Dados_Ajustados'!O39="","",IF('03_Base_Indice'!$G39="+",MIN('01_Criterios'!$C$10,MAX('01_Criterios'!$C$9,'01_Criterios'!$C$9+('01_Criterios'!$C$10-'01_Criterios'!$C$9)*('04_Dados_Ajustados'!O39-'03_Base_Indice'!$H39)/('03_Base_Indice'!$I39-'03_Base_Indice'!$H39))),MIN('01_Criterios'!$C$10,MAX('01_Criterios'!$C$9,'01_Criterios'!$C$9+('01_Criterios'!$C$10-'01_Criterios'!$C$9)*('03_Base_Indice'!$I39-'04_Dados_Ajustados'!O39)/('03_Base_Indice'!$I39-'03_Base_Indice'!$H39))))))</f>
        <v/>
      </c>
      <c r="P39" s="31" t="str">
        <f>IF($D39="","",IF('04_Dados_Ajustados'!P39="","",IF('03_Base_Indice'!$G39="+",MIN('01_Criterios'!$C$10,MAX('01_Criterios'!$C$9,'01_Criterios'!$C$9+('01_Criterios'!$C$10-'01_Criterios'!$C$9)*('04_Dados_Ajustados'!P39-'03_Base_Indice'!$H39)/('03_Base_Indice'!$I39-'03_Base_Indice'!$H39))),MIN('01_Criterios'!$C$10,MAX('01_Criterios'!$C$9,'01_Criterios'!$C$9+('01_Criterios'!$C$10-'01_Criterios'!$C$9)*('03_Base_Indice'!$I39-'04_Dados_Ajustados'!P39)/('03_Base_Indice'!$I39-'03_Base_Indice'!$H39))))))</f>
        <v/>
      </c>
      <c r="Q39" s="31" t="str">
        <f>IF($D39="","",IF('04_Dados_Ajustados'!Q39="","",IF('03_Base_Indice'!$G39="+",MIN('01_Criterios'!$C$10,MAX('01_Criterios'!$C$9,'01_Criterios'!$C$9+('01_Criterios'!$C$10-'01_Criterios'!$C$9)*('04_Dados_Ajustados'!Q39-'03_Base_Indice'!$H39)/('03_Base_Indice'!$I39-'03_Base_Indice'!$H39))),MIN('01_Criterios'!$C$10,MAX('01_Criterios'!$C$9,'01_Criterios'!$C$9+('01_Criterios'!$C$10-'01_Criterios'!$C$9)*('03_Base_Indice'!$I39-'04_Dados_Ajustados'!Q39)/('03_Base_Indice'!$I39-'03_Base_Indice'!$H39))))))</f>
        <v/>
      </c>
      <c r="R39" s="31" t="str">
        <f>IF($D39="","",IF('04_Dados_Ajustados'!R39="","",IF('03_Base_Indice'!$G39="+",MIN('01_Criterios'!$C$10,MAX('01_Criterios'!$C$9,'01_Criterios'!$C$9+('01_Criterios'!$C$10-'01_Criterios'!$C$9)*('04_Dados_Ajustados'!R39-'03_Base_Indice'!$H39)/('03_Base_Indice'!$I39-'03_Base_Indice'!$H39))),MIN('01_Criterios'!$C$10,MAX('01_Criterios'!$C$9,'01_Criterios'!$C$9+('01_Criterios'!$C$10-'01_Criterios'!$C$9)*('03_Base_Indice'!$I39-'04_Dados_Ajustados'!R39)/('03_Base_Indice'!$I39-'03_Base_Indice'!$H39))))))</f>
        <v/>
      </c>
      <c r="S39" s="31" t="str">
        <f>IF($D39="","",IF('04_Dados_Ajustados'!S39="","",IF('03_Base_Indice'!$G39="+",MIN('01_Criterios'!$C$10,MAX('01_Criterios'!$C$9,'01_Criterios'!$C$9+('01_Criterios'!$C$10-'01_Criterios'!$C$9)*('04_Dados_Ajustados'!S39-'03_Base_Indice'!$H39)/('03_Base_Indice'!$I39-'03_Base_Indice'!$H39))),MIN('01_Criterios'!$C$10,MAX('01_Criterios'!$C$9,'01_Criterios'!$C$9+('01_Criterios'!$C$10-'01_Criterios'!$C$9)*('03_Base_Indice'!$I39-'04_Dados_Ajustados'!S39)/('03_Base_Indice'!$I39-'03_Base_Indice'!$H39))))))</f>
        <v/>
      </c>
      <c r="T39" s="31" t="str">
        <f>IF($D39="","",IF('04_Dados_Ajustados'!T39="","",IF('03_Base_Indice'!$G39="+",MIN('01_Criterios'!$C$10,MAX('01_Criterios'!$C$9,'01_Criterios'!$C$9+('01_Criterios'!$C$10-'01_Criterios'!$C$9)*('04_Dados_Ajustados'!T39-'03_Base_Indice'!$H39)/('03_Base_Indice'!$I39-'03_Base_Indice'!$H39))),MIN('01_Criterios'!$C$10,MAX('01_Criterios'!$C$9,'01_Criterios'!$C$9+('01_Criterios'!$C$10-'01_Criterios'!$C$9)*('03_Base_Indice'!$I39-'04_Dados_Ajustados'!T39)/('03_Base_Indice'!$I39-'03_Base_Indice'!$H39))))))</f>
        <v/>
      </c>
      <c r="U39" s="31" t="str">
        <f>IF($D39="","",IF('04_Dados_Ajustados'!U39="","",IF('03_Base_Indice'!$G39="+",MIN('01_Criterios'!$C$10,MAX('01_Criterios'!$C$9,'01_Criterios'!$C$9+('01_Criterios'!$C$10-'01_Criterios'!$C$9)*('04_Dados_Ajustados'!U39-'03_Base_Indice'!$H39)/('03_Base_Indice'!$I39-'03_Base_Indice'!$H39))),MIN('01_Criterios'!$C$10,MAX('01_Criterios'!$C$9,'01_Criterios'!$C$9+('01_Criterios'!$C$10-'01_Criterios'!$C$9)*('03_Base_Indice'!$I39-'04_Dados_Ajustados'!U39)/('03_Base_Indice'!$I39-'03_Base_Indice'!$H39))))))</f>
        <v/>
      </c>
    </row>
    <row r="40" spans="1:21">
      <c r="A40" s="6" t="str">
        <f>IF('03_Base_Indice'!$A40="","",'03_Base_Indice'!$A40)</f>
        <v>4. Inclusão Social e Protecção</v>
      </c>
      <c r="B40" s="6">
        <f>'03_Base_Indice'!$B40</f>
        <v>6</v>
      </c>
      <c r="D40" s="6" t="str">
        <f>IF('03_Base_Indice'!$D40="","",'03_Base_Indice'!$D40)</f>
        <v/>
      </c>
      <c r="E40" s="6" t="str">
        <f>IF('03_Base_Indice'!$E40="","",'03_Base_Indice'!$E40)</f>
        <v/>
      </c>
      <c r="G40" s="20" t="str">
        <f>IF('03_Base_Indice'!$G40="","",'03_Base_Indice'!$G40)</f>
        <v/>
      </c>
      <c r="K40" s="31" t="str">
        <f>IF($D40="","",IF('04_Dados_Ajustados'!K40="","",IF('03_Base_Indice'!$G40="+",MIN('01_Criterios'!$C$10,MAX('01_Criterios'!$C$9,'01_Criterios'!$C$9+('01_Criterios'!$C$10-'01_Criterios'!$C$9)*('04_Dados_Ajustados'!K40-'03_Base_Indice'!$H40)/('03_Base_Indice'!$I40-'03_Base_Indice'!$H40))),MIN('01_Criterios'!$C$10,MAX('01_Criterios'!$C$9,'01_Criterios'!$C$9+('01_Criterios'!$C$10-'01_Criterios'!$C$9)*('03_Base_Indice'!$I40-'04_Dados_Ajustados'!K40)/('03_Base_Indice'!$I40-'03_Base_Indice'!$H40))))))</f>
        <v/>
      </c>
      <c r="L40" s="31" t="str">
        <f>IF($D40="","",IF('04_Dados_Ajustados'!L40="","",IF('03_Base_Indice'!$G40="+",MIN('01_Criterios'!$C$10,MAX('01_Criterios'!$C$9,'01_Criterios'!$C$9+('01_Criterios'!$C$10-'01_Criterios'!$C$9)*('04_Dados_Ajustados'!L40-'03_Base_Indice'!$H40)/('03_Base_Indice'!$I40-'03_Base_Indice'!$H40))),MIN('01_Criterios'!$C$10,MAX('01_Criterios'!$C$9,'01_Criterios'!$C$9+('01_Criterios'!$C$10-'01_Criterios'!$C$9)*('03_Base_Indice'!$I40-'04_Dados_Ajustados'!L40)/('03_Base_Indice'!$I40-'03_Base_Indice'!$H40))))))</f>
        <v/>
      </c>
      <c r="M40" s="31" t="str">
        <f>IF($D40="","",IF('04_Dados_Ajustados'!M40="","",IF('03_Base_Indice'!$G40="+",MIN('01_Criterios'!$C$10,MAX('01_Criterios'!$C$9,'01_Criterios'!$C$9+('01_Criterios'!$C$10-'01_Criterios'!$C$9)*('04_Dados_Ajustados'!M40-'03_Base_Indice'!$H40)/('03_Base_Indice'!$I40-'03_Base_Indice'!$H40))),MIN('01_Criterios'!$C$10,MAX('01_Criterios'!$C$9,'01_Criterios'!$C$9+('01_Criterios'!$C$10-'01_Criterios'!$C$9)*('03_Base_Indice'!$I40-'04_Dados_Ajustados'!M40)/('03_Base_Indice'!$I40-'03_Base_Indice'!$H40))))))</f>
        <v/>
      </c>
      <c r="N40" s="31" t="str">
        <f>IF($D40="","",IF('04_Dados_Ajustados'!N40="","",IF('03_Base_Indice'!$G40="+",MIN('01_Criterios'!$C$10,MAX('01_Criterios'!$C$9,'01_Criterios'!$C$9+('01_Criterios'!$C$10-'01_Criterios'!$C$9)*('04_Dados_Ajustados'!N40-'03_Base_Indice'!$H40)/('03_Base_Indice'!$I40-'03_Base_Indice'!$H40))),MIN('01_Criterios'!$C$10,MAX('01_Criterios'!$C$9,'01_Criterios'!$C$9+('01_Criterios'!$C$10-'01_Criterios'!$C$9)*('03_Base_Indice'!$I40-'04_Dados_Ajustados'!N40)/('03_Base_Indice'!$I40-'03_Base_Indice'!$H40))))))</f>
        <v/>
      </c>
      <c r="O40" s="31" t="str">
        <f>IF($D40="","",IF('04_Dados_Ajustados'!O40="","",IF('03_Base_Indice'!$G40="+",MIN('01_Criterios'!$C$10,MAX('01_Criterios'!$C$9,'01_Criterios'!$C$9+('01_Criterios'!$C$10-'01_Criterios'!$C$9)*('04_Dados_Ajustados'!O40-'03_Base_Indice'!$H40)/('03_Base_Indice'!$I40-'03_Base_Indice'!$H40))),MIN('01_Criterios'!$C$10,MAX('01_Criterios'!$C$9,'01_Criterios'!$C$9+('01_Criterios'!$C$10-'01_Criterios'!$C$9)*('03_Base_Indice'!$I40-'04_Dados_Ajustados'!O40)/('03_Base_Indice'!$I40-'03_Base_Indice'!$H40))))))</f>
        <v/>
      </c>
      <c r="P40" s="31" t="str">
        <f>IF($D40="","",IF('04_Dados_Ajustados'!P40="","",IF('03_Base_Indice'!$G40="+",MIN('01_Criterios'!$C$10,MAX('01_Criterios'!$C$9,'01_Criterios'!$C$9+('01_Criterios'!$C$10-'01_Criterios'!$C$9)*('04_Dados_Ajustados'!P40-'03_Base_Indice'!$H40)/('03_Base_Indice'!$I40-'03_Base_Indice'!$H40))),MIN('01_Criterios'!$C$10,MAX('01_Criterios'!$C$9,'01_Criterios'!$C$9+('01_Criterios'!$C$10-'01_Criterios'!$C$9)*('03_Base_Indice'!$I40-'04_Dados_Ajustados'!P40)/('03_Base_Indice'!$I40-'03_Base_Indice'!$H40))))))</f>
        <v/>
      </c>
      <c r="Q40" s="31" t="str">
        <f>IF($D40="","",IF('04_Dados_Ajustados'!Q40="","",IF('03_Base_Indice'!$G40="+",MIN('01_Criterios'!$C$10,MAX('01_Criterios'!$C$9,'01_Criterios'!$C$9+('01_Criterios'!$C$10-'01_Criterios'!$C$9)*('04_Dados_Ajustados'!Q40-'03_Base_Indice'!$H40)/('03_Base_Indice'!$I40-'03_Base_Indice'!$H40))),MIN('01_Criterios'!$C$10,MAX('01_Criterios'!$C$9,'01_Criterios'!$C$9+('01_Criterios'!$C$10-'01_Criterios'!$C$9)*('03_Base_Indice'!$I40-'04_Dados_Ajustados'!Q40)/('03_Base_Indice'!$I40-'03_Base_Indice'!$H40))))))</f>
        <v/>
      </c>
      <c r="R40" s="31" t="str">
        <f>IF($D40="","",IF('04_Dados_Ajustados'!R40="","",IF('03_Base_Indice'!$G40="+",MIN('01_Criterios'!$C$10,MAX('01_Criterios'!$C$9,'01_Criterios'!$C$9+('01_Criterios'!$C$10-'01_Criterios'!$C$9)*('04_Dados_Ajustados'!R40-'03_Base_Indice'!$H40)/('03_Base_Indice'!$I40-'03_Base_Indice'!$H40))),MIN('01_Criterios'!$C$10,MAX('01_Criterios'!$C$9,'01_Criterios'!$C$9+('01_Criterios'!$C$10-'01_Criterios'!$C$9)*('03_Base_Indice'!$I40-'04_Dados_Ajustados'!R40)/('03_Base_Indice'!$I40-'03_Base_Indice'!$H40))))))</f>
        <v/>
      </c>
      <c r="S40" s="31" t="str">
        <f>IF($D40="","",IF('04_Dados_Ajustados'!S40="","",IF('03_Base_Indice'!$G40="+",MIN('01_Criterios'!$C$10,MAX('01_Criterios'!$C$9,'01_Criterios'!$C$9+('01_Criterios'!$C$10-'01_Criterios'!$C$9)*('04_Dados_Ajustados'!S40-'03_Base_Indice'!$H40)/('03_Base_Indice'!$I40-'03_Base_Indice'!$H40))),MIN('01_Criterios'!$C$10,MAX('01_Criterios'!$C$9,'01_Criterios'!$C$9+('01_Criterios'!$C$10-'01_Criterios'!$C$9)*('03_Base_Indice'!$I40-'04_Dados_Ajustados'!S40)/('03_Base_Indice'!$I40-'03_Base_Indice'!$H40))))))</f>
        <v/>
      </c>
      <c r="T40" s="31" t="str">
        <f>IF($D40="","",IF('04_Dados_Ajustados'!T40="","",IF('03_Base_Indice'!$G40="+",MIN('01_Criterios'!$C$10,MAX('01_Criterios'!$C$9,'01_Criterios'!$C$9+('01_Criterios'!$C$10-'01_Criterios'!$C$9)*('04_Dados_Ajustados'!T40-'03_Base_Indice'!$H40)/('03_Base_Indice'!$I40-'03_Base_Indice'!$H40))),MIN('01_Criterios'!$C$10,MAX('01_Criterios'!$C$9,'01_Criterios'!$C$9+('01_Criterios'!$C$10-'01_Criterios'!$C$9)*('03_Base_Indice'!$I40-'04_Dados_Ajustados'!T40)/('03_Base_Indice'!$I40-'03_Base_Indice'!$H40))))))</f>
        <v/>
      </c>
      <c r="U40" s="31" t="str">
        <f>IF($D40="","",IF('04_Dados_Ajustados'!U40="","",IF('03_Base_Indice'!$G40="+",MIN('01_Criterios'!$C$10,MAX('01_Criterios'!$C$9,'01_Criterios'!$C$9+('01_Criterios'!$C$10-'01_Criterios'!$C$9)*('04_Dados_Ajustados'!U40-'03_Base_Indice'!$H40)/('03_Base_Indice'!$I40-'03_Base_Indice'!$H40))),MIN('01_Criterios'!$C$10,MAX('01_Criterios'!$C$9,'01_Criterios'!$C$9+('01_Criterios'!$C$10-'01_Criterios'!$C$9)*('03_Base_Indice'!$I40-'04_Dados_Ajustados'!U40)/('03_Base_Indice'!$I40-'03_Base_Indice'!$H40))))))</f>
        <v/>
      </c>
    </row>
    <row r="41" spans="1:21">
      <c r="A41" s="6" t="str">
        <f>IF('03_Base_Indice'!$A41="","",'03_Base_Indice'!$A41)</f>
        <v>4. Inclusão Social e Protecção</v>
      </c>
      <c r="B41" s="6">
        <f>'03_Base_Indice'!$B41</f>
        <v>7</v>
      </c>
      <c r="D41" s="6" t="str">
        <f>IF('03_Base_Indice'!$D41="","",'03_Base_Indice'!$D41)</f>
        <v/>
      </c>
      <c r="E41" s="6" t="str">
        <f>IF('03_Base_Indice'!$E41="","",'03_Base_Indice'!$E41)</f>
        <v/>
      </c>
      <c r="G41" s="20" t="str">
        <f>IF('03_Base_Indice'!$G41="","",'03_Base_Indice'!$G41)</f>
        <v/>
      </c>
      <c r="K41" s="31" t="str">
        <f>IF($D41="","",IF('04_Dados_Ajustados'!K41="","",IF('03_Base_Indice'!$G41="+",MIN('01_Criterios'!$C$10,MAX('01_Criterios'!$C$9,'01_Criterios'!$C$9+('01_Criterios'!$C$10-'01_Criterios'!$C$9)*('04_Dados_Ajustados'!K41-'03_Base_Indice'!$H41)/('03_Base_Indice'!$I41-'03_Base_Indice'!$H41))),MIN('01_Criterios'!$C$10,MAX('01_Criterios'!$C$9,'01_Criterios'!$C$9+('01_Criterios'!$C$10-'01_Criterios'!$C$9)*('03_Base_Indice'!$I41-'04_Dados_Ajustados'!K41)/('03_Base_Indice'!$I41-'03_Base_Indice'!$H41))))))</f>
        <v/>
      </c>
      <c r="L41" s="31" t="str">
        <f>IF($D41="","",IF('04_Dados_Ajustados'!L41="","",IF('03_Base_Indice'!$G41="+",MIN('01_Criterios'!$C$10,MAX('01_Criterios'!$C$9,'01_Criterios'!$C$9+('01_Criterios'!$C$10-'01_Criterios'!$C$9)*('04_Dados_Ajustados'!L41-'03_Base_Indice'!$H41)/('03_Base_Indice'!$I41-'03_Base_Indice'!$H41))),MIN('01_Criterios'!$C$10,MAX('01_Criterios'!$C$9,'01_Criterios'!$C$9+('01_Criterios'!$C$10-'01_Criterios'!$C$9)*('03_Base_Indice'!$I41-'04_Dados_Ajustados'!L41)/('03_Base_Indice'!$I41-'03_Base_Indice'!$H41))))))</f>
        <v/>
      </c>
      <c r="M41" s="31" t="str">
        <f>IF($D41="","",IF('04_Dados_Ajustados'!M41="","",IF('03_Base_Indice'!$G41="+",MIN('01_Criterios'!$C$10,MAX('01_Criterios'!$C$9,'01_Criterios'!$C$9+('01_Criterios'!$C$10-'01_Criterios'!$C$9)*('04_Dados_Ajustados'!M41-'03_Base_Indice'!$H41)/('03_Base_Indice'!$I41-'03_Base_Indice'!$H41))),MIN('01_Criterios'!$C$10,MAX('01_Criterios'!$C$9,'01_Criterios'!$C$9+('01_Criterios'!$C$10-'01_Criterios'!$C$9)*('03_Base_Indice'!$I41-'04_Dados_Ajustados'!M41)/('03_Base_Indice'!$I41-'03_Base_Indice'!$H41))))))</f>
        <v/>
      </c>
      <c r="N41" s="31" t="str">
        <f>IF($D41="","",IF('04_Dados_Ajustados'!N41="","",IF('03_Base_Indice'!$G41="+",MIN('01_Criterios'!$C$10,MAX('01_Criterios'!$C$9,'01_Criterios'!$C$9+('01_Criterios'!$C$10-'01_Criterios'!$C$9)*('04_Dados_Ajustados'!N41-'03_Base_Indice'!$H41)/('03_Base_Indice'!$I41-'03_Base_Indice'!$H41))),MIN('01_Criterios'!$C$10,MAX('01_Criterios'!$C$9,'01_Criterios'!$C$9+('01_Criterios'!$C$10-'01_Criterios'!$C$9)*('03_Base_Indice'!$I41-'04_Dados_Ajustados'!N41)/('03_Base_Indice'!$I41-'03_Base_Indice'!$H41))))))</f>
        <v/>
      </c>
      <c r="O41" s="31" t="str">
        <f>IF($D41="","",IF('04_Dados_Ajustados'!O41="","",IF('03_Base_Indice'!$G41="+",MIN('01_Criterios'!$C$10,MAX('01_Criterios'!$C$9,'01_Criterios'!$C$9+('01_Criterios'!$C$10-'01_Criterios'!$C$9)*('04_Dados_Ajustados'!O41-'03_Base_Indice'!$H41)/('03_Base_Indice'!$I41-'03_Base_Indice'!$H41))),MIN('01_Criterios'!$C$10,MAX('01_Criterios'!$C$9,'01_Criterios'!$C$9+('01_Criterios'!$C$10-'01_Criterios'!$C$9)*('03_Base_Indice'!$I41-'04_Dados_Ajustados'!O41)/('03_Base_Indice'!$I41-'03_Base_Indice'!$H41))))))</f>
        <v/>
      </c>
      <c r="P41" s="31" t="str">
        <f>IF($D41="","",IF('04_Dados_Ajustados'!P41="","",IF('03_Base_Indice'!$G41="+",MIN('01_Criterios'!$C$10,MAX('01_Criterios'!$C$9,'01_Criterios'!$C$9+('01_Criterios'!$C$10-'01_Criterios'!$C$9)*('04_Dados_Ajustados'!P41-'03_Base_Indice'!$H41)/('03_Base_Indice'!$I41-'03_Base_Indice'!$H41))),MIN('01_Criterios'!$C$10,MAX('01_Criterios'!$C$9,'01_Criterios'!$C$9+('01_Criterios'!$C$10-'01_Criterios'!$C$9)*('03_Base_Indice'!$I41-'04_Dados_Ajustados'!P41)/('03_Base_Indice'!$I41-'03_Base_Indice'!$H41))))))</f>
        <v/>
      </c>
      <c r="Q41" s="31" t="str">
        <f>IF($D41="","",IF('04_Dados_Ajustados'!Q41="","",IF('03_Base_Indice'!$G41="+",MIN('01_Criterios'!$C$10,MAX('01_Criterios'!$C$9,'01_Criterios'!$C$9+('01_Criterios'!$C$10-'01_Criterios'!$C$9)*('04_Dados_Ajustados'!Q41-'03_Base_Indice'!$H41)/('03_Base_Indice'!$I41-'03_Base_Indice'!$H41))),MIN('01_Criterios'!$C$10,MAX('01_Criterios'!$C$9,'01_Criterios'!$C$9+('01_Criterios'!$C$10-'01_Criterios'!$C$9)*('03_Base_Indice'!$I41-'04_Dados_Ajustados'!Q41)/('03_Base_Indice'!$I41-'03_Base_Indice'!$H41))))))</f>
        <v/>
      </c>
      <c r="R41" s="31" t="str">
        <f>IF($D41="","",IF('04_Dados_Ajustados'!R41="","",IF('03_Base_Indice'!$G41="+",MIN('01_Criterios'!$C$10,MAX('01_Criterios'!$C$9,'01_Criterios'!$C$9+('01_Criterios'!$C$10-'01_Criterios'!$C$9)*('04_Dados_Ajustados'!R41-'03_Base_Indice'!$H41)/('03_Base_Indice'!$I41-'03_Base_Indice'!$H41))),MIN('01_Criterios'!$C$10,MAX('01_Criterios'!$C$9,'01_Criterios'!$C$9+('01_Criterios'!$C$10-'01_Criterios'!$C$9)*('03_Base_Indice'!$I41-'04_Dados_Ajustados'!R41)/('03_Base_Indice'!$I41-'03_Base_Indice'!$H41))))))</f>
        <v/>
      </c>
      <c r="S41" s="31" t="str">
        <f>IF($D41="","",IF('04_Dados_Ajustados'!S41="","",IF('03_Base_Indice'!$G41="+",MIN('01_Criterios'!$C$10,MAX('01_Criterios'!$C$9,'01_Criterios'!$C$9+('01_Criterios'!$C$10-'01_Criterios'!$C$9)*('04_Dados_Ajustados'!S41-'03_Base_Indice'!$H41)/('03_Base_Indice'!$I41-'03_Base_Indice'!$H41))),MIN('01_Criterios'!$C$10,MAX('01_Criterios'!$C$9,'01_Criterios'!$C$9+('01_Criterios'!$C$10-'01_Criterios'!$C$9)*('03_Base_Indice'!$I41-'04_Dados_Ajustados'!S41)/('03_Base_Indice'!$I41-'03_Base_Indice'!$H41))))))</f>
        <v/>
      </c>
      <c r="T41" s="31" t="str">
        <f>IF($D41="","",IF('04_Dados_Ajustados'!T41="","",IF('03_Base_Indice'!$G41="+",MIN('01_Criterios'!$C$10,MAX('01_Criterios'!$C$9,'01_Criterios'!$C$9+('01_Criterios'!$C$10-'01_Criterios'!$C$9)*('04_Dados_Ajustados'!T41-'03_Base_Indice'!$H41)/('03_Base_Indice'!$I41-'03_Base_Indice'!$H41))),MIN('01_Criterios'!$C$10,MAX('01_Criterios'!$C$9,'01_Criterios'!$C$9+('01_Criterios'!$C$10-'01_Criterios'!$C$9)*('03_Base_Indice'!$I41-'04_Dados_Ajustados'!T41)/('03_Base_Indice'!$I41-'03_Base_Indice'!$H41))))))</f>
        <v/>
      </c>
      <c r="U41" s="31" t="str">
        <f>IF($D41="","",IF('04_Dados_Ajustados'!U41="","",IF('03_Base_Indice'!$G41="+",MIN('01_Criterios'!$C$10,MAX('01_Criterios'!$C$9,'01_Criterios'!$C$9+('01_Criterios'!$C$10-'01_Criterios'!$C$9)*('04_Dados_Ajustados'!U41-'03_Base_Indice'!$H41)/('03_Base_Indice'!$I41-'03_Base_Indice'!$H41))),MIN('01_Criterios'!$C$10,MAX('01_Criterios'!$C$9,'01_Criterios'!$C$9+('01_Criterios'!$C$10-'01_Criterios'!$C$9)*('03_Base_Indice'!$I41-'04_Dados_Ajustados'!U41)/('03_Base_Indice'!$I41-'03_Base_Indice'!$H41))))))</f>
        <v/>
      </c>
    </row>
    <row r="42" spans="1:21">
      <c r="A42" s="6" t="str">
        <f>IF('03_Base_Indice'!$A42="","",'03_Base_Indice'!$A42)</f>
        <v>4. Inclusão Social e Protecção</v>
      </c>
      <c r="B42" s="6">
        <f>'03_Base_Indice'!$B42</f>
        <v>8</v>
      </c>
      <c r="D42" s="6" t="str">
        <f>IF('03_Base_Indice'!$D42="","",'03_Base_Indice'!$D42)</f>
        <v/>
      </c>
      <c r="E42" s="6" t="str">
        <f>IF('03_Base_Indice'!$E42="","",'03_Base_Indice'!$E42)</f>
        <v/>
      </c>
      <c r="G42" s="20" t="str">
        <f>IF('03_Base_Indice'!$G42="","",'03_Base_Indice'!$G42)</f>
        <v/>
      </c>
      <c r="K42" s="31" t="str">
        <f>IF($D42="","",IF('04_Dados_Ajustados'!K42="","",IF('03_Base_Indice'!$G42="+",MIN('01_Criterios'!$C$10,MAX('01_Criterios'!$C$9,'01_Criterios'!$C$9+('01_Criterios'!$C$10-'01_Criterios'!$C$9)*('04_Dados_Ajustados'!K42-'03_Base_Indice'!$H42)/('03_Base_Indice'!$I42-'03_Base_Indice'!$H42))),MIN('01_Criterios'!$C$10,MAX('01_Criterios'!$C$9,'01_Criterios'!$C$9+('01_Criterios'!$C$10-'01_Criterios'!$C$9)*('03_Base_Indice'!$I42-'04_Dados_Ajustados'!K42)/('03_Base_Indice'!$I42-'03_Base_Indice'!$H42))))))</f>
        <v/>
      </c>
      <c r="L42" s="31" t="str">
        <f>IF($D42="","",IF('04_Dados_Ajustados'!L42="","",IF('03_Base_Indice'!$G42="+",MIN('01_Criterios'!$C$10,MAX('01_Criterios'!$C$9,'01_Criterios'!$C$9+('01_Criterios'!$C$10-'01_Criterios'!$C$9)*('04_Dados_Ajustados'!L42-'03_Base_Indice'!$H42)/('03_Base_Indice'!$I42-'03_Base_Indice'!$H42))),MIN('01_Criterios'!$C$10,MAX('01_Criterios'!$C$9,'01_Criterios'!$C$9+('01_Criterios'!$C$10-'01_Criterios'!$C$9)*('03_Base_Indice'!$I42-'04_Dados_Ajustados'!L42)/('03_Base_Indice'!$I42-'03_Base_Indice'!$H42))))))</f>
        <v/>
      </c>
      <c r="M42" s="31" t="str">
        <f>IF($D42="","",IF('04_Dados_Ajustados'!M42="","",IF('03_Base_Indice'!$G42="+",MIN('01_Criterios'!$C$10,MAX('01_Criterios'!$C$9,'01_Criterios'!$C$9+('01_Criterios'!$C$10-'01_Criterios'!$C$9)*('04_Dados_Ajustados'!M42-'03_Base_Indice'!$H42)/('03_Base_Indice'!$I42-'03_Base_Indice'!$H42))),MIN('01_Criterios'!$C$10,MAX('01_Criterios'!$C$9,'01_Criterios'!$C$9+('01_Criterios'!$C$10-'01_Criterios'!$C$9)*('03_Base_Indice'!$I42-'04_Dados_Ajustados'!M42)/('03_Base_Indice'!$I42-'03_Base_Indice'!$H42))))))</f>
        <v/>
      </c>
      <c r="N42" s="31" t="str">
        <f>IF($D42="","",IF('04_Dados_Ajustados'!N42="","",IF('03_Base_Indice'!$G42="+",MIN('01_Criterios'!$C$10,MAX('01_Criterios'!$C$9,'01_Criterios'!$C$9+('01_Criterios'!$C$10-'01_Criterios'!$C$9)*('04_Dados_Ajustados'!N42-'03_Base_Indice'!$H42)/('03_Base_Indice'!$I42-'03_Base_Indice'!$H42))),MIN('01_Criterios'!$C$10,MAX('01_Criterios'!$C$9,'01_Criterios'!$C$9+('01_Criterios'!$C$10-'01_Criterios'!$C$9)*('03_Base_Indice'!$I42-'04_Dados_Ajustados'!N42)/('03_Base_Indice'!$I42-'03_Base_Indice'!$H42))))))</f>
        <v/>
      </c>
      <c r="O42" s="31" t="str">
        <f>IF($D42="","",IF('04_Dados_Ajustados'!O42="","",IF('03_Base_Indice'!$G42="+",MIN('01_Criterios'!$C$10,MAX('01_Criterios'!$C$9,'01_Criterios'!$C$9+('01_Criterios'!$C$10-'01_Criterios'!$C$9)*('04_Dados_Ajustados'!O42-'03_Base_Indice'!$H42)/('03_Base_Indice'!$I42-'03_Base_Indice'!$H42))),MIN('01_Criterios'!$C$10,MAX('01_Criterios'!$C$9,'01_Criterios'!$C$9+('01_Criterios'!$C$10-'01_Criterios'!$C$9)*('03_Base_Indice'!$I42-'04_Dados_Ajustados'!O42)/('03_Base_Indice'!$I42-'03_Base_Indice'!$H42))))))</f>
        <v/>
      </c>
      <c r="P42" s="31" t="str">
        <f>IF($D42="","",IF('04_Dados_Ajustados'!P42="","",IF('03_Base_Indice'!$G42="+",MIN('01_Criterios'!$C$10,MAX('01_Criterios'!$C$9,'01_Criterios'!$C$9+('01_Criterios'!$C$10-'01_Criterios'!$C$9)*('04_Dados_Ajustados'!P42-'03_Base_Indice'!$H42)/('03_Base_Indice'!$I42-'03_Base_Indice'!$H42))),MIN('01_Criterios'!$C$10,MAX('01_Criterios'!$C$9,'01_Criterios'!$C$9+('01_Criterios'!$C$10-'01_Criterios'!$C$9)*('03_Base_Indice'!$I42-'04_Dados_Ajustados'!P42)/('03_Base_Indice'!$I42-'03_Base_Indice'!$H42))))))</f>
        <v/>
      </c>
      <c r="Q42" s="31" t="str">
        <f>IF($D42="","",IF('04_Dados_Ajustados'!Q42="","",IF('03_Base_Indice'!$G42="+",MIN('01_Criterios'!$C$10,MAX('01_Criterios'!$C$9,'01_Criterios'!$C$9+('01_Criterios'!$C$10-'01_Criterios'!$C$9)*('04_Dados_Ajustados'!Q42-'03_Base_Indice'!$H42)/('03_Base_Indice'!$I42-'03_Base_Indice'!$H42))),MIN('01_Criterios'!$C$10,MAX('01_Criterios'!$C$9,'01_Criterios'!$C$9+('01_Criterios'!$C$10-'01_Criterios'!$C$9)*('03_Base_Indice'!$I42-'04_Dados_Ajustados'!Q42)/('03_Base_Indice'!$I42-'03_Base_Indice'!$H42))))))</f>
        <v/>
      </c>
      <c r="R42" s="31" t="str">
        <f>IF($D42="","",IF('04_Dados_Ajustados'!R42="","",IF('03_Base_Indice'!$G42="+",MIN('01_Criterios'!$C$10,MAX('01_Criterios'!$C$9,'01_Criterios'!$C$9+('01_Criterios'!$C$10-'01_Criterios'!$C$9)*('04_Dados_Ajustados'!R42-'03_Base_Indice'!$H42)/('03_Base_Indice'!$I42-'03_Base_Indice'!$H42))),MIN('01_Criterios'!$C$10,MAX('01_Criterios'!$C$9,'01_Criterios'!$C$9+('01_Criterios'!$C$10-'01_Criterios'!$C$9)*('03_Base_Indice'!$I42-'04_Dados_Ajustados'!R42)/('03_Base_Indice'!$I42-'03_Base_Indice'!$H42))))))</f>
        <v/>
      </c>
      <c r="S42" s="31" t="str">
        <f>IF($D42="","",IF('04_Dados_Ajustados'!S42="","",IF('03_Base_Indice'!$G42="+",MIN('01_Criterios'!$C$10,MAX('01_Criterios'!$C$9,'01_Criterios'!$C$9+('01_Criterios'!$C$10-'01_Criterios'!$C$9)*('04_Dados_Ajustados'!S42-'03_Base_Indice'!$H42)/('03_Base_Indice'!$I42-'03_Base_Indice'!$H42))),MIN('01_Criterios'!$C$10,MAX('01_Criterios'!$C$9,'01_Criterios'!$C$9+('01_Criterios'!$C$10-'01_Criterios'!$C$9)*('03_Base_Indice'!$I42-'04_Dados_Ajustados'!S42)/('03_Base_Indice'!$I42-'03_Base_Indice'!$H42))))))</f>
        <v/>
      </c>
      <c r="T42" s="31" t="str">
        <f>IF($D42="","",IF('04_Dados_Ajustados'!T42="","",IF('03_Base_Indice'!$G42="+",MIN('01_Criterios'!$C$10,MAX('01_Criterios'!$C$9,'01_Criterios'!$C$9+('01_Criterios'!$C$10-'01_Criterios'!$C$9)*('04_Dados_Ajustados'!T42-'03_Base_Indice'!$H42)/('03_Base_Indice'!$I42-'03_Base_Indice'!$H42))),MIN('01_Criterios'!$C$10,MAX('01_Criterios'!$C$9,'01_Criterios'!$C$9+('01_Criterios'!$C$10-'01_Criterios'!$C$9)*('03_Base_Indice'!$I42-'04_Dados_Ajustados'!T42)/('03_Base_Indice'!$I42-'03_Base_Indice'!$H42))))))</f>
        <v/>
      </c>
      <c r="U42" s="31" t="str">
        <f>IF($D42="","",IF('04_Dados_Ajustados'!U42="","",IF('03_Base_Indice'!$G42="+",MIN('01_Criterios'!$C$10,MAX('01_Criterios'!$C$9,'01_Criterios'!$C$9+('01_Criterios'!$C$10-'01_Criterios'!$C$9)*('04_Dados_Ajustados'!U42-'03_Base_Indice'!$H42)/('03_Base_Indice'!$I42-'03_Base_Indice'!$H42))),MIN('01_Criterios'!$C$10,MAX('01_Criterios'!$C$9,'01_Criterios'!$C$9+('01_Criterios'!$C$10-'01_Criterios'!$C$9)*('03_Base_Indice'!$I42-'04_Dados_Ajustados'!U42)/('03_Base_Indice'!$I42-'03_Base_Indice'!$H42))))))</f>
        <v/>
      </c>
    </row>
    <row r="43" spans="1:21">
      <c r="A43" s="6" t="str">
        <f>IF('03_Base_Indice'!$A43="","",'03_Base_Indice'!$A43)</f>
        <v>4. Inclusão Social e Protecção</v>
      </c>
      <c r="B43" s="6">
        <f>'03_Base_Indice'!$B43</f>
        <v>9</v>
      </c>
      <c r="D43" s="6" t="str">
        <f>IF('03_Base_Indice'!$D43="","",'03_Base_Indice'!$D43)</f>
        <v/>
      </c>
      <c r="E43" s="6" t="str">
        <f>IF('03_Base_Indice'!$E43="","",'03_Base_Indice'!$E43)</f>
        <v/>
      </c>
      <c r="G43" s="20" t="str">
        <f>IF('03_Base_Indice'!$G43="","",'03_Base_Indice'!$G43)</f>
        <v/>
      </c>
      <c r="K43" s="31" t="str">
        <f>IF($D43="","",IF('04_Dados_Ajustados'!K43="","",IF('03_Base_Indice'!$G43="+",MIN('01_Criterios'!$C$10,MAX('01_Criterios'!$C$9,'01_Criterios'!$C$9+('01_Criterios'!$C$10-'01_Criterios'!$C$9)*('04_Dados_Ajustados'!K43-'03_Base_Indice'!$H43)/('03_Base_Indice'!$I43-'03_Base_Indice'!$H43))),MIN('01_Criterios'!$C$10,MAX('01_Criterios'!$C$9,'01_Criterios'!$C$9+('01_Criterios'!$C$10-'01_Criterios'!$C$9)*('03_Base_Indice'!$I43-'04_Dados_Ajustados'!K43)/('03_Base_Indice'!$I43-'03_Base_Indice'!$H43))))))</f>
        <v/>
      </c>
      <c r="L43" s="31" t="str">
        <f>IF($D43="","",IF('04_Dados_Ajustados'!L43="","",IF('03_Base_Indice'!$G43="+",MIN('01_Criterios'!$C$10,MAX('01_Criterios'!$C$9,'01_Criterios'!$C$9+('01_Criterios'!$C$10-'01_Criterios'!$C$9)*('04_Dados_Ajustados'!L43-'03_Base_Indice'!$H43)/('03_Base_Indice'!$I43-'03_Base_Indice'!$H43))),MIN('01_Criterios'!$C$10,MAX('01_Criterios'!$C$9,'01_Criterios'!$C$9+('01_Criterios'!$C$10-'01_Criterios'!$C$9)*('03_Base_Indice'!$I43-'04_Dados_Ajustados'!L43)/('03_Base_Indice'!$I43-'03_Base_Indice'!$H43))))))</f>
        <v/>
      </c>
      <c r="M43" s="31" t="str">
        <f>IF($D43="","",IF('04_Dados_Ajustados'!M43="","",IF('03_Base_Indice'!$G43="+",MIN('01_Criterios'!$C$10,MAX('01_Criterios'!$C$9,'01_Criterios'!$C$9+('01_Criterios'!$C$10-'01_Criterios'!$C$9)*('04_Dados_Ajustados'!M43-'03_Base_Indice'!$H43)/('03_Base_Indice'!$I43-'03_Base_Indice'!$H43))),MIN('01_Criterios'!$C$10,MAX('01_Criterios'!$C$9,'01_Criterios'!$C$9+('01_Criterios'!$C$10-'01_Criterios'!$C$9)*('03_Base_Indice'!$I43-'04_Dados_Ajustados'!M43)/('03_Base_Indice'!$I43-'03_Base_Indice'!$H43))))))</f>
        <v/>
      </c>
      <c r="N43" s="31" t="str">
        <f>IF($D43="","",IF('04_Dados_Ajustados'!N43="","",IF('03_Base_Indice'!$G43="+",MIN('01_Criterios'!$C$10,MAX('01_Criterios'!$C$9,'01_Criterios'!$C$9+('01_Criterios'!$C$10-'01_Criterios'!$C$9)*('04_Dados_Ajustados'!N43-'03_Base_Indice'!$H43)/('03_Base_Indice'!$I43-'03_Base_Indice'!$H43))),MIN('01_Criterios'!$C$10,MAX('01_Criterios'!$C$9,'01_Criterios'!$C$9+('01_Criterios'!$C$10-'01_Criterios'!$C$9)*('03_Base_Indice'!$I43-'04_Dados_Ajustados'!N43)/('03_Base_Indice'!$I43-'03_Base_Indice'!$H43))))))</f>
        <v/>
      </c>
      <c r="O43" s="31" t="str">
        <f>IF($D43="","",IF('04_Dados_Ajustados'!O43="","",IF('03_Base_Indice'!$G43="+",MIN('01_Criterios'!$C$10,MAX('01_Criterios'!$C$9,'01_Criterios'!$C$9+('01_Criterios'!$C$10-'01_Criterios'!$C$9)*('04_Dados_Ajustados'!O43-'03_Base_Indice'!$H43)/('03_Base_Indice'!$I43-'03_Base_Indice'!$H43))),MIN('01_Criterios'!$C$10,MAX('01_Criterios'!$C$9,'01_Criterios'!$C$9+('01_Criterios'!$C$10-'01_Criterios'!$C$9)*('03_Base_Indice'!$I43-'04_Dados_Ajustados'!O43)/('03_Base_Indice'!$I43-'03_Base_Indice'!$H43))))))</f>
        <v/>
      </c>
      <c r="P43" s="31" t="str">
        <f>IF($D43="","",IF('04_Dados_Ajustados'!P43="","",IF('03_Base_Indice'!$G43="+",MIN('01_Criterios'!$C$10,MAX('01_Criterios'!$C$9,'01_Criterios'!$C$9+('01_Criterios'!$C$10-'01_Criterios'!$C$9)*('04_Dados_Ajustados'!P43-'03_Base_Indice'!$H43)/('03_Base_Indice'!$I43-'03_Base_Indice'!$H43))),MIN('01_Criterios'!$C$10,MAX('01_Criterios'!$C$9,'01_Criterios'!$C$9+('01_Criterios'!$C$10-'01_Criterios'!$C$9)*('03_Base_Indice'!$I43-'04_Dados_Ajustados'!P43)/('03_Base_Indice'!$I43-'03_Base_Indice'!$H43))))))</f>
        <v/>
      </c>
      <c r="Q43" s="31" t="str">
        <f>IF($D43="","",IF('04_Dados_Ajustados'!Q43="","",IF('03_Base_Indice'!$G43="+",MIN('01_Criterios'!$C$10,MAX('01_Criterios'!$C$9,'01_Criterios'!$C$9+('01_Criterios'!$C$10-'01_Criterios'!$C$9)*('04_Dados_Ajustados'!Q43-'03_Base_Indice'!$H43)/('03_Base_Indice'!$I43-'03_Base_Indice'!$H43))),MIN('01_Criterios'!$C$10,MAX('01_Criterios'!$C$9,'01_Criterios'!$C$9+('01_Criterios'!$C$10-'01_Criterios'!$C$9)*('03_Base_Indice'!$I43-'04_Dados_Ajustados'!Q43)/('03_Base_Indice'!$I43-'03_Base_Indice'!$H43))))))</f>
        <v/>
      </c>
      <c r="R43" s="31" t="str">
        <f>IF($D43="","",IF('04_Dados_Ajustados'!R43="","",IF('03_Base_Indice'!$G43="+",MIN('01_Criterios'!$C$10,MAX('01_Criterios'!$C$9,'01_Criterios'!$C$9+('01_Criterios'!$C$10-'01_Criterios'!$C$9)*('04_Dados_Ajustados'!R43-'03_Base_Indice'!$H43)/('03_Base_Indice'!$I43-'03_Base_Indice'!$H43))),MIN('01_Criterios'!$C$10,MAX('01_Criterios'!$C$9,'01_Criterios'!$C$9+('01_Criterios'!$C$10-'01_Criterios'!$C$9)*('03_Base_Indice'!$I43-'04_Dados_Ajustados'!R43)/('03_Base_Indice'!$I43-'03_Base_Indice'!$H43))))))</f>
        <v/>
      </c>
      <c r="S43" s="31" t="str">
        <f>IF($D43="","",IF('04_Dados_Ajustados'!S43="","",IF('03_Base_Indice'!$G43="+",MIN('01_Criterios'!$C$10,MAX('01_Criterios'!$C$9,'01_Criterios'!$C$9+('01_Criterios'!$C$10-'01_Criterios'!$C$9)*('04_Dados_Ajustados'!S43-'03_Base_Indice'!$H43)/('03_Base_Indice'!$I43-'03_Base_Indice'!$H43))),MIN('01_Criterios'!$C$10,MAX('01_Criterios'!$C$9,'01_Criterios'!$C$9+('01_Criterios'!$C$10-'01_Criterios'!$C$9)*('03_Base_Indice'!$I43-'04_Dados_Ajustados'!S43)/('03_Base_Indice'!$I43-'03_Base_Indice'!$H43))))))</f>
        <v/>
      </c>
      <c r="T43" s="31" t="str">
        <f>IF($D43="","",IF('04_Dados_Ajustados'!T43="","",IF('03_Base_Indice'!$G43="+",MIN('01_Criterios'!$C$10,MAX('01_Criterios'!$C$9,'01_Criterios'!$C$9+('01_Criterios'!$C$10-'01_Criterios'!$C$9)*('04_Dados_Ajustados'!T43-'03_Base_Indice'!$H43)/('03_Base_Indice'!$I43-'03_Base_Indice'!$H43))),MIN('01_Criterios'!$C$10,MAX('01_Criterios'!$C$9,'01_Criterios'!$C$9+('01_Criterios'!$C$10-'01_Criterios'!$C$9)*('03_Base_Indice'!$I43-'04_Dados_Ajustados'!T43)/('03_Base_Indice'!$I43-'03_Base_Indice'!$H43))))))</f>
        <v/>
      </c>
      <c r="U43" s="31" t="str">
        <f>IF($D43="","",IF('04_Dados_Ajustados'!U43="","",IF('03_Base_Indice'!$G43="+",MIN('01_Criterios'!$C$10,MAX('01_Criterios'!$C$9,'01_Criterios'!$C$9+('01_Criterios'!$C$10-'01_Criterios'!$C$9)*('04_Dados_Ajustados'!U43-'03_Base_Indice'!$H43)/('03_Base_Indice'!$I43-'03_Base_Indice'!$H43))),MIN('01_Criterios'!$C$10,MAX('01_Criterios'!$C$9,'01_Criterios'!$C$9+('01_Criterios'!$C$10-'01_Criterios'!$C$9)*('03_Base_Indice'!$I43-'04_Dados_Ajustados'!U43)/('03_Base_Indice'!$I43-'03_Base_Indice'!$H43))))))</f>
        <v/>
      </c>
    </row>
    <row r="44" spans="1:21">
      <c r="A44" s="6" t="str">
        <f>IF('03_Base_Indice'!$A44="","",'03_Base_Indice'!$A44)</f>
        <v>4. Inclusão Social e Protecção</v>
      </c>
      <c r="B44" s="6">
        <f>'03_Base_Indice'!$B44</f>
        <v>10</v>
      </c>
      <c r="D44" s="6" t="str">
        <f>IF('03_Base_Indice'!$D44="","",'03_Base_Indice'!$D44)</f>
        <v/>
      </c>
      <c r="E44" s="6" t="str">
        <f>IF('03_Base_Indice'!$E44="","",'03_Base_Indice'!$E44)</f>
        <v/>
      </c>
      <c r="G44" s="20" t="str">
        <f>IF('03_Base_Indice'!$G44="","",'03_Base_Indice'!$G44)</f>
        <v/>
      </c>
      <c r="K44" s="31" t="str">
        <f>IF($D44="","",IF('04_Dados_Ajustados'!K44="","",IF('03_Base_Indice'!$G44="+",MIN('01_Criterios'!$C$10,MAX('01_Criterios'!$C$9,'01_Criterios'!$C$9+('01_Criterios'!$C$10-'01_Criterios'!$C$9)*('04_Dados_Ajustados'!K44-'03_Base_Indice'!$H44)/('03_Base_Indice'!$I44-'03_Base_Indice'!$H44))),MIN('01_Criterios'!$C$10,MAX('01_Criterios'!$C$9,'01_Criterios'!$C$9+('01_Criterios'!$C$10-'01_Criterios'!$C$9)*('03_Base_Indice'!$I44-'04_Dados_Ajustados'!K44)/('03_Base_Indice'!$I44-'03_Base_Indice'!$H44))))))</f>
        <v/>
      </c>
      <c r="L44" s="31" t="str">
        <f>IF($D44="","",IF('04_Dados_Ajustados'!L44="","",IF('03_Base_Indice'!$G44="+",MIN('01_Criterios'!$C$10,MAX('01_Criterios'!$C$9,'01_Criterios'!$C$9+('01_Criterios'!$C$10-'01_Criterios'!$C$9)*('04_Dados_Ajustados'!L44-'03_Base_Indice'!$H44)/('03_Base_Indice'!$I44-'03_Base_Indice'!$H44))),MIN('01_Criterios'!$C$10,MAX('01_Criterios'!$C$9,'01_Criterios'!$C$9+('01_Criterios'!$C$10-'01_Criterios'!$C$9)*('03_Base_Indice'!$I44-'04_Dados_Ajustados'!L44)/('03_Base_Indice'!$I44-'03_Base_Indice'!$H44))))))</f>
        <v/>
      </c>
      <c r="M44" s="31" t="str">
        <f>IF($D44="","",IF('04_Dados_Ajustados'!M44="","",IF('03_Base_Indice'!$G44="+",MIN('01_Criterios'!$C$10,MAX('01_Criterios'!$C$9,'01_Criterios'!$C$9+('01_Criterios'!$C$10-'01_Criterios'!$C$9)*('04_Dados_Ajustados'!M44-'03_Base_Indice'!$H44)/('03_Base_Indice'!$I44-'03_Base_Indice'!$H44))),MIN('01_Criterios'!$C$10,MAX('01_Criterios'!$C$9,'01_Criterios'!$C$9+('01_Criterios'!$C$10-'01_Criterios'!$C$9)*('03_Base_Indice'!$I44-'04_Dados_Ajustados'!M44)/('03_Base_Indice'!$I44-'03_Base_Indice'!$H44))))))</f>
        <v/>
      </c>
      <c r="N44" s="31" t="str">
        <f>IF($D44="","",IF('04_Dados_Ajustados'!N44="","",IF('03_Base_Indice'!$G44="+",MIN('01_Criterios'!$C$10,MAX('01_Criterios'!$C$9,'01_Criterios'!$C$9+('01_Criterios'!$C$10-'01_Criterios'!$C$9)*('04_Dados_Ajustados'!N44-'03_Base_Indice'!$H44)/('03_Base_Indice'!$I44-'03_Base_Indice'!$H44))),MIN('01_Criterios'!$C$10,MAX('01_Criterios'!$C$9,'01_Criterios'!$C$9+('01_Criterios'!$C$10-'01_Criterios'!$C$9)*('03_Base_Indice'!$I44-'04_Dados_Ajustados'!N44)/('03_Base_Indice'!$I44-'03_Base_Indice'!$H44))))))</f>
        <v/>
      </c>
      <c r="O44" s="31" t="str">
        <f>IF($D44="","",IF('04_Dados_Ajustados'!O44="","",IF('03_Base_Indice'!$G44="+",MIN('01_Criterios'!$C$10,MAX('01_Criterios'!$C$9,'01_Criterios'!$C$9+('01_Criterios'!$C$10-'01_Criterios'!$C$9)*('04_Dados_Ajustados'!O44-'03_Base_Indice'!$H44)/('03_Base_Indice'!$I44-'03_Base_Indice'!$H44))),MIN('01_Criterios'!$C$10,MAX('01_Criterios'!$C$9,'01_Criterios'!$C$9+('01_Criterios'!$C$10-'01_Criterios'!$C$9)*('03_Base_Indice'!$I44-'04_Dados_Ajustados'!O44)/('03_Base_Indice'!$I44-'03_Base_Indice'!$H44))))))</f>
        <v/>
      </c>
      <c r="P44" s="31" t="str">
        <f>IF($D44="","",IF('04_Dados_Ajustados'!P44="","",IF('03_Base_Indice'!$G44="+",MIN('01_Criterios'!$C$10,MAX('01_Criterios'!$C$9,'01_Criterios'!$C$9+('01_Criterios'!$C$10-'01_Criterios'!$C$9)*('04_Dados_Ajustados'!P44-'03_Base_Indice'!$H44)/('03_Base_Indice'!$I44-'03_Base_Indice'!$H44))),MIN('01_Criterios'!$C$10,MAX('01_Criterios'!$C$9,'01_Criterios'!$C$9+('01_Criterios'!$C$10-'01_Criterios'!$C$9)*('03_Base_Indice'!$I44-'04_Dados_Ajustados'!P44)/('03_Base_Indice'!$I44-'03_Base_Indice'!$H44))))))</f>
        <v/>
      </c>
      <c r="Q44" s="31" t="str">
        <f>IF($D44="","",IF('04_Dados_Ajustados'!Q44="","",IF('03_Base_Indice'!$G44="+",MIN('01_Criterios'!$C$10,MAX('01_Criterios'!$C$9,'01_Criterios'!$C$9+('01_Criterios'!$C$10-'01_Criterios'!$C$9)*('04_Dados_Ajustados'!Q44-'03_Base_Indice'!$H44)/('03_Base_Indice'!$I44-'03_Base_Indice'!$H44))),MIN('01_Criterios'!$C$10,MAX('01_Criterios'!$C$9,'01_Criterios'!$C$9+('01_Criterios'!$C$10-'01_Criterios'!$C$9)*('03_Base_Indice'!$I44-'04_Dados_Ajustados'!Q44)/('03_Base_Indice'!$I44-'03_Base_Indice'!$H44))))))</f>
        <v/>
      </c>
      <c r="R44" s="31" t="str">
        <f>IF($D44="","",IF('04_Dados_Ajustados'!R44="","",IF('03_Base_Indice'!$G44="+",MIN('01_Criterios'!$C$10,MAX('01_Criterios'!$C$9,'01_Criterios'!$C$9+('01_Criterios'!$C$10-'01_Criterios'!$C$9)*('04_Dados_Ajustados'!R44-'03_Base_Indice'!$H44)/('03_Base_Indice'!$I44-'03_Base_Indice'!$H44))),MIN('01_Criterios'!$C$10,MAX('01_Criterios'!$C$9,'01_Criterios'!$C$9+('01_Criterios'!$C$10-'01_Criterios'!$C$9)*('03_Base_Indice'!$I44-'04_Dados_Ajustados'!R44)/('03_Base_Indice'!$I44-'03_Base_Indice'!$H44))))))</f>
        <v/>
      </c>
      <c r="S44" s="31" t="str">
        <f>IF($D44="","",IF('04_Dados_Ajustados'!S44="","",IF('03_Base_Indice'!$G44="+",MIN('01_Criterios'!$C$10,MAX('01_Criterios'!$C$9,'01_Criterios'!$C$9+('01_Criterios'!$C$10-'01_Criterios'!$C$9)*('04_Dados_Ajustados'!S44-'03_Base_Indice'!$H44)/('03_Base_Indice'!$I44-'03_Base_Indice'!$H44))),MIN('01_Criterios'!$C$10,MAX('01_Criterios'!$C$9,'01_Criterios'!$C$9+('01_Criterios'!$C$10-'01_Criterios'!$C$9)*('03_Base_Indice'!$I44-'04_Dados_Ajustados'!S44)/('03_Base_Indice'!$I44-'03_Base_Indice'!$H44))))))</f>
        <v/>
      </c>
      <c r="T44" s="31" t="str">
        <f>IF($D44="","",IF('04_Dados_Ajustados'!T44="","",IF('03_Base_Indice'!$G44="+",MIN('01_Criterios'!$C$10,MAX('01_Criterios'!$C$9,'01_Criterios'!$C$9+('01_Criterios'!$C$10-'01_Criterios'!$C$9)*('04_Dados_Ajustados'!T44-'03_Base_Indice'!$H44)/('03_Base_Indice'!$I44-'03_Base_Indice'!$H44))),MIN('01_Criterios'!$C$10,MAX('01_Criterios'!$C$9,'01_Criterios'!$C$9+('01_Criterios'!$C$10-'01_Criterios'!$C$9)*('03_Base_Indice'!$I44-'04_Dados_Ajustados'!T44)/('03_Base_Indice'!$I44-'03_Base_Indice'!$H44))))))</f>
        <v/>
      </c>
      <c r="U44" s="31" t="str">
        <f>IF($D44="","",IF('04_Dados_Ajustados'!U44="","",IF('03_Base_Indice'!$G44="+",MIN('01_Criterios'!$C$10,MAX('01_Criterios'!$C$9,'01_Criterios'!$C$9+('01_Criterios'!$C$10-'01_Criterios'!$C$9)*('04_Dados_Ajustados'!U44-'03_Base_Indice'!$H44)/('03_Base_Indice'!$I44-'03_Base_Indice'!$H44))),MIN('01_Criterios'!$C$10,MAX('01_Criterios'!$C$9,'01_Criterios'!$C$9+('01_Criterios'!$C$10-'01_Criterios'!$C$9)*('03_Base_Indice'!$I44-'04_Dados_Ajustados'!U44)/('03_Base_Indice'!$I44-'03_Base_Indice'!$H44))))))</f>
        <v/>
      </c>
    </row>
    <row r="45" spans="1:21">
      <c r="A45" s="6" t="str">
        <f>IF('03_Base_Indice'!$A45="","",'03_Base_Indice'!$A45)</f>
        <v>5. Infraestruturas e Serviços</v>
      </c>
      <c r="B45" s="6">
        <f>'03_Base_Indice'!$B45</f>
        <v>1</v>
      </c>
      <c r="D45" s="6" t="str">
        <f>IF('03_Base_Indice'!$D45="","",'03_Base_Indice'!$D45)</f>
        <v>INF002</v>
      </c>
      <c r="E45" s="6" t="str">
        <f>IF('03_Base_Indice'!$E45="","",'03_Base_Indice'!$E45)</f>
        <v>Acesso a Água Potável</v>
      </c>
      <c r="G45" s="20" t="str">
        <f>IF('03_Base_Indice'!$G45="","",'03_Base_Indice'!$G45)</f>
        <v>+</v>
      </c>
      <c r="K45" s="31">
        <f>IF($D45="","",IF('04_Dados_Ajustados'!K45="","",IF('03_Base_Indice'!$G45="+",MIN('01_Criterios'!$C$10,MAX('01_Criterios'!$C$9,'01_Criterios'!$C$9+('01_Criterios'!$C$10-'01_Criterios'!$C$9)*('04_Dados_Ajustados'!K45-'03_Base_Indice'!$H45)/('03_Base_Indice'!$I45-'03_Base_Indice'!$H45))),MIN('01_Criterios'!$C$10,MAX('01_Criterios'!$C$9,'01_Criterios'!$C$9+('01_Criterios'!$C$10-'01_Criterios'!$C$9)*('03_Base_Indice'!$I45-'04_Dados_Ajustados'!K45)/('03_Base_Indice'!$I45-'03_Base_Indice'!$H45))))))</f>
        <v>58.619631200767699</v>
      </c>
      <c r="L45" s="31">
        <f>IF($D45="","",IF('04_Dados_Ajustados'!L45="","",IF('03_Base_Indice'!$G45="+",MIN('01_Criterios'!$C$10,MAX('01_Criterios'!$C$9,'01_Criterios'!$C$9+('01_Criterios'!$C$10-'01_Criterios'!$C$9)*('04_Dados_Ajustados'!L45-'03_Base_Indice'!$H45)/('03_Base_Indice'!$I45-'03_Base_Indice'!$H45))),MIN('01_Criterios'!$C$10,MAX('01_Criterios'!$C$9,'01_Criterios'!$C$9+('01_Criterios'!$C$10-'01_Criterios'!$C$9)*('03_Base_Indice'!$I45-'04_Dados_Ajustados'!L45)/('03_Base_Indice'!$I45-'03_Base_Indice'!$H45))))))</f>
        <v>60.192062018551908</v>
      </c>
      <c r="M45" s="31">
        <f>IF($D45="","",IF('04_Dados_Ajustados'!M45="","",IF('03_Base_Indice'!$G45="+",MIN('01_Criterios'!$C$10,MAX('01_Criterios'!$C$9,'01_Criterios'!$C$9+('01_Criterios'!$C$10-'01_Criterios'!$C$9)*('04_Dados_Ajustados'!M45-'03_Base_Indice'!$H45)/('03_Base_Indice'!$I45-'03_Base_Indice'!$H45))),MIN('01_Criterios'!$C$10,MAX('01_Criterios'!$C$9,'01_Criterios'!$C$9+('01_Criterios'!$C$10-'01_Criterios'!$C$9)*('03_Base_Indice'!$I45-'04_Dados_Ajustados'!M45)/('03_Base_Indice'!$I45-'03_Base_Indice'!$H45))))))</f>
        <v>61.773512210454101</v>
      </c>
      <c r="N45" s="31">
        <f>IF($D45="","",IF('04_Dados_Ajustados'!N45="","",IF('03_Base_Indice'!$G45="+",MIN('01_Criterios'!$C$10,MAX('01_Criterios'!$C$9,'01_Criterios'!$C$9+('01_Criterios'!$C$10-'01_Criterios'!$C$9)*('04_Dados_Ajustados'!N45-'03_Base_Indice'!$H45)/('03_Base_Indice'!$I45-'03_Base_Indice'!$H45))),MIN('01_Criterios'!$C$10,MAX('01_Criterios'!$C$9,'01_Criterios'!$C$9+('01_Criterios'!$C$10-'01_Criterios'!$C$9)*('03_Base_Indice'!$I45-'04_Dados_Ajustados'!N45)/('03_Base_Indice'!$I45-'03_Base_Indice'!$H45))))))</f>
        <v>63.362790738802097</v>
      </c>
      <c r="O45" s="31">
        <f>IF($D45="","",IF('04_Dados_Ajustados'!O45="","",IF('03_Base_Indice'!$G45="+",MIN('01_Criterios'!$C$10,MAX('01_Criterios'!$C$9,'01_Criterios'!$C$9+('01_Criterios'!$C$10-'01_Criterios'!$C$9)*('04_Dados_Ajustados'!O45-'03_Base_Indice'!$H45)/('03_Base_Indice'!$I45-'03_Base_Indice'!$H45))),MIN('01_Criterios'!$C$10,MAX('01_Criterios'!$C$9,'01_Criterios'!$C$9+('01_Criterios'!$C$10-'01_Criterios'!$C$9)*('03_Base_Indice'!$I45-'04_Dados_Ajustados'!O45)/('03_Base_Indice'!$I45-'03_Base_Indice'!$H45))))))</f>
        <v>64.159911037306699</v>
      </c>
      <c r="P45" s="31">
        <f>IF($D45="","",IF('04_Dados_Ajustados'!P45="","",IF('03_Base_Indice'!$G45="+",MIN('01_Criterios'!$C$10,MAX('01_Criterios'!$C$9,'01_Criterios'!$C$9+('01_Criterios'!$C$10-'01_Criterios'!$C$9)*('04_Dados_Ajustados'!P45-'03_Base_Indice'!$H45)/('03_Base_Indice'!$I45-'03_Base_Indice'!$H45))),MIN('01_Criterios'!$C$10,MAX('01_Criterios'!$C$9,'01_Criterios'!$C$9+('01_Criterios'!$C$10-'01_Criterios'!$C$9)*('03_Base_Indice'!$I45-'04_Dados_Ajustados'!P45)/('03_Base_Indice'!$I45-'03_Base_Indice'!$H45))))))</f>
        <v>64.944030543653795</v>
      </c>
      <c r="Q45" s="31">
        <f>IF($D45="","",IF('04_Dados_Ajustados'!Q45="","",IF('03_Base_Indice'!$G45="+",MIN('01_Criterios'!$C$10,MAX('01_Criterios'!$C$9,'01_Criterios'!$C$9+('01_Criterios'!$C$10-'01_Criterios'!$C$9)*('04_Dados_Ajustados'!Q45-'03_Base_Indice'!$H45)/('03_Base_Indice'!$I45-'03_Base_Indice'!$H45))),MIN('01_Criterios'!$C$10,MAX('01_Criterios'!$C$9,'01_Criterios'!$C$9+('01_Criterios'!$C$10-'01_Criterios'!$C$9)*('03_Base_Indice'!$I45-'04_Dados_Ajustados'!Q45)/('03_Base_Indice'!$I45-'03_Base_Indice'!$H45))))))</f>
        <v>65.716257719435006</v>
      </c>
      <c r="R45" s="31">
        <f>IF($D45="","",IF('04_Dados_Ajustados'!R45="","",IF('03_Base_Indice'!$G45="+",MIN('01_Criterios'!$C$10,MAX('01_Criterios'!$C$9,'01_Criterios'!$C$9+('01_Criterios'!$C$10-'01_Criterios'!$C$9)*('04_Dados_Ajustados'!R45-'03_Base_Indice'!$H45)/('03_Base_Indice'!$I45-'03_Base_Indice'!$H45))),MIN('01_Criterios'!$C$10,MAX('01_Criterios'!$C$9,'01_Criterios'!$C$9+('01_Criterios'!$C$10-'01_Criterios'!$C$9)*('03_Base_Indice'!$I45-'04_Dados_Ajustados'!R45)/('03_Base_Indice'!$I45-'03_Base_Indice'!$H45))))))</f>
        <v>66.476327319779998</v>
      </c>
      <c r="S45" s="31">
        <f>IF($D45="","",IF('04_Dados_Ajustados'!S45="","",IF('03_Base_Indice'!$G45="+",MIN('01_Criterios'!$C$10,MAX('01_Criterios'!$C$9,'01_Criterios'!$C$9+('01_Criterios'!$C$10-'01_Criterios'!$C$9)*('04_Dados_Ajustados'!S45-'03_Base_Indice'!$H45)/('03_Base_Indice'!$I45-'03_Base_Indice'!$H45))),MIN('01_Criterios'!$C$10,MAX('01_Criterios'!$C$9,'01_Criterios'!$C$9+('01_Criterios'!$C$10-'01_Criterios'!$C$9)*('03_Base_Indice'!$I45-'04_Dados_Ajustados'!S45)/('03_Base_Indice'!$I45-'03_Base_Indice'!$H45))))))</f>
        <v>67.224425258849706</v>
      </c>
      <c r="T45" s="31">
        <f>IF($D45="","",IF('04_Dados_Ajustados'!T45="","",IF('03_Base_Indice'!$G45="+",MIN('01_Criterios'!$C$10,MAX('01_Criterios'!$C$9,'01_Criterios'!$C$9+('01_Criterios'!$C$10-'01_Criterios'!$C$9)*('04_Dados_Ajustados'!T45-'03_Base_Indice'!$H45)/('03_Base_Indice'!$I45-'03_Base_Indice'!$H45))),MIN('01_Criterios'!$C$10,MAX('01_Criterios'!$C$9,'01_Criterios'!$C$9+('01_Criterios'!$C$10-'01_Criterios'!$C$9)*('03_Base_Indice'!$I45-'04_Dados_Ajustados'!T45)/('03_Base_Indice'!$I45-'03_Base_Indice'!$H45))))))</f>
        <v>67.960742224211202</v>
      </c>
      <c r="U45" s="31">
        <f>IF($D45="","",IF('04_Dados_Ajustados'!U45="","",IF('03_Base_Indice'!$G45="+",MIN('01_Criterios'!$C$10,MAX('01_Criterios'!$C$9,'01_Criterios'!$C$9+('01_Criterios'!$C$10-'01_Criterios'!$C$9)*('04_Dados_Ajustados'!U45-'03_Base_Indice'!$H45)/('03_Base_Indice'!$I45-'03_Base_Indice'!$H45))),MIN('01_Criterios'!$C$10,MAX('01_Criterios'!$C$9,'01_Criterios'!$C$9+('01_Criterios'!$C$10-'01_Criterios'!$C$9)*('03_Base_Indice'!$I45-'04_Dados_Ajustados'!U45)/('03_Base_Indice'!$I45-'03_Base_Indice'!$H45))))))</f>
        <v>67.960742224211202</v>
      </c>
    </row>
    <row r="46" spans="1:21">
      <c r="A46" s="6" t="str">
        <f>IF('03_Base_Indice'!$A46="","",'03_Base_Indice'!$A46)</f>
        <v>5. Infraestruturas e Serviços</v>
      </c>
      <c r="B46" s="6">
        <f>'03_Base_Indice'!$B46</f>
        <v>2</v>
      </c>
      <c r="D46" s="6" t="str">
        <f>IF('03_Base_Indice'!$D46="","",'03_Base_Indice'!$D46)</f>
        <v>INF006</v>
      </c>
      <c r="E46" s="6" t="str">
        <f>IF('03_Base_Indice'!$E46="","",'03_Base_Indice'!$E46)</f>
        <v>Densidade Rodoviária (km/1000km²)</v>
      </c>
      <c r="G46" s="20" t="str">
        <f>IF('03_Base_Indice'!$G46="","",'03_Base_Indice'!$G46)</f>
        <v>+</v>
      </c>
      <c r="K46" s="31">
        <f>IF($D46="","",IF('04_Dados_Ajustados'!K46="","",IF('03_Base_Indice'!$G46="+",MIN('01_Criterios'!$C$10,MAX('01_Criterios'!$C$9,'01_Criterios'!$C$9+('01_Criterios'!$C$10-'01_Criterios'!$C$9)*('04_Dados_Ajustados'!K46-'03_Base_Indice'!$H46)/('03_Base_Indice'!$I46-'03_Base_Indice'!$H46))),MIN('01_Criterios'!$C$10,MAX('01_Criterios'!$C$9,'01_Criterios'!$C$9+('01_Criterios'!$C$10-'01_Criterios'!$C$9)*('03_Base_Indice'!$I46-'04_Dados_Ajustados'!K46)/('03_Base_Indice'!$I46-'03_Base_Indice'!$H46))))))</f>
        <v>29</v>
      </c>
      <c r="L46" s="31">
        <f>IF($D46="","",IF('04_Dados_Ajustados'!L46="","",IF('03_Base_Indice'!$G46="+",MIN('01_Criterios'!$C$10,MAX('01_Criterios'!$C$9,'01_Criterios'!$C$9+('01_Criterios'!$C$10-'01_Criterios'!$C$9)*('04_Dados_Ajustados'!L46-'03_Base_Indice'!$H46)/('03_Base_Indice'!$I46-'03_Base_Indice'!$H46))),MIN('01_Criterios'!$C$10,MAX('01_Criterios'!$C$9,'01_Criterios'!$C$9+('01_Criterios'!$C$10-'01_Criterios'!$C$9)*('03_Base_Indice'!$I46-'04_Dados_Ajustados'!L46)/('03_Base_Indice'!$I46-'03_Base_Indice'!$H46))))))</f>
        <v>29</v>
      </c>
      <c r="M46" s="31">
        <f>IF($D46="","",IF('04_Dados_Ajustados'!M46="","",IF('03_Base_Indice'!$G46="+",MIN('01_Criterios'!$C$10,MAX('01_Criterios'!$C$9,'01_Criterios'!$C$9+('01_Criterios'!$C$10-'01_Criterios'!$C$9)*('04_Dados_Ajustados'!M46-'03_Base_Indice'!$H46)/('03_Base_Indice'!$I46-'03_Base_Indice'!$H46))),MIN('01_Criterios'!$C$10,MAX('01_Criterios'!$C$9,'01_Criterios'!$C$9+('01_Criterios'!$C$10-'01_Criterios'!$C$9)*('03_Base_Indice'!$I46-'04_Dados_Ajustados'!M46)/('03_Base_Indice'!$I46-'03_Base_Indice'!$H46))))))</f>
        <v>29</v>
      </c>
      <c r="N46" s="31">
        <f>IF($D46="","",IF('04_Dados_Ajustados'!N46="","",IF('03_Base_Indice'!$G46="+",MIN('01_Criterios'!$C$10,MAX('01_Criterios'!$C$9,'01_Criterios'!$C$9+('01_Criterios'!$C$10-'01_Criterios'!$C$9)*('04_Dados_Ajustados'!N46-'03_Base_Indice'!$H46)/('03_Base_Indice'!$I46-'03_Base_Indice'!$H46))),MIN('01_Criterios'!$C$10,MAX('01_Criterios'!$C$9,'01_Criterios'!$C$9+('01_Criterios'!$C$10-'01_Criterios'!$C$9)*('03_Base_Indice'!$I46-'04_Dados_Ajustados'!N46)/('03_Base_Indice'!$I46-'03_Base_Indice'!$H46))))))</f>
        <v>29</v>
      </c>
      <c r="O46" s="31">
        <f>IF($D46="","",IF('04_Dados_Ajustados'!O46="","",IF('03_Base_Indice'!$G46="+",MIN('01_Criterios'!$C$10,MAX('01_Criterios'!$C$9,'01_Criterios'!$C$9+('01_Criterios'!$C$10-'01_Criterios'!$C$9)*('04_Dados_Ajustados'!O46-'03_Base_Indice'!$H46)/('03_Base_Indice'!$I46-'03_Base_Indice'!$H46))),MIN('01_Criterios'!$C$10,MAX('01_Criterios'!$C$9,'01_Criterios'!$C$9+('01_Criterios'!$C$10-'01_Criterios'!$C$9)*('03_Base_Indice'!$I46-'04_Dados_Ajustados'!O46)/('03_Base_Indice'!$I46-'03_Base_Indice'!$H46))))))</f>
        <v>29</v>
      </c>
      <c r="P46" s="31">
        <f>IF($D46="","",IF('04_Dados_Ajustados'!P46="","",IF('03_Base_Indice'!$G46="+",MIN('01_Criterios'!$C$10,MAX('01_Criterios'!$C$9,'01_Criterios'!$C$9+('01_Criterios'!$C$10-'01_Criterios'!$C$9)*('04_Dados_Ajustados'!P46-'03_Base_Indice'!$H46)/('03_Base_Indice'!$I46-'03_Base_Indice'!$H46))),MIN('01_Criterios'!$C$10,MAX('01_Criterios'!$C$9,'01_Criterios'!$C$9+('01_Criterios'!$C$10-'01_Criterios'!$C$9)*('03_Base_Indice'!$I46-'04_Dados_Ajustados'!P46)/('03_Base_Indice'!$I46-'03_Base_Indice'!$H46))))))</f>
        <v>30</v>
      </c>
      <c r="Q46" s="31">
        <f>IF($D46="","",IF('04_Dados_Ajustados'!Q46="","",IF('03_Base_Indice'!$G46="+",MIN('01_Criterios'!$C$10,MAX('01_Criterios'!$C$9,'01_Criterios'!$C$9+('01_Criterios'!$C$10-'01_Criterios'!$C$9)*('04_Dados_Ajustados'!Q46-'03_Base_Indice'!$H46)/('03_Base_Indice'!$I46-'03_Base_Indice'!$H46))),MIN('01_Criterios'!$C$10,MAX('01_Criterios'!$C$9,'01_Criterios'!$C$9+('01_Criterios'!$C$10-'01_Criterios'!$C$9)*('03_Base_Indice'!$I46-'04_Dados_Ajustados'!Q46)/('03_Base_Indice'!$I46-'03_Base_Indice'!$H46))))))</f>
        <v>31</v>
      </c>
      <c r="R46" s="31">
        <f>IF($D46="","",IF('04_Dados_Ajustados'!R46="","",IF('03_Base_Indice'!$G46="+",MIN('01_Criterios'!$C$10,MAX('01_Criterios'!$C$9,'01_Criterios'!$C$9+('01_Criterios'!$C$10-'01_Criterios'!$C$9)*('04_Dados_Ajustados'!R46-'03_Base_Indice'!$H46)/('03_Base_Indice'!$I46-'03_Base_Indice'!$H46))),MIN('01_Criterios'!$C$10,MAX('01_Criterios'!$C$9,'01_Criterios'!$C$9+('01_Criterios'!$C$10-'01_Criterios'!$C$9)*('03_Base_Indice'!$I46-'04_Dados_Ajustados'!R46)/('03_Base_Indice'!$I46-'03_Base_Indice'!$H46))))))</f>
        <v>31</v>
      </c>
      <c r="S46" s="31">
        <f>IF($D46="","",IF('04_Dados_Ajustados'!S46="","",IF('03_Base_Indice'!$G46="+",MIN('01_Criterios'!$C$10,MAX('01_Criterios'!$C$9,'01_Criterios'!$C$9+('01_Criterios'!$C$10-'01_Criterios'!$C$9)*('04_Dados_Ajustados'!S46-'03_Base_Indice'!$H46)/('03_Base_Indice'!$I46-'03_Base_Indice'!$H46))),MIN('01_Criterios'!$C$10,MAX('01_Criterios'!$C$9,'01_Criterios'!$C$9+('01_Criterios'!$C$10-'01_Criterios'!$C$9)*('03_Base_Indice'!$I46-'04_Dados_Ajustados'!S46)/('03_Base_Indice'!$I46-'03_Base_Indice'!$H46))))))</f>
        <v>32</v>
      </c>
      <c r="T46" s="31">
        <f>IF($D46="","",IF('04_Dados_Ajustados'!T46="","",IF('03_Base_Indice'!$G46="+",MIN('01_Criterios'!$C$10,MAX('01_Criterios'!$C$9,'01_Criterios'!$C$9+('01_Criterios'!$C$10-'01_Criterios'!$C$9)*('04_Dados_Ajustados'!T46-'03_Base_Indice'!$H46)/('03_Base_Indice'!$I46-'03_Base_Indice'!$H46))),MIN('01_Criterios'!$C$10,MAX('01_Criterios'!$C$9,'01_Criterios'!$C$9+('01_Criterios'!$C$10-'01_Criterios'!$C$9)*('03_Base_Indice'!$I46-'04_Dados_Ajustados'!T46)/('03_Base_Indice'!$I46-'03_Base_Indice'!$H46))))))</f>
        <v>33</v>
      </c>
      <c r="U46" s="31">
        <f>IF($D46="","",IF('04_Dados_Ajustados'!U46="","",IF('03_Base_Indice'!$G46="+",MIN('01_Criterios'!$C$10,MAX('01_Criterios'!$C$9,'01_Criterios'!$C$9+('01_Criterios'!$C$10-'01_Criterios'!$C$9)*('04_Dados_Ajustados'!U46-'03_Base_Indice'!$H46)/('03_Base_Indice'!$I46-'03_Base_Indice'!$H46))),MIN('01_Criterios'!$C$10,MAX('01_Criterios'!$C$9,'01_Criterios'!$C$9+('01_Criterios'!$C$10-'01_Criterios'!$C$9)*('03_Base_Indice'!$I46-'04_Dados_Ajustados'!U46)/('03_Base_Indice'!$I46-'03_Base_Indice'!$H46))))))</f>
        <v>33</v>
      </c>
    </row>
    <row r="47" spans="1:21">
      <c r="A47" s="6" t="str">
        <f>IF('03_Base_Indice'!$A47="","",'03_Base_Indice'!$A47)</f>
        <v>5. Infraestruturas e Serviços</v>
      </c>
      <c r="B47" s="6">
        <f>'03_Base_Indice'!$B47</f>
        <v>3</v>
      </c>
      <c r="D47" s="6" t="str">
        <f>IF('03_Base_Indice'!$D47="","",'03_Base_Indice'!$D47)</f>
        <v>INF001</v>
      </c>
      <c r="E47" s="6" t="str">
        <f>IF('03_Base_Indice'!$E47="","",'03_Base_Indice'!$E47)</f>
        <v>Taxa de Electrificação</v>
      </c>
      <c r="G47" s="20" t="str">
        <f>IF('03_Base_Indice'!$G47="","",'03_Base_Indice'!$G47)</f>
        <v>+</v>
      </c>
      <c r="K47" s="31">
        <f>IF($D47="","",IF('04_Dados_Ajustados'!K47="","",IF('03_Base_Indice'!$G47="+",MIN('01_Criterios'!$C$10,MAX('01_Criterios'!$C$9,'01_Criterios'!$C$9+('01_Criterios'!$C$10-'01_Criterios'!$C$9)*('04_Dados_Ajustados'!K47-'03_Base_Indice'!$H47)/('03_Base_Indice'!$I47-'03_Base_Indice'!$H47))),MIN('01_Criterios'!$C$10,MAX('01_Criterios'!$C$9,'01_Criterios'!$C$9+('01_Criterios'!$C$10-'01_Criterios'!$C$9)*('03_Base_Indice'!$I47-'04_Dados_Ajustados'!K47)/('03_Base_Indice'!$I47-'03_Base_Indice'!$H47))))))</f>
        <v>42</v>
      </c>
      <c r="L47" s="31">
        <f>IF($D47="","",IF('04_Dados_Ajustados'!L47="","",IF('03_Base_Indice'!$G47="+",MIN('01_Criterios'!$C$10,MAX('01_Criterios'!$C$9,'01_Criterios'!$C$9+('01_Criterios'!$C$10-'01_Criterios'!$C$9)*('04_Dados_Ajustados'!L47-'03_Base_Indice'!$H47)/('03_Base_Indice'!$I47-'03_Base_Indice'!$H47))),MIN('01_Criterios'!$C$10,MAX('01_Criterios'!$C$9,'01_Criterios'!$C$9+('01_Criterios'!$C$10-'01_Criterios'!$C$9)*('03_Base_Indice'!$I47-'04_Dados_Ajustados'!L47)/('03_Base_Indice'!$I47-'03_Base_Indice'!$H47))))))</f>
        <v>41.8</v>
      </c>
      <c r="M47" s="31">
        <f>IF($D47="","",IF('04_Dados_Ajustados'!M47="","",IF('03_Base_Indice'!$G47="+",MIN('01_Criterios'!$C$10,MAX('01_Criterios'!$C$9,'01_Criterios'!$C$9+('01_Criterios'!$C$10-'01_Criterios'!$C$9)*('04_Dados_Ajustados'!M47-'03_Base_Indice'!$H47)/('03_Base_Indice'!$I47-'03_Base_Indice'!$H47))),MIN('01_Criterios'!$C$10,MAX('01_Criterios'!$C$9,'01_Criterios'!$C$9+('01_Criterios'!$C$10-'01_Criterios'!$C$9)*('03_Base_Indice'!$I47-'04_Dados_Ajustados'!M47)/('03_Base_Indice'!$I47-'03_Base_Indice'!$H47))))))</f>
        <v>42.9</v>
      </c>
      <c r="N47" s="31">
        <f>IF($D47="","",IF('04_Dados_Ajustados'!N47="","",IF('03_Base_Indice'!$G47="+",MIN('01_Criterios'!$C$10,MAX('01_Criterios'!$C$9,'01_Criterios'!$C$9+('01_Criterios'!$C$10-'01_Criterios'!$C$9)*('04_Dados_Ajustados'!N47-'03_Base_Indice'!$H47)/('03_Base_Indice'!$I47-'03_Base_Indice'!$H47))),MIN('01_Criterios'!$C$10,MAX('01_Criterios'!$C$9,'01_Criterios'!$C$9+('01_Criterios'!$C$10-'01_Criterios'!$C$9)*('03_Base_Indice'!$I47-'04_Dados_Ajustados'!N47)/('03_Base_Indice'!$I47-'03_Base_Indice'!$H47))))))</f>
        <v>45.3</v>
      </c>
      <c r="O47" s="31">
        <f>IF($D47="","",IF('04_Dados_Ajustados'!O47="","",IF('03_Base_Indice'!$G47="+",MIN('01_Criterios'!$C$10,MAX('01_Criterios'!$C$9,'01_Criterios'!$C$9+('01_Criterios'!$C$10-'01_Criterios'!$C$9)*('04_Dados_Ajustados'!O47-'03_Base_Indice'!$H47)/('03_Base_Indice'!$I47-'03_Base_Indice'!$H47))),MIN('01_Criterios'!$C$10,MAX('01_Criterios'!$C$9,'01_Criterios'!$C$9+('01_Criterios'!$C$10-'01_Criterios'!$C$9)*('03_Base_Indice'!$I47-'04_Dados_Ajustados'!O47)/('03_Base_Indice'!$I47-'03_Base_Indice'!$H47))))))</f>
        <v>45.6</v>
      </c>
      <c r="P47" s="31">
        <f>IF($D47="","",IF('04_Dados_Ajustados'!P47="","",IF('03_Base_Indice'!$G47="+",MIN('01_Criterios'!$C$10,MAX('01_Criterios'!$C$9,'01_Criterios'!$C$9+('01_Criterios'!$C$10-'01_Criterios'!$C$9)*('04_Dados_Ajustados'!P47-'03_Base_Indice'!$H47)/('03_Base_Indice'!$I47-'03_Base_Indice'!$H47))),MIN('01_Criterios'!$C$10,MAX('01_Criterios'!$C$9,'01_Criterios'!$C$9+('01_Criterios'!$C$10-'01_Criterios'!$C$9)*('03_Base_Indice'!$I47-'04_Dados_Ajustados'!P47)/('03_Base_Indice'!$I47-'03_Base_Indice'!$H47))))))</f>
        <v>47</v>
      </c>
      <c r="Q47" s="31">
        <f>IF($D47="","",IF('04_Dados_Ajustados'!Q47="","",IF('03_Base_Indice'!$G47="+",MIN('01_Criterios'!$C$10,MAX('01_Criterios'!$C$9,'01_Criterios'!$C$9+('01_Criterios'!$C$10-'01_Criterios'!$C$9)*('04_Dados_Ajustados'!Q47-'03_Base_Indice'!$H47)/('03_Base_Indice'!$I47-'03_Base_Indice'!$H47))),MIN('01_Criterios'!$C$10,MAX('01_Criterios'!$C$9,'01_Criterios'!$C$9+('01_Criterios'!$C$10-'01_Criterios'!$C$9)*('03_Base_Indice'!$I47-'04_Dados_Ajustados'!Q47)/('03_Base_Indice'!$I47-'03_Base_Indice'!$H47))))))</f>
        <v>48.2</v>
      </c>
      <c r="R47" s="31">
        <f>IF($D47="","",IF('04_Dados_Ajustados'!R47="","",IF('03_Base_Indice'!$G47="+",MIN('01_Criterios'!$C$10,MAX('01_Criterios'!$C$9,'01_Criterios'!$C$9+('01_Criterios'!$C$10-'01_Criterios'!$C$9)*('04_Dados_Ajustados'!R47-'03_Base_Indice'!$H47)/('03_Base_Indice'!$I47-'03_Base_Indice'!$H47))),MIN('01_Criterios'!$C$10,MAX('01_Criterios'!$C$9,'01_Criterios'!$C$9+('01_Criterios'!$C$10-'01_Criterios'!$C$9)*('03_Base_Indice'!$I47-'04_Dados_Ajustados'!R47)/('03_Base_Indice'!$I47-'03_Base_Indice'!$H47))))))</f>
        <v>48.5</v>
      </c>
      <c r="S47" s="31">
        <f>IF($D47="","",IF('04_Dados_Ajustados'!S47="","",IF('03_Base_Indice'!$G47="+",MIN('01_Criterios'!$C$10,MAX('01_Criterios'!$C$9,'01_Criterios'!$C$9+('01_Criterios'!$C$10-'01_Criterios'!$C$9)*('04_Dados_Ajustados'!S47-'03_Base_Indice'!$H47)/('03_Base_Indice'!$I47-'03_Base_Indice'!$H47))),MIN('01_Criterios'!$C$10,MAX('01_Criterios'!$C$9,'01_Criterios'!$C$9+('01_Criterios'!$C$10-'01_Criterios'!$C$9)*('03_Base_Indice'!$I47-'04_Dados_Ajustados'!S47)/('03_Base_Indice'!$I47-'03_Base_Indice'!$H47))))))</f>
        <v>51.1</v>
      </c>
      <c r="T47" s="31">
        <f>IF($D47="","",IF('04_Dados_Ajustados'!T47="","",IF('03_Base_Indice'!$G47="+",MIN('01_Criterios'!$C$10,MAX('01_Criterios'!$C$9,'01_Criterios'!$C$9+('01_Criterios'!$C$10-'01_Criterios'!$C$9)*('04_Dados_Ajustados'!T47-'03_Base_Indice'!$H47)/('03_Base_Indice'!$I47-'03_Base_Indice'!$H47))),MIN('01_Criterios'!$C$10,MAX('01_Criterios'!$C$9,'01_Criterios'!$C$9+('01_Criterios'!$C$10-'01_Criterios'!$C$9)*('03_Base_Indice'!$I47-'04_Dados_Ajustados'!T47)/('03_Base_Indice'!$I47-'03_Base_Indice'!$H47))))))</f>
        <v>51.1</v>
      </c>
      <c r="U47" s="31">
        <f>IF($D47="","",IF('04_Dados_Ajustados'!U47="","",IF('03_Base_Indice'!$G47="+",MIN('01_Criterios'!$C$10,MAX('01_Criterios'!$C$9,'01_Criterios'!$C$9+('01_Criterios'!$C$10-'01_Criterios'!$C$9)*('04_Dados_Ajustados'!U47-'03_Base_Indice'!$H47)/('03_Base_Indice'!$I47-'03_Base_Indice'!$H47))),MIN('01_Criterios'!$C$10,MAX('01_Criterios'!$C$9,'01_Criterios'!$C$9+('01_Criterios'!$C$10-'01_Criterios'!$C$9)*('03_Base_Indice'!$I47-'04_Dados_Ajustados'!U47)/('03_Base_Indice'!$I47-'03_Base_Indice'!$H47))))))</f>
        <v>51.1</v>
      </c>
    </row>
    <row r="48" spans="1:21">
      <c r="A48" s="6" t="str">
        <f>IF('03_Base_Indice'!$A48="","",'03_Base_Indice'!$A48)</f>
        <v>5. Infraestruturas e Serviços</v>
      </c>
      <c r="B48" s="6">
        <f>'03_Base_Indice'!$B48</f>
        <v>4</v>
      </c>
      <c r="D48" s="6" t="str">
        <f>IF('03_Base_Indice'!$D48="","",'03_Base_Indice'!$D48)</f>
        <v>INF05</v>
      </c>
      <c r="E48" s="6" t="str">
        <f>IF('03_Base_Indice'!$E48="","",'03_Base_Indice'!$E48)</f>
        <v>Acesso a energia limpa para cozinhar</v>
      </c>
      <c r="G48" s="20" t="str">
        <f>IF('03_Base_Indice'!$G48="","",'03_Base_Indice'!$G48)</f>
        <v>+</v>
      </c>
      <c r="K48" s="31">
        <f>IF($D48="","",IF('04_Dados_Ajustados'!K48="","",IF('03_Base_Indice'!$G48="+",MIN('01_Criterios'!$C$10,MAX('01_Criterios'!$C$9,'01_Criterios'!$C$9+('01_Criterios'!$C$10-'01_Criterios'!$C$9)*('04_Dados_Ajustados'!K48-'03_Base_Indice'!$H48)/('03_Base_Indice'!$I48-'03_Base_Indice'!$H48))),MIN('01_Criterios'!$C$10,MAX('01_Criterios'!$C$9,'01_Criterios'!$C$9+('01_Criterios'!$C$10-'01_Criterios'!$C$9)*('03_Base_Indice'!$I48-'04_Dados_Ajustados'!K48)/('03_Base_Indice'!$I48-'03_Base_Indice'!$H48))))))</f>
        <v>47</v>
      </c>
      <c r="L48" s="31">
        <f>IF($D48="","",IF('04_Dados_Ajustados'!L48="","",IF('03_Base_Indice'!$G48="+",MIN('01_Criterios'!$C$10,MAX('01_Criterios'!$C$9,'01_Criterios'!$C$9+('01_Criterios'!$C$10-'01_Criterios'!$C$9)*('04_Dados_Ajustados'!L48-'03_Base_Indice'!$H48)/('03_Base_Indice'!$I48-'03_Base_Indice'!$H48))),MIN('01_Criterios'!$C$10,MAX('01_Criterios'!$C$9,'01_Criterios'!$C$9+('01_Criterios'!$C$10-'01_Criterios'!$C$9)*('03_Base_Indice'!$I48-'04_Dados_Ajustados'!L48)/('03_Base_Indice'!$I48-'03_Base_Indice'!$H48))))))</f>
        <v>48</v>
      </c>
      <c r="M48" s="31">
        <f>IF($D48="","",IF('04_Dados_Ajustados'!M48="","",IF('03_Base_Indice'!$G48="+",MIN('01_Criterios'!$C$10,MAX('01_Criterios'!$C$9,'01_Criterios'!$C$9+('01_Criterios'!$C$10-'01_Criterios'!$C$9)*('04_Dados_Ajustados'!M48-'03_Base_Indice'!$H48)/('03_Base_Indice'!$I48-'03_Base_Indice'!$H48))),MIN('01_Criterios'!$C$10,MAX('01_Criterios'!$C$9,'01_Criterios'!$C$9+('01_Criterios'!$C$10-'01_Criterios'!$C$9)*('03_Base_Indice'!$I48-'04_Dados_Ajustados'!M48)/('03_Base_Indice'!$I48-'03_Base_Indice'!$H48))))))</f>
        <v>48.2</v>
      </c>
      <c r="N48" s="31">
        <f>IF($D48="","",IF('04_Dados_Ajustados'!N48="","",IF('03_Base_Indice'!$G48="+",MIN('01_Criterios'!$C$10,MAX('01_Criterios'!$C$9,'01_Criterios'!$C$9+('01_Criterios'!$C$10-'01_Criterios'!$C$9)*('04_Dados_Ajustados'!N48-'03_Base_Indice'!$H48)/('03_Base_Indice'!$I48-'03_Base_Indice'!$H48))),MIN('01_Criterios'!$C$10,MAX('01_Criterios'!$C$9,'01_Criterios'!$C$9+('01_Criterios'!$C$10-'01_Criterios'!$C$9)*('03_Base_Indice'!$I48-'04_Dados_Ajustados'!N48)/('03_Base_Indice'!$I48-'03_Base_Indice'!$H48))))))</f>
        <v>48.8</v>
      </c>
      <c r="O48" s="31">
        <f>IF($D48="","",IF('04_Dados_Ajustados'!O48="","",IF('03_Base_Indice'!$G48="+",MIN('01_Criterios'!$C$10,MAX('01_Criterios'!$C$9,'01_Criterios'!$C$9+('01_Criterios'!$C$10-'01_Criterios'!$C$9)*('04_Dados_Ajustados'!O48-'03_Base_Indice'!$H48)/('03_Base_Indice'!$I48-'03_Base_Indice'!$H48))),MIN('01_Criterios'!$C$10,MAX('01_Criterios'!$C$9,'01_Criterios'!$C$9+('01_Criterios'!$C$10-'01_Criterios'!$C$9)*('03_Base_Indice'!$I48-'04_Dados_Ajustados'!O48)/('03_Base_Indice'!$I48-'03_Base_Indice'!$H48))))))</f>
        <v>49.2</v>
      </c>
      <c r="P48" s="31">
        <f>IF($D48="","",IF('04_Dados_Ajustados'!P48="","",IF('03_Base_Indice'!$G48="+",MIN('01_Criterios'!$C$10,MAX('01_Criterios'!$C$9,'01_Criterios'!$C$9+('01_Criterios'!$C$10-'01_Criterios'!$C$9)*('04_Dados_Ajustados'!P48-'03_Base_Indice'!$H48)/('03_Base_Indice'!$I48-'03_Base_Indice'!$H48))),MIN('01_Criterios'!$C$10,MAX('01_Criterios'!$C$9,'01_Criterios'!$C$9+('01_Criterios'!$C$10-'01_Criterios'!$C$9)*('03_Base_Indice'!$I48-'04_Dados_Ajustados'!P48)/('03_Base_Indice'!$I48-'03_Base_Indice'!$H48))))))</f>
        <v>49.4</v>
      </c>
      <c r="Q48" s="31">
        <f>IF($D48="","",IF('04_Dados_Ajustados'!Q48="","",IF('03_Base_Indice'!$G48="+",MIN('01_Criterios'!$C$10,MAX('01_Criterios'!$C$9,'01_Criterios'!$C$9+('01_Criterios'!$C$10-'01_Criterios'!$C$9)*('04_Dados_Ajustados'!Q48-'03_Base_Indice'!$H48)/('03_Base_Indice'!$I48-'03_Base_Indice'!$H48))),MIN('01_Criterios'!$C$10,MAX('01_Criterios'!$C$9,'01_Criterios'!$C$9+('01_Criterios'!$C$10-'01_Criterios'!$C$9)*('03_Base_Indice'!$I48-'04_Dados_Ajustados'!Q48)/('03_Base_Indice'!$I48-'03_Base_Indice'!$H48))))))</f>
        <v>49.8</v>
      </c>
      <c r="R48" s="31">
        <f>IF($D48="","",IF('04_Dados_Ajustados'!R48="","",IF('03_Base_Indice'!$G48="+",MIN('01_Criterios'!$C$10,MAX('01_Criterios'!$C$9,'01_Criterios'!$C$9+('01_Criterios'!$C$10-'01_Criterios'!$C$9)*('04_Dados_Ajustados'!R48-'03_Base_Indice'!$H48)/('03_Base_Indice'!$I48-'03_Base_Indice'!$H48))),MIN('01_Criterios'!$C$10,MAX('01_Criterios'!$C$9,'01_Criterios'!$C$9+('01_Criterios'!$C$10-'01_Criterios'!$C$9)*('03_Base_Indice'!$I48-'04_Dados_Ajustados'!R48)/('03_Base_Indice'!$I48-'03_Base_Indice'!$H48))))))</f>
        <v>50</v>
      </c>
      <c r="S48" s="31">
        <f>IF($D48="","",IF('04_Dados_Ajustados'!S48="","",IF('03_Base_Indice'!$G48="+",MIN('01_Criterios'!$C$10,MAX('01_Criterios'!$C$9,'01_Criterios'!$C$9+('01_Criterios'!$C$10-'01_Criterios'!$C$9)*('04_Dados_Ajustados'!S48-'03_Base_Indice'!$H48)/('03_Base_Indice'!$I48-'03_Base_Indice'!$H48))),MIN('01_Criterios'!$C$10,MAX('01_Criterios'!$C$9,'01_Criterios'!$C$9+('01_Criterios'!$C$10-'01_Criterios'!$C$9)*('03_Base_Indice'!$I48-'04_Dados_Ajustados'!S48)/('03_Base_Indice'!$I48-'03_Base_Indice'!$H48))))))</f>
        <v>50.2</v>
      </c>
      <c r="T48" s="31">
        <f>IF($D48="","",IF('04_Dados_Ajustados'!T48="","",IF('03_Base_Indice'!$G48="+",MIN('01_Criterios'!$C$10,MAX('01_Criterios'!$C$9,'01_Criterios'!$C$9+('01_Criterios'!$C$10-'01_Criterios'!$C$9)*('04_Dados_Ajustados'!T48-'03_Base_Indice'!$H48)/('03_Base_Indice'!$I48-'03_Base_Indice'!$H48))),MIN('01_Criterios'!$C$10,MAX('01_Criterios'!$C$9,'01_Criterios'!$C$9+('01_Criterios'!$C$10-'01_Criterios'!$C$9)*('03_Base_Indice'!$I48-'04_Dados_Ajustados'!T48)/('03_Base_Indice'!$I48-'03_Base_Indice'!$H48))))))</f>
        <v>50.2</v>
      </c>
      <c r="U48" s="31">
        <f>IF($D48="","",IF('04_Dados_Ajustados'!U48="","",IF('03_Base_Indice'!$G48="+",MIN('01_Criterios'!$C$10,MAX('01_Criterios'!$C$9,'01_Criterios'!$C$9+('01_Criterios'!$C$10-'01_Criterios'!$C$9)*('04_Dados_Ajustados'!U48-'03_Base_Indice'!$H48)/('03_Base_Indice'!$I48-'03_Base_Indice'!$H48))),MIN('01_Criterios'!$C$10,MAX('01_Criterios'!$C$9,'01_Criterios'!$C$9+('01_Criterios'!$C$10-'01_Criterios'!$C$9)*('03_Base_Indice'!$I48-'04_Dados_Ajustados'!U48)/('03_Base_Indice'!$I48-'03_Base_Indice'!$H48))))))</f>
        <v>50.2</v>
      </c>
    </row>
    <row r="49" spans="1:21">
      <c r="A49" s="6" t="str">
        <f>IF('03_Base_Indice'!$A49="","",'03_Base_Indice'!$A49)</f>
        <v>5. Infraestruturas e Serviços</v>
      </c>
      <c r="B49" s="6">
        <f>'03_Base_Indice'!$B49</f>
        <v>5</v>
      </c>
      <c r="D49" s="6" t="str">
        <f>IF('03_Base_Indice'!$D49="","",'03_Base_Indice'!$D49)</f>
        <v>INF024</v>
      </c>
      <c r="E49" s="6" t="str">
        <f>IF('03_Base_Indice'!$E49="","",'03_Base_Indice'!$E49)</f>
        <v>Tráfego portuário de contentores</v>
      </c>
      <c r="G49" s="20" t="str">
        <f>IF('03_Base_Indice'!$G49="","",'03_Base_Indice'!$G49)</f>
        <v>+</v>
      </c>
      <c r="K49" s="31">
        <f>IF($D49="","",IF('04_Dados_Ajustados'!K49="","",IF('03_Base_Indice'!$G49="+",MIN('01_Criterios'!$C$10,MAX('01_Criterios'!$C$9,'01_Criterios'!$C$9+('01_Criterios'!$C$10-'01_Criterios'!$C$9)*('04_Dados_Ajustados'!K49-'03_Base_Indice'!$H49)/('03_Base_Indice'!$I49-'03_Base_Indice'!$H49))),MIN('01_Criterios'!$C$10,MAX('01_Criterios'!$C$9,'01_Criterios'!$C$9+('01_Criterios'!$C$10-'01_Criterios'!$C$9)*('03_Base_Indice'!$I49-'04_Dados_Ajustados'!K49)/('03_Base_Indice'!$I49-'03_Base_Indice'!$H49))))))</f>
        <v>53.328148148148145</v>
      </c>
      <c r="L49" s="31">
        <f>IF($D49="","",IF('04_Dados_Ajustados'!L49="","",IF('03_Base_Indice'!$G49="+",MIN('01_Criterios'!$C$10,MAX('01_Criterios'!$C$9,'01_Criterios'!$C$9+('01_Criterios'!$C$10-'01_Criterios'!$C$9)*('04_Dados_Ajustados'!L49-'03_Base_Indice'!$H49)/('03_Base_Indice'!$I49-'03_Base_Indice'!$H49))),MIN('01_Criterios'!$C$10,MAX('01_Criterios'!$C$9,'01_Criterios'!$C$9+('01_Criterios'!$C$10-'01_Criterios'!$C$9)*('03_Base_Indice'!$I49-'04_Dados_Ajustados'!L49)/('03_Base_Indice'!$I49-'03_Base_Indice'!$H49))))))</f>
        <v>17.377481481481482</v>
      </c>
      <c r="M49" s="31">
        <f>IF($D49="","",IF('04_Dados_Ajustados'!M49="","",IF('03_Base_Indice'!$G49="+",MIN('01_Criterios'!$C$10,MAX('01_Criterios'!$C$9,'01_Criterios'!$C$9+('01_Criterios'!$C$10-'01_Criterios'!$C$9)*('04_Dados_Ajustados'!M49-'03_Base_Indice'!$H49)/('03_Base_Indice'!$I49-'03_Base_Indice'!$H49))),MIN('01_Criterios'!$C$10,MAX('01_Criterios'!$C$9,'01_Criterios'!$C$9+('01_Criterios'!$C$10-'01_Criterios'!$C$9)*('03_Base_Indice'!$I49-'04_Dados_Ajustados'!M49)/('03_Base_Indice'!$I49-'03_Base_Indice'!$H49))))))</f>
        <v>41.545333333333332</v>
      </c>
      <c r="N49" s="31">
        <f>IF($D49="","",IF('04_Dados_Ajustados'!N49="","",IF('03_Base_Indice'!$G49="+",MIN('01_Criterios'!$C$10,MAX('01_Criterios'!$C$9,'01_Criterios'!$C$9+('01_Criterios'!$C$10-'01_Criterios'!$C$9)*('04_Dados_Ajustados'!N49-'03_Base_Indice'!$H49)/('03_Base_Indice'!$I49-'03_Base_Indice'!$H49))),MIN('01_Criterios'!$C$10,MAX('01_Criterios'!$C$9,'01_Criterios'!$C$9+('01_Criterios'!$C$10-'01_Criterios'!$C$9)*('03_Base_Indice'!$I49-'04_Dados_Ajustados'!N49)/('03_Base_Indice'!$I49-'03_Base_Indice'!$H49))))))</f>
        <v>24.183407407407408</v>
      </c>
      <c r="O49" s="31">
        <f>IF($D49="","",IF('04_Dados_Ajustados'!O49="","",IF('03_Base_Indice'!$G49="+",MIN('01_Criterios'!$C$10,MAX('01_Criterios'!$C$9,'01_Criterios'!$C$9+('01_Criterios'!$C$10-'01_Criterios'!$C$9)*('04_Dados_Ajustados'!O49-'03_Base_Indice'!$H49)/('03_Base_Indice'!$I49-'03_Base_Indice'!$H49))),MIN('01_Criterios'!$C$10,MAX('01_Criterios'!$C$9,'01_Criterios'!$C$9+('01_Criterios'!$C$10-'01_Criterios'!$C$9)*('03_Base_Indice'!$I49-'04_Dados_Ajustados'!O49)/('03_Base_Indice'!$I49-'03_Base_Indice'!$H49))))))</f>
        <v>36.314518518518518</v>
      </c>
      <c r="P49" s="31">
        <f>IF($D49="","",IF('04_Dados_Ajustados'!P49="","",IF('03_Base_Indice'!$G49="+",MIN('01_Criterios'!$C$10,MAX('01_Criterios'!$C$9,'01_Criterios'!$C$9+('01_Criterios'!$C$10-'01_Criterios'!$C$9)*('04_Dados_Ajustados'!P49-'03_Base_Indice'!$H49)/('03_Base_Indice'!$I49-'03_Base_Indice'!$H49))),MIN('01_Criterios'!$C$10,MAX('01_Criterios'!$C$9,'01_Criterios'!$C$9+('01_Criterios'!$C$10-'01_Criterios'!$C$9)*('03_Base_Indice'!$I49-'04_Dados_Ajustados'!P49)/('03_Base_Indice'!$I49-'03_Base_Indice'!$H49))))))</f>
        <v>20.018962962962963</v>
      </c>
      <c r="Q49" s="31">
        <f>IF($D49="","",IF('04_Dados_Ajustados'!Q49="","",IF('03_Base_Indice'!$G49="+",MIN('01_Criterios'!$C$10,MAX('01_Criterios'!$C$9,'01_Criterios'!$C$9+('01_Criterios'!$C$10-'01_Criterios'!$C$9)*('04_Dados_Ajustados'!Q49-'03_Base_Indice'!$H49)/('03_Base_Indice'!$I49-'03_Base_Indice'!$H49))),MIN('01_Criterios'!$C$10,MAX('01_Criterios'!$C$9,'01_Criterios'!$C$9+('01_Criterios'!$C$10-'01_Criterios'!$C$9)*('03_Base_Indice'!$I49-'04_Dados_Ajustados'!Q49)/('03_Base_Indice'!$I49-'03_Base_Indice'!$H49))))))</f>
        <v>25.681185185185186</v>
      </c>
      <c r="R49" s="31">
        <f>IF($D49="","",IF('04_Dados_Ajustados'!R49="","",IF('03_Base_Indice'!$G49="+",MIN('01_Criterios'!$C$10,MAX('01_Criterios'!$C$9,'01_Criterios'!$C$9+('01_Criterios'!$C$10-'01_Criterios'!$C$9)*('04_Dados_Ajustados'!R49-'03_Base_Indice'!$H49)/('03_Base_Indice'!$I49-'03_Base_Indice'!$H49))),MIN('01_Criterios'!$C$10,MAX('01_Criterios'!$C$9,'01_Criterios'!$C$9+('01_Criterios'!$C$10-'01_Criterios'!$C$9)*('03_Base_Indice'!$I49-'04_Dados_Ajustados'!R49)/('03_Base_Indice'!$I49-'03_Base_Indice'!$H49))))))</f>
        <v>33.086370370370368</v>
      </c>
      <c r="S49" s="31">
        <f>IF($D49="","",IF('04_Dados_Ajustados'!S49="","",IF('03_Base_Indice'!$G49="+",MIN('01_Criterios'!$C$10,MAX('01_Criterios'!$C$9,'01_Criterios'!$C$9+('01_Criterios'!$C$10-'01_Criterios'!$C$9)*('04_Dados_Ajustados'!S49-'03_Base_Indice'!$H49)/('03_Base_Indice'!$I49-'03_Base_Indice'!$H49))),MIN('01_Criterios'!$C$10,MAX('01_Criterios'!$C$9,'01_Criterios'!$C$9+('01_Criterios'!$C$10-'01_Criterios'!$C$9)*('03_Base_Indice'!$I49-'04_Dados_Ajustados'!S49)/('03_Base_Indice'!$I49-'03_Base_Indice'!$H49))))))</f>
        <v>30.674666666666667</v>
      </c>
      <c r="T49" s="31">
        <f>IF($D49="","",IF('04_Dados_Ajustados'!T49="","",IF('03_Base_Indice'!$G49="+",MIN('01_Criterios'!$C$10,MAX('01_Criterios'!$C$9,'01_Criterios'!$C$9+('01_Criterios'!$C$10-'01_Criterios'!$C$9)*('04_Dados_Ajustados'!T49-'03_Base_Indice'!$H49)/('03_Base_Indice'!$I49-'03_Base_Indice'!$H49))),MIN('01_Criterios'!$C$10,MAX('01_Criterios'!$C$9,'01_Criterios'!$C$9+('01_Criterios'!$C$10-'01_Criterios'!$C$9)*('03_Base_Indice'!$I49-'04_Dados_Ajustados'!T49)/('03_Base_Indice'!$I49-'03_Base_Indice'!$H49))))))</f>
        <v>37.662370370370368</v>
      </c>
      <c r="U49" s="31">
        <f>IF($D49="","",IF('04_Dados_Ajustados'!U49="","",IF('03_Base_Indice'!$G49="+",MIN('01_Criterios'!$C$10,MAX('01_Criterios'!$C$9,'01_Criterios'!$C$9+('01_Criterios'!$C$10-'01_Criterios'!$C$9)*('04_Dados_Ajustados'!U49-'03_Base_Indice'!$H49)/('03_Base_Indice'!$I49-'03_Base_Indice'!$H49))),MIN('01_Criterios'!$C$10,MAX('01_Criterios'!$C$9,'01_Criterios'!$C$9+('01_Criterios'!$C$10-'01_Criterios'!$C$9)*('03_Base_Indice'!$I49-'04_Dados_Ajustados'!U49)/('03_Base_Indice'!$I49-'03_Base_Indice'!$H49))))))</f>
        <v>37.662370370370368</v>
      </c>
    </row>
    <row r="50" spans="1:21">
      <c r="A50" s="6" t="str">
        <f>IF('03_Base_Indice'!$A50="","",'03_Base_Indice'!$A50)</f>
        <v>5. Infraestruturas e Serviços</v>
      </c>
      <c r="B50" s="6">
        <f>'03_Base_Indice'!$B50</f>
        <v>6</v>
      </c>
      <c r="D50" s="6" t="str">
        <f>IF('03_Base_Indice'!$D50="","",'03_Base_Indice'!$D50)</f>
        <v/>
      </c>
      <c r="E50" s="6" t="str">
        <f>IF('03_Base_Indice'!$E50="","",'03_Base_Indice'!$E50)</f>
        <v/>
      </c>
      <c r="G50" s="20" t="str">
        <f>IF('03_Base_Indice'!$G50="","",'03_Base_Indice'!$G50)</f>
        <v/>
      </c>
      <c r="K50" s="31" t="str">
        <f>IF($D50="","",IF('04_Dados_Ajustados'!K50="","",IF('03_Base_Indice'!$G50="+",MIN('01_Criterios'!$C$10,MAX('01_Criterios'!$C$9,'01_Criterios'!$C$9+('01_Criterios'!$C$10-'01_Criterios'!$C$9)*('04_Dados_Ajustados'!K50-'03_Base_Indice'!$H50)/('03_Base_Indice'!$I50-'03_Base_Indice'!$H50))),MIN('01_Criterios'!$C$10,MAX('01_Criterios'!$C$9,'01_Criterios'!$C$9+('01_Criterios'!$C$10-'01_Criterios'!$C$9)*('03_Base_Indice'!$I50-'04_Dados_Ajustados'!K50)/('03_Base_Indice'!$I50-'03_Base_Indice'!$H50))))))</f>
        <v/>
      </c>
      <c r="L50" s="31" t="str">
        <f>IF($D50="","",IF('04_Dados_Ajustados'!L50="","",IF('03_Base_Indice'!$G50="+",MIN('01_Criterios'!$C$10,MAX('01_Criterios'!$C$9,'01_Criterios'!$C$9+('01_Criterios'!$C$10-'01_Criterios'!$C$9)*('04_Dados_Ajustados'!L50-'03_Base_Indice'!$H50)/('03_Base_Indice'!$I50-'03_Base_Indice'!$H50))),MIN('01_Criterios'!$C$10,MAX('01_Criterios'!$C$9,'01_Criterios'!$C$9+('01_Criterios'!$C$10-'01_Criterios'!$C$9)*('03_Base_Indice'!$I50-'04_Dados_Ajustados'!L50)/('03_Base_Indice'!$I50-'03_Base_Indice'!$H50))))))</f>
        <v/>
      </c>
      <c r="M50" s="31" t="str">
        <f>IF($D50="","",IF('04_Dados_Ajustados'!M50="","",IF('03_Base_Indice'!$G50="+",MIN('01_Criterios'!$C$10,MAX('01_Criterios'!$C$9,'01_Criterios'!$C$9+('01_Criterios'!$C$10-'01_Criterios'!$C$9)*('04_Dados_Ajustados'!M50-'03_Base_Indice'!$H50)/('03_Base_Indice'!$I50-'03_Base_Indice'!$H50))),MIN('01_Criterios'!$C$10,MAX('01_Criterios'!$C$9,'01_Criterios'!$C$9+('01_Criterios'!$C$10-'01_Criterios'!$C$9)*('03_Base_Indice'!$I50-'04_Dados_Ajustados'!M50)/('03_Base_Indice'!$I50-'03_Base_Indice'!$H50))))))</f>
        <v/>
      </c>
      <c r="N50" s="31" t="str">
        <f>IF($D50="","",IF('04_Dados_Ajustados'!N50="","",IF('03_Base_Indice'!$G50="+",MIN('01_Criterios'!$C$10,MAX('01_Criterios'!$C$9,'01_Criterios'!$C$9+('01_Criterios'!$C$10-'01_Criterios'!$C$9)*('04_Dados_Ajustados'!N50-'03_Base_Indice'!$H50)/('03_Base_Indice'!$I50-'03_Base_Indice'!$H50))),MIN('01_Criterios'!$C$10,MAX('01_Criterios'!$C$9,'01_Criterios'!$C$9+('01_Criterios'!$C$10-'01_Criterios'!$C$9)*('03_Base_Indice'!$I50-'04_Dados_Ajustados'!N50)/('03_Base_Indice'!$I50-'03_Base_Indice'!$H50))))))</f>
        <v/>
      </c>
      <c r="O50" s="31" t="str">
        <f>IF($D50="","",IF('04_Dados_Ajustados'!O50="","",IF('03_Base_Indice'!$G50="+",MIN('01_Criterios'!$C$10,MAX('01_Criterios'!$C$9,'01_Criterios'!$C$9+('01_Criterios'!$C$10-'01_Criterios'!$C$9)*('04_Dados_Ajustados'!O50-'03_Base_Indice'!$H50)/('03_Base_Indice'!$I50-'03_Base_Indice'!$H50))),MIN('01_Criterios'!$C$10,MAX('01_Criterios'!$C$9,'01_Criterios'!$C$9+('01_Criterios'!$C$10-'01_Criterios'!$C$9)*('03_Base_Indice'!$I50-'04_Dados_Ajustados'!O50)/('03_Base_Indice'!$I50-'03_Base_Indice'!$H50))))))</f>
        <v/>
      </c>
      <c r="P50" s="31" t="str">
        <f>IF($D50="","",IF('04_Dados_Ajustados'!P50="","",IF('03_Base_Indice'!$G50="+",MIN('01_Criterios'!$C$10,MAX('01_Criterios'!$C$9,'01_Criterios'!$C$9+('01_Criterios'!$C$10-'01_Criterios'!$C$9)*('04_Dados_Ajustados'!P50-'03_Base_Indice'!$H50)/('03_Base_Indice'!$I50-'03_Base_Indice'!$H50))),MIN('01_Criterios'!$C$10,MAX('01_Criterios'!$C$9,'01_Criterios'!$C$9+('01_Criterios'!$C$10-'01_Criterios'!$C$9)*('03_Base_Indice'!$I50-'04_Dados_Ajustados'!P50)/('03_Base_Indice'!$I50-'03_Base_Indice'!$H50))))))</f>
        <v/>
      </c>
      <c r="Q50" s="31" t="str">
        <f>IF($D50="","",IF('04_Dados_Ajustados'!Q50="","",IF('03_Base_Indice'!$G50="+",MIN('01_Criterios'!$C$10,MAX('01_Criterios'!$C$9,'01_Criterios'!$C$9+('01_Criterios'!$C$10-'01_Criterios'!$C$9)*('04_Dados_Ajustados'!Q50-'03_Base_Indice'!$H50)/('03_Base_Indice'!$I50-'03_Base_Indice'!$H50))),MIN('01_Criterios'!$C$10,MAX('01_Criterios'!$C$9,'01_Criterios'!$C$9+('01_Criterios'!$C$10-'01_Criterios'!$C$9)*('03_Base_Indice'!$I50-'04_Dados_Ajustados'!Q50)/('03_Base_Indice'!$I50-'03_Base_Indice'!$H50))))))</f>
        <v/>
      </c>
      <c r="R50" s="31" t="str">
        <f>IF($D50="","",IF('04_Dados_Ajustados'!R50="","",IF('03_Base_Indice'!$G50="+",MIN('01_Criterios'!$C$10,MAX('01_Criterios'!$C$9,'01_Criterios'!$C$9+('01_Criterios'!$C$10-'01_Criterios'!$C$9)*('04_Dados_Ajustados'!R50-'03_Base_Indice'!$H50)/('03_Base_Indice'!$I50-'03_Base_Indice'!$H50))),MIN('01_Criterios'!$C$10,MAX('01_Criterios'!$C$9,'01_Criterios'!$C$9+('01_Criterios'!$C$10-'01_Criterios'!$C$9)*('03_Base_Indice'!$I50-'04_Dados_Ajustados'!R50)/('03_Base_Indice'!$I50-'03_Base_Indice'!$H50))))))</f>
        <v/>
      </c>
      <c r="S50" s="31" t="str">
        <f>IF($D50="","",IF('04_Dados_Ajustados'!S50="","",IF('03_Base_Indice'!$G50="+",MIN('01_Criterios'!$C$10,MAX('01_Criterios'!$C$9,'01_Criterios'!$C$9+('01_Criterios'!$C$10-'01_Criterios'!$C$9)*('04_Dados_Ajustados'!S50-'03_Base_Indice'!$H50)/('03_Base_Indice'!$I50-'03_Base_Indice'!$H50))),MIN('01_Criterios'!$C$10,MAX('01_Criterios'!$C$9,'01_Criterios'!$C$9+('01_Criterios'!$C$10-'01_Criterios'!$C$9)*('03_Base_Indice'!$I50-'04_Dados_Ajustados'!S50)/('03_Base_Indice'!$I50-'03_Base_Indice'!$H50))))))</f>
        <v/>
      </c>
      <c r="T50" s="31" t="str">
        <f>IF($D50="","",IF('04_Dados_Ajustados'!T50="","",IF('03_Base_Indice'!$G50="+",MIN('01_Criterios'!$C$10,MAX('01_Criterios'!$C$9,'01_Criterios'!$C$9+('01_Criterios'!$C$10-'01_Criterios'!$C$9)*('04_Dados_Ajustados'!T50-'03_Base_Indice'!$H50)/('03_Base_Indice'!$I50-'03_Base_Indice'!$H50))),MIN('01_Criterios'!$C$10,MAX('01_Criterios'!$C$9,'01_Criterios'!$C$9+('01_Criterios'!$C$10-'01_Criterios'!$C$9)*('03_Base_Indice'!$I50-'04_Dados_Ajustados'!T50)/('03_Base_Indice'!$I50-'03_Base_Indice'!$H50))))))</f>
        <v/>
      </c>
      <c r="U50" s="31" t="str">
        <f>IF($D50="","",IF('04_Dados_Ajustados'!U50="","",IF('03_Base_Indice'!$G50="+",MIN('01_Criterios'!$C$10,MAX('01_Criterios'!$C$9,'01_Criterios'!$C$9+('01_Criterios'!$C$10-'01_Criterios'!$C$9)*('04_Dados_Ajustados'!U50-'03_Base_Indice'!$H50)/('03_Base_Indice'!$I50-'03_Base_Indice'!$H50))),MIN('01_Criterios'!$C$10,MAX('01_Criterios'!$C$9,'01_Criterios'!$C$9+('01_Criterios'!$C$10-'01_Criterios'!$C$9)*('03_Base_Indice'!$I50-'04_Dados_Ajustados'!U50)/('03_Base_Indice'!$I50-'03_Base_Indice'!$H50))))))</f>
        <v/>
      </c>
    </row>
    <row r="51" spans="1:21">
      <c r="A51" s="6" t="str">
        <f>IF('03_Base_Indice'!$A51="","",'03_Base_Indice'!$A51)</f>
        <v>5. Infraestruturas e Serviços</v>
      </c>
      <c r="B51" s="6">
        <f>'03_Base_Indice'!$B51</f>
        <v>7</v>
      </c>
      <c r="D51" s="6" t="str">
        <f>IF('03_Base_Indice'!$D51="","",'03_Base_Indice'!$D51)</f>
        <v/>
      </c>
      <c r="E51" s="6" t="str">
        <f>IF('03_Base_Indice'!$E51="","",'03_Base_Indice'!$E51)</f>
        <v/>
      </c>
      <c r="G51" s="20" t="str">
        <f>IF('03_Base_Indice'!$G51="","",'03_Base_Indice'!$G51)</f>
        <v/>
      </c>
      <c r="K51" s="31" t="str">
        <f>IF($D51="","",IF('04_Dados_Ajustados'!K51="","",IF('03_Base_Indice'!$G51="+",MIN('01_Criterios'!$C$10,MAX('01_Criterios'!$C$9,'01_Criterios'!$C$9+('01_Criterios'!$C$10-'01_Criterios'!$C$9)*('04_Dados_Ajustados'!K51-'03_Base_Indice'!$H51)/('03_Base_Indice'!$I51-'03_Base_Indice'!$H51))),MIN('01_Criterios'!$C$10,MAX('01_Criterios'!$C$9,'01_Criterios'!$C$9+('01_Criterios'!$C$10-'01_Criterios'!$C$9)*('03_Base_Indice'!$I51-'04_Dados_Ajustados'!K51)/('03_Base_Indice'!$I51-'03_Base_Indice'!$H51))))))</f>
        <v/>
      </c>
      <c r="L51" s="31" t="str">
        <f>IF($D51="","",IF('04_Dados_Ajustados'!L51="","",IF('03_Base_Indice'!$G51="+",MIN('01_Criterios'!$C$10,MAX('01_Criterios'!$C$9,'01_Criterios'!$C$9+('01_Criterios'!$C$10-'01_Criterios'!$C$9)*('04_Dados_Ajustados'!L51-'03_Base_Indice'!$H51)/('03_Base_Indice'!$I51-'03_Base_Indice'!$H51))),MIN('01_Criterios'!$C$10,MAX('01_Criterios'!$C$9,'01_Criterios'!$C$9+('01_Criterios'!$C$10-'01_Criterios'!$C$9)*('03_Base_Indice'!$I51-'04_Dados_Ajustados'!L51)/('03_Base_Indice'!$I51-'03_Base_Indice'!$H51))))))</f>
        <v/>
      </c>
      <c r="M51" s="31" t="str">
        <f>IF($D51="","",IF('04_Dados_Ajustados'!M51="","",IF('03_Base_Indice'!$G51="+",MIN('01_Criterios'!$C$10,MAX('01_Criterios'!$C$9,'01_Criterios'!$C$9+('01_Criterios'!$C$10-'01_Criterios'!$C$9)*('04_Dados_Ajustados'!M51-'03_Base_Indice'!$H51)/('03_Base_Indice'!$I51-'03_Base_Indice'!$H51))),MIN('01_Criterios'!$C$10,MAX('01_Criterios'!$C$9,'01_Criterios'!$C$9+('01_Criterios'!$C$10-'01_Criterios'!$C$9)*('03_Base_Indice'!$I51-'04_Dados_Ajustados'!M51)/('03_Base_Indice'!$I51-'03_Base_Indice'!$H51))))))</f>
        <v/>
      </c>
      <c r="N51" s="31" t="str">
        <f>IF($D51="","",IF('04_Dados_Ajustados'!N51="","",IF('03_Base_Indice'!$G51="+",MIN('01_Criterios'!$C$10,MAX('01_Criterios'!$C$9,'01_Criterios'!$C$9+('01_Criterios'!$C$10-'01_Criterios'!$C$9)*('04_Dados_Ajustados'!N51-'03_Base_Indice'!$H51)/('03_Base_Indice'!$I51-'03_Base_Indice'!$H51))),MIN('01_Criterios'!$C$10,MAX('01_Criterios'!$C$9,'01_Criterios'!$C$9+('01_Criterios'!$C$10-'01_Criterios'!$C$9)*('03_Base_Indice'!$I51-'04_Dados_Ajustados'!N51)/('03_Base_Indice'!$I51-'03_Base_Indice'!$H51))))))</f>
        <v/>
      </c>
      <c r="O51" s="31" t="str">
        <f>IF($D51="","",IF('04_Dados_Ajustados'!O51="","",IF('03_Base_Indice'!$G51="+",MIN('01_Criterios'!$C$10,MAX('01_Criterios'!$C$9,'01_Criterios'!$C$9+('01_Criterios'!$C$10-'01_Criterios'!$C$9)*('04_Dados_Ajustados'!O51-'03_Base_Indice'!$H51)/('03_Base_Indice'!$I51-'03_Base_Indice'!$H51))),MIN('01_Criterios'!$C$10,MAX('01_Criterios'!$C$9,'01_Criterios'!$C$9+('01_Criterios'!$C$10-'01_Criterios'!$C$9)*('03_Base_Indice'!$I51-'04_Dados_Ajustados'!O51)/('03_Base_Indice'!$I51-'03_Base_Indice'!$H51))))))</f>
        <v/>
      </c>
      <c r="P51" s="31" t="str">
        <f>IF($D51="","",IF('04_Dados_Ajustados'!P51="","",IF('03_Base_Indice'!$G51="+",MIN('01_Criterios'!$C$10,MAX('01_Criterios'!$C$9,'01_Criterios'!$C$9+('01_Criterios'!$C$10-'01_Criterios'!$C$9)*('04_Dados_Ajustados'!P51-'03_Base_Indice'!$H51)/('03_Base_Indice'!$I51-'03_Base_Indice'!$H51))),MIN('01_Criterios'!$C$10,MAX('01_Criterios'!$C$9,'01_Criterios'!$C$9+('01_Criterios'!$C$10-'01_Criterios'!$C$9)*('03_Base_Indice'!$I51-'04_Dados_Ajustados'!P51)/('03_Base_Indice'!$I51-'03_Base_Indice'!$H51))))))</f>
        <v/>
      </c>
      <c r="Q51" s="31" t="str">
        <f>IF($D51="","",IF('04_Dados_Ajustados'!Q51="","",IF('03_Base_Indice'!$G51="+",MIN('01_Criterios'!$C$10,MAX('01_Criterios'!$C$9,'01_Criterios'!$C$9+('01_Criterios'!$C$10-'01_Criterios'!$C$9)*('04_Dados_Ajustados'!Q51-'03_Base_Indice'!$H51)/('03_Base_Indice'!$I51-'03_Base_Indice'!$H51))),MIN('01_Criterios'!$C$10,MAX('01_Criterios'!$C$9,'01_Criterios'!$C$9+('01_Criterios'!$C$10-'01_Criterios'!$C$9)*('03_Base_Indice'!$I51-'04_Dados_Ajustados'!Q51)/('03_Base_Indice'!$I51-'03_Base_Indice'!$H51))))))</f>
        <v/>
      </c>
      <c r="R51" s="31" t="str">
        <f>IF($D51="","",IF('04_Dados_Ajustados'!R51="","",IF('03_Base_Indice'!$G51="+",MIN('01_Criterios'!$C$10,MAX('01_Criterios'!$C$9,'01_Criterios'!$C$9+('01_Criterios'!$C$10-'01_Criterios'!$C$9)*('04_Dados_Ajustados'!R51-'03_Base_Indice'!$H51)/('03_Base_Indice'!$I51-'03_Base_Indice'!$H51))),MIN('01_Criterios'!$C$10,MAX('01_Criterios'!$C$9,'01_Criterios'!$C$9+('01_Criterios'!$C$10-'01_Criterios'!$C$9)*('03_Base_Indice'!$I51-'04_Dados_Ajustados'!R51)/('03_Base_Indice'!$I51-'03_Base_Indice'!$H51))))))</f>
        <v/>
      </c>
      <c r="S51" s="31" t="str">
        <f>IF($D51="","",IF('04_Dados_Ajustados'!S51="","",IF('03_Base_Indice'!$G51="+",MIN('01_Criterios'!$C$10,MAX('01_Criterios'!$C$9,'01_Criterios'!$C$9+('01_Criterios'!$C$10-'01_Criterios'!$C$9)*('04_Dados_Ajustados'!S51-'03_Base_Indice'!$H51)/('03_Base_Indice'!$I51-'03_Base_Indice'!$H51))),MIN('01_Criterios'!$C$10,MAX('01_Criterios'!$C$9,'01_Criterios'!$C$9+('01_Criterios'!$C$10-'01_Criterios'!$C$9)*('03_Base_Indice'!$I51-'04_Dados_Ajustados'!S51)/('03_Base_Indice'!$I51-'03_Base_Indice'!$H51))))))</f>
        <v/>
      </c>
      <c r="T51" s="31" t="str">
        <f>IF($D51="","",IF('04_Dados_Ajustados'!T51="","",IF('03_Base_Indice'!$G51="+",MIN('01_Criterios'!$C$10,MAX('01_Criterios'!$C$9,'01_Criterios'!$C$9+('01_Criterios'!$C$10-'01_Criterios'!$C$9)*('04_Dados_Ajustados'!T51-'03_Base_Indice'!$H51)/('03_Base_Indice'!$I51-'03_Base_Indice'!$H51))),MIN('01_Criterios'!$C$10,MAX('01_Criterios'!$C$9,'01_Criterios'!$C$9+('01_Criterios'!$C$10-'01_Criterios'!$C$9)*('03_Base_Indice'!$I51-'04_Dados_Ajustados'!T51)/('03_Base_Indice'!$I51-'03_Base_Indice'!$H51))))))</f>
        <v/>
      </c>
      <c r="U51" s="31" t="str">
        <f>IF($D51="","",IF('04_Dados_Ajustados'!U51="","",IF('03_Base_Indice'!$G51="+",MIN('01_Criterios'!$C$10,MAX('01_Criterios'!$C$9,'01_Criterios'!$C$9+('01_Criterios'!$C$10-'01_Criterios'!$C$9)*('04_Dados_Ajustados'!U51-'03_Base_Indice'!$H51)/('03_Base_Indice'!$I51-'03_Base_Indice'!$H51))),MIN('01_Criterios'!$C$10,MAX('01_Criterios'!$C$9,'01_Criterios'!$C$9+('01_Criterios'!$C$10-'01_Criterios'!$C$9)*('03_Base_Indice'!$I51-'04_Dados_Ajustados'!U51)/('03_Base_Indice'!$I51-'03_Base_Indice'!$H51))))))</f>
        <v/>
      </c>
    </row>
    <row r="52" spans="1:21">
      <c r="A52" s="6" t="str">
        <f>IF('03_Base_Indice'!$A52="","",'03_Base_Indice'!$A52)</f>
        <v>5. Infraestruturas e Serviços</v>
      </c>
      <c r="B52" s="6">
        <f>'03_Base_Indice'!$B52</f>
        <v>8</v>
      </c>
      <c r="D52" s="6" t="str">
        <f>IF('03_Base_Indice'!$D52="","",'03_Base_Indice'!$D52)</f>
        <v/>
      </c>
      <c r="E52" s="6" t="str">
        <f>IF('03_Base_Indice'!$E52="","",'03_Base_Indice'!$E52)</f>
        <v/>
      </c>
      <c r="G52" s="20" t="str">
        <f>IF('03_Base_Indice'!$G52="","",'03_Base_Indice'!$G52)</f>
        <v/>
      </c>
      <c r="K52" s="31" t="str">
        <f>IF($D52="","",IF('04_Dados_Ajustados'!K52="","",IF('03_Base_Indice'!$G52="+",MIN('01_Criterios'!$C$10,MAX('01_Criterios'!$C$9,'01_Criterios'!$C$9+('01_Criterios'!$C$10-'01_Criterios'!$C$9)*('04_Dados_Ajustados'!K52-'03_Base_Indice'!$H52)/('03_Base_Indice'!$I52-'03_Base_Indice'!$H52))),MIN('01_Criterios'!$C$10,MAX('01_Criterios'!$C$9,'01_Criterios'!$C$9+('01_Criterios'!$C$10-'01_Criterios'!$C$9)*('03_Base_Indice'!$I52-'04_Dados_Ajustados'!K52)/('03_Base_Indice'!$I52-'03_Base_Indice'!$H52))))))</f>
        <v/>
      </c>
      <c r="L52" s="31" t="str">
        <f>IF($D52="","",IF('04_Dados_Ajustados'!L52="","",IF('03_Base_Indice'!$G52="+",MIN('01_Criterios'!$C$10,MAX('01_Criterios'!$C$9,'01_Criterios'!$C$9+('01_Criterios'!$C$10-'01_Criterios'!$C$9)*('04_Dados_Ajustados'!L52-'03_Base_Indice'!$H52)/('03_Base_Indice'!$I52-'03_Base_Indice'!$H52))),MIN('01_Criterios'!$C$10,MAX('01_Criterios'!$C$9,'01_Criterios'!$C$9+('01_Criterios'!$C$10-'01_Criterios'!$C$9)*('03_Base_Indice'!$I52-'04_Dados_Ajustados'!L52)/('03_Base_Indice'!$I52-'03_Base_Indice'!$H52))))))</f>
        <v/>
      </c>
      <c r="M52" s="31" t="str">
        <f>IF($D52="","",IF('04_Dados_Ajustados'!M52="","",IF('03_Base_Indice'!$G52="+",MIN('01_Criterios'!$C$10,MAX('01_Criterios'!$C$9,'01_Criterios'!$C$9+('01_Criterios'!$C$10-'01_Criterios'!$C$9)*('04_Dados_Ajustados'!M52-'03_Base_Indice'!$H52)/('03_Base_Indice'!$I52-'03_Base_Indice'!$H52))),MIN('01_Criterios'!$C$10,MAX('01_Criterios'!$C$9,'01_Criterios'!$C$9+('01_Criterios'!$C$10-'01_Criterios'!$C$9)*('03_Base_Indice'!$I52-'04_Dados_Ajustados'!M52)/('03_Base_Indice'!$I52-'03_Base_Indice'!$H52))))))</f>
        <v/>
      </c>
      <c r="N52" s="31" t="str">
        <f>IF($D52="","",IF('04_Dados_Ajustados'!N52="","",IF('03_Base_Indice'!$G52="+",MIN('01_Criterios'!$C$10,MAX('01_Criterios'!$C$9,'01_Criterios'!$C$9+('01_Criterios'!$C$10-'01_Criterios'!$C$9)*('04_Dados_Ajustados'!N52-'03_Base_Indice'!$H52)/('03_Base_Indice'!$I52-'03_Base_Indice'!$H52))),MIN('01_Criterios'!$C$10,MAX('01_Criterios'!$C$9,'01_Criterios'!$C$9+('01_Criterios'!$C$10-'01_Criterios'!$C$9)*('03_Base_Indice'!$I52-'04_Dados_Ajustados'!N52)/('03_Base_Indice'!$I52-'03_Base_Indice'!$H52))))))</f>
        <v/>
      </c>
      <c r="O52" s="31" t="str">
        <f>IF($D52="","",IF('04_Dados_Ajustados'!O52="","",IF('03_Base_Indice'!$G52="+",MIN('01_Criterios'!$C$10,MAX('01_Criterios'!$C$9,'01_Criterios'!$C$9+('01_Criterios'!$C$10-'01_Criterios'!$C$9)*('04_Dados_Ajustados'!O52-'03_Base_Indice'!$H52)/('03_Base_Indice'!$I52-'03_Base_Indice'!$H52))),MIN('01_Criterios'!$C$10,MAX('01_Criterios'!$C$9,'01_Criterios'!$C$9+('01_Criterios'!$C$10-'01_Criterios'!$C$9)*('03_Base_Indice'!$I52-'04_Dados_Ajustados'!O52)/('03_Base_Indice'!$I52-'03_Base_Indice'!$H52))))))</f>
        <v/>
      </c>
      <c r="P52" s="31" t="str">
        <f>IF($D52="","",IF('04_Dados_Ajustados'!P52="","",IF('03_Base_Indice'!$G52="+",MIN('01_Criterios'!$C$10,MAX('01_Criterios'!$C$9,'01_Criterios'!$C$9+('01_Criterios'!$C$10-'01_Criterios'!$C$9)*('04_Dados_Ajustados'!P52-'03_Base_Indice'!$H52)/('03_Base_Indice'!$I52-'03_Base_Indice'!$H52))),MIN('01_Criterios'!$C$10,MAX('01_Criterios'!$C$9,'01_Criterios'!$C$9+('01_Criterios'!$C$10-'01_Criterios'!$C$9)*('03_Base_Indice'!$I52-'04_Dados_Ajustados'!P52)/('03_Base_Indice'!$I52-'03_Base_Indice'!$H52))))))</f>
        <v/>
      </c>
      <c r="Q52" s="31" t="str">
        <f>IF($D52="","",IF('04_Dados_Ajustados'!Q52="","",IF('03_Base_Indice'!$G52="+",MIN('01_Criterios'!$C$10,MAX('01_Criterios'!$C$9,'01_Criterios'!$C$9+('01_Criterios'!$C$10-'01_Criterios'!$C$9)*('04_Dados_Ajustados'!Q52-'03_Base_Indice'!$H52)/('03_Base_Indice'!$I52-'03_Base_Indice'!$H52))),MIN('01_Criterios'!$C$10,MAX('01_Criterios'!$C$9,'01_Criterios'!$C$9+('01_Criterios'!$C$10-'01_Criterios'!$C$9)*('03_Base_Indice'!$I52-'04_Dados_Ajustados'!Q52)/('03_Base_Indice'!$I52-'03_Base_Indice'!$H52))))))</f>
        <v/>
      </c>
      <c r="R52" s="31" t="str">
        <f>IF($D52="","",IF('04_Dados_Ajustados'!R52="","",IF('03_Base_Indice'!$G52="+",MIN('01_Criterios'!$C$10,MAX('01_Criterios'!$C$9,'01_Criterios'!$C$9+('01_Criterios'!$C$10-'01_Criterios'!$C$9)*('04_Dados_Ajustados'!R52-'03_Base_Indice'!$H52)/('03_Base_Indice'!$I52-'03_Base_Indice'!$H52))),MIN('01_Criterios'!$C$10,MAX('01_Criterios'!$C$9,'01_Criterios'!$C$9+('01_Criterios'!$C$10-'01_Criterios'!$C$9)*('03_Base_Indice'!$I52-'04_Dados_Ajustados'!R52)/('03_Base_Indice'!$I52-'03_Base_Indice'!$H52))))))</f>
        <v/>
      </c>
      <c r="S52" s="31" t="str">
        <f>IF($D52="","",IF('04_Dados_Ajustados'!S52="","",IF('03_Base_Indice'!$G52="+",MIN('01_Criterios'!$C$10,MAX('01_Criterios'!$C$9,'01_Criterios'!$C$9+('01_Criterios'!$C$10-'01_Criterios'!$C$9)*('04_Dados_Ajustados'!S52-'03_Base_Indice'!$H52)/('03_Base_Indice'!$I52-'03_Base_Indice'!$H52))),MIN('01_Criterios'!$C$10,MAX('01_Criterios'!$C$9,'01_Criterios'!$C$9+('01_Criterios'!$C$10-'01_Criterios'!$C$9)*('03_Base_Indice'!$I52-'04_Dados_Ajustados'!S52)/('03_Base_Indice'!$I52-'03_Base_Indice'!$H52))))))</f>
        <v/>
      </c>
      <c r="T52" s="31" t="str">
        <f>IF($D52="","",IF('04_Dados_Ajustados'!T52="","",IF('03_Base_Indice'!$G52="+",MIN('01_Criterios'!$C$10,MAX('01_Criterios'!$C$9,'01_Criterios'!$C$9+('01_Criterios'!$C$10-'01_Criterios'!$C$9)*('04_Dados_Ajustados'!T52-'03_Base_Indice'!$H52)/('03_Base_Indice'!$I52-'03_Base_Indice'!$H52))),MIN('01_Criterios'!$C$10,MAX('01_Criterios'!$C$9,'01_Criterios'!$C$9+('01_Criterios'!$C$10-'01_Criterios'!$C$9)*('03_Base_Indice'!$I52-'04_Dados_Ajustados'!T52)/('03_Base_Indice'!$I52-'03_Base_Indice'!$H52))))))</f>
        <v/>
      </c>
      <c r="U52" s="31" t="str">
        <f>IF($D52="","",IF('04_Dados_Ajustados'!U52="","",IF('03_Base_Indice'!$G52="+",MIN('01_Criterios'!$C$10,MAX('01_Criterios'!$C$9,'01_Criterios'!$C$9+('01_Criterios'!$C$10-'01_Criterios'!$C$9)*('04_Dados_Ajustados'!U52-'03_Base_Indice'!$H52)/('03_Base_Indice'!$I52-'03_Base_Indice'!$H52))),MIN('01_Criterios'!$C$10,MAX('01_Criterios'!$C$9,'01_Criterios'!$C$9+('01_Criterios'!$C$10-'01_Criterios'!$C$9)*('03_Base_Indice'!$I52-'04_Dados_Ajustados'!U52)/('03_Base_Indice'!$I52-'03_Base_Indice'!$H52))))))</f>
        <v/>
      </c>
    </row>
    <row r="53" spans="1:21">
      <c r="A53" s="6" t="str">
        <f>IF('03_Base_Indice'!$A53="","",'03_Base_Indice'!$A53)</f>
        <v>5. Infraestruturas e Serviços</v>
      </c>
      <c r="B53" s="6">
        <f>'03_Base_Indice'!$B53</f>
        <v>9</v>
      </c>
      <c r="D53" s="6" t="str">
        <f>IF('03_Base_Indice'!$D53="","",'03_Base_Indice'!$D53)</f>
        <v/>
      </c>
      <c r="E53" s="6" t="str">
        <f>IF('03_Base_Indice'!$E53="","",'03_Base_Indice'!$E53)</f>
        <v/>
      </c>
      <c r="G53" s="20" t="str">
        <f>IF('03_Base_Indice'!$G53="","",'03_Base_Indice'!$G53)</f>
        <v/>
      </c>
      <c r="K53" s="31" t="str">
        <f>IF($D53="","",IF('04_Dados_Ajustados'!K53="","",IF('03_Base_Indice'!$G53="+",MIN('01_Criterios'!$C$10,MAX('01_Criterios'!$C$9,'01_Criterios'!$C$9+('01_Criterios'!$C$10-'01_Criterios'!$C$9)*('04_Dados_Ajustados'!K53-'03_Base_Indice'!$H53)/('03_Base_Indice'!$I53-'03_Base_Indice'!$H53))),MIN('01_Criterios'!$C$10,MAX('01_Criterios'!$C$9,'01_Criterios'!$C$9+('01_Criterios'!$C$10-'01_Criterios'!$C$9)*('03_Base_Indice'!$I53-'04_Dados_Ajustados'!K53)/('03_Base_Indice'!$I53-'03_Base_Indice'!$H53))))))</f>
        <v/>
      </c>
      <c r="L53" s="31" t="str">
        <f>IF($D53="","",IF('04_Dados_Ajustados'!L53="","",IF('03_Base_Indice'!$G53="+",MIN('01_Criterios'!$C$10,MAX('01_Criterios'!$C$9,'01_Criterios'!$C$9+('01_Criterios'!$C$10-'01_Criterios'!$C$9)*('04_Dados_Ajustados'!L53-'03_Base_Indice'!$H53)/('03_Base_Indice'!$I53-'03_Base_Indice'!$H53))),MIN('01_Criterios'!$C$10,MAX('01_Criterios'!$C$9,'01_Criterios'!$C$9+('01_Criterios'!$C$10-'01_Criterios'!$C$9)*('03_Base_Indice'!$I53-'04_Dados_Ajustados'!L53)/('03_Base_Indice'!$I53-'03_Base_Indice'!$H53))))))</f>
        <v/>
      </c>
      <c r="M53" s="31" t="str">
        <f>IF($D53="","",IF('04_Dados_Ajustados'!M53="","",IF('03_Base_Indice'!$G53="+",MIN('01_Criterios'!$C$10,MAX('01_Criterios'!$C$9,'01_Criterios'!$C$9+('01_Criterios'!$C$10-'01_Criterios'!$C$9)*('04_Dados_Ajustados'!M53-'03_Base_Indice'!$H53)/('03_Base_Indice'!$I53-'03_Base_Indice'!$H53))),MIN('01_Criterios'!$C$10,MAX('01_Criterios'!$C$9,'01_Criterios'!$C$9+('01_Criterios'!$C$10-'01_Criterios'!$C$9)*('03_Base_Indice'!$I53-'04_Dados_Ajustados'!M53)/('03_Base_Indice'!$I53-'03_Base_Indice'!$H53))))))</f>
        <v/>
      </c>
      <c r="N53" s="31" t="str">
        <f>IF($D53="","",IF('04_Dados_Ajustados'!N53="","",IF('03_Base_Indice'!$G53="+",MIN('01_Criterios'!$C$10,MAX('01_Criterios'!$C$9,'01_Criterios'!$C$9+('01_Criterios'!$C$10-'01_Criterios'!$C$9)*('04_Dados_Ajustados'!N53-'03_Base_Indice'!$H53)/('03_Base_Indice'!$I53-'03_Base_Indice'!$H53))),MIN('01_Criterios'!$C$10,MAX('01_Criterios'!$C$9,'01_Criterios'!$C$9+('01_Criterios'!$C$10-'01_Criterios'!$C$9)*('03_Base_Indice'!$I53-'04_Dados_Ajustados'!N53)/('03_Base_Indice'!$I53-'03_Base_Indice'!$H53))))))</f>
        <v/>
      </c>
      <c r="O53" s="31" t="str">
        <f>IF($D53="","",IF('04_Dados_Ajustados'!O53="","",IF('03_Base_Indice'!$G53="+",MIN('01_Criterios'!$C$10,MAX('01_Criterios'!$C$9,'01_Criterios'!$C$9+('01_Criterios'!$C$10-'01_Criterios'!$C$9)*('04_Dados_Ajustados'!O53-'03_Base_Indice'!$H53)/('03_Base_Indice'!$I53-'03_Base_Indice'!$H53))),MIN('01_Criterios'!$C$10,MAX('01_Criterios'!$C$9,'01_Criterios'!$C$9+('01_Criterios'!$C$10-'01_Criterios'!$C$9)*('03_Base_Indice'!$I53-'04_Dados_Ajustados'!O53)/('03_Base_Indice'!$I53-'03_Base_Indice'!$H53))))))</f>
        <v/>
      </c>
      <c r="P53" s="31" t="str">
        <f>IF($D53="","",IF('04_Dados_Ajustados'!P53="","",IF('03_Base_Indice'!$G53="+",MIN('01_Criterios'!$C$10,MAX('01_Criterios'!$C$9,'01_Criterios'!$C$9+('01_Criterios'!$C$10-'01_Criterios'!$C$9)*('04_Dados_Ajustados'!P53-'03_Base_Indice'!$H53)/('03_Base_Indice'!$I53-'03_Base_Indice'!$H53))),MIN('01_Criterios'!$C$10,MAX('01_Criterios'!$C$9,'01_Criterios'!$C$9+('01_Criterios'!$C$10-'01_Criterios'!$C$9)*('03_Base_Indice'!$I53-'04_Dados_Ajustados'!P53)/('03_Base_Indice'!$I53-'03_Base_Indice'!$H53))))))</f>
        <v/>
      </c>
      <c r="Q53" s="31" t="str">
        <f>IF($D53="","",IF('04_Dados_Ajustados'!Q53="","",IF('03_Base_Indice'!$G53="+",MIN('01_Criterios'!$C$10,MAX('01_Criterios'!$C$9,'01_Criterios'!$C$9+('01_Criterios'!$C$10-'01_Criterios'!$C$9)*('04_Dados_Ajustados'!Q53-'03_Base_Indice'!$H53)/('03_Base_Indice'!$I53-'03_Base_Indice'!$H53))),MIN('01_Criterios'!$C$10,MAX('01_Criterios'!$C$9,'01_Criterios'!$C$9+('01_Criterios'!$C$10-'01_Criterios'!$C$9)*('03_Base_Indice'!$I53-'04_Dados_Ajustados'!Q53)/('03_Base_Indice'!$I53-'03_Base_Indice'!$H53))))))</f>
        <v/>
      </c>
      <c r="R53" s="31" t="str">
        <f>IF($D53="","",IF('04_Dados_Ajustados'!R53="","",IF('03_Base_Indice'!$G53="+",MIN('01_Criterios'!$C$10,MAX('01_Criterios'!$C$9,'01_Criterios'!$C$9+('01_Criterios'!$C$10-'01_Criterios'!$C$9)*('04_Dados_Ajustados'!R53-'03_Base_Indice'!$H53)/('03_Base_Indice'!$I53-'03_Base_Indice'!$H53))),MIN('01_Criterios'!$C$10,MAX('01_Criterios'!$C$9,'01_Criterios'!$C$9+('01_Criterios'!$C$10-'01_Criterios'!$C$9)*('03_Base_Indice'!$I53-'04_Dados_Ajustados'!R53)/('03_Base_Indice'!$I53-'03_Base_Indice'!$H53))))))</f>
        <v/>
      </c>
      <c r="S53" s="31" t="str">
        <f>IF($D53="","",IF('04_Dados_Ajustados'!S53="","",IF('03_Base_Indice'!$G53="+",MIN('01_Criterios'!$C$10,MAX('01_Criterios'!$C$9,'01_Criterios'!$C$9+('01_Criterios'!$C$10-'01_Criterios'!$C$9)*('04_Dados_Ajustados'!S53-'03_Base_Indice'!$H53)/('03_Base_Indice'!$I53-'03_Base_Indice'!$H53))),MIN('01_Criterios'!$C$10,MAX('01_Criterios'!$C$9,'01_Criterios'!$C$9+('01_Criterios'!$C$10-'01_Criterios'!$C$9)*('03_Base_Indice'!$I53-'04_Dados_Ajustados'!S53)/('03_Base_Indice'!$I53-'03_Base_Indice'!$H53))))))</f>
        <v/>
      </c>
      <c r="T53" s="31" t="str">
        <f>IF($D53="","",IF('04_Dados_Ajustados'!T53="","",IF('03_Base_Indice'!$G53="+",MIN('01_Criterios'!$C$10,MAX('01_Criterios'!$C$9,'01_Criterios'!$C$9+('01_Criterios'!$C$10-'01_Criterios'!$C$9)*('04_Dados_Ajustados'!T53-'03_Base_Indice'!$H53)/('03_Base_Indice'!$I53-'03_Base_Indice'!$H53))),MIN('01_Criterios'!$C$10,MAX('01_Criterios'!$C$9,'01_Criterios'!$C$9+('01_Criterios'!$C$10-'01_Criterios'!$C$9)*('03_Base_Indice'!$I53-'04_Dados_Ajustados'!T53)/('03_Base_Indice'!$I53-'03_Base_Indice'!$H53))))))</f>
        <v/>
      </c>
      <c r="U53" s="31" t="str">
        <f>IF($D53="","",IF('04_Dados_Ajustados'!U53="","",IF('03_Base_Indice'!$G53="+",MIN('01_Criterios'!$C$10,MAX('01_Criterios'!$C$9,'01_Criterios'!$C$9+('01_Criterios'!$C$10-'01_Criterios'!$C$9)*('04_Dados_Ajustados'!U53-'03_Base_Indice'!$H53)/('03_Base_Indice'!$I53-'03_Base_Indice'!$H53))),MIN('01_Criterios'!$C$10,MAX('01_Criterios'!$C$9,'01_Criterios'!$C$9+('01_Criterios'!$C$10-'01_Criterios'!$C$9)*('03_Base_Indice'!$I53-'04_Dados_Ajustados'!U53)/('03_Base_Indice'!$I53-'03_Base_Indice'!$H53))))))</f>
        <v/>
      </c>
    </row>
    <row r="54" spans="1:21">
      <c r="A54" s="6" t="str">
        <f>IF('03_Base_Indice'!$A54="","",'03_Base_Indice'!$A54)</f>
        <v>5. Infraestruturas e Serviços</v>
      </c>
      <c r="B54" s="6">
        <f>'03_Base_Indice'!$B54</f>
        <v>10</v>
      </c>
      <c r="D54" s="6" t="str">
        <f>IF('03_Base_Indice'!$D54="","",'03_Base_Indice'!$D54)</f>
        <v/>
      </c>
      <c r="E54" s="6" t="str">
        <f>IF('03_Base_Indice'!$E54="","",'03_Base_Indice'!$E54)</f>
        <v/>
      </c>
      <c r="G54" s="20" t="str">
        <f>IF('03_Base_Indice'!$G54="","",'03_Base_Indice'!$G54)</f>
        <v/>
      </c>
      <c r="K54" s="31" t="str">
        <f>IF($D54="","",IF('04_Dados_Ajustados'!K54="","",IF('03_Base_Indice'!$G54="+",MIN('01_Criterios'!$C$10,MAX('01_Criterios'!$C$9,'01_Criterios'!$C$9+('01_Criterios'!$C$10-'01_Criterios'!$C$9)*('04_Dados_Ajustados'!K54-'03_Base_Indice'!$H54)/('03_Base_Indice'!$I54-'03_Base_Indice'!$H54))),MIN('01_Criterios'!$C$10,MAX('01_Criterios'!$C$9,'01_Criterios'!$C$9+('01_Criterios'!$C$10-'01_Criterios'!$C$9)*('03_Base_Indice'!$I54-'04_Dados_Ajustados'!K54)/('03_Base_Indice'!$I54-'03_Base_Indice'!$H54))))))</f>
        <v/>
      </c>
      <c r="L54" s="31" t="str">
        <f>IF($D54="","",IF('04_Dados_Ajustados'!L54="","",IF('03_Base_Indice'!$G54="+",MIN('01_Criterios'!$C$10,MAX('01_Criterios'!$C$9,'01_Criterios'!$C$9+('01_Criterios'!$C$10-'01_Criterios'!$C$9)*('04_Dados_Ajustados'!L54-'03_Base_Indice'!$H54)/('03_Base_Indice'!$I54-'03_Base_Indice'!$H54))),MIN('01_Criterios'!$C$10,MAX('01_Criterios'!$C$9,'01_Criterios'!$C$9+('01_Criterios'!$C$10-'01_Criterios'!$C$9)*('03_Base_Indice'!$I54-'04_Dados_Ajustados'!L54)/('03_Base_Indice'!$I54-'03_Base_Indice'!$H54))))))</f>
        <v/>
      </c>
      <c r="M54" s="31" t="str">
        <f>IF($D54="","",IF('04_Dados_Ajustados'!M54="","",IF('03_Base_Indice'!$G54="+",MIN('01_Criterios'!$C$10,MAX('01_Criterios'!$C$9,'01_Criterios'!$C$9+('01_Criterios'!$C$10-'01_Criterios'!$C$9)*('04_Dados_Ajustados'!M54-'03_Base_Indice'!$H54)/('03_Base_Indice'!$I54-'03_Base_Indice'!$H54))),MIN('01_Criterios'!$C$10,MAX('01_Criterios'!$C$9,'01_Criterios'!$C$9+('01_Criterios'!$C$10-'01_Criterios'!$C$9)*('03_Base_Indice'!$I54-'04_Dados_Ajustados'!M54)/('03_Base_Indice'!$I54-'03_Base_Indice'!$H54))))))</f>
        <v/>
      </c>
      <c r="N54" s="31" t="str">
        <f>IF($D54="","",IF('04_Dados_Ajustados'!N54="","",IF('03_Base_Indice'!$G54="+",MIN('01_Criterios'!$C$10,MAX('01_Criterios'!$C$9,'01_Criterios'!$C$9+('01_Criterios'!$C$10-'01_Criterios'!$C$9)*('04_Dados_Ajustados'!N54-'03_Base_Indice'!$H54)/('03_Base_Indice'!$I54-'03_Base_Indice'!$H54))),MIN('01_Criterios'!$C$10,MAX('01_Criterios'!$C$9,'01_Criterios'!$C$9+('01_Criterios'!$C$10-'01_Criterios'!$C$9)*('03_Base_Indice'!$I54-'04_Dados_Ajustados'!N54)/('03_Base_Indice'!$I54-'03_Base_Indice'!$H54))))))</f>
        <v/>
      </c>
      <c r="O54" s="31" t="str">
        <f>IF($D54="","",IF('04_Dados_Ajustados'!O54="","",IF('03_Base_Indice'!$G54="+",MIN('01_Criterios'!$C$10,MAX('01_Criterios'!$C$9,'01_Criterios'!$C$9+('01_Criterios'!$C$10-'01_Criterios'!$C$9)*('04_Dados_Ajustados'!O54-'03_Base_Indice'!$H54)/('03_Base_Indice'!$I54-'03_Base_Indice'!$H54))),MIN('01_Criterios'!$C$10,MAX('01_Criterios'!$C$9,'01_Criterios'!$C$9+('01_Criterios'!$C$10-'01_Criterios'!$C$9)*('03_Base_Indice'!$I54-'04_Dados_Ajustados'!O54)/('03_Base_Indice'!$I54-'03_Base_Indice'!$H54))))))</f>
        <v/>
      </c>
      <c r="P54" s="31" t="str">
        <f>IF($D54="","",IF('04_Dados_Ajustados'!P54="","",IF('03_Base_Indice'!$G54="+",MIN('01_Criterios'!$C$10,MAX('01_Criterios'!$C$9,'01_Criterios'!$C$9+('01_Criterios'!$C$10-'01_Criterios'!$C$9)*('04_Dados_Ajustados'!P54-'03_Base_Indice'!$H54)/('03_Base_Indice'!$I54-'03_Base_Indice'!$H54))),MIN('01_Criterios'!$C$10,MAX('01_Criterios'!$C$9,'01_Criterios'!$C$9+('01_Criterios'!$C$10-'01_Criterios'!$C$9)*('03_Base_Indice'!$I54-'04_Dados_Ajustados'!P54)/('03_Base_Indice'!$I54-'03_Base_Indice'!$H54))))))</f>
        <v/>
      </c>
      <c r="Q54" s="31" t="str">
        <f>IF($D54="","",IF('04_Dados_Ajustados'!Q54="","",IF('03_Base_Indice'!$G54="+",MIN('01_Criterios'!$C$10,MAX('01_Criterios'!$C$9,'01_Criterios'!$C$9+('01_Criterios'!$C$10-'01_Criterios'!$C$9)*('04_Dados_Ajustados'!Q54-'03_Base_Indice'!$H54)/('03_Base_Indice'!$I54-'03_Base_Indice'!$H54))),MIN('01_Criterios'!$C$10,MAX('01_Criterios'!$C$9,'01_Criterios'!$C$9+('01_Criterios'!$C$10-'01_Criterios'!$C$9)*('03_Base_Indice'!$I54-'04_Dados_Ajustados'!Q54)/('03_Base_Indice'!$I54-'03_Base_Indice'!$H54))))))</f>
        <v/>
      </c>
      <c r="R54" s="31" t="str">
        <f>IF($D54="","",IF('04_Dados_Ajustados'!R54="","",IF('03_Base_Indice'!$G54="+",MIN('01_Criterios'!$C$10,MAX('01_Criterios'!$C$9,'01_Criterios'!$C$9+('01_Criterios'!$C$10-'01_Criterios'!$C$9)*('04_Dados_Ajustados'!R54-'03_Base_Indice'!$H54)/('03_Base_Indice'!$I54-'03_Base_Indice'!$H54))),MIN('01_Criterios'!$C$10,MAX('01_Criterios'!$C$9,'01_Criterios'!$C$9+('01_Criterios'!$C$10-'01_Criterios'!$C$9)*('03_Base_Indice'!$I54-'04_Dados_Ajustados'!R54)/('03_Base_Indice'!$I54-'03_Base_Indice'!$H54))))))</f>
        <v/>
      </c>
      <c r="S54" s="31" t="str">
        <f>IF($D54="","",IF('04_Dados_Ajustados'!S54="","",IF('03_Base_Indice'!$G54="+",MIN('01_Criterios'!$C$10,MAX('01_Criterios'!$C$9,'01_Criterios'!$C$9+('01_Criterios'!$C$10-'01_Criterios'!$C$9)*('04_Dados_Ajustados'!S54-'03_Base_Indice'!$H54)/('03_Base_Indice'!$I54-'03_Base_Indice'!$H54))),MIN('01_Criterios'!$C$10,MAX('01_Criterios'!$C$9,'01_Criterios'!$C$9+('01_Criterios'!$C$10-'01_Criterios'!$C$9)*('03_Base_Indice'!$I54-'04_Dados_Ajustados'!S54)/('03_Base_Indice'!$I54-'03_Base_Indice'!$H54))))))</f>
        <v/>
      </c>
      <c r="T54" s="31" t="str">
        <f>IF($D54="","",IF('04_Dados_Ajustados'!T54="","",IF('03_Base_Indice'!$G54="+",MIN('01_Criterios'!$C$10,MAX('01_Criterios'!$C$9,'01_Criterios'!$C$9+('01_Criterios'!$C$10-'01_Criterios'!$C$9)*('04_Dados_Ajustados'!T54-'03_Base_Indice'!$H54)/('03_Base_Indice'!$I54-'03_Base_Indice'!$H54))),MIN('01_Criterios'!$C$10,MAX('01_Criterios'!$C$9,'01_Criterios'!$C$9+('01_Criterios'!$C$10-'01_Criterios'!$C$9)*('03_Base_Indice'!$I54-'04_Dados_Ajustados'!T54)/('03_Base_Indice'!$I54-'03_Base_Indice'!$H54))))))</f>
        <v/>
      </c>
      <c r="U54" s="31" t="str">
        <f>IF($D54="","",IF('04_Dados_Ajustados'!U54="","",IF('03_Base_Indice'!$G54="+",MIN('01_Criterios'!$C$10,MAX('01_Criterios'!$C$9,'01_Criterios'!$C$9+('01_Criterios'!$C$10-'01_Criterios'!$C$9)*('04_Dados_Ajustados'!U54-'03_Base_Indice'!$H54)/('03_Base_Indice'!$I54-'03_Base_Indice'!$H54))),MIN('01_Criterios'!$C$10,MAX('01_Criterios'!$C$9,'01_Criterios'!$C$9+('01_Criterios'!$C$10-'01_Criterios'!$C$9)*('03_Base_Indice'!$I54-'04_Dados_Ajustados'!U54)/('03_Base_Indice'!$I54-'03_Base_Indice'!$H54))))))</f>
        <v/>
      </c>
    </row>
    <row r="55" spans="1:21">
      <c r="A55" s="6" t="str">
        <f>IF('03_Base_Indice'!$A55="","",'03_Base_Indice'!$A55)</f>
        <v>6. Mercado de Trabalho</v>
      </c>
      <c r="B55" s="6">
        <f>'03_Base_Indice'!$B55</f>
        <v>1</v>
      </c>
      <c r="D55" s="6" t="str">
        <f>IF('03_Base_Indice'!$D55="","",'03_Base_Indice'!$D55)</f>
        <v>LAB001</v>
      </c>
      <c r="E55" s="6" t="str">
        <f>IF('03_Base_Indice'!$E55="","",'03_Base_Indice'!$E55)</f>
        <v>Taxa de Emprego</v>
      </c>
      <c r="G55" s="20" t="str">
        <f>IF('03_Base_Indice'!$G55="","",'03_Base_Indice'!$G55)</f>
        <v>+</v>
      </c>
      <c r="K55" s="31">
        <f>IF($D55="","",IF('04_Dados_Ajustados'!K55="","",IF('03_Base_Indice'!$G55="+",MIN('01_Criterios'!$C$10,MAX('01_Criterios'!$C$9,'01_Criterios'!$C$9+('01_Criterios'!$C$10-'01_Criterios'!$C$9)*('04_Dados_Ajustados'!K55-'03_Base_Indice'!$H55)/('03_Base_Indice'!$I55-'03_Base_Indice'!$H55))),MIN('01_Criterios'!$C$10,MAX('01_Criterios'!$C$9,'01_Criterios'!$C$9+('01_Criterios'!$C$10-'01_Criterios'!$C$9)*('03_Base_Indice'!$I55-'04_Dados_Ajustados'!K55)/('03_Base_Indice'!$I55-'03_Base_Indice'!$H55))))))</f>
        <v>63.638000000000005</v>
      </c>
      <c r="L55" s="31">
        <f>IF($D55="","",IF('04_Dados_Ajustados'!L55="","",IF('03_Base_Indice'!$G55="+",MIN('01_Criterios'!$C$10,MAX('01_Criterios'!$C$9,'01_Criterios'!$C$9+('01_Criterios'!$C$10-'01_Criterios'!$C$9)*('04_Dados_Ajustados'!L55-'03_Base_Indice'!$H55)/('03_Base_Indice'!$I55-'03_Base_Indice'!$H55))),MIN('01_Criterios'!$C$10,MAX('01_Criterios'!$C$9,'01_Criterios'!$C$9+('01_Criterios'!$C$10-'01_Criterios'!$C$9)*('03_Base_Indice'!$I55-'04_Dados_Ajustados'!L55)/('03_Base_Indice'!$I55-'03_Base_Indice'!$H55))))))</f>
        <v>63.320999999999998</v>
      </c>
      <c r="M55" s="31">
        <f>IF($D55="","",IF('04_Dados_Ajustados'!M55="","",IF('03_Base_Indice'!$G55="+",MIN('01_Criterios'!$C$10,MAX('01_Criterios'!$C$9,'01_Criterios'!$C$9+('01_Criterios'!$C$10-'01_Criterios'!$C$9)*('04_Dados_Ajustados'!M55-'03_Base_Indice'!$H55)/('03_Base_Indice'!$I55-'03_Base_Indice'!$H55))),MIN('01_Criterios'!$C$10,MAX('01_Criterios'!$C$9,'01_Criterios'!$C$9+('01_Criterios'!$C$10-'01_Criterios'!$C$9)*('03_Base_Indice'!$I55-'04_Dados_Ajustados'!M55)/('03_Base_Indice'!$I55-'03_Base_Indice'!$H55))))))</f>
        <v>63.045000000000002</v>
      </c>
      <c r="N55" s="31">
        <f>IF($D55="","",IF('04_Dados_Ajustados'!N55="","",IF('03_Base_Indice'!$G55="+",MIN('01_Criterios'!$C$10,MAX('01_Criterios'!$C$9,'01_Criterios'!$C$9+('01_Criterios'!$C$10-'01_Criterios'!$C$9)*('04_Dados_Ajustados'!N55-'03_Base_Indice'!$H55)/('03_Base_Indice'!$I55-'03_Base_Indice'!$H55))),MIN('01_Criterios'!$C$10,MAX('01_Criterios'!$C$9,'01_Criterios'!$C$9+('01_Criterios'!$C$10-'01_Criterios'!$C$9)*('03_Base_Indice'!$I55-'04_Dados_Ajustados'!N55)/('03_Base_Indice'!$I55-'03_Base_Indice'!$H55))))))</f>
        <v>62.811999999999998</v>
      </c>
      <c r="O55" s="31">
        <f>IF($D55="","",IF('04_Dados_Ajustados'!O55="","",IF('03_Base_Indice'!$G55="+",MIN('01_Criterios'!$C$10,MAX('01_Criterios'!$C$9,'01_Criterios'!$C$9+('01_Criterios'!$C$10-'01_Criterios'!$C$9)*('04_Dados_Ajustados'!O55-'03_Base_Indice'!$H55)/('03_Base_Indice'!$I55-'03_Base_Indice'!$H55))),MIN('01_Criterios'!$C$10,MAX('01_Criterios'!$C$9,'01_Criterios'!$C$9+('01_Criterios'!$C$10-'01_Criterios'!$C$9)*('03_Base_Indice'!$I55-'04_Dados_Ajustados'!O55)/('03_Base_Indice'!$I55-'03_Base_Indice'!$H55))))))</f>
        <v>62.643999999999998</v>
      </c>
      <c r="P55" s="31">
        <f>IF($D55="","",IF('04_Dados_Ajustados'!P55="","",IF('03_Base_Indice'!$G55="+",MIN('01_Criterios'!$C$10,MAX('01_Criterios'!$C$9,'01_Criterios'!$C$9+('01_Criterios'!$C$10-'01_Criterios'!$C$9)*('04_Dados_Ajustados'!P55-'03_Base_Indice'!$H55)/('03_Base_Indice'!$I55-'03_Base_Indice'!$H55))),MIN('01_Criterios'!$C$10,MAX('01_Criterios'!$C$9,'01_Criterios'!$C$9+('01_Criterios'!$C$10-'01_Criterios'!$C$9)*('03_Base_Indice'!$I55-'04_Dados_Ajustados'!P55)/('03_Base_Indice'!$I55-'03_Base_Indice'!$H55))))))</f>
        <v>61.078000000000003</v>
      </c>
      <c r="Q55" s="31">
        <f>IF($D55="","",IF('04_Dados_Ajustados'!Q55="","",IF('03_Base_Indice'!$G55="+",MIN('01_Criterios'!$C$10,MAX('01_Criterios'!$C$9,'01_Criterios'!$C$9+('01_Criterios'!$C$10-'01_Criterios'!$C$9)*('04_Dados_Ajustados'!Q55-'03_Base_Indice'!$H55)/('03_Base_Indice'!$I55-'03_Base_Indice'!$H55))),MIN('01_Criterios'!$C$10,MAX('01_Criterios'!$C$9,'01_Criterios'!$C$9+('01_Criterios'!$C$10-'01_Criterios'!$C$9)*('03_Base_Indice'!$I55-'04_Dados_Ajustados'!Q55)/('03_Base_Indice'!$I55-'03_Base_Indice'!$H55))))))</f>
        <v>64.305999999999997</v>
      </c>
      <c r="R55" s="31">
        <f>IF($D55="","",IF('04_Dados_Ajustados'!R55="","",IF('03_Base_Indice'!$G55="+",MIN('01_Criterios'!$C$10,MAX('01_Criterios'!$C$9,'01_Criterios'!$C$9+('01_Criterios'!$C$10-'01_Criterios'!$C$9)*('04_Dados_Ajustados'!R55-'03_Base_Indice'!$H55)/('03_Base_Indice'!$I55-'03_Base_Indice'!$H55))),MIN('01_Criterios'!$C$10,MAX('01_Criterios'!$C$9,'01_Criterios'!$C$9+('01_Criterios'!$C$10-'01_Criterios'!$C$9)*('03_Base_Indice'!$I55-'04_Dados_Ajustados'!R55)/('03_Base_Indice'!$I55-'03_Base_Indice'!$H55))))))</f>
        <v>64.619</v>
      </c>
      <c r="S55" s="31">
        <f>IF($D55="","",IF('04_Dados_Ajustados'!S55="","",IF('03_Base_Indice'!$G55="+",MIN('01_Criterios'!$C$10,MAX('01_Criterios'!$C$9,'01_Criterios'!$C$9+('01_Criterios'!$C$10-'01_Criterios'!$C$9)*('04_Dados_Ajustados'!S55-'03_Base_Indice'!$H55)/('03_Base_Indice'!$I55-'03_Base_Indice'!$H55))),MIN('01_Criterios'!$C$10,MAX('01_Criterios'!$C$9,'01_Criterios'!$C$9+('01_Criterios'!$C$10-'01_Criterios'!$C$9)*('03_Base_Indice'!$I55-'04_Dados_Ajustados'!S55)/('03_Base_Indice'!$I55-'03_Base_Indice'!$H55))))))</f>
        <v>64.369</v>
      </c>
      <c r="T55" s="31">
        <f>IF($D55="","",IF('04_Dados_Ajustados'!T55="","",IF('03_Base_Indice'!$G55="+",MIN('01_Criterios'!$C$10,MAX('01_Criterios'!$C$9,'01_Criterios'!$C$9+('01_Criterios'!$C$10-'01_Criterios'!$C$9)*('04_Dados_Ajustados'!T55-'03_Base_Indice'!$H55)/('03_Base_Indice'!$I55-'03_Base_Indice'!$H55))),MIN('01_Criterios'!$C$10,MAX('01_Criterios'!$C$9,'01_Criterios'!$C$9+('01_Criterios'!$C$10-'01_Criterios'!$C$9)*('03_Base_Indice'!$I55-'04_Dados_Ajustados'!T55)/('03_Base_Indice'!$I55-'03_Base_Indice'!$H55))))))</f>
        <v>64.382999999999996</v>
      </c>
      <c r="U55" s="31">
        <f>IF($D55="","",IF('04_Dados_Ajustados'!U55="","",IF('03_Base_Indice'!$G55="+",MIN('01_Criterios'!$C$10,MAX('01_Criterios'!$C$9,'01_Criterios'!$C$9+('01_Criterios'!$C$10-'01_Criterios'!$C$9)*('04_Dados_Ajustados'!U55-'03_Base_Indice'!$H55)/('03_Base_Indice'!$I55-'03_Base_Indice'!$H55))),MIN('01_Criterios'!$C$10,MAX('01_Criterios'!$C$9,'01_Criterios'!$C$9+('01_Criterios'!$C$10-'01_Criterios'!$C$9)*('03_Base_Indice'!$I55-'04_Dados_Ajustados'!U55)/('03_Base_Indice'!$I55-'03_Base_Indice'!$H55))))))</f>
        <v>64.236000000000004</v>
      </c>
    </row>
    <row r="56" spans="1:21">
      <c r="A56" s="6" t="str">
        <f>IF('03_Base_Indice'!$A56="","",'03_Base_Indice'!$A56)</f>
        <v>6. Mercado de Trabalho</v>
      </c>
      <c r="B56" s="6">
        <f>'03_Base_Indice'!$B56</f>
        <v>2</v>
      </c>
      <c r="D56" s="6" t="str">
        <f>IF('03_Base_Indice'!$D56="","",'03_Base_Indice'!$D56)</f>
        <v>LAB002</v>
      </c>
      <c r="E56" s="6" t="str">
        <f>IF('03_Base_Indice'!$E56="","",'03_Base_Indice'!$E56)</f>
        <v>Taxa de Desemprego</v>
      </c>
      <c r="G56" s="20" t="str">
        <f>IF('03_Base_Indice'!$G56="","",'03_Base_Indice'!$G56)</f>
        <v>-</v>
      </c>
      <c r="K56" s="31">
        <f>IF($D56="","",IF('04_Dados_Ajustados'!K56="","",IF('03_Base_Indice'!$G56="+",MIN('01_Criterios'!$C$10,MAX('01_Criterios'!$C$9,'01_Criterios'!$C$9+('01_Criterios'!$C$10-'01_Criterios'!$C$9)*('04_Dados_Ajustados'!K56-'03_Base_Indice'!$H56)/('03_Base_Indice'!$I56-'03_Base_Indice'!$H56))),MIN('01_Criterios'!$C$10,MAX('01_Criterios'!$C$9,'01_Criterios'!$C$9+('01_Criterios'!$C$10-'01_Criterios'!$C$9)*('03_Base_Indice'!$I56-'04_Dados_Ajustados'!K56)/('03_Base_Indice'!$I56-'03_Base_Indice'!$H56))))))</f>
        <v>67.055999999999997</v>
      </c>
      <c r="L56" s="31">
        <f>IF($D56="","",IF('04_Dados_Ajustados'!L56="","",IF('03_Base_Indice'!$G56="+",MIN('01_Criterios'!$C$10,MAX('01_Criterios'!$C$9,'01_Criterios'!$C$9+('01_Criterios'!$C$10-'01_Criterios'!$C$9)*('04_Dados_Ajustados'!L56-'03_Base_Indice'!$H56)/('03_Base_Indice'!$I56-'03_Base_Indice'!$H56))),MIN('01_Criterios'!$C$10,MAX('01_Criterios'!$C$9,'01_Criterios'!$C$9+('01_Criterios'!$C$10-'01_Criterios'!$C$9)*('03_Base_Indice'!$I56-'04_Dados_Ajustados'!L56)/('03_Base_Indice'!$I56-'03_Base_Indice'!$H56))))))</f>
        <v>66.855999999999995</v>
      </c>
      <c r="M56" s="31">
        <f>IF($D56="","",IF('04_Dados_Ajustados'!M56="","",IF('03_Base_Indice'!$G56="+",MIN('01_Criterios'!$C$10,MAX('01_Criterios'!$C$9,'01_Criterios'!$C$9+('01_Criterios'!$C$10-'01_Criterios'!$C$9)*('04_Dados_Ajustados'!M56-'03_Base_Indice'!$H56)/('03_Base_Indice'!$I56-'03_Base_Indice'!$H56))),MIN('01_Criterios'!$C$10,MAX('01_Criterios'!$C$9,'01_Criterios'!$C$9+('01_Criterios'!$C$10-'01_Criterios'!$C$9)*('03_Base_Indice'!$I56-'04_Dados_Ajustados'!M56)/('03_Base_Indice'!$I56-'03_Base_Indice'!$H56))))))</f>
        <v>66.765999999999991</v>
      </c>
      <c r="N56" s="31">
        <f>IF($D56="","",IF('04_Dados_Ajustados'!N56="","",IF('03_Base_Indice'!$G56="+",MIN('01_Criterios'!$C$10,MAX('01_Criterios'!$C$9,'01_Criterios'!$C$9+('01_Criterios'!$C$10-'01_Criterios'!$C$9)*('04_Dados_Ajustados'!N56-'03_Base_Indice'!$H56)/('03_Base_Indice'!$I56-'03_Base_Indice'!$H56))),MIN('01_Criterios'!$C$10,MAX('01_Criterios'!$C$9,'01_Criterios'!$C$9+('01_Criterios'!$C$10-'01_Criterios'!$C$9)*('03_Base_Indice'!$I56-'04_Dados_Ajustados'!N56)/('03_Base_Indice'!$I56-'03_Base_Indice'!$H56))))))</f>
        <v>66.795999999999992</v>
      </c>
      <c r="O56" s="31">
        <f>IF($D56="","",IF('04_Dados_Ajustados'!O56="","",IF('03_Base_Indice'!$G56="+",MIN('01_Criterios'!$C$10,MAX('01_Criterios'!$C$9,'01_Criterios'!$C$9+('01_Criterios'!$C$10-'01_Criterios'!$C$9)*('04_Dados_Ajustados'!O56-'03_Base_Indice'!$H56)/('03_Base_Indice'!$I56-'03_Base_Indice'!$H56))),MIN('01_Criterios'!$C$10,MAX('01_Criterios'!$C$9,'01_Criterios'!$C$9+('01_Criterios'!$C$10-'01_Criterios'!$C$9)*('03_Base_Indice'!$I56-'04_Dados_Ajustados'!O56)/('03_Base_Indice'!$I56-'03_Base_Indice'!$H56))))))</f>
        <v>67.006</v>
      </c>
      <c r="P56" s="31">
        <f>IF($D56="","",IF('04_Dados_Ajustados'!P56="","",IF('03_Base_Indice'!$G56="+",MIN('01_Criterios'!$C$10,MAX('01_Criterios'!$C$9,'01_Criterios'!$C$9+('01_Criterios'!$C$10-'01_Criterios'!$C$9)*('04_Dados_Ajustados'!P56-'03_Base_Indice'!$H56)/('03_Base_Indice'!$I56-'03_Base_Indice'!$H56))),MIN('01_Criterios'!$C$10,MAX('01_Criterios'!$C$9,'01_Criterios'!$C$9+('01_Criterios'!$C$10-'01_Criterios'!$C$9)*('03_Base_Indice'!$I56-'04_Dados_Ajustados'!P56)/('03_Base_Indice'!$I56-'03_Base_Indice'!$H56))))))</f>
        <v>66.608000000000004</v>
      </c>
      <c r="Q56" s="31">
        <f>IF($D56="","",IF('04_Dados_Ajustados'!Q56="","",IF('03_Base_Indice'!$G56="+",MIN('01_Criterios'!$C$10,MAX('01_Criterios'!$C$9,'01_Criterios'!$C$9+('01_Criterios'!$C$10-'01_Criterios'!$C$9)*('04_Dados_Ajustados'!Q56-'03_Base_Indice'!$H56)/('03_Base_Indice'!$I56-'03_Base_Indice'!$H56))),MIN('01_Criterios'!$C$10,MAX('01_Criterios'!$C$9,'01_Criterios'!$C$9+('01_Criterios'!$C$10-'01_Criterios'!$C$9)*('03_Base_Indice'!$I56-'04_Dados_Ajustados'!Q56)/('03_Base_Indice'!$I56-'03_Base_Indice'!$H56))))))</f>
        <v>68.402000000000001</v>
      </c>
      <c r="R56" s="31">
        <f>IF($D56="","",IF('04_Dados_Ajustados'!R56="","",IF('03_Base_Indice'!$G56="+",MIN('01_Criterios'!$C$10,MAX('01_Criterios'!$C$9,'01_Criterios'!$C$9+('01_Criterios'!$C$10-'01_Criterios'!$C$9)*('04_Dados_Ajustados'!R56-'03_Base_Indice'!$H56)/('03_Base_Indice'!$I56-'03_Base_Indice'!$H56))),MIN('01_Criterios'!$C$10,MAX('01_Criterios'!$C$9,'01_Criterios'!$C$9+('01_Criterios'!$C$10-'01_Criterios'!$C$9)*('03_Base_Indice'!$I56-'04_Dados_Ajustados'!R56)/('03_Base_Indice'!$I56-'03_Base_Indice'!$H56))))))</f>
        <v>71.751999999999995</v>
      </c>
      <c r="S56" s="31">
        <f>IF($D56="","",IF('04_Dados_Ajustados'!S56="","",IF('03_Base_Indice'!$G56="+",MIN('01_Criterios'!$C$10,MAX('01_Criterios'!$C$9,'01_Criterios'!$C$9+('01_Criterios'!$C$10-'01_Criterios'!$C$9)*('04_Dados_Ajustados'!S56-'03_Base_Indice'!$H56)/('03_Base_Indice'!$I56-'03_Base_Indice'!$H56))),MIN('01_Criterios'!$C$10,MAX('01_Criterios'!$C$9,'01_Criterios'!$C$9+('01_Criterios'!$C$10-'01_Criterios'!$C$9)*('03_Base_Indice'!$I56-'04_Dados_Ajustados'!S56)/('03_Base_Indice'!$I56-'03_Base_Indice'!$H56))))))</f>
        <v>71.897999999999996</v>
      </c>
      <c r="T56" s="31">
        <f>IF($D56="","",IF('04_Dados_Ajustados'!T56="","",IF('03_Base_Indice'!$G56="+",MIN('01_Criterios'!$C$10,MAX('01_Criterios'!$C$9,'01_Criterios'!$C$9+('01_Criterios'!$C$10-'01_Criterios'!$C$9)*('04_Dados_Ajustados'!T56-'03_Base_Indice'!$H56)/('03_Base_Indice'!$I56-'03_Base_Indice'!$H56))),MIN('01_Criterios'!$C$10,MAX('01_Criterios'!$C$9,'01_Criterios'!$C$9+('01_Criterios'!$C$10-'01_Criterios'!$C$9)*('03_Base_Indice'!$I56-'04_Dados_Ajustados'!T56)/('03_Base_Indice'!$I56-'03_Base_Indice'!$H56))))))</f>
        <v>71.960000000000008</v>
      </c>
      <c r="U56" s="31">
        <f>IF($D56="","",IF('04_Dados_Ajustados'!U56="","",IF('03_Base_Indice'!$G56="+",MIN('01_Criterios'!$C$10,MAX('01_Criterios'!$C$9,'01_Criterios'!$C$9+('01_Criterios'!$C$10-'01_Criterios'!$C$9)*('04_Dados_Ajustados'!U56-'03_Base_Indice'!$H56)/('03_Base_Indice'!$I56-'03_Base_Indice'!$H56))),MIN('01_Criterios'!$C$10,MAX('01_Criterios'!$C$9,'01_Criterios'!$C$9+('01_Criterios'!$C$10-'01_Criterios'!$C$9)*('03_Base_Indice'!$I56-'04_Dados_Ajustados'!U56)/('03_Base_Indice'!$I56-'03_Base_Indice'!$H56))))))</f>
        <v>71.783999999999992</v>
      </c>
    </row>
    <row r="57" spans="1:21">
      <c r="A57" s="6" t="str">
        <f>IF('03_Base_Indice'!$A57="","",'03_Base_Indice'!$A57)</f>
        <v>6. Mercado de Trabalho</v>
      </c>
      <c r="B57" s="6">
        <f>'03_Base_Indice'!$B57</f>
        <v>3</v>
      </c>
      <c r="D57" s="6" t="str">
        <f>IF('03_Base_Indice'!$D57="","",'03_Base_Indice'!$D57)</f>
        <v>LAB003</v>
      </c>
      <c r="E57" s="6" t="str">
        <f>IF('03_Base_Indice'!$E57="","",'03_Base_Indice'!$E57)</f>
        <v>Desemprego Juvenil (15-25)</v>
      </c>
      <c r="G57" s="20" t="str">
        <f>IF('03_Base_Indice'!$G57="","",'03_Base_Indice'!$G57)</f>
        <v>-</v>
      </c>
      <c r="K57" s="31">
        <f>IF($D57="","",IF('04_Dados_Ajustados'!K57="","",IF('03_Base_Indice'!$G57="+",MIN('01_Criterios'!$C$10,MAX('01_Criterios'!$C$9,'01_Criterios'!$C$9+('01_Criterios'!$C$10-'01_Criterios'!$C$9)*('04_Dados_Ajustados'!K57-'03_Base_Indice'!$H57)/('03_Base_Indice'!$I57-'03_Base_Indice'!$H57))),MIN('01_Criterios'!$C$10,MAX('01_Criterios'!$C$9,'01_Criterios'!$C$9+('01_Criterios'!$C$10-'01_Criterios'!$C$9)*('03_Base_Indice'!$I57-'04_Dados_Ajustados'!K57)/('03_Base_Indice'!$I57-'03_Base_Indice'!$H57))))))</f>
        <v>36.11249999999999</v>
      </c>
      <c r="L57" s="31">
        <f>IF($D57="","",IF('04_Dados_Ajustados'!L57="","",IF('03_Base_Indice'!$G57="+",MIN('01_Criterios'!$C$10,MAX('01_Criterios'!$C$9,'01_Criterios'!$C$9+('01_Criterios'!$C$10-'01_Criterios'!$C$9)*('04_Dados_Ajustados'!L57-'03_Base_Indice'!$H57)/('03_Base_Indice'!$I57-'03_Base_Indice'!$H57))),MIN('01_Criterios'!$C$10,MAX('01_Criterios'!$C$9,'01_Criterios'!$C$9+('01_Criterios'!$C$10-'01_Criterios'!$C$9)*('03_Base_Indice'!$I57-'04_Dados_Ajustados'!L57)/('03_Base_Indice'!$I57-'03_Base_Indice'!$H57))))))</f>
        <v>40.10625000000001</v>
      </c>
      <c r="M57" s="31">
        <f>IF($D57="","",IF('04_Dados_Ajustados'!M57="","",IF('03_Base_Indice'!$G57="+",MIN('01_Criterios'!$C$10,MAX('01_Criterios'!$C$9,'01_Criterios'!$C$9+('01_Criterios'!$C$10-'01_Criterios'!$C$9)*('04_Dados_Ajustados'!M57-'03_Base_Indice'!$H57)/('03_Base_Indice'!$I57-'03_Base_Indice'!$H57))),MIN('01_Criterios'!$C$10,MAX('01_Criterios'!$C$9,'01_Criterios'!$C$9+('01_Criterios'!$C$10-'01_Criterios'!$C$9)*('03_Base_Indice'!$I57-'04_Dados_Ajustados'!M57)/('03_Base_Indice'!$I57-'03_Base_Indice'!$H57))))))</f>
        <v>44.843749999999986</v>
      </c>
      <c r="N57" s="31">
        <f>IF($D57="","",IF('04_Dados_Ajustados'!N57="","",IF('03_Base_Indice'!$G57="+",MIN('01_Criterios'!$C$10,MAX('01_Criterios'!$C$9,'01_Criterios'!$C$9+('01_Criterios'!$C$10-'01_Criterios'!$C$9)*('04_Dados_Ajustados'!N57-'03_Base_Indice'!$H57)/('03_Base_Indice'!$I57-'03_Base_Indice'!$H57))),MIN('01_Criterios'!$C$10,MAX('01_Criterios'!$C$9,'01_Criterios'!$C$9+('01_Criterios'!$C$10-'01_Criterios'!$C$9)*('03_Base_Indice'!$I57-'04_Dados_Ajustados'!N57)/('03_Base_Indice'!$I57-'03_Base_Indice'!$H57))))))</f>
        <v>50.281250000000014</v>
      </c>
      <c r="O57" s="31">
        <f>IF($D57="","",IF('04_Dados_Ajustados'!O57="","",IF('03_Base_Indice'!$G57="+",MIN('01_Criterios'!$C$10,MAX('01_Criterios'!$C$9,'01_Criterios'!$C$9+('01_Criterios'!$C$10-'01_Criterios'!$C$9)*('04_Dados_Ajustados'!O57-'03_Base_Indice'!$H57)/('03_Base_Indice'!$I57-'03_Base_Indice'!$H57))),MIN('01_Criterios'!$C$10,MAX('01_Criterios'!$C$9,'01_Criterios'!$C$9+('01_Criterios'!$C$10-'01_Criterios'!$C$9)*('03_Base_Indice'!$I57-'04_Dados_Ajustados'!O57)/('03_Base_Indice'!$I57-'03_Base_Indice'!$H57))))))</f>
        <v>56.674999999999983</v>
      </c>
      <c r="P57" s="31">
        <f>IF($D57="","",IF('04_Dados_Ajustados'!P57="","",IF('03_Base_Indice'!$G57="+",MIN('01_Criterios'!$C$10,MAX('01_Criterios'!$C$9,'01_Criterios'!$C$9+('01_Criterios'!$C$10-'01_Criterios'!$C$9)*('04_Dados_Ajustados'!P57-'03_Base_Indice'!$H57)/('03_Base_Indice'!$I57-'03_Base_Indice'!$H57))),MIN('01_Criterios'!$C$10,MAX('01_Criterios'!$C$9,'01_Criterios'!$C$9+('01_Criterios'!$C$10-'01_Criterios'!$C$9)*('03_Base_Indice'!$I57-'04_Dados_Ajustados'!P57)/('03_Base_Indice'!$I57-'03_Base_Indice'!$H57))))))</f>
        <v>48.899999999999991</v>
      </c>
      <c r="Q57" s="31">
        <f>IF($D57="","",IF('04_Dados_Ajustados'!Q57="","",IF('03_Base_Indice'!$G57="+",MIN('01_Criterios'!$C$10,MAX('01_Criterios'!$C$9,'01_Criterios'!$C$9+('01_Criterios'!$C$10-'01_Criterios'!$C$9)*('04_Dados_Ajustados'!Q57-'03_Base_Indice'!$H57)/('03_Base_Indice'!$I57-'03_Base_Indice'!$H57))),MIN('01_Criterios'!$C$10,MAX('01_Criterios'!$C$9,'01_Criterios'!$C$9+('01_Criterios'!$C$10-'01_Criterios'!$C$9)*('03_Base_Indice'!$I57-'04_Dados_Ajustados'!Q57)/('03_Base_Indice'!$I57-'03_Base_Indice'!$H57))))))</f>
        <v>67.056249999999991</v>
      </c>
      <c r="R57" s="31">
        <f>IF($D57="","",IF('04_Dados_Ajustados'!R57="","",IF('03_Base_Indice'!$G57="+",MIN('01_Criterios'!$C$10,MAX('01_Criterios'!$C$9,'01_Criterios'!$C$9+('01_Criterios'!$C$10-'01_Criterios'!$C$9)*('04_Dados_Ajustados'!R57-'03_Base_Indice'!$H57)/('03_Base_Indice'!$I57-'03_Base_Indice'!$H57))),MIN('01_Criterios'!$C$10,MAX('01_Criterios'!$C$9,'01_Criterios'!$C$9+('01_Criterios'!$C$10-'01_Criterios'!$C$9)*('03_Base_Indice'!$I57-'04_Dados_Ajustados'!R57)/('03_Base_Indice'!$I57-'03_Base_Indice'!$H57))))))</f>
        <v>85.981249999999989</v>
      </c>
      <c r="S57" s="31">
        <f>IF($D57="","",IF('04_Dados_Ajustados'!S57="","",IF('03_Base_Indice'!$G57="+",MIN('01_Criterios'!$C$10,MAX('01_Criterios'!$C$9,'01_Criterios'!$C$9+('01_Criterios'!$C$10-'01_Criterios'!$C$9)*('04_Dados_Ajustados'!S57-'03_Base_Indice'!$H57)/('03_Base_Indice'!$I57-'03_Base_Indice'!$H57))),MIN('01_Criterios'!$C$10,MAX('01_Criterios'!$C$9,'01_Criterios'!$C$9+('01_Criterios'!$C$10-'01_Criterios'!$C$9)*('03_Base_Indice'!$I57-'04_Dados_Ajustados'!S57)/('03_Base_Indice'!$I57-'03_Base_Indice'!$H57))))))</f>
        <v>87.912499999999994</v>
      </c>
      <c r="T57" s="31">
        <f>IF($D57="","",IF('04_Dados_Ajustados'!T57="","",IF('03_Base_Indice'!$G57="+",MIN('01_Criterios'!$C$10,MAX('01_Criterios'!$C$9,'01_Criterios'!$C$9+('01_Criterios'!$C$10-'01_Criterios'!$C$9)*('04_Dados_Ajustados'!T57-'03_Base_Indice'!$H57)/('03_Base_Indice'!$I57-'03_Base_Indice'!$H57))),MIN('01_Criterios'!$C$10,MAX('01_Criterios'!$C$9,'01_Criterios'!$C$9+('01_Criterios'!$C$10-'01_Criterios'!$C$9)*('03_Base_Indice'!$I57-'04_Dados_Ajustados'!T57)/('03_Base_Indice'!$I57-'03_Base_Indice'!$H57))))))</f>
        <v>88.5</v>
      </c>
      <c r="U57" s="31">
        <f>IF($D57="","",IF('04_Dados_Ajustados'!U57="","",IF('03_Base_Indice'!$G57="+",MIN('01_Criterios'!$C$10,MAX('01_Criterios'!$C$9,'01_Criterios'!$C$9+('01_Criterios'!$C$10-'01_Criterios'!$C$9)*('04_Dados_Ajustados'!U57-'03_Base_Indice'!$H57)/('03_Base_Indice'!$I57-'03_Base_Indice'!$H57))),MIN('01_Criterios'!$C$10,MAX('01_Criterios'!$C$9,'01_Criterios'!$C$9+('01_Criterios'!$C$10-'01_Criterios'!$C$9)*('03_Base_Indice'!$I57-'04_Dados_Ajustados'!U57)/('03_Base_Indice'!$I57-'03_Base_Indice'!$H57))))))</f>
        <v>85.443749999999994</v>
      </c>
    </row>
    <row r="58" spans="1:21">
      <c r="A58" s="6" t="str">
        <f>IF('03_Base_Indice'!$A58="","",'03_Base_Indice'!$A58)</f>
        <v>6. Mercado de Trabalho</v>
      </c>
      <c r="B58" s="6">
        <f>'03_Base_Indice'!$B58</f>
        <v>4</v>
      </c>
      <c r="D58" s="6" t="str">
        <f>IF('03_Base_Indice'!$D58="","",'03_Base_Indice'!$D58)</f>
        <v>LAB016</v>
      </c>
      <c r="E58" s="6" t="str">
        <f>IF('03_Base_Indice'!$E58="","",'03_Base_Indice'!$E58)</f>
        <v>Participação feminina na força de trabalho - OIT modelada</v>
      </c>
      <c r="G58" s="20" t="str">
        <f>IF('03_Base_Indice'!$G58="","",'03_Base_Indice'!$G58)</f>
        <v>+</v>
      </c>
      <c r="K58" s="31">
        <f>IF($D58="","",IF('04_Dados_Ajustados'!K58="","",IF('03_Base_Indice'!$G58="+",MIN('01_Criterios'!$C$10,MAX('01_Criterios'!$C$9,'01_Criterios'!$C$9+('01_Criterios'!$C$10-'01_Criterios'!$C$9)*('04_Dados_Ajustados'!K58-'03_Base_Indice'!$H58)/('03_Base_Indice'!$I58-'03_Base_Indice'!$H58))),MIN('01_Criterios'!$C$10,MAX('01_Criterios'!$C$9,'01_Criterios'!$C$9+('01_Criterios'!$C$10-'01_Criterios'!$C$9)*('03_Base_Indice'!$I58-'04_Dados_Ajustados'!K58)/('03_Base_Indice'!$I58-'03_Base_Indice'!$H58))))))</f>
        <v>73.933000000000007</v>
      </c>
      <c r="L58" s="31">
        <f>IF($D58="","",IF('04_Dados_Ajustados'!L58="","",IF('03_Base_Indice'!$G58="+",MIN('01_Criterios'!$C$10,MAX('01_Criterios'!$C$9,'01_Criterios'!$C$9+('01_Criterios'!$C$10-'01_Criterios'!$C$9)*('04_Dados_Ajustados'!L58-'03_Base_Indice'!$H58)/('03_Base_Indice'!$I58-'03_Base_Indice'!$H58))),MIN('01_Criterios'!$C$10,MAX('01_Criterios'!$C$9,'01_Criterios'!$C$9+('01_Criterios'!$C$10-'01_Criterios'!$C$9)*('03_Base_Indice'!$I58-'04_Dados_Ajustados'!L58)/('03_Base_Indice'!$I58-'03_Base_Indice'!$H58))))))</f>
        <v>73.697000000000003</v>
      </c>
      <c r="M58" s="31">
        <f>IF($D58="","",IF('04_Dados_Ajustados'!M58="","",IF('03_Base_Indice'!$G58="+",MIN('01_Criterios'!$C$10,MAX('01_Criterios'!$C$9,'01_Criterios'!$C$9+('01_Criterios'!$C$10-'01_Criterios'!$C$9)*('04_Dados_Ajustados'!M58-'03_Base_Indice'!$H58)/('03_Base_Indice'!$I58-'03_Base_Indice'!$H58))),MIN('01_Criterios'!$C$10,MAX('01_Criterios'!$C$9,'01_Criterios'!$C$9+('01_Criterios'!$C$10-'01_Criterios'!$C$9)*('03_Base_Indice'!$I58-'04_Dados_Ajustados'!M58)/('03_Base_Indice'!$I58-'03_Base_Indice'!$H58))))))</f>
        <v>73.460999999999999</v>
      </c>
      <c r="N58" s="31">
        <f>IF($D58="","",IF('04_Dados_Ajustados'!N58="","",IF('03_Base_Indice'!$G58="+",MIN('01_Criterios'!$C$10,MAX('01_Criterios'!$C$9,'01_Criterios'!$C$9+('01_Criterios'!$C$10-'01_Criterios'!$C$9)*('04_Dados_Ajustados'!N58-'03_Base_Indice'!$H58)/('03_Base_Indice'!$I58-'03_Base_Indice'!$H58))),MIN('01_Criterios'!$C$10,MAX('01_Criterios'!$C$9,'01_Criterios'!$C$9+('01_Criterios'!$C$10-'01_Criterios'!$C$9)*('03_Base_Indice'!$I58-'04_Dados_Ajustados'!N58)/('03_Base_Indice'!$I58-'03_Base_Indice'!$H58))))))</f>
        <v>73.224000000000004</v>
      </c>
      <c r="O58" s="31">
        <f>IF($D58="","",IF('04_Dados_Ajustados'!O58="","",IF('03_Base_Indice'!$G58="+",MIN('01_Criterios'!$C$10,MAX('01_Criterios'!$C$9,'01_Criterios'!$C$9+('01_Criterios'!$C$10-'01_Criterios'!$C$9)*('04_Dados_Ajustados'!O58-'03_Base_Indice'!$H58)/('03_Base_Indice'!$I58-'03_Base_Indice'!$H58))),MIN('01_Criterios'!$C$10,MAX('01_Criterios'!$C$9,'01_Criterios'!$C$9+('01_Criterios'!$C$10-'01_Criterios'!$C$9)*('03_Base_Indice'!$I58-'04_Dados_Ajustados'!O58)/('03_Base_Indice'!$I58-'03_Base_Indice'!$H58))))))</f>
        <v>72.984999999999999</v>
      </c>
      <c r="P58" s="31">
        <f>IF($D58="","",IF('04_Dados_Ajustados'!P58="","",IF('03_Base_Indice'!$G58="+",MIN('01_Criterios'!$C$10,MAX('01_Criterios'!$C$9,'01_Criterios'!$C$9+('01_Criterios'!$C$10-'01_Criterios'!$C$9)*('04_Dados_Ajustados'!P58-'03_Base_Indice'!$H58)/('03_Base_Indice'!$I58-'03_Base_Indice'!$H58))),MIN('01_Criterios'!$C$10,MAX('01_Criterios'!$C$9,'01_Criterios'!$C$9+('01_Criterios'!$C$10-'01_Criterios'!$C$9)*('03_Base_Indice'!$I58-'04_Dados_Ajustados'!P58)/('03_Base_Indice'!$I58-'03_Base_Indice'!$H58))))))</f>
        <v>71.341999999999999</v>
      </c>
      <c r="Q58" s="31">
        <f>IF($D58="","",IF('04_Dados_Ajustados'!Q58="","",IF('03_Base_Indice'!$G58="+",MIN('01_Criterios'!$C$10,MAX('01_Criterios'!$C$9,'01_Criterios'!$C$9+('01_Criterios'!$C$10-'01_Criterios'!$C$9)*('04_Dados_Ajustados'!Q58-'03_Base_Indice'!$H58)/('03_Base_Indice'!$I58-'03_Base_Indice'!$H58))),MIN('01_Criterios'!$C$10,MAX('01_Criterios'!$C$9,'01_Criterios'!$C$9+('01_Criterios'!$C$10-'01_Criterios'!$C$9)*('03_Base_Indice'!$I58-'04_Dados_Ajustados'!Q58)/('03_Base_Indice'!$I58-'03_Base_Indice'!$H58))))))</f>
        <v>74.694999999999993</v>
      </c>
      <c r="R58" s="31">
        <f>IF($D58="","",IF('04_Dados_Ajustados'!R58="","",IF('03_Base_Indice'!$G58="+",MIN('01_Criterios'!$C$10,MAX('01_Criterios'!$C$9,'01_Criterios'!$C$9+('01_Criterios'!$C$10-'01_Criterios'!$C$9)*('04_Dados_Ajustados'!R58-'03_Base_Indice'!$H58)/('03_Base_Indice'!$I58-'03_Base_Indice'!$H58))),MIN('01_Criterios'!$C$10,MAX('01_Criterios'!$C$9,'01_Criterios'!$C$9+('01_Criterios'!$C$10-'01_Criterios'!$C$9)*('03_Base_Indice'!$I58-'04_Dados_Ajustados'!R58)/('03_Base_Indice'!$I58-'03_Base_Indice'!$H58))))))</f>
        <v>74.018000000000001</v>
      </c>
      <c r="S58" s="31">
        <f>IF($D58="","",IF('04_Dados_Ajustados'!S58="","",IF('03_Base_Indice'!$G58="+",MIN('01_Criterios'!$C$10,MAX('01_Criterios'!$C$9,'01_Criterios'!$C$9+('01_Criterios'!$C$10-'01_Criterios'!$C$9)*('04_Dados_Ajustados'!S58-'03_Base_Indice'!$H58)/('03_Base_Indice'!$I58-'03_Base_Indice'!$H58))),MIN('01_Criterios'!$C$10,MAX('01_Criterios'!$C$9,'01_Criterios'!$C$9+('01_Criterios'!$C$10-'01_Criterios'!$C$9)*('03_Base_Indice'!$I58-'04_Dados_Ajustados'!S58)/('03_Base_Indice'!$I58-'03_Base_Indice'!$H58))))))</f>
        <v>72.317999999999998</v>
      </c>
      <c r="T58" s="31">
        <f>IF($D58="","",IF('04_Dados_Ajustados'!T58="","",IF('03_Base_Indice'!$G58="+",MIN('01_Criterios'!$C$10,MAX('01_Criterios'!$C$9,'01_Criterios'!$C$9+('01_Criterios'!$C$10-'01_Criterios'!$C$9)*('04_Dados_Ajustados'!T58-'03_Base_Indice'!$H58)/('03_Base_Indice'!$I58-'03_Base_Indice'!$H58))),MIN('01_Criterios'!$C$10,MAX('01_Criterios'!$C$9,'01_Criterios'!$C$9+('01_Criterios'!$C$10-'01_Criterios'!$C$9)*('03_Base_Indice'!$I58-'04_Dados_Ajustados'!T58)/('03_Base_Indice'!$I58-'03_Base_Indice'!$H58))))))</f>
        <v>72.358999999999995</v>
      </c>
      <c r="U58" s="31">
        <f>IF($D58="","",IF('04_Dados_Ajustados'!U58="","",IF('03_Base_Indice'!$G58="+",MIN('01_Criterios'!$C$10,MAX('01_Criterios'!$C$9,'01_Criterios'!$C$9+('01_Criterios'!$C$10-'01_Criterios'!$C$9)*('04_Dados_Ajustados'!U58-'03_Base_Indice'!$H58)/('03_Base_Indice'!$I58-'03_Base_Indice'!$H58))),MIN('01_Criterios'!$C$10,MAX('01_Criterios'!$C$9,'01_Criterios'!$C$9+('01_Criterios'!$C$10-'01_Criterios'!$C$9)*('03_Base_Indice'!$I58-'04_Dados_Ajustados'!U58)/('03_Base_Indice'!$I58-'03_Base_Indice'!$H58))))))</f>
        <v>72.224000000000004</v>
      </c>
    </row>
    <row r="59" spans="1:21">
      <c r="A59" s="6" t="str">
        <f>IF('03_Base_Indice'!$A59="","",'03_Base_Indice'!$A59)</f>
        <v>6. Mercado de Trabalho</v>
      </c>
      <c r="B59" s="6">
        <f>'03_Base_Indice'!$B59</f>
        <v>5</v>
      </c>
      <c r="D59" s="6" t="str">
        <f>IF('03_Base_Indice'!$D59="","",'03_Base_Indice'!$D59)</f>
        <v>LAB025</v>
      </c>
      <c r="E59" s="6" t="str">
        <f>IF('03_Base_Indice'!$E59="","",'03_Base_Indice'!$E59)</f>
        <v>Produto por trabalhador - OIT</v>
      </c>
      <c r="G59" s="20" t="str">
        <f>IF('03_Base_Indice'!$G59="","",'03_Base_Indice'!$G59)</f>
        <v>+</v>
      </c>
      <c r="K59" s="31">
        <f>IF($D59="","",IF('04_Dados_Ajustados'!K59="","",IF('03_Base_Indice'!$G59="+",MIN('01_Criterios'!$C$10,MAX('01_Criterios'!$C$9,'01_Criterios'!$C$9+('01_Criterios'!$C$10-'01_Criterios'!$C$9)*('04_Dados_Ajustados'!K59-'03_Base_Indice'!$H59)/('03_Base_Indice'!$I59-'03_Base_Indice'!$H59))),MIN('01_Criterios'!$C$10,MAX('01_Criterios'!$C$9,'01_Criterios'!$C$9+('01_Criterios'!$C$10-'01_Criterios'!$C$9)*('03_Base_Indice'!$I59-'04_Dados_Ajustados'!K59)/('03_Base_Indice'!$I59-'03_Base_Indice'!$H59))))))</f>
        <v>84.781854043392514</v>
      </c>
      <c r="L59" s="31">
        <f>IF($D59="","",IF('04_Dados_Ajustados'!L59="","",IF('03_Base_Indice'!$G59="+",MIN('01_Criterios'!$C$10,MAX('01_Criterios'!$C$9,'01_Criterios'!$C$9+('01_Criterios'!$C$10-'01_Criterios'!$C$9)*('04_Dados_Ajustados'!L59-'03_Base_Indice'!$H59)/('03_Base_Indice'!$I59-'03_Base_Indice'!$H59))),MIN('01_Criterios'!$C$10,MAX('01_Criterios'!$C$9,'01_Criterios'!$C$9+('01_Criterios'!$C$10-'01_Criterios'!$C$9)*('03_Base_Indice'!$I59-'04_Dados_Ajustados'!L59)/('03_Base_Indice'!$I59-'03_Base_Indice'!$H59))))))</f>
        <v>74.737080867850096</v>
      </c>
      <c r="M59" s="31">
        <f>IF($D59="","",IF('04_Dados_Ajustados'!M59="","",IF('03_Base_Indice'!$G59="+",MIN('01_Criterios'!$C$10,MAX('01_Criterios'!$C$9,'01_Criterios'!$C$9+('01_Criterios'!$C$10-'01_Criterios'!$C$9)*('04_Dados_Ajustados'!M59-'03_Base_Indice'!$H59)/('03_Base_Indice'!$I59-'03_Base_Indice'!$H59))),MIN('01_Criterios'!$C$10,MAX('01_Criterios'!$C$9,'01_Criterios'!$C$9+('01_Criterios'!$C$10-'01_Criterios'!$C$9)*('03_Base_Indice'!$I59-'04_Dados_Ajustados'!M59)/('03_Base_Indice'!$I59-'03_Base_Indice'!$H59))))))</f>
        <v>69.140039447731738</v>
      </c>
      <c r="N59" s="31">
        <f>IF($D59="","",IF('04_Dados_Ajustados'!N59="","",IF('03_Base_Indice'!$G59="+",MIN('01_Criterios'!$C$10,MAX('01_Criterios'!$C$9,'01_Criterios'!$C$9+('01_Criterios'!$C$10-'01_Criterios'!$C$9)*('04_Dados_Ajustados'!N59-'03_Base_Indice'!$H59)/('03_Base_Indice'!$I59-'03_Base_Indice'!$H59))),MIN('01_Criterios'!$C$10,MAX('01_Criterios'!$C$9,'01_Criterios'!$C$9+('01_Criterios'!$C$10-'01_Criterios'!$C$9)*('03_Base_Indice'!$I59-'04_Dados_Ajustados'!N59)/('03_Base_Indice'!$I59-'03_Base_Indice'!$H59))))))</f>
        <v>61.810059171597644</v>
      </c>
      <c r="O59" s="31">
        <f>IF($D59="","",IF('04_Dados_Ajustados'!O59="","",IF('03_Base_Indice'!$G59="+",MIN('01_Criterios'!$C$10,MAX('01_Criterios'!$C$9,'01_Criterios'!$C$9+('01_Criterios'!$C$10-'01_Criterios'!$C$9)*('04_Dados_Ajustados'!O59-'03_Base_Indice'!$H59)/('03_Base_Indice'!$I59-'03_Base_Indice'!$H59))),MIN('01_Criterios'!$C$10,MAX('01_Criterios'!$C$9,'01_Criterios'!$C$9+('01_Criterios'!$C$10-'01_Criterios'!$C$9)*('03_Base_Indice'!$I59-'04_Dados_Ajustados'!O59)/('03_Base_Indice'!$I59-'03_Base_Indice'!$H59))))))</f>
        <v>55.603747534516756</v>
      </c>
      <c r="P59" s="31">
        <f>IF($D59="","",IF('04_Dados_Ajustados'!P59="","",IF('03_Base_Indice'!$G59="+",MIN('01_Criterios'!$C$10,MAX('01_Criterios'!$C$9,'01_Criterios'!$C$9+('01_Criterios'!$C$10-'01_Criterios'!$C$9)*('04_Dados_Ajustados'!P59-'03_Base_Indice'!$H59)/('03_Base_Indice'!$I59-'03_Base_Indice'!$H59))),MIN('01_Criterios'!$C$10,MAX('01_Criterios'!$C$9,'01_Criterios'!$C$9+('01_Criterios'!$C$10-'01_Criterios'!$C$9)*('03_Base_Indice'!$I59-'04_Dados_Ajustados'!P59)/('03_Base_Indice'!$I59-'03_Base_Indice'!$H59))))))</f>
        <v>48.107297830374755</v>
      </c>
      <c r="Q59" s="31">
        <f>IF($D59="","",IF('04_Dados_Ajustados'!Q59="","",IF('03_Base_Indice'!$G59="+",MIN('01_Criterios'!$C$10,MAX('01_Criterios'!$C$9,'01_Criterios'!$C$9+('01_Criterios'!$C$10-'01_Criterios'!$C$9)*('04_Dados_Ajustados'!Q59-'03_Base_Indice'!$H59)/('03_Base_Indice'!$I59-'03_Base_Indice'!$H59))),MIN('01_Criterios'!$C$10,MAX('01_Criterios'!$C$9,'01_Criterios'!$C$9+('01_Criterios'!$C$10-'01_Criterios'!$C$9)*('03_Base_Indice'!$I59-'04_Dados_Ajustados'!Q59)/('03_Base_Indice'!$I59-'03_Base_Indice'!$H59))))))</f>
        <v>39.024063116370819</v>
      </c>
      <c r="R59" s="31">
        <f>IF($D59="","",IF('04_Dados_Ajustados'!R59="","",IF('03_Base_Indice'!$G59="+",MIN('01_Criterios'!$C$10,MAX('01_Criterios'!$C$9,'01_Criterios'!$C$9+('01_Criterios'!$C$10-'01_Criterios'!$C$9)*('04_Dados_Ajustados'!R59-'03_Base_Indice'!$H59)/('03_Base_Indice'!$I59-'03_Base_Indice'!$H59))),MIN('01_Criterios'!$C$10,MAX('01_Criterios'!$C$9,'01_Criterios'!$C$9+('01_Criterios'!$C$10-'01_Criterios'!$C$9)*('03_Base_Indice'!$I59-'04_Dados_Ajustados'!R59)/('03_Base_Indice'!$I59-'03_Base_Indice'!$H59))))))</f>
        <v>39.336686390532542</v>
      </c>
      <c r="S59" s="31">
        <f>IF($D59="","",IF('04_Dados_Ajustados'!S59="","",IF('03_Base_Indice'!$G59="+",MIN('01_Criterios'!$C$10,MAX('01_Criterios'!$C$9,'01_Criterios'!$C$9+('01_Criterios'!$C$10-'01_Criterios'!$C$9)*('04_Dados_Ajustados'!S59-'03_Base_Indice'!$H59)/('03_Base_Indice'!$I59-'03_Base_Indice'!$H59))),MIN('01_Criterios'!$C$10,MAX('01_Criterios'!$C$9,'01_Criterios'!$C$9+('01_Criterios'!$C$10-'01_Criterios'!$C$9)*('03_Base_Indice'!$I59-'04_Dados_Ajustados'!S59)/('03_Base_Indice'!$I59-'03_Base_Indice'!$H59))))))</f>
        <v>36.936094674556216</v>
      </c>
      <c r="T59" s="31">
        <f>IF($D59="","",IF('04_Dados_Ajustados'!T59="","",IF('03_Base_Indice'!$G59="+",MIN('01_Criterios'!$C$10,MAX('01_Criterios'!$C$9,'01_Criterios'!$C$9+('01_Criterios'!$C$10-'01_Criterios'!$C$9)*('04_Dados_Ajustados'!T59-'03_Base_Indice'!$H59)/('03_Base_Indice'!$I59-'03_Base_Indice'!$H59))),MIN('01_Criterios'!$C$10,MAX('01_Criterios'!$C$9,'01_Criterios'!$C$9+('01_Criterios'!$C$10-'01_Criterios'!$C$9)*('03_Base_Indice'!$I59-'04_Dados_Ajustados'!T59)/('03_Base_Indice'!$I59-'03_Base_Indice'!$H59))))))</f>
        <v>38.102564102564109</v>
      </c>
      <c r="U59" s="31">
        <f>IF($D59="","",IF('04_Dados_Ajustados'!U59="","",IF('03_Base_Indice'!$G59="+",MIN('01_Criterios'!$C$10,MAX('01_Criterios'!$C$9,'01_Criterios'!$C$9+('01_Criterios'!$C$10-'01_Criterios'!$C$9)*('04_Dados_Ajustados'!U59-'03_Base_Indice'!$H59)/('03_Base_Indice'!$I59-'03_Base_Indice'!$H59))),MIN('01_Criterios'!$C$10,MAX('01_Criterios'!$C$9,'01_Criterios'!$C$9+('01_Criterios'!$C$10-'01_Criterios'!$C$9)*('03_Base_Indice'!$I59-'04_Dados_Ajustados'!U59)/('03_Base_Indice'!$I59-'03_Base_Indice'!$H59))))))</f>
        <v>36.546548323471399</v>
      </c>
    </row>
    <row r="60" spans="1:21">
      <c r="A60" s="6" t="str">
        <f>IF('03_Base_Indice'!$A60="","",'03_Base_Indice'!$A60)</f>
        <v>6. Mercado de Trabalho</v>
      </c>
      <c r="B60" s="6">
        <f>'03_Base_Indice'!$B60</f>
        <v>6</v>
      </c>
      <c r="D60" s="6" t="str">
        <f>IF('03_Base_Indice'!$D60="","",'03_Base_Indice'!$D60)</f>
        <v/>
      </c>
      <c r="E60" s="6" t="str">
        <f>IF('03_Base_Indice'!$E60="","",'03_Base_Indice'!$E60)</f>
        <v/>
      </c>
      <c r="G60" s="20" t="str">
        <f>IF('03_Base_Indice'!$G60="","",'03_Base_Indice'!$G60)</f>
        <v/>
      </c>
      <c r="K60" s="31" t="str">
        <f>IF($D60="","",IF('04_Dados_Ajustados'!K60="","",IF('03_Base_Indice'!$G60="+",MIN('01_Criterios'!$C$10,MAX('01_Criterios'!$C$9,'01_Criterios'!$C$9+('01_Criterios'!$C$10-'01_Criterios'!$C$9)*('04_Dados_Ajustados'!K60-'03_Base_Indice'!$H60)/('03_Base_Indice'!$I60-'03_Base_Indice'!$H60))),MIN('01_Criterios'!$C$10,MAX('01_Criterios'!$C$9,'01_Criterios'!$C$9+('01_Criterios'!$C$10-'01_Criterios'!$C$9)*('03_Base_Indice'!$I60-'04_Dados_Ajustados'!K60)/('03_Base_Indice'!$I60-'03_Base_Indice'!$H60))))))</f>
        <v/>
      </c>
      <c r="L60" s="31" t="str">
        <f>IF($D60="","",IF('04_Dados_Ajustados'!L60="","",IF('03_Base_Indice'!$G60="+",MIN('01_Criterios'!$C$10,MAX('01_Criterios'!$C$9,'01_Criterios'!$C$9+('01_Criterios'!$C$10-'01_Criterios'!$C$9)*('04_Dados_Ajustados'!L60-'03_Base_Indice'!$H60)/('03_Base_Indice'!$I60-'03_Base_Indice'!$H60))),MIN('01_Criterios'!$C$10,MAX('01_Criterios'!$C$9,'01_Criterios'!$C$9+('01_Criterios'!$C$10-'01_Criterios'!$C$9)*('03_Base_Indice'!$I60-'04_Dados_Ajustados'!L60)/('03_Base_Indice'!$I60-'03_Base_Indice'!$H60))))))</f>
        <v/>
      </c>
      <c r="M60" s="31" t="str">
        <f>IF($D60="","",IF('04_Dados_Ajustados'!M60="","",IF('03_Base_Indice'!$G60="+",MIN('01_Criterios'!$C$10,MAX('01_Criterios'!$C$9,'01_Criterios'!$C$9+('01_Criterios'!$C$10-'01_Criterios'!$C$9)*('04_Dados_Ajustados'!M60-'03_Base_Indice'!$H60)/('03_Base_Indice'!$I60-'03_Base_Indice'!$H60))),MIN('01_Criterios'!$C$10,MAX('01_Criterios'!$C$9,'01_Criterios'!$C$9+('01_Criterios'!$C$10-'01_Criterios'!$C$9)*('03_Base_Indice'!$I60-'04_Dados_Ajustados'!M60)/('03_Base_Indice'!$I60-'03_Base_Indice'!$H60))))))</f>
        <v/>
      </c>
      <c r="N60" s="31" t="str">
        <f>IF($D60="","",IF('04_Dados_Ajustados'!N60="","",IF('03_Base_Indice'!$G60="+",MIN('01_Criterios'!$C$10,MAX('01_Criterios'!$C$9,'01_Criterios'!$C$9+('01_Criterios'!$C$10-'01_Criterios'!$C$9)*('04_Dados_Ajustados'!N60-'03_Base_Indice'!$H60)/('03_Base_Indice'!$I60-'03_Base_Indice'!$H60))),MIN('01_Criterios'!$C$10,MAX('01_Criterios'!$C$9,'01_Criterios'!$C$9+('01_Criterios'!$C$10-'01_Criterios'!$C$9)*('03_Base_Indice'!$I60-'04_Dados_Ajustados'!N60)/('03_Base_Indice'!$I60-'03_Base_Indice'!$H60))))))</f>
        <v/>
      </c>
      <c r="O60" s="31" t="str">
        <f>IF($D60="","",IF('04_Dados_Ajustados'!O60="","",IF('03_Base_Indice'!$G60="+",MIN('01_Criterios'!$C$10,MAX('01_Criterios'!$C$9,'01_Criterios'!$C$9+('01_Criterios'!$C$10-'01_Criterios'!$C$9)*('04_Dados_Ajustados'!O60-'03_Base_Indice'!$H60)/('03_Base_Indice'!$I60-'03_Base_Indice'!$H60))),MIN('01_Criterios'!$C$10,MAX('01_Criterios'!$C$9,'01_Criterios'!$C$9+('01_Criterios'!$C$10-'01_Criterios'!$C$9)*('03_Base_Indice'!$I60-'04_Dados_Ajustados'!O60)/('03_Base_Indice'!$I60-'03_Base_Indice'!$H60))))))</f>
        <v/>
      </c>
      <c r="P60" s="31" t="str">
        <f>IF($D60="","",IF('04_Dados_Ajustados'!P60="","",IF('03_Base_Indice'!$G60="+",MIN('01_Criterios'!$C$10,MAX('01_Criterios'!$C$9,'01_Criterios'!$C$9+('01_Criterios'!$C$10-'01_Criterios'!$C$9)*('04_Dados_Ajustados'!P60-'03_Base_Indice'!$H60)/('03_Base_Indice'!$I60-'03_Base_Indice'!$H60))),MIN('01_Criterios'!$C$10,MAX('01_Criterios'!$C$9,'01_Criterios'!$C$9+('01_Criterios'!$C$10-'01_Criterios'!$C$9)*('03_Base_Indice'!$I60-'04_Dados_Ajustados'!P60)/('03_Base_Indice'!$I60-'03_Base_Indice'!$H60))))))</f>
        <v/>
      </c>
      <c r="Q60" s="31" t="str">
        <f>IF($D60="","",IF('04_Dados_Ajustados'!Q60="","",IF('03_Base_Indice'!$G60="+",MIN('01_Criterios'!$C$10,MAX('01_Criterios'!$C$9,'01_Criterios'!$C$9+('01_Criterios'!$C$10-'01_Criterios'!$C$9)*('04_Dados_Ajustados'!Q60-'03_Base_Indice'!$H60)/('03_Base_Indice'!$I60-'03_Base_Indice'!$H60))),MIN('01_Criterios'!$C$10,MAX('01_Criterios'!$C$9,'01_Criterios'!$C$9+('01_Criterios'!$C$10-'01_Criterios'!$C$9)*('03_Base_Indice'!$I60-'04_Dados_Ajustados'!Q60)/('03_Base_Indice'!$I60-'03_Base_Indice'!$H60))))))</f>
        <v/>
      </c>
      <c r="R60" s="31" t="str">
        <f>IF($D60="","",IF('04_Dados_Ajustados'!R60="","",IF('03_Base_Indice'!$G60="+",MIN('01_Criterios'!$C$10,MAX('01_Criterios'!$C$9,'01_Criterios'!$C$9+('01_Criterios'!$C$10-'01_Criterios'!$C$9)*('04_Dados_Ajustados'!R60-'03_Base_Indice'!$H60)/('03_Base_Indice'!$I60-'03_Base_Indice'!$H60))),MIN('01_Criterios'!$C$10,MAX('01_Criterios'!$C$9,'01_Criterios'!$C$9+('01_Criterios'!$C$10-'01_Criterios'!$C$9)*('03_Base_Indice'!$I60-'04_Dados_Ajustados'!R60)/('03_Base_Indice'!$I60-'03_Base_Indice'!$H60))))))</f>
        <v/>
      </c>
      <c r="S60" s="31" t="str">
        <f>IF($D60="","",IF('04_Dados_Ajustados'!S60="","",IF('03_Base_Indice'!$G60="+",MIN('01_Criterios'!$C$10,MAX('01_Criterios'!$C$9,'01_Criterios'!$C$9+('01_Criterios'!$C$10-'01_Criterios'!$C$9)*('04_Dados_Ajustados'!S60-'03_Base_Indice'!$H60)/('03_Base_Indice'!$I60-'03_Base_Indice'!$H60))),MIN('01_Criterios'!$C$10,MAX('01_Criterios'!$C$9,'01_Criterios'!$C$9+('01_Criterios'!$C$10-'01_Criterios'!$C$9)*('03_Base_Indice'!$I60-'04_Dados_Ajustados'!S60)/('03_Base_Indice'!$I60-'03_Base_Indice'!$H60))))))</f>
        <v/>
      </c>
      <c r="T60" s="31" t="str">
        <f>IF($D60="","",IF('04_Dados_Ajustados'!T60="","",IF('03_Base_Indice'!$G60="+",MIN('01_Criterios'!$C$10,MAX('01_Criterios'!$C$9,'01_Criterios'!$C$9+('01_Criterios'!$C$10-'01_Criterios'!$C$9)*('04_Dados_Ajustados'!T60-'03_Base_Indice'!$H60)/('03_Base_Indice'!$I60-'03_Base_Indice'!$H60))),MIN('01_Criterios'!$C$10,MAX('01_Criterios'!$C$9,'01_Criterios'!$C$9+('01_Criterios'!$C$10-'01_Criterios'!$C$9)*('03_Base_Indice'!$I60-'04_Dados_Ajustados'!T60)/('03_Base_Indice'!$I60-'03_Base_Indice'!$H60))))))</f>
        <v/>
      </c>
      <c r="U60" s="31" t="str">
        <f>IF($D60="","",IF('04_Dados_Ajustados'!U60="","",IF('03_Base_Indice'!$G60="+",MIN('01_Criterios'!$C$10,MAX('01_Criterios'!$C$9,'01_Criterios'!$C$9+('01_Criterios'!$C$10-'01_Criterios'!$C$9)*('04_Dados_Ajustados'!U60-'03_Base_Indice'!$H60)/('03_Base_Indice'!$I60-'03_Base_Indice'!$H60))),MIN('01_Criterios'!$C$10,MAX('01_Criterios'!$C$9,'01_Criterios'!$C$9+('01_Criterios'!$C$10-'01_Criterios'!$C$9)*('03_Base_Indice'!$I60-'04_Dados_Ajustados'!U60)/('03_Base_Indice'!$I60-'03_Base_Indice'!$H60))))))</f>
        <v/>
      </c>
    </row>
    <row r="61" spans="1:21">
      <c r="A61" s="6" t="str">
        <f>IF('03_Base_Indice'!$A61="","",'03_Base_Indice'!$A61)</f>
        <v>6. Mercado de Trabalho</v>
      </c>
      <c r="B61" s="6">
        <f>'03_Base_Indice'!$B61</f>
        <v>7</v>
      </c>
      <c r="D61" s="6" t="str">
        <f>IF('03_Base_Indice'!$D61="","",'03_Base_Indice'!$D61)</f>
        <v/>
      </c>
      <c r="E61" s="6" t="str">
        <f>IF('03_Base_Indice'!$E61="","",'03_Base_Indice'!$E61)</f>
        <v/>
      </c>
      <c r="G61" s="20" t="str">
        <f>IF('03_Base_Indice'!$G61="","",'03_Base_Indice'!$G61)</f>
        <v/>
      </c>
      <c r="K61" s="31" t="str">
        <f>IF($D61="","",IF('04_Dados_Ajustados'!K61="","",IF('03_Base_Indice'!$G61="+",MIN('01_Criterios'!$C$10,MAX('01_Criterios'!$C$9,'01_Criterios'!$C$9+('01_Criterios'!$C$10-'01_Criterios'!$C$9)*('04_Dados_Ajustados'!K61-'03_Base_Indice'!$H61)/('03_Base_Indice'!$I61-'03_Base_Indice'!$H61))),MIN('01_Criterios'!$C$10,MAX('01_Criterios'!$C$9,'01_Criterios'!$C$9+('01_Criterios'!$C$10-'01_Criterios'!$C$9)*('03_Base_Indice'!$I61-'04_Dados_Ajustados'!K61)/('03_Base_Indice'!$I61-'03_Base_Indice'!$H61))))))</f>
        <v/>
      </c>
      <c r="L61" s="31" t="str">
        <f>IF($D61="","",IF('04_Dados_Ajustados'!L61="","",IF('03_Base_Indice'!$G61="+",MIN('01_Criterios'!$C$10,MAX('01_Criterios'!$C$9,'01_Criterios'!$C$9+('01_Criterios'!$C$10-'01_Criterios'!$C$9)*('04_Dados_Ajustados'!L61-'03_Base_Indice'!$H61)/('03_Base_Indice'!$I61-'03_Base_Indice'!$H61))),MIN('01_Criterios'!$C$10,MAX('01_Criterios'!$C$9,'01_Criterios'!$C$9+('01_Criterios'!$C$10-'01_Criterios'!$C$9)*('03_Base_Indice'!$I61-'04_Dados_Ajustados'!L61)/('03_Base_Indice'!$I61-'03_Base_Indice'!$H61))))))</f>
        <v/>
      </c>
      <c r="M61" s="31" t="str">
        <f>IF($D61="","",IF('04_Dados_Ajustados'!M61="","",IF('03_Base_Indice'!$G61="+",MIN('01_Criterios'!$C$10,MAX('01_Criterios'!$C$9,'01_Criterios'!$C$9+('01_Criterios'!$C$10-'01_Criterios'!$C$9)*('04_Dados_Ajustados'!M61-'03_Base_Indice'!$H61)/('03_Base_Indice'!$I61-'03_Base_Indice'!$H61))),MIN('01_Criterios'!$C$10,MAX('01_Criterios'!$C$9,'01_Criterios'!$C$9+('01_Criterios'!$C$10-'01_Criterios'!$C$9)*('03_Base_Indice'!$I61-'04_Dados_Ajustados'!M61)/('03_Base_Indice'!$I61-'03_Base_Indice'!$H61))))))</f>
        <v/>
      </c>
      <c r="N61" s="31" t="str">
        <f>IF($D61="","",IF('04_Dados_Ajustados'!N61="","",IF('03_Base_Indice'!$G61="+",MIN('01_Criterios'!$C$10,MAX('01_Criterios'!$C$9,'01_Criterios'!$C$9+('01_Criterios'!$C$10-'01_Criterios'!$C$9)*('04_Dados_Ajustados'!N61-'03_Base_Indice'!$H61)/('03_Base_Indice'!$I61-'03_Base_Indice'!$H61))),MIN('01_Criterios'!$C$10,MAX('01_Criterios'!$C$9,'01_Criterios'!$C$9+('01_Criterios'!$C$10-'01_Criterios'!$C$9)*('03_Base_Indice'!$I61-'04_Dados_Ajustados'!N61)/('03_Base_Indice'!$I61-'03_Base_Indice'!$H61))))))</f>
        <v/>
      </c>
      <c r="O61" s="31" t="str">
        <f>IF($D61="","",IF('04_Dados_Ajustados'!O61="","",IF('03_Base_Indice'!$G61="+",MIN('01_Criterios'!$C$10,MAX('01_Criterios'!$C$9,'01_Criterios'!$C$9+('01_Criterios'!$C$10-'01_Criterios'!$C$9)*('04_Dados_Ajustados'!O61-'03_Base_Indice'!$H61)/('03_Base_Indice'!$I61-'03_Base_Indice'!$H61))),MIN('01_Criterios'!$C$10,MAX('01_Criterios'!$C$9,'01_Criterios'!$C$9+('01_Criterios'!$C$10-'01_Criterios'!$C$9)*('03_Base_Indice'!$I61-'04_Dados_Ajustados'!O61)/('03_Base_Indice'!$I61-'03_Base_Indice'!$H61))))))</f>
        <v/>
      </c>
      <c r="P61" s="31" t="str">
        <f>IF($D61="","",IF('04_Dados_Ajustados'!P61="","",IF('03_Base_Indice'!$G61="+",MIN('01_Criterios'!$C$10,MAX('01_Criterios'!$C$9,'01_Criterios'!$C$9+('01_Criterios'!$C$10-'01_Criterios'!$C$9)*('04_Dados_Ajustados'!P61-'03_Base_Indice'!$H61)/('03_Base_Indice'!$I61-'03_Base_Indice'!$H61))),MIN('01_Criterios'!$C$10,MAX('01_Criterios'!$C$9,'01_Criterios'!$C$9+('01_Criterios'!$C$10-'01_Criterios'!$C$9)*('03_Base_Indice'!$I61-'04_Dados_Ajustados'!P61)/('03_Base_Indice'!$I61-'03_Base_Indice'!$H61))))))</f>
        <v/>
      </c>
      <c r="Q61" s="31" t="str">
        <f>IF($D61="","",IF('04_Dados_Ajustados'!Q61="","",IF('03_Base_Indice'!$G61="+",MIN('01_Criterios'!$C$10,MAX('01_Criterios'!$C$9,'01_Criterios'!$C$9+('01_Criterios'!$C$10-'01_Criterios'!$C$9)*('04_Dados_Ajustados'!Q61-'03_Base_Indice'!$H61)/('03_Base_Indice'!$I61-'03_Base_Indice'!$H61))),MIN('01_Criterios'!$C$10,MAX('01_Criterios'!$C$9,'01_Criterios'!$C$9+('01_Criterios'!$C$10-'01_Criterios'!$C$9)*('03_Base_Indice'!$I61-'04_Dados_Ajustados'!Q61)/('03_Base_Indice'!$I61-'03_Base_Indice'!$H61))))))</f>
        <v/>
      </c>
      <c r="R61" s="31" t="str">
        <f>IF($D61="","",IF('04_Dados_Ajustados'!R61="","",IF('03_Base_Indice'!$G61="+",MIN('01_Criterios'!$C$10,MAX('01_Criterios'!$C$9,'01_Criterios'!$C$9+('01_Criterios'!$C$10-'01_Criterios'!$C$9)*('04_Dados_Ajustados'!R61-'03_Base_Indice'!$H61)/('03_Base_Indice'!$I61-'03_Base_Indice'!$H61))),MIN('01_Criterios'!$C$10,MAX('01_Criterios'!$C$9,'01_Criterios'!$C$9+('01_Criterios'!$C$10-'01_Criterios'!$C$9)*('03_Base_Indice'!$I61-'04_Dados_Ajustados'!R61)/('03_Base_Indice'!$I61-'03_Base_Indice'!$H61))))))</f>
        <v/>
      </c>
      <c r="S61" s="31" t="str">
        <f>IF($D61="","",IF('04_Dados_Ajustados'!S61="","",IF('03_Base_Indice'!$G61="+",MIN('01_Criterios'!$C$10,MAX('01_Criterios'!$C$9,'01_Criterios'!$C$9+('01_Criterios'!$C$10-'01_Criterios'!$C$9)*('04_Dados_Ajustados'!S61-'03_Base_Indice'!$H61)/('03_Base_Indice'!$I61-'03_Base_Indice'!$H61))),MIN('01_Criterios'!$C$10,MAX('01_Criterios'!$C$9,'01_Criterios'!$C$9+('01_Criterios'!$C$10-'01_Criterios'!$C$9)*('03_Base_Indice'!$I61-'04_Dados_Ajustados'!S61)/('03_Base_Indice'!$I61-'03_Base_Indice'!$H61))))))</f>
        <v/>
      </c>
      <c r="T61" s="31" t="str">
        <f>IF($D61="","",IF('04_Dados_Ajustados'!T61="","",IF('03_Base_Indice'!$G61="+",MIN('01_Criterios'!$C$10,MAX('01_Criterios'!$C$9,'01_Criterios'!$C$9+('01_Criterios'!$C$10-'01_Criterios'!$C$9)*('04_Dados_Ajustados'!T61-'03_Base_Indice'!$H61)/('03_Base_Indice'!$I61-'03_Base_Indice'!$H61))),MIN('01_Criterios'!$C$10,MAX('01_Criterios'!$C$9,'01_Criterios'!$C$9+('01_Criterios'!$C$10-'01_Criterios'!$C$9)*('03_Base_Indice'!$I61-'04_Dados_Ajustados'!T61)/('03_Base_Indice'!$I61-'03_Base_Indice'!$H61))))))</f>
        <v/>
      </c>
      <c r="U61" s="31" t="str">
        <f>IF($D61="","",IF('04_Dados_Ajustados'!U61="","",IF('03_Base_Indice'!$G61="+",MIN('01_Criterios'!$C$10,MAX('01_Criterios'!$C$9,'01_Criterios'!$C$9+('01_Criterios'!$C$10-'01_Criterios'!$C$9)*('04_Dados_Ajustados'!U61-'03_Base_Indice'!$H61)/('03_Base_Indice'!$I61-'03_Base_Indice'!$H61))),MIN('01_Criterios'!$C$10,MAX('01_Criterios'!$C$9,'01_Criterios'!$C$9+('01_Criterios'!$C$10-'01_Criterios'!$C$9)*('03_Base_Indice'!$I61-'04_Dados_Ajustados'!U61)/('03_Base_Indice'!$I61-'03_Base_Indice'!$H61))))))</f>
        <v/>
      </c>
    </row>
    <row r="62" spans="1:21">
      <c r="A62" s="6" t="str">
        <f>IF('03_Base_Indice'!$A62="","",'03_Base_Indice'!$A62)</f>
        <v>6. Mercado de Trabalho</v>
      </c>
      <c r="B62" s="6">
        <f>'03_Base_Indice'!$B62</f>
        <v>8</v>
      </c>
      <c r="D62" s="6" t="str">
        <f>IF('03_Base_Indice'!$D62="","",'03_Base_Indice'!$D62)</f>
        <v/>
      </c>
      <c r="E62" s="6" t="str">
        <f>IF('03_Base_Indice'!$E62="","",'03_Base_Indice'!$E62)</f>
        <v/>
      </c>
      <c r="G62" s="20" t="str">
        <f>IF('03_Base_Indice'!$G62="","",'03_Base_Indice'!$G62)</f>
        <v/>
      </c>
      <c r="K62" s="31" t="str">
        <f>IF($D62="","",IF('04_Dados_Ajustados'!K62="","",IF('03_Base_Indice'!$G62="+",MIN('01_Criterios'!$C$10,MAX('01_Criterios'!$C$9,'01_Criterios'!$C$9+('01_Criterios'!$C$10-'01_Criterios'!$C$9)*('04_Dados_Ajustados'!K62-'03_Base_Indice'!$H62)/('03_Base_Indice'!$I62-'03_Base_Indice'!$H62))),MIN('01_Criterios'!$C$10,MAX('01_Criterios'!$C$9,'01_Criterios'!$C$9+('01_Criterios'!$C$10-'01_Criterios'!$C$9)*('03_Base_Indice'!$I62-'04_Dados_Ajustados'!K62)/('03_Base_Indice'!$I62-'03_Base_Indice'!$H62))))))</f>
        <v/>
      </c>
      <c r="L62" s="31" t="str">
        <f>IF($D62="","",IF('04_Dados_Ajustados'!L62="","",IF('03_Base_Indice'!$G62="+",MIN('01_Criterios'!$C$10,MAX('01_Criterios'!$C$9,'01_Criterios'!$C$9+('01_Criterios'!$C$10-'01_Criterios'!$C$9)*('04_Dados_Ajustados'!L62-'03_Base_Indice'!$H62)/('03_Base_Indice'!$I62-'03_Base_Indice'!$H62))),MIN('01_Criterios'!$C$10,MAX('01_Criterios'!$C$9,'01_Criterios'!$C$9+('01_Criterios'!$C$10-'01_Criterios'!$C$9)*('03_Base_Indice'!$I62-'04_Dados_Ajustados'!L62)/('03_Base_Indice'!$I62-'03_Base_Indice'!$H62))))))</f>
        <v/>
      </c>
      <c r="M62" s="31" t="str">
        <f>IF($D62="","",IF('04_Dados_Ajustados'!M62="","",IF('03_Base_Indice'!$G62="+",MIN('01_Criterios'!$C$10,MAX('01_Criterios'!$C$9,'01_Criterios'!$C$9+('01_Criterios'!$C$10-'01_Criterios'!$C$9)*('04_Dados_Ajustados'!M62-'03_Base_Indice'!$H62)/('03_Base_Indice'!$I62-'03_Base_Indice'!$H62))),MIN('01_Criterios'!$C$10,MAX('01_Criterios'!$C$9,'01_Criterios'!$C$9+('01_Criterios'!$C$10-'01_Criterios'!$C$9)*('03_Base_Indice'!$I62-'04_Dados_Ajustados'!M62)/('03_Base_Indice'!$I62-'03_Base_Indice'!$H62))))))</f>
        <v/>
      </c>
      <c r="N62" s="31" t="str">
        <f>IF($D62="","",IF('04_Dados_Ajustados'!N62="","",IF('03_Base_Indice'!$G62="+",MIN('01_Criterios'!$C$10,MAX('01_Criterios'!$C$9,'01_Criterios'!$C$9+('01_Criterios'!$C$10-'01_Criterios'!$C$9)*('04_Dados_Ajustados'!N62-'03_Base_Indice'!$H62)/('03_Base_Indice'!$I62-'03_Base_Indice'!$H62))),MIN('01_Criterios'!$C$10,MAX('01_Criterios'!$C$9,'01_Criterios'!$C$9+('01_Criterios'!$C$10-'01_Criterios'!$C$9)*('03_Base_Indice'!$I62-'04_Dados_Ajustados'!N62)/('03_Base_Indice'!$I62-'03_Base_Indice'!$H62))))))</f>
        <v/>
      </c>
      <c r="O62" s="31" t="str">
        <f>IF($D62="","",IF('04_Dados_Ajustados'!O62="","",IF('03_Base_Indice'!$G62="+",MIN('01_Criterios'!$C$10,MAX('01_Criterios'!$C$9,'01_Criterios'!$C$9+('01_Criterios'!$C$10-'01_Criterios'!$C$9)*('04_Dados_Ajustados'!O62-'03_Base_Indice'!$H62)/('03_Base_Indice'!$I62-'03_Base_Indice'!$H62))),MIN('01_Criterios'!$C$10,MAX('01_Criterios'!$C$9,'01_Criterios'!$C$9+('01_Criterios'!$C$10-'01_Criterios'!$C$9)*('03_Base_Indice'!$I62-'04_Dados_Ajustados'!O62)/('03_Base_Indice'!$I62-'03_Base_Indice'!$H62))))))</f>
        <v/>
      </c>
      <c r="P62" s="31" t="str">
        <f>IF($D62="","",IF('04_Dados_Ajustados'!P62="","",IF('03_Base_Indice'!$G62="+",MIN('01_Criterios'!$C$10,MAX('01_Criterios'!$C$9,'01_Criterios'!$C$9+('01_Criterios'!$C$10-'01_Criterios'!$C$9)*('04_Dados_Ajustados'!P62-'03_Base_Indice'!$H62)/('03_Base_Indice'!$I62-'03_Base_Indice'!$H62))),MIN('01_Criterios'!$C$10,MAX('01_Criterios'!$C$9,'01_Criterios'!$C$9+('01_Criterios'!$C$10-'01_Criterios'!$C$9)*('03_Base_Indice'!$I62-'04_Dados_Ajustados'!P62)/('03_Base_Indice'!$I62-'03_Base_Indice'!$H62))))))</f>
        <v/>
      </c>
      <c r="Q62" s="31" t="str">
        <f>IF($D62="","",IF('04_Dados_Ajustados'!Q62="","",IF('03_Base_Indice'!$G62="+",MIN('01_Criterios'!$C$10,MAX('01_Criterios'!$C$9,'01_Criterios'!$C$9+('01_Criterios'!$C$10-'01_Criterios'!$C$9)*('04_Dados_Ajustados'!Q62-'03_Base_Indice'!$H62)/('03_Base_Indice'!$I62-'03_Base_Indice'!$H62))),MIN('01_Criterios'!$C$10,MAX('01_Criterios'!$C$9,'01_Criterios'!$C$9+('01_Criterios'!$C$10-'01_Criterios'!$C$9)*('03_Base_Indice'!$I62-'04_Dados_Ajustados'!Q62)/('03_Base_Indice'!$I62-'03_Base_Indice'!$H62))))))</f>
        <v/>
      </c>
      <c r="R62" s="31" t="str">
        <f>IF($D62="","",IF('04_Dados_Ajustados'!R62="","",IF('03_Base_Indice'!$G62="+",MIN('01_Criterios'!$C$10,MAX('01_Criterios'!$C$9,'01_Criterios'!$C$9+('01_Criterios'!$C$10-'01_Criterios'!$C$9)*('04_Dados_Ajustados'!R62-'03_Base_Indice'!$H62)/('03_Base_Indice'!$I62-'03_Base_Indice'!$H62))),MIN('01_Criterios'!$C$10,MAX('01_Criterios'!$C$9,'01_Criterios'!$C$9+('01_Criterios'!$C$10-'01_Criterios'!$C$9)*('03_Base_Indice'!$I62-'04_Dados_Ajustados'!R62)/('03_Base_Indice'!$I62-'03_Base_Indice'!$H62))))))</f>
        <v/>
      </c>
      <c r="S62" s="31" t="str">
        <f>IF($D62="","",IF('04_Dados_Ajustados'!S62="","",IF('03_Base_Indice'!$G62="+",MIN('01_Criterios'!$C$10,MAX('01_Criterios'!$C$9,'01_Criterios'!$C$9+('01_Criterios'!$C$10-'01_Criterios'!$C$9)*('04_Dados_Ajustados'!S62-'03_Base_Indice'!$H62)/('03_Base_Indice'!$I62-'03_Base_Indice'!$H62))),MIN('01_Criterios'!$C$10,MAX('01_Criterios'!$C$9,'01_Criterios'!$C$9+('01_Criterios'!$C$10-'01_Criterios'!$C$9)*('03_Base_Indice'!$I62-'04_Dados_Ajustados'!S62)/('03_Base_Indice'!$I62-'03_Base_Indice'!$H62))))))</f>
        <v/>
      </c>
      <c r="T62" s="31" t="str">
        <f>IF($D62="","",IF('04_Dados_Ajustados'!T62="","",IF('03_Base_Indice'!$G62="+",MIN('01_Criterios'!$C$10,MAX('01_Criterios'!$C$9,'01_Criterios'!$C$9+('01_Criterios'!$C$10-'01_Criterios'!$C$9)*('04_Dados_Ajustados'!T62-'03_Base_Indice'!$H62)/('03_Base_Indice'!$I62-'03_Base_Indice'!$H62))),MIN('01_Criterios'!$C$10,MAX('01_Criterios'!$C$9,'01_Criterios'!$C$9+('01_Criterios'!$C$10-'01_Criterios'!$C$9)*('03_Base_Indice'!$I62-'04_Dados_Ajustados'!T62)/('03_Base_Indice'!$I62-'03_Base_Indice'!$H62))))))</f>
        <v/>
      </c>
      <c r="U62" s="31" t="str">
        <f>IF($D62="","",IF('04_Dados_Ajustados'!U62="","",IF('03_Base_Indice'!$G62="+",MIN('01_Criterios'!$C$10,MAX('01_Criterios'!$C$9,'01_Criterios'!$C$9+('01_Criterios'!$C$10-'01_Criterios'!$C$9)*('04_Dados_Ajustados'!U62-'03_Base_Indice'!$H62)/('03_Base_Indice'!$I62-'03_Base_Indice'!$H62))),MIN('01_Criterios'!$C$10,MAX('01_Criterios'!$C$9,'01_Criterios'!$C$9+('01_Criterios'!$C$10-'01_Criterios'!$C$9)*('03_Base_Indice'!$I62-'04_Dados_Ajustados'!U62)/('03_Base_Indice'!$I62-'03_Base_Indice'!$H62))))))</f>
        <v/>
      </c>
    </row>
    <row r="63" spans="1:21">
      <c r="A63" s="6" t="str">
        <f>IF('03_Base_Indice'!$A63="","",'03_Base_Indice'!$A63)</f>
        <v>6. Mercado de Trabalho</v>
      </c>
      <c r="B63" s="6">
        <f>'03_Base_Indice'!$B63</f>
        <v>9</v>
      </c>
      <c r="D63" s="6" t="str">
        <f>IF('03_Base_Indice'!$D63="","",'03_Base_Indice'!$D63)</f>
        <v/>
      </c>
      <c r="E63" s="6" t="str">
        <f>IF('03_Base_Indice'!$E63="","",'03_Base_Indice'!$E63)</f>
        <v/>
      </c>
      <c r="G63" s="20" t="str">
        <f>IF('03_Base_Indice'!$G63="","",'03_Base_Indice'!$G63)</f>
        <v/>
      </c>
      <c r="K63" s="31" t="str">
        <f>IF($D63="","",IF('04_Dados_Ajustados'!K63="","",IF('03_Base_Indice'!$G63="+",MIN('01_Criterios'!$C$10,MAX('01_Criterios'!$C$9,'01_Criterios'!$C$9+('01_Criterios'!$C$10-'01_Criterios'!$C$9)*('04_Dados_Ajustados'!K63-'03_Base_Indice'!$H63)/('03_Base_Indice'!$I63-'03_Base_Indice'!$H63))),MIN('01_Criterios'!$C$10,MAX('01_Criterios'!$C$9,'01_Criterios'!$C$9+('01_Criterios'!$C$10-'01_Criterios'!$C$9)*('03_Base_Indice'!$I63-'04_Dados_Ajustados'!K63)/('03_Base_Indice'!$I63-'03_Base_Indice'!$H63))))))</f>
        <v/>
      </c>
      <c r="L63" s="31" t="str">
        <f>IF($D63="","",IF('04_Dados_Ajustados'!L63="","",IF('03_Base_Indice'!$G63="+",MIN('01_Criterios'!$C$10,MAX('01_Criterios'!$C$9,'01_Criterios'!$C$9+('01_Criterios'!$C$10-'01_Criterios'!$C$9)*('04_Dados_Ajustados'!L63-'03_Base_Indice'!$H63)/('03_Base_Indice'!$I63-'03_Base_Indice'!$H63))),MIN('01_Criterios'!$C$10,MAX('01_Criterios'!$C$9,'01_Criterios'!$C$9+('01_Criterios'!$C$10-'01_Criterios'!$C$9)*('03_Base_Indice'!$I63-'04_Dados_Ajustados'!L63)/('03_Base_Indice'!$I63-'03_Base_Indice'!$H63))))))</f>
        <v/>
      </c>
      <c r="M63" s="31" t="str">
        <f>IF($D63="","",IF('04_Dados_Ajustados'!M63="","",IF('03_Base_Indice'!$G63="+",MIN('01_Criterios'!$C$10,MAX('01_Criterios'!$C$9,'01_Criterios'!$C$9+('01_Criterios'!$C$10-'01_Criterios'!$C$9)*('04_Dados_Ajustados'!M63-'03_Base_Indice'!$H63)/('03_Base_Indice'!$I63-'03_Base_Indice'!$H63))),MIN('01_Criterios'!$C$10,MAX('01_Criterios'!$C$9,'01_Criterios'!$C$9+('01_Criterios'!$C$10-'01_Criterios'!$C$9)*('03_Base_Indice'!$I63-'04_Dados_Ajustados'!M63)/('03_Base_Indice'!$I63-'03_Base_Indice'!$H63))))))</f>
        <v/>
      </c>
      <c r="N63" s="31" t="str">
        <f>IF($D63="","",IF('04_Dados_Ajustados'!N63="","",IF('03_Base_Indice'!$G63="+",MIN('01_Criterios'!$C$10,MAX('01_Criterios'!$C$9,'01_Criterios'!$C$9+('01_Criterios'!$C$10-'01_Criterios'!$C$9)*('04_Dados_Ajustados'!N63-'03_Base_Indice'!$H63)/('03_Base_Indice'!$I63-'03_Base_Indice'!$H63))),MIN('01_Criterios'!$C$10,MAX('01_Criterios'!$C$9,'01_Criterios'!$C$9+('01_Criterios'!$C$10-'01_Criterios'!$C$9)*('03_Base_Indice'!$I63-'04_Dados_Ajustados'!N63)/('03_Base_Indice'!$I63-'03_Base_Indice'!$H63))))))</f>
        <v/>
      </c>
      <c r="O63" s="31" t="str">
        <f>IF($D63="","",IF('04_Dados_Ajustados'!O63="","",IF('03_Base_Indice'!$G63="+",MIN('01_Criterios'!$C$10,MAX('01_Criterios'!$C$9,'01_Criterios'!$C$9+('01_Criterios'!$C$10-'01_Criterios'!$C$9)*('04_Dados_Ajustados'!O63-'03_Base_Indice'!$H63)/('03_Base_Indice'!$I63-'03_Base_Indice'!$H63))),MIN('01_Criterios'!$C$10,MAX('01_Criterios'!$C$9,'01_Criterios'!$C$9+('01_Criterios'!$C$10-'01_Criterios'!$C$9)*('03_Base_Indice'!$I63-'04_Dados_Ajustados'!O63)/('03_Base_Indice'!$I63-'03_Base_Indice'!$H63))))))</f>
        <v/>
      </c>
      <c r="P63" s="31" t="str">
        <f>IF($D63="","",IF('04_Dados_Ajustados'!P63="","",IF('03_Base_Indice'!$G63="+",MIN('01_Criterios'!$C$10,MAX('01_Criterios'!$C$9,'01_Criterios'!$C$9+('01_Criterios'!$C$10-'01_Criterios'!$C$9)*('04_Dados_Ajustados'!P63-'03_Base_Indice'!$H63)/('03_Base_Indice'!$I63-'03_Base_Indice'!$H63))),MIN('01_Criterios'!$C$10,MAX('01_Criterios'!$C$9,'01_Criterios'!$C$9+('01_Criterios'!$C$10-'01_Criterios'!$C$9)*('03_Base_Indice'!$I63-'04_Dados_Ajustados'!P63)/('03_Base_Indice'!$I63-'03_Base_Indice'!$H63))))))</f>
        <v/>
      </c>
      <c r="Q63" s="31" t="str">
        <f>IF($D63="","",IF('04_Dados_Ajustados'!Q63="","",IF('03_Base_Indice'!$G63="+",MIN('01_Criterios'!$C$10,MAX('01_Criterios'!$C$9,'01_Criterios'!$C$9+('01_Criterios'!$C$10-'01_Criterios'!$C$9)*('04_Dados_Ajustados'!Q63-'03_Base_Indice'!$H63)/('03_Base_Indice'!$I63-'03_Base_Indice'!$H63))),MIN('01_Criterios'!$C$10,MAX('01_Criterios'!$C$9,'01_Criterios'!$C$9+('01_Criterios'!$C$10-'01_Criterios'!$C$9)*('03_Base_Indice'!$I63-'04_Dados_Ajustados'!Q63)/('03_Base_Indice'!$I63-'03_Base_Indice'!$H63))))))</f>
        <v/>
      </c>
      <c r="R63" s="31" t="str">
        <f>IF($D63="","",IF('04_Dados_Ajustados'!R63="","",IF('03_Base_Indice'!$G63="+",MIN('01_Criterios'!$C$10,MAX('01_Criterios'!$C$9,'01_Criterios'!$C$9+('01_Criterios'!$C$10-'01_Criterios'!$C$9)*('04_Dados_Ajustados'!R63-'03_Base_Indice'!$H63)/('03_Base_Indice'!$I63-'03_Base_Indice'!$H63))),MIN('01_Criterios'!$C$10,MAX('01_Criterios'!$C$9,'01_Criterios'!$C$9+('01_Criterios'!$C$10-'01_Criterios'!$C$9)*('03_Base_Indice'!$I63-'04_Dados_Ajustados'!R63)/('03_Base_Indice'!$I63-'03_Base_Indice'!$H63))))))</f>
        <v/>
      </c>
      <c r="S63" s="31" t="str">
        <f>IF($D63="","",IF('04_Dados_Ajustados'!S63="","",IF('03_Base_Indice'!$G63="+",MIN('01_Criterios'!$C$10,MAX('01_Criterios'!$C$9,'01_Criterios'!$C$9+('01_Criterios'!$C$10-'01_Criterios'!$C$9)*('04_Dados_Ajustados'!S63-'03_Base_Indice'!$H63)/('03_Base_Indice'!$I63-'03_Base_Indice'!$H63))),MIN('01_Criterios'!$C$10,MAX('01_Criterios'!$C$9,'01_Criterios'!$C$9+('01_Criterios'!$C$10-'01_Criterios'!$C$9)*('03_Base_Indice'!$I63-'04_Dados_Ajustados'!S63)/('03_Base_Indice'!$I63-'03_Base_Indice'!$H63))))))</f>
        <v/>
      </c>
      <c r="T63" s="31" t="str">
        <f>IF($D63="","",IF('04_Dados_Ajustados'!T63="","",IF('03_Base_Indice'!$G63="+",MIN('01_Criterios'!$C$10,MAX('01_Criterios'!$C$9,'01_Criterios'!$C$9+('01_Criterios'!$C$10-'01_Criterios'!$C$9)*('04_Dados_Ajustados'!T63-'03_Base_Indice'!$H63)/('03_Base_Indice'!$I63-'03_Base_Indice'!$H63))),MIN('01_Criterios'!$C$10,MAX('01_Criterios'!$C$9,'01_Criterios'!$C$9+('01_Criterios'!$C$10-'01_Criterios'!$C$9)*('03_Base_Indice'!$I63-'04_Dados_Ajustados'!T63)/('03_Base_Indice'!$I63-'03_Base_Indice'!$H63))))))</f>
        <v/>
      </c>
      <c r="U63" s="31" t="str">
        <f>IF($D63="","",IF('04_Dados_Ajustados'!U63="","",IF('03_Base_Indice'!$G63="+",MIN('01_Criterios'!$C$10,MAX('01_Criterios'!$C$9,'01_Criterios'!$C$9+('01_Criterios'!$C$10-'01_Criterios'!$C$9)*('04_Dados_Ajustados'!U63-'03_Base_Indice'!$H63)/('03_Base_Indice'!$I63-'03_Base_Indice'!$H63))),MIN('01_Criterios'!$C$10,MAX('01_Criterios'!$C$9,'01_Criterios'!$C$9+('01_Criterios'!$C$10-'01_Criterios'!$C$9)*('03_Base_Indice'!$I63-'04_Dados_Ajustados'!U63)/('03_Base_Indice'!$I63-'03_Base_Indice'!$H63))))))</f>
        <v/>
      </c>
    </row>
    <row r="64" spans="1:21">
      <c r="A64" s="6" t="str">
        <f>IF('03_Base_Indice'!$A64="","",'03_Base_Indice'!$A64)</f>
        <v>6. Mercado de Trabalho</v>
      </c>
      <c r="B64" s="6">
        <f>'03_Base_Indice'!$B64</f>
        <v>10</v>
      </c>
      <c r="D64" s="6" t="str">
        <f>IF('03_Base_Indice'!$D64="","",'03_Base_Indice'!$D64)</f>
        <v/>
      </c>
      <c r="E64" s="6" t="str">
        <f>IF('03_Base_Indice'!$E64="","",'03_Base_Indice'!$E64)</f>
        <v/>
      </c>
      <c r="G64" s="20" t="str">
        <f>IF('03_Base_Indice'!$G64="","",'03_Base_Indice'!$G64)</f>
        <v/>
      </c>
      <c r="K64" s="31" t="str">
        <f>IF($D64="","",IF('04_Dados_Ajustados'!K64="","",IF('03_Base_Indice'!$G64="+",MIN('01_Criterios'!$C$10,MAX('01_Criterios'!$C$9,'01_Criterios'!$C$9+('01_Criterios'!$C$10-'01_Criterios'!$C$9)*('04_Dados_Ajustados'!K64-'03_Base_Indice'!$H64)/('03_Base_Indice'!$I64-'03_Base_Indice'!$H64))),MIN('01_Criterios'!$C$10,MAX('01_Criterios'!$C$9,'01_Criterios'!$C$9+('01_Criterios'!$C$10-'01_Criterios'!$C$9)*('03_Base_Indice'!$I64-'04_Dados_Ajustados'!K64)/('03_Base_Indice'!$I64-'03_Base_Indice'!$H64))))))</f>
        <v/>
      </c>
      <c r="L64" s="31" t="str">
        <f>IF($D64="","",IF('04_Dados_Ajustados'!L64="","",IF('03_Base_Indice'!$G64="+",MIN('01_Criterios'!$C$10,MAX('01_Criterios'!$C$9,'01_Criterios'!$C$9+('01_Criterios'!$C$10-'01_Criterios'!$C$9)*('04_Dados_Ajustados'!L64-'03_Base_Indice'!$H64)/('03_Base_Indice'!$I64-'03_Base_Indice'!$H64))),MIN('01_Criterios'!$C$10,MAX('01_Criterios'!$C$9,'01_Criterios'!$C$9+('01_Criterios'!$C$10-'01_Criterios'!$C$9)*('03_Base_Indice'!$I64-'04_Dados_Ajustados'!L64)/('03_Base_Indice'!$I64-'03_Base_Indice'!$H64))))))</f>
        <v/>
      </c>
      <c r="M64" s="31" t="str">
        <f>IF($D64="","",IF('04_Dados_Ajustados'!M64="","",IF('03_Base_Indice'!$G64="+",MIN('01_Criterios'!$C$10,MAX('01_Criterios'!$C$9,'01_Criterios'!$C$9+('01_Criterios'!$C$10-'01_Criterios'!$C$9)*('04_Dados_Ajustados'!M64-'03_Base_Indice'!$H64)/('03_Base_Indice'!$I64-'03_Base_Indice'!$H64))),MIN('01_Criterios'!$C$10,MAX('01_Criterios'!$C$9,'01_Criterios'!$C$9+('01_Criterios'!$C$10-'01_Criterios'!$C$9)*('03_Base_Indice'!$I64-'04_Dados_Ajustados'!M64)/('03_Base_Indice'!$I64-'03_Base_Indice'!$H64))))))</f>
        <v/>
      </c>
      <c r="N64" s="31" t="str">
        <f>IF($D64="","",IF('04_Dados_Ajustados'!N64="","",IF('03_Base_Indice'!$G64="+",MIN('01_Criterios'!$C$10,MAX('01_Criterios'!$C$9,'01_Criterios'!$C$9+('01_Criterios'!$C$10-'01_Criterios'!$C$9)*('04_Dados_Ajustados'!N64-'03_Base_Indice'!$H64)/('03_Base_Indice'!$I64-'03_Base_Indice'!$H64))),MIN('01_Criterios'!$C$10,MAX('01_Criterios'!$C$9,'01_Criterios'!$C$9+('01_Criterios'!$C$10-'01_Criterios'!$C$9)*('03_Base_Indice'!$I64-'04_Dados_Ajustados'!N64)/('03_Base_Indice'!$I64-'03_Base_Indice'!$H64))))))</f>
        <v/>
      </c>
      <c r="O64" s="31" t="str">
        <f>IF($D64="","",IF('04_Dados_Ajustados'!O64="","",IF('03_Base_Indice'!$G64="+",MIN('01_Criterios'!$C$10,MAX('01_Criterios'!$C$9,'01_Criterios'!$C$9+('01_Criterios'!$C$10-'01_Criterios'!$C$9)*('04_Dados_Ajustados'!O64-'03_Base_Indice'!$H64)/('03_Base_Indice'!$I64-'03_Base_Indice'!$H64))),MIN('01_Criterios'!$C$10,MAX('01_Criterios'!$C$9,'01_Criterios'!$C$9+('01_Criterios'!$C$10-'01_Criterios'!$C$9)*('03_Base_Indice'!$I64-'04_Dados_Ajustados'!O64)/('03_Base_Indice'!$I64-'03_Base_Indice'!$H64))))))</f>
        <v/>
      </c>
      <c r="P64" s="31" t="str">
        <f>IF($D64="","",IF('04_Dados_Ajustados'!P64="","",IF('03_Base_Indice'!$G64="+",MIN('01_Criterios'!$C$10,MAX('01_Criterios'!$C$9,'01_Criterios'!$C$9+('01_Criterios'!$C$10-'01_Criterios'!$C$9)*('04_Dados_Ajustados'!P64-'03_Base_Indice'!$H64)/('03_Base_Indice'!$I64-'03_Base_Indice'!$H64))),MIN('01_Criterios'!$C$10,MAX('01_Criterios'!$C$9,'01_Criterios'!$C$9+('01_Criterios'!$C$10-'01_Criterios'!$C$9)*('03_Base_Indice'!$I64-'04_Dados_Ajustados'!P64)/('03_Base_Indice'!$I64-'03_Base_Indice'!$H64))))))</f>
        <v/>
      </c>
      <c r="Q64" s="31" t="str">
        <f>IF($D64="","",IF('04_Dados_Ajustados'!Q64="","",IF('03_Base_Indice'!$G64="+",MIN('01_Criterios'!$C$10,MAX('01_Criterios'!$C$9,'01_Criterios'!$C$9+('01_Criterios'!$C$10-'01_Criterios'!$C$9)*('04_Dados_Ajustados'!Q64-'03_Base_Indice'!$H64)/('03_Base_Indice'!$I64-'03_Base_Indice'!$H64))),MIN('01_Criterios'!$C$10,MAX('01_Criterios'!$C$9,'01_Criterios'!$C$9+('01_Criterios'!$C$10-'01_Criterios'!$C$9)*('03_Base_Indice'!$I64-'04_Dados_Ajustados'!Q64)/('03_Base_Indice'!$I64-'03_Base_Indice'!$H64))))))</f>
        <v/>
      </c>
      <c r="R64" s="31" t="str">
        <f>IF($D64="","",IF('04_Dados_Ajustados'!R64="","",IF('03_Base_Indice'!$G64="+",MIN('01_Criterios'!$C$10,MAX('01_Criterios'!$C$9,'01_Criterios'!$C$9+('01_Criterios'!$C$10-'01_Criterios'!$C$9)*('04_Dados_Ajustados'!R64-'03_Base_Indice'!$H64)/('03_Base_Indice'!$I64-'03_Base_Indice'!$H64))),MIN('01_Criterios'!$C$10,MAX('01_Criterios'!$C$9,'01_Criterios'!$C$9+('01_Criterios'!$C$10-'01_Criterios'!$C$9)*('03_Base_Indice'!$I64-'04_Dados_Ajustados'!R64)/('03_Base_Indice'!$I64-'03_Base_Indice'!$H64))))))</f>
        <v/>
      </c>
      <c r="S64" s="31" t="str">
        <f>IF($D64="","",IF('04_Dados_Ajustados'!S64="","",IF('03_Base_Indice'!$G64="+",MIN('01_Criterios'!$C$10,MAX('01_Criterios'!$C$9,'01_Criterios'!$C$9+('01_Criterios'!$C$10-'01_Criterios'!$C$9)*('04_Dados_Ajustados'!S64-'03_Base_Indice'!$H64)/('03_Base_Indice'!$I64-'03_Base_Indice'!$H64))),MIN('01_Criterios'!$C$10,MAX('01_Criterios'!$C$9,'01_Criterios'!$C$9+('01_Criterios'!$C$10-'01_Criterios'!$C$9)*('03_Base_Indice'!$I64-'04_Dados_Ajustados'!S64)/('03_Base_Indice'!$I64-'03_Base_Indice'!$H64))))))</f>
        <v/>
      </c>
      <c r="T64" s="31" t="str">
        <f>IF($D64="","",IF('04_Dados_Ajustados'!T64="","",IF('03_Base_Indice'!$G64="+",MIN('01_Criterios'!$C$10,MAX('01_Criterios'!$C$9,'01_Criterios'!$C$9+('01_Criterios'!$C$10-'01_Criterios'!$C$9)*('04_Dados_Ajustados'!T64-'03_Base_Indice'!$H64)/('03_Base_Indice'!$I64-'03_Base_Indice'!$H64))),MIN('01_Criterios'!$C$10,MAX('01_Criterios'!$C$9,'01_Criterios'!$C$9+('01_Criterios'!$C$10-'01_Criterios'!$C$9)*('03_Base_Indice'!$I64-'04_Dados_Ajustados'!T64)/('03_Base_Indice'!$I64-'03_Base_Indice'!$H64))))))</f>
        <v/>
      </c>
      <c r="U64" s="31" t="str">
        <f>IF($D64="","",IF('04_Dados_Ajustados'!U64="","",IF('03_Base_Indice'!$G64="+",MIN('01_Criterios'!$C$10,MAX('01_Criterios'!$C$9,'01_Criterios'!$C$9+('01_Criterios'!$C$10-'01_Criterios'!$C$9)*('04_Dados_Ajustados'!U64-'03_Base_Indice'!$H64)/('03_Base_Indice'!$I64-'03_Base_Indice'!$H64))),MIN('01_Criterios'!$C$10,MAX('01_Criterios'!$C$9,'01_Criterios'!$C$9+('01_Criterios'!$C$10-'01_Criterios'!$C$9)*('03_Base_Indice'!$I64-'04_Dados_Ajustados'!U64)/('03_Base_Indice'!$I64-'03_Base_Indice'!$H64))))))</f>
        <v/>
      </c>
    </row>
    <row r="65" spans="1:21">
      <c r="A65" s="6" t="str">
        <f>IF('03_Base_Indice'!$A65="","",'03_Base_Indice'!$A65)</f>
        <v>7. Segurança Alimentar e Saúde</v>
      </c>
      <c r="B65" s="6">
        <f>'03_Base_Indice'!$B65</f>
        <v>1</v>
      </c>
      <c r="D65" s="6" t="str">
        <f>IF('03_Base_Indice'!$D65="","",'03_Base_Indice'!$D65)</f>
        <v>SAU003</v>
      </c>
      <c r="E65" s="6" t="str">
        <f>IF('03_Base_Indice'!$E65="","",'03_Base_Indice'!$E65)</f>
        <v>Mortalidade Materna (por 100k)</v>
      </c>
      <c r="G65" s="20" t="str">
        <f>IF('03_Base_Indice'!$G65="","",'03_Base_Indice'!$G65)</f>
        <v>-</v>
      </c>
      <c r="K65" s="31">
        <f>IF($D65="","",IF('04_Dados_Ajustados'!K65="","",IF('03_Base_Indice'!$G65="+",MIN('01_Criterios'!$C$10,MAX('01_Criterios'!$C$9,'01_Criterios'!$C$9+('01_Criterios'!$C$10-'01_Criterios'!$C$9)*('04_Dados_Ajustados'!K65-'03_Base_Indice'!$H65)/('03_Base_Indice'!$I65-'03_Base_Indice'!$H65))),MIN('01_Criterios'!$C$10,MAX('01_Criterios'!$C$9,'01_Criterios'!$C$9+('01_Criterios'!$C$10-'01_Criterios'!$C$9)*('03_Base_Indice'!$I65-'04_Dados_Ajustados'!K65)/('03_Base_Indice'!$I65-'03_Base_Indice'!$H65))))))</f>
        <v>75.099999999999994</v>
      </c>
      <c r="L65" s="31">
        <f>IF($D65="","",IF('04_Dados_Ajustados'!L65="","",IF('03_Base_Indice'!$G65="+",MIN('01_Criterios'!$C$10,MAX('01_Criterios'!$C$9,'01_Criterios'!$C$9+('01_Criterios'!$C$10-'01_Criterios'!$C$9)*('04_Dados_Ajustados'!L65-'03_Base_Indice'!$H65)/('03_Base_Indice'!$I65-'03_Base_Indice'!$H65))),MIN('01_Criterios'!$C$10,MAX('01_Criterios'!$C$9,'01_Criterios'!$C$9+('01_Criterios'!$C$10-'01_Criterios'!$C$9)*('03_Base_Indice'!$I65-'04_Dados_Ajustados'!L65)/('03_Base_Indice'!$I65-'03_Base_Indice'!$H65))))))</f>
        <v>76.400000000000006</v>
      </c>
      <c r="M65" s="31">
        <f>IF($D65="","",IF('04_Dados_Ajustados'!M65="","",IF('03_Base_Indice'!$G65="+",MIN('01_Criterios'!$C$10,MAX('01_Criterios'!$C$9,'01_Criterios'!$C$9+('01_Criterios'!$C$10-'01_Criterios'!$C$9)*('04_Dados_Ajustados'!M65-'03_Base_Indice'!$H65)/('03_Base_Indice'!$I65-'03_Base_Indice'!$H65))),MIN('01_Criterios'!$C$10,MAX('01_Criterios'!$C$9,'01_Criterios'!$C$9+('01_Criterios'!$C$10-'01_Criterios'!$C$9)*('03_Base_Indice'!$I65-'04_Dados_Ajustados'!M65)/('03_Base_Indice'!$I65-'03_Base_Indice'!$H65))))))</f>
        <v>78</v>
      </c>
      <c r="N65" s="31">
        <f>IF($D65="","",IF('04_Dados_Ajustados'!N65="","",IF('03_Base_Indice'!$G65="+",MIN('01_Criterios'!$C$10,MAX('01_Criterios'!$C$9,'01_Criterios'!$C$9+('01_Criterios'!$C$10-'01_Criterios'!$C$9)*('04_Dados_Ajustados'!N65-'03_Base_Indice'!$H65)/('03_Base_Indice'!$I65-'03_Base_Indice'!$H65))),MIN('01_Criterios'!$C$10,MAX('01_Criterios'!$C$9,'01_Criterios'!$C$9+('01_Criterios'!$C$10-'01_Criterios'!$C$9)*('03_Base_Indice'!$I65-'04_Dados_Ajustados'!N65)/('03_Base_Indice'!$I65-'03_Base_Indice'!$H65))))))</f>
        <v>79.2</v>
      </c>
      <c r="O65" s="31">
        <f>IF($D65="","",IF('04_Dados_Ajustados'!O65="","",IF('03_Base_Indice'!$G65="+",MIN('01_Criterios'!$C$10,MAX('01_Criterios'!$C$9,'01_Criterios'!$C$9+('01_Criterios'!$C$10-'01_Criterios'!$C$9)*('04_Dados_Ajustados'!O65-'03_Base_Indice'!$H65)/('03_Base_Indice'!$I65-'03_Base_Indice'!$H65))),MIN('01_Criterios'!$C$10,MAX('01_Criterios'!$C$9,'01_Criterios'!$C$9+('01_Criterios'!$C$10-'01_Criterios'!$C$9)*('03_Base_Indice'!$I65-'04_Dados_Ajustados'!O65)/('03_Base_Indice'!$I65-'03_Base_Indice'!$H65))))))</f>
        <v>79.8</v>
      </c>
      <c r="P65" s="31">
        <f>IF($D65="","",IF('04_Dados_Ajustados'!P65="","",IF('03_Base_Indice'!$G65="+",MIN('01_Criterios'!$C$10,MAX('01_Criterios'!$C$9,'01_Criterios'!$C$9+('01_Criterios'!$C$10-'01_Criterios'!$C$9)*('04_Dados_Ajustados'!P65-'03_Base_Indice'!$H65)/('03_Base_Indice'!$I65-'03_Base_Indice'!$H65))),MIN('01_Criterios'!$C$10,MAX('01_Criterios'!$C$9,'01_Criterios'!$C$9+('01_Criterios'!$C$10-'01_Criterios'!$C$9)*('03_Base_Indice'!$I65-'04_Dados_Ajustados'!P65)/('03_Base_Indice'!$I65-'03_Base_Indice'!$H65))))))</f>
        <v>80.5</v>
      </c>
      <c r="Q65" s="31">
        <f>IF($D65="","",IF('04_Dados_Ajustados'!Q65="","",IF('03_Base_Indice'!$G65="+",MIN('01_Criterios'!$C$10,MAX('01_Criterios'!$C$9,'01_Criterios'!$C$9+('01_Criterios'!$C$10-'01_Criterios'!$C$9)*('04_Dados_Ajustados'!Q65-'03_Base_Indice'!$H65)/('03_Base_Indice'!$I65-'03_Base_Indice'!$H65))),MIN('01_Criterios'!$C$10,MAX('01_Criterios'!$C$9,'01_Criterios'!$C$9+('01_Criterios'!$C$10-'01_Criterios'!$C$9)*('03_Base_Indice'!$I65-'04_Dados_Ajustados'!Q65)/('03_Base_Indice'!$I65-'03_Base_Indice'!$H65))))))</f>
        <v>78.900000000000006</v>
      </c>
      <c r="R65" s="31">
        <f>IF($D65="","",IF('04_Dados_Ajustados'!R65="","",IF('03_Base_Indice'!$G65="+",MIN('01_Criterios'!$C$10,MAX('01_Criterios'!$C$9,'01_Criterios'!$C$9+('01_Criterios'!$C$10-'01_Criterios'!$C$9)*('04_Dados_Ajustados'!R65-'03_Base_Indice'!$H65)/('03_Base_Indice'!$I65-'03_Base_Indice'!$H65))),MIN('01_Criterios'!$C$10,MAX('01_Criterios'!$C$9,'01_Criterios'!$C$9+('01_Criterios'!$C$10-'01_Criterios'!$C$9)*('03_Base_Indice'!$I65-'04_Dados_Ajustados'!R65)/('03_Base_Indice'!$I65-'03_Base_Indice'!$H65))))))</f>
        <v>81.5</v>
      </c>
      <c r="S65" s="31">
        <f>IF($D65="","",IF('04_Dados_Ajustados'!S65="","",IF('03_Base_Indice'!$G65="+",MIN('01_Criterios'!$C$10,MAX('01_Criterios'!$C$9,'01_Criterios'!$C$9+('01_Criterios'!$C$10-'01_Criterios'!$C$9)*('04_Dados_Ajustados'!S65-'03_Base_Indice'!$H65)/('03_Base_Indice'!$I65-'03_Base_Indice'!$H65))),MIN('01_Criterios'!$C$10,MAX('01_Criterios'!$C$9,'01_Criterios'!$C$9+('01_Criterios'!$C$10-'01_Criterios'!$C$9)*('03_Base_Indice'!$I65-'04_Dados_Ajustados'!S65)/('03_Base_Indice'!$I65-'03_Base_Indice'!$H65))))))</f>
        <v>81.7</v>
      </c>
      <c r="T65" s="31">
        <f>IF($D65="","",IF('04_Dados_Ajustados'!T65="","",IF('03_Base_Indice'!$G65="+",MIN('01_Criterios'!$C$10,MAX('01_Criterios'!$C$9,'01_Criterios'!$C$9+('01_Criterios'!$C$10-'01_Criterios'!$C$9)*('04_Dados_Ajustados'!T65-'03_Base_Indice'!$H65)/('03_Base_Indice'!$I65-'03_Base_Indice'!$H65))),MIN('01_Criterios'!$C$10,MAX('01_Criterios'!$C$9,'01_Criterios'!$C$9+('01_Criterios'!$C$10-'01_Criterios'!$C$9)*('03_Base_Indice'!$I65-'04_Dados_Ajustados'!T65)/('03_Base_Indice'!$I65-'03_Base_Indice'!$H65))))))</f>
        <v>81.5</v>
      </c>
      <c r="U65" s="31">
        <f>IF($D65="","",IF('04_Dados_Ajustados'!U65="","",IF('03_Base_Indice'!$G65="+",MIN('01_Criterios'!$C$10,MAX('01_Criterios'!$C$9,'01_Criterios'!$C$9+('01_Criterios'!$C$10-'01_Criterios'!$C$9)*('04_Dados_Ajustados'!U65-'03_Base_Indice'!$H65)/('03_Base_Indice'!$I65-'03_Base_Indice'!$H65))),MIN('01_Criterios'!$C$10,MAX('01_Criterios'!$C$9,'01_Criterios'!$C$9+('01_Criterios'!$C$10-'01_Criterios'!$C$9)*('03_Base_Indice'!$I65-'04_Dados_Ajustados'!U65)/('03_Base_Indice'!$I65-'03_Base_Indice'!$H65))))))</f>
        <v>83</v>
      </c>
    </row>
    <row r="66" spans="1:21">
      <c r="A66" s="6" t="str">
        <f>IF('03_Base_Indice'!$A66="","",'03_Base_Indice'!$A66)</f>
        <v>7. Segurança Alimentar e Saúde</v>
      </c>
      <c r="B66" s="6">
        <f>'03_Base_Indice'!$B66</f>
        <v>2</v>
      </c>
      <c r="D66" s="6" t="str">
        <f>IF('03_Base_Indice'!$D66="","",'03_Base_Indice'!$D66)</f>
        <v>SAU006</v>
      </c>
      <c r="E66" s="6" t="str">
        <f>IF('03_Base_Indice'!$E66="","",'03_Base_Indice'!$E66)</f>
        <v>Cobertura Vacinal (%)</v>
      </c>
      <c r="G66" s="20" t="str">
        <f>IF('03_Base_Indice'!$G66="","",'03_Base_Indice'!$G66)</f>
        <v>+</v>
      </c>
      <c r="K66" s="31">
        <f>IF($D66="","",IF('04_Dados_Ajustados'!K66="","",IF('03_Base_Indice'!$G66="+",MIN('01_Criterios'!$C$10,MAX('01_Criterios'!$C$9,'01_Criterios'!$C$9+('01_Criterios'!$C$10-'01_Criterios'!$C$9)*('04_Dados_Ajustados'!K66-'03_Base_Indice'!$H66)/('03_Base_Indice'!$I66-'03_Base_Indice'!$H66))),MIN('01_Criterios'!$C$10,MAX('01_Criterios'!$C$9,'01_Criterios'!$C$9+('01_Criterios'!$C$10-'01_Criterios'!$C$9)*('03_Base_Indice'!$I66-'04_Dados_Ajustados'!K66)/('03_Base_Indice'!$I66-'03_Base_Indice'!$H66))))))</f>
        <v>52</v>
      </c>
      <c r="L66" s="31">
        <f>IF($D66="","",IF('04_Dados_Ajustados'!L66="","",IF('03_Base_Indice'!$G66="+",MIN('01_Criterios'!$C$10,MAX('01_Criterios'!$C$9,'01_Criterios'!$C$9+('01_Criterios'!$C$10-'01_Criterios'!$C$9)*('04_Dados_Ajustados'!L66-'03_Base_Indice'!$H66)/('03_Base_Indice'!$I66-'03_Base_Indice'!$H66))),MIN('01_Criterios'!$C$10,MAX('01_Criterios'!$C$9,'01_Criterios'!$C$9+('01_Criterios'!$C$10-'01_Criterios'!$C$9)*('03_Base_Indice'!$I66-'04_Dados_Ajustados'!L66)/('03_Base_Indice'!$I66-'03_Base_Indice'!$H66))))))</f>
        <v>49</v>
      </c>
      <c r="M66" s="31">
        <f>IF($D66="","",IF('04_Dados_Ajustados'!M66="","",IF('03_Base_Indice'!$G66="+",MIN('01_Criterios'!$C$10,MAX('01_Criterios'!$C$9,'01_Criterios'!$C$9+('01_Criterios'!$C$10-'01_Criterios'!$C$9)*('04_Dados_Ajustados'!M66-'03_Base_Indice'!$H66)/('03_Base_Indice'!$I66-'03_Base_Indice'!$H66))),MIN('01_Criterios'!$C$10,MAX('01_Criterios'!$C$9,'01_Criterios'!$C$9+('01_Criterios'!$C$10-'01_Criterios'!$C$9)*('03_Base_Indice'!$I66-'04_Dados_Ajustados'!M66)/('03_Base_Indice'!$I66-'03_Base_Indice'!$H66))))))</f>
        <v>47</v>
      </c>
      <c r="N66" s="31">
        <f>IF($D66="","",IF('04_Dados_Ajustados'!N66="","",IF('03_Base_Indice'!$G66="+",MIN('01_Criterios'!$C$10,MAX('01_Criterios'!$C$9,'01_Criterios'!$C$9+('01_Criterios'!$C$10-'01_Criterios'!$C$9)*('04_Dados_Ajustados'!N66-'03_Base_Indice'!$H66)/('03_Base_Indice'!$I66-'03_Base_Indice'!$H66))),MIN('01_Criterios'!$C$10,MAX('01_Criterios'!$C$9,'01_Criterios'!$C$9+('01_Criterios'!$C$10-'01_Criterios'!$C$9)*('03_Base_Indice'!$I66-'04_Dados_Ajustados'!N66)/('03_Base_Indice'!$I66-'03_Base_Indice'!$H66))))))</f>
        <v>56</v>
      </c>
      <c r="O66" s="31">
        <f>IF($D66="","",IF('04_Dados_Ajustados'!O66="","",IF('03_Base_Indice'!$G66="+",MIN('01_Criterios'!$C$10,MAX('01_Criterios'!$C$9,'01_Criterios'!$C$9+('01_Criterios'!$C$10-'01_Criterios'!$C$9)*('04_Dados_Ajustados'!O66-'03_Base_Indice'!$H66)/('03_Base_Indice'!$I66-'03_Base_Indice'!$H66))),MIN('01_Criterios'!$C$10,MAX('01_Criterios'!$C$9,'01_Criterios'!$C$9+('01_Criterios'!$C$10-'01_Criterios'!$C$9)*('03_Base_Indice'!$I66-'04_Dados_Ajustados'!O66)/('03_Base_Indice'!$I66-'03_Base_Indice'!$H66))))))</f>
        <v>59</v>
      </c>
      <c r="P66" s="31">
        <f>IF($D66="","",IF('04_Dados_Ajustados'!P66="","",IF('03_Base_Indice'!$G66="+",MIN('01_Criterios'!$C$10,MAX('01_Criterios'!$C$9,'01_Criterios'!$C$9+('01_Criterios'!$C$10-'01_Criterios'!$C$9)*('04_Dados_Ajustados'!P66-'03_Base_Indice'!$H66)/('03_Base_Indice'!$I66-'03_Base_Indice'!$H66))),MIN('01_Criterios'!$C$10,MAX('01_Criterios'!$C$9,'01_Criterios'!$C$9+('01_Criterios'!$C$10-'01_Criterios'!$C$9)*('03_Base_Indice'!$I66-'04_Dados_Ajustados'!P66)/('03_Base_Indice'!$I66-'03_Base_Indice'!$H66))))))</f>
        <v>54</v>
      </c>
      <c r="Q66" s="31">
        <f>IF($D66="","",IF('04_Dados_Ajustados'!Q66="","",IF('03_Base_Indice'!$G66="+",MIN('01_Criterios'!$C$10,MAX('01_Criterios'!$C$9,'01_Criterios'!$C$9+('01_Criterios'!$C$10-'01_Criterios'!$C$9)*('04_Dados_Ajustados'!Q66-'03_Base_Indice'!$H66)/('03_Base_Indice'!$I66-'03_Base_Indice'!$H66))),MIN('01_Criterios'!$C$10,MAX('01_Criterios'!$C$9,'01_Criterios'!$C$9+('01_Criterios'!$C$10-'01_Criterios'!$C$9)*('03_Base_Indice'!$I66-'04_Dados_Ajustados'!Q66)/('03_Base_Indice'!$I66-'03_Base_Indice'!$H66))))))</f>
        <v>48</v>
      </c>
      <c r="R66" s="31">
        <f>IF($D66="","",IF('04_Dados_Ajustados'!R66="","",IF('03_Base_Indice'!$G66="+",MIN('01_Criterios'!$C$10,MAX('01_Criterios'!$C$9,'01_Criterios'!$C$9+('01_Criterios'!$C$10-'01_Criterios'!$C$9)*('04_Dados_Ajustados'!R66-'03_Base_Indice'!$H66)/('03_Base_Indice'!$I66-'03_Base_Indice'!$H66))),MIN('01_Criterios'!$C$10,MAX('01_Criterios'!$C$9,'01_Criterios'!$C$9+('01_Criterios'!$C$10-'01_Criterios'!$C$9)*('03_Base_Indice'!$I66-'04_Dados_Ajustados'!R66)/('03_Base_Indice'!$I66-'03_Base_Indice'!$H66))))))</f>
        <v>50</v>
      </c>
      <c r="S66" s="31">
        <f>IF($D66="","",IF('04_Dados_Ajustados'!S66="","",IF('03_Base_Indice'!$G66="+",MIN('01_Criterios'!$C$10,MAX('01_Criterios'!$C$9,'01_Criterios'!$C$9+('01_Criterios'!$C$10-'01_Criterios'!$C$9)*('04_Dados_Ajustados'!S66-'03_Base_Indice'!$H66)/('03_Base_Indice'!$I66-'03_Base_Indice'!$H66))),MIN('01_Criterios'!$C$10,MAX('01_Criterios'!$C$9,'01_Criterios'!$C$9+('01_Criterios'!$C$10-'01_Criterios'!$C$9)*('03_Base_Indice'!$I66-'04_Dados_Ajustados'!S66)/('03_Base_Indice'!$I66-'03_Base_Indice'!$H66))))))</f>
        <v>63</v>
      </c>
      <c r="T66" s="31">
        <f>IF($D66="","",IF('04_Dados_Ajustados'!T66="","",IF('03_Base_Indice'!$G66="+",MIN('01_Criterios'!$C$10,MAX('01_Criterios'!$C$9,'01_Criterios'!$C$9+('01_Criterios'!$C$10-'01_Criterios'!$C$9)*('04_Dados_Ajustados'!T66-'03_Base_Indice'!$H66)/('03_Base_Indice'!$I66-'03_Base_Indice'!$H66))),MIN('01_Criterios'!$C$10,MAX('01_Criterios'!$C$9,'01_Criterios'!$C$9+('01_Criterios'!$C$10-'01_Criterios'!$C$9)*('03_Base_Indice'!$I66-'04_Dados_Ajustados'!T66)/('03_Base_Indice'!$I66-'03_Base_Indice'!$H66))))))</f>
        <v>53</v>
      </c>
      <c r="U66" s="31">
        <f>IF($D66="","",IF('04_Dados_Ajustados'!U66="","",IF('03_Base_Indice'!$G66="+",MIN('01_Criterios'!$C$10,MAX('01_Criterios'!$C$9,'01_Criterios'!$C$9+('01_Criterios'!$C$10-'01_Criterios'!$C$9)*('04_Dados_Ajustados'!U66-'03_Base_Indice'!$H66)/('03_Base_Indice'!$I66-'03_Base_Indice'!$H66))),MIN('01_Criterios'!$C$10,MAX('01_Criterios'!$C$9,'01_Criterios'!$C$9+('01_Criterios'!$C$10-'01_Criterios'!$C$9)*('03_Base_Indice'!$I66-'04_Dados_Ajustados'!U66)/('03_Base_Indice'!$I66-'03_Base_Indice'!$H66))))))</f>
        <v>53</v>
      </c>
    </row>
    <row r="67" spans="1:21">
      <c r="A67" s="6" t="str">
        <f>IF('03_Base_Indice'!$A67="","",'03_Base_Indice'!$A67)</f>
        <v>7. Segurança Alimentar e Saúde</v>
      </c>
      <c r="B67" s="6">
        <f>'03_Base_Indice'!$B67</f>
        <v>3</v>
      </c>
      <c r="D67" s="6" t="str">
        <f>IF('03_Base_Indice'!$D67="","",'03_Base_Indice'!$D67)</f>
        <v>SAU002</v>
      </c>
      <c r="E67" s="6" t="str">
        <f>IF('03_Base_Indice'!$E67="","",'03_Base_Indice'!$E67)</f>
        <v>Prevalência de Desnutrição</v>
      </c>
      <c r="G67" s="20" t="str">
        <f>IF('03_Base_Indice'!$G67="","",'03_Base_Indice'!$G67)</f>
        <v>-</v>
      </c>
      <c r="K67" s="31">
        <f>IF($D67="","",IF('04_Dados_Ajustados'!K67="","",IF('03_Base_Indice'!$G67="+",MIN('01_Criterios'!$C$10,MAX('01_Criterios'!$C$9,'01_Criterios'!$C$9+('01_Criterios'!$C$10-'01_Criterios'!$C$9)*('04_Dados_Ajustados'!K67-'03_Base_Indice'!$H67)/('03_Base_Indice'!$I67-'03_Base_Indice'!$H67))),MIN('01_Criterios'!$C$10,MAX('01_Criterios'!$C$9,'01_Criterios'!$C$9+('01_Criterios'!$C$10-'01_Criterios'!$C$9)*('03_Base_Indice'!$I67-'04_Dados_Ajustados'!K67)/('03_Base_Indice'!$I67-'03_Base_Indice'!$H67))))))</f>
        <v>71.599999999999994</v>
      </c>
      <c r="L67" s="31">
        <f>IF($D67="","",IF('04_Dados_Ajustados'!L67="","",IF('03_Base_Indice'!$G67="+",MIN('01_Criterios'!$C$10,MAX('01_Criterios'!$C$9,'01_Criterios'!$C$9+('01_Criterios'!$C$10-'01_Criterios'!$C$9)*('04_Dados_Ajustados'!L67-'03_Base_Indice'!$H67)/('03_Base_Indice'!$I67-'03_Base_Indice'!$H67))),MIN('01_Criterios'!$C$10,MAX('01_Criterios'!$C$9,'01_Criterios'!$C$9+('01_Criterios'!$C$10-'01_Criterios'!$C$9)*('03_Base_Indice'!$I67-'04_Dados_Ajustados'!L67)/('03_Base_Indice'!$I67-'03_Base_Indice'!$H67))))))</f>
        <v>69.599999999999994</v>
      </c>
      <c r="M67" s="31">
        <f>IF($D67="","",IF('04_Dados_Ajustados'!M67="","",IF('03_Base_Indice'!$G67="+",MIN('01_Criterios'!$C$10,MAX('01_Criterios'!$C$9,'01_Criterios'!$C$9+('01_Criterios'!$C$10-'01_Criterios'!$C$9)*('04_Dados_Ajustados'!M67-'03_Base_Indice'!$H67)/('03_Base_Indice'!$I67-'03_Base_Indice'!$H67))),MIN('01_Criterios'!$C$10,MAX('01_Criterios'!$C$9,'01_Criterios'!$C$9+('01_Criterios'!$C$10-'01_Criterios'!$C$9)*('03_Base_Indice'!$I67-'04_Dados_Ajustados'!M67)/('03_Base_Indice'!$I67-'03_Base_Indice'!$H67))))))</f>
        <v>69.2</v>
      </c>
      <c r="N67" s="31">
        <f>IF($D67="","",IF('04_Dados_Ajustados'!N67="","",IF('03_Base_Indice'!$G67="+",MIN('01_Criterios'!$C$10,MAX('01_Criterios'!$C$9,'01_Criterios'!$C$9+('01_Criterios'!$C$10-'01_Criterios'!$C$9)*('04_Dados_Ajustados'!N67-'03_Base_Indice'!$H67)/('03_Base_Indice'!$I67-'03_Base_Indice'!$H67))),MIN('01_Criterios'!$C$10,MAX('01_Criterios'!$C$9,'01_Criterios'!$C$9+('01_Criterios'!$C$10-'01_Criterios'!$C$9)*('03_Base_Indice'!$I67-'04_Dados_Ajustados'!N67)/('03_Base_Indice'!$I67-'03_Base_Indice'!$H67))))))</f>
        <v>68.2</v>
      </c>
      <c r="O67" s="31">
        <f>IF($D67="","",IF('04_Dados_Ajustados'!O67="","",IF('03_Base_Indice'!$G67="+",MIN('01_Criterios'!$C$10,MAX('01_Criterios'!$C$9,'01_Criterios'!$C$9+('01_Criterios'!$C$10-'01_Criterios'!$C$9)*('04_Dados_Ajustados'!O67-'03_Base_Indice'!$H67)/('03_Base_Indice'!$I67-'03_Base_Indice'!$H67))),MIN('01_Criterios'!$C$10,MAX('01_Criterios'!$C$9,'01_Criterios'!$C$9+('01_Criterios'!$C$10-'01_Criterios'!$C$9)*('03_Base_Indice'!$I67-'04_Dados_Ajustados'!O67)/('03_Base_Indice'!$I67-'03_Base_Indice'!$H67))))))</f>
        <v>63.6</v>
      </c>
      <c r="P67" s="31">
        <f>IF($D67="","",IF('04_Dados_Ajustados'!P67="","",IF('03_Base_Indice'!$G67="+",MIN('01_Criterios'!$C$10,MAX('01_Criterios'!$C$9,'01_Criterios'!$C$9+('01_Criterios'!$C$10-'01_Criterios'!$C$9)*('04_Dados_Ajustados'!P67-'03_Base_Indice'!$H67)/('03_Base_Indice'!$I67-'03_Base_Indice'!$H67))),MIN('01_Criterios'!$C$10,MAX('01_Criterios'!$C$9,'01_Criterios'!$C$9+('01_Criterios'!$C$10-'01_Criterios'!$C$9)*('03_Base_Indice'!$I67-'04_Dados_Ajustados'!P67)/('03_Base_Indice'!$I67-'03_Base_Indice'!$H67))))))</f>
        <v>58.4</v>
      </c>
      <c r="Q67" s="31">
        <f>IF($D67="","",IF('04_Dados_Ajustados'!Q67="","",IF('03_Base_Indice'!$G67="+",MIN('01_Criterios'!$C$10,MAX('01_Criterios'!$C$9,'01_Criterios'!$C$9+('01_Criterios'!$C$10-'01_Criterios'!$C$9)*('04_Dados_Ajustados'!Q67-'03_Base_Indice'!$H67)/('03_Base_Indice'!$I67-'03_Base_Indice'!$H67))),MIN('01_Criterios'!$C$10,MAX('01_Criterios'!$C$9,'01_Criterios'!$C$9+('01_Criterios'!$C$10-'01_Criterios'!$C$9)*('03_Base_Indice'!$I67-'04_Dados_Ajustados'!Q67)/('03_Base_Indice'!$I67-'03_Base_Indice'!$H67))))))</f>
        <v>54.8</v>
      </c>
      <c r="R67" s="31">
        <f>IF($D67="","",IF('04_Dados_Ajustados'!R67="","",IF('03_Base_Indice'!$G67="+",MIN('01_Criterios'!$C$10,MAX('01_Criterios'!$C$9,'01_Criterios'!$C$9+('01_Criterios'!$C$10-'01_Criterios'!$C$9)*('04_Dados_Ajustados'!R67-'03_Base_Indice'!$H67)/('03_Base_Indice'!$I67-'03_Base_Indice'!$H67))),MIN('01_Criterios'!$C$10,MAX('01_Criterios'!$C$9,'01_Criterios'!$C$9+('01_Criterios'!$C$10-'01_Criterios'!$C$9)*('03_Base_Indice'!$I67-'04_Dados_Ajustados'!R67)/('03_Base_Indice'!$I67-'03_Base_Indice'!$H67))))))</f>
        <v>53.8</v>
      </c>
      <c r="S67" s="31">
        <f>IF($D67="","",IF('04_Dados_Ajustados'!S67="","",IF('03_Base_Indice'!$G67="+",MIN('01_Criterios'!$C$10,MAX('01_Criterios'!$C$9,'01_Criterios'!$C$9+('01_Criterios'!$C$10-'01_Criterios'!$C$9)*('04_Dados_Ajustados'!S67-'03_Base_Indice'!$H67)/('03_Base_Indice'!$I67-'03_Base_Indice'!$H67))),MIN('01_Criterios'!$C$10,MAX('01_Criterios'!$C$9,'01_Criterios'!$C$9+('01_Criterios'!$C$10-'01_Criterios'!$C$9)*('03_Base_Indice'!$I67-'04_Dados_Ajustados'!S67)/('03_Base_Indice'!$I67-'03_Base_Indice'!$H67))))))</f>
        <v>55</v>
      </c>
      <c r="T67" s="31">
        <f>IF($D67="","",IF('04_Dados_Ajustados'!T67="","",IF('03_Base_Indice'!$G67="+",MIN('01_Criterios'!$C$10,MAX('01_Criterios'!$C$9,'01_Criterios'!$C$9+('01_Criterios'!$C$10-'01_Criterios'!$C$9)*('04_Dados_Ajustados'!T67-'03_Base_Indice'!$H67)/('03_Base_Indice'!$I67-'03_Base_Indice'!$H67))),MIN('01_Criterios'!$C$10,MAX('01_Criterios'!$C$9,'01_Criterios'!$C$9+('01_Criterios'!$C$10-'01_Criterios'!$C$9)*('03_Base_Indice'!$I67-'04_Dados_Ajustados'!T67)/('03_Base_Indice'!$I67-'03_Base_Indice'!$H67))))))</f>
        <v>55</v>
      </c>
      <c r="U67" s="31">
        <f>IF($D67="","",IF('04_Dados_Ajustados'!U67="","",IF('03_Base_Indice'!$G67="+",MIN('01_Criterios'!$C$10,MAX('01_Criterios'!$C$9,'01_Criterios'!$C$9+('01_Criterios'!$C$10-'01_Criterios'!$C$9)*('04_Dados_Ajustados'!U67-'03_Base_Indice'!$H67)/('03_Base_Indice'!$I67-'03_Base_Indice'!$H67))),MIN('01_Criterios'!$C$10,MAX('01_Criterios'!$C$9,'01_Criterios'!$C$9+('01_Criterios'!$C$10-'01_Criterios'!$C$9)*('03_Base_Indice'!$I67-'04_Dados_Ajustados'!U67)/('03_Base_Indice'!$I67-'03_Base_Indice'!$H67))))))</f>
        <v>55</v>
      </c>
    </row>
    <row r="68" spans="1:21">
      <c r="A68" s="6" t="str">
        <f>IF('03_Base_Indice'!$A68="","",'03_Base_Indice'!$A68)</f>
        <v>7. Segurança Alimentar e Saúde</v>
      </c>
      <c r="B68" s="6">
        <f>'03_Base_Indice'!$B68</f>
        <v>4</v>
      </c>
      <c r="D68" s="6" t="str">
        <f>IF('03_Base_Indice'!$D68="","",'03_Base_Indice'!$D68)</f>
        <v>SAU004</v>
      </c>
      <c r="E68" s="6" t="str">
        <f>IF('03_Base_Indice'!$E68="","",'03_Base_Indice'!$E68)</f>
        <v>Despesas Saúde (% PIB)</v>
      </c>
      <c r="G68" s="20" t="str">
        <f>IF('03_Base_Indice'!$G68="","",'03_Base_Indice'!$G68)</f>
        <v>+</v>
      </c>
      <c r="K68" s="31">
        <f>IF($D68="","",IF('04_Dados_Ajustados'!K68="","",IF('03_Base_Indice'!$G68="+",MIN('01_Criterios'!$C$10,MAX('01_Criterios'!$C$9,'01_Criterios'!$C$9+('01_Criterios'!$C$10-'01_Criterios'!$C$9)*('04_Dados_Ajustados'!K68-'03_Base_Indice'!$H68)/('03_Base_Indice'!$I68-'03_Base_Indice'!$H68))),MIN('01_Criterios'!$C$10,MAX('01_Criterios'!$C$9,'01_Criterios'!$C$9+('01_Criterios'!$C$10-'01_Criterios'!$C$9)*('03_Base_Indice'!$I68-'04_Dados_Ajustados'!K68)/('03_Base_Indice'!$I68-'03_Base_Indice'!$H68))))))</f>
        <v>15.331125266666668</v>
      </c>
      <c r="L68" s="31">
        <f>IF($D68="","",IF('04_Dados_Ajustados'!L68="","",IF('03_Base_Indice'!$G68="+",MIN('01_Criterios'!$C$10,MAX('01_Criterios'!$C$9,'01_Criterios'!$C$9+('01_Criterios'!$C$10-'01_Criterios'!$C$9)*('04_Dados_Ajustados'!L68-'03_Base_Indice'!$H68)/('03_Base_Indice'!$I68-'03_Base_Indice'!$H68))),MIN('01_Criterios'!$C$10,MAX('01_Criterios'!$C$9,'01_Criterios'!$C$9+('01_Criterios'!$C$10-'01_Criterios'!$C$9)*('03_Base_Indice'!$I68-'04_Dados_Ajustados'!L68)/('03_Base_Indice'!$I68-'03_Base_Indice'!$H68))))))</f>
        <v>15.937914866666667</v>
      </c>
      <c r="M68" s="31">
        <f>IF($D68="","",IF('04_Dados_Ajustados'!M68="","",IF('03_Base_Indice'!$G68="+",MIN('01_Criterios'!$C$10,MAX('01_Criterios'!$C$9,'01_Criterios'!$C$9+('01_Criterios'!$C$10-'01_Criterios'!$C$9)*('04_Dados_Ajustados'!M68-'03_Base_Indice'!$H68)/('03_Base_Indice'!$I68-'03_Base_Indice'!$H68))),MIN('01_Criterios'!$C$10,MAX('01_Criterios'!$C$9,'01_Criterios'!$C$9+('01_Criterios'!$C$10-'01_Criterios'!$C$9)*('03_Base_Indice'!$I68-'04_Dados_Ajustados'!M68)/('03_Base_Indice'!$I68-'03_Base_Indice'!$H68))))))</f>
        <v>16.252950000000002</v>
      </c>
      <c r="N68" s="31">
        <f>IF($D68="","",IF('04_Dados_Ajustados'!N68="","",IF('03_Base_Indice'!$G68="+",MIN('01_Criterios'!$C$10,MAX('01_Criterios'!$C$9,'01_Criterios'!$C$9+('01_Criterios'!$C$10-'01_Criterios'!$C$9)*('04_Dados_Ajustados'!N68-'03_Base_Indice'!$H68)/('03_Base_Indice'!$I68-'03_Base_Indice'!$H68))),MIN('01_Criterios'!$C$10,MAX('01_Criterios'!$C$9,'01_Criterios'!$C$9+('01_Criterios'!$C$10-'01_Criterios'!$C$9)*('03_Base_Indice'!$I68-'04_Dados_Ajustados'!N68)/('03_Base_Indice'!$I68-'03_Base_Indice'!$H68))))))</f>
        <v>15.325832400000001</v>
      </c>
      <c r="O68" s="31">
        <f>IF($D68="","",IF('04_Dados_Ajustados'!O68="","",IF('03_Base_Indice'!$G68="+",MIN('01_Criterios'!$C$10,MAX('01_Criterios'!$C$9,'01_Criterios'!$C$9+('01_Criterios'!$C$10-'01_Criterios'!$C$9)*('04_Dados_Ajustados'!O68-'03_Base_Indice'!$H68)/('03_Base_Indice'!$I68-'03_Base_Indice'!$H68))),MIN('01_Criterios'!$C$10,MAX('01_Criterios'!$C$9,'01_Criterios'!$C$9+('01_Criterios'!$C$10-'01_Criterios'!$C$9)*('03_Base_Indice'!$I68-'04_Dados_Ajustados'!O68)/('03_Base_Indice'!$I68-'03_Base_Indice'!$H68))))))</f>
        <v>14.692951866666668</v>
      </c>
      <c r="P68" s="31">
        <f>IF($D68="","",IF('04_Dados_Ajustados'!P68="","",IF('03_Base_Indice'!$G68="+",MIN('01_Criterios'!$C$10,MAX('01_Criterios'!$C$9,'01_Criterios'!$C$9+('01_Criterios'!$C$10-'01_Criterios'!$C$9)*('04_Dados_Ajustados'!P68-'03_Base_Indice'!$H68)/('03_Base_Indice'!$I68-'03_Base_Indice'!$H68))),MIN('01_Criterios'!$C$10,MAX('01_Criterios'!$C$9,'01_Criterios'!$C$9+('01_Criterios'!$C$10-'01_Criterios'!$C$9)*('03_Base_Indice'!$I68-'04_Dados_Ajustados'!P68)/('03_Base_Indice'!$I68-'03_Base_Indice'!$H68))))))</f>
        <v>18.779260333333333</v>
      </c>
      <c r="Q68" s="31">
        <f>IF($D68="","",IF('04_Dados_Ajustados'!Q68="","",IF('03_Base_Indice'!$G68="+",MIN('01_Criterios'!$C$10,MAX('01_Criterios'!$C$9,'01_Criterios'!$C$9+('01_Criterios'!$C$10-'01_Criterios'!$C$9)*('04_Dados_Ajustados'!Q68-'03_Base_Indice'!$H68)/('03_Base_Indice'!$I68-'03_Base_Indice'!$H68))),MIN('01_Criterios'!$C$10,MAX('01_Criterios'!$C$9,'01_Criterios'!$C$9+('01_Criterios'!$C$10-'01_Criterios'!$C$9)*('03_Base_Indice'!$I68-'04_Dados_Ajustados'!Q68)/('03_Base_Indice'!$I68-'03_Base_Indice'!$H68))))))</f>
        <v>18.265806866666669</v>
      </c>
      <c r="R68" s="31">
        <f>IF($D68="","",IF('04_Dados_Ajustados'!R68="","",IF('03_Base_Indice'!$G68="+",MIN('01_Criterios'!$C$10,MAX('01_Criterios'!$C$9,'01_Criterios'!$C$9+('01_Criterios'!$C$10-'01_Criterios'!$C$9)*('04_Dados_Ajustados'!R68-'03_Base_Indice'!$H68)/('03_Base_Indice'!$I68-'03_Base_Indice'!$H68))),MIN('01_Criterios'!$C$10,MAX('01_Criterios'!$C$9,'01_Criterios'!$C$9+('01_Criterios'!$C$10-'01_Criterios'!$C$9)*('03_Base_Indice'!$I68-'04_Dados_Ajustados'!R68)/('03_Base_Indice'!$I68-'03_Base_Indice'!$H68))))))</f>
        <v>17.336069733333332</v>
      </c>
      <c r="S68" s="31">
        <f>IF($D68="","",IF('04_Dados_Ajustados'!S68="","",IF('03_Base_Indice'!$G68="+",MIN('01_Criterios'!$C$10,MAX('01_Criterios'!$C$9,'01_Criterios'!$C$9+('01_Criterios'!$C$10-'01_Criterios'!$C$9)*('04_Dados_Ajustados'!S68-'03_Base_Indice'!$H68)/('03_Base_Indice'!$I68-'03_Base_Indice'!$H68))),MIN('01_Criterios'!$C$10,MAX('01_Criterios'!$C$9,'01_Criterios'!$C$9+('01_Criterios'!$C$10-'01_Criterios'!$C$9)*('03_Base_Indice'!$I68-'04_Dados_Ajustados'!S68)/('03_Base_Indice'!$I68-'03_Base_Indice'!$H68))))))</f>
        <v>16.979524266666665</v>
      </c>
      <c r="T68" s="31">
        <f>IF($D68="","",IF('04_Dados_Ajustados'!T68="","",IF('03_Base_Indice'!$G68="+",MIN('01_Criterios'!$C$10,MAX('01_Criterios'!$C$9,'01_Criterios'!$C$9+('01_Criterios'!$C$10-'01_Criterios'!$C$9)*('04_Dados_Ajustados'!T68-'03_Base_Indice'!$H68)/('03_Base_Indice'!$I68-'03_Base_Indice'!$H68))),MIN('01_Criterios'!$C$10,MAX('01_Criterios'!$C$9,'01_Criterios'!$C$9+('01_Criterios'!$C$10-'01_Criterios'!$C$9)*('03_Base_Indice'!$I68-'04_Dados_Ajustados'!T68)/('03_Base_Indice'!$I68-'03_Base_Indice'!$H68))))))</f>
        <v>16.979524266666665</v>
      </c>
      <c r="U68" s="31">
        <f>IF($D68="","",IF('04_Dados_Ajustados'!U68="","",IF('03_Base_Indice'!$G68="+",MIN('01_Criterios'!$C$10,MAX('01_Criterios'!$C$9,'01_Criterios'!$C$9+('01_Criterios'!$C$10-'01_Criterios'!$C$9)*('04_Dados_Ajustados'!U68-'03_Base_Indice'!$H68)/('03_Base_Indice'!$I68-'03_Base_Indice'!$H68))),MIN('01_Criterios'!$C$10,MAX('01_Criterios'!$C$9,'01_Criterios'!$C$9+('01_Criterios'!$C$10-'01_Criterios'!$C$9)*('03_Base_Indice'!$I68-'04_Dados_Ajustados'!U68)/('03_Base_Indice'!$I68-'03_Base_Indice'!$H68))))))</f>
        <v>16.979524266666665</v>
      </c>
    </row>
    <row r="69" spans="1:21">
      <c r="A69" s="6" t="str">
        <f>IF('03_Base_Indice'!$A69="","",'03_Base_Indice'!$A69)</f>
        <v>7. Segurança Alimentar e Saúde</v>
      </c>
      <c r="B69" s="6">
        <f>'03_Base_Indice'!$B69</f>
        <v>5</v>
      </c>
      <c r="D69" s="6" t="str">
        <f>IF('03_Base_Indice'!$D69="","",'03_Base_Indice'!$D69)</f>
        <v>SAU020</v>
      </c>
      <c r="E69" s="6" t="str">
        <f>IF('03_Base_Indice'!$E69="","",'03_Base_Indice'!$E69)</f>
        <v>Incidência de malária</v>
      </c>
      <c r="G69" s="20" t="str">
        <f>IF('03_Base_Indice'!$G69="","",'03_Base_Indice'!$G69)</f>
        <v>-</v>
      </c>
      <c r="K69" s="31">
        <f>IF($D69="","",IF('04_Dados_Ajustados'!K69="","",IF('03_Base_Indice'!$G69="+",MIN('01_Criterios'!$C$10,MAX('01_Criterios'!$C$9,'01_Criterios'!$C$9+('01_Criterios'!$C$10-'01_Criterios'!$C$9)*('04_Dados_Ajustados'!K69-'03_Base_Indice'!$H69)/('03_Base_Indice'!$I69-'03_Base_Indice'!$H69))),MIN('01_Criterios'!$C$10,MAX('01_Criterios'!$C$9,'01_Criterios'!$C$9+('01_Criterios'!$C$10-'01_Criterios'!$C$9)*('03_Base_Indice'!$I69-'04_Dados_Ajustados'!K69)/('03_Base_Indice'!$I69-'03_Base_Indice'!$H69))))))</f>
        <v>65.105999999999995</v>
      </c>
      <c r="L69" s="31">
        <f>IF($D69="","",IF('04_Dados_Ajustados'!L69="","",IF('03_Base_Indice'!$G69="+",MIN('01_Criterios'!$C$10,MAX('01_Criterios'!$C$9,'01_Criterios'!$C$9+('01_Criterios'!$C$10-'01_Criterios'!$C$9)*('04_Dados_Ajustados'!L69-'03_Base_Indice'!$H69)/('03_Base_Indice'!$I69-'03_Base_Indice'!$H69))),MIN('01_Criterios'!$C$10,MAX('01_Criterios'!$C$9,'01_Criterios'!$C$9+('01_Criterios'!$C$10-'01_Criterios'!$C$9)*('03_Base_Indice'!$I69-'04_Dados_Ajustados'!L69)/('03_Base_Indice'!$I69-'03_Base_Indice'!$H69))))))</f>
        <v>62.044000000000004</v>
      </c>
      <c r="M69" s="31">
        <f>IF($D69="","",IF('04_Dados_Ajustados'!M69="","",IF('03_Base_Indice'!$G69="+",MIN('01_Criterios'!$C$10,MAX('01_Criterios'!$C$9,'01_Criterios'!$C$9+('01_Criterios'!$C$10-'01_Criterios'!$C$9)*('04_Dados_Ajustados'!M69-'03_Base_Indice'!$H69)/('03_Base_Indice'!$I69-'03_Base_Indice'!$H69))),MIN('01_Criterios'!$C$10,MAX('01_Criterios'!$C$9,'01_Criterios'!$C$9+('01_Criterios'!$C$10-'01_Criterios'!$C$9)*('03_Base_Indice'!$I69-'04_Dados_Ajustados'!M69)/('03_Base_Indice'!$I69-'03_Base_Indice'!$H69))))))</f>
        <v>56.938000000000002</v>
      </c>
      <c r="N69" s="31">
        <f>IF($D69="","",IF('04_Dados_Ajustados'!N69="","",IF('03_Base_Indice'!$G69="+",MIN('01_Criterios'!$C$10,MAX('01_Criterios'!$C$9,'01_Criterios'!$C$9+('01_Criterios'!$C$10-'01_Criterios'!$C$9)*('04_Dados_Ajustados'!N69-'03_Base_Indice'!$H69)/('03_Base_Indice'!$I69-'03_Base_Indice'!$H69))),MIN('01_Criterios'!$C$10,MAX('01_Criterios'!$C$9,'01_Criterios'!$C$9+('01_Criterios'!$C$10-'01_Criterios'!$C$9)*('03_Base_Indice'!$I69-'04_Dados_Ajustados'!N69)/('03_Base_Indice'!$I69-'03_Base_Indice'!$H69))))))</f>
        <v>53.512</v>
      </c>
      <c r="O69" s="31">
        <f>IF($D69="","",IF('04_Dados_Ajustados'!O69="","",IF('03_Base_Indice'!$G69="+",MIN('01_Criterios'!$C$10,MAX('01_Criterios'!$C$9,'01_Criterios'!$C$9+('01_Criterios'!$C$10-'01_Criterios'!$C$9)*('04_Dados_Ajustados'!O69-'03_Base_Indice'!$H69)/('03_Base_Indice'!$I69-'03_Base_Indice'!$H69))),MIN('01_Criterios'!$C$10,MAX('01_Criterios'!$C$9,'01_Criterios'!$C$9+('01_Criterios'!$C$10-'01_Criterios'!$C$9)*('03_Base_Indice'!$I69-'04_Dados_Ajustados'!O69)/('03_Base_Indice'!$I69-'03_Base_Indice'!$H69))))))</f>
        <v>51.379999999999995</v>
      </c>
      <c r="P69" s="31">
        <f>IF($D69="","",IF('04_Dados_Ajustados'!P69="","",IF('03_Base_Indice'!$G69="+",MIN('01_Criterios'!$C$10,MAX('01_Criterios'!$C$9,'01_Criterios'!$C$9+('01_Criterios'!$C$10-'01_Criterios'!$C$9)*('04_Dados_Ajustados'!P69-'03_Base_Indice'!$H69)/('03_Base_Indice'!$I69-'03_Base_Indice'!$H69))),MIN('01_Criterios'!$C$10,MAX('01_Criterios'!$C$9,'01_Criterios'!$C$9+('01_Criterios'!$C$10-'01_Criterios'!$C$9)*('03_Base_Indice'!$I69-'04_Dados_Ajustados'!P69)/('03_Base_Indice'!$I69-'03_Base_Indice'!$H69))))))</f>
        <v>51.094000000000001</v>
      </c>
      <c r="Q69" s="31">
        <f>IF($D69="","",IF('04_Dados_Ajustados'!Q69="","",IF('03_Base_Indice'!$G69="+",MIN('01_Criterios'!$C$10,MAX('01_Criterios'!$C$9,'01_Criterios'!$C$9+('01_Criterios'!$C$10-'01_Criterios'!$C$9)*('04_Dados_Ajustados'!Q69-'03_Base_Indice'!$H69)/('03_Base_Indice'!$I69-'03_Base_Indice'!$H69))),MIN('01_Criterios'!$C$10,MAX('01_Criterios'!$C$9,'01_Criterios'!$C$9+('01_Criterios'!$C$10-'01_Criterios'!$C$9)*('03_Base_Indice'!$I69-'04_Dados_Ajustados'!Q69)/('03_Base_Indice'!$I69-'03_Base_Indice'!$H69))))))</f>
        <v>48.277999999999999</v>
      </c>
      <c r="R69" s="31">
        <f>IF($D69="","",IF('04_Dados_Ajustados'!R69="","",IF('03_Base_Indice'!$G69="+",MIN('01_Criterios'!$C$10,MAX('01_Criterios'!$C$9,'01_Criterios'!$C$9+('01_Criterios'!$C$10-'01_Criterios'!$C$9)*('04_Dados_Ajustados'!R69-'03_Base_Indice'!$H69)/('03_Base_Indice'!$I69-'03_Base_Indice'!$H69))),MIN('01_Criterios'!$C$10,MAX('01_Criterios'!$C$9,'01_Criterios'!$C$9+('01_Criterios'!$C$10-'01_Criterios'!$C$9)*('03_Base_Indice'!$I69-'04_Dados_Ajustados'!R69)/('03_Base_Indice'!$I69-'03_Base_Indice'!$H69))))))</f>
        <v>47.982000000000006</v>
      </c>
      <c r="S69" s="31">
        <f>IF($D69="","",IF('04_Dados_Ajustados'!S69="","",IF('03_Base_Indice'!$G69="+",MIN('01_Criterios'!$C$10,MAX('01_Criterios'!$C$9,'01_Criterios'!$C$9+('01_Criterios'!$C$10-'01_Criterios'!$C$9)*('04_Dados_Ajustados'!S69-'03_Base_Indice'!$H69)/('03_Base_Indice'!$I69-'03_Base_Indice'!$H69))),MIN('01_Criterios'!$C$10,MAX('01_Criterios'!$C$9,'01_Criterios'!$C$9+('01_Criterios'!$C$10-'01_Criterios'!$C$9)*('03_Base_Indice'!$I69-'04_Dados_Ajustados'!S69)/('03_Base_Indice'!$I69-'03_Base_Indice'!$H69))))))</f>
        <v>48.905999999999999</v>
      </c>
      <c r="T69" s="31">
        <f>IF($D69="","",IF('04_Dados_Ajustados'!T69="","",IF('03_Base_Indice'!$G69="+",MIN('01_Criterios'!$C$10,MAX('01_Criterios'!$C$9,'01_Criterios'!$C$9+('01_Criterios'!$C$10-'01_Criterios'!$C$9)*('04_Dados_Ajustados'!T69-'03_Base_Indice'!$H69)/('03_Base_Indice'!$I69-'03_Base_Indice'!$H69))),MIN('01_Criterios'!$C$10,MAX('01_Criterios'!$C$9,'01_Criterios'!$C$9+('01_Criterios'!$C$10-'01_Criterios'!$C$9)*('03_Base_Indice'!$I69-'04_Dados_Ajustados'!T69)/('03_Base_Indice'!$I69-'03_Base_Indice'!$H69))))))</f>
        <v>48.220000000000006</v>
      </c>
      <c r="U69" s="31">
        <f>IF($D69="","",IF('04_Dados_Ajustados'!U69="","",IF('03_Base_Indice'!$G69="+",MIN('01_Criterios'!$C$10,MAX('01_Criterios'!$C$9,'01_Criterios'!$C$9+('01_Criterios'!$C$10-'01_Criterios'!$C$9)*('04_Dados_Ajustados'!U69-'03_Base_Indice'!$H69)/('03_Base_Indice'!$I69-'03_Base_Indice'!$H69))),MIN('01_Criterios'!$C$10,MAX('01_Criterios'!$C$9,'01_Criterios'!$C$9+('01_Criterios'!$C$10-'01_Criterios'!$C$9)*('03_Base_Indice'!$I69-'04_Dados_Ajustados'!U69)/('03_Base_Indice'!$I69-'03_Base_Indice'!$H69))))))</f>
        <v>48.220000000000006</v>
      </c>
    </row>
    <row r="70" spans="1:21">
      <c r="A70" s="6" t="str">
        <f>IF('03_Base_Indice'!$A70="","",'03_Base_Indice'!$A70)</f>
        <v>7. Segurança Alimentar e Saúde</v>
      </c>
      <c r="B70" s="6">
        <f>'03_Base_Indice'!$B70</f>
        <v>6</v>
      </c>
      <c r="D70" s="6" t="str">
        <f>IF('03_Base_Indice'!$D70="","",'03_Base_Indice'!$D70)</f>
        <v>SAU04</v>
      </c>
      <c r="E70" s="6" t="str">
        <f>IF('03_Base_Indice'!$E70="","",'03_Base_Indice'!$E70)</f>
        <v>Mortalidade de menores de 5 anos</v>
      </c>
      <c r="G70" s="20" t="str">
        <f>IF('03_Base_Indice'!$G70="","",'03_Base_Indice'!$G70)</f>
        <v>-</v>
      </c>
      <c r="K70" s="31">
        <f>IF($D70="","",IF('04_Dados_Ajustados'!K70="","",IF('03_Base_Indice'!$G70="+",MIN('01_Criterios'!$C$10,MAX('01_Criterios'!$C$9,'01_Criterios'!$C$9+('01_Criterios'!$C$10-'01_Criterios'!$C$9)*('04_Dados_Ajustados'!K70-'03_Base_Indice'!$H70)/('03_Base_Indice'!$I70-'03_Base_Indice'!$H70))),MIN('01_Criterios'!$C$10,MAX('01_Criterios'!$C$9,'01_Criterios'!$C$9+('01_Criterios'!$C$10-'01_Criterios'!$C$9)*('03_Base_Indice'!$I70-'04_Dados_Ajustados'!K70)/('03_Base_Indice'!$I70-'03_Base_Indice'!$H70))))))</f>
        <v>69.099999999999994</v>
      </c>
      <c r="L70" s="31">
        <f>IF($D70="","",IF('04_Dados_Ajustados'!L70="","",IF('03_Base_Indice'!$G70="+",MIN('01_Criterios'!$C$10,MAX('01_Criterios'!$C$9,'01_Criterios'!$C$9+('01_Criterios'!$C$10-'01_Criterios'!$C$9)*('04_Dados_Ajustados'!L70-'03_Base_Indice'!$H70)/('03_Base_Indice'!$I70-'03_Base_Indice'!$H70))),MIN('01_Criterios'!$C$10,MAX('01_Criterios'!$C$9,'01_Criterios'!$C$9+('01_Criterios'!$C$10-'01_Criterios'!$C$9)*('03_Base_Indice'!$I70-'04_Dados_Ajustados'!L70)/('03_Base_Indice'!$I70-'03_Base_Indice'!$H70))))))</f>
        <v>70.2</v>
      </c>
      <c r="M70" s="31">
        <f>IF($D70="","",IF('04_Dados_Ajustados'!M70="","",IF('03_Base_Indice'!$G70="+",MIN('01_Criterios'!$C$10,MAX('01_Criterios'!$C$9,'01_Criterios'!$C$9+('01_Criterios'!$C$10-'01_Criterios'!$C$9)*('04_Dados_Ajustados'!M70-'03_Base_Indice'!$H70)/('03_Base_Indice'!$I70-'03_Base_Indice'!$H70))),MIN('01_Criterios'!$C$10,MAX('01_Criterios'!$C$9,'01_Criterios'!$C$9+('01_Criterios'!$C$10-'01_Criterios'!$C$9)*('03_Base_Indice'!$I70-'04_Dados_Ajustados'!M70)/('03_Base_Indice'!$I70-'03_Base_Indice'!$H70))))))</f>
        <v>71.05</v>
      </c>
      <c r="N70" s="31">
        <f>IF($D70="","",IF('04_Dados_Ajustados'!N70="","",IF('03_Base_Indice'!$G70="+",MIN('01_Criterios'!$C$10,MAX('01_Criterios'!$C$9,'01_Criterios'!$C$9+('01_Criterios'!$C$10-'01_Criterios'!$C$9)*('04_Dados_Ajustados'!N70-'03_Base_Indice'!$H70)/('03_Base_Indice'!$I70-'03_Base_Indice'!$H70))),MIN('01_Criterios'!$C$10,MAX('01_Criterios'!$C$9,'01_Criterios'!$C$9+('01_Criterios'!$C$10-'01_Criterios'!$C$9)*('03_Base_Indice'!$I70-'04_Dados_Ajustados'!N70)/('03_Base_Indice'!$I70-'03_Base_Indice'!$H70))))))</f>
        <v>71.75</v>
      </c>
      <c r="O70" s="31">
        <f>IF($D70="","",IF('04_Dados_Ajustados'!O70="","",IF('03_Base_Indice'!$G70="+",MIN('01_Criterios'!$C$10,MAX('01_Criterios'!$C$9,'01_Criterios'!$C$9+('01_Criterios'!$C$10-'01_Criterios'!$C$9)*('04_Dados_Ajustados'!O70-'03_Base_Indice'!$H70)/('03_Base_Indice'!$I70-'03_Base_Indice'!$H70))),MIN('01_Criterios'!$C$10,MAX('01_Criterios'!$C$9,'01_Criterios'!$C$9+('01_Criterios'!$C$10-'01_Criterios'!$C$9)*('03_Base_Indice'!$I70-'04_Dados_Ajustados'!O70)/('03_Base_Indice'!$I70-'03_Base_Indice'!$H70))))))</f>
        <v>72.349999999999994</v>
      </c>
      <c r="P70" s="31">
        <f>IF($D70="","",IF('04_Dados_Ajustados'!P70="","",IF('03_Base_Indice'!$G70="+",MIN('01_Criterios'!$C$10,MAX('01_Criterios'!$C$9,'01_Criterios'!$C$9+('01_Criterios'!$C$10-'01_Criterios'!$C$9)*('04_Dados_Ajustados'!P70-'03_Base_Indice'!$H70)/('03_Base_Indice'!$I70-'03_Base_Indice'!$H70))),MIN('01_Criterios'!$C$10,MAX('01_Criterios'!$C$9,'01_Criterios'!$C$9+('01_Criterios'!$C$10-'01_Criterios'!$C$9)*('03_Base_Indice'!$I70-'04_Dados_Ajustados'!P70)/('03_Base_Indice'!$I70-'03_Base_Indice'!$H70))))))</f>
        <v>72.900000000000006</v>
      </c>
      <c r="Q70" s="31">
        <f>IF($D70="","",IF('04_Dados_Ajustados'!Q70="","",IF('03_Base_Indice'!$G70="+",MIN('01_Criterios'!$C$10,MAX('01_Criterios'!$C$9,'01_Criterios'!$C$9+('01_Criterios'!$C$10-'01_Criterios'!$C$9)*('04_Dados_Ajustados'!Q70-'03_Base_Indice'!$H70)/('03_Base_Indice'!$I70-'03_Base_Indice'!$H70))),MIN('01_Criterios'!$C$10,MAX('01_Criterios'!$C$9,'01_Criterios'!$C$9+('01_Criterios'!$C$10-'01_Criterios'!$C$9)*('03_Base_Indice'!$I70-'04_Dados_Ajustados'!Q70)/('03_Base_Indice'!$I70-'03_Base_Indice'!$H70))))))</f>
        <v>73.400000000000006</v>
      </c>
      <c r="R70" s="31">
        <f>IF($D70="","",IF('04_Dados_Ajustados'!R70="","",IF('03_Base_Indice'!$G70="+",MIN('01_Criterios'!$C$10,MAX('01_Criterios'!$C$9,'01_Criterios'!$C$9+('01_Criterios'!$C$10-'01_Criterios'!$C$9)*('04_Dados_Ajustados'!R70-'03_Base_Indice'!$H70)/('03_Base_Indice'!$I70-'03_Base_Indice'!$H70))),MIN('01_Criterios'!$C$10,MAX('01_Criterios'!$C$9,'01_Criterios'!$C$9+('01_Criterios'!$C$10-'01_Criterios'!$C$9)*('03_Base_Indice'!$I70-'04_Dados_Ajustados'!R70)/('03_Base_Indice'!$I70-'03_Base_Indice'!$H70))))))</f>
        <v>74.05</v>
      </c>
      <c r="S70" s="31">
        <f>IF($D70="","",IF('04_Dados_Ajustados'!S70="","",IF('03_Base_Indice'!$G70="+",MIN('01_Criterios'!$C$10,MAX('01_Criterios'!$C$9,'01_Criterios'!$C$9+('01_Criterios'!$C$10-'01_Criterios'!$C$9)*('04_Dados_Ajustados'!S70-'03_Base_Indice'!$H70)/('03_Base_Indice'!$I70-'03_Base_Indice'!$H70))),MIN('01_Criterios'!$C$10,MAX('01_Criterios'!$C$9,'01_Criterios'!$C$9+('01_Criterios'!$C$10-'01_Criterios'!$C$9)*('03_Base_Indice'!$I70-'04_Dados_Ajustados'!S70)/('03_Base_Indice'!$I70-'03_Base_Indice'!$H70))))))</f>
        <v>74.75</v>
      </c>
      <c r="T70" s="31">
        <f>IF($D70="","",IF('04_Dados_Ajustados'!T70="","",IF('03_Base_Indice'!$G70="+",MIN('01_Criterios'!$C$10,MAX('01_Criterios'!$C$9,'01_Criterios'!$C$9+('01_Criterios'!$C$10-'01_Criterios'!$C$9)*('04_Dados_Ajustados'!T70-'03_Base_Indice'!$H70)/('03_Base_Indice'!$I70-'03_Base_Indice'!$H70))),MIN('01_Criterios'!$C$10,MAX('01_Criterios'!$C$9,'01_Criterios'!$C$9+('01_Criterios'!$C$10-'01_Criterios'!$C$9)*('03_Base_Indice'!$I70-'04_Dados_Ajustados'!T70)/('03_Base_Indice'!$I70-'03_Base_Indice'!$H70))))))</f>
        <v>75.5</v>
      </c>
      <c r="U70" s="31">
        <f>IF($D70="","",IF('04_Dados_Ajustados'!U70="","",IF('03_Base_Indice'!$G70="+",MIN('01_Criterios'!$C$10,MAX('01_Criterios'!$C$9,'01_Criterios'!$C$9+('01_Criterios'!$C$10-'01_Criterios'!$C$9)*('04_Dados_Ajustados'!U70-'03_Base_Indice'!$H70)/('03_Base_Indice'!$I70-'03_Base_Indice'!$H70))),MIN('01_Criterios'!$C$10,MAX('01_Criterios'!$C$9,'01_Criterios'!$C$9+('01_Criterios'!$C$10-'01_Criterios'!$C$9)*('03_Base_Indice'!$I70-'04_Dados_Ajustados'!U70)/('03_Base_Indice'!$I70-'03_Base_Indice'!$H70))))))</f>
        <v>75.5</v>
      </c>
    </row>
    <row r="71" spans="1:21">
      <c r="A71" s="6" t="str">
        <f>IF('03_Base_Indice'!$A71="","",'03_Base_Indice'!$A71)</f>
        <v>7. Segurança Alimentar e Saúde</v>
      </c>
      <c r="B71" s="6">
        <f>'03_Base_Indice'!$B71</f>
        <v>7</v>
      </c>
      <c r="D71" s="6" t="str">
        <f>IF('03_Base_Indice'!$D71="","",'03_Base_Indice'!$D71)</f>
        <v>SAU017</v>
      </c>
      <c r="E71" s="6" t="str">
        <f>IF('03_Base_Indice'!$E71="","",'03_Base_Indice'!$E71)</f>
        <v>Despesa direta das famílias em saúde</v>
      </c>
      <c r="G71" s="20" t="str">
        <f>IF('03_Base_Indice'!$G71="","",'03_Base_Indice'!$G71)</f>
        <v>-</v>
      </c>
      <c r="K71" s="31">
        <f>IF($D71="","",IF('04_Dados_Ajustados'!K71="","",IF('03_Base_Indice'!$G71="+",MIN('01_Criterios'!$C$10,MAX('01_Criterios'!$C$9,'01_Criterios'!$C$9+('01_Criterios'!$C$10-'01_Criterios'!$C$9)*('04_Dados_Ajustados'!K71-'03_Base_Indice'!$H71)/('03_Base_Indice'!$I71-'03_Base_Indice'!$H71))),MIN('01_Criterios'!$C$10,MAX('01_Criterios'!$C$9,'01_Criterios'!$C$9+('01_Criterios'!$C$10-'01_Criterios'!$C$9)*('03_Base_Indice'!$I71-'04_Dados_Ajustados'!K71)/('03_Base_Indice'!$I71-'03_Base_Indice'!$H71))))))</f>
        <v>66.476833339999999</v>
      </c>
      <c r="L71" s="31">
        <f>IF($D71="","",IF('04_Dados_Ajustados'!L71="","",IF('03_Base_Indice'!$G71="+",MIN('01_Criterios'!$C$10,MAX('01_Criterios'!$C$9,'01_Criterios'!$C$9+('01_Criterios'!$C$10-'01_Criterios'!$C$9)*('04_Dados_Ajustados'!L71-'03_Base_Indice'!$H71)/('03_Base_Indice'!$I71-'03_Base_Indice'!$H71))),MIN('01_Criterios'!$C$10,MAX('01_Criterios'!$C$9,'01_Criterios'!$C$9+('01_Criterios'!$C$10-'01_Criterios'!$C$9)*('03_Base_Indice'!$I71-'04_Dados_Ajustados'!L71)/('03_Base_Indice'!$I71-'03_Base_Indice'!$H71))))))</f>
        <v>64.791069030000003</v>
      </c>
      <c r="M71" s="31">
        <f>IF($D71="","",IF('04_Dados_Ajustados'!M71="","",IF('03_Base_Indice'!$G71="+",MIN('01_Criterios'!$C$10,MAX('01_Criterios'!$C$9,'01_Criterios'!$C$9+('01_Criterios'!$C$10-'01_Criterios'!$C$9)*('04_Dados_Ajustados'!M71-'03_Base_Indice'!$H71)/('03_Base_Indice'!$I71-'03_Base_Indice'!$H71))),MIN('01_Criterios'!$C$10,MAX('01_Criterios'!$C$9,'01_Criterios'!$C$9+('01_Criterios'!$C$10-'01_Criterios'!$C$9)*('03_Base_Indice'!$I71-'04_Dados_Ajustados'!M71)/('03_Base_Indice'!$I71-'03_Base_Indice'!$H71))))))</f>
        <v>65.878986359999999</v>
      </c>
      <c r="N71" s="31">
        <f>IF($D71="","",IF('04_Dados_Ajustados'!N71="","",IF('03_Base_Indice'!$G71="+",MIN('01_Criterios'!$C$10,MAX('01_Criterios'!$C$9,'01_Criterios'!$C$9+('01_Criterios'!$C$10-'01_Criterios'!$C$9)*('04_Dados_Ajustados'!N71-'03_Base_Indice'!$H71)/('03_Base_Indice'!$I71-'03_Base_Indice'!$H71))),MIN('01_Criterios'!$C$10,MAX('01_Criterios'!$C$9,'01_Criterios'!$C$9+('01_Criterios'!$C$10-'01_Criterios'!$C$9)*('03_Base_Indice'!$I71-'04_Dados_Ajustados'!N71)/('03_Base_Indice'!$I71-'03_Base_Indice'!$H71))))))</f>
        <v>63.752666470000001</v>
      </c>
      <c r="O71" s="31">
        <f>IF($D71="","",IF('04_Dados_Ajustados'!O71="","",IF('03_Base_Indice'!$G71="+",MIN('01_Criterios'!$C$10,MAX('01_Criterios'!$C$9,'01_Criterios'!$C$9+('01_Criterios'!$C$10-'01_Criterios'!$C$9)*('04_Dados_Ajustados'!O71-'03_Base_Indice'!$H71)/('03_Base_Indice'!$I71-'03_Base_Indice'!$H71))),MIN('01_Criterios'!$C$10,MAX('01_Criterios'!$C$9,'01_Criterios'!$C$9+('01_Criterios'!$C$10-'01_Criterios'!$C$9)*('03_Base_Indice'!$I71-'04_Dados_Ajustados'!O71)/('03_Base_Indice'!$I71-'03_Base_Indice'!$H71))))))</f>
        <v>66.856914520000004</v>
      </c>
      <c r="P71" s="31">
        <f>IF($D71="","",IF('04_Dados_Ajustados'!P71="","",IF('03_Base_Indice'!$G71="+",MIN('01_Criterios'!$C$10,MAX('01_Criterios'!$C$9,'01_Criterios'!$C$9+('01_Criterios'!$C$10-'01_Criterios'!$C$9)*('04_Dados_Ajustados'!P71-'03_Base_Indice'!$H71)/('03_Base_Indice'!$I71-'03_Base_Indice'!$H71))),MIN('01_Criterios'!$C$10,MAX('01_Criterios'!$C$9,'01_Criterios'!$C$9+('01_Criterios'!$C$10-'01_Criterios'!$C$9)*('03_Base_Indice'!$I71-'04_Dados_Ajustados'!P71)/('03_Base_Indice'!$I71-'03_Base_Indice'!$H71))))))</f>
        <v>71.377819060000007</v>
      </c>
      <c r="Q71" s="31">
        <f>IF($D71="","",IF('04_Dados_Ajustados'!Q71="","",IF('03_Base_Indice'!$G71="+",MIN('01_Criterios'!$C$10,MAX('01_Criterios'!$C$9,'01_Criterios'!$C$9+('01_Criterios'!$C$10-'01_Criterios'!$C$9)*('04_Dados_Ajustados'!Q71-'03_Base_Indice'!$H71)/('03_Base_Indice'!$I71-'03_Base_Indice'!$H71))),MIN('01_Criterios'!$C$10,MAX('01_Criterios'!$C$9,'01_Criterios'!$C$9+('01_Criterios'!$C$10-'01_Criterios'!$C$9)*('03_Base_Indice'!$I71-'04_Dados_Ajustados'!Q71)/('03_Base_Indice'!$I71-'03_Base_Indice'!$H71))))))</f>
        <v>73.882743840000003</v>
      </c>
      <c r="R71" s="31">
        <f>IF($D71="","",IF('04_Dados_Ajustados'!R71="","",IF('03_Base_Indice'!$G71="+",MIN('01_Criterios'!$C$10,MAX('01_Criterios'!$C$9,'01_Criterios'!$C$9+('01_Criterios'!$C$10-'01_Criterios'!$C$9)*('04_Dados_Ajustados'!R71-'03_Base_Indice'!$H71)/('03_Base_Indice'!$I71-'03_Base_Indice'!$H71))),MIN('01_Criterios'!$C$10,MAX('01_Criterios'!$C$9,'01_Criterios'!$C$9+('01_Criterios'!$C$10-'01_Criterios'!$C$9)*('03_Base_Indice'!$I71-'04_Dados_Ajustados'!R71)/('03_Base_Indice'!$I71-'03_Base_Indice'!$H71))))))</f>
        <v>69.961383820000009</v>
      </c>
      <c r="S71" s="31">
        <f>IF($D71="","",IF('04_Dados_Ajustados'!S71="","",IF('03_Base_Indice'!$G71="+",MIN('01_Criterios'!$C$10,MAX('01_Criterios'!$C$9,'01_Criterios'!$C$9+('01_Criterios'!$C$10-'01_Criterios'!$C$9)*('04_Dados_Ajustados'!S71-'03_Base_Indice'!$H71)/('03_Base_Indice'!$I71-'03_Base_Indice'!$H71))),MIN('01_Criterios'!$C$10,MAX('01_Criterios'!$C$9,'01_Criterios'!$C$9+('01_Criterios'!$C$10-'01_Criterios'!$C$9)*('03_Base_Indice'!$I71-'04_Dados_Ajustados'!S71)/('03_Base_Indice'!$I71-'03_Base_Indice'!$H71))))))</f>
        <v>67.453323359999999</v>
      </c>
      <c r="T71" s="31">
        <f>IF($D71="","",IF('04_Dados_Ajustados'!T71="","",IF('03_Base_Indice'!$G71="+",MIN('01_Criterios'!$C$10,MAX('01_Criterios'!$C$9,'01_Criterios'!$C$9+('01_Criterios'!$C$10-'01_Criterios'!$C$9)*('04_Dados_Ajustados'!T71-'03_Base_Indice'!$H71)/('03_Base_Indice'!$I71-'03_Base_Indice'!$H71))),MIN('01_Criterios'!$C$10,MAX('01_Criterios'!$C$9,'01_Criterios'!$C$9+('01_Criterios'!$C$10-'01_Criterios'!$C$9)*('03_Base_Indice'!$I71-'04_Dados_Ajustados'!T71)/('03_Base_Indice'!$I71-'03_Base_Indice'!$H71))))))</f>
        <v>67.453323359999999</v>
      </c>
      <c r="U71" s="31">
        <f>IF($D71="","",IF('04_Dados_Ajustados'!U71="","",IF('03_Base_Indice'!$G71="+",MIN('01_Criterios'!$C$10,MAX('01_Criterios'!$C$9,'01_Criterios'!$C$9+('01_Criterios'!$C$10-'01_Criterios'!$C$9)*('04_Dados_Ajustados'!U71-'03_Base_Indice'!$H71)/('03_Base_Indice'!$I71-'03_Base_Indice'!$H71))),MIN('01_Criterios'!$C$10,MAX('01_Criterios'!$C$9,'01_Criterios'!$C$9+('01_Criterios'!$C$10-'01_Criterios'!$C$9)*('03_Base_Indice'!$I71-'04_Dados_Ajustados'!U71)/('03_Base_Indice'!$I71-'03_Base_Indice'!$H71))))))</f>
        <v>67.453323359999999</v>
      </c>
    </row>
    <row r="72" spans="1:21">
      <c r="A72" s="6" t="str">
        <f>IF('03_Base_Indice'!$A72="","",'03_Base_Indice'!$A72)</f>
        <v>7. Segurança Alimentar e Saúde</v>
      </c>
      <c r="B72" s="6">
        <f>'03_Base_Indice'!$B72</f>
        <v>8</v>
      </c>
      <c r="D72" s="6" t="str">
        <f>IF('03_Base_Indice'!$D72="","",'03_Base_Indice'!$D72)</f>
        <v/>
      </c>
      <c r="E72" s="6" t="str">
        <f>IF('03_Base_Indice'!$E72="","",'03_Base_Indice'!$E72)</f>
        <v/>
      </c>
      <c r="G72" s="20" t="str">
        <f>IF('03_Base_Indice'!$G72="","",'03_Base_Indice'!$G72)</f>
        <v/>
      </c>
      <c r="K72" s="31" t="str">
        <f>IF($D72="","",IF('04_Dados_Ajustados'!K72="","",IF('03_Base_Indice'!$G72="+",MIN('01_Criterios'!$C$10,MAX('01_Criterios'!$C$9,'01_Criterios'!$C$9+('01_Criterios'!$C$10-'01_Criterios'!$C$9)*('04_Dados_Ajustados'!K72-'03_Base_Indice'!$H72)/('03_Base_Indice'!$I72-'03_Base_Indice'!$H72))),MIN('01_Criterios'!$C$10,MAX('01_Criterios'!$C$9,'01_Criterios'!$C$9+('01_Criterios'!$C$10-'01_Criterios'!$C$9)*('03_Base_Indice'!$I72-'04_Dados_Ajustados'!K72)/('03_Base_Indice'!$I72-'03_Base_Indice'!$H72))))))</f>
        <v/>
      </c>
      <c r="L72" s="31" t="str">
        <f>IF($D72="","",IF('04_Dados_Ajustados'!L72="","",IF('03_Base_Indice'!$G72="+",MIN('01_Criterios'!$C$10,MAX('01_Criterios'!$C$9,'01_Criterios'!$C$9+('01_Criterios'!$C$10-'01_Criterios'!$C$9)*('04_Dados_Ajustados'!L72-'03_Base_Indice'!$H72)/('03_Base_Indice'!$I72-'03_Base_Indice'!$H72))),MIN('01_Criterios'!$C$10,MAX('01_Criterios'!$C$9,'01_Criterios'!$C$9+('01_Criterios'!$C$10-'01_Criterios'!$C$9)*('03_Base_Indice'!$I72-'04_Dados_Ajustados'!L72)/('03_Base_Indice'!$I72-'03_Base_Indice'!$H72))))))</f>
        <v/>
      </c>
      <c r="M72" s="31" t="str">
        <f>IF($D72="","",IF('04_Dados_Ajustados'!M72="","",IF('03_Base_Indice'!$G72="+",MIN('01_Criterios'!$C$10,MAX('01_Criterios'!$C$9,'01_Criterios'!$C$9+('01_Criterios'!$C$10-'01_Criterios'!$C$9)*('04_Dados_Ajustados'!M72-'03_Base_Indice'!$H72)/('03_Base_Indice'!$I72-'03_Base_Indice'!$H72))),MIN('01_Criterios'!$C$10,MAX('01_Criterios'!$C$9,'01_Criterios'!$C$9+('01_Criterios'!$C$10-'01_Criterios'!$C$9)*('03_Base_Indice'!$I72-'04_Dados_Ajustados'!M72)/('03_Base_Indice'!$I72-'03_Base_Indice'!$H72))))))</f>
        <v/>
      </c>
      <c r="N72" s="31" t="str">
        <f>IF($D72="","",IF('04_Dados_Ajustados'!N72="","",IF('03_Base_Indice'!$G72="+",MIN('01_Criterios'!$C$10,MAX('01_Criterios'!$C$9,'01_Criterios'!$C$9+('01_Criterios'!$C$10-'01_Criterios'!$C$9)*('04_Dados_Ajustados'!N72-'03_Base_Indice'!$H72)/('03_Base_Indice'!$I72-'03_Base_Indice'!$H72))),MIN('01_Criterios'!$C$10,MAX('01_Criterios'!$C$9,'01_Criterios'!$C$9+('01_Criterios'!$C$10-'01_Criterios'!$C$9)*('03_Base_Indice'!$I72-'04_Dados_Ajustados'!N72)/('03_Base_Indice'!$I72-'03_Base_Indice'!$H72))))))</f>
        <v/>
      </c>
      <c r="O72" s="31" t="str">
        <f>IF($D72="","",IF('04_Dados_Ajustados'!O72="","",IF('03_Base_Indice'!$G72="+",MIN('01_Criterios'!$C$10,MAX('01_Criterios'!$C$9,'01_Criterios'!$C$9+('01_Criterios'!$C$10-'01_Criterios'!$C$9)*('04_Dados_Ajustados'!O72-'03_Base_Indice'!$H72)/('03_Base_Indice'!$I72-'03_Base_Indice'!$H72))),MIN('01_Criterios'!$C$10,MAX('01_Criterios'!$C$9,'01_Criterios'!$C$9+('01_Criterios'!$C$10-'01_Criterios'!$C$9)*('03_Base_Indice'!$I72-'04_Dados_Ajustados'!O72)/('03_Base_Indice'!$I72-'03_Base_Indice'!$H72))))))</f>
        <v/>
      </c>
      <c r="P72" s="31" t="str">
        <f>IF($D72="","",IF('04_Dados_Ajustados'!P72="","",IF('03_Base_Indice'!$G72="+",MIN('01_Criterios'!$C$10,MAX('01_Criterios'!$C$9,'01_Criterios'!$C$9+('01_Criterios'!$C$10-'01_Criterios'!$C$9)*('04_Dados_Ajustados'!P72-'03_Base_Indice'!$H72)/('03_Base_Indice'!$I72-'03_Base_Indice'!$H72))),MIN('01_Criterios'!$C$10,MAX('01_Criterios'!$C$9,'01_Criterios'!$C$9+('01_Criterios'!$C$10-'01_Criterios'!$C$9)*('03_Base_Indice'!$I72-'04_Dados_Ajustados'!P72)/('03_Base_Indice'!$I72-'03_Base_Indice'!$H72))))))</f>
        <v/>
      </c>
      <c r="Q72" s="31" t="str">
        <f>IF($D72="","",IF('04_Dados_Ajustados'!Q72="","",IF('03_Base_Indice'!$G72="+",MIN('01_Criterios'!$C$10,MAX('01_Criterios'!$C$9,'01_Criterios'!$C$9+('01_Criterios'!$C$10-'01_Criterios'!$C$9)*('04_Dados_Ajustados'!Q72-'03_Base_Indice'!$H72)/('03_Base_Indice'!$I72-'03_Base_Indice'!$H72))),MIN('01_Criterios'!$C$10,MAX('01_Criterios'!$C$9,'01_Criterios'!$C$9+('01_Criterios'!$C$10-'01_Criterios'!$C$9)*('03_Base_Indice'!$I72-'04_Dados_Ajustados'!Q72)/('03_Base_Indice'!$I72-'03_Base_Indice'!$H72))))))</f>
        <v/>
      </c>
      <c r="R72" s="31" t="str">
        <f>IF($D72="","",IF('04_Dados_Ajustados'!R72="","",IF('03_Base_Indice'!$G72="+",MIN('01_Criterios'!$C$10,MAX('01_Criterios'!$C$9,'01_Criterios'!$C$9+('01_Criterios'!$C$10-'01_Criterios'!$C$9)*('04_Dados_Ajustados'!R72-'03_Base_Indice'!$H72)/('03_Base_Indice'!$I72-'03_Base_Indice'!$H72))),MIN('01_Criterios'!$C$10,MAX('01_Criterios'!$C$9,'01_Criterios'!$C$9+('01_Criterios'!$C$10-'01_Criterios'!$C$9)*('03_Base_Indice'!$I72-'04_Dados_Ajustados'!R72)/('03_Base_Indice'!$I72-'03_Base_Indice'!$H72))))))</f>
        <v/>
      </c>
      <c r="S72" s="31" t="str">
        <f>IF($D72="","",IF('04_Dados_Ajustados'!S72="","",IF('03_Base_Indice'!$G72="+",MIN('01_Criterios'!$C$10,MAX('01_Criterios'!$C$9,'01_Criterios'!$C$9+('01_Criterios'!$C$10-'01_Criterios'!$C$9)*('04_Dados_Ajustados'!S72-'03_Base_Indice'!$H72)/('03_Base_Indice'!$I72-'03_Base_Indice'!$H72))),MIN('01_Criterios'!$C$10,MAX('01_Criterios'!$C$9,'01_Criterios'!$C$9+('01_Criterios'!$C$10-'01_Criterios'!$C$9)*('03_Base_Indice'!$I72-'04_Dados_Ajustados'!S72)/('03_Base_Indice'!$I72-'03_Base_Indice'!$H72))))))</f>
        <v/>
      </c>
      <c r="T72" s="31" t="str">
        <f>IF($D72="","",IF('04_Dados_Ajustados'!T72="","",IF('03_Base_Indice'!$G72="+",MIN('01_Criterios'!$C$10,MAX('01_Criterios'!$C$9,'01_Criterios'!$C$9+('01_Criterios'!$C$10-'01_Criterios'!$C$9)*('04_Dados_Ajustados'!T72-'03_Base_Indice'!$H72)/('03_Base_Indice'!$I72-'03_Base_Indice'!$H72))),MIN('01_Criterios'!$C$10,MAX('01_Criterios'!$C$9,'01_Criterios'!$C$9+('01_Criterios'!$C$10-'01_Criterios'!$C$9)*('03_Base_Indice'!$I72-'04_Dados_Ajustados'!T72)/('03_Base_Indice'!$I72-'03_Base_Indice'!$H72))))))</f>
        <v/>
      </c>
      <c r="U72" s="31" t="str">
        <f>IF($D72="","",IF('04_Dados_Ajustados'!U72="","",IF('03_Base_Indice'!$G72="+",MIN('01_Criterios'!$C$10,MAX('01_Criterios'!$C$9,'01_Criterios'!$C$9+('01_Criterios'!$C$10-'01_Criterios'!$C$9)*('04_Dados_Ajustados'!U72-'03_Base_Indice'!$H72)/('03_Base_Indice'!$I72-'03_Base_Indice'!$H72))),MIN('01_Criterios'!$C$10,MAX('01_Criterios'!$C$9,'01_Criterios'!$C$9+('01_Criterios'!$C$10-'01_Criterios'!$C$9)*('03_Base_Indice'!$I72-'04_Dados_Ajustados'!U72)/('03_Base_Indice'!$I72-'03_Base_Indice'!$H72))))))</f>
        <v/>
      </c>
    </row>
    <row r="73" spans="1:21">
      <c r="A73" s="6" t="str">
        <f>IF('03_Base_Indice'!$A73="","",'03_Base_Indice'!$A73)</f>
        <v>7. Segurança Alimentar e Saúde</v>
      </c>
      <c r="B73" s="6">
        <f>'03_Base_Indice'!$B73</f>
        <v>9</v>
      </c>
      <c r="D73" s="6" t="str">
        <f>IF('03_Base_Indice'!$D73="","",'03_Base_Indice'!$D73)</f>
        <v/>
      </c>
      <c r="E73" s="6" t="str">
        <f>IF('03_Base_Indice'!$E73="","",'03_Base_Indice'!$E73)</f>
        <v/>
      </c>
      <c r="G73" s="20" t="str">
        <f>IF('03_Base_Indice'!$G73="","",'03_Base_Indice'!$G73)</f>
        <v/>
      </c>
      <c r="K73" s="31" t="str">
        <f>IF($D73="","",IF('04_Dados_Ajustados'!K73="","",IF('03_Base_Indice'!$G73="+",MIN('01_Criterios'!$C$10,MAX('01_Criterios'!$C$9,'01_Criterios'!$C$9+('01_Criterios'!$C$10-'01_Criterios'!$C$9)*('04_Dados_Ajustados'!K73-'03_Base_Indice'!$H73)/('03_Base_Indice'!$I73-'03_Base_Indice'!$H73))),MIN('01_Criterios'!$C$10,MAX('01_Criterios'!$C$9,'01_Criterios'!$C$9+('01_Criterios'!$C$10-'01_Criterios'!$C$9)*('03_Base_Indice'!$I73-'04_Dados_Ajustados'!K73)/('03_Base_Indice'!$I73-'03_Base_Indice'!$H73))))))</f>
        <v/>
      </c>
      <c r="L73" s="31" t="str">
        <f>IF($D73="","",IF('04_Dados_Ajustados'!L73="","",IF('03_Base_Indice'!$G73="+",MIN('01_Criterios'!$C$10,MAX('01_Criterios'!$C$9,'01_Criterios'!$C$9+('01_Criterios'!$C$10-'01_Criterios'!$C$9)*('04_Dados_Ajustados'!L73-'03_Base_Indice'!$H73)/('03_Base_Indice'!$I73-'03_Base_Indice'!$H73))),MIN('01_Criterios'!$C$10,MAX('01_Criterios'!$C$9,'01_Criterios'!$C$9+('01_Criterios'!$C$10-'01_Criterios'!$C$9)*('03_Base_Indice'!$I73-'04_Dados_Ajustados'!L73)/('03_Base_Indice'!$I73-'03_Base_Indice'!$H73))))))</f>
        <v/>
      </c>
      <c r="M73" s="31" t="str">
        <f>IF($D73="","",IF('04_Dados_Ajustados'!M73="","",IF('03_Base_Indice'!$G73="+",MIN('01_Criterios'!$C$10,MAX('01_Criterios'!$C$9,'01_Criterios'!$C$9+('01_Criterios'!$C$10-'01_Criterios'!$C$9)*('04_Dados_Ajustados'!M73-'03_Base_Indice'!$H73)/('03_Base_Indice'!$I73-'03_Base_Indice'!$H73))),MIN('01_Criterios'!$C$10,MAX('01_Criterios'!$C$9,'01_Criterios'!$C$9+('01_Criterios'!$C$10-'01_Criterios'!$C$9)*('03_Base_Indice'!$I73-'04_Dados_Ajustados'!M73)/('03_Base_Indice'!$I73-'03_Base_Indice'!$H73))))))</f>
        <v/>
      </c>
      <c r="N73" s="31" t="str">
        <f>IF($D73="","",IF('04_Dados_Ajustados'!N73="","",IF('03_Base_Indice'!$G73="+",MIN('01_Criterios'!$C$10,MAX('01_Criterios'!$C$9,'01_Criterios'!$C$9+('01_Criterios'!$C$10-'01_Criterios'!$C$9)*('04_Dados_Ajustados'!N73-'03_Base_Indice'!$H73)/('03_Base_Indice'!$I73-'03_Base_Indice'!$H73))),MIN('01_Criterios'!$C$10,MAX('01_Criterios'!$C$9,'01_Criterios'!$C$9+('01_Criterios'!$C$10-'01_Criterios'!$C$9)*('03_Base_Indice'!$I73-'04_Dados_Ajustados'!N73)/('03_Base_Indice'!$I73-'03_Base_Indice'!$H73))))))</f>
        <v/>
      </c>
      <c r="O73" s="31" t="str">
        <f>IF($D73="","",IF('04_Dados_Ajustados'!O73="","",IF('03_Base_Indice'!$G73="+",MIN('01_Criterios'!$C$10,MAX('01_Criterios'!$C$9,'01_Criterios'!$C$9+('01_Criterios'!$C$10-'01_Criterios'!$C$9)*('04_Dados_Ajustados'!O73-'03_Base_Indice'!$H73)/('03_Base_Indice'!$I73-'03_Base_Indice'!$H73))),MIN('01_Criterios'!$C$10,MAX('01_Criterios'!$C$9,'01_Criterios'!$C$9+('01_Criterios'!$C$10-'01_Criterios'!$C$9)*('03_Base_Indice'!$I73-'04_Dados_Ajustados'!O73)/('03_Base_Indice'!$I73-'03_Base_Indice'!$H73))))))</f>
        <v/>
      </c>
      <c r="P73" s="31" t="str">
        <f>IF($D73="","",IF('04_Dados_Ajustados'!P73="","",IF('03_Base_Indice'!$G73="+",MIN('01_Criterios'!$C$10,MAX('01_Criterios'!$C$9,'01_Criterios'!$C$9+('01_Criterios'!$C$10-'01_Criterios'!$C$9)*('04_Dados_Ajustados'!P73-'03_Base_Indice'!$H73)/('03_Base_Indice'!$I73-'03_Base_Indice'!$H73))),MIN('01_Criterios'!$C$10,MAX('01_Criterios'!$C$9,'01_Criterios'!$C$9+('01_Criterios'!$C$10-'01_Criterios'!$C$9)*('03_Base_Indice'!$I73-'04_Dados_Ajustados'!P73)/('03_Base_Indice'!$I73-'03_Base_Indice'!$H73))))))</f>
        <v/>
      </c>
      <c r="Q73" s="31" t="str">
        <f>IF($D73="","",IF('04_Dados_Ajustados'!Q73="","",IF('03_Base_Indice'!$G73="+",MIN('01_Criterios'!$C$10,MAX('01_Criterios'!$C$9,'01_Criterios'!$C$9+('01_Criterios'!$C$10-'01_Criterios'!$C$9)*('04_Dados_Ajustados'!Q73-'03_Base_Indice'!$H73)/('03_Base_Indice'!$I73-'03_Base_Indice'!$H73))),MIN('01_Criterios'!$C$10,MAX('01_Criterios'!$C$9,'01_Criterios'!$C$9+('01_Criterios'!$C$10-'01_Criterios'!$C$9)*('03_Base_Indice'!$I73-'04_Dados_Ajustados'!Q73)/('03_Base_Indice'!$I73-'03_Base_Indice'!$H73))))))</f>
        <v/>
      </c>
      <c r="R73" s="31" t="str">
        <f>IF($D73="","",IF('04_Dados_Ajustados'!R73="","",IF('03_Base_Indice'!$G73="+",MIN('01_Criterios'!$C$10,MAX('01_Criterios'!$C$9,'01_Criterios'!$C$9+('01_Criterios'!$C$10-'01_Criterios'!$C$9)*('04_Dados_Ajustados'!R73-'03_Base_Indice'!$H73)/('03_Base_Indice'!$I73-'03_Base_Indice'!$H73))),MIN('01_Criterios'!$C$10,MAX('01_Criterios'!$C$9,'01_Criterios'!$C$9+('01_Criterios'!$C$10-'01_Criterios'!$C$9)*('03_Base_Indice'!$I73-'04_Dados_Ajustados'!R73)/('03_Base_Indice'!$I73-'03_Base_Indice'!$H73))))))</f>
        <v/>
      </c>
      <c r="S73" s="31" t="str">
        <f>IF($D73="","",IF('04_Dados_Ajustados'!S73="","",IF('03_Base_Indice'!$G73="+",MIN('01_Criterios'!$C$10,MAX('01_Criterios'!$C$9,'01_Criterios'!$C$9+('01_Criterios'!$C$10-'01_Criterios'!$C$9)*('04_Dados_Ajustados'!S73-'03_Base_Indice'!$H73)/('03_Base_Indice'!$I73-'03_Base_Indice'!$H73))),MIN('01_Criterios'!$C$10,MAX('01_Criterios'!$C$9,'01_Criterios'!$C$9+('01_Criterios'!$C$10-'01_Criterios'!$C$9)*('03_Base_Indice'!$I73-'04_Dados_Ajustados'!S73)/('03_Base_Indice'!$I73-'03_Base_Indice'!$H73))))))</f>
        <v/>
      </c>
      <c r="T73" s="31" t="str">
        <f>IF($D73="","",IF('04_Dados_Ajustados'!T73="","",IF('03_Base_Indice'!$G73="+",MIN('01_Criterios'!$C$10,MAX('01_Criterios'!$C$9,'01_Criterios'!$C$9+('01_Criterios'!$C$10-'01_Criterios'!$C$9)*('04_Dados_Ajustados'!T73-'03_Base_Indice'!$H73)/('03_Base_Indice'!$I73-'03_Base_Indice'!$H73))),MIN('01_Criterios'!$C$10,MAX('01_Criterios'!$C$9,'01_Criterios'!$C$9+('01_Criterios'!$C$10-'01_Criterios'!$C$9)*('03_Base_Indice'!$I73-'04_Dados_Ajustados'!T73)/('03_Base_Indice'!$I73-'03_Base_Indice'!$H73))))))</f>
        <v/>
      </c>
      <c r="U73" s="31" t="str">
        <f>IF($D73="","",IF('04_Dados_Ajustados'!U73="","",IF('03_Base_Indice'!$G73="+",MIN('01_Criterios'!$C$10,MAX('01_Criterios'!$C$9,'01_Criterios'!$C$9+('01_Criterios'!$C$10-'01_Criterios'!$C$9)*('04_Dados_Ajustados'!U73-'03_Base_Indice'!$H73)/('03_Base_Indice'!$I73-'03_Base_Indice'!$H73))),MIN('01_Criterios'!$C$10,MAX('01_Criterios'!$C$9,'01_Criterios'!$C$9+('01_Criterios'!$C$10-'01_Criterios'!$C$9)*('03_Base_Indice'!$I73-'04_Dados_Ajustados'!U73)/('03_Base_Indice'!$I73-'03_Base_Indice'!$H73))))))</f>
        <v/>
      </c>
    </row>
    <row r="74" spans="1:21">
      <c r="A74" s="6" t="str">
        <f>IF('03_Base_Indice'!$A74="","",'03_Base_Indice'!$A74)</f>
        <v>7. Segurança Alimentar e Saúde</v>
      </c>
      <c r="B74" s="6">
        <f>'03_Base_Indice'!$B74</f>
        <v>10</v>
      </c>
      <c r="D74" s="6" t="str">
        <f>IF('03_Base_Indice'!$D74="","",'03_Base_Indice'!$D74)</f>
        <v/>
      </c>
      <c r="E74" s="6" t="str">
        <f>IF('03_Base_Indice'!$E74="","",'03_Base_Indice'!$E74)</f>
        <v/>
      </c>
      <c r="G74" s="20" t="str">
        <f>IF('03_Base_Indice'!$G74="","",'03_Base_Indice'!$G74)</f>
        <v/>
      </c>
      <c r="K74" s="31" t="str">
        <f>IF($D74="","",IF('04_Dados_Ajustados'!K74="","",IF('03_Base_Indice'!$G74="+",MIN('01_Criterios'!$C$10,MAX('01_Criterios'!$C$9,'01_Criterios'!$C$9+('01_Criterios'!$C$10-'01_Criterios'!$C$9)*('04_Dados_Ajustados'!K74-'03_Base_Indice'!$H74)/('03_Base_Indice'!$I74-'03_Base_Indice'!$H74))),MIN('01_Criterios'!$C$10,MAX('01_Criterios'!$C$9,'01_Criterios'!$C$9+('01_Criterios'!$C$10-'01_Criterios'!$C$9)*('03_Base_Indice'!$I74-'04_Dados_Ajustados'!K74)/('03_Base_Indice'!$I74-'03_Base_Indice'!$H74))))))</f>
        <v/>
      </c>
      <c r="L74" s="31" t="str">
        <f>IF($D74="","",IF('04_Dados_Ajustados'!L74="","",IF('03_Base_Indice'!$G74="+",MIN('01_Criterios'!$C$10,MAX('01_Criterios'!$C$9,'01_Criterios'!$C$9+('01_Criterios'!$C$10-'01_Criterios'!$C$9)*('04_Dados_Ajustados'!L74-'03_Base_Indice'!$H74)/('03_Base_Indice'!$I74-'03_Base_Indice'!$H74))),MIN('01_Criterios'!$C$10,MAX('01_Criterios'!$C$9,'01_Criterios'!$C$9+('01_Criterios'!$C$10-'01_Criterios'!$C$9)*('03_Base_Indice'!$I74-'04_Dados_Ajustados'!L74)/('03_Base_Indice'!$I74-'03_Base_Indice'!$H74))))))</f>
        <v/>
      </c>
      <c r="M74" s="31" t="str">
        <f>IF($D74="","",IF('04_Dados_Ajustados'!M74="","",IF('03_Base_Indice'!$G74="+",MIN('01_Criterios'!$C$10,MAX('01_Criterios'!$C$9,'01_Criterios'!$C$9+('01_Criterios'!$C$10-'01_Criterios'!$C$9)*('04_Dados_Ajustados'!M74-'03_Base_Indice'!$H74)/('03_Base_Indice'!$I74-'03_Base_Indice'!$H74))),MIN('01_Criterios'!$C$10,MAX('01_Criterios'!$C$9,'01_Criterios'!$C$9+('01_Criterios'!$C$10-'01_Criterios'!$C$9)*('03_Base_Indice'!$I74-'04_Dados_Ajustados'!M74)/('03_Base_Indice'!$I74-'03_Base_Indice'!$H74))))))</f>
        <v/>
      </c>
      <c r="N74" s="31" t="str">
        <f>IF($D74="","",IF('04_Dados_Ajustados'!N74="","",IF('03_Base_Indice'!$G74="+",MIN('01_Criterios'!$C$10,MAX('01_Criterios'!$C$9,'01_Criterios'!$C$9+('01_Criterios'!$C$10-'01_Criterios'!$C$9)*('04_Dados_Ajustados'!N74-'03_Base_Indice'!$H74)/('03_Base_Indice'!$I74-'03_Base_Indice'!$H74))),MIN('01_Criterios'!$C$10,MAX('01_Criterios'!$C$9,'01_Criterios'!$C$9+('01_Criterios'!$C$10-'01_Criterios'!$C$9)*('03_Base_Indice'!$I74-'04_Dados_Ajustados'!N74)/('03_Base_Indice'!$I74-'03_Base_Indice'!$H74))))))</f>
        <v/>
      </c>
      <c r="O74" s="31" t="str">
        <f>IF($D74="","",IF('04_Dados_Ajustados'!O74="","",IF('03_Base_Indice'!$G74="+",MIN('01_Criterios'!$C$10,MAX('01_Criterios'!$C$9,'01_Criterios'!$C$9+('01_Criterios'!$C$10-'01_Criterios'!$C$9)*('04_Dados_Ajustados'!O74-'03_Base_Indice'!$H74)/('03_Base_Indice'!$I74-'03_Base_Indice'!$H74))),MIN('01_Criterios'!$C$10,MAX('01_Criterios'!$C$9,'01_Criterios'!$C$9+('01_Criterios'!$C$10-'01_Criterios'!$C$9)*('03_Base_Indice'!$I74-'04_Dados_Ajustados'!O74)/('03_Base_Indice'!$I74-'03_Base_Indice'!$H74))))))</f>
        <v/>
      </c>
      <c r="P74" s="31" t="str">
        <f>IF($D74="","",IF('04_Dados_Ajustados'!P74="","",IF('03_Base_Indice'!$G74="+",MIN('01_Criterios'!$C$10,MAX('01_Criterios'!$C$9,'01_Criterios'!$C$9+('01_Criterios'!$C$10-'01_Criterios'!$C$9)*('04_Dados_Ajustados'!P74-'03_Base_Indice'!$H74)/('03_Base_Indice'!$I74-'03_Base_Indice'!$H74))),MIN('01_Criterios'!$C$10,MAX('01_Criterios'!$C$9,'01_Criterios'!$C$9+('01_Criterios'!$C$10-'01_Criterios'!$C$9)*('03_Base_Indice'!$I74-'04_Dados_Ajustados'!P74)/('03_Base_Indice'!$I74-'03_Base_Indice'!$H74))))))</f>
        <v/>
      </c>
      <c r="Q74" s="31" t="str">
        <f>IF($D74="","",IF('04_Dados_Ajustados'!Q74="","",IF('03_Base_Indice'!$G74="+",MIN('01_Criterios'!$C$10,MAX('01_Criterios'!$C$9,'01_Criterios'!$C$9+('01_Criterios'!$C$10-'01_Criterios'!$C$9)*('04_Dados_Ajustados'!Q74-'03_Base_Indice'!$H74)/('03_Base_Indice'!$I74-'03_Base_Indice'!$H74))),MIN('01_Criterios'!$C$10,MAX('01_Criterios'!$C$9,'01_Criterios'!$C$9+('01_Criterios'!$C$10-'01_Criterios'!$C$9)*('03_Base_Indice'!$I74-'04_Dados_Ajustados'!Q74)/('03_Base_Indice'!$I74-'03_Base_Indice'!$H74))))))</f>
        <v/>
      </c>
      <c r="R74" s="31" t="str">
        <f>IF($D74="","",IF('04_Dados_Ajustados'!R74="","",IF('03_Base_Indice'!$G74="+",MIN('01_Criterios'!$C$10,MAX('01_Criterios'!$C$9,'01_Criterios'!$C$9+('01_Criterios'!$C$10-'01_Criterios'!$C$9)*('04_Dados_Ajustados'!R74-'03_Base_Indice'!$H74)/('03_Base_Indice'!$I74-'03_Base_Indice'!$H74))),MIN('01_Criterios'!$C$10,MAX('01_Criterios'!$C$9,'01_Criterios'!$C$9+('01_Criterios'!$C$10-'01_Criterios'!$C$9)*('03_Base_Indice'!$I74-'04_Dados_Ajustados'!R74)/('03_Base_Indice'!$I74-'03_Base_Indice'!$H74))))))</f>
        <v/>
      </c>
      <c r="S74" s="31" t="str">
        <f>IF($D74="","",IF('04_Dados_Ajustados'!S74="","",IF('03_Base_Indice'!$G74="+",MIN('01_Criterios'!$C$10,MAX('01_Criterios'!$C$9,'01_Criterios'!$C$9+('01_Criterios'!$C$10-'01_Criterios'!$C$9)*('04_Dados_Ajustados'!S74-'03_Base_Indice'!$H74)/('03_Base_Indice'!$I74-'03_Base_Indice'!$H74))),MIN('01_Criterios'!$C$10,MAX('01_Criterios'!$C$9,'01_Criterios'!$C$9+('01_Criterios'!$C$10-'01_Criterios'!$C$9)*('03_Base_Indice'!$I74-'04_Dados_Ajustados'!S74)/('03_Base_Indice'!$I74-'03_Base_Indice'!$H74))))))</f>
        <v/>
      </c>
      <c r="T74" s="31" t="str">
        <f>IF($D74="","",IF('04_Dados_Ajustados'!T74="","",IF('03_Base_Indice'!$G74="+",MIN('01_Criterios'!$C$10,MAX('01_Criterios'!$C$9,'01_Criterios'!$C$9+('01_Criterios'!$C$10-'01_Criterios'!$C$9)*('04_Dados_Ajustados'!T74-'03_Base_Indice'!$H74)/('03_Base_Indice'!$I74-'03_Base_Indice'!$H74))),MIN('01_Criterios'!$C$10,MAX('01_Criterios'!$C$9,'01_Criterios'!$C$9+('01_Criterios'!$C$10-'01_Criterios'!$C$9)*('03_Base_Indice'!$I74-'04_Dados_Ajustados'!T74)/('03_Base_Indice'!$I74-'03_Base_Indice'!$H74))))))</f>
        <v/>
      </c>
      <c r="U74" s="31" t="str">
        <f>IF($D74="","",IF('04_Dados_Ajustados'!U74="","",IF('03_Base_Indice'!$G74="+",MIN('01_Criterios'!$C$10,MAX('01_Criterios'!$C$9,'01_Criterios'!$C$9+('01_Criterios'!$C$10-'01_Criterios'!$C$9)*('04_Dados_Ajustados'!U74-'03_Base_Indice'!$H74)/('03_Base_Indice'!$I74-'03_Base_Indice'!$H74))),MIN('01_Criterios'!$C$10,MAX('01_Criterios'!$C$9,'01_Criterios'!$C$9+('01_Criterios'!$C$10-'01_Criterios'!$C$9)*('03_Base_Indice'!$I74-'04_Dados_Ajustados'!U74)/('03_Base_Indice'!$I74-'03_Base_Indice'!$H74))))))</f>
        <v/>
      </c>
    </row>
    <row r="75" spans="1:21">
      <c r="A75" s="6" t="str">
        <f>IF('03_Base_Indice'!$A75="","",'03_Base_Indice'!$A75)</f>
        <v>8. Diversificação Produtiva e Setor Privado</v>
      </c>
      <c r="B75" s="6">
        <f>'03_Base_Indice'!$B75</f>
        <v>1</v>
      </c>
      <c r="D75" s="6" t="str">
        <f>IF('03_Base_Indice'!$D75="","",'03_Base_Indice'!$D75)</f>
        <v>DIV017</v>
      </c>
      <c r="E75" s="6" t="str">
        <f>IF('03_Base_Indice'!$E75="","",'03_Base_Indice'!$E75)</f>
        <v>Crescimento do PIB não petrolífero</v>
      </c>
      <c r="G75" s="20" t="str">
        <f>IF('03_Base_Indice'!$G75="","",'03_Base_Indice'!$G75)</f>
        <v>+</v>
      </c>
      <c r="K75" s="31">
        <f>IF($D75="","",IF('04_Dados_Ajustados'!K75="","",IF('03_Base_Indice'!$G75="+",MIN('01_Criterios'!$C$10,MAX('01_Criterios'!$C$9,'01_Criterios'!$C$9+('01_Criterios'!$C$10-'01_Criterios'!$C$9)*('04_Dados_Ajustados'!K75-'03_Base_Indice'!$H75)/('03_Base_Indice'!$I75-'03_Base_Indice'!$H75))),MIN('01_Criterios'!$C$10,MAX('01_Criterios'!$C$9,'01_Criterios'!$C$9+('01_Criterios'!$C$10-'01_Criterios'!$C$9)*('03_Base_Indice'!$I75-'04_Dados_Ajustados'!K75)/('03_Base_Indice'!$I75-'03_Base_Indice'!$H75))))))</f>
        <v>25.244799999999994</v>
      </c>
      <c r="L75" s="31">
        <f>IF($D75="","",IF('04_Dados_Ajustados'!L75="","",IF('03_Base_Indice'!$G75="+",MIN('01_Criterios'!$C$10,MAX('01_Criterios'!$C$9,'01_Criterios'!$C$9+('01_Criterios'!$C$10-'01_Criterios'!$C$9)*('04_Dados_Ajustados'!L75-'03_Base_Indice'!$H75)/('03_Base_Indice'!$I75-'03_Base_Indice'!$H75))),MIN('01_Criterios'!$C$10,MAX('01_Criterios'!$C$9,'01_Criterios'!$C$9+('01_Criterios'!$C$10-'01_Criterios'!$C$9)*('03_Base_Indice'!$I75-'04_Dados_Ajustados'!L75)/('03_Base_Indice'!$I75-'03_Base_Indice'!$H75))))))</f>
        <v>43.71</v>
      </c>
      <c r="M75" s="31">
        <f>IF($D75="","",IF('04_Dados_Ajustados'!M75="","",IF('03_Base_Indice'!$G75="+",MIN('01_Criterios'!$C$10,MAX('01_Criterios'!$C$9,'01_Criterios'!$C$9+('01_Criterios'!$C$10-'01_Criterios'!$C$9)*('04_Dados_Ajustados'!M75-'03_Base_Indice'!$H75)/('03_Base_Indice'!$I75-'03_Base_Indice'!$H75))),MIN('01_Criterios'!$C$10,MAX('01_Criterios'!$C$9,'01_Criterios'!$C$9+('01_Criterios'!$C$10-'01_Criterios'!$C$9)*('03_Base_Indice'!$I75-'04_Dados_Ajustados'!M75)/('03_Base_Indice'!$I75-'03_Base_Indice'!$H75))))))</f>
        <v>55.680399999999999</v>
      </c>
      <c r="N75" s="31">
        <f>IF($D75="","",IF('04_Dados_Ajustados'!N75="","",IF('03_Base_Indice'!$G75="+",MIN('01_Criterios'!$C$10,MAX('01_Criterios'!$C$9,'01_Criterios'!$C$9+('01_Criterios'!$C$10-'01_Criterios'!$C$9)*('04_Dados_Ajustados'!N75-'03_Base_Indice'!$H75)/('03_Base_Indice'!$I75-'03_Base_Indice'!$H75))),MIN('01_Criterios'!$C$10,MAX('01_Criterios'!$C$9,'01_Criterios'!$C$9+('01_Criterios'!$C$10-'01_Criterios'!$C$9)*('03_Base_Indice'!$I75-'04_Dados_Ajustados'!N75)/('03_Base_Indice'!$I75-'03_Base_Indice'!$H75))))))</f>
        <v>52.775599999999997</v>
      </c>
      <c r="O75" s="31">
        <f>IF($D75="","",IF('04_Dados_Ajustados'!O75="","",IF('03_Base_Indice'!$G75="+",MIN('01_Criterios'!$C$10,MAX('01_Criterios'!$C$9,'01_Criterios'!$C$9+('01_Criterios'!$C$10-'01_Criterios'!$C$9)*('04_Dados_Ajustados'!O75-'03_Base_Indice'!$H75)/('03_Base_Indice'!$I75-'03_Base_Indice'!$H75))),MIN('01_Criterios'!$C$10,MAX('01_Criterios'!$C$9,'01_Criterios'!$C$9+('01_Criterios'!$C$10-'01_Criterios'!$C$9)*('03_Base_Indice'!$I75-'04_Dados_Ajustados'!O75)/('03_Base_Indice'!$I75-'03_Base_Indice'!$H75))))))</f>
        <v>44.991599999999998</v>
      </c>
      <c r="P75" s="31">
        <f>IF($D75="","",IF('04_Dados_Ajustados'!P75="","",IF('03_Base_Indice'!$G75="+",MIN('01_Criterios'!$C$10,MAX('01_Criterios'!$C$9,'01_Criterios'!$C$9+('01_Criterios'!$C$10-'01_Criterios'!$C$9)*('04_Dados_Ajustados'!P75-'03_Base_Indice'!$H75)/('03_Base_Indice'!$I75-'03_Base_Indice'!$H75))),MIN('01_Criterios'!$C$10,MAX('01_Criterios'!$C$9,'01_Criterios'!$C$9+('01_Criterios'!$C$10-'01_Criterios'!$C$9)*('03_Base_Indice'!$I75-'04_Dados_Ajustados'!P75)/('03_Base_Indice'!$I75-'03_Base_Indice'!$H75))))))</f>
        <v>20.908799999999999</v>
      </c>
      <c r="Q75" s="31">
        <f>IF($D75="","",IF('04_Dados_Ajustados'!Q75="","",IF('03_Base_Indice'!$G75="+",MIN('01_Criterios'!$C$10,MAX('01_Criterios'!$C$9,'01_Criterios'!$C$9+('01_Criterios'!$C$10-'01_Criterios'!$C$9)*('04_Dados_Ajustados'!Q75-'03_Base_Indice'!$H75)/('03_Base_Indice'!$I75-'03_Base_Indice'!$H75))),MIN('01_Criterios'!$C$10,MAX('01_Criterios'!$C$9,'01_Criterios'!$C$9+('01_Criterios'!$C$10-'01_Criterios'!$C$9)*('03_Base_Indice'!$I75-'04_Dados_Ajustados'!Q75)/('03_Base_Indice'!$I75-'03_Base_Indice'!$H75))))))</f>
        <v>61.2532</v>
      </c>
      <c r="R75" s="31">
        <f>IF($D75="","",IF('04_Dados_Ajustados'!R75="","",IF('03_Base_Indice'!$G75="+",MIN('01_Criterios'!$C$10,MAX('01_Criterios'!$C$9,'01_Criterios'!$C$9+('01_Criterios'!$C$10-'01_Criterios'!$C$9)*('04_Dados_Ajustados'!R75-'03_Base_Indice'!$H75)/('03_Base_Indice'!$I75-'03_Base_Indice'!$H75))),MIN('01_Criterios'!$C$10,MAX('01_Criterios'!$C$9,'01_Criterios'!$C$9+('01_Criterios'!$C$10-'01_Criterios'!$C$9)*('03_Base_Indice'!$I75-'04_Dados_Ajustados'!R75)/('03_Base_Indice'!$I75-'03_Base_Indice'!$H75))))))</f>
        <v>52.582799999999999</v>
      </c>
      <c r="S75" s="31">
        <f>IF($D75="","",IF('04_Dados_Ajustados'!S75="","",IF('03_Base_Indice'!$G75="+",MIN('01_Criterios'!$C$10,MAX('01_Criterios'!$C$9,'01_Criterios'!$C$9+('01_Criterios'!$C$10-'01_Criterios'!$C$9)*('04_Dados_Ajustados'!S75-'03_Base_Indice'!$H75)/('03_Base_Indice'!$I75-'03_Base_Indice'!$H75))),MIN('01_Criterios'!$C$10,MAX('01_Criterios'!$C$9,'01_Criterios'!$C$9+('01_Criterios'!$C$10-'01_Criterios'!$C$9)*('03_Base_Indice'!$I75-'04_Dados_Ajustados'!S75)/('03_Base_Indice'!$I75-'03_Base_Indice'!$H75))))))</f>
        <v>49.588799999999999</v>
      </c>
      <c r="T75" s="31">
        <f>IF($D75="","",IF('04_Dados_Ajustados'!T75="","",IF('03_Base_Indice'!$G75="+",MIN('01_Criterios'!$C$10,MAX('01_Criterios'!$C$9,'01_Criterios'!$C$9+('01_Criterios'!$C$10-'01_Criterios'!$C$9)*('04_Dados_Ajustados'!T75-'03_Base_Indice'!$H75)/('03_Base_Indice'!$I75-'03_Base_Indice'!$H75))),MIN('01_Criterios'!$C$10,MAX('01_Criterios'!$C$9,'01_Criterios'!$C$9+('01_Criterios'!$C$10-'01_Criterios'!$C$9)*('03_Base_Indice'!$I75-'04_Dados_Ajustados'!T75)/('03_Base_Indice'!$I75-'03_Base_Indice'!$H75))))))</f>
        <v>61.580399999999997</v>
      </c>
      <c r="U75" s="31">
        <f>IF($D75="","",IF('04_Dados_Ajustados'!U75="","",IF('03_Base_Indice'!$G75="+",MIN('01_Criterios'!$C$10,MAX('01_Criterios'!$C$9,'01_Criterios'!$C$9+('01_Criterios'!$C$10-'01_Criterios'!$C$9)*('04_Dados_Ajustados'!U75-'03_Base_Indice'!$H75)/('03_Base_Indice'!$I75-'03_Base_Indice'!$H75))),MIN('01_Criterios'!$C$10,MAX('01_Criterios'!$C$9,'01_Criterios'!$C$9+('01_Criterios'!$C$10-'01_Criterios'!$C$9)*('03_Base_Indice'!$I75-'04_Dados_Ajustados'!U75)/('03_Base_Indice'!$I75-'03_Base_Indice'!$H75))))))</f>
        <v>61.517200000000003</v>
      </c>
    </row>
    <row r="76" spans="1:21">
      <c r="A76" s="6" t="str">
        <f>IF('03_Base_Indice'!$A76="","",'03_Base_Indice'!$A76)</f>
        <v>8. Diversificação Produtiva e Setor Privado</v>
      </c>
      <c r="B76" s="6">
        <f>'03_Base_Indice'!$B76</f>
        <v>2</v>
      </c>
      <c r="D76" s="6" t="str">
        <f>IF('03_Base_Indice'!$D76="","",'03_Base_Indice'!$D76)</f>
        <v>DIV007</v>
      </c>
      <c r="E76" s="6" t="str">
        <f>IF('03_Base_Indice'!$E76="","",'03_Base_Indice'!$E76)</f>
        <v>Indústria transformadora no PIB</v>
      </c>
      <c r="G76" s="20" t="str">
        <f>IF('03_Base_Indice'!$G76="","",'03_Base_Indice'!$G76)</f>
        <v>+</v>
      </c>
      <c r="K76" s="31">
        <f>IF($D76="","",IF('04_Dados_Ajustados'!K76="","",IF('03_Base_Indice'!$G76="+",MIN('01_Criterios'!$C$10,MAX('01_Criterios'!$C$9,'01_Criterios'!$C$9+('01_Criterios'!$C$10-'01_Criterios'!$C$9)*('04_Dados_Ajustados'!K76-'03_Base_Indice'!$H76)/('03_Base_Indice'!$I76-'03_Base_Indice'!$H76))),MIN('01_Criterios'!$C$10,MAX('01_Criterios'!$C$9,'01_Criterios'!$C$9+('01_Criterios'!$C$10-'01_Criterios'!$C$9)*('03_Base_Indice'!$I76-'04_Dados_Ajustados'!K76)/('03_Base_Indice'!$I76-'03_Base_Indice'!$H76))))))</f>
        <v>17.46838532158753</v>
      </c>
      <c r="L76" s="31">
        <f>IF($D76="","",IF('04_Dados_Ajustados'!L76="","",IF('03_Base_Indice'!$G76="+",MIN('01_Criterios'!$C$10,MAX('01_Criterios'!$C$9,'01_Criterios'!$C$9+('01_Criterios'!$C$10-'01_Criterios'!$C$9)*('04_Dados_Ajustados'!L76-'03_Base_Indice'!$H76)/('03_Base_Indice'!$I76-'03_Base_Indice'!$H76))),MIN('01_Criterios'!$C$10,MAX('01_Criterios'!$C$9,'01_Criterios'!$C$9+('01_Criterios'!$C$10-'01_Criterios'!$C$9)*('03_Base_Indice'!$I76-'04_Dados_Ajustados'!L76)/('03_Base_Indice'!$I76-'03_Base_Indice'!$H76))))))</f>
        <v>19.27596331663856</v>
      </c>
      <c r="M76" s="31">
        <f>IF($D76="","",IF('04_Dados_Ajustados'!M76="","",IF('03_Base_Indice'!$G76="+",MIN('01_Criterios'!$C$10,MAX('01_Criterios'!$C$9,'01_Criterios'!$C$9+('01_Criterios'!$C$10-'01_Criterios'!$C$9)*('04_Dados_Ajustados'!M76-'03_Base_Indice'!$H76)/('03_Base_Indice'!$I76-'03_Base_Indice'!$H76))),MIN('01_Criterios'!$C$10,MAX('01_Criterios'!$C$9,'01_Criterios'!$C$9+('01_Criterios'!$C$10-'01_Criterios'!$C$9)*('03_Base_Indice'!$I76-'04_Dados_Ajustados'!M76)/('03_Base_Indice'!$I76-'03_Base_Indice'!$H76))))))</f>
        <v>19.096564815734908</v>
      </c>
      <c r="N76" s="31">
        <f>IF($D76="","",IF('04_Dados_Ajustados'!N76="","",IF('03_Base_Indice'!$G76="+",MIN('01_Criterios'!$C$10,MAX('01_Criterios'!$C$9,'01_Criterios'!$C$9+('01_Criterios'!$C$10-'01_Criterios'!$C$9)*('04_Dados_Ajustados'!N76-'03_Base_Indice'!$H76)/('03_Base_Indice'!$I76-'03_Base_Indice'!$H76))),MIN('01_Criterios'!$C$10,MAX('01_Criterios'!$C$9,'01_Criterios'!$C$9+('01_Criterios'!$C$10-'01_Criterios'!$C$9)*('03_Base_Indice'!$I76-'04_Dados_Ajustados'!N76)/('03_Base_Indice'!$I76-'03_Base_Indice'!$H76))))))</f>
        <v>17.802487650321961</v>
      </c>
      <c r="O76" s="31">
        <f>IF($D76="","",IF('04_Dados_Ajustados'!O76="","",IF('03_Base_Indice'!$G76="+",MIN('01_Criterios'!$C$10,MAX('01_Criterios'!$C$9,'01_Criterios'!$C$9+('01_Criterios'!$C$10-'01_Criterios'!$C$9)*('04_Dados_Ajustados'!O76-'03_Base_Indice'!$H76)/('03_Base_Indice'!$I76-'03_Base_Indice'!$H76))),MIN('01_Criterios'!$C$10,MAX('01_Criterios'!$C$9,'01_Criterios'!$C$9+('01_Criterios'!$C$10-'01_Criterios'!$C$9)*('03_Base_Indice'!$I76-'04_Dados_Ajustados'!O76)/('03_Base_Indice'!$I76-'03_Base_Indice'!$H76))))))</f>
        <v>18.038162574140184</v>
      </c>
      <c r="P76" s="31">
        <f>IF($D76="","",IF('04_Dados_Ajustados'!P76="","",IF('03_Base_Indice'!$G76="+",MIN('01_Criterios'!$C$10,MAX('01_Criterios'!$C$9,'01_Criterios'!$C$9+('01_Criterios'!$C$10-'01_Criterios'!$C$9)*('04_Dados_Ajustados'!P76-'03_Base_Indice'!$H76)/('03_Base_Indice'!$I76-'03_Base_Indice'!$H76))),MIN('01_Criterios'!$C$10,MAX('01_Criterios'!$C$9,'01_Criterios'!$C$9+('01_Criterios'!$C$10-'01_Criterios'!$C$9)*('03_Base_Indice'!$I76-'04_Dados_Ajustados'!P76)/('03_Base_Indice'!$I76-'03_Base_Indice'!$H76))))))</f>
        <v>20.324857272808163</v>
      </c>
      <c r="Q76" s="31">
        <f>IF($D76="","",IF('04_Dados_Ajustados'!Q76="","",IF('03_Base_Indice'!$G76="+",MIN('01_Criterios'!$C$10,MAX('01_Criterios'!$C$9,'01_Criterios'!$C$9+('01_Criterios'!$C$10-'01_Criterios'!$C$9)*('04_Dados_Ajustados'!Q76-'03_Base_Indice'!$H76)/('03_Base_Indice'!$I76-'03_Base_Indice'!$H76))),MIN('01_Criterios'!$C$10,MAX('01_Criterios'!$C$9,'01_Criterios'!$C$9+('01_Criterios'!$C$10-'01_Criterios'!$C$9)*('03_Base_Indice'!$I76-'04_Dados_Ajustados'!Q76)/('03_Base_Indice'!$I76-'03_Base_Indice'!$H76))))))</f>
        <v>20.645791867109242</v>
      </c>
      <c r="R76" s="31">
        <f>IF($D76="","",IF('04_Dados_Ajustados'!R76="","",IF('03_Base_Indice'!$G76="+",MIN('01_Criterios'!$C$10,MAX('01_Criterios'!$C$9,'01_Criterios'!$C$9+('01_Criterios'!$C$10-'01_Criterios'!$C$9)*('04_Dados_Ajustados'!R76-'03_Base_Indice'!$H76)/('03_Base_Indice'!$I76-'03_Base_Indice'!$H76))),MIN('01_Criterios'!$C$10,MAX('01_Criterios'!$C$9,'01_Criterios'!$C$9+('01_Criterios'!$C$10-'01_Criterios'!$C$9)*('03_Base_Indice'!$I76-'04_Dados_Ajustados'!R76)/('03_Base_Indice'!$I76-'03_Base_Indice'!$H76))))))</f>
        <v>22.388260457896909</v>
      </c>
      <c r="S76" s="31">
        <f>IF($D76="","",IF('04_Dados_Ajustados'!S76="","",IF('03_Base_Indice'!$G76="+",MIN('01_Criterios'!$C$10,MAX('01_Criterios'!$C$9,'01_Criterios'!$C$9+('01_Criterios'!$C$10-'01_Criterios'!$C$9)*('04_Dados_Ajustados'!S76-'03_Base_Indice'!$H76)/('03_Base_Indice'!$I76-'03_Base_Indice'!$H76))),MIN('01_Criterios'!$C$10,MAX('01_Criterios'!$C$9,'01_Criterios'!$C$9+('01_Criterios'!$C$10-'01_Criterios'!$C$9)*('03_Base_Indice'!$I76-'04_Dados_Ajustados'!S76)/('03_Base_Indice'!$I76-'03_Base_Indice'!$H76))))))</f>
        <v>24.668887481416878</v>
      </c>
      <c r="T76" s="31">
        <f>IF($D76="","",IF('04_Dados_Ajustados'!T76="","",IF('03_Base_Indice'!$G76="+",MIN('01_Criterios'!$C$10,MAX('01_Criterios'!$C$9,'01_Criterios'!$C$9+('01_Criterios'!$C$10-'01_Criterios'!$C$9)*('04_Dados_Ajustados'!T76-'03_Base_Indice'!$H76)/('03_Base_Indice'!$I76-'03_Base_Indice'!$H76))),MIN('01_Criterios'!$C$10,MAX('01_Criterios'!$C$9,'01_Criterios'!$C$9+('01_Criterios'!$C$10-'01_Criterios'!$C$9)*('03_Base_Indice'!$I76-'04_Dados_Ajustados'!T76)/('03_Base_Indice'!$I76-'03_Base_Indice'!$H76))))))</f>
        <v>21.920541993198444</v>
      </c>
      <c r="U76" s="31">
        <f>IF($D76="","",IF('04_Dados_Ajustados'!U76="","",IF('03_Base_Indice'!$G76="+",MIN('01_Criterios'!$C$10,MAX('01_Criterios'!$C$9,'01_Criterios'!$C$9+('01_Criterios'!$C$10-'01_Criterios'!$C$9)*('04_Dados_Ajustados'!U76-'03_Base_Indice'!$H76)/('03_Base_Indice'!$I76-'03_Base_Indice'!$H76))),MIN('01_Criterios'!$C$10,MAX('01_Criterios'!$C$9,'01_Criterios'!$C$9+('01_Criterios'!$C$10-'01_Criterios'!$C$9)*('03_Base_Indice'!$I76-'04_Dados_Ajustados'!U76)/('03_Base_Indice'!$I76-'03_Base_Indice'!$H76))))))</f>
        <v>22.642069898705696</v>
      </c>
    </row>
    <row r="77" spans="1:21">
      <c r="A77" s="6" t="str">
        <f>IF('03_Base_Indice'!$A77="","",'03_Base_Indice'!$A77)</f>
        <v>8. Diversificação Produtiva e Setor Privado</v>
      </c>
      <c r="B77" s="6">
        <f>'03_Base_Indice'!$B77</f>
        <v>3</v>
      </c>
      <c r="D77" s="6" t="str">
        <f>IF('03_Base_Indice'!$D77="","",'03_Base_Indice'!$D77)</f>
        <v>DIV015</v>
      </c>
      <c r="E77" s="6" t="str">
        <f>IF('03_Base_Indice'!$E77="","",'03_Base_Indice'!$E77)</f>
        <v>Crédito doméstico ao setor privado</v>
      </c>
      <c r="G77" s="20" t="str">
        <f>IF('03_Base_Indice'!$G77="","",'03_Base_Indice'!$G77)</f>
        <v>+</v>
      </c>
      <c r="K77" s="31">
        <f>IF($D77="","",IF('04_Dados_Ajustados'!K77="","",IF('03_Base_Indice'!$G77="+",MIN('01_Criterios'!$C$10,MAX('01_Criterios'!$C$9,'01_Criterios'!$C$9+('01_Criterios'!$C$10-'01_Criterios'!$C$9)*('04_Dados_Ajustados'!K77-'03_Base_Indice'!$H77)/('03_Base_Indice'!$I77-'03_Base_Indice'!$H77))),MIN('01_Criterios'!$C$10,MAX('01_Criterios'!$C$9,'01_Criterios'!$C$9+('01_Criterios'!$C$10-'01_Criterios'!$C$9)*('03_Base_Indice'!$I77-'04_Dados_Ajustados'!K77)/('03_Base_Indice'!$I77-'03_Base_Indice'!$H77))))))</f>
        <v>22.2749280175045</v>
      </c>
      <c r="L77" s="31">
        <f>IF($D77="","",IF('04_Dados_Ajustados'!L77="","",IF('03_Base_Indice'!$G77="+",MIN('01_Criterios'!$C$10,MAX('01_Criterios'!$C$9,'01_Criterios'!$C$9+('01_Criterios'!$C$10-'01_Criterios'!$C$9)*('04_Dados_Ajustados'!L77-'03_Base_Indice'!$H77)/('03_Base_Indice'!$I77-'03_Base_Indice'!$H77))),MIN('01_Criterios'!$C$10,MAX('01_Criterios'!$C$9,'01_Criterios'!$C$9+('01_Criterios'!$C$10-'01_Criterios'!$C$9)*('03_Base_Indice'!$I77-'04_Dados_Ajustados'!L77)/('03_Base_Indice'!$I77-'03_Base_Indice'!$H77))))))</f>
        <v>18.318007502950611</v>
      </c>
      <c r="M77" s="31">
        <f>IF($D77="","",IF('04_Dados_Ajustados'!M77="","",IF('03_Base_Indice'!$G77="+",MIN('01_Criterios'!$C$10,MAX('01_Criterios'!$C$9,'01_Criterios'!$C$9+('01_Criterios'!$C$10-'01_Criterios'!$C$9)*('04_Dados_Ajustados'!M77-'03_Base_Indice'!$H77)/('03_Base_Indice'!$I77-'03_Base_Indice'!$H77))),MIN('01_Criterios'!$C$10,MAX('01_Criterios'!$C$9,'01_Criterios'!$C$9+('01_Criterios'!$C$10-'01_Criterios'!$C$9)*('03_Base_Indice'!$I77-'04_Dados_Ajustados'!M77)/('03_Base_Indice'!$I77-'03_Base_Indice'!$H77))))))</f>
        <v>14.63025795529294</v>
      </c>
      <c r="N77" s="31">
        <f>IF($D77="","",IF('04_Dados_Ajustados'!N77="","",IF('03_Base_Indice'!$G77="+",MIN('01_Criterios'!$C$10,MAX('01_Criterios'!$C$9,'01_Criterios'!$C$9+('01_Criterios'!$C$10-'01_Criterios'!$C$9)*('04_Dados_Ajustados'!N77-'03_Base_Indice'!$H77)/('03_Base_Indice'!$I77-'03_Base_Indice'!$H77))),MIN('01_Criterios'!$C$10,MAX('01_Criterios'!$C$9,'01_Criterios'!$C$9+('01_Criterios'!$C$10-'01_Criterios'!$C$9)*('03_Base_Indice'!$I77-'04_Dados_Ajustados'!N77)/('03_Base_Indice'!$I77-'03_Base_Indice'!$H77))))))</f>
        <v>13.110917601097531</v>
      </c>
      <c r="O77" s="31">
        <f>IF($D77="","",IF('04_Dados_Ajustados'!O77="","",IF('03_Base_Indice'!$G77="+",MIN('01_Criterios'!$C$10,MAX('01_Criterios'!$C$9,'01_Criterios'!$C$9+('01_Criterios'!$C$10-'01_Criterios'!$C$9)*('04_Dados_Ajustados'!O77-'03_Base_Indice'!$H77)/('03_Base_Indice'!$I77-'03_Base_Indice'!$H77))),MIN('01_Criterios'!$C$10,MAX('01_Criterios'!$C$9,'01_Criterios'!$C$9+('01_Criterios'!$C$10-'01_Criterios'!$C$9)*('03_Base_Indice'!$I77-'04_Dados_Ajustados'!O77)/('03_Base_Indice'!$I77-'03_Base_Indice'!$H77))))))</f>
        <v>13.395602867586071</v>
      </c>
      <c r="P77" s="31">
        <f>IF($D77="","",IF('04_Dados_Ajustados'!P77="","",IF('03_Base_Indice'!$G77="+",MIN('01_Criterios'!$C$10,MAX('01_Criterios'!$C$9,'01_Criterios'!$C$9+('01_Criterios'!$C$10-'01_Criterios'!$C$9)*('04_Dados_Ajustados'!P77-'03_Base_Indice'!$H77)/('03_Base_Indice'!$I77-'03_Base_Indice'!$H77))),MIN('01_Criterios'!$C$10,MAX('01_Criterios'!$C$9,'01_Criterios'!$C$9+('01_Criterios'!$C$10-'01_Criterios'!$C$9)*('03_Base_Indice'!$I77-'04_Dados_Ajustados'!P77)/('03_Base_Indice'!$I77-'03_Base_Indice'!$H77))))))</f>
        <v>11.376559084367299</v>
      </c>
      <c r="Q77" s="31">
        <f>IF($D77="","",IF('04_Dados_Ajustados'!Q77="","",IF('03_Base_Indice'!$G77="+",MIN('01_Criterios'!$C$10,MAX('01_Criterios'!$C$9,'01_Criterios'!$C$9+('01_Criterios'!$C$10-'01_Criterios'!$C$9)*('04_Dados_Ajustados'!Q77-'03_Base_Indice'!$H77)/('03_Base_Indice'!$I77-'03_Base_Indice'!$H77))),MIN('01_Criterios'!$C$10,MAX('01_Criterios'!$C$9,'01_Criterios'!$C$9+('01_Criterios'!$C$10-'01_Criterios'!$C$9)*('03_Base_Indice'!$I77-'04_Dados_Ajustados'!Q77)/('03_Base_Indice'!$I77-'03_Base_Indice'!$H77))))))</f>
        <v>8.8443017464105509</v>
      </c>
      <c r="R77" s="31">
        <f>IF($D77="","",IF('04_Dados_Ajustados'!R77="","",IF('03_Base_Indice'!$G77="+",MIN('01_Criterios'!$C$10,MAX('01_Criterios'!$C$9,'01_Criterios'!$C$9+('01_Criterios'!$C$10-'01_Criterios'!$C$9)*('04_Dados_Ajustados'!R77-'03_Base_Indice'!$H77)/('03_Base_Indice'!$I77-'03_Base_Indice'!$H77))),MIN('01_Criterios'!$C$10,MAX('01_Criterios'!$C$9,'01_Criterios'!$C$9+('01_Criterios'!$C$10-'01_Criterios'!$C$9)*('03_Base_Indice'!$I77-'04_Dados_Ajustados'!R77)/('03_Base_Indice'!$I77-'03_Base_Indice'!$H77))))))</f>
        <v>7.0250619443541522</v>
      </c>
      <c r="S77" s="31">
        <f>IF($D77="","",IF('04_Dados_Ajustados'!S77="","",IF('03_Base_Indice'!$G77="+",MIN('01_Criterios'!$C$10,MAX('01_Criterios'!$C$9,'01_Criterios'!$C$9+('01_Criterios'!$C$10-'01_Criterios'!$C$9)*('04_Dados_Ajustados'!S77-'03_Base_Indice'!$H77)/('03_Base_Indice'!$I77-'03_Base_Indice'!$H77))),MIN('01_Criterios'!$C$10,MAX('01_Criterios'!$C$9,'01_Criterios'!$C$9+('01_Criterios'!$C$10-'01_Criterios'!$C$9)*('03_Base_Indice'!$I77-'04_Dados_Ajustados'!S77)/('03_Base_Indice'!$I77-'03_Base_Indice'!$H77))))))</f>
        <v>7.6457337441609194</v>
      </c>
      <c r="T77" s="31">
        <f>IF($D77="","",IF('04_Dados_Ajustados'!T77="","",IF('03_Base_Indice'!$G77="+",MIN('01_Criterios'!$C$10,MAX('01_Criterios'!$C$9,'01_Criterios'!$C$9+('01_Criterios'!$C$10-'01_Criterios'!$C$9)*('04_Dados_Ajustados'!T77-'03_Base_Indice'!$H77)/('03_Base_Indice'!$I77-'03_Base_Indice'!$H77))),MIN('01_Criterios'!$C$10,MAX('01_Criterios'!$C$9,'01_Criterios'!$C$9+('01_Criterios'!$C$10-'01_Criterios'!$C$9)*('03_Base_Indice'!$I77-'04_Dados_Ajustados'!T77)/('03_Base_Indice'!$I77-'03_Base_Indice'!$H77))))))</f>
        <v>7.1689264092656177</v>
      </c>
      <c r="U77" s="31">
        <f>IF($D77="","",IF('04_Dados_Ajustados'!U77="","",IF('03_Base_Indice'!$G77="+",MIN('01_Criterios'!$C$10,MAX('01_Criterios'!$C$9,'01_Criterios'!$C$9+('01_Criterios'!$C$10-'01_Criterios'!$C$9)*('04_Dados_Ajustados'!U77-'03_Base_Indice'!$H77)/('03_Base_Indice'!$I77-'03_Base_Indice'!$H77))),MIN('01_Criterios'!$C$10,MAX('01_Criterios'!$C$9,'01_Criterios'!$C$9+('01_Criterios'!$C$10-'01_Criterios'!$C$9)*('03_Base_Indice'!$I77-'04_Dados_Ajustados'!U77)/('03_Base_Indice'!$I77-'03_Base_Indice'!$H77))))))</f>
        <v>6.5808829663826964</v>
      </c>
    </row>
    <row r="78" spans="1:21">
      <c r="A78" s="6" t="str">
        <f>IF('03_Base_Indice'!$A78="","",'03_Base_Indice'!$A78)</f>
        <v>8. Diversificação Produtiva e Setor Privado</v>
      </c>
      <c r="B78" s="6">
        <f>'03_Base_Indice'!$B78</f>
        <v>4</v>
      </c>
      <c r="D78" s="6" t="str">
        <f>IF('03_Base_Indice'!$D78="","",'03_Base_Indice'!$D78)</f>
        <v>DIV001</v>
      </c>
      <c r="E78" s="6" t="str">
        <f>IF('03_Base_Indice'!$E78="","",'03_Base_Indice'!$E78)</f>
        <v>Productive Capacities Index - geral</v>
      </c>
      <c r="G78" s="20" t="str">
        <f>IF('03_Base_Indice'!$G78="","",'03_Base_Indice'!$G78)</f>
        <v>+</v>
      </c>
      <c r="K78" s="31">
        <f>IF($D78="","",IF('04_Dados_Ajustados'!K78="","",IF('03_Base_Indice'!$G78="+",MIN('01_Criterios'!$C$10,MAX('01_Criterios'!$C$9,'01_Criterios'!$C$9+('01_Criterios'!$C$10-'01_Criterios'!$C$9)*('04_Dados_Ajustados'!K78-'03_Base_Indice'!$H78)/('03_Base_Indice'!$I78-'03_Base_Indice'!$H78))),MIN('01_Criterios'!$C$10,MAX('01_Criterios'!$C$9,'01_Criterios'!$C$9+('01_Criterios'!$C$10-'01_Criterios'!$C$9)*('03_Base_Indice'!$I78-'04_Dados_Ajustados'!K78)/('03_Base_Indice'!$I78-'03_Base_Indice'!$H78))))))</f>
        <v>28.97</v>
      </c>
      <c r="L78" s="31">
        <f>IF($D78="","",IF('04_Dados_Ajustados'!L78="","",IF('03_Base_Indice'!$G78="+",MIN('01_Criterios'!$C$10,MAX('01_Criterios'!$C$9,'01_Criterios'!$C$9+('01_Criterios'!$C$10-'01_Criterios'!$C$9)*('04_Dados_Ajustados'!L78-'03_Base_Indice'!$H78)/('03_Base_Indice'!$I78-'03_Base_Indice'!$H78))),MIN('01_Criterios'!$C$10,MAX('01_Criterios'!$C$9,'01_Criterios'!$C$9+('01_Criterios'!$C$10-'01_Criterios'!$C$9)*('03_Base_Indice'!$I78-'04_Dados_Ajustados'!L78)/('03_Base_Indice'!$I78-'03_Base_Indice'!$H78))))))</f>
        <v>28.79</v>
      </c>
      <c r="M78" s="31">
        <f>IF($D78="","",IF('04_Dados_Ajustados'!M78="","",IF('03_Base_Indice'!$G78="+",MIN('01_Criterios'!$C$10,MAX('01_Criterios'!$C$9,'01_Criterios'!$C$9+('01_Criterios'!$C$10-'01_Criterios'!$C$9)*('04_Dados_Ajustados'!M78-'03_Base_Indice'!$H78)/('03_Base_Indice'!$I78-'03_Base_Indice'!$H78))),MIN('01_Criterios'!$C$10,MAX('01_Criterios'!$C$9,'01_Criterios'!$C$9+('01_Criterios'!$C$10-'01_Criterios'!$C$9)*('03_Base_Indice'!$I78-'04_Dados_Ajustados'!M78)/('03_Base_Indice'!$I78-'03_Base_Indice'!$H78))))))</f>
        <v>28.49</v>
      </c>
      <c r="N78" s="31">
        <f>IF($D78="","",IF('04_Dados_Ajustados'!N78="","",IF('03_Base_Indice'!$G78="+",MIN('01_Criterios'!$C$10,MAX('01_Criterios'!$C$9,'01_Criterios'!$C$9+('01_Criterios'!$C$10-'01_Criterios'!$C$9)*('04_Dados_Ajustados'!N78-'03_Base_Indice'!$H78)/('03_Base_Indice'!$I78-'03_Base_Indice'!$H78))),MIN('01_Criterios'!$C$10,MAX('01_Criterios'!$C$9,'01_Criterios'!$C$9+('01_Criterios'!$C$10-'01_Criterios'!$C$9)*('03_Base_Indice'!$I78-'04_Dados_Ajustados'!N78)/('03_Base_Indice'!$I78-'03_Base_Indice'!$H78))))))</f>
        <v>27.9</v>
      </c>
      <c r="O78" s="31">
        <f>IF($D78="","",IF('04_Dados_Ajustados'!O78="","",IF('03_Base_Indice'!$G78="+",MIN('01_Criterios'!$C$10,MAX('01_Criterios'!$C$9,'01_Criterios'!$C$9+('01_Criterios'!$C$10-'01_Criterios'!$C$9)*('04_Dados_Ajustados'!O78-'03_Base_Indice'!$H78)/('03_Base_Indice'!$I78-'03_Base_Indice'!$H78))),MIN('01_Criterios'!$C$10,MAX('01_Criterios'!$C$9,'01_Criterios'!$C$9+('01_Criterios'!$C$10-'01_Criterios'!$C$9)*('03_Base_Indice'!$I78-'04_Dados_Ajustados'!O78)/('03_Base_Indice'!$I78-'03_Base_Indice'!$H78))))))</f>
        <v>28</v>
      </c>
      <c r="P78" s="31">
        <f>IF($D78="","",IF('04_Dados_Ajustados'!P78="","",IF('03_Base_Indice'!$G78="+",MIN('01_Criterios'!$C$10,MAX('01_Criterios'!$C$9,'01_Criterios'!$C$9+('01_Criterios'!$C$10-'01_Criterios'!$C$9)*('04_Dados_Ajustados'!P78-'03_Base_Indice'!$H78)/('03_Base_Indice'!$I78-'03_Base_Indice'!$H78))),MIN('01_Criterios'!$C$10,MAX('01_Criterios'!$C$9,'01_Criterios'!$C$9+('01_Criterios'!$C$10-'01_Criterios'!$C$9)*('03_Base_Indice'!$I78-'04_Dados_Ajustados'!P78)/('03_Base_Indice'!$I78-'03_Base_Indice'!$H78))))))</f>
        <v>26.45</v>
      </c>
      <c r="Q78" s="31">
        <f>IF($D78="","",IF('04_Dados_Ajustados'!Q78="","",IF('03_Base_Indice'!$G78="+",MIN('01_Criterios'!$C$10,MAX('01_Criterios'!$C$9,'01_Criterios'!$C$9+('01_Criterios'!$C$10-'01_Criterios'!$C$9)*('04_Dados_Ajustados'!Q78-'03_Base_Indice'!$H78)/('03_Base_Indice'!$I78-'03_Base_Indice'!$H78))),MIN('01_Criterios'!$C$10,MAX('01_Criterios'!$C$9,'01_Criterios'!$C$9+('01_Criterios'!$C$10-'01_Criterios'!$C$9)*('03_Base_Indice'!$I78-'04_Dados_Ajustados'!Q78)/('03_Base_Indice'!$I78-'03_Base_Indice'!$H78))))))</f>
        <v>26.18</v>
      </c>
      <c r="R78" s="31">
        <f>IF($D78="","",IF('04_Dados_Ajustados'!R78="","",IF('03_Base_Indice'!$G78="+",MIN('01_Criterios'!$C$10,MAX('01_Criterios'!$C$9,'01_Criterios'!$C$9+('01_Criterios'!$C$10-'01_Criterios'!$C$9)*('04_Dados_Ajustados'!R78-'03_Base_Indice'!$H78)/('03_Base_Indice'!$I78-'03_Base_Indice'!$H78))),MIN('01_Criterios'!$C$10,MAX('01_Criterios'!$C$9,'01_Criterios'!$C$9+('01_Criterios'!$C$10-'01_Criterios'!$C$9)*('03_Base_Indice'!$I78-'04_Dados_Ajustados'!R78)/('03_Base_Indice'!$I78-'03_Base_Indice'!$H78))))))</f>
        <v>27.19</v>
      </c>
      <c r="S78" s="31">
        <f>IF($D78="","",IF('04_Dados_Ajustados'!S78="","",IF('03_Base_Indice'!$G78="+",MIN('01_Criterios'!$C$10,MAX('01_Criterios'!$C$9,'01_Criterios'!$C$9+('01_Criterios'!$C$10-'01_Criterios'!$C$9)*('04_Dados_Ajustados'!S78-'03_Base_Indice'!$H78)/('03_Base_Indice'!$I78-'03_Base_Indice'!$H78))),MIN('01_Criterios'!$C$10,MAX('01_Criterios'!$C$9,'01_Criterios'!$C$9+('01_Criterios'!$C$10-'01_Criterios'!$C$9)*('03_Base_Indice'!$I78-'04_Dados_Ajustados'!S78)/('03_Base_Indice'!$I78-'03_Base_Indice'!$H78))))))</f>
        <v>27.93</v>
      </c>
      <c r="T78" s="31">
        <f>IF($D78="","",IF('04_Dados_Ajustados'!T78="","",IF('03_Base_Indice'!$G78="+",MIN('01_Criterios'!$C$10,MAX('01_Criterios'!$C$9,'01_Criterios'!$C$9+('01_Criterios'!$C$10-'01_Criterios'!$C$9)*('04_Dados_Ajustados'!T78-'03_Base_Indice'!$H78)/('03_Base_Indice'!$I78-'03_Base_Indice'!$H78))),MIN('01_Criterios'!$C$10,MAX('01_Criterios'!$C$9,'01_Criterios'!$C$9+('01_Criterios'!$C$10-'01_Criterios'!$C$9)*('03_Base_Indice'!$I78-'04_Dados_Ajustados'!T78)/('03_Base_Indice'!$I78-'03_Base_Indice'!$H78))))))</f>
        <v>27.69</v>
      </c>
      <c r="U78" s="31">
        <f>IF($D78="","",IF('04_Dados_Ajustados'!U78="","",IF('03_Base_Indice'!$G78="+",MIN('01_Criterios'!$C$10,MAX('01_Criterios'!$C$9,'01_Criterios'!$C$9+('01_Criterios'!$C$10-'01_Criterios'!$C$9)*('04_Dados_Ajustados'!U78-'03_Base_Indice'!$H78)/('03_Base_Indice'!$I78-'03_Base_Indice'!$H78))),MIN('01_Criterios'!$C$10,MAX('01_Criterios'!$C$9,'01_Criterios'!$C$9+('01_Criterios'!$C$10-'01_Criterios'!$C$9)*('03_Base_Indice'!$I78-'04_Dados_Ajustados'!U78)/('03_Base_Indice'!$I78-'03_Base_Indice'!$H78))))))</f>
        <v>27.69</v>
      </c>
    </row>
    <row r="79" spans="1:21">
      <c r="A79" s="6" t="str">
        <f>IF('03_Base_Indice'!$A79="","",'03_Base_Indice'!$A79)</f>
        <v>8. Diversificação Produtiva e Setor Privado</v>
      </c>
      <c r="B79" s="6">
        <f>'03_Base_Indice'!$B79</f>
        <v>5</v>
      </c>
      <c r="D79" s="6" t="str">
        <f>IF('03_Base_Indice'!$D79="","",'03_Base_Indice'!$D79)</f>
        <v>DIV010</v>
      </c>
      <c r="E79" s="6" t="str">
        <f>IF('03_Base_Indice'!$E79="","",'03_Base_Indice'!$E79)</f>
        <v>Combustíveis nas exportações de mercadorias</v>
      </c>
      <c r="G79" s="20" t="str">
        <f>IF('03_Base_Indice'!$G79="","",'03_Base_Indice'!$G79)</f>
        <v>-</v>
      </c>
      <c r="K79" s="31">
        <f>IF($D79="","",IF('04_Dados_Ajustados'!K79="","",IF('03_Base_Indice'!$G79="+",MIN('01_Criterios'!$C$10,MAX('01_Criterios'!$C$9,'01_Criterios'!$C$9+('01_Criterios'!$C$10-'01_Criterios'!$C$9)*('04_Dados_Ajustados'!K79-'03_Base_Indice'!$H79)/('03_Base_Indice'!$I79-'03_Base_Indice'!$H79))),MIN('01_Criterios'!$C$10,MAX('01_Criterios'!$C$9,'01_Criterios'!$C$9+('01_Criterios'!$C$10-'01_Criterios'!$C$9)*('03_Base_Indice'!$I79-'04_Dados_Ajustados'!K79)/('03_Base_Indice'!$I79-'03_Base_Indice'!$H79))))))</f>
        <v>5.9840920246839024</v>
      </c>
      <c r="L79" s="31">
        <f>IF($D79="","",IF('04_Dados_Ajustados'!L79="","",IF('03_Base_Indice'!$G79="+",MIN('01_Criterios'!$C$10,MAX('01_Criterios'!$C$9,'01_Criterios'!$C$9+('01_Criterios'!$C$10-'01_Criterios'!$C$9)*('04_Dados_Ajustados'!L79-'03_Base_Indice'!$H79)/('03_Base_Indice'!$I79-'03_Base_Indice'!$H79))),MIN('01_Criterios'!$C$10,MAX('01_Criterios'!$C$9,'01_Criterios'!$C$9+('01_Criterios'!$C$10-'01_Criterios'!$C$9)*('03_Base_Indice'!$I79-'04_Dados_Ajustados'!L79)/('03_Base_Indice'!$I79-'03_Base_Indice'!$H79))))))</f>
        <v>7.2989452263707051</v>
      </c>
      <c r="M79" s="31">
        <f>IF($D79="","",IF('04_Dados_Ajustados'!M79="","",IF('03_Base_Indice'!$G79="+",MIN('01_Criterios'!$C$10,MAX('01_Criterios'!$C$9,'01_Criterios'!$C$9+('01_Criterios'!$C$10-'01_Criterios'!$C$9)*('04_Dados_Ajustados'!M79-'03_Base_Indice'!$H79)/('03_Base_Indice'!$I79-'03_Base_Indice'!$H79))),MIN('01_Criterios'!$C$10,MAX('01_Criterios'!$C$9,'01_Criterios'!$C$9+('01_Criterios'!$C$10-'01_Criterios'!$C$9)*('03_Base_Indice'!$I79-'04_Dados_Ajustados'!M79)/('03_Base_Indice'!$I79-'03_Base_Indice'!$H79))))))</f>
        <v>5.3087449380315945</v>
      </c>
      <c r="N79" s="31">
        <f>IF($D79="","",IF('04_Dados_Ajustados'!N79="","",IF('03_Base_Indice'!$G79="+",MIN('01_Criterios'!$C$10,MAX('01_Criterios'!$C$9,'01_Criterios'!$C$9+('01_Criterios'!$C$10-'01_Criterios'!$C$9)*('04_Dados_Ajustados'!N79-'03_Base_Indice'!$H79)/('03_Base_Indice'!$I79-'03_Base_Indice'!$H79))),MIN('01_Criterios'!$C$10,MAX('01_Criterios'!$C$9,'01_Criterios'!$C$9+('01_Criterios'!$C$10-'01_Criterios'!$C$9)*('03_Base_Indice'!$I79-'04_Dados_Ajustados'!N79)/('03_Base_Indice'!$I79-'03_Base_Indice'!$H79))))))</f>
        <v>4.3276797830723979</v>
      </c>
      <c r="O79" s="31">
        <f>IF($D79="","",IF('04_Dados_Ajustados'!O79="","",IF('03_Base_Indice'!$G79="+",MIN('01_Criterios'!$C$10,MAX('01_Criterios'!$C$9,'01_Criterios'!$C$9+('01_Criterios'!$C$10-'01_Criterios'!$C$9)*('04_Dados_Ajustados'!O79-'03_Base_Indice'!$H79)/('03_Base_Indice'!$I79-'03_Base_Indice'!$H79))),MIN('01_Criterios'!$C$10,MAX('01_Criterios'!$C$9,'01_Criterios'!$C$9+('01_Criterios'!$C$10-'01_Criterios'!$C$9)*('03_Base_Indice'!$I79-'04_Dados_Ajustados'!O79)/('03_Base_Indice'!$I79-'03_Base_Indice'!$H79))))))</f>
        <v>4.7507516726560937</v>
      </c>
      <c r="P79" s="31">
        <f>IF($D79="","",IF('04_Dados_Ajustados'!P79="","",IF('03_Base_Indice'!$G79="+",MIN('01_Criterios'!$C$10,MAX('01_Criterios'!$C$9,'01_Criterios'!$C$9+('01_Criterios'!$C$10-'01_Criterios'!$C$9)*('04_Dados_Ajustados'!P79-'03_Base_Indice'!$H79)/('03_Base_Indice'!$I79-'03_Base_Indice'!$H79))),MIN('01_Criterios'!$C$10,MAX('01_Criterios'!$C$9,'01_Criterios'!$C$9+('01_Criterios'!$C$10-'01_Criterios'!$C$9)*('03_Base_Indice'!$I79-'04_Dados_Ajustados'!P79)/('03_Base_Indice'!$I79-'03_Base_Indice'!$H79))))))</f>
        <v>6.9487099250622029</v>
      </c>
      <c r="Q79" s="31">
        <f>IF($D79="","",IF('04_Dados_Ajustados'!Q79="","",IF('03_Base_Indice'!$G79="+",MIN('01_Criterios'!$C$10,MAX('01_Criterios'!$C$9,'01_Criterios'!$C$9+('01_Criterios'!$C$10-'01_Criterios'!$C$9)*('04_Dados_Ajustados'!Q79-'03_Base_Indice'!$H79)/('03_Base_Indice'!$I79-'03_Base_Indice'!$H79))),MIN('01_Criterios'!$C$10,MAX('01_Criterios'!$C$9,'01_Criterios'!$C$9+('01_Criterios'!$C$10-'01_Criterios'!$C$9)*('03_Base_Indice'!$I79-'04_Dados_Ajustados'!Q79)/('03_Base_Indice'!$I79-'03_Base_Indice'!$H79))))))</f>
        <v>5.8362535604540975</v>
      </c>
      <c r="R79" s="31">
        <f>IF($D79="","",IF('04_Dados_Ajustados'!R79="","",IF('03_Base_Indice'!$G79="+",MIN('01_Criterios'!$C$10,MAX('01_Criterios'!$C$9,'01_Criterios'!$C$9+('01_Criterios'!$C$10-'01_Criterios'!$C$9)*('04_Dados_Ajustados'!R79-'03_Base_Indice'!$H79)/('03_Base_Indice'!$I79-'03_Base_Indice'!$H79))),MIN('01_Criterios'!$C$10,MAX('01_Criterios'!$C$9,'01_Criterios'!$C$9+('01_Criterios'!$C$10-'01_Criterios'!$C$9)*('03_Base_Indice'!$I79-'04_Dados_Ajustados'!R79)/('03_Base_Indice'!$I79-'03_Base_Indice'!$H79))))))</f>
        <v>5.0766564369297953</v>
      </c>
      <c r="S79" s="31">
        <f>IF($D79="","",IF('04_Dados_Ajustados'!S79="","",IF('03_Base_Indice'!$G79="+",MIN('01_Criterios'!$C$10,MAX('01_Criterios'!$C$9,'01_Criterios'!$C$9+('01_Criterios'!$C$10-'01_Criterios'!$C$9)*('04_Dados_Ajustados'!S79-'03_Base_Indice'!$H79)/('03_Base_Indice'!$I79-'03_Base_Indice'!$H79))),MIN('01_Criterios'!$C$10,MAX('01_Criterios'!$C$9,'01_Criterios'!$C$9+('01_Criterios'!$C$10-'01_Criterios'!$C$9)*('03_Base_Indice'!$I79-'04_Dados_Ajustados'!S79)/('03_Base_Indice'!$I79-'03_Base_Indice'!$H79))))))</f>
        <v>5.8289137198583054</v>
      </c>
      <c r="T79" s="31">
        <f>IF($D79="","",IF('04_Dados_Ajustados'!T79="","",IF('03_Base_Indice'!$G79="+",MIN('01_Criterios'!$C$10,MAX('01_Criterios'!$C$9,'01_Criterios'!$C$9+('01_Criterios'!$C$10-'01_Criterios'!$C$9)*('04_Dados_Ajustados'!T79-'03_Base_Indice'!$H79)/('03_Base_Indice'!$I79-'03_Base_Indice'!$H79))),MIN('01_Criterios'!$C$10,MAX('01_Criterios'!$C$9,'01_Criterios'!$C$9+('01_Criterios'!$C$10-'01_Criterios'!$C$9)*('03_Base_Indice'!$I79-'04_Dados_Ajustados'!T79)/('03_Base_Indice'!$I79-'03_Base_Indice'!$H79))))))</f>
        <v>5.8652263690681954</v>
      </c>
      <c r="U79" s="31">
        <f>IF($D79="","",IF('04_Dados_Ajustados'!U79="","",IF('03_Base_Indice'!$G79="+",MIN('01_Criterios'!$C$10,MAX('01_Criterios'!$C$9,'01_Criterios'!$C$9+('01_Criterios'!$C$10-'01_Criterios'!$C$9)*('04_Dados_Ajustados'!U79-'03_Base_Indice'!$H79)/('03_Base_Indice'!$I79-'03_Base_Indice'!$H79))),MIN('01_Criterios'!$C$10,MAX('01_Criterios'!$C$9,'01_Criterios'!$C$9+('01_Criterios'!$C$10-'01_Criterios'!$C$9)*('03_Base_Indice'!$I79-'04_Dados_Ajustados'!U79)/('03_Base_Indice'!$I79-'03_Base_Indice'!$H79))))))</f>
        <v>5.8652263690681954</v>
      </c>
    </row>
    <row r="80" spans="1:21">
      <c r="A80" s="6" t="str">
        <f>IF('03_Base_Indice'!$A80="","",'03_Base_Indice'!$A80)</f>
        <v>8. Diversificação Produtiva e Setor Privado</v>
      </c>
      <c r="B80" s="6">
        <f>'03_Base_Indice'!$B80</f>
        <v>6</v>
      </c>
      <c r="D80" s="6" t="str">
        <f>IF('03_Base_Indice'!$D80="","",'03_Base_Indice'!$D80)</f>
        <v/>
      </c>
      <c r="E80" s="6" t="str">
        <f>IF('03_Base_Indice'!$E80="","",'03_Base_Indice'!$E80)</f>
        <v/>
      </c>
      <c r="G80" s="20" t="str">
        <f>IF('03_Base_Indice'!$G80="","",'03_Base_Indice'!$G80)</f>
        <v/>
      </c>
      <c r="K80" s="31" t="str">
        <f>IF($D80="","",IF('04_Dados_Ajustados'!K80="","",IF('03_Base_Indice'!$G80="+",MIN('01_Criterios'!$C$10,MAX('01_Criterios'!$C$9,'01_Criterios'!$C$9+('01_Criterios'!$C$10-'01_Criterios'!$C$9)*('04_Dados_Ajustados'!K80-'03_Base_Indice'!$H80)/('03_Base_Indice'!$I80-'03_Base_Indice'!$H80))),MIN('01_Criterios'!$C$10,MAX('01_Criterios'!$C$9,'01_Criterios'!$C$9+('01_Criterios'!$C$10-'01_Criterios'!$C$9)*('03_Base_Indice'!$I80-'04_Dados_Ajustados'!K80)/('03_Base_Indice'!$I80-'03_Base_Indice'!$H80))))))</f>
        <v/>
      </c>
      <c r="L80" s="31" t="str">
        <f>IF($D80="","",IF('04_Dados_Ajustados'!L80="","",IF('03_Base_Indice'!$G80="+",MIN('01_Criterios'!$C$10,MAX('01_Criterios'!$C$9,'01_Criterios'!$C$9+('01_Criterios'!$C$10-'01_Criterios'!$C$9)*('04_Dados_Ajustados'!L80-'03_Base_Indice'!$H80)/('03_Base_Indice'!$I80-'03_Base_Indice'!$H80))),MIN('01_Criterios'!$C$10,MAX('01_Criterios'!$C$9,'01_Criterios'!$C$9+('01_Criterios'!$C$10-'01_Criterios'!$C$9)*('03_Base_Indice'!$I80-'04_Dados_Ajustados'!L80)/('03_Base_Indice'!$I80-'03_Base_Indice'!$H80))))))</f>
        <v/>
      </c>
      <c r="M80" s="31" t="str">
        <f>IF($D80="","",IF('04_Dados_Ajustados'!M80="","",IF('03_Base_Indice'!$G80="+",MIN('01_Criterios'!$C$10,MAX('01_Criterios'!$C$9,'01_Criterios'!$C$9+('01_Criterios'!$C$10-'01_Criterios'!$C$9)*('04_Dados_Ajustados'!M80-'03_Base_Indice'!$H80)/('03_Base_Indice'!$I80-'03_Base_Indice'!$H80))),MIN('01_Criterios'!$C$10,MAX('01_Criterios'!$C$9,'01_Criterios'!$C$9+('01_Criterios'!$C$10-'01_Criterios'!$C$9)*('03_Base_Indice'!$I80-'04_Dados_Ajustados'!M80)/('03_Base_Indice'!$I80-'03_Base_Indice'!$H80))))))</f>
        <v/>
      </c>
      <c r="N80" s="31" t="str">
        <f>IF($D80="","",IF('04_Dados_Ajustados'!N80="","",IF('03_Base_Indice'!$G80="+",MIN('01_Criterios'!$C$10,MAX('01_Criterios'!$C$9,'01_Criterios'!$C$9+('01_Criterios'!$C$10-'01_Criterios'!$C$9)*('04_Dados_Ajustados'!N80-'03_Base_Indice'!$H80)/('03_Base_Indice'!$I80-'03_Base_Indice'!$H80))),MIN('01_Criterios'!$C$10,MAX('01_Criterios'!$C$9,'01_Criterios'!$C$9+('01_Criterios'!$C$10-'01_Criterios'!$C$9)*('03_Base_Indice'!$I80-'04_Dados_Ajustados'!N80)/('03_Base_Indice'!$I80-'03_Base_Indice'!$H80))))))</f>
        <v/>
      </c>
      <c r="O80" s="31" t="str">
        <f>IF($D80="","",IF('04_Dados_Ajustados'!O80="","",IF('03_Base_Indice'!$G80="+",MIN('01_Criterios'!$C$10,MAX('01_Criterios'!$C$9,'01_Criterios'!$C$9+('01_Criterios'!$C$10-'01_Criterios'!$C$9)*('04_Dados_Ajustados'!O80-'03_Base_Indice'!$H80)/('03_Base_Indice'!$I80-'03_Base_Indice'!$H80))),MIN('01_Criterios'!$C$10,MAX('01_Criterios'!$C$9,'01_Criterios'!$C$9+('01_Criterios'!$C$10-'01_Criterios'!$C$9)*('03_Base_Indice'!$I80-'04_Dados_Ajustados'!O80)/('03_Base_Indice'!$I80-'03_Base_Indice'!$H80))))))</f>
        <v/>
      </c>
      <c r="P80" s="31" t="str">
        <f>IF($D80="","",IF('04_Dados_Ajustados'!P80="","",IF('03_Base_Indice'!$G80="+",MIN('01_Criterios'!$C$10,MAX('01_Criterios'!$C$9,'01_Criterios'!$C$9+('01_Criterios'!$C$10-'01_Criterios'!$C$9)*('04_Dados_Ajustados'!P80-'03_Base_Indice'!$H80)/('03_Base_Indice'!$I80-'03_Base_Indice'!$H80))),MIN('01_Criterios'!$C$10,MAX('01_Criterios'!$C$9,'01_Criterios'!$C$9+('01_Criterios'!$C$10-'01_Criterios'!$C$9)*('03_Base_Indice'!$I80-'04_Dados_Ajustados'!P80)/('03_Base_Indice'!$I80-'03_Base_Indice'!$H80))))))</f>
        <v/>
      </c>
      <c r="Q80" s="31" t="str">
        <f>IF($D80="","",IF('04_Dados_Ajustados'!Q80="","",IF('03_Base_Indice'!$G80="+",MIN('01_Criterios'!$C$10,MAX('01_Criterios'!$C$9,'01_Criterios'!$C$9+('01_Criterios'!$C$10-'01_Criterios'!$C$9)*('04_Dados_Ajustados'!Q80-'03_Base_Indice'!$H80)/('03_Base_Indice'!$I80-'03_Base_Indice'!$H80))),MIN('01_Criterios'!$C$10,MAX('01_Criterios'!$C$9,'01_Criterios'!$C$9+('01_Criterios'!$C$10-'01_Criterios'!$C$9)*('03_Base_Indice'!$I80-'04_Dados_Ajustados'!Q80)/('03_Base_Indice'!$I80-'03_Base_Indice'!$H80))))))</f>
        <v/>
      </c>
      <c r="R80" s="31" t="str">
        <f>IF($D80="","",IF('04_Dados_Ajustados'!R80="","",IF('03_Base_Indice'!$G80="+",MIN('01_Criterios'!$C$10,MAX('01_Criterios'!$C$9,'01_Criterios'!$C$9+('01_Criterios'!$C$10-'01_Criterios'!$C$9)*('04_Dados_Ajustados'!R80-'03_Base_Indice'!$H80)/('03_Base_Indice'!$I80-'03_Base_Indice'!$H80))),MIN('01_Criterios'!$C$10,MAX('01_Criterios'!$C$9,'01_Criterios'!$C$9+('01_Criterios'!$C$10-'01_Criterios'!$C$9)*('03_Base_Indice'!$I80-'04_Dados_Ajustados'!R80)/('03_Base_Indice'!$I80-'03_Base_Indice'!$H80))))))</f>
        <v/>
      </c>
      <c r="S80" s="31" t="str">
        <f>IF($D80="","",IF('04_Dados_Ajustados'!S80="","",IF('03_Base_Indice'!$G80="+",MIN('01_Criterios'!$C$10,MAX('01_Criterios'!$C$9,'01_Criterios'!$C$9+('01_Criterios'!$C$10-'01_Criterios'!$C$9)*('04_Dados_Ajustados'!S80-'03_Base_Indice'!$H80)/('03_Base_Indice'!$I80-'03_Base_Indice'!$H80))),MIN('01_Criterios'!$C$10,MAX('01_Criterios'!$C$9,'01_Criterios'!$C$9+('01_Criterios'!$C$10-'01_Criterios'!$C$9)*('03_Base_Indice'!$I80-'04_Dados_Ajustados'!S80)/('03_Base_Indice'!$I80-'03_Base_Indice'!$H80))))))</f>
        <v/>
      </c>
      <c r="T80" s="31" t="str">
        <f>IF($D80="","",IF('04_Dados_Ajustados'!T80="","",IF('03_Base_Indice'!$G80="+",MIN('01_Criterios'!$C$10,MAX('01_Criterios'!$C$9,'01_Criterios'!$C$9+('01_Criterios'!$C$10-'01_Criterios'!$C$9)*('04_Dados_Ajustados'!T80-'03_Base_Indice'!$H80)/('03_Base_Indice'!$I80-'03_Base_Indice'!$H80))),MIN('01_Criterios'!$C$10,MAX('01_Criterios'!$C$9,'01_Criterios'!$C$9+('01_Criterios'!$C$10-'01_Criterios'!$C$9)*('03_Base_Indice'!$I80-'04_Dados_Ajustados'!T80)/('03_Base_Indice'!$I80-'03_Base_Indice'!$H80))))))</f>
        <v/>
      </c>
      <c r="U80" s="31" t="str">
        <f>IF($D80="","",IF('04_Dados_Ajustados'!U80="","",IF('03_Base_Indice'!$G80="+",MIN('01_Criterios'!$C$10,MAX('01_Criterios'!$C$9,'01_Criterios'!$C$9+('01_Criterios'!$C$10-'01_Criterios'!$C$9)*('04_Dados_Ajustados'!U80-'03_Base_Indice'!$H80)/('03_Base_Indice'!$I80-'03_Base_Indice'!$H80))),MIN('01_Criterios'!$C$10,MAX('01_Criterios'!$C$9,'01_Criterios'!$C$9+('01_Criterios'!$C$10-'01_Criterios'!$C$9)*('03_Base_Indice'!$I80-'04_Dados_Ajustados'!U80)/('03_Base_Indice'!$I80-'03_Base_Indice'!$H80))))))</f>
        <v/>
      </c>
    </row>
    <row r="81" spans="1:21">
      <c r="A81" s="6" t="str">
        <f>IF('03_Base_Indice'!$A81="","",'03_Base_Indice'!$A81)</f>
        <v>8. Diversificação Produtiva e Setor Privado</v>
      </c>
      <c r="B81" s="6">
        <f>'03_Base_Indice'!$B81</f>
        <v>7</v>
      </c>
      <c r="D81" s="6" t="str">
        <f>IF('03_Base_Indice'!$D81="","",'03_Base_Indice'!$D81)</f>
        <v/>
      </c>
      <c r="E81" s="6" t="str">
        <f>IF('03_Base_Indice'!$E81="","",'03_Base_Indice'!$E81)</f>
        <v/>
      </c>
      <c r="G81" s="20" t="str">
        <f>IF('03_Base_Indice'!$G81="","",'03_Base_Indice'!$G81)</f>
        <v/>
      </c>
      <c r="K81" s="31" t="str">
        <f>IF($D81="","",IF('04_Dados_Ajustados'!K81="","",IF('03_Base_Indice'!$G81="+",MIN('01_Criterios'!$C$10,MAX('01_Criterios'!$C$9,'01_Criterios'!$C$9+('01_Criterios'!$C$10-'01_Criterios'!$C$9)*('04_Dados_Ajustados'!K81-'03_Base_Indice'!$H81)/('03_Base_Indice'!$I81-'03_Base_Indice'!$H81))),MIN('01_Criterios'!$C$10,MAX('01_Criterios'!$C$9,'01_Criterios'!$C$9+('01_Criterios'!$C$10-'01_Criterios'!$C$9)*('03_Base_Indice'!$I81-'04_Dados_Ajustados'!K81)/('03_Base_Indice'!$I81-'03_Base_Indice'!$H81))))))</f>
        <v/>
      </c>
      <c r="L81" s="31" t="str">
        <f>IF($D81="","",IF('04_Dados_Ajustados'!L81="","",IF('03_Base_Indice'!$G81="+",MIN('01_Criterios'!$C$10,MAX('01_Criterios'!$C$9,'01_Criterios'!$C$9+('01_Criterios'!$C$10-'01_Criterios'!$C$9)*('04_Dados_Ajustados'!L81-'03_Base_Indice'!$H81)/('03_Base_Indice'!$I81-'03_Base_Indice'!$H81))),MIN('01_Criterios'!$C$10,MAX('01_Criterios'!$C$9,'01_Criterios'!$C$9+('01_Criterios'!$C$10-'01_Criterios'!$C$9)*('03_Base_Indice'!$I81-'04_Dados_Ajustados'!L81)/('03_Base_Indice'!$I81-'03_Base_Indice'!$H81))))))</f>
        <v/>
      </c>
      <c r="M81" s="31" t="str">
        <f>IF($D81="","",IF('04_Dados_Ajustados'!M81="","",IF('03_Base_Indice'!$G81="+",MIN('01_Criterios'!$C$10,MAX('01_Criterios'!$C$9,'01_Criterios'!$C$9+('01_Criterios'!$C$10-'01_Criterios'!$C$9)*('04_Dados_Ajustados'!M81-'03_Base_Indice'!$H81)/('03_Base_Indice'!$I81-'03_Base_Indice'!$H81))),MIN('01_Criterios'!$C$10,MAX('01_Criterios'!$C$9,'01_Criterios'!$C$9+('01_Criterios'!$C$10-'01_Criterios'!$C$9)*('03_Base_Indice'!$I81-'04_Dados_Ajustados'!M81)/('03_Base_Indice'!$I81-'03_Base_Indice'!$H81))))))</f>
        <v/>
      </c>
      <c r="N81" s="31" t="str">
        <f>IF($D81="","",IF('04_Dados_Ajustados'!N81="","",IF('03_Base_Indice'!$G81="+",MIN('01_Criterios'!$C$10,MAX('01_Criterios'!$C$9,'01_Criterios'!$C$9+('01_Criterios'!$C$10-'01_Criterios'!$C$9)*('04_Dados_Ajustados'!N81-'03_Base_Indice'!$H81)/('03_Base_Indice'!$I81-'03_Base_Indice'!$H81))),MIN('01_Criterios'!$C$10,MAX('01_Criterios'!$C$9,'01_Criterios'!$C$9+('01_Criterios'!$C$10-'01_Criterios'!$C$9)*('03_Base_Indice'!$I81-'04_Dados_Ajustados'!N81)/('03_Base_Indice'!$I81-'03_Base_Indice'!$H81))))))</f>
        <v/>
      </c>
      <c r="O81" s="31" t="str">
        <f>IF($D81="","",IF('04_Dados_Ajustados'!O81="","",IF('03_Base_Indice'!$G81="+",MIN('01_Criterios'!$C$10,MAX('01_Criterios'!$C$9,'01_Criterios'!$C$9+('01_Criterios'!$C$10-'01_Criterios'!$C$9)*('04_Dados_Ajustados'!O81-'03_Base_Indice'!$H81)/('03_Base_Indice'!$I81-'03_Base_Indice'!$H81))),MIN('01_Criterios'!$C$10,MAX('01_Criterios'!$C$9,'01_Criterios'!$C$9+('01_Criterios'!$C$10-'01_Criterios'!$C$9)*('03_Base_Indice'!$I81-'04_Dados_Ajustados'!O81)/('03_Base_Indice'!$I81-'03_Base_Indice'!$H81))))))</f>
        <v/>
      </c>
      <c r="P81" s="31" t="str">
        <f>IF($D81="","",IF('04_Dados_Ajustados'!P81="","",IF('03_Base_Indice'!$G81="+",MIN('01_Criterios'!$C$10,MAX('01_Criterios'!$C$9,'01_Criterios'!$C$9+('01_Criterios'!$C$10-'01_Criterios'!$C$9)*('04_Dados_Ajustados'!P81-'03_Base_Indice'!$H81)/('03_Base_Indice'!$I81-'03_Base_Indice'!$H81))),MIN('01_Criterios'!$C$10,MAX('01_Criterios'!$C$9,'01_Criterios'!$C$9+('01_Criterios'!$C$10-'01_Criterios'!$C$9)*('03_Base_Indice'!$I81-'04_Dados_Ajustados'!P81)/('03_Base_Indice'!$I81-'03_Base_Indice'!$H81))))))</f>
        <v/>
      </c>
      <c r="Q81" s="31" t="str">
        <f>IF($D81="","",IF('04_Dados_Ajustados'!Q81="","",IF('03_Base_Indice'!$G81="+",MIN('01_Criterios'!$C$10,MAX('01_Criterios'!$C$9,'01_Criterios'!$C$9+('01_Criterios'!$C$10-'01_Criterios'!$C$9)*('04_Dados_Ajustados'!Q81-'03_Base_Indice'!$H81)/('03_Base_Indice'!$I81-'03_Base_Indice'!$H81))),MIN('01_Criterios'!$C$10,MAX('01_Criterios'!$C$9,'01_Criterios'!$C$9+('01_Criterios'!$C$10-'01_Criterios'!$C$9)*('03_Base_Indice'!$I81-'04_Dados_Ajustados'!Q81)/('03_Base_Indice'!$I81-'03_Base_Indice'!$H81))))))</f>
        <v/>
      </c>
      <c r="R81" s="31" t="str">
        <f>IF($D81="","",IF('04_Dados_Ajustados'!R81="","",IF('03_Base_Indice'!$G81="+",MIN('01_Criterios'!$C$10,MAX('01_Criterios'!$C$9,'01_Criterios'!$C$9+('01_Criterios'!$C$10-'01_Criterios'!$C$9)*('04_Dados_Ajustados'!R81-'03_Base_Indice'!$H81)/('03_Base_Indice'!$I81-'03_Base_Indice'!$H81))),MIN('01_Criterios'!$C$10,MAX('01_Criterios'!$C$9,'01_Criterios'!$C$9+('01_Criterios'!$C$10-'01_Criterios'!$C$9)*('03_Base_Indice'!$I81-'04_Dados_Ajustados'!R81)/('03_Base_Indice'!$I81-'03_Base_Indice'!$H81))))))</f>
        <v/>
      </c>
      <c r="S81" s="31" t="str">
        <f>IF($D81="","",IF('04_Dados_Ajustados'!S81="","",IF('03_Base_Indice'!$G81="+",MIN('01_Criterios'!$C$10,MAX('01_Criterios'!$C$9,'01_Criterios'!$C$9+('01_Criterios'!$C$10-'01_Criterios'!$C$9)*('04_Dados_Ajustados'!S81-'03_Base_Indice'!$H81)/('03_Base_Indice'!$I81-'03_Base_Indice'!$H81))),MIN('01_Criterios'!$C$10,MAX('01_Criterios'!$C$9,'01_Criterios'!$C$9+('01_Criterios'!$C$10-'01_Criterios'!$C$9)*('03_Base_Indice'!$I81-'04_Dados_Ajustados'!S81)/('03_Base_Indice'!$I81-'03_Base_Indice'!$H81))))))</f>
        <v/>
      </c>
      <c r="T81" s="31" t="str">
        <f>IF($D81="","",IF('04_Dados_Ajustados'!T81="","",IF('03_Base_Indice'!$G81="+",MIN('01_Criterios'!$C$10,MAX('01_Criterios'!$C$9,'01_Criterios'!$C$9+('01_Criterios'!$C$10-'01_Criterios'!$C$9)*('04_Dados_Ajustados'!T81-'03_Base_Indice'!$H81)/('03_Base_Indice'!$I81-'03_Base_Indice'!$H81))),MIN('01_Criterios'!$C$10,MAX('01_Criterios'!$C$9,'01_Criterios'!$C$9+('01_Criterios'!$C$10-'01_Criterios'!$C$9)*('03_Base_Indice'!$I81-'04_Dados_Ajustados'!T81)/('03_Base_Indice'!$I81-'03_Base_Indice'!$H81))))))</f>
        <v/>
      </c>
      <c r="U81" s="31" t="str">
        <f>IF($D81="","",IF('04_Dados_Ajustados'!U81="","",IF('03_Base_Indice'!$G81="+",MIN('01_Criterios'!$C$10,MAX('01_Criterios'!$C$9,'01_Criterios'!$C$9+('01_Criterios'!$C$10-'01_Criterios'!$C$9)*('04_Dados_Ajustados'!U81-'03_Base_Indice'!$H81)/('03_Base_Indice'!$I81-'03_Base_Indice'!$H81))),MIN('01_Criterios'!$C$10,MAX('01_Criterios'!$C$9,'01_Criterios'!$C$9+('01_Criterios'!$C$10-'01_Criterios'!$C$9)*('03_Base_Indice'!$I81-'04_Dados_Ajustados'!U81)/('03_Base_Indice'!$I81-'03_Base_Indice'!$H81))))))</f>
        <v/>
      </c>
    </row>
    <row r="82" spans="1:21">
      <c r="A82" s="6" t="str">
        <f>IF('03_Base_Indice'!$A82="","",'03_Base_Indice'!$A82)</f>
        <v>8. Diversificação Produtiva e Setor Privado</v>
      </c>
      <c r="B82" s="6">
        <f>'03_Base_Indice'!$B82</f>
        <v>8</v>
      </c>
      <c r="D82" s="6" t="str">
        <f>IF('03_Base_Indice'!$D82="","",'03_Base_Indice'!$D82)</f>
        <v/>
      </c>
      <c r="E82" s="6" t="str">
        <f>IF('03_Base_Indice'!$E82="","",'03_Base_Indice'!$E82)</f>
        <v/>
      </c>
      <c r="G82" s="20" t="str">
        <f>IF('03_Base_Indice'!$G82="","",'03_Base_Indice'!$G82)</f>
        <v/>
      </c>
      <c r="K82" s="31" t="str">
        <f>IF($D82="","",IF('04_Dados_Ajustados'!K82="","",IF('03_Base_Indice'!$G82="+",MIN('01_Criterios'!$C$10,MAX('01_Criterios'!$C$9,'01_Criterios'!$C$9+('01_Criterios'!$C$10-'01_Criterios'!$C$9)*('04_Dados_Ajustados'!K82-'03_Base_Indice'!$H82)/('03_Base_Indice'!$I82-'03_Base_Indice'!$H82))),MIN('01_Criterios'!$C$10,MAX('01_Criterios'!$C$9,'01_Criterios'!$C$9+('01_Criterios'!$C$10-'01_Criterios'!$C$9)*('03_Base_Indice'!$I82-'04_Dados_Ajustados'!K82)/('03_Base_Indice'!$I82-'03_Base_Indice'!$H82))))))</f>
        <v/>
      </c>
      <c r="L82" s="31" t="str">
        <f>IF($D82="","",IF('04_Dados_Ajustados'!L82="","",IF('03_Base_Indice'!$G82="+",MIN('01_Criterios'!$C$10,MAX('01_Criterios'!$C$9,'01_Criterios'!$C$9+('01_Criterios'!$C$10-'01_Criterios'!$C$9)*('04_Dados_Ajustados'!L82-'03_Base_Indice'!$H82)/('03_Base_Indice'!$I82-'03_Base_Indice'!$H82))),MIN('01_Criterios'!$C$10,MAX('01_Criterios'!$C$9,'01_Criterios'!$C$9+('01_Criterios'!$C$10-'01_Criterios'!$C$9)*('03_Base_Indice'!$I82-'04_Dados_Ajustados'!L82)/('03_Base_Indice'!$I82-'03_Base_Indice'!$H82))))))</f>
        <v/>
      </c>
      <c r="M82" s="31" t="str">
        <f>IF($D82="","",IF('04_Dados_Ajustados'!M82="","",IF('03_Base_Indice'!$G82="+",MIN('01_Criterios'!$C$10,MAX('01_Criterios'!$C$9,'01_Criterios'!$C$9+('01_Criterios'!$C$10-'01_Criterios'!$C$9)*('04_Dados_Ajustados'!M82-'03_Base_Indice'!$H82)/('03_Base_Indice'!$I82-'03_Base_Indice'!$H82))),MIN('01_Criterios'!$C$10,MAX('01_Criterios'!$C$9,'01_Criterios'!$C$9+('01_Criterios'!$C$10-'01_Criterios'!$C$9)*('03_Base_Indice'!$I82-'04_Dados_Ajustados'!M82)/('03_Base_Indice'!$I82-'03_Base_Indice'!$H82))))))</f>
        <v/>
      </c>
      <c r="N82" s="31" t="str">
        <f>IF($D82="","",IF('04_Dados_Ajustados'!N82="","",IF('03_Base_Indice'!$G82="+",MIN('01_Criterios'!$C$10,MAX('01_Criterios'!$C$9,'01_Criterios'!$C$9+('01_Criterios'!$C$10-'01_Criterios'!$C$9)*('04_Dados_Ajustados'!N82-'03_Base_Indice'!$H82)/('03_Base_Indice'!$I82-'03_Base_Indice'!$H82))),MIN('01_Criterios'!$C$10,MAX('01_Criterios'!$C$9,'01_Criterios'!$C$9+('01_Criterios'!$C$10-'01_Criterios'!$C$9)*('03_Base_Indice'!$I82-'04_Dados_Ajustados'!N82)/('03_Base_Indice'!$I82-'03_Base_Indice'!$H82))))))</f>
        <v/>
      </c>
      <c r="O82" s="31" t="str">
        <f>IF($D82="","",IF('04_Dados_Ajustados'!O82="","",IF('03_Base_Indice'!$G82="+",MIN('01_Criterios'!$C$10,MAX('01_Criterios'!$C$9,'01_Criterios'!$C$9+('01_Criterios'!$C$10-'01_Criterios'!$C$9)*('04_Dados_Ajustados'!O82-'03_Base_Indice'!$H82)/('03_Base_Indice'!$I82-'03_Base_Indice'!$H82))),MIN('01_Criterios'!$C$10,MAX('01_Criterios'!$C$9,'01_Criterios'!$C$9+('01_Criterios'!$C$10-'01_Criterios'!$C$9)*('03_Base_Indice'!$I82-'04_Dados_Ajustados'!O82)/('03_Base_Indice'!$I82-'03_Base_Indice'!$H82))))))</f>
        <v/>
      </c>
      <c r="P82" s="31" t="str">
        <f>IF($D82="","",IF('04_Dados_Ajustados'!P82="","",IF('03_Base_Indice'!$G82="+",MIN('01_Criterios'!$C$10,MAX('01_Criterios'!$C$9,'01_Criterios'!$C$9+('01_Criterios'!$C$10-'01_Criterios'!$C$9)*('04_Dados_Ajustados'!P82-'03_Base_Indice'!$H82)/('03_Base_Indice'!$I82-'03_Base_Indice'!$H82))),MIN('01_Criterios'!$C$10,MAX('01_Criterios'!$C$9,'01_Criterios'!$C$9+('01_Criterios'!$C$10-'01_Criterios'!$C$9)*('03_Base_Indice'!$I82-'04_Dados_Ajustados'!P82)/('03_Base_Indice'!$I82-'03_Base_Indice'!$H82))))))</f>
        <v/>
      </c>
      <c r="Q82" s="31" t="str">
        <f>IF($D82="","",IF('04_Dados_Ajustados'!Q82="","",IF('03_Base_Indice'!$G82="+",MIN('01_Criterios'!$C$10,MAX('01_Criterios'!$C$9,'01_Criterios'!$C$9+('01_Criterios'!$C$10-'01_Criterios'!$C$9)*('04_Dados_Ajustados'!Q82-'03_Base_Indice'!$H82)/('03_Base_Indice'!$I82-'03_Base_Indice'!$H82))),MIN('01_Criterios'!$C$10,MAX('01_Criterios'!$C$9,'01_Criterios'!$C$9+('01_Criterios'!$C$10-'01_Criterios'!$C$9)*('03_Base_Indice'!$I82-'04_Dados_Ajustados'!Q82)/('03_Base_Indice'!$I82-'03_Base_Indice'!$H82))))))</f>
        <v/>
      </c>
      <c r="R82" s="31" t="str">
        <f>IF($D82="","",IF('04_Dados_Ajustados'!R82="","",IF('03_Base_Indice'!$G82="+",MIN('01_Criterios'!$C$10,MAX('01_Criterios'!$C$9,'01_Criterios'!$C$9+('01_Criterios'!$C$10-'01_Criterios'!$C$9)*('04_Dados_Ajustados'!R82-'03_Base_Indice'!$H82)/('03_Base_Indice'!$I82-'03_Base_Indice'!$H82))),MIN('01_Criterios'!$C$10,MAX('01_Criterios'!$C$9,'01_Criterios'!$C$9+('01_Criterios'!$C$10-'01_Criterios'!$C$9)*('03_Base_Indice'!$I82-'04_Dados_Ajustados'!R82)/('03_Base_Indice'!$I82-'03_Base_Indice'!$H82))))))</f>
        <v/>
      </c>
      <c r="S82" s="31" t="str">
        <f>IF($D82="","",IF('04_Dados_Ajustados'!S82="","",IF('03_Base_Indice'!$G82="+",MIN('01_Criterios'!$C$10,MAX('01_Criterios'!$C$9,'01_Criterios'!$C$9+('01_Criterios'!$C$10-'01_Criterios'!$C$9)*('04_Dados_Ajustados'!S82-'03_Base_Indice'!$H82)/('03_Base_Indice'!$I82-'03_Base_Indice'!$H82))),MIN('01_Criterios'!$C$10,MAX('01_Criterios'!$C$9,'01_Criterios'!$C$9+('01_Criterios'!$C$10-'01_Criterios'!$C$9)*('03_Base_Indice'!$I82-'04_Dados_Ajustados'!S82)/('03_Base_Indice'!$I82-'03_Base_Indice'!$H82))))))</f>
        <v/>
      </c>
      <c r="T82" s="31" t="str">
        <f>IF($D82="","",IF('04_Dados_Ajustados'!T82="","",IF('03_Base_Indice'!$G82="+",MIN('01_Criterios'!$C$10,MAX('01_Criterios'!$C$9,'01_Criterios'!$C$9+('01_Criterios'!$C$10-'01_Criterios'!$C$9)*('04_Dados_Ajustados'!T82-'03_Base_Indice'!$H82)/('03_Base_Indice'!$I82-'03_Base_Indice'!$H82))),MIN('01_Criterios'!$C$10,MAX('01_Criterios'!$C$9,'01_Criterios'!$C$9+('01_Criterios'!$C$10-'01_Criterios'!$C$9)*('03_Base_Indice'!$I82-'04_Dados_Ajustados'!T82)/('03_Base_Indice'!$I82-'03_Base_Indice'!$H82))))))</f>
        <v/>
      </c>
      <c r="U82" s="31" t="str">
        <f>IF($D82="","",IF('04_Dados_Ajustados'!U82="","",IF('03_Base_Indice'!$G82="+",MIN('01_Criterios'!$C$10,MAX('01_Criterios'!$C$9,'01_Criterios'!$C$9+('01_Criterios'!$C$10-'01_Criterios'!$C$9)*('04_Dados_Ajustados'!U82-'03_Base_Indice'!$H82)/('03_Base_Indice'!$I82-'03_Base_Indice'!$H82))),MIN('01_Criterios'!$C$10,MAX('01_Criterios'!$C$9,'01_Criterios'!$C$9+('01_Criterios'!$C$10-'01_Criterios'!$C$9)*('03_Base_Indice'!$I82-'04_Dados_Ajustados'!U82)/('03_Base_Indice'!$I82-'03_Base_Indice'!$H82))))))</f>
        <v/>
      </c>
    </row>
    <row r="83" spans="1:21">
      <c r="A83" s="6" t="str">
        <f>IF('03_Base_Indice'!$A83="","",'03_Base_Indice'!$A83)</f>
        <v>8. Diversificação Produtiva e Setor Privado</v>
      </c>
      <c r="B83" s="6">
        <f>'03_Base_Indice'!$B83</f>
        <v>9</v>
      </c>
      <c r="D83" s="6" t="str">
        <f>IF('03_Base_Indice'!$D83="","",'03_Base_Indice'!$D83)</f>
        <v/>
      </c>
      <c r="E83" s="6" t="str">
        <f>IF('03_Base_Indice'!$E83="","",'03_Base_Indice'!$E83)</f>
        <v/>
      </c>
      <c r="G83" s="20" t="str">
        <f>IF('03_Base_Indice'!$G83="","",'03_Base_Indice'!$G83)</f>
        <v/>
      </c>
      <c r="K83" s="31" t="str">
        <f>IF($D83="","",IF('04_Dados_Ajustados'!K83="","",IF('03_Base_Indice'!$G83="+",MIN('01_Criterios'!$C$10,MAX('01_Criterios'!$C$9,'01_Criterios'!$C$9+('01_Criterios'!$C$10-'01_Criterios'!$C$9)*('04_Dados_Ajustados'!K83-'03_Base_Indice'!$H83)/('03_Base_Indice'!$I83-'03_Base_Indice'!$H83))),MIN('01_Criterios'!$C$10,MAX('01_Criterios'!$C$9,'01_Criterios'!$C$9+('01_Criterios'!$C$10-'01_Criterios'!$C$9)*('03_Base_Indice'!$I83-'04_Dados_Ajustados'!K83)/('03_Base_Indice'!$I83-'03_Base_Indice'!$H83))))))</f>
        <v/>
      </c>
      <c r="L83" s="31" t="str">
        <f>IF($D83="","",IF('04_Dados_Ajustados'!L83="","",IF('03_Base_Indice'!$G83="+",MIN('01_Criterios'!$C$10,MAX('01_Criterios'!$C$9,'01_Criterios'!$C$9+('01_Criterios'!$C$10-'01_Criterios'!$C$9)*('04_Dados_Ajustados'!L83-'03_Base_Indice'!$H83)/('03_Base_Indice'!$I83-'03_Base_Indice'!$H83))),MIN('01_Criterios'!$C$10,MAX('01_Criterios'!$C$9,'01_Criterios'!$C$9+('01_Criterios'!$C$10-'01_Criterios'!$C$9)*('03_Base_Indice'!$I83-'04_Dados_Ajustados'!L83)/('03_Base_Indice'!$I83-'03_Base_Indice'!$H83))))))</f>
        <v/>
      </c>
      <c r="M83" s="31" t="str">
        <f>IF($D83="","",IF('04_Dados_Ajustados'!M83="","",IF('03_Base_Indice'!$G83="+",MIN('01_Criterios'!$C$10,MAX('01_Criterios'!$C$9,'01_Criterios'!$C$9+('01_Criterios'!$C$10-'01_Criterios'!$C$9)*('04_Dados_Ajustados'!M83-'03_Base_Indice'!$H83)/('03_Base_Indice'!$I83-'03_Base_Indice'!$H83))),MIN('01_Criterios'!$C$10,MAX('01_Criterios'!$C$9,'01_Criterios'!$C$9+('01_Criterios'!$C$10-'01_Criterios'!$C$9)*('03_Base_Indice'!$I83-'04_Dados_Ajustados'!M83)/('03_Base_Indice'!$I83-'03_Base_Indice'!$H83))))))</f>
        <v/>
      </c>
      <c r="N83" s="31" t="str">
        <f>IF($D83="","",IF('04_Dados_Ajustados'!N83="","",IF('03_Base_Indice'!$G83="+",MIN('01_Criterios'!$C$10,MAX('01_Criterios'!$C$9,'01_Criterios'!$C$9+('01_Criterios'!$C$10-'01_Criterios'!$C$9)*('04_Dados_Ajustados'!N83-'03_Base_Indice'!$H83)/('03_Base_Indice'!$I83-'03_Base_Indice'!$H83))),MIN('01_Criterios'!$C$10,MAX('01_Criterios'!$C$9,'01_Criterios'!$C$9+('01_Criterios'!$C$10-'01_Criterios'!$C$9)*('03_Base_Indice'!$I83-'04_Dados_Ajustados'!N83)/('03_Base_Indice'!$I83-'03_Base_Indice'!$H83))))))</f>
        <v/>
      </c>
      <c r="O83" s="31" t="str">
        <f>IF($D83="","",IF('04_Dados_Ajustados'!O83="","",IF('03_Base_Indice'!$G83="+",MIN('01_Criterios'!$C$10,MAX('01_Criterios'!$C$9,'01_Criterios'!$C$9+('01_Criterios'!$C$10-'01_Criterios'!$C$9)*('04_Dados_Ajustados'!O83-'03_Base_Indice'!$H83)/('03_Base_Indice'!$I83-'03_Base_Indice'!$H83))),MIN('01_Criterios'!$C$10,MAX('01_Criterios'!$C$9,'01_Criterios'!$C$9+('01_Criterios'!$C$10-'01_Criterios'!$C$9)*('03_Base_Indice'!$I83-'04_Dados_Ajustados'!O83)/('03_Base_Indice'!$I83-'03_Base_Indice'!$H83))))))</f>
        <v/>
      </c>
      <c r="P83" s="31" t="str">
        <f>IF($D83="","",IF('04_Dados_Ajustados'!P83="","",IF('03_Base_Indice'!$G83="+",MIN('01_Criterios'!$C$10,MAX('01_Criterios'!$C$9,'01_Criterios'!$C$9+('01_Criterios'!$C$10-'01_Criterios'!$C$9)*('04_Dados_Ajustados'!P83-'03_Base_Indice'!$H83)/('03_Base_Indice'!$I83-'03_Base_Indice'!$H83))),MIN('01_Criterios'!$C$10,MAX('01_Criterios'!$C$9,'01_Criterios'!$C$9+('01_Criterios'!$C$10-'01_Criterios'!$C$9)*('03_Base_Indice'!$I83-'04_Dados_Ajustados'!P83)/('03_Base_Indice'!$I83-'03_Base_Indice'!$H83))))))</f>
        <v/>
      </c>
      <c r="Q83" s="31" t="str">
        <f>IF($D83="","",IF('04_Dados_Ajustados'!Q83="","",IF('03_Base_Indice'!$G83="+",MIN('01_Criterios'!$C$10,MAX('01_Criterios'!$C$9,'01_Criterios'!$C$9+('01_Criterios'!$C$10-'01_Criterios'!$C$9)*('04_Dados_Ajustados'!Q83-'03_Base_Indice'!$H83)/('03_Base_Indice'!$I83-'03_Base_Indice'!$H83))),MIN('01_Criterios'!$C$10,MAX('01_Criterios'!$C$9,'01_Criterios'!$C$9+('01_Criterios'!$C$10-'01_Criterios'!$C$9)*('03_Base_Indice'!$I83-'04_Dados_Ajustados'!Q83)/('03_Base_Indice'!$I83-'03_Base_Indice'!$H83))))))</f>
        <v/>
      </c>
      <c r="R83" s="31" t="str">
        <f>IF($D83="","",IF('04_Dados_Ajustados'!R83="","",IF('03_Base_Indice'!$G83="+",MIN('01_Criterios'!$C$10,MAX('01_Criterios'!$C$9,'01_Criterios'!$C$9+('01_Criterios'!$C$10-'01_Criterios'!$C$9)*('04_Dados_Ajustados'!R83-'03_Base_Indice'!$H83)/('03_Base_Indice'!$I83-'03_Base_Indice'!$H83))),MIN('01_Criterios'!$C$10,MAX('01_Criterios'!$C$9,'01_Criterios'!$C$9+('01_Criterios'!$C$10-'01_Criterios'!$C$9)*('03_Base_Indice'!$I83-'04_Dados_Ajustados'!R83)/('03_Base_Indice'!$I83-'03_Base_Indice'!$H83))))))</f>
        <v/>
      </c>
      <c r="S83" s="31" t="str">
        <f>IF($D83="","",IF('04_Dados_Ajustados'!S83="","",IF('03_Base_Indice'!$G83="+",MIN('01_Criterios'!$C$10,MAX('01_Criterios'!$C$9,'01_Criterios'!$C$9+('01_Criterios'!$C$10-'01_Criterios'!$C$9)*('04_Dados_Ajustados'!S83-'03_Base_Indice'!$H83)/('03_Base_Indice'!$I83-'03_Base_Indice'!$H83))),MIN('01_Criterios'!$C$10,MAX('01_Criterios'!$C$9,'01_Criterios'!$C$9+('01_Criterios'!$C$10-'01_Criterios'!$C$9)*('03_Base_Indice'!$I83-'04_Dados_Ajustados'!S83)/('03_Base_Indice'!$I83-'03_Base_Indice'!$H83))))))</f>
        <v/>
      </c>
      <c r="T83" s="31" t="str">
        <f>IF($D83="","",IF('04_Dados_Ajustados'!T83="","",IF('03_Base_Indice'!$G83="+",MIN('01_Criterios'!$C$10,MAX('01_Criterios'!$C$9,'01_Criterios'!$C$9+('01_Criterios'!$C$10-'01_Criterios'!$C$9)*('04_Dados_Ajustados'!T83-'03_Base_Indice'!$H83)/('03_Base_Indice'!$I83-'03_Base_Indice'!$H83))),MIN('01_Criterios'!$C$10,MAX('01_Criterios'!$C$9,'01_Criterios'!$C$9+('01_Criterios'!$C$10-'01_Criterios'!$C$9)*('03_Base_Indice'!$I83-'04_Dados_Ajustados'!T83)/('03_Base_Indice'!$I83-'03_Base_Indice'!$H83))))))</f>
        <v/>
      </c>
      <c r="U83" s="31" t="str">
        <f>IF($D83="","",IF('04_Dados_Ajustados'!U83="","",IF('03_Base_Indice'!$G83="+",MIN('01_Criterios'!$C$10,MAX('01_Criterios'!$C$9,'01_Criterios'!$C$9+('01_Criterios'!$C$10-'01_Criterios'!$C$9)*('04_Dados_Ajustados'!U83-'03_Base_Indice'!$H83)/('03_Base_Indice'!$I83-'03_Base_Indice'!$H83))),MIN('01_Criterios'!$C$10,MAX('01_Criterios'!$C$9,'01_Criterios'!$C$9+('01_Criterios'!$C$10-'01_Criterios'!$C$9)*('03_Base_Indice'!$I83-'04_Dados_Ajustados'!U83)/('03_Base_Indice'!$I83-'03_Base_Indice'!$H83))))))</f>
        <v/>
      </c>
    </row>
    <row r="84" spans="1:21">
      <c r="A84" s="6" t="str">
        <f>IF('03_Base_Indice'!$A84="","",'03_Base_Indice'!$A84)</f>
        <v>8. Diversificação Produtiva e Setor Privado</v>
      </c>
      <c r="B84" s="6">
        <f>'03_Base_Indice'!$B84</f>
        <v>10</v>
      </c>
      <c r="D84" s="6" t="str">
        <f>IF('03_Base_Indice'!$D84="","",'03_Base_Indice'!$D84)</f>
        <v/>
      </c>
      <c r="E84" s="6" t="str">
        <f>IF('03_Base_Indice'!$E84="","",'03_Base_Indice'!$E84)</f>
        <v/>
      </c>
      <c r="G84" s="20" t="str">
        <f>IF('03_Base_Indice'!$G84="","",'03_Base_Indice'!$G84)</f>
        <v/>
      </c>
      <c r="K84" s="31" t="str">
        <f>IF($D84="","",IF('04_Dados_Ajustados'!K84="","",IF('03_Base_Indice'!$G84="+",MIN('01_Criterios'!$C$10,MAX('01_Criterios'!$C$9,'01_Criterios'!$C$9+('01_Criterios'!$C$10-'01_Criterios'!$C$9)*('04_Dados_Ajustados'!K84-'03_Base_Indice'!$H84)/('03_Base_Indice'!$I84-'03_Base_Indice'!$H84))),MIN('01_Criterios'!$C$10,MAX('01_Criterios'!$C$9,'01_Criterios'!$C$9+('01_Criterios'!$C$10-'01_Criterios'!$C$9)*('03_Base_Indice'!$I84-'04_Dados_Ajustados'!K84)/('03_Base_Indice'!$I84-'03_Base_Indice'!$H84))))))</f>
        <v/>
      </c>
      <c r="L84" s="31" t="str">
        <f>IF($D84="","",IF('04_Dados_Ajustados'!L84="","",IF('03_Base_Indice'!$G84="+",MIN('01_Criterios'!$C$10,MAX('01_Criterios'!$C$9,'01_Criterios'!$C$9+('01_Criterios'!$C$10-'01_Criterios'!$C$9)*('04_Dados_Ajustados'!L84-'03_Base_Indice'!$H84)/('03_Base_Indice'!$I84-'03_Base_Indice'!$H84))),MIN('01_Criterios'!$C$10,MAX('01_Criterios'!$C$9,'01_Criterios'!$C$9+('01_Criterios'!$C$10-'01_Criterios'!$C$9)*('03_Base_Indice'!$I84-'04_Dados_Ajustados'!L84)/('03_Base_Indice'!$I84-'03_Base_Indice'!$H84))))))</f>
        <v/>
      </c>
      <c r="M84" s="31" t="str">
        <f>IF($D84="","",IF('04_Dados_Ajustados'!M84="","",IF('03_Base_Indice'!$G84="+",MIN('01_Criterios'!$C$10,MAX('01_Criterios'!$C$9,'01_Criterios'!$C$9+('01_Criterios'!$C$10-'01_Criterios'!$C$9)*('04_Dados_Ajustados'!M84-'03_Base_Indice'!$H84)/('03_Base_Indice'!$I84-'03_Base_Indice'!$H84))),MIN('01_Criterios'!$C$10,MAX('01_Criterios'!$C$9,'01_Criterios'!$C$9+('01_Criterios'!$C$10-'01_Criterios'!$C$9)*('03_Base_Indice'!$I84-'04_Dados_Ajustados'!M84)/('03_Base_Indice'!$I84-'03_Base_Indice'!$H84))))))</f>
        <v/>
      </c>
      <c r="N84" s="31" t="str">
        <f>IF($D84="","",IF('04_Dados_Ajustados'!N84="","",IF('03_Base_Indice'!$G84="+",MIN('01_Criterios'!$C$10,MAX('01_Criterios'!$C$9,'01_Criterios'!$C$9+('01_Criterios'!$C$10-'01_Criterios'!$C$9)*('04_Dados_Ajustados'!N84-'03_Base_Indice'!$H84)/('03_Base_Indice'!$I84-'03_Base_Indice'!$H84))),MIN('01_Criterios'!$C$10,MAX('01_Criterios'!$C$9,'01_Criterios'!$C$9+('01_Criterios'!$C$10-'01_Criterios'!$C$9)*('03_Base_Indice'!$I84-'04_Dados_Ajustados'!N84)/('03_Base_Indice'!$I84-'03_Base_Indice'!$H84))))))</f>
        <v/>
      </c>
      <c r="O84" s="31" t="str">
        <f>IF($D84="","",IF('04_Dados_Ajustados'!O84="","",IF('03_Base_Indice'!$G84="+",MIN('01_Criterios'!$C$10,MAX('01_Criterios'!$C$9,'01_Criterios'!$C$9+('01_Criterios'!$C$10-'01_Criterios'!$C$9)*('04_Dados_Ajustados'!O84-'03_Base_Indice'!$H84)/('03_Base_Indice'!$I84-'03_Base_Indice'!$H84))),MIN('01_Criterios'!$C$10,MAX('01_Criterios'!$C$9,'01_Criterios'!$C$9+('01_Criterios'!$C$10-'01_Criterios'!$C$9)*('03_Base_Indice'!$I84-'04_Dados_Ajustados'!O84)/('03_Base_Indice'!$I84-'03_Base_Indice'!$H84))))))</f>
        <v/>
      </c>
      <c r="P84" s="31" t="str">
        <f>IF($D84="","",IF('04_Dados_Ajustados'!P84="","",IF('03_Base_Indice'!$G84="+",MIN('01_Criterios'!$C$10,MAX('01_Criterios'!$C$9,'01_Criterios'!$C$9+('01_Criterios'!$C$10-'01_Criterios'!$C$9)*('04_Dados_Ajustados'!P84-'03_Base_Indice'!$H84)/('03_Base_Indice'!$I84-'03_Base_Indice'!$H84))),MIN('01_Criterios'!$C$10,MAX('01_Criterios'!$C$9,'01_Criterios'!$C$9+('01_Criterios'!$C$10-'01_Criterios'!$C$9)*('03_Base_Indice'!$I84-'04_Dados_Ajustados'!P84)/('03_Base_Indice'!$I84-'03_Base_Indice'!$H84))))))</f>
        <v/>
      </c>
      <c r="Q84" s="31" t="str">
        <f>IF($D84="","",IF('04_Dados_Ajustados'!Q84="","",IF('03_Base_Indice'!$G84="+",MIN('01_Criterios'!$C$10,MAX('01_Criterios'!$C$9,'01_Criterios'!$C$9+('01_Criterios'!$C$10-'01_Criterios'!$C$9)*('04_Dados_Ajustados'!Q84-'03_Base_Indice'!$H84)/('03_Base_Indice'!$I84-'03_Base_Indice'!$H84))),MIN('01_Criterios'!$C$10,MAX('01_Criterios'!$C$9,'01_Criterios'!$C$9+('01_Criterios'!$C$10-'01_Criterios'!$C$9)*('03_Base_Indice'!$I84-'04_Dados_Ajustados'!Q84)/('03_Base_Indice'!$I84-'03_Base_Indice'!$H84))))))</f>
        <v/>
      </c>
      <c r="R84" s="31" t="str">
        <f>IF($D84="","",IF('04_Dados_Ajustados'!R84="","",IF('03_Base_Indice'!$G84="+",MIN('01_Criterios'!$C$10,MAX('01_Criterios'!$C$9,'01_Criterios'!$C$9+('01_Criterios'!$C$10-'01_Criterios'!$C$9)*('04_Dados_Ajustados'!R84-'03_Base_Indice'!$H84)/('03_Base_Indice'!$I84-'03_Base_Indice'!$H84))),MIN('01_Criterios'!$C$10,MAX('01_Criterios'!$C$9,'01_Criterios'!$C$9+('01_Criterios'!$C$10-'01_Criterios'!$C$9)*('03_Base_Indice'!$I84-'04_Dados_Ajustados'!R84)/('03_Base_Indice'!$I84-'03_Base_Indice'!$H84))))))</f>
        <v/>
      </c>
      <c r="S84" s="31" t="str">
        <f>IF($D84="","",IF('04_Dados_Ajustados'!S84="","",IF('03_Base_Indice'!$G84="+",MIN('01_Criterios'!$C$10,MAX('01_Criterios'!$C$9,'01_Criterios'!$C$9+('01_Criterios'!$C$10-'01_Criterios'!$C$9)*('04_Dados_Ajustados'!S84-'03_Base_Indice'!$H84)/('03_Base_Indice'!$I84-'03_Base_Indice'!$H84))),MIN('01_Criterios'!$C$10,MAX('01_Criterios'!$C$9,'01_Criterios'!$C$9+('01_Criterios'!$C$10-'01_Criterios'!$C$9)*('03_Base_Indice'!$I84-'04_Dados_Ajustados'!S84)/('03_Base_Indice'!$I84-'03_Base_Indice'!$H84))))))</f>
        <v/>
      </c>
      <c r="T84" s="31" t="str">
        <f>IF($D84="","",IF('04_Dados_Ajustados'!T84="","",IF('03_Base_Indice'!$G84="+",MIN('01_Criterios'!$C$10,MAX('01_Criterios'!$C$9,'01_Criterios'!$C$9+('01_Criterios'!$C$10-'01_Criterios'!$C$9)*('04_Dados_Ajustados'!T84-'03_Base_Indice'!$H84)/('03_Base_Indice'!$I84-'03_Base_Indice'!$H84))),MIN('01_Criterios'!$C$10,MAX('01_Criterios'!$C$9,'01_Criterios'!$C$9+('01_Criterios'!$C$10-'01_Criterios'!$C$9)*('03_Base_Indice'!$I84-'04_Dados_Ajustados'!T84)/('03_Base_Indice'!$I84-'03_Base_Indice'!$H84))))))</f>
        <v/>
      </c>
      <c r="U84" s="31" t="str">
        <f>IF($D84="","",IF('04_Dados_Ajustados'!U84="","",IF('03_Base_Indice'!$G84="+",MIN('01_Criterios'!$C$10,MAX('01_Criterios'!$C$9,'01_Criterios'!$C$9+('01_Criterios'!$C$10-'01_Criterios'!$C$9)*('04_Dados_Ajustados'!U84-'03_Base_Indice'!$H84)/('03_Base_Indice'!$I84-'03_Base_Indice'!$H84))),MIN('01_Criterios'!$C$10,MAX('01_Criterios'!$C$9,'01_Criterios'!$C$9+('01_Criterios'!$C$10-'01_Criterios'!$C$9)*('03_Base_Indice'!$I84-'04_Dados_Ajustados'!U84)/('03_Base_Indice'!$I84-'03_Base_Indice'!$H84))))))</f>
        <v/>
      </c>
    </row>
    <row r="85" spans="1:21">
      <c r="A85" s="6" t="str">
        <f>IF('03_Base_Indice'!$A85="","",'03_Base_Indice'!$A85)</f>
        <v>9. Ambiente, Clima e Resiliência</v>
      </c>
      <c r="B85" s="6">
        <f>'03_Base_Indice'!$B85</f>
        <v>1</v>
      </c>
      <c r="D85" s="6" t="str">
        <f>IF('03_Base_Indice'!$D85="","",'03_Base_Indice'!$D85)</f>
        <v/>
      </c>
      <c r="E85" s="6" t="str">
        <f>IF('03_Base_Indice'!$E85="","",'03_Base_Indice'!$E85)</f>
        <v/>
      </c>
      <c r="G85" s="20" t="str">
        <f>IF('03_Base_Indice'!$G85="","",'03_Base_Indice'!$G85)</f>
        <v/>
      </c>
      <c r="K85" s="31" t="str">
        <f>IF($D85="","",IF('04_Dados_Ajustados'!K85="","",IF('03_Base_Indice'!$G85="+",MIN('01_Criterios'!$C$10,MAX('01_Criterios'!$C$9,'01_Criterios'!$C$9+('01_Criterios'!$C$10-'01_Criterios'!$C$9)*('04_Dados_Ajustados'!K85-'03_Base_Indice'!$H85)/('03_Base_Indice'!$I85-'03_Base_Indice'!$H85))),MIN('01_Criterios'!$C$10,MAX('01_Criterios'!$C$9,'01_Criterios'!$C$9+('01_Criterios'!$C$10-'01_Criterios'!$C$9)*('03_Base_Indice'!$I85-'04_Dados_Ajustados'!K85)/('03_Base_Indice'!$I85-'03_Base_Indice'!$H85))))))</f>
        <v/>
      </c>
      <c r="L85" s="31" t="str">
        <f>IF($D85="","",IF('04_Dados_Ajustados'!L85="","",IF('03_Base_Indice'!$G85="+",MIN('01_Criterios'!$C$10,MAX('01_Criterios'!$C$9,'01_Criterios'!$C$9+('01_Criterios'!$C$10-'01_Criterios'!$C$9)*('04_Dados_Ajustados'!L85-'03_Base_Indice'!$H85)/('03_Base_Indice'!$I85-'03_Base_Indice'!$H85))),MIN('01_Criterios'!$C$10,MAX('01_Criterios'!$C$9,'01_Criterios'!$C$9+('01_Criterios'!$C$10-'01_Criterios'!$C$9)*('03_Base_Indice'!$I85-'04_Dados_Ajustados'!L85)/('03_Base_Indice'!$I85-'03_Base_Indice'!$H85))))))</f>
        <v/>
      </c>
      <c r="M85" s="31" t="str">
        <f>IF($D85="","",IF('04_Dados_Ajustados'!M85="","",IF('03_Base_Indice'!$G85="+",MIN('01_Criterios'!$C$10,MAX('01_Criterios'!$C$9,'01_Criterios'!$C$9+('01_Criterios'!$C$10-'01_Criterios'!$C$9)*('04_Dados_Ajustados'!M85-'03_Base_Indice'!$H85)/('03_Base_Indice'!$I85-'03_Base_Indice'!$H85))),MIN('01_Criterios'!$C$10,MAX('01_Criterios'!$C$9,'01_Criterios'!$C$9+('01_Criterios'!$C$10-'01_Criterios'!$C$9)*('03_Base_Indice'!$I85-'04_Dados_Ajustados'!M85)/('03_Base_Indice'!$I85-'03_Base_Indice'!$H85))))))</f>
        <v/>
      </c>
      <c r="N85" s="31" t="str">
        <f>IF($D85="","",IF('04_Dados_Ajustados'!N85="","",IF('03_Base_Indice'!$G85="+",MIN('01_Criterios'!$C$10,MAX('01_Criterios'!$C$9,'01_Criterios'!$C$9+('01_Criterios'!$C$10-'01_Criterios'!$C$9)*('04_Dados_Ajustados'!N85-'03_Base_Indice'!$H85)/('03_Base_Indice'!$I85-'03_Base_Indice'!$H85))),MIN('01_Criterios'!$C$10,MAX('01_Criterios'!$C$9,'01_Criterios'!$C$9+('01_Criterios'!$C$10-'01_Criterios'!$C$9)*('03_Base_Indice'!$I85-'04_Dados_Ajustados'!N85)/('03_Base_Indice'!$I85-'03_Base_Indice'!$H85))))))</f>
        <v/>
      </c>
      <c r="O85" s="31" t="str">
        <f>IF($D85="","",IF('04_Dados_Ajustados'!O85="","",IF('03_Base_Indice'!$G85="+",MIN('01_Criterios'!$C$10,MAX('01_Criterios'!$C$9,'01_Criterios'!$C$9+('01_Criterios'!$C$10-'01_Criterios'!$C$9)*('04_Dados_Ajustados'!O85-'03_Base_Indice'!$H85)/('03_Base_Indice'!$I85-'03_Base_Indice'!$H85))),MIN('01_Criterios'!$C$10,MAX('01_Criterios'!$C$9,'01_Criterios'!$C$9+('01_Criterios'!$C$10-'01_Criterios'!$C$9)*('03_Base_Indice'!$I85-'04_Dados_Ajustados'!O85)/('03_Base_Indice'!$I85-'03_Base_Indice'!$H85))))))</f>
        <v/>
      </c>
      <c r="P85" s="31" t="str">
        <f>IF($D85="","",IF('04_Dados_Ajustados'!P85="","",IF('03_Base_Indice'!$G85="+",MIN('01_Criterios'!$C$10,MAX('01_Criterios'!$C$9,'01_Criterios'!$C$9+('01_Criterios'!$C$10-'01_Criterios'!$C$9)*('04_Dados_Ajustados'!P85-'03_Base_Indice'!$H85)/('03_Base_Indice'!$I85-'03_Base_Indice'!$H85))),MIN('01_Criterios'!$C$10,MAX('01_Criterios'!$C$9,'01_Criterios'!$C$9+('01_Criterios'!$C$10-'01_Criterios'!$C$9)*('03_Base_Indice'!$I85-'04_Dados_Ajustados'!P85)/('03_Base_Indice'!$I85-'03_Base_Indice'!$H85))))))</f>
        <v/>
      </c>
      <c r="Q85" s="31" t="str">
        <f>IF($D85="","",IF('04_Dados_Ajustados'!Q85="","",IF('03_Base_Indice'!$G85="+",MIN('01_Criterios'!$C$10,MAX('01_Criterios'!$C$9,'01_Criterios'!$C$9+('01_Criterios'!$C$10-'01_Criterios'!$C$9)*('04_Dados_Ajustados'!Q85-'03_Base_Indice'!$H85)/('03_Base_Indice'!$I85-'03_Base_Indice'!$H85))),MIN('01_Criterios'!$C$10,MAX('01_Criterios'!$C$9,'01_Criterios'!$C$9+('01_Criterios'!$C$10-'01_Criterios'!$C$9)*('03_Base_Indice'!$I85-'04_Dados_Ajustados'!Q85)/('03_Base_Indice'!$I85-'03_Base_Indice'!$H85))))))</f>
        <v/>
      </c>
      <c r="R85" s="31" t="str">
        <f>IF($D85="","",IF('04_Dados_Ajustados'!R85="","",IF('03_Base_Indice'!$G85="+",MIN('01_Criterios'!$C$10,MAX('01_Criterios'!$C$9,'01_Criterios'!$C$9+('01_Criterios'!$C$10-'01_Criterios'!$C$9)*('04_Dados_Ajustados'!R85-'03_Base_Indice'!$H85)/('03_Base_Indice'!$I85-'03_Base_Indice'!$H85))),MIN('01_Criterios'!$C$10,MAX('01_Criterios'!$C$9,'01_Criterios'!$C$9+('01_Criterios'!$C$10-'01_Criterios'!$C$9)*('03_Base_Indice'!$I85-'04_Dados_Ajustados'!R85)/('03_Base_Indice'!$I85-'03_Base_Indice'!$H85))))))</f>
        <v/>
      </c>
      <c r="S85" s="31" t="str">
        <f>IF($D85="","",IF('04_Dados_Ajustados'!S85="","",IF('03_Base_Indice'!$G85="+",MIN('01_Criterios'!$C$10,MAX('01_Criterios'!$C$9,'01_Criterios'!$C$9+('01_Criterios'!$C$10-'01_Criterios'!$C$9)*('04_Dados_Ajustados'!S85-'03_Base_Indice'!$H85)/('03_Base_Indice'!$I85-'03_Base_Indice'!$H85))),MIN('01_Criterios'!$C$10,MAX('01_Criterios'!$C$9,'01_Criterios'!$C$9+('01_Criterios'!$C$10-'01_Criterios'!$C$9)*('03_Base_Indice'!$I85-'04_Dados_Ajustados'!S85)/('03_Base_Indice'!$I85-'03_Base_Indice'!$H85))))))</f>
        <v/>
      </c>
      <c r="T85" s="31" t="str">
        <f>IF($D85="","",IF('04_Dados_Ajustados'!T85="","",IF('03_Base_Indice'!$G85="+",MIN('01_Criterios'!$C$10,MAX('01_Criterios'!$C$9,'01_Criterios'!$C$9+('01_Criterios'!$C$10-'01_Criterios'!$C$9)*('04_Dados_Ajustados'!T85-'03_Base_Indice'!$H85)/('03_Base_Indice'!$I85-'03_Base_Indice'!$H85))),MIN('01_Criterios'!$C$10,MAX('01_Criterios'!$C$9,'01_Criterios'!$C$9+('01_Criterios'!$C$10-'01_Criterios'!$C$9)*('03_Base_Indice'!$I85-'04_Dados_Ajustados'!T85)/('03_Base_Indice'!$I85-'03_Base_Indice'!$H85))))))</f>
        <v/>
      </c>
      <c r="U85" s="31" t="str">
        <f>IF($D85="","",IF('04_Dados_Ajustados'!U85="","",IF('03_Base_Indice'!$G85="+",MIN('01_Criterios'!$C$10,MAX('01_Criterios'!$C$9,'01_Criterios'!$C$9+('01_Criterios'!$C$10-'01_Criterios'!$C$9)*('04_Dados_Ajustados'!U85-'03_Base_Indice'!$H85)/('03_Base_Indice'!$I85-'03_Base_Indice'!$H85))),MIN('01_Criterios'!$C$10,MAX('01_Criterios'!$C$9,'01_Criterios'!$C$9+('01_Criterios'!$C$10-'01_Criterios'!$C$9)*('03_Base_Indice'!$I85-'04_Dados_Ajustados'!U85)/('03_Base_Indice'!$I85-'03_Base_Indice'!$H85))))))</f>
        <v/>
      </c>
    </row>
    <row r="86" spans="1:21">
      <c r="A86" s="6" t="str">
        <f>IF('03_Base_Indice'!$A86="","",'03_Base_Indice'!$A86)</f>
        <v>9. Ambiente, Clima e Resiliência</v>
      </c>
      <c r="B86" s="6">
        <f>'03_Base_Indice'!$B86</f>
        <v>2</v>
      </c>
      <c r="D86" s="6" t="str">
        <f>IF('03_Base_Indice'!$D86="","",'03_Base_Indice'!$D86)</f>
        <v/>
      </c>
      <c r="E86" s="6" t="str">
        <f>IF('03_Base_Indice'!$E86="","",'03_Base_Indice'!$E86)</f>
        <v/>
      </c>
      <c r="G86" s="20" t="str">
        <f>IF('03_Base_Indice'!$G86="","",'03_Base_Indice'!$G86)</f>
        <v/>
      </c>
      <c r="K86" s="31" t="str">
        <f>IF($D86="","",IF('04_Dados_Ajustados'!K86="","",IF('03_Base_Indice'!$G86="+",MIN('01_Criterios'!$C$10,MAX('01_Criterios'!$C$9,'01_Criterios'!$C$9+('01_Criterios'!$C$10-'01_Criterios'!$C$9)*('04_Dados_Ajustados'!K86-'03_Base_Indice'!$H86)/('03_Base_Indice'!$I86-'03_Base_Indice'!$H86))),MIN('01_Criterios'!$C$10,MAX('01_Criterios'!$C$9,'01_Criterios'!$C$9+('01_Criterios'!$C$10-'01_Criterios'!$C$9)*('03_Base_Indice'!$I86-'04_Dados_Ajustados'!K86)/('03_Base_Indice'!$I86-'03_Base_Indice'!$H86))))))</f>
        <v/>
      </c>
      <c r="L86" s="31" t="str">
        <f>IF($D86="","",IF('04_Dados_Ajustados'!L86="","",IF('03_Base_Indice'!$G86="+",MIN('01_Criterios'!$C$10,MAX('01_Criterios'!$C$9,'01_Criterios'!$C$9+('01_Criterios'!$C$10-'01_Criterios'!$C$9)*('04_Dados_Ajustados'!L86-'03_Base_Indice'!$H86)/('03_Base_Indice'!$I86-'03_Base_Indice'!$H86))),MIN('01_Criterios'!$C$10,MAX('01_Criterios'!$C$9,'01_Criterios'!$C$9+('01_Criterios'!$C$10-'01_Criterios'!$C$9)*('03_Base_Indice'!$I86-'04_Dados_Ajustados'!L86)/('03_Base_Indice'!$I86-'03_Base_Indice'!$H86))))))</f>
        <v/>
      </c>
      <c r="M86" s="31" t="str">
        <f>IF($D86="","",IF('04_Dados_Ajustados'!M86="","",IF('03_Base_Indice'!$G86="+",MIN('01_Criterios'!$C$10,MAX('01_Criterios'!$C$9,'01_Criterios'!$C$9+('01_Criterios'!$C$10-'01_Criterios'!$C$9)*('04_Dados_Ajustados'!M86-'03_Base_Indice'!$H86)/('03_Base_Indice'!$I86-'03_Base_Indice'!$H86))),MIN('01_Criterios'!$C$10,MAX('01_Criterios'!$C$9,'01_Criterios'!$C$9+('01_Criterios'!$C$10-'01_Criterios'!$C$9)*('03_Base_Indice'!$I86-'04_Dados_Ajustados'!M86)/('03_Base_Indice'!$I86-'03_Base_Indice'!$H86))))))</f>
        <v/>
      </c>
      <c r="N86" s="31" t="str">
        <f>IF($D86="","",IF('04_Dados_Ajustados'!N86="","",IF('03_Base_Indice'!$G86="+",MIN('01_Criterios'!$C$10,MAX('01_Criterios'!$C$9,'01_Criterios'!$C$9+('01_Criterios'!$C$10-'01_Criterios'!$C$9)*('04_Dados_Ajustados'!N86-'03_Base_Indice'!$H86)/('03_Base_Indice'!$I86-'03_Base_Indice'!$H86))),MIN('01_Criterios'!$C$10,MAX('01_Criterios'!$C$9,'01_Criterios'!$C$9+('01_Criterios'!$C$10-'01_Criterios'!$C$9)*('03_Base_Indice'!$I86-'04_Dados_Ajustados'!N86)/('03_Base_Indice'!$I86-'03_Base_Indice'!$H86))))))</f>
        <v/>
      </c>
      <c r="O86" s="31" t="str">
        <f>IF($D86="","",IF('04_Dados_Ajustados'!O86="","",IF('03_Base_Indice'!$G86="+",MIN('01_Criterios'!$C$10,MAX('01_Criterios'!$C$9,'01_Criterios'!$C$9+('01_Criterios'!$C$10-'01_Criterios'!$C$9)*('04_Dados_Ajustados'!O86-'03_Base_Indice'!$H86)/('03_Base_Indice'!$I86-'03_Base_Indice'!$H86))),MIN('01_Criterios'!$C$10,MAX('01_Criterios'!$C$9,'01_Criterios'!$C$9+('01_Criterios'!$C$10-'01_Criterios'!$C$9)*('03_Base_Indice'!$I86-'04_Dados_Ajustados'!O86)/('03_Base_Indice'!$I86-'03_Base_Indice'!$H86))))))</f>
        <v/>
      </c>
      <c r="P86" s="31" t="str">
        <f>IF($D86="","",IF('04_Dados_Ajustados'!P86="","",IF('03_Base_Indice'!$G86="+",MIN('01_Criterios'!$C$10,MAX('01_Criterios'!$C$9,'01_Criterios'!$C$9+('01_Criterios'!$C$10-'01_Criterios'!$C$9)*('04_Dados_Ajustados'!P86-'03_Base_Indice'!$H86)/('03_Base_Indice'!$I86-'03_Base_Indice'!$H86))),MIN('01_Criterios'!$C$10,MAX('01_Criterios'!$C$9,'01_Criterios'!$C$9+('01_Criterios'!$C$10-'01_Criterios'!$C$9)*('03_Base_Indice'!$I86-'04_Dados_Ajustados'!P86)/('03_Base_Indice'!$I86-'03_Base_Indice'!$H86))))))</f>
        <v/>
      </c>
      <c r="Q86" s="31" t="str">
        <f>IF($D86="","",IF('04_Dados_Ajustados'!Q86="","",IF('03_Base_Indice'!$G86="+",MIN('01_Criterios'!$C$10,MAX('01_Criterios'!$C$9,'01_Criterios'!$C$9+('01_Criterios'!$C$10-'01_Criterios'!$C$9)*('04_Dados_Ajustados'!Q86-'03_Base_Indice'!$H86)/('03_Base_Indice'!$I86-'03_Base_Indice'!$H86))),MIN('01_Criterios'!$C$10,MAX('01_Criterios'!$C$9,'01_Criterios'!$C$9+('01_Criterios'!$C$10-'01_Criterios'!$C$9)*('03_Base_Indice'!$I86-'04_Dados_Ajustados'!Q86)/('03_Base_Indice'!$I86-'03_Base_Indice'!$H86))))))</f>
        <v/>
      </c>
      <c r="R86" s="31" t="str">
        <f>IF($D86="","",IF('04_Dados_Ajustados'!R86="","",IF('03_Base_Indice'!$G86="+",MIN('01_Criterios'!$C$10,MAX('01_Criterios'!$C$9,'01_Criterios'!$C$9+('01_Criterios'!$C$10-'01_Criterios'!$C$9)*('04_Dados_Ajustados'!R86-'03_Base_Indice'!$H86)/('03_Base_Indice'!$I86-'03_Base_Indice'!$H86))),MIN('01_Criterios'!$C$10,MAX('01_Criterios'!$C$9,'01_Criterios'!$C$9+('01_Criterios'!$C$10-'01_Criterios'!$C$9)*('03_Base_Indice'!$I86-'04_Dados_Ajustados'!R86)/('03_Base_Indice'!$I86-'03_Base_Indice'!$H86))))))</f>
        <v/>
      </c>
      <c r="S86" s="31" t="str">
        <f>IF($D86="","",IF('04_Dados_Ajustados'!S86="","",IF('03_Base_Indice'!$G86="+",MIN('01_Criterios'!$C$10,MAX('01_Criterios'!$C$9,'01_Criterios'!$C$9+('01_Criterios'!$C$10-'01_Criterios'!$C$9)*('04_Dados_Ajustados'!S86-'03_Base_Indice'!$H86)/('03_Base_Indice'!$I86-'03_Base_Indice'!$H86))),MIN('01_Criterios'!$C$10,MAX('01_Criterios'!$C$9,'01_Criterios'!$C$9+('01_Criterios'!$C$10-'01_Criterios'!$C$9)*('03_Base_Indice'!$I86-'04_Dados_Ajustados'!S86)/('03_Base_Indice'!$I86-'03_Base_Indice'!$H86))))))</f>
        <v/>
      </c>
      <c r="T86" s="31" t="str">
        <f>IF($D86="","",IF('04_Dados_Ajustados'!T86="","",IF('03_Base_Indice'!$G86="+",MIN('01_Criterios'!$C$10,MAX('01_Criterios'!$C$9,'01_Criterios'!$C$9+('01_Criterios'!$C$10-'01_Criterios'!$C$9)*('04_Dados_Ajustados'!T86-'03_Base_Indice'!$H86)/('03_Base_Indice'!$I86-'03_Base_Indice'!$H86))),MIN('01_Criterios'!$C$10,MAX('01_Criterios'!$C$9,'01_Criterios'!$C$9+('01_Criterios'!$C$10-'01_Criterios'!$C$9)*('03_Base_Indice'!$I86-'04_Dados_Ajustados'!T86)/('03_Base_Indice'!$I86-'03_Base_Indice'!$H86))))))</f>
        <v/>
      </c>
      <c r="U86" s="31" t="str">
        <f>IF($D86="","",IF('04_Dados_Ajustados'!U86="","",IF('03_Base_Indice'!$G86="+",MIN('01_Criterios'!$C$10,MAX('01_Criterios'!$C$9,'01_Criterios'!$C$9+('01_Criterios'!$C$10-'01_Criterios'!$C$9)*('04_Dados_Ajustados'!U86-'03_Base_Indice'!$H86)/('03_Base_Indice'!$I86-'03_Base_Indice'!$H86))),MIN('01_Criterios'!$C$10,MAX('01_Criterios'!$C$9,'01_Criterios'!$C$9+('01_Criterios'!$C$10-'01_Criterios'!$C$9)*('03_Base_Indice'!$I86-'04_Dados_Ajustados'!U86)/('03_Base_Indice'!$I86-'03_Base_Indice'!$H86))))))</f>
        <v/>
      </c>
    </row>
    <row r="87" spans="1:21">
      <c r="A87" s="6" t="str">
        <f>IF('03_Base_Indice'!$A87="","",'03_Base_Indice'!$A87)</f>
        <v>9. Ambiente, Clima e Resiliência</v>
      </c>
      <c r="B87" s="6">
        <f>'03_Base_Indice'!$B87</f>
        <v>3</v>
      </c>
      <c r="D87" s="6" t="str">
        <f>IF('03_Base_Indice'!$D87="","",'03_Base_Indice'!$D87)</f>
        <v/>
      </c>
      <c r="E87" s="6" t="str">
        <f>IF('03_Base_Indice'!$E87="","",'03_Base_Indice'!$E87)</f>
        <v/>
      </c>
      <c r="G87" s="20" t="str">
        <f>IF('03_Base_Indice'!$G87="","",'03_Base_Indice'!$G87)</f>
        <v/>
      </c>
      <c r="K87" s="31" t="str">
        <f>IF($D87="","",IF('04_Dados_Ajustados'!K87="","",IF('03_Base_Indice'!$G87="+",MIN('01_Criterios'!$C$10,MAX('01_Criterios'!$C$9,'01_Criterios'!$C$9+('01_Criterios'!$C$10-'01_Criterios'!$C$9)*('04_Dados_Ajustados'!K87-'03_Base_Indice'!$H87)/('03_Base_Indice'!$I87-'03_Base_Indice'!$H87))),MIN('01_Criterios'!$C$10,MAX('01_Criterios'!$C$9,'01_Criterios'!$C$9+('01_Criterios'!$C$10-'01_Criterios'!$C$9)*('03_Base_Indice'!$I87-'04_Dados_Ajustados'!K87)/('03_Base_Indice'!$I87-'03_Base_Indice'!$H87))))))</f>
        <v/>
      </c>
      <c r="L87" s="31" t="str">
        <f>IF($D87="","",IF('04_Dados_Ajustados'!L87="","",IF('03_Base_Indice'!$G87="+",MIN('01_Criterios'!$C$10,MAX('01_Criterios'!$C$9,'01_Criterios'!$C$9+('01_Criterios'!$C$10-'01_Criterios'!$C$9)*('04_Dados_Ajustados'!L87-'03_Base_Indice'!$H87)/('03_Base_Indice'!$I87-'03_Base_Indice'!$H87))),MIN('01_Criterios'!$C$10,MAX('01_Criterios'!$C$9,'01_Criterios'!$C$9+('01_Criterios'!$C$10-'01_Criterios'!$C$9)*('03_Base_Indice'!$I87-'04_Dados_Ajustados'!L87)/('03_Base_Indice'!$I87-'03_Base_Indice'!$H87))))))</f>
        <v/>
      </c>
      <c r="M87" s="31" t="str">
        <f>IF($D87="","",IF('04_Dados_Ajustados'!M87="","",IF('03_Base_Indice'!$G87="+",MIN('01_Criterios'!$C$10,MAX('01_Criterios'!$C$9,'01_Criterios'!$C$9+('01_Criterios'!$C$10-'01_Criterios'!$C$9)*('04_Dados_Ajustados'!M87-'03_Base_Indice'!$H87)/('03_Base_Indice'!$I87-'03_Base_Indice'!$H87))),MIN('01_Criterios'!$C$10,MAX('01_Criterios'!$C$9,'01_Criterios'!$C$9+('01_Criterios'!$C$10-'01_Criterios'!$C$9)*('03_Base_Indice'!$I87-'04_Dados_Ajustados'!M87)/('03_Base_Indice'!$I87-'03_Base_Indice'!$H87))))))</f>
        <v/>
      </c>
      <c r="N87" s="31" t="str">
        <f>IF($D87="","",IF('04_Dados_Ajustados'!N87="","",IF('03_Base_Indice'!$G87="+",MIN('01_Criterios'!$C$10,MAX('01_Criterios'!$C$9,'01_Criterios'!$C$9+('01_Criterios'!$C$10-'01_Criterios'!$C$9)*('04_Dados_Ajustados'!N87-'03_Base_Indice'!$H87)/('03_Base_Indice'!$I87-'03_Base_Indice'!$H87))),MIN('01_Criterios'!$C$10,MAX('01_Criterios'!$C$9,'01_Criterios'!$C$9+('01_Criterios'!$C$10-'01_Criterios'!$C$9)*('03_Base_Indice'!$I87-'04_Dados_Ajustados'!N87)/('03_Base_Indice'!$I87-'03_Base_Indice'!$H87))))))</f>
        <v/>
      </c>
      <c r="O87" s="31" t="str">
        <f>IF($D87="","",IF('04_Dados_Ajustados'!O87="","",IF('03_Base_Indice'!$G87="+",MIN('01_Criterios'!$C$10,MAX('01_Criterios'!$C$9,'01_Criterios'!$C$9+('01_Criterios'!$C$10-'01_Criterios'!$C$9)*('04_Dados_Ajustados'!O87-'03_Base_Indice'!$H87)/('03_Base_Indice'!$I87-'03_Base_Indice'!$H87))),MIN('01_Criterios'!$C$10,MAX('01_Criterios'!$C$9,'01_Criterios'!$C$9+('01_Criterios'!$C$10-'01_Criterios'!$C$9)*('03_Base_Indice'!$I87-'04_Dados_Ajustados'!O87)/('03_Base_Indice'!$I87-'03_Base_Indice'!$H87))))))</f>
        <v/>
      </c>
      <c r="P87" s="31" t="str">
        <f>IF($D87="","",IF('04_Dados_Ajustados'!P87="","",IF('03_Base_Indice'!$G87="+",MIN('01_Criterios'!$C$10,MAX('01_Criterios'!$C$9,'01_Criterios'!$C$9+('01_Criterios'!$C$10-'01_Criterios'!$C$9)*('04_Dados_Ajustados'!P87-'03_Base_Indice'!$H87)/('03_Base_Indice'!$I87-'03_Base_Indice'!$H87))),MIN('01_Criterios'!$C$10,MAX('01_Criterios'!$C$9,'01_Criterios'!$C$9+('01_Criterios'!$C$10-'01_Criterios'!$C$9)*('03_Base_Indice'!$I87-'04_Dados_Ajustados'!P87)/('03_Base_Indice'!$I87-'03_Base_Indice'!$H87))))))</f>
        <v/>
      </c>
      <c r="Q87" s="31" t="str">
        <f>IF($D87="","",IF('04_Dados_Ajustados'!Q87="","",IF('03_Base_Indice'!$G87="+",MIN('01_Criterios'!$C$10,MAX('01_Criterios'!$C$9,'01_Criterios'!$C$9+('01_Criterios'!$C$10-'01_Criterios'!$C$9)*('04_Dados_Ajustados'!Q87-'03_Base_Indice'!$H87)/('03_Base_Indice'!$I87-'03_Base_Indice'!$H87))),MIN('01_Criterios'!$C$10,MAX('01_Criterios'!$C$9,'01_Criterios'!$C$9+('01_Criterios'!$C$10-'01_Criterios'!$C$9)*('03_Base_Indice'!$I87-'04_Dados_Ajustados'!Q87)/('03_Base_Indice'!$I87-'03_Base_Indice'!$H87))))))</f>
        <v/>
      </c>
      <c r="R87" s="31" t="str">
        <f>IF($D87="","",IF('04_Dados_Ajustados'!R87="","",IF('03_Base_Indice'!$G87="+",MIN('01_Criterios'!$C$10,MAX('01_Criterios'!$C$9,'01_Criterios'!$C$9+('01_Criterios'!$C$10-'01_Criterios'!$C$9)*('04_Dados_Ajustados'!R87-'03_Base_Indice'!$H87)/('03_Base_Indice'!$I87-'03_Base_Indice'!$H87))),MIN('01_Criterios'!$C$10,MAX('01_Criterios'!$C$9,'01_Criterios'!$C$9+('01_Criterios'!$C$10-'01_Criterios'!$C$9)*('03_Base_Indice'!$I87-'04_Dados_Ajustados'!R87)/('03_Base_Indice'!$I87-'03_Base_Indice'!$H87))))))</f>
        <v/>
      </c>
      <c r="S87" s="31" t="str">
        <f>IF($D87="","",IF('04_Dados_Ajustados'!S87="","",IF('03_Base_Indice'!$G87="+",MIN('01_Criterios'!$C$10,MAX('01_Criterios'!$C$9,'01_Criterios'!$C$9+('01_Criterios'!$C$10-'01_Criterios'!$C$9)*('04_Dados_Ajustados'!S87-'03_Base_Indice'!$H87)/('03_Base_Indice'!$I87-'03_Base_Indice'!$H87))),MIN('01_Criterios'!$C$10,MAX('01_Criterios'!$C$9,'01_Criterios'!$C$9+('01_Criterios'!$C$10-'01_Criterios'!$C$9)*('03_Base_Indice'!$I87-'04_Dados_Ajustados'!S87)/('03_Base_Indice'!$I87-'03_Base_Indice'!$H87))))))</f>
        <v/>
      </c>
      <c r="T87" s="31" t="str">
        <f>IF($D87="","",IF('04_Dados_Ajustados'!T87="","",IF('03_Base_Indice'!$G87="+",MIN('01_Criterios'!$C$10,MAX('01_Criterios'!$C$9,'01_Criterios'!$C$9+('01_Criterios'!$C$10-'01_Criterios'!$C$9)*('04_Dados_Ajustados'!T87-'03_Base_Indice'!$H87)/('03_Base_Indice'!$I87-'03_Base_Indice'!$H87))),MIN('01_Criterios'!$C$10,MAX('01_Criterios'!$C$9,'01_Criterios'!$C$9+('01_Criterios'!$C$10-'01_Criterios'!$C$9)*('03_Base_Indice'!$I87-'04_Dados_Ajustados'!T87)/('03_Base_Indice'!$I87-'03_Base_Indice'!$H87))))))</f>
        <v/>
      </c>
      <c r="U87" s="31" t="str">
        <f>IF($D87="","",IF('04_Dados_Ajustados'!U87="","",IF('03_Base_Indice'!$G87="+",MIN('01_Criterios'!$C$10,MAX('01_Criterios'!$C$9,'01_Criterios'!$C$9+('01_Criterios'!$C$10-'01_Criterios'!$C$9)*('04_Dados_Ajustados'!U87-'03_Base_Indice'!$H87)/('03_Base_Indice'!$I87-'03_Base_Indice'!$H87))),MIN('01_Criterios'!$C$10,MAX('01_Criterios'!$C$9,'01_Criterios'!$C$9+('01_Criterios'!$C$10-'01_Criterios'!$C$9)*('03_Base_Indice'!$I87-'04_Dados_Ajustados'!U87)/('03_Base_Indice'!$I87-'03_Base_Indice'!$H87))))))</f>
        <v/>
      </c>
    </row>
    <row r="88" spans="1:21">
      <c r="A88" s="6" t="str">
        <f>IF('03_Base_Indice'!$A88="","",'03_Base_Indice'!$A88)</f>
        <v>9. Ambiente, Clima e Resiliência</v>
      </c>
      <c r="B88" s="6">
        <f>'03_Base_Indice'!$B88</f>
        <v>4</v>
      </c>
      <c r="D88" s="6" t="str">
        <f>IF('03_Base_Indice'!$D88="","",'03_Base_Indice'!$D88)</f>
        <v/>
      </c>
      <c r="E88" s="6" t="str">
        <f>IF('03_Base_Indice'!$E88="","",'03_Base_Indice'!$E88)</f>
        <v/>
      </c>
      <c r="G88" s="20" t="str">
        <f>IF('03_Base_Indice'!$G88="","",'03_Base_Indice'!$G88)</f>
        <v/>
      </c>
      <c r="K88" s="31" t="str">
        <f>IF($D88="","",IF('04_Dados_Ajustados'!K88="","",IF('03_Base_Indice'!$G88="+",MIN('01_Criterios'!$C$10,MAX('01_Criterios'!$C$9,'01_Criterios'!$C$9+('01_Criterios'!$C$10-'01_Criterios'!$C$9)*('04_Dados_Ajustados'!K88-'03_Base_Indice'!$H88)/('03_Base_Indice'!$I88-'03_Base_Indice'!$H88))),MIN('01_Criterios'!$C$10,MAX('01_Criterios'!$C$9,'01_Criterios'!$C$9+('01_Criterios'!$C$10-'01_Criterios'!$C$9)*('03_Base_Indice'!$I88-'04_Dados_Ajustados'!K88)/('03_Base_Indice'!$I88-'03_Base_Indice'!$H88))))))</f>
        <v/>
      </c>
      <c r="L88" s="31" t="str">
        <f>IF($D88="","",IF('04_Dados_Ajustados'!L88="","",IF('03_Base_Indice'!$G88="+",MIN('01_Criterios'!$C$10,MAX('01_Criterios'!$C$9,'01_Criterios'!$C$9+('01_Criterios'!$C$10-'01_Criterios'!$C$9)*('04_Dados_Ajustados'!L88-'03_Base_Indice'!$H88)/('03_Base_Indice'!$I88-'03_Base_Indice'!$H88))),MIN('01_Criterios'!$C$10,MAX('01_Criterios'!$C$9,'01_Criterios'!$C$9+('01_Criterios'!$C$10-'01_Criterios'!$C$9)*('03_Base_Indice'!$I88-'04_Dados_Ajustados'!L88)/('03_Base_Indice'!$I88-'03_Base_Indice'!$H88))))))</f>
        <v/>
      </c>
      <c r="M88" s="31" t="str">
        <f>IF($D88="","",IF('04_Dados_Ajustados'!M88="","",IF('03_Base_Indice'!$G88="+",MIN('01_Criterios'!$C$10,MAX('01_Criterios'!$C$9,'01_Criterios'!$C$9+('01_Criterios'!$C$10-'01_Criterios'!$C$9)*('04_Dados_Ajustados'!M88-'03_Base_Indice'!$H88)/('03_Base_Indice'!$I88-'03_Base_Indice'!$H88))),MIN('01_Criterios'!$C$10,MAX('01_Criterios'!$C$9,'01_Criterios'!$C$9+('01_Criterios'!$C$10-'01_Criterios'!$C$9)*('03_Base_Indice'!$I88-'04_Dados_Ajustados'!M88)/('03_Base_Indice'!$I88-'03_Base_Indice'!$H88))))))</f>
        <v/>
      </c>
      <c r="N88" s="31" t="str">
        <f>IF($D88="","",IF('04_Dados_Ajustados'!N88="","",IF('03_Base_Indice'!$G88="+",MIN('01_Criterios'!$C$10,MAX('01_Criterios'!$C$9,'01_Criterios'!$C$9+('01_Criterios'!$C$10-'01_Criterios'!$C$9)*('04_Dados_Ajustados'!N88-'03_Base_Indice'!$H88)/('03_Base_Indice'!$I88-'03_Base_Indice'!$H88))),MIN('01_Criterios'!$C$10,MAX('01_Criterios'!$C$9,'01_Criterios'!$C$9+('01_Criterios'!$C$10-'01_Criterios'!$C$9)*('03_Base_Indice'!$I88-'04_Dados_Ajustados'!N88)/('03_Base_Indice'!$I88-'03_Base_Indice'!$H88))))))</f>
        <v/>
      </c>
      <c r="O88" s="31" t="str">
        <f>IF($D88="","",IF('04_Dados_Ajustados'!O88="","",IF('03_Base_Indice'!$G88="+",MIN('01_Criterios'!$C$10,MAX('01_Criterios'!$C$9,'01_Criterios'!$C$9+('01_Criterios'!$C$10-'01_Criterios'!$C$9)*('04_Dados_Ajustados'!O88-'03_Base_Indice'!$H88)/('03_Base_Indice'!$I88-'03_Base_Indice'!$H88))),MIN('01_Criterios'!$C$10,MAX('01_Criterios'!$C$9,'01_Criterios'!$C$9+('01_Criterios'!$C$10-'01_Criterios'!$C$9)*('03_Base_Indice'!$I88-'04_Dados_Ajustados'!O88)/('03_Base_Indice'!$I88-'03_Base_Indice'!$H88))))))</f>
        <v/>
      </c>
      <c r="P88" s="31" t="str">
        <f>IF($D88="","",IF('04_Dados_Ajustados'!P88="","",IF('03_Base_Indice'!$G88="+",MIN('01_Criterios'!$C$10,MAX('01_Criterios'!$C$9,'01_Criterios'!$C$9+('01_Criterios'!$C$10-'01_Criterios'!$C$9)*('04_Dados_Ajustados'!P88-'03_Base_Indice'!$H88)/('03_Base_Indice'!$I88-'03_Base_Indice'!$H88))),MIN('01_Criterios'!$C$10,MAX('01_Criterios'!$C$9,'01_Criterios'!$C$9+('01_Criterios'!$C$10-'01_Criterios'!$C$9)*('03_Base_Indice'!$I88-'04_Dados_Ajustados'!P88)/('03_Base_Indice'!$I88-'03_Base_Indice'!$H88))))))</f>
        <v/>
      </c>
      <c r="Q88" s="31" t="str">
        <f>IF($D88="","",IF('04_Dados_Ajustados'!Q88="","",IF('03_Base_Indice'!$G88="+",MIN('01_Criterios'!$C$10,MAX('01_Criterios'!$C$9,'01_Criterios'!$C$9+('01_Criterios'!$C$10-'01_Criterios'!$C$9)*('04_Dados_Ajustados'!Q88-'03_Base_Indice'!$H88)/('03_Base_Indice'!$I88-'03_Base_Indice'!$H88))),MIN('01_Criterios'!$C$10,MAX('01_Criterios'!$C$9,'01_Criterios'!$C$9+('01_Criterios'!$C$10-'01_Criterios'!$C$9)*('03_Base_Indice'!$I88-'04_Dados_Ajustados'!Q88)/('03_Base_Indice'!$I88-'03_Base_Indice'!$H88))))))</f>
        <v/>
      </c>
      <c r="R88" s="31" t="str">
        <f>IF($D88="","",IF('04_Dados_Ajustados'!R88="","",IF('03_Base_Indice'!$G88="+",MIN('01_Criterios'!$C$10,MAX('01_Criterios'!$C$9,'01_Criterios'!$C$9+('01_Criterios'!$C$10-'01_Criterios'!$C$9)*('04_Dados_Ajustados'!R88-'03_Base_Indice'!$H88)/('03_Base_Indice'!$I88-'03_Base_Indice'!$H88))),MIN('01_Criterios'!$C$10,MAX('01_Criterios'!$C$9,'01_Criterios'!$C$9+('01_Criterios'!$C$10-'01_Criterios'!$C$9)*('03_Base_Indice'!$I88-'04_Dados_Ajustados'!R88)/('03_Base_Indice'!$I88-'03_Base_Indice'!$H88))))))</f>
        <v/>
      </c>
      <c r="S88" s="31" t="str">
        <f>IF($D88="","",IF('04_Dados_Ajustados'!S88="","",IF('03_Base_Indice'!$G88="+",MIN('01_Criterios'!$C$10,MAX('01_Criterios'!$C$9,'01_Criterios'!$C$9+('01_Criterios'!$C$10-'01_Criterios'!$C$9)*('04_Dados_Ajustados'!S88-'03_Base_Indice'!$H88)/('03_Base_Indice'!$I88-'03_Base_Indice'!$H88))),MIN('01_Criterios'!$C$10,MAX('01_Criterios'!$C$9,'01_Criterios'!$C$9+('01_Criterios'!$C$10-'01_Criterios'!$C$9)*('03_Base_Indice'!$I88-'04_Dados_Ajustados'!S88)/('03_Base_Indice'!$I88-'03_Base_Indice'!$H88))))))</f>
        <v/>
      </c>
      <c r="T88" s="31" t="str">
        <f>IF($D88="","",IF('04_Dados_Ajustados'!T88="","",IF('03_Base_Indice'!$G88="+",MIN('01_Criterios'!$C$10,MAX('01_Criterios'!$C$9,'01_Criterios'!$C$9+('01_Criterios'!$C$10-'01_Criterios'!$C$9)*('04_Dados_Ajustados'!T88-'03_Base_Indice'!$H88)/('03_Base_Indice'!$I88-'03_Base_Indice'!$H88))),MIN('01_Criterios'!$C$10,MAX('01_Criterios'!$C$9,'01_Criterios'!$C$9+('01_Criterios'!$C$10-'01_Criterios'!$C$9)*('03_Base_Indice'!$I88-'04_Dados_Ajustados'!T88)/('03_Base_Indice'!$I88-'03_Base_Indice'!$H88))))))</f>
        <v/>
      </c>
      <c r="U88" s="31" t="str">
        <f>IF($D88="","",IF('04_Dados_Ajustados'!U88="","",IF('03_Base_Indice'!$G88="+",MIN('01_Criterios'!$C$10,MAX('01_Criterios'!$C$9,'01_Criterios'!$C$9+('01_Criterios'!$C$10-'01_Criterios'!$C$9)*('04_Dados_Ajustados'!U88-'03_Base_Indice'!$H88)/('03_Base_Indice'!$I88-'03_Base_Indice'!$H88))),MIN('01_Criterios'!$C$10,MAX('01_Criterios'!$C$9,'01_Criterios'!$C$9+('01_Criterios'!$C$10-'01_Criterios'!$C$9)*('03_Base_Indice'!$I88-'04_Dados_Ajustados'!U88)/('03_Base_Indice'!$I88-'03_Base_Indice'!$H88))))))</f>
        <v/>
      </c>
    </row>
    <row r="89" spans="1:21">
      <c r="A89" s="6" t="str">
        <f>IF('03_Base_Indice'!$A89="","",'03_Base_Indice'!$A89)</f>
        <v>9. Ambiente, Clima e Resiliência</v>
      </c>
      <c r="B89" s="6">
        <f>'03_Base_Indice'!$B89</f>
        <v>5</v>
      </c>
      <c r="D89" s="6" t="str">
        <f>IF('03_Base_Indice'!$D89="","",'03_Base_Indice'!$D89)</f>
        <v/>
      </c>
      <c r="E89" s="6" t="str">
        <f>IF('03_Base_Indice'!$E89="","",'03_Base_Indice'!$E89)</f>
        <v/>
      </c>
      <c r="G89" s="20" t="str">
        <f>IF('03_Base_Indice'!$G89="","",'03_Base_Indice'!$G89)</f>
        <v/>
      </c>
      <c r="K89" s="31" t="str">
        <f>IF($D89="","",IF('04_Dados_Ajustados'!K89="","",IF('03_Base_Indice'!$G89="+",MIN('01_Criterios'!$C$10,MAX('01_Criterios'!$C$9,'01_Criterios'!$C$9+('01_Criterios'!$C$10-'01_Criterios'!$C$9)*('04_Dados_Ajustados'!K89-'03_Base_Indice'!$H89)/('03_Base_Indice'!$I89-'03_Base_Indice'!$H89))),MIN('01_Criterios'!$C$10,MAX('01_Criterios'!$C$9,'01_Criterios'!$C$9+('01_Criterios'!$C$10-'01_Criterios'!$C$9)*('03_Base_Indice'!$I89-'04_Dados_Ajustados'!K89)/('03_Base_Indice'!$I89-'03_Base_Indice'!$H89))))))</f>
        <v/>
      </c>
      <c r="L89" s="31" t="str">
        <f>IF($D89="","",IF('04_Dados_Ajustados'!L89="","",IF('03_Base_Indice'!$G89="+",MIN('01_Criterios'!$C$10,MAX('01_Criterios'!$C$9,'01_Criterios'!$C$9+('01_Criterios'!$C$10-'01_Criterios'!$C$9)*('04_Dados_Ajustados'!L89-'03_Base_Indice'!$H89)/('03_Base_Indice'!$I89-'03_Base_Indice'!$H89))),MIN('01_Criterios'!$C$10,MAX('01_Criterios'!$C$9,'01_Criterios'!$C$9+('01_Criterios'!$C$10-'01_Criterios'!$C$9)*('03_Base_Indice'!$I89-'04_Dados_Ajustados'!L89)/('03_Base_Indice'!$I89-'03_Base_Indice'!$H89))))))</f>
        <v/>
      </c>
      <c r="M89" s="31" t="str">
        <f>IF($D89="","",IF('04_Dados_Ajustados'!M89="","",IF('03_Base_Indice'!$G89="+",MIN('01_Criterios'!$C$10,MAX('01_Criterios'!$C$9,'01_Criterios'!$C$9+('01_Criterios'!$C$10-'01_Criterios'!$C$9)*('04_Dados_Ajustados'!M89-'03_Base_Indice'!$H89)/('03_Base_Indice'!$I89-'03_Base_Indice'!$H89))),MIN('01_Criterios'!$C$10,MAX('01_Criterios'!$C$9,'01_Criterios'!$C$9+('01_Criterios'!$C$10-'01_Criterios'!$C$9)*('03_Base_Indice'!$I89-'04_Dados_Ajustados'!M89)/('03_Base_Indice'!$I89-'03_Base_Indice'!$H89))))))</f>
        <v/>
      </c>
      <c r="N89" s="31" t="str">
        <f>IF($D89="","",IF('04_Dados_Ajustados'!N89="","",IF('03_Base_Indice'!$G89="+",MIN('01_Criterios'!$C$10,MAX('01_Criterios'!$C$9,'01_Criterios'!$C$9+('01_Criterios'!$C$10-'01_Criterios'!$C$9)*('04_Dados_Ajustados'!N89-'03_Base_Indice'!$H89)/('03_Base_Indice'!$I89-'03_Base_Indice'!$H89))),MIN('01_Criterios'!$C$10,MAX('01_Criterios'!$C$9,'01_Criterios'!$C$9+('01_Criterios'!$C$10-'01_Criterios'!$C$9)*('03_Base_Indice'!$I89-'04_Dados_Ajustados'!N89)/('03_Base_Indice'!$I89-'03_Base_Indice'!$H89))))))</f>
        <v/>
      </c>
      <c r="O89" s="31" t="str">
        <f>IF($D89="","",IF('04_Dados_Ajustados'!O89="","",IF('03_Base_Indice'!$G89="+",MIN('01_Criterios'!$C$10,MAX('01_Criterios'!$C$9,'01_Criterios'!$C$9+('01_Criterios'!$C$10-'01_Criterios'!$C$9)*('04_Dados_Ajustados'!O89-'03_Base_Indice'!$H89)/('03_Base_Indice'!$I89-'03_Base_Indice'!$H89))),MIN('01_Criterios'!$C$10,MAX('01_Criterios'!$C$9,'01_Criterios'!$C$9+('01_Criterios'!$C$10-'01_Criterios'!$C$9)*('03_Base_Indice'!$I89-'04_Dados_Ajustados'!O89)/('03_Base_Indice'!$I89-'03_Base_Indice'!$H89))))))</f>
        <v/>
      </c>
      <c r="P89" s="31" t="str">
        <f>IF($D89="","",IF('04_Dados_Ajustados'!P89="","",IF('03_Base_Indice'!$G89="+",MIN('01_Criterios'!$C$10,MAX('01_Criterios'!$C$9,'01_Criterios'!$C$9+('01_Criterios'!$C$10-'01_Criterios'!$C$9)*('04_Dados_Ajustados'!P89-'03_Base_Indice'!$H89)/('03_Base_Indice'!$I89-'03_Base_Indice'!$H89))),MIN('01_Criterios'!$C$10,MAX('01_Criterios'!$C$9,'01_Criterios'!$C$9+('01_Criterios'!$C$10-'01_Criterios'!$C$9)*('03_Base_Indice'!$I89-'04_Dados_Ajustados'!P89)/('03_Base_Indice'!$I89-'03_Base_Indice'!$H89))))))</f>
        <v/>
      </c>
      <c r="Q89" s="31" t="str">
        <f>IF($D89="","",IF('04_Dados_Ajustados'!Q89="","",IF('03_Base_Indice'!$G89="+",MIN('01_Criterios'!$C$10,MAX('01_Criterios'!$C$9,'01_Criterios'!$C$9+('01_Criterios'!$C$10-'01_Criterios'!$C$9)*('04_Dados_Ajustados'!Q89-'03_Base_Indice'!$H89)/('03_Base_Indice'!$I89-'03_Base_Indice'!$H89))),MIN('01_Criterios'!$C$10,MAX('01_Criterios'!$C$9,'01_Criterios'!$C$9+('01_Criterios'!$C$10-'01_Criterios'!$C$9)*('03_Base_Indice'!$I89-'04_Dados_Ajustados'!Q89)/('03_Base_Indice'!$I89-'03_Base_Indice'!$H89))))))</f>
        <v/>
      </c>
      <c r="R89" s="31" t="str">
        <f>IF($D89="","",IF('04_Dados_Ajustados'!R89="","",IF('03_Base_Indice'!$G89="+",MIN('01_Criterios'!$C$10,MAX('01_Criterios'!$C$9,'01_Criterios'!$C$9+('01_Criterios'!$C$10-'01_Criterios'!$C$9)*('04_Dados_Ajustados'!R89-'03_Base_Indice'!$H89)/('03_Base_Indice'!$I89-'03_Base_Indice'!$H89))),MIN('01_Criterios'!$C$10,MAX('01_Criterios'!$C$9,'01_Criterios'!$C$9+('01_Criterios'!$C$10-'01_Criterios'!$C$9)*('03_Base_Indice'!$I89-'04_Dados_Ajustados'!R89)/('03_Base_Indice'!$I89-'03_Base_Indice'!$H89))))))</f>
        <v/>
      </c>
      <c r="S89" s="31" t="str">
        <f>IF($D89="","",IF('04_Dados_Ajustados'!S89="","",IF('03_Base_Indice'!$G89="+",MIN('01_Criterios'!$C$10,MAX('01_Criterios'!$C$9,'01_Criterios'!$C$9+('01_Criterios'!$C$10-'01_Criterios'!$C$9)*('04_Dados_Ajustados'!S89-'03_Base_Indice'!$H89)/('03_Base_Indice'!$I89-'03_Base_Indice'!$H89))),MIN('01_Criterios'!$C$10,MAX('01_Criterios'!$C$9,'01_Criterios'!$C$9+('01_Criterios'!$C$10-'01_Criterios'!$C$9)*('03_Base_Indice'!$I89-'04_Dados_Ajustados'!S89)/('03_Base_Indice'!$I89-'03_Base_Indice'!$H89))))))</f>
        <v/>
      </c>
      <c r="T89" s="31" t="str">
        <f>IF($D89="","",IF('04_Dados_Ajustados'!T89="","",IF('03_Base_Indice'!$G89="+",MIN('01_Criterios'!$C$10,MAX('01_Criterios'!$C$9,'01_Criterios'!$C$9+('01_Criterios'!$C$10-'01_Criterios'!$C$9)*('04_Dados_Ajustados'!T89-'03_Base_Indice'!$H89)/('03_Base_Indice'!$I89-'03_Base_Indice'!$H89))),MIN('01_Criterios'!$C$10,MAX('01_Criterios'!$C$9,'01_Criterios'!$C$9+('01_Criterios'!$C$10-'01_Criterios'!$C$9)*('03_Base_Indice'!$I89-'04_Dados_Ajustados'!T89)/('03_Base_Indice'!$I89-'03_Base_Indice'!$H89))))))</f>
        <v/>
      </c>
      <c r="U89" s="31" t="str">
        <f>IF($D89="","",IF('04_Dados_Ajustados'!U89="","",IF('03_Base_Indice'!$G89="+",MIN('01_Criterios'!$C$10,MAX('01_Criterios'!$C$9,'01_Criterios'!$C$9+('01_Criterios'!$C$10-'01_Criterios'!$C$9)*('04_Dados_Ajustados'!U89-'03_Base_Indice'!$H89)/('03_Base_Indice'!$I89-'03_Base_Indice'!$H89))),MIN('01_Criterios'!$C$10,MAX('01_Criterios'!$C$9,'01_Criterios'!$C$9+('01_Criterios'!$C$10-'01_Criterios'!$C$9)*('03_Base_Indice'!$I89-'04_Dados_Ajustados'!U89)/('03_Base_Indice'!$I89-'03_Base_Indice'!$H89))))))</f>
        <v/>
      </c>
    </row>
    <row r="90" spans="1:21">
      <c r="A90" s="6" t="str">
        <f>IF('03_Base_Indice'!$A90="","",'03_Base_Indice'!$A90)</f>
        <v>9. Ambiente, Clima e Resiliência</v>
      </c>
      <c r="B90" s="6">
        <f>'03_Base_Indice'!$B90</f>
        <v>6</v>
      </c>
      <c r="D90" s="6" t="str">
        <f>IF('03_Base_Indice'!$D90="","",'03_Base_Indice'!$D90)</f>
        <v/>
      </c>
      <c r="E90" s="6" t="str">
        <f>IF('03_Base_Indice'!$E90="","",'03_Base_Indice'!$E90)</f>
        <v/>
      </c>
      <c r="G90" s="20" t="str">
        <f>IF('03_Base_Indice'!$G90="","",'03_Base_Indice'!$G90)</f>
        <v/>
      </c>
      <c r="K90" s="31" t="str">
        <f>IF($D90="","",IF('04_Dados_Ajustados'!K90="","",IF('03_Base_Indice'!$G90="+",MIN('01_Criterios'!$C$10,MAX('01_Criterios'!$C$9,'01_Criterios'!$C$9+('01_Criterios'!$C$10-'01_Criterios'!$C$9)*('04_Dados_Ajustados'!K90-'03_Base_Indice'!$H90)/('03_Base_Indice'!$I90-'03_Base_Indice'!$H90))),MIN('01_Criterios'!$C$10,MAX('01_Criterios'!$C$9,'01_Criterios'!$C$9+('01_Criterios'!$C$10-'01_Criterios'!$C$9)*('03_Base_Indice'!$I90-'04_Dados_Ajustados'!K90)/('03_Base_Indice'!$I90-'03_Base_Indice'!$H90))))))</f>
        <v/>
      </c>
      <c r="L90" s="31" t="str">
        <f>IF($D90="","",IF('04_Dados_Ajustados'!L90="","",IF('03_Base_Indice'!$G90="+",MIN('01_Criterios'!$C$10,MAX('01_Criterios'!$C$9,'01_Criterios'!$C$9+('01_Criterios'!$C$10-'01_Criterios'!$C$9)*('04_Dados_Ajustados'!L90-'03_Base_Indice'!$H90)/('03_Base_Indice'!$I90-'03_Base_Indice'!$H90))),MIN('01_Criterios'!$C$10,MAX('01_Criterios'!$C$9,'01_Criterios'!$C$9+('01_Criterios'!$C$10-'01_Criterios'!$C$9)*('03_Base_Indice'!$I90-'04_Dados_Ajustados'!L90)/('03_Base_Indice'!$I90-'03_Base_Indice'!$H90))))))</f>
        <v/>
      </c>
      <c r="M90" s="31" t="str">
        <f>IF($D90="","",IF('04_Dados_Ajustados'!M90="","",IF('03_Base_Indice'!$G90="+",MIN('01_Criterios'!$C$10,MAX('01_Criterios'!$C$9,'01_Criterios'!$C$9+('01_Criterios'!$C$10-'01_Criterios'!$C$9)*('04_Dados_Ajustados'!M90-'03_Base_Indice'!$H90)/('03_Base_Indice'!$I90-'03_Base_Indice'!$H90))),MIN('01_Criterios'!$C$10,MAX('01_Criterios'!$C$9,'01_Criterios'!$C$9+('01_Criterios'!$C$10-'01_Criterios'!$C$9)*('03_Base_Indice'!$I90-'04_Dados_Ajustados'!M90)/('03_Base_Indice'!$I90-'03_Base_Indice'!$H90))))))</f>
        <v/>
      </c>
      <c r="N90" s="31" t="str">
        <f>IF($D90="","",IF('04_Dados_Ajustados'!N90="","",IF('03_Base_Indice'!$G90="+",MIN('01_Criterios'!$C$10,MAX('01_Criterios'!$C$9,'01_Criterios'!$C$9+('01_Criterios'!$C$10-'01_Criterios'!$C$9)*('04_Dados_Ajustados'!N90-'03_Base_Indice'!$H90)/('03_Base_Indice'!$I90-'03_Base_Indice'!$H90))),MIN('01_Criterios'!$C$10,MAX('01_Criterios'!$C$9,'01_Criterios'!$C$9+('01_Criterios'!$C$10-'01_Criterios'!$C$9)*('03_Base_Indice'!$I90-'04_Dados_Ajustados'!N90)/('03_Base_Indice'!$I90-'03_Base_Indice'!$H90))))))</f>
        <v/>
      </c>
      <c r="O90" s="31" t="str">
        <f>IF($D90="","",IF('04_Dados_Ajustados'!O90="","",IF('03_Base_Indice'!$G90="+",MIN('01_Criterios'!$C$10,MAX('01_Criterios'!$C$9,'01_Criterios'!$C$9+('01_Criterios'!$C$10-'01_Criterios'!$C$9)*('04_Dados_Ajustados'!O90-'03_Base_Indice'!$H90)/('03_Base_Indice'!$I90-'03_Base_Indice'!$H90))),MIN('01_Criterios'!$C$10,MAX('01_Criterios'!$C$9,'01_Criterios'!$C$9+('01_Criterios'!$C$10-'01_Criterios'!$C$9)*('03_Base_Indice'!$I90-'04_Dados_Ajustados'!O90)/('03_Base_Indice'!$I90-'03_Base_Indice'!$H90))))))</f>
        <v/>
      </c>
      <c r="P90" s="31" t="str">
        <f>IF($D90="","",IF('04_Dados_Ajustados'!P90="","",IF('03_Base_Indice'!$G90="+",MIN('01_Criterios'!$C$10,MAX('01_Criterios'!$C$9,'01_Criterios'!$C$9+('01_Criterios'!$C$10-'01_Criterios'!$C$9)*('04_Dados_Ajustados'!P90-'03_Base_Indice'!$H90)/('03_Base_Indice'!$I90-'03_Base_Indice'!$H90))),MIN('01_Criterios'!$C$10,MAX('01_Criterios'!$C$9,'01_Criterios'!$C$9+('01_Criterios'!$C$10-'01_Criterios'!$C$9)*('03_Base_Indice'!$I90-'04_Dados_Ajustados'!P90)/('03_Base_Indice'!$I90-'03_Base_Indice'!$H90))))))</f>
        <v/>
      </c>
      <c r="Q90" s="31" t="str">
        <f>IF($D90="","",IF('04_Dados_Ajustados'!Q90="","",IF('03_Base_Indice'!$G90="+",MIN('01_Criterios'!$C$10,MAX('01_Criterios'!$C$9,'01_Criterios'!$C$9+('01_Criterios'!$C$10-'01_Criterios'!$C$9)*('04_Dados_Ajustados'!Q90-'03_Base_Indice'!$H90)/('03_Base_Indice'!$I90-'03_Base_Indice'!$H90))),MIN('01_Criterios'!$C$10,MAX('01_Criterios'!$C$9,'01_Criterios'!$C$9+('01_Criterios'!$C$10-'01_Criterios'!$C$9)*('03_Base_Indice'!$I90-'04_Dados_Ajustados'!Q90)/('03_Base_Indice'!$I90-'03_Base_Indice'!$H90))))))</f>
        <v/>
      </c>
      <c r="R90" s="31" t="str">
        <f>IF($D90="","",IF('04_Dados_Ajustados'!R90="","",IF('03_Base_Indice'!$G90="+",MIN('01_Criterios'!$C$10,MAX('01_Criterios'!$C$9,'01_Criterios'!$C$9+('01_Criterios'!$C$10-'01_Criterios'!$C$9)*('04_Dados_Ajustados'!R90-'03_Base_Indice'!$H90)/('03_Base_Indice'!$I90-'03_Base_Indice'!$H90))),MIN('01_Criterios'!$C$10,MAX('01_Criterios'!$C$9,'01_Criterios'!$C$9+('01_Criterios'!$C$10-'01_Criterios'!$C$9)*('03_Base_Indice'!$I90-'04_Dados_Ajustados'!R90)/('03_Base_Indice'!$I90-'03_Base_Indice'!$H90))))))</f>
        <v/>
      </c>
      <c r="S90" s="31" t="str">
        <f>IF($D90="","",IF('04_Dados_Ajustados'!S90="","",IF('03_Base_Indice'!$G90="+",MIN('01_Criterios'!$C$10,MAX('01_Criterios'!$C$9,'01_Criterios'!$C$9+('01_Criterios'!$C$10-'01_Criterios'!$C$9)*('04_Dados_Ajustados'!S90-'03_Base_Indice'!$H90)/('03_Base_Indice'!$I90-'03_Base_Indice'!$H90))),MIN('01_Criterios'!$C$10,MAX('01_Criterios'!$C$9,'01_Criterios'!$C$9+('01_Criterios'!$C$10-'01_Criterios'!$C$9)*('03_Base_Indice'!$I90-'04_Dados_Ajustados'!S90)/('03_Base_Indice'!$I90-'03_Base_Indice'!$H90))))))</f>
        <v/>
      </c>
      <c r="T90" s="31" t="str">
        <f>IF($D90="","",IF('04_Dados_Ajustados'!T90="","",IF('03_Base_Indice'!$G90="+",MIN('01_Criterios'!$C$10,MAX('01_Criterios'!$C$9,'01_Criterios'!$C$9+('01_Criterios'!$C$10-'01_Criterios'!$C$9)*('04_Dados_Ajustados'!T90-'03_Base_Indice'!$H90)/('03_Base_Indice'!$I90-'03_Base_Indice'!$H90))),MIN('01_Criterios'!$C$10,MAX('01_Criterios'!$C$9,'01_Criterios'!$C$9+('01_Criterios'!$C$10-'01_Criterios'!$C$9)*('03_Base_Indice'!$I90-'04_Dados_Ajustados'!T90)/('03_Base_Indice'!$I90-'03_Base_Indice'!$H90))))))</f>
        <v/>
      </c>
      <c r="U90" s="31" t="str">
        <f>IF($D90="","",IF('04_Dados_Ajustados'!U90="","",IF('03_Base_Indice'!$G90="+",MIN('01_Criterios'!$C$10,MAX('01_Criterios'!$C$9,'01_Criterios'!$C$9+('01_Criterios'!$C$10-'01_Criterios'!$C$9)*('04_Dados_Ajustados'!U90-'03_Base_Indice'!$H90)/('03_Base_Indice'!$I90-'03_Base_Indice'!$H90))),MIN('01_Criterios'!$C$10,MAX('01_Criterios'!$C$9,'01_Criterios'!$C$9+('01_Criterios'!$C$10-'01_Criterios'!$C$9)*('03_Base_Indice'!$I90-'04_Dados_Ajustados'!U90)/('03_Base_Indice'!$I90-'03_Base_Indice'!$H90))))))</f>
        <v/>
      </c>
    </row>
    <row r="91" spans="1:21">
      <c r="A91" s="6" t="str">
        <f>IF('03_Base_Indice'!$A91="","",'03_Base_Indice'!$A91)</f>
        <v>9. Ambiente, Clima e Resiliência</v>
      </c>
      <c r="B91" s="6">
        <f>'03_Base_Indice'!$B91</f>
        <v>7</v>
      </c>
      <c r="D91" s="6" t="str">
        <f>IF('03_Base_Indice'!$D91="","",'03_Base_Indice'!$D91)</f>
        <v/>
      </c>
      <c r="E91" s="6" t="str">
        <f>IF('03_Base_Indice'!$E91="","",'03_Base_Indice'!$E91)</f>
        <v/>
      </c>
      <c r="G91" s="20" t="str">
        <f>IF('03_Base_Indice'!$G91="","",'03_Base_Indice'!$G91)</f>
        <v/>
      </c>
      <c r="K91" s="31" t="str">
        <f>IF($D91="","",IF('04_Dados_Ajustados'!K91="","",IF('03_Base_Indice'!$G91="+",MIN('01_Criterios'!$C$10,MAX('01_Criterios'!$C$9,'01_Criterios'!$C$9+('01_Criterios'!$C$10-'01_Criterios'!$C$9)*('04_Dados_Ajustados'!K91-'03_Base_Indice'!$H91)/('03_Base_Indice'!$I91-'03_Base_Indice'!$H91))),MIN('01_Criterios'!$C$10,MAX('01_Criterios'!$C$9,'01_Criterios'!$C$9+('01_Criterios'!$C$10-'01_Criterios'!$C$9)*('03_Base_Indice'!$I91-'04_Dados_Ajustados'!K91)/('03_Base_Indice'!$I91-'03_Base_Indice'!$H91))))))</f>
        <v/>
      </c>
      <c r="L91" s="31" t="str">
        <f>IF($D91="","",IF('04_Dados_Ajustados'!L91="","",IF('03_Base_Indice'!$G91="+",MIN('01_Criterios'!$C$10,MAX('01_Criterios'!$C$9,'01_Criterios'!$C$9+('01_Criterios'!$C$10-'01_Criterios'!$C$9)*('04_Dados_Ajustados'!L91-'03_Base_Indice'!$H91)/('03_Base_Indice'!$I91-'03_Base_Indice'!$H91))),MIN('01_Criterios'!$C$10,MAX('01_Criterios'!$C$9,'01_Criterios'!$C$9+('01_Criterios'!$C$10-'01_Criterios'!$C$9)*('03_Base_Indice'!$I91-'04_Dados_Ajustados'!L91)/('03_Base_Indice'!$I91-'03_Base_Indice'!$H91))))))</f>
        <v/>
      </c>
      <c r="M91" s="31" t="str">
        <f>IF($D91="","",IF('04_Dados_Ajustados'!M91="","",IF('03_Base_Indice'!$G91="+",MIN('01_Criterios'!$C$10,MAX('01_Criterios'!$C$9,'01_Criterios'!$C$9+('01_Criterios'!$C$10-'01_Criterios'!$C$9)*('04_Dados_Ajustados'!M91-'03_Base_Indice'!$H91)/('03_Base_Indice'!$I91-'03_Base_Indice'!$H91))),MIN('01_Criterios'!$C$10,MAX('01_Criterios'!$C$9,'01_Criterios'!$C$9+('01_Criterios'!$C$10-'01_Criterios'!$C$9)*('03_Base_Indice'!$I91-'04_Dados_Ajustados'!M91)/('03_Base_Indice'!$I91-'03_Base_Indice'!$H91))))))</f>
        <v/>
      </c>
      <c r="N91" s="31" t="str">
        <f>IF($D91="","",IF('04_Dados_Ajustados'!N91="","",IF('03_Base_Indice'!$G91="+",MIN('01_Criterios'!$C$10,MAX('01_Criterios'!$C$9,'01_Criterios'!$C$9+('01_Criterios'!$C$10-'01_Criterios'!$C$9)*('04_Dados_Ajustados'!N91-'03_Base_Indice'!$H91)/('03_Base_Indice'!$I91-'03_Base_Indice'!$H91))),MIN('01_Criterios'!$C$10,MAX('01_Criterios'!$C$9,'01_Criterios'!$C$9+('01_Criterios'!$C$10-'01_Criterios'!$C$9)*('03_Base_Indice'!$I91-'04_Dados_Ajustados'!N91)/('03_Base_Indice'!$I91-'03_Base_Indice'!$H91))))))</f>
        <v/>
      </c>
      <c r="O91" s="31" t="str">
        <f>IF($D91="","",IF('04_Dados_Ajustados'!O91="","",IF('03_Base_Indice'!$G91="+",MIN('01_Criterios'!$C$10,MAX('01_Criterios'!$C$9,'01_Criterios'!$C$9+('01_Criterios'!$C$10-'01_Criterios'!$C$9)*('04_Dados_Ajustados'!O91-'03_Base_Indice'!$H91)/('03_Base_Indice'!$I91-'03_Base_Indice'!$H91))),MIN('01_Criterios'!$C$10,MAX('01_Criterios'!$C$9,'01_Criterios'!$C$9+('01_Criterios'!$C$10-'01_Criterios'!$C$9)*('03_Base_Indice'!$I91-'04_Dados_Ajustados'!O91)/('03_Base_Indice'!$I91-'03_Base_Indice'!$H91))))))</f>
        <v/>
      </c>
      <c r="P91" s="31" t="str">
        <f>IF($D91="","",IF('04_Dados_Ajustados'!P91="","",IF('03_Base_Indice'!$G91="+",MIN('01_Criterios'!$C$10,MAX('01_Criterios'!$C$9,'01_Criterios'!$C$9+('01_Criterios'!$C$10-'01_Criterios'!$C$9)*('04_Dados_Ajustados'!P91-'03_Base_Indice'!$H91)/('03_Base_Indice'!$I91-'03_Base_Indice'!$H91))),MIN('01_Criterios'!$C$10,MAX('01_Criterios'!$C$9,'01_Criterios'!$C$9+('01_Criterios'!$C$10-'01_Criterios'!$C$9)*('03_Base_Indice'!$I91-'04_Dados_Ajustados'!P91)/('03_Base_Indice'!$I91-'03_Base_Indice'!$H91))))))</f>
        <v/>
      </c>
      <c r="Q91" s="31" t="str">
        <f>IF($D91="","",IF('04_Dados_Ajustados'!Q91="","",IF('03_Base_Indice'!$G91="+",MIN('01_Criterios'!$C$10,MAX('01_Criterios'!$C$9,'01_Criterios'!$C$9+('01_Criterios'!$C$10-'01_Criterios'!$C$9)*('04_Dados_Ajustados'!Q91-'03_Base_Indice'!$H91)/('03_Base_Indice'!$I91-'03_Base_Indice'!$H91))),MIN('01_Criterios'!$C$10,MAX('01_Criterios'!$C$9,'01_Criterios'!$C$9+('01_Criterios'!$C$10-'01_Criterios'!$C$9)*('03_Base_Indice'!$I91-'04_Dados_Ajustados'!Q91)/('03_Base_Indice'!$I91-'03_Base_Indice'!$H91))))))</f>
        <v/>
      </c>
      <c r="R91" s="31" t="str">
        <f>IF($D91="","",IF('04_Dados_Ajustados'!R91="","",IF('03_Base_Indice'!$G91="+",MIN('01_Criterios'!$C$10,MAX('01_Criterios'!$C$9,'01_Criterios'!$C$9+('01_Criterios'!$C$10-'01_Criterios'!$C$9)*('04_Dados_Ajustados'!R91-'03_Base_Indice'!$H91)/('03_Base_Indice'!$I91-'03_Base_Indice'!$H91))),MIN('01_Criterios'!$C$10,MAX('01_Criterios'!$C$9,'01_Criterios'!$C$9+('01_Criterios'!$C$10-'01_Criterios'!$C$9)*('03_Base_Indice'!$I91-'04_Dados_Ajustados'!R91)/('03_Base_Indice'!$I91-'03_Base_Indice'!$H91))))))</f>
        <v/>
      </c>
      <c r="S91" s="31" t="str">
        <f>IF($D91="","",IF('04_Dados_Ajustados'!S91="","",IF('03_Base_Indice'!$G91="+",MIN('01_Criterios'!$C$10,MAX('01_Criterios'!$C$9,'01_Criterios'!$C$9+('01_Criterios'!$C$10-'01_Criterios'!$C$9)*('04_Dados_Ajustados'!S91-'03_Base_Indice'!$H91)/('03_Base_Indice'!$I91-'03_Base_Indice'!$H91))),MIN('01_Criterios'!$C$10,MAX('01_Criterios'!$C$9,'01_Criterios'!$C$9+('01_Criterios'!$C$10-'01_Criterios'!$C$9)*('03_Base_Indice'!$I91-'04_Dados_Ajustados'!S91)/('03_Base_Indice'!$I91-'03_Base_Indice'!$H91))))))</f>
        <v/>
      </c>
      <c r="T91" s="31" t="str">
        <f>IF($D91="","",IF('04_Dados_Ajustados'!T91="","",IF('03_Base_Indice'!$G91="+",MIN('01_Criterios'!$C$10,MAX('01_Criterios'!$C$9,'01_Criterios'!$C$9+('01_Criterios'!$C$10-'01_Criterios'!$C$9)*('04_Dados_Ajustados'!T91-'03_Base_Indice'!$H91)/('03_Base_Indice'!$I91-'03_Base_Indice'!$H91))),MIN('01_Criterios'!$C$10,MAX('01_Criterios'!$C$9,'01_Criterios'!$C$9+('01_Criterios'!$C$10-'01_Criterios'!$C$9)*('03_Base_Indice'!$I91-'04_Dados_Ajustados'!T91)/('03_Base_Indice'!$I91-'03_Base_Indice'!$H91))))))</f>
        <v/>
      </c>
      <c r="U91" s="31" t="str">
        <f>IF($D91="","",IF('04_Dados_Ajustados'!U91="","",IF('03_Base_Indice'!$G91="+",MIN('01_Criterios'!$C$10,MAX('01_Criterios'!$C$9,'01_Criterios'!$C$9+('01_Criterios'!$C$10-'01_Criterios'!$C$9)*('04_Dados_Ajustados'!U91-'03_Base_Indice'!$H91)/('03_Base_Indice'!$I91-'03_Base_Indice'!$H91))),MIN('01_Criterios'!$C$10,MAX('01_Criterios'!$C$9,'01_Criterios'!$C$9+('01_Criterios'!$C$10-'01_Criterios'!$C$9)*('03_Base_Indice'!$I91-'04_Dados_Ajustados'!U91)/('03_Base_Indice'!$I91-'03_Base_Indice'!$H91))))))</f>
        <v/>
      </c>
    </row>
    <row r="92" spans="1:21">
      <c r="A92" s="6" t="str">
        <f>IF('03_Base_Indice'!$A92="","",'03_Base_Indice'!$A92)</f>
        <v>9. Ambiente, Clima e Resiliência</v>
      </c>
      <c r="B92" s="6">
        <f>'03_Base_Indice'!$B92</f>
        <v>8</v>
      </c>
      <c r="D92" s="6" t="str">
        <f>IF('03_Base_Indice'!$D92="","",'03_Base_Indice'!$D92)</f>
        <v/>
      </c>
      <c r="E92" s="6" t="str">
        <f>IF('03_Base_Indice'!$E92="","",'03_Base_Indice'!$E92)</f>
        <v/>
      </c>
      <c r="G92" s="20" t="str">
        <f>IF('03_Base_Indice'!$G92="","",'03_Base_Indice'!$G92)</f>
        <v/>
      </c>
      <c r="K92" s="31" t="str">
        <f>IF($D92="","",IF('04_Dados_Ajustados'!K92="","",IF('03_Base_Indice'!$G92="+",MIN('01_Criterios'!$C$10,MAX('01_Criterios'!$C$9,'01_Criterios'!$C$9+('01_Criterios'!$C$10-'01_Criterios'!$C$9)*('04_Dados_Ajustados'!K92-'03_Base_Indice'!$H92)/('03_Base_Indice'!$I92-'03_Base_Indice'!$H92))),MIN('01_Criterios'!$C$10,MAX('01_Criterios'!$C$9,'01_Criterios'!$C$9+('01_Criterios'!$C$10-'01_Criterios'!$C$9)*('03_Base_Indice'!$I92-'04_Dados_Ajustados'!K92)/('03_Base_Indice'!$I92-'03_Base_Indice'!$H92))))))</f>
        <v/>
      </c>
      <c r="L92" s="31" t="str">
        <f>IF($D92="","",IF('04_Dados_Ajustados'!L92="","",IF('03_Base_Indice'!$G92="+",MIN('01_Criterios'!$C$10,MAX('01_Criterios'!$C$9,'01_Criterios'!$C$9+('01_Criterios'!$C$10-'01_Criterios'!$C$9)*('04_Dados_Ajustados'!L92-'03_Base_Indice'!$H92)/('03_Base_Indice'!$I92-'03_Base_Indice'!$H92))),MIN('01_Criterios'!$C$10,MAX('01_Criterios'!$C$9,'01_Criterios'!$C$9+('01_Criterios'!$C$10-'01_Criterios'!$C$9)*('03_Base_Indice'!$I92-'04_Dados_Ajustados'!L92)/('03_Base_Indice'!$I92-'03_Base_Indice'!$H92))))))</f>
        <v/>
      </c>
      <c r="M92" s="31" t="str">
        <f>IF($D92="","",IF('04_Dados_Ajustados'!M92="","",IF('03_Base_Indice'!$G92="+",MIN('01_Criterios'!$C$10,MAX('01_Criterios'!$C$9,'01_Criterios'!$C$9+('01_Criterios'!$C$10-'01_Criterios'!$C$9)*('04_Dados_Ajustados'!M92-'03_Base_Indice'!$H92)/('03_Base_Indice'!$I92-'03_Base_Indice'!$H92))),MIN('01_Criterios'!$C$10,MAX('01_Criterios'!$C$9,'01_Criterios'!$C$9+('01_Criterios'!$C$10-'01_Criterios'!$C$9)*('03_Base_Indice'!$I92-'04_Dados_Ajustados'!M92)/('03_Base_Indice'!$I92-'03_Base_Indice'!$H92))))))</f>
        <v/>
      </c>
      <c r="N92" s="31" t="str">
        <f>IF($D92="","",IF('04_Dados_Ajustados'!N92="","",IF('03_Base_Indice'!$G92="+",MIN('01_Criterios'!$C$10,MAX('01_Criterios'!$C$9,'01_Criterios'!$C$9+('01_Criterios'!$C$10-'01_Criterios'!$C$9)*('04_Dados_Ajustados'!N92-'03_Base_Indice'!$H92)/('03_Base_Indice'!$I92-'03_Base_Indice'!$H92))),MIN('01_Criterios'!$C$10,MAX('01_Criterios'!$C$9,'01_Criterios'!$C$9+('01_Criterios'!$C$10-'01_Criterios'!$C$9)*('03_Base_Indice'!$I92-'04_Dados_Ajustados'!N92)/('03_Base_Indice'!$I92-'03_Base_Indice'!$H92))))))</f>
        <v/>
      </c>
      <c r="O92" s="31" t="str">
        <f>IF($D92="","",IF('04_Dados_Ajustados'!O92="","",IF('03_Base_Indice'!$G92="+",MIN('01_Criterios'!$C$10,MAX('01_Criterios'!$C$9,'01_Criterios'!$C$9+('01_Criterios'!$C$10-'01_Criterios'!$C$9)*('04_Dados_Ajustados'!O92-'03_Base_Indice'!$H92)/('03_Base_Indice'!$I92-'03_Base_Indice'!$H92))),MIN('01_Criterios'!$C$10,MAX('01_Criterios'!$C$9,'01_Criterios'!$C$9+('01_Criterios'!$C$10-'01_Criterios'!$C$9)*('03_Base_Indice'!$I92-'04_Dados_Ajustados'!O92)/('03_Base_Indice'!$I92-'03_Base_Indice'!$H92))))))</f>
        <v/>
      </c>
      <c r="P92" s="31" t="str">
        <f>IF($D92="","",IF('04_Dados_Ajustados'!P92="","",IF('03_Base_Indice'!$G92="+",MIN('01_Criterios'!$C$10,MAX('01_Criterios'!$C$9,'01_Criterios'!$C$9+('01_Criterios'!$C$10-'01_Criterios'!$C$9)*('04_Dados_Ajustados'!P92-'03_Base_Indice'!$H92)/('03_Base_Indice'!$I92-'03_Base_Indice'!$H92))),MIN('01_Criterios'!$C$10,MAX('01_Criterios'!$C$9,'01_Criterios'!$C$9+('01_Criterios'!$C$10-'01_Criterios'!$C$9)*('03_Base_Indice'!$I92-'04_Dados_Ajustados'!P92)/('03_Base_Indice'!$I92-'03_Base_Indice'!$H92))))))</f>
        <v/>
      </c>
      <c r="Q92" s="31" t="str">
        <f>IF($D92="","",IF('04_Dados_Ajustados'!Q92="","",IF('03_Base_Indice'!$G92="+",MIN('01_Criterios'!$C$10,MAX('01_Criterios'!$C$9,'01_Criterios'!$C$9+('01_Criterios'!$C$10-'01_Criterios'!$C$9)*('04_Dados_Ajustados'!Q92-'03_Base_Indice'!$H92)/('03_Base_Indice'!$I92-'03_Base_Indice'!$H92))),MIN('01_Criterios'!$C$10,MAX('01_Criterios'!$C$9,'01_Criterios'!$C$9+('01_Criterios'!$C$10-'01_Criterios'!$C$9)*('03_Base_Indice'!$I92-'04_Dados_Ajustados'!Q92)/('03_Base_Indice'!$I92-'03_Base_Indice'!$H92))))))</f>
        <v/>
      </c>
      <c r="R92" s="31" t="str">
        <f>IF($D92="","",IF('04_Dados_Ajustados'!R92="","",IF('03_Base_Indice'!$G92="+",MIN('01_Criterios'!$C$10,MAX('01_Criterios'!$C$9,'01_Criterios'!$C$9+('01_Criterios'!$C$10-'01_Criterios'!$C$9)*('04_Dados_Ajustados'!R92-'03_Base_Indice'!$H92)/('03_Base_Indice'!$I92-'03_Base_Indice'!$H92))),MIN('01_Criterios'!$C$10,MAX('01_Criterios'!$C$9,'01_Criterios'!$C$9+('01_Criterios'!$C$10-'01_Criterios'!$C$9)*('03_Base_Indice'!$I92-'04_Dados_Ajustados'!R92)/('03_Base_Indice'!$I92-'03_Base_Indice'!$H92))))))</f>
        <v/>
      </c>
      <c r="S92" s="31" t="str">
        <f>IF($D92="","",IF('04_Dados_Ajustados'!S92="","",IF('03_Base_Indice'!$G92="+",MIN('01_Criterios'!$C$10,MAX('01_Criterios'!$C$9,'01_Criterios'!$C$9+('01_Criterios'!$C$10-'01_Criterios'!$C$9)*('04_Dados_Ajustados'!S92-'03_Base_Indice'!$H92)/('03_Base_Indice'!$I92-'03_Base_Indice'!$H92))),MIN('01_Criterios'!$C$10,MAX('01_Criterios'!$C$9,'01_Criterios'!$C$9+('01_Criterios'!$C$10-'01_Criterios'!$C$9)*('03_Base_Indice'!$I92-'04_Dados_Ajustados'!S92)/('03_Base_Indice'!$I92-'03_Base_Indice'!$H92))))))</f>
        <v/>
      </c>
      <c r="T92" s="31" t="str">
        <f>IF($D92="","",IF('04_Dados_Ajustados'!T92="","",IF('03_Base_Indice'!$G92="+",MIN('01_Criterios'!$C$10,MAX('01_Criterios'!$C$9,'01_Criterios'!$C$9+('01_Criterios'!$C$10-'01_Criterios'!$C$9)*('04_Dados_Ajustados'!T92-'03_Base_Indice'!$H92)/('03_Base_Indice'!$I92-'03_Base_Indice'!$H92))),MIN('01_Criterios'!$C$10,MAX('01_Criterios'!$C$9,'01_Criterios'!$C$9+('01_Criterios'!$C$10-'01_Criterios'!$C$9)*('03_Base_Indice'!$I92-'04_Dados_Ajustados'!T92)/('03_Base_Indice'!$I92-'03_Base_Indice'!$H92))))))</f>
        <v/>
      </c>
      <c r="U92" s="31" t="str">
        <f>IF($D92="","",IF('04_Dados_Ajustados'!U92="","",IF('03_Base_Indice'!$G92="+",MIN('01_Criterios'!$C$10,MAX('01_Criterios'!$C$9,'01_Criterios'!$C$9+('01_Criterios'!$C$10-'01_Criterios'!$C$9)*('04_Dados_Ajustados'!U92-'03_Base_Indice'!$H92)/('03_Base_Indice'!$I92-'03_Base_Indice'!$H92))),MIN('01_Criterios'!$C$10,MAX('01_Criterios'!$C$9,'01_Criterios'!$C$9+('01_Criterios'!$C$10-'01_Criterios'!$C$9)*('03_Base_Indice'!$I92-'04_Dados_Ajustados'!U92)/('03_Base_Indice'!$I92-'03_Base_Indice'!$H92))))))</f>
        <v/>
      </c>
    </row>
    <row r="93" spans="1:21">
      <c r="A93" s="6" t="str">
        <f>IF('03_Base_Indice'!$A93="","",'03_Base_Indice'!$A93)</f>
        <v>9. Ambiente, Clima e Resiliência</v>
      </c>
      <c r="B93" s="6">
        <f>'03_Base_Indice'!$B93</f>
        <v>9</v>
      </c>
      <c r="D93" s="6" t="str">
        <f>IF('03_Base_Indice'!$D93="","",'03_Base_Indice'!$D93)</f>
        <v/>
      </c>
      <c r="E93" s="6" t="str">
        <f>IF('03_Base_Indice'!$E93="","",'03_Base_Indice'!$E93)</f>
        <v/>
      </c>
      <c r="G93" s="20" t="str">
        <f>IF('03_Base_Indice'!$G93="","",'03_Base_Indice'!$G93)</f>
        <v/>
      </c>
      <c r="K93" s="31" t="str">
        <f>IF($D93="","",IF('04_Dados_Ajustados'!K93="","",IF('03_Base_Indice'!$G93="+",MIN('01_Criterios'!$C$10,MAX('01_Criterios'!$C$9,'01_Criterios'!$C$9+('01_Criterios'!$C$10-'01_Criterios'!$C$9)*('04_Dados_Ajustados'!K93-'03_Base_Indice'!$H93)/('03_Base_Indice'!$I93-'03_Base_Indice'!$H93))),MIN('01_Criterios'!$C$10,MAX('01_Criterios'!$C$9,'01_Criterios'!$C$9+('01_Criterios'!$C$10-'01_Criterios'!$C$9)*('03_Base_Indice'!$I93-'04_Dados_Ajustados'!K93)/('03_Base_Indice'!$I93-'03_Base_Indice'!$H93))))))</f>
        <v/>
      </c>
      <c r="L93" s="31" t="str">
        <f>IF($D93="","",IF('04_Dados_Ajustados'!L93="","",IF('03_Base_Indice'!$G93="+",MIN('01_Criterios'!$C$10,MAX('01_Criterios'!$C$9,'01_Criterios'!$C$9+('01_Criterios'!$C$10-'01_Criterios'!$C$9)*('04_Dados_Ajustados'!L93-'03_Base_Indice'!$H93)/('03_Base_Indice'!$I93-'03_Base_Indice'!$H93))),MIN('01_Criterios'!$C$10,MAX('01_Criterios'!$C$9,'01_Criterios'!$C$9+('01_Criterios'!$C$10-'01_Criterios'!$C$9)*('03_Base_Indice'!$I93-'04_Dados_Ajustados'!L93)/('03_Base_Indice'!$I93-'03_Base_Indice'!$H93))))))</f>
        <v/>
      </c>
      <c r="M93" s="31" t="str">
        <f>IF($D93="","",IF('04_Dados_Ajustados'!M93="","",IF('03_Base_Indice'!$G93="+",MIN('01_Criterios'!$C$10,MAX('01_Criterios'!$C$9,'01_Criterios'!$C$9+('01_Criterios'!$C$10-'01_Criterios'!$C$9)*('04_Dados_Ajustados'!M93-'03_Base_Indice'!$H93)/('03_Base_Indice'!$I93-'03_Base_Indice'!$H93))),MIN('01_Criterios'!$C$10,MAX('01_Criterios'!$C$9,'01_Criterios'!$C$9+('01_Criterios'!$C$10-'01_Criterios'!$C$9)*('03_Base_Indice'!$I93-'04_Dados_Ajustados'!M93)/('03_Base_Indice'!$I93-'03_Base_Indice'!$H93))))))</f>
        <v/>
      </c>
      <c r="N93" s="31" t="str">
        <f>IF($D93="","",IF('04_Dados_Ajustados'!N93="","",IF('03_Base_Indice'!$G93="+",MIN('01_Criterios'!$C$10,MAX('01_Criterios'!$C$9,'01_Criterios'!$C$9+('01_Criterios'!$C$10-'01_Criterios'!$C$9)*('04_Dados_Ajustados'!N93-'03_Base_Indice'!$H93)/('03_Base_Indice'!$I93-'03_Base_Indice'!$H93))),MIN('01_Criterios'!$C$10,MAX('01_Criterios'!$C$9,'01_Criterios'!$C$9+('01_Criterios'!$C$10-'01_Criterios'!$C$9)*('03_Base_Indice'!$I93-'04_Dados_Ajustados'!N93)/('03_Base_Indice'!$I93-'03_Base_Indice'!$H93))))))</f>
        <v/>
      </c>
      <c r="O93" s="31" t="str">
        <f>IF($D93="","",IF('04_Dados_Ajustados'!O93="","",IF('03_Base_Indice'!$G93="+",MIN('01_Criterios'!$C$10,MAX('01_Criterios'!$C$9,'01_Criterios'!$C$9+('01_Criterios'!$C$10-'01_Criterios'!$C$9)*('04_Dados_Ajustados'!O93-'03_Base_Indice'!$H93)/('03_Base_Indice'!$I93-'03_Base_Indice'!$H93))),MIN('01_Criterios'!$C$10,MAX('01_Criterios'!$C$9,'01_Criterios'!$C$9+('01_Criterios'!$C$10-'01_Criterios'!$C$9)*('03_Base_Indice'!$I93-'04_Dados_Ajustados'!O93)/('03_Base_Indice'!$I93-'03_Base_Indice'!$H93))))))</f>
        <v/>
      </c>
      <c r="P93" s="31" t="str">
        <f>IF($D93="","",IF('04_Dados_Ajustados'!P93="","",IF('03_Base_Indice'!$G93="+",MIN('01_Criterios'!$C$10,MAX('01_Criterios'!$C$9,'01_Criterios'!$C$9+('01_Criterios'!$C$10-'01_Criterios'!$C$9)*('04_Dados_Ajustados'!P93-'03_Base_Indice'!$H93)/('03_Base_Indice'!$I93-'03_Base_Indice'!$H93))),MIN('01_Criterios'!$C$10,MAX('01_Criterios'!$C$9,'01_Criterios'!$C$9+('01_Criterios'!$C$10-'01_Criterios'!$C$9)*('03_Base_Indice'!$I93-'04_Dados_Ajustados'!P93)/('03_Base_Indice'!$I93-'03_Base_Indice'!$H93))))))</f>
        <v/>
      </c>
      <c r="Q93" s="31" t="str">
        <f>IF($D93="","",IF('04_Dados_Ajustados'!Q93="","",IF('03_Base_Indice'!$G93="+",MIN('01_Criterios'!$C$10,MAX('01_Criterios'!$C$9,'01_Criterios'!$C$9+('01_Criterios'!$C$10-'01_Criterios'!$C$9)*('04_Dados_Ajustados'!Q93-'03_Base_Indice'!$H93)/('03_Base_Indice'!$I93-'03_Base_Indice'!$H93))),MIN('01_Criterios'!$C$10,MAX('01_Criterios'!$C$9,'01_Criterios'!$C$9+('01_Criterios'!$C$10-'01_Criterios'!$C$9)*('03_Base_Indice'!$I93-'04_Dados_Ajustados'!Q93)/('03_Base_Indice'!$I93-'03_Base_Indice'!$H93))))))</f>
        <v/>
      </c>
      <c r="R93" s="31" t="str">
        <f>IF($D93="","",IF('04_Dados_Ajustados'!R93="","",IF('03_Base_Indice'!$G93="+",MIN('01_Criterios'!$C$10,MAX('01_Criterios'!$C$9,'01_Criterios'!$C$9+('01_Criterios'!$C$10-'01_Criterios'!$C$9)*('04_Dados_Ajustados'!R93-'03_Base_Indice'!$H93)/('03_Base_Indice'!$I93-'03_Base_Indice'!$H93))),MIN('01_Criterios'!$C$10,MAX('01_Criterios'!$C$9,'01_Criterios'!$C$9+('01_Criterios'!$C$10-'01_Criterios'!$C$9)*('03_Base_Indice'!$I93-'04_Dados_Ajustados'!R93)/('03_Base_Indice'!$I93-'03_Base_Indice'!$H93))))))</f>
        <v/>
      </c>
      <c r="S93" s="31" t="str">
        <f>IF($D93="","",IF('04_Dados_Ajustados'!S93="","",IF('03_Base_Indice'!$G93="+",MIN('01_Criterios'!$C$10,MAX('01_Criterios'!$C$9,'01_Criterios'!$C$9+('01_Criterios'!$C$10-'01_Criterios'!$C$9)*('04_Dados_Ajustados'!S93-'03_Base_Indice'!$H93)/('03_Base_Indice'!$I93-'03_Base_Indice'!$H93))),MIN('01_Criterios'!$C$10,MAX('01_Criterios'!$C$9,'01_Criterios'!$C$9+('01_Criterios'!$C$10-'01_Criterios'!$C$9)*('03_Base_Indice'!$I93-'04_Dados_Ajustados'!S93)/('03_Base_Indice'!$I93-'03_Base_Indice'!$H93))))))</f>
        <v/>
      </c>
      <c r="T93" s="31" t="str">
        <f>IF($D93="","",IF('04_Dados_Ajustados'!T93="","",IF('03_Base_Indice'!$G93="+",MIN('01_Criterios'!$C$10,MAX('01_Criterios'!$C$9,'01_Criterios'!$C$9+('01_Criterios'!$C$10-'01_Criterios'!$C$9)*('04_Dados_Ajustados'!T93-'03_Base_Indice'!$H93)/('03_Base_Indice'!$I93-'03_Base_Indice'!$H93))),MIN('01_Criterios'!$C$10,MAX('01_Criterios'!$C$9,'01_Criterios'!$C$9+('01_Criterios'!$C$10-'01_Criterios'!$C$9)*('03_Base_Indice'!$I93-'04_Dados_Ajustados'!T93)/('03_Base_Indice'!$I93-'03_Base_Indice'!$H93))))))</f>
        <v/>
      </c>
      <c r="U93" s="31" t="str">
        <f>IF($D93="","",IF('04_Dados_Ajustados'!U93="","",IF('03_Base_Indice'!$G93="+",MIN('01_Criterios'!$C$10,MAX('01_Criterios'!$C$9,'01_Criterios'!$C$9+('01_Criterios'!$C$10-'01_Criterios'!$C$9)*('04_Dados_Ajustados'!U93-'03_Base_Indice'!$H93)/('03_Base_Indice'!$I93-'03_Base_Indice'!$H93))),MIN('01_Criterios'!$C$10,MAX('01_Criterios'!$C$9,'01_Criterios'!$C$9+('01_Criterios'!$C$10-'01_Criterios'!$C$9)*('03_Base_Indice'!$I93-'04_Dados_Ajustados'!U93)/('03_Base_Indice'!$I93-'03_Base_Indice'!$H93))))))</f>
        <v/>
      </c>
    </row>
    <row r="94" spans="1:21">
      <c r="A94" s="6" t="str">
        <f>IF('03_Base_Indice'!$A94="","",'03_Base_Indice'!$A94)</f>
        <v>9. Ambiente, Clima e Resiliência</v>
      </c>
      <c r="B94" s="6">
        <f>'03_Base_Indice'!$B94</f>
        <v>10</v>
      </c>
      <c r="D94" s="6" t="str">
        <f>IF('03_Base_Indice'!$D94="","",'03_Base_Indice'!$D94)</f>
        <v/>
      </c>
      <c r="E94" s="6" t="str">
        <f>IF('03_Base_Indice'!$E94="","",'03_Base_Indice'!$E94)</f>
        <v/>
      </c>
      <c r="G94" s="20" t="str">
        <f>IF('03_Base_Indice'!$G94="","",'03_Base_Indice'!$G94)</f>
        <v/>
      </c>
      <c r="K94" s="31" t="str">
        <f>IF($D94="","",IF('04_Dados_Ajustados'!K94="","",IF('03_Base_Indice'!$G94="+",MIN('01_Criterios'!$C$10,MAX('01_Criterios'!$C$9,'01_Criterios'!$C$9+('01_Criterios'!$C$10-'01_Criterios'!$C$9)*('04_Dados_Ajustados'!K94-'03_Base_Indice'!$H94)/('03_Base_Indice'!$I94-'03_Base_Indice'!$H94))),MIN('01_Criterios'!$C$10,MAX('01_Criterios'!$C$9,'01_Criterios'!$C$9+('01_Criterios'!$C$10-'01_Criterios'!$C$9)*('03_Base_Indice'!$I94-'04_Dados_Ajustados'!K94)/('03_Base_Indice'!$I94-'03_Base_Indice'!$H94))))))</f>
        <v/>
      </c>
      <c r="L94" s="31" t="str">
        <f>IF($D94="","",IF('04_Dados_Ajustados'!L94="","",IF('03_Base_Indice'!$G94="+",MIN('01_Criterios'!$C$10,MAX('01_Criterios'!$C$9,'01_Criterios'!$C$9+('01_Criterios'!$C$10-'01_Criterios'!$C$9)*('04_Dados_Ajustados'!L94-'03_Base_Indice'!$H94)/('03_Base_Indice'!$I94-'03_Base_Indice'!$H94))),MIN('01_Criterios'!$C$10,MAX('01_Criterios'!$C$9,'01_Criterios'!$C$9+('01_Criterios'!$C$10-'01_Criterios'!$C$9)*('03_Base_Indice'!$I94-'04_Dados_Ajustados'!L94)/('03_Base_Indice'!$I94-'03_Base_Indice'!$H94))))))</f>
        <v/>
      </c>
      <c r="M94" s="31" t="str">
        <f>IF($D94="","",IF('04_Dados_Ajustados'!M94="","",IF('03_Base_Indice'!$G94="+",MIN('01_Criterios'!$C$10,MAX('01_Criterios'!$C$9,'01_Criterios'!$C$9+('01_Criterios'!$C$10-'01_Criterios'!$C$9)*('04_Dados_Ajustados'!M94-'03_Base_Indice'!$H94)/('03_Base_Indice'!$I94-'03_Base_Indice'!$H94))),MIN('01_Criterios'!$C$10,MAX('01_Criterios'!$C$9,'01_Criterios'!$C$9+('01_Criterios'!$C$10-'01_Criterios'!$C$9)*('03_Base_Indice'!$I94-'04_Dados_Ajustados'!M94)/('03_Base_Indice'!$I94-'03_Base_Indice'!$H94))))))</f>
        <v/>
      </c>
      <c r="N94" s="31" t="str">
        <f>IF($D94="","",IF('04_Dados_Ajustados'!N94="","",IF('03_Base_Indice'!$G94="+",MIN('01_Criterios'!$C$10,MAX('01_Criterios'!$C$9,'01_Criterios'!$C$9+('01_Criterios'!$C$10-'01_Criterios'!$C$9)*('04_Dados_Ajustados'!N94-'03_Base_Indice'!$H94)/('03_Base_Indice'!$I94-'03_Base_Indice'!$H94))),MIN('01_Criterios'!$C$10,MAX('01_Criterios'!$C$9,'01_Criterios'!$C$9+('01_Criterios'!$C$10-'01_Criterios'!$C$9)*('03_Base_Indice'!$I94-'04_Dados_Ajustados'!N94)/('03_Base_Indice'!$I94-'03_Base_Indice'!$H94))))))</f>
        <v/>
      </c>
      <c r="O94" s="31" t="str">
        <f>IF($D94="","",IF('04_Dados_Ajustados'!O94="","",IF('03_Base_Indice'!$G94="+",MIN('01_Criterios'!$C$10,MAX('01_Criterios'!$C$9,'01_Criterios'!$C$9+('01_Criterios'!$C$10-'01_Criterios'!$C$9)*('04_Dados_Ajustados'!O94-'03_Base_Indice'!$H94)/('03_Base_Indice'!$I94-'03_Base_Indice'!$H94))),MIN('01_Criterios'!$C$10,MAX('01_Criterios'!$C$9,'01_Criterios'!$C$9+('01_Criterios'!$C$10-'01_Criterios'!$C$9)*('03_Base_Indice'!$I94-'04_Dados_Ajustados'!O94)/('03_Base_Indice'!$I94-'03_Base_Indice'!$H94))))))</f>
        <v/>
      </c>
      <c r="P94" s="31" t="str">
        <f>IF($D94="","",IF('04_Dados_Ajustados'!P94="","",IF('03_Base_Indice'!$G94="+",MIN('01_Criterios'!$C$10,MAX('01_Criterios'!$C$9,'01_Criterios'!$C$9+('01_Criterios'!$C$10-'01_Criterios'!$C$9)*('04_Dados_Ajustados'!P94-'03_Base_Indice'!$H94)/('03_Base_Indice'!$I94-'03_Base_Indice'!$H94))),MIN('01_Criterios'!$C$10,MAX('01_Criterios'!$C$9,'01_Criterios'!$C$9+('01_Criterios'!$C$10-'01_Criterios'!$C$9)*('03_Base_Indice'!$I94-'04_Dados_Ajustados'!P94)/('03_Base_Indice'!$I94-'03_Base_Indice'!$H94))))))</f>
        <v/>
      </c>
      <c r="Q94" s="31" t="str">
        <f>IF($D94="","",IF('04_Dados_Ajustados'!Q94="","",IF('03_Base_Indice'!$G94="+",MIN('01_Criterios'!$C$10,MAX('01_Criterios'!$C$9,'01_Criterios'!$C$9+('01_Criterios'!$C$10-'01_Criterios'!$C$9)*('04_Dados_Ajustados'!Q94-'03_Base_Indice'!$H94)/('03_Base_Indice'!$I94-'03_Base_Indice'!$H94))),MIN('01_Criterios'!$C$10,MAX('01_Criterios'!$C$9,'01_Criterios'!$C$9+('01_Criterios'!$C$10-'01_Criterios'!$C$9)*('03_Base_Indice'!$I94-'04_Dados_Ajustados'!Q94)/('03_Base_Indice'!$I94-'03_Base_Indice'!$H94))))))</f>
        <v/>
      </c>
      <c r="R94" s="31" t="str">
        <f>IF($D94="","",IF('04_Dados_Ajustados'!R94="","",IF('03_Base_Indice'!$G94="+",MIN('01_Criterios'!$C$10,MAX('01_Criterios'!$C$9,'01_Criterios'!$C$9+('01_Criterios'!$C$10-'01_Criterios'!$C$9)*('04_Dados_Ajustados'!R94-'03_Base_Indice'!$H94)/('03_Base_Indice'!$I94-'03_Base_Indice'!$H94))),MIN('01_Criterios'!$C$10,MAX('01_Criterios'!$C$9,'01_Criterios'!$C$9+('01_Criterios'!$C$10-'01_Criterios'!$C$9)*('03_Base_Indice'!$I94-'04_Dados_Ajustados'!R94)/('03_Base_Indice'!$I94-'03_Base_Indice'!$H94))))))</f>
        <v/>
      </c>
      <c r="S94" s="31" t="str">
        <f>IF($D94="","",IF('04_Dados_Ajustados'!S94="","",IF('03_Base_Indice'!$G94="+",MIN('01_Criterios'!$C$10,MAX('01_Criterios'!$C$9,'01_Criterios'!$C$9+('01_Criterios'!$C$10-'01_Criterios'!$C$9)*('04_Dados_Ajustados'!S94-'03_Base_Indice'!$H94)/('03_Base_Indice'!$I94-'03_Base_Indice'!$H94))),MIN('01_Criterios'!$C$10,MAX('01_Criterios'!$C$9,'01_Criterios'!$C$9+('01_Criterios'!$C$10-'01_Criterios'!$C$9)*('03_Base_Indice'!$I94-'04_Dados_Ajustados'!S94)/('03_Base_Indice'!$I94-'03_Base_Indice'!$H94))))))</f>
        <v/>
      </c>
      <c r="T94" s="31" t="str">
        <f>IF($D94="","",IF('04_Dados_Ajustados'!T94="","",IF('03_Base_Indice'!$G94="+",MIN('01_Criterios'!$C$10,MAX('01_Criterios'!$C$9,'01_Criterios'!$C$9+('01_Criterios'!$C$10-'01_Criterios'!$C$9)*('04_Dados_Ajustados'!T94-'03_Base_Indice'!$H94)/('03_Base_Indice'!$I94-'03_Base_Indice'!$H94))),MIN('01_Criterios'!$C$10,MAX('01_Criterios'!$C$9,'01_Criterios'!$C$9+('01_Criterios'!$C$10-'01_Criterios'!$C$9)*('03_Base_Indice'!$I94-'04_Dados_Ajustados'!T94)/('03_Base_Indice'!$I94-'03_Base_Indice'!$H94))))))</f>
        <v/>
      </c>
      <c r="U94" s="31" t="str">
        <f>IF($D94="","",IF('04_Dados_Ajustados'!U94="","",IF('03_Base_Indice'!$G94="+",MIN('01_Criterios'!$C$10,MAX('01_Criterios'!$C$9,'01_Criterios'!$C$9+('01_Criterios'!$C$10-'01_Criterios'!$C$9)*('04_Dados_Ajustados'!U94-'03_Base_Indice'!$H94)/('03_Base_Indice'!$I94-'03_Base_Indice'!$H94))),MIN('01_Criterios'!$C$10,MAX('01_Criterios'!$C$9,'01_Criterios'!$C$9+('01_Criterios'!$C$10-'01_Criterios'!$C$9)*('03_Base_Indice'!$I94-'04_Dados_Ajustados'!U94)/('03_Base_Indice'!$I94-'03_Base_Indice'!$H94))))))</f>
        <v/>
      </c>
    </row>
    <row r="95" spans="1:21">
      <c r="A95" s="6" t="str">
        <f>IF('03_Base_Indice'!$A95="","",'03_Base_Indice'!$A95)</f>
        <v>10. Demografia, Território e Urbanização</v>
      </c>
      <c r="B95" s="6">
        <f>'03_Base_Indice'!$B95</f>
        <v>1</v>
      </c>
      <c r="D95" s="6" t="str">
        <f>IF('03_Base_Indice'!$D95="","",'03_Base_Indice'!$D95)</f>
        <v/>
      </c>
      <c r="E95" s="6" t="str">
        <f>IF('03_Base_Indice'!$E95="","",'03_Base_Indice'!$E95)</f>
        <v/>
      </c>
      <c r="G95" s="20" t="str">
        <f>IF('03_Base_Indice'!$G95="","",'03_Base_Indice'!$G95)</f>
        <v/>
      </c>
      <c r="K95" s="31" t="str">
        <f>IF($D95="","",IF('04_Dados_Ajustados'!K95="","",IF('03_Base_Indice'!$G95="+",MIN('01_Criterios'!$C$10,MAX('01_Criterios'!$C$9,'01_Criterios'!$C$9+('01_Criterios'!$C$10-'01_Criterios'!$C$9)*('04_Dados_Ajustados'!K95-'03_Base_Indice'!$H95)/('03_Base_Indice'!$I95-'03_Base_Indice'!$H95))),MIN('01_Criterios'!$C$10,MAX('01_Criterios'!$C$9,'01_Criterios'!$C$9+('01_Criterios'!$C$10-'01_Criterios'!$C$9)*('03_Base_Indice'!$I95-'04_Dados_Ajustados'!K95)/('03_Base_Indice'!$I95-'03_Base_Indice'!$H95))))))</f>
        <v/>
      </c>
      <c r="L95" s="31" t="str">
        <f>IF($D95="","",IF('04_Dados_Ajustados'!L95="","",IF('03_Base_Indice'!$G95="+",MIN('01_Criterios'!$C$10,MAX('01_Criterios'!$C$9,'01_Criterios'!$C$9+('01_Criterios'!$C$10-'01_Criterios'!$C$9)*('04_Dados_Ajustados'!L95-'03_Base_Indice'!$H95)/('03_Base_Indice'!$I95-'03_Base_Indice'!$H95))),MIN('01_Criterios'!$C$10,MAX('01_Criterios'!$C$9,'01_Criterios'!$C$9+('01_Criterios'!$C$10-'01_Criterios'!$C$9)*('03_Base_Indice'!$I95-'04_Dados_Ajustados'!L95)/('03_Base_Indice'!$I95-'03_Base_Indice'!$H95))))))</f>
        <v/>
      </c>
      <c r="M95" s="31" t="str">
        <f>IF($D95="","",IF('04_Dados_Ajustados'!M95="","",IF('03_Base_Indice'!$G95="+",MIN('01_Criterios'!$C$10,MAX('01_Criterios'!$C$9,'01_Criterios'!$C$9+('01_Criterios'!$C$10-'01_Criterios'!$C$9)*('04_Dados_Ajustados'!M95-'03_Base_Indice'!$H95)/('03_Base_Indice'!$I95-'03_Base_Indice'!$H95))),MIN('01_Criterios'!$C$10,MAX('01_Criterios'!$C$9,'01_Criterios'!$C$9+('01_Criterios'!$C$10-'01_Criterios'!$C$9)*('03_Base_Indice'!$I95-'04_Dados_Ajustados'!M95)/('03_Base_Indice'!$I95-'03_Base_Indice'!$H95))))))</f>
        <v/>
      </c>
      <c r="N95" s="31" t="str">
        <f>IF($D95="","",IF('04_Dados_Ajustados'!N95="","",IF('03_Base_Indice'!$G95="+",MIN('01_Criterios'!$C$10,MAX('01_Criterios'!$C$9,'01_Criterios'!$C$9+('01_Criterios'!$C$10-'01_Criterios'!$C$9)*('04_Dados_Ajustados'!N95-'03_Base_Indice'!$H95)/('03_Base_Indice'!$I95-'03_Base_Indice'!$H95))),MIN('01_Criterios'!$C$10,MAX('01_Criterios'!$C$9,'01_Criterios'!$C$9+('01_Criterios'!$C$10-'01_Criterios'!$C$9)*('03_Base_Indice'!$I95-'04_Dados_Ajustados'!N95)/('03_Base_Indice'!$I95-'03_Base_Indice'!$H95))))))</f>
        <v/>
      </c>
      <c r="O95" s="31" t="str">
        <f>IF($D95="","",IF('04_Dados_Ajustados'!O95="","",IF('03_Base_Indice'!$G95="+",MIN('01_Criterios'!$C$10,MAX('01_Criterios'!$C$9,'01_Criterios'!$C$9+('01_Criterios'!$C$10-'01_Criterios'!$C$9)*('04_Dados_Ajustados'!O95-'03_Base_Indice'!$H95)/('03_Base_Indice'!$I95-'03_Base_Indice'!$H95))),MIN('01_Criterios'!$C$10,MAX('01_Criterios'!$C$9,'01_Criterios'!$C$9+('01_Criterios'!$C$10-'01_Criterios'!$C$9)*('03_Base_Indice'!$I95-'04_Dados_Ajustados'!O95)/('03_Base_Indice'!$I95-'03_Base_Indice'!$H95))))))</f>
        <v/>
      </c>
      <c r="P95" s="31" t="str">
        <f>IF($D95="","",IF('04_Dados_Ajustados'!P95="","",IF('03_Base_Indice'!$G95="+",MIN('01_Criterios'!$C$10,MAX('01_Criterios'!$C$9,'01_Criterios'!$C$9+('01_Criterios'!$C$10-'01_Criterios'!$C$9)*('04_Dados_Ajustados'!P95-'03_Base_Indice'!$H95)/('03_Base_Indice'!$I95-'03_Base_Indice'!$H95))),MIN('01_Criterios'!$C$10,MAX('01_Criterios'!$C$9,'01_Criterios'!$C$9+('01_Criterios'!$C$10-'01_Criterios'!$C$9)*('03_Base_Indice'!$I95-'04_Dados_Ajustados'!P95)/('03_Base_Indice'!$I95-'03_Base_Indice'!$H95))))))</f>
        <v/>
      </c>
      <c r="Q95" s="31" t="str">
        <f>IF($D95="","",IF('04_Dados_Ajustados'!Q95="","",IF('03_Base_Indice'!$G95="+",MIN('01_Criterios'!$C$10,MAX('01_Criterios'!$C$9,'01_Criterios'!$C$9+('01_Criterios'!$C$10-'01_Criterios'!$C$9)*('04_Dados_Ajustados'!Q95-'03_Base_Indice'!$H95)/('03_Base_Indice'!$I95-'03_Base_Indice'!$H95))),MIN('01_Criterios'!$C$10,MAX('01_Criterios'!$C$9,'01_Criterios'!$C$9+('01_Criterios'!$C$10-'01_Criterios'!$C$9)*('03_Base_Indice'!$I95-'04_Dados_Ajustados'!Q95)/('03_Base_Indice'!$I95-'03_Base_Indice'!$H95))))))</f>
        <v/>
      </c>
      <c r="R95" s="31" t="str">
        <f>IF($D95="","",IF('04_Dados_Ajustados'!R95="","",IF('03_Base_Indice'!$G95="+",MIN('01_Criterios'!$C$10,MAX('01_Criterios'!$C$9,'01_Criterios'!$C$9+('01_Criterios'!$C$10-'01_Criterios'!$C$9)*('04_Dados_Ajustados'!R95-'03_Base_Indice'!$H95)/('03_Base_Indice'!$I95-'03_Base_Indice'!$H95))),MIN('01_Criterios'!$C$10,MAX('01_Criterios'!$C$9,'01_Criterios'!$C$9+('01_Criterios'!$C$10-'01_Criterios'!$C$9)*('03_Base_Indice'!$I95-'04_Dados_Ajustados'!R95)/('03_Base_Indice'!$I95-'03_Base_Indice'!$H95))))))</f>
        <v/>
      </c>
      <c r="S95" s="31" t="str">
        <f>IF($D95="","",IF('04_Dados_Ajustados'!S95="","",IF('03_Base_Indice'!$G95="+",MIN('01_Criterios'!$C$10,MAX('01_Criterios'!$C$9,'01_Criterios'!$C$9+('01_Criterios'!$C$10-'01_Criterios'!$C$9)*('04_Dados_Ajustados'!S95-'03_Base_Indice'!$H95)/('03_Base_Indice'!$I95-'03_Base_Indice'!$H95))),MIN('01_Criterios'!$C$10,MAX('01_Criterios'!$C$9,'01_Criterios'!$C$9+('01_Criterios'!$C$10-'01_Criterios'!$C$9)*('03_Base_Indice'!$I95-'04_Dados_Ajustados'!S95)/('03_Base_Indice'!$I95-'03_Base_Indice'!$H95))))))</f>
        <v/>
      </c>
      <c r="T95" s="31" t="str">
        <f>IF($D95="","",IF('04_Dados_Ajustados'!T95="","",IF('03_Base_Indice'!$G95="+",MIN('01_Criterios'!$C$10,MAX('01_Criterios'!$C$9,'01_Criterios'!$C$9+('01_Criterios'!$C$10-'01_Criterios'!$C$9)*('04_Dados_Ajustados'!T95-'03_Base_Indice'!$H95)/('03_Base_Indice'!$I95-'03_Base_Indice'!$H95))),MIN('01_Criterios'!$C$10,MAX('01_Criterios'!$C$9,'01_Criterios'!$C$9+('01_Criterios'!$C$10-'01_Criterios'!$C$9)*('03_Base_Indice'!$I95-'04_Dados_Ajustados'!T95)/('03_Base_Indice'!$I95-'03_Base_Indice'!$H95))))))</f>
        <v/>
      </c>
      <c r="U95" s="31" t="str">
        <f>IF($D95="","",IF('04_Dados_Ajustados'!U95="","",IF('03_Base_Indice'!$G95="+",MIN('01_Criterios'!$C$10,MAX('01_Criterios'!$C$9,'01_Criterios'!$C$9+('01_Criterios'!$C$10-'01_Criterios'!$C$9)*('04_Dados_Ajustados'!U95-'03_Base_Indice'!$H95)/('03_Base_Indice'!$I95-'03_Base_Indice'!$H95))),MIN('01_Criterios'!$C$10,MAX('01_Criterios'!$C$9,'01_Criterios'!$C$9+('01_Criterios'!$C$10-'01_Criterios'!$C$9)*('03_Base_Indice'!$I95-'04_Dados_Ajustados'!U95)/('03_Base_Indice'!$I95-'03_Base_Indice'!$H95))))))</f>
        <v/>
      </c>
    </row>
    <row r="96" spans="1:21">
      <c r="A96" s="6" t="str">
        <f>IF('03_Base_Indice'!$A96="","",'03_Base_Indice'!$A96)</f>
        <v>10. Demografia, Território e Urbanização</v>
      </c>
      <c r="B96" s="6">
        <f>'03_Base_Indice'!$B96</f>
        <v>2</v>
      </c>
      <c r="D96" s="6" t="str">
        <f>IF('03_Base_Indice'!$D96="","",'03_Base_Indice'!$D96)</f>
        <v/>
      </c>
      <c r="E96" s="6" t="str">
        <f>IF('03_Base_Indice'!$E96="","",'03_Base_Indice'!$E96)</f>
        <v/>
      </c>
      <c r="G96" s="20" t="str">
        <f>IF('03_Base_Indice'!$G96="","",'03_Base_Indice'!$G96)</f>
        <v/>
      </c>
      <c r="K96" s="31" t="str">
        <f>IF($D96="","",IF('04_Dados_Ajustados'!K96="","",IF('03_Base_Indice'!$G96="+",MIN('01_Criterios'!$C$10,MAX('01_Criterios'!$C$9,'01_Criterios'!$C$9+('01_Criterios'!$C$10-'01_Criterios'!$C$9)*('04_Dados_Ajustados'!K96-'03_Base_Indice'!$H96)/('03_Base_Indice'!$I96-'03_Base_Indice'!$H96))),MIN('01_Criterios'!$C$10,MAX('01_Criterios'!$C$9,'01_Criterios'!$C$9+('01_Criterios'!$C$10-'01_Criterios'!$C$9)*('03_Base_Indice'!$I96-'04_Dados_Ajustados'!K96)/('03_Base_Indice'!$I96-'03_Base_Indice'!$H96))))))</f>
        <v/>
      </c>
      <c r="L96" s="31" t="str">
        <f>IF($D96="","",IF('04_Dados_Ajustados'!L96="","",IF('03_Base_Indice'!$G96="+",MIN('01_Criterios'!$C$10,MAX('01_Criterios'!$C$9,'01_Criterios'!$C$9+('01_Criterios'!$C$10-'01_Criterios'!$C$9)*('04_Dados_Ajustados'!L96-'03_Base_Indice'!$H96)/('03_Base_Indice'!$I96-'03_Base_Indice'!$H96))),MIN('01_Criterios'!$C$10,MAX('01_Criterios'!$C$9,'01_Criterios'!$C$9+('01_Criterios'!$C$10-'01_Criterios'!$C$9)*('03_Base_Indice'!$I96-'04_Dados_Ajustados'!L96)/('03_Base_Indice'!$I96-'03_Base_Indice'!$H96))))))</f>
        <v/>
      </c>
      <c r="M96" s="31" t="str">
        <f>IF($D96="","",IF('04_Dados_Ajustados'!M96="","",IF('03_Base_Indice'!$G96="+",MIN('01_Criterios'!$C$10,MAX('01_Criterios'!$C$9,'01_Criterios'!$C$9+('01_Criterios'!$C$10-'01_Criterios'!$C$9)*('04_Dados_Ajustados'!M96-'03_Base_Indice'!$H96)/('03_Base_Indice'!$I96-'03_Base_Indice'!$H96))),MIN('01_Criterios'!$C$10,MAX('01_Criterios'!$C$9,'01_Criterios'!$C$9+('01_Criterios'!$C$10-'01_Criterios'!$C$9)*('03_Base_Indice'!$I96-'04_Dados_Ajustados'!M96)/('03_Base_Indice'!$I96-'03_Base_Indice'!$H96))))))</f>
        <v/>
      </c>
      <c r="N96" s="31" t="str">
        <f>IF($D96="","",IF('04_Dados_Ajustados'!N96="","",IF('03_Base_Indice'!$G96="+",MIN('01_Criterios'!$C$10,MAX('01_Criterios'!$C$9,'01_Criterios'!$C$9+('01_Criterios'!$C$10-'01_Criterios'!$C$9)*('04_Dados_Ajustados'!N96-'03_Base_Indice'!$H96)/('03_Base_Indice'!$I96-'03_Base_Indice'!$H96))),MIN('01_Criterios'!$C$10,MAX('01_Criterios'!$C$9,'01_Criterios'!$C$9+('01_Criterios'!$C$10-'01_Criterios'!$C$9)*('03_Base_Indice'!$I96-'04_Dados_Ajustados'!N96)/('03_Base_Indice'!$I96-'03_Base_Indice'!$H96))))))</f>
        <v/>
      </c>
      <c r="O96" s="31" t="str">
        <f>IF($D96="","",IF('04_Dados_Ajustados'!O96="","",IF('03_Base_Indice'!$G96="+",MIN('01_Criterios'!$C$10,MAX('01_Criterios'!$C$9,'01_Criterios'!$C$9+('01_Criterios'!$C$10-'01_Criterios'!$C$9)*('04_Dados_Ajustados'!O96-'03_Base_Indice'!$H96)/('03_Base_Indice'!$I96-'03_Base_Indice'!$H96))),MIN('01_Criterios'!$C$10,MAX('01_Criterios'!$C$9,'01_Criterios'!$C$9+('01_Criterios'!$C$10-'01_Criterios'!$C$9)*('03_Base_Indice'!$I96-'04_Dados_Ajustados'!O96)/('03_Base_Indice'!$I96-'03_Base_Indice'!$H96))))))</f>
        <v/>
      </c>
      <c r="P96" s="31" t="str">
        <f>IF($D96="","",IF('04_Dados_Ajustados'!P96="","",IF('03_Base_Indice'!$G96="+",MIN('01_Criterios'!$C$10,MAX('01_Criterios'!$C$9,'01_Criterios'!$C$9+('01_Criterios'!$C$10-'01_Criterios'!$C$9)*('04_Dados_Ajustados'!P96-'03_Base_Indice'!$H96)/('03_Base_Indice'!$I96-'03_Base_Indice'!$H96))),MIN('01_Criterios'!$C$10,MAX('01_Criterios'!$C$9,'01_Criterios'!$C$9+('01_Criterios'!$C$10-'01_Criterios'!$C$9)*('03_Base_Indice'!$I96-'04_Dados_Ajustados'!P96)/('03_Base_Indice'!$I96-'03_Base_Indice'!$H96))))))</f>
        <v/>
      </c>
      <c r="Q96" s="31" t="str">
        <f>IF($D96="","",IF('04_Dados_Ajustados'!Q96="","",IF('03_Base_Indice'!$G96="+",MIN('01_Criterios'!$C$10,MAX('01_Criterios'!$C$9,'01_Criterios'!$C$9+('01_Criterios'!$C$10-'01_Criterios'!$C$9)*('04_Dados_Ajustados'!Q96-'03_Base_Indice'!$H96)/('03_Base_Indice'!$I96-'03_Base_Indice'!$H96))),MIN('01_Criterios'!$C$10,MAX('01_Criterios'!$C$9,'01_Criterios'!$C$9+('01_Criterios'!$C$10-'01_Criterios'!$C$9)*('03_Base_Indice'!$I96-'04_Dados_Ajustados'!Q96)/('03_Base_Indice'!$I96-'03_Base_Indice'!$H96))))))</f>
        <v/>
      </c>
      <c r="R96" s="31" t="str">
        <f>IF($D96="","",IF('04_Dados_Ajustados'!R96="","",IF('03_Base_Indice'!$G96="+",MIN('01_Criterios'!$C$10,MAX('01_Criterios'!$C$9,'01_Criterios'!$C$9+('01_Criterios'!$C$10-'01_Criterios'!$C$9)*('04_Dados_Ajustados'!R96-'03_Base_Indice'!$H96)/('03_Base_Indice'!$I96-'03_Base_Indice'!$H96))),MIN('01_Criterios'!$C$10,MAX('01_Criterios'!$C$9,'01_Criterios'!$C$9+('01_Criterios'!$C$10-'01_Criterios'!$C$9)*('03_Base_Indice'!$I96-'04_Dados_Ajustados'!R96)/('03_Base_Indice'!$I96-'03_Base_Indice'!$H96))))))</f>
        <v/>
      </c>
      <c r="S96" s="31" t="str">
        <f>IF($D96="","",IF('04_Dados_Ajustados'!S96="","",IF('03_Base_Indice'!$G96="+",MIN('01_Criterios'!$C$10,MAX('01_Criterios'!$C$9,'01_Criterios'!$C$9+('01_Criterios'!$C$10-'01_Criterios'!$C$9)*('04_Dados_Ajustados'!S96-'03_Base_Indice'!$H96)/('03_Base_Indice'!$I96-'03_Base_Indice'!$H96))),MIN('01_Criterios'!$C$10,MAX('01_Criterios'!$C$9,'01_Criterios'!$C$9+('01_Criterios'!$C$10-'01_Criterios'!$C$9)*('03_Base_Indice'!$I96-'04_Dados_Ajustados'!S96)/('03_Base_Indice'!$I96-'03_Base_Indice'!$H96))))))</f>
        <v/>
      </c>
      <c r="T96" s="31" t="str">
        <f>IF($D96="","",IF('04_Dados_Ajustados'!T96="","",IF('03_Base_Indice'!$G96="+",MIN('01_Criterios'!$C$10,MAX('01_Criterios'!$C$9,'01_Criterios'!$C$9+('01_Criterios'!$C$10-'01_Criterios'!$C$9)*('04_Dados_Ajustados'!T96-'03_Base_Indice'!$H96)/('03_Base_Indice'!$I96-'03_Base_Indice'!$H96))),MIN('01_Criterios'!$C$10,MAX('01_Criterios'!$C$9,'01_Criterios'!$C$9+('01_Criterios'!$C$10-'01_Criterios'!$C$9)*('03_Base_Indice'!$I96-'04_Dados_Ajustados'!T96)/('03_Base_Indice'!$I96-'03_Base_Indice'!$H96))))))</f>
        <v/>
      </c>
      <c r="U96" s="31" t="str">
        <f>IF($D96="","",IF('04_Dados_Ajustados'!U96="","",IF('03_Base_Indice'!$G96="+",MIN('01_Criterios'!$C$10,MAX('01_Criterios'!$C$9,'01_Criterios'!$C$9+('01_Criterios'!$C$10-'01_Criterios'!$C$9)*('04_Dados_Ajustados'!U96-'03_Base_Indice'!$H96)/('03_Base_Indice'!$I96-'03_Base_Indice'!$H96))),MIN('01_Criterios'!$C$10,MAX('01_Criterios'!$C$9,'01_Criterios'!$C$9+('01_Criterios'!$C$10-'01_Criterios'!$C$9)*('03_Base_Indice'!$I96-'04_Dados_Ajustados'!U96)/('03_Base_Indice'!$I96-'03_Base_Indice'!$H96))))))</f>
        <v/>
      </c>
    </row>
    <row r="97" spans="1:21">
      <c r="A97" s="6" t="str">
        <f>IF('03_Base_Indice'!$A97="","",'03_Base_Indice'!$A97)</f>
        <v>10. Demografia, Território e Urbanização</v>
      </c>
      <c r="B97" s="6">
        <f>'03_Base_Indice'!$B97</f>
        <v>3</v>
      </c>
      <c r="D97" s="6" t="str">
        <f>IF('03_Base_Indice'!$D97="","",'03_Base_Indice'!$D97)</f>
        <v/>
      </c>
      <c r="E97" s="6" t="str">
        <f>IF('03_Base_Indice'!$E97="","",'03_Base_Indice'!$E97)</f>
        <v/>
      </c>
      <c r="G97" s="20" t="str">
        <f>IF('03_Base_Indice'!$G97="","",'03_Base_Indice'!$G97)</f>
        <v/>
      </c>
      <c r="K97" s="31" t="str">
        <f>IF($D97="","",IF('04_Dados_Ajustados'!K97="","",IF('03_Base_Indice'!$G97="+",MIN('01_Criterios'!$C$10,MAX('01_Criterios'!$C$9,'01_Criterios'!$C$9+('01_Criterios'!$C$10-'01_Criterios'!$C$9)*('04_Dados_Ajustados'!K97-'03_Base_Indice'!$H97)/('03_Base_Indice'!$I97-'03_Base_Indice'!$H97))),MIN('01_Criterios'!$C$10,MAX('01_Criterios'!$C$9,'01_Criterios'!$C$9+('01_Criterios'!$C$10-'01_Criterios'!$C$9)*('03_Base_Indice'!$I97-'04_Dados_Ajustados'!K97)/('03_Base_Indice'!$I97-'03_Base_Indice'!$H97))))))</f>
        <v/>
      </c>
      <c r="L97" s="31" t="str">
        <f>IF($D97="","",IF('04_Dados_Ajustados'!L97="","",IF('03_Base_Indice'!$G97="+",MIN('01_Criterios'!$C$10,MAX('01_Criterios'!$C$9,'01_Criterios'!$C$9+('01_Criterios'!$C$10-'01_Criterios'!$C$9)*('04_Dados_Ajustados'!L97-'03_Base_Indice'!$H97)/('03_Base_Indice'!$I97-'03_Base_Indice'!$H97))),MIN('01_Criterios'!$C$10,MAX('01_Criterios'!$C$9,'01_Criterios'!$C$9+('01_Criterios'!$C$10-'01_Criterios'!$C$9)*('03_Base_Indice'!$I97-'04_Dados_Ajustados'!L97)/('03_Base_Indice'!$I97-'03_Base_Indice'!$H97))))))</f>
        <v/>
      </c>
      <c r="M97" s="31" t="str">
        <f>IF($D97="","",IF('04_Dados_Ajustados'!M97="","",IF('03_Base_Indice'!$G97="+",MIN('01_Criterios'!$C$10,MAX('01_Criterios'!$C$9,'01_Criterios'!$C$9+('01_Criterios'!$C$10-'01_Criterios'!$C$9)*('04_Dados_Ajustados'!M97-'03_Base_Indice'!$H97)/('03_Base_Indice'!$I97-'03_Base_Indice'!$H97))),MIN('01_Criterios'!$C$10,MAX('01_Criterios'!$C$9,'01_Criterios'!$C$9+('01_Criterios'!$C$10-'01_Criterios'!$C$9)*('03_Base_Indice'!$I97-'04_Dados_Ajustados'!M97)/('03_Base_Indice'!$I97-'03_Base_Indice'!$H97))))))</f>
        <v/>
      </c>
      <c r="N97" s="31" t="str">
        <f>IF($D97="","",IF('04_Dados_Ajustados'!N97="","",IF('03_Base_Indice'!$G97="+",MIN('01_Criterios'!$C$10,MAX('01_Criterios'!$C$9,'01_Criterios'!$C$9+('01_Criterios'!$C$10-'01_Criterios'!$C$9)*('04_Dados_Ajustados'!N97-'03_Base_Indice'!$H97)/('03_Base_Indice'!$I97-'03_Base_Indice'!$H97))),MIN('01_Criterios'!$C$10,MAX('01_Criterios'!$C$9,'01_Criterios'!$C$9+('01_Criterios'!$C$10-'01_Criterios'!$C$9)*('03_Base_Indice'!$I97-'04_Dados_Ajustados'!N97)/('03_Base_Indice'!$I97-'03_Base_Indice'!$H97))))))</f>
        <v/>
      </c>
      <c r="O97" s="31" t="str">
        <f>IF($D97="","",IF('04_Dados_Ajustados'!O97="","",IF('03_Base_Indice'!$G97="+",MIN('01_Criterios'!$C$10,MAX('01_Criterios'!$C$9,'01_Criterios'!$C$9+('01_Criterios'!$C$10-'01_Criterios'!$C$9)*('04_Dados_Ajustados'!O97-'03_Base_Indice'!$H97)/('03_Base_Indice'!$I97-'03_Base_Indice'!$H97))),MIN('01_Criterios'!$C$10,MAX('01_Criterios'!$C$9,'01_Criterios'!$C$9+('01_Criterios'!$C$10-'01_Criterios'!$C$9)*('03_Base_Indice'!$I97-'04_Dados_Ajustados'!O97)/('03_Base_Indice'!$I97-'03_Base_Indice'!$H97))))))</f>
        <v/>
      </c>
      <c r="P97" s="31" t="str">
        <f>IF($D97="","",IF('04_Dados_Ajustados'!P97="","",IF('03_Base_Indice'!$G97="+",MIN('01_Criterios'!$C$10,MAX('01_Criterios'!$C$9,'01_Criterios'!$C$9+('01_Criterios'!$C$10-'01_Criterios'!$C$9)*('04_Dados_Ajustados'!P97-'03_Base_Indice'!$H97)/('03_Base_Indice'!$I97-'03_Base_Indice'!$H97))),MIN('01_Criterios'!$C$10,MAX('01_Criterios'!$C$9,'01_Criterios'!$C$9+('01_Criterios'!$C$10-'01_Criterios'!$C$9)*('03_Base_Indice'!$I97-'04_Dados_Ajustados'!P97)/('03_Base_Indice'!$I97-'03_Base_Indice'!$H97))))))</f>
        <v/>
      </c>
      <c r="Q97" s="31" t="str">
        <f>IF($D97="","",IF('04_Dados_Ajustados'!Q97="","",IF('03_Base_Indice'!$G97="+",MIN('01_Criterios'!$C$10,MAX('01_Criterios'!$C$9,'01_Criterios'!$C$9+('01_Criterios'!$C$10-'01_Criterios'!$C$9)*('04_Dados_Ajustados'!Q97-'03_Base_Indice'!$H97)/('03_Base_Indice'!$I97-'03_Base_Indice'!$H97))),MIN('01_Criterios'!$C$10,MAX('01_Criterios'!$C$9,'01_Criterios'!$C$9+('01_Criterios'!$C$10-'01_Criterios'!$C$9)*('03_Base_Indice'!$I97-'04_Dados_Ajustados'!Q97)/('03_Base_Indice'!$I97-'03_Base_Indice'!$H97))))))</f>
        <v/>
      </c>
      <c r="R97" s="31" t="str">
        <f>IF($D97="","",IF('04_Dados_Ajustados'!R97="","",IF('03_Base_Indice'!$G97="+",MIN('01_Criterios'!$C$10,MAX('01_Criterios'!$C$9,'01_Criterios'!$C$9+('01_Criterios'!$C$10-'01_Criterios'!$C$9)*('04_Dados_Ajustados'!R97-'03_Base_Indice'!$H97)/('03_Base_Indice'!$I97-'03_Base_Indice'!$H97))),MIN('01_Criterios'!$C$10,MAX('01_Criterios'!$C$9,'01_Criterios'!$C$9+('01_Criterios'!$C$10-'01_Criterios'!$C$9)*('03_Base_Indice'!$I97-'04_Dados_Ajustados'!R97)/('03_Base_Indice'!$I97-'03_Base_Indice'!$H97))))))</f>
        <v/>
      </c>
      <c r="S97" s="31" t="str">
        <f>IF($D97="","",IF('04_Dados_Ajustados'!S97="","",IF('03_Base_Indice'!$G97="+",MIN('01_Criterios'!$C$10,MAX('01_Criterios'!$C$9,'01_Criterios'!$C$9+('01_Criterios'!$C$10-'01_Criterios'!$C$9)*('04_Dados_Ajustados'!S97-'03_Base_Indice'!$H97)/('03_Base_Indice'!$I97-'03_Base_Indice'!$H97))),MIN('01_Criterios'!$C$10,MAX('01_Criterios'!$C$9,'01_Criterios'!$C$9+('01_Criterios'!$C$10-'01_Criterios'!$C$9)*('03_Base_Indice'!$I97-'04_Dados_Ajustados'!S97)/('03_Base_Indice'!$I97-'03_Base_Indice'!$H97))))))</f>
        <v/>
      </c>
      <c r="T97" s="31" t="str">
        <f>IF($D97="","",IF('04_Dados_Ajustados'!T97="","",IF('03_Base_Indice'!$G97="+",MIN('01_Criterios'!$C$10,MAX('01_Criterios'!$C$9,'01_Criterios'!$C$9+('01_Criterios'!$C$10-'01_Criterios'!$C$9)*('04_Dados_Ajustados'!T97-'03_Base_Indice'!$H97)/('03_Base_Indice'!$I97-'03_Base_Indice'!$H97))),MIN('01_Criterios'!$C$10,MAX('01_Criterios'!$C$9,'01_Criterios'!$C$9+('01_Criterios'!$C$10-'01_Criterios'!$C$9)*('03_Base_Indice'!$I97-'04_Dados_Ajustados'!T97)/('03_Base_Indice'!$I97-'03_Base_Indice'!$H97))))))</f>
        <v/>
      </c>
      <c r="U97" s="31" t="str">
        <f>IF($D97="","",IF('04_Dados_Ajustados'!U97="","",IF('03_Base_Indice'!$G97="+",MIN('01_Criterios'!$C$10,MAX('01_Criterios'!$C$9,'01_Criterios'!$C$9+('01_Criterios'!$C$10-'01_Criterios'!$C$9)*('04_Dados_Ajustados'!U97-'03_Base_Indice'!$H97)/('03_Base_Indice'!$I97-'03_Base_Indice'!$H97))),MIN('01_Criterios'!$C$10,MAX('01_Criterios'!$C$9,'01_Criterios'!$C$9+('01_Criterios'!$C$10-'01_Criterios'!$C$9)*('03_Base_Indice'!$I97-'04_Dados_Ajustados'!U97)/('03_Base_Indice'!$I97-'03_Base_Indice'!$H97))))))</f>
        <v/>
      </c>
    </row>
    <row r="98" spans="1:21">
      <c r="A98" s="6" t="str">
        <f>IF('03_Base_Indice'!$A98="","",'03_Base_Indice'!$A98)</f>
        <v>10. Demografia, Território e Urbanização</v>
      </c>
      <c r="B98" s="6">
        <f>'03_Base_Indice'!$B98</f>
        <v>4</v>
      </c>
      <c r="D98" s="6" t="str">
        <f>IF('03_Base_Indice'!$D98="","",'03_Base_Indice'!$D98)</f>
        <v/>
      </c>
      <c r="E98" s="6" t="str">
        <f>IF('03_Base_Indice'!$E98="","",'03_Base_Indice'!$E98)</f>
        <v/>
      </c>
      <c r="G98" s="20" t="str">
        <f>IF('03_Base_Indice'!$G98="","",'03_Base_Indice'!$G98)</f>
        <v/>
      </c>
      <c r="K98" s="31" t="str">
        <f>IF($D98="","",IF('04_Dados_Ajustados'!K98="","",IF('03_Base_Indice'!$G98="+",MIN('01_Criterios'!$C$10,MAX('01_Criterios'!$C$9,'01_Criterios'!$C$9+('01_Criterios'!$C$10-'01_Criterios'!$C$9)*('04_Dados_Ajustados'!K98-'03_Base_Indice'!$H98)/('03_Base_Indice'!$I98-'03_Base_Indice'!$H98))),MIN('01_Criterios'!$C$10,MAX('01_Criterios'!$C$9,'01_Criterios'!$C$9+('01_Criterios'!$C$10-'01_Criterios'!$C$9)*('03_Base_Indice'!$I98-'04_Dados_Ajustados'!K98)/('03_Base_Indice'!$I98-'03_Base_Indice'!$H98))))))</f>
        <v/>
      </c>
      <c r="L98" s="31" t="str">
        <f>IF($D98="","",IF('04_Dados_Ajustados'!L98="","",IF('03_Base_Indice'!$G98="+",MIN('01_Criterios'!$C$10,MAX('01_Criterios'!$C$9,'01_Criterios'!$C$9+('01_Criterios'!$C$10-'01_Criterios'!$C$9)*('04_Dados_Ajustados'!L98-'03_Base_Indice'!$H98)/('03_Base_Indice'!$I98-'03_Base_Indice'!$H98))),MIN('01_Criterios'!$C$10,MAX('01_Criterios'!$C$9,'01_Criterios'!$C$9+('01_Criterios'!$C$10-'01_Criterios'!$C$9)*('03_Base_Indice'!$I98-'04_Dados_Ajustados'!L98)/('03_Base_Indice'!$I98-'03_Base_Indice'!$H98))))))</f>
        <v/>
      </c>
      <c r="M98" s="31" t="str">
        <f>IF($D98="","",IF('04_Dados_Ajustados'!M98="","",IF('03_Base_Indice'!$G98="+",MIN('01_Criterios'!$C$10,MAX('01_Criterios'!$C$9,'01_Criterios'!$C$9+('01_Criterios'!$C$10-'01_Criterios'!$C$9)*('04_Dados_Ajustados'!M98-'03_Base_Indice'!$H98)/('03_Base_Indice'!$I98-'03_Base_Indice'!$H98))),MIN('01_Criterios'!$C$10,MAX('01_Criterios'!$C$9,'01_Criterios'!$C$9+('01_Criterios'!$C$10-'01_Criterios'!$C$9)*('03_Base_Indice'!$I98-'04_Dados_Ajustados'!M98)/('03_Base_Indice'!$I98-'03_Base_Indice'!$H98))))))</f>
        <v/>
      </c>
      <c r="N98" s="31" t="str">
        <f>IF($D98="","",IF('04_Dados_Ajustados'!N98="","",IF('03_Base_Indice'!$G98="+",MIN('01_Criterios'!$C$10,MAX('01_Criterios'!$C$9,'01_Criterios'!$C$9+('01_Criterios'!$C$10-'01_Criterios'!$C$9)*('04_Dados_Ajustados'!N98-'03_Base_Indice'!$H98)/('03_Base_Indice'!$I98-'03_Base_Indice'!$H98))),MIN('01_Criterios'!$C$10,MAX('01_Criterios'!$C$9,'01_Criterios'!$C$9+('01_Criterios'!$C$10-'01_Criterios'!$C$9)*('03_Base_Indice'!$I98-'04_Dados_Ajustados'!N98)/('03_Base_Indice'!$I98-'03_Base_Indice'!$H98))))))</f>
        <v/>
      </c>
      <c r="O98" s="31" t="str">
        <f>IF($D98="","",IF('04_Dados_Ajustados'!O98="","",IF('03_Base_Indice'!$G98="+",MIN('01_Criterios'!$C$10,MAX('01_Criterios'!$C$9,'01_Criterios'!$C$9+('01_Criterios'!$C$10-'01_Criterios'!$C$9)*('04_Dados_Ajustados'!O98-'03_Base_Indice'!$H98)/('03_Base_Indice'!$I98-'03_Base_Indice'!$H98))),MIN('01_Criterios'!$C$10,MAX('01_Criterios'!$C$9,'01_Criterios'!$C$9+('01_Criterios'!$C$10-'01_Criterios'!$C$9)*('03_Base_Indice'!$I98-'04_Dados_Ajustados'!O98)/('03_Base_Indice'!$I98-'03_Base_Indice'!$H98))))))</f>
        <v/>
      </c>
      <c r="P98" s="31" t="str">
        <f>IF($D98="","",IF('04_Dados_Ajustados'!P98="","",IF('03_Base_Indice'!$G98="+",MIN('01_Criterios'!$C$10,MAX('01_Criterios'!$C$9,'01_Criterios'!$C$9+('01_Criterios'!$C$10-'01_Criterios'!$C$9)*('04_Dados_Ajustados'!P98-'03_Base_Indice'!$H98)/('03_Base_Indice'!$I98-'03_Base_Indice'!$H98))),MIN('01_Criterios'!$C$10,MAX('01_Criterios'!$C$9,'01_Criterios'!$C$9+('01_Criterios'!$C$10-'01_Criterios'!$C$9)*('03_Base_Indice'!$I98-'04_Dados_Ajustados'!P98)/('03_Base_Indice'!$I98-'03_Base_Indice'!$H98))))))</f>
        <v/>
      </c>
      <c r="Q98" s="31" t="str">
        <f>IF($D98="","",IF('04_Dados_Ajustados'!Q98="","",IF('03_Base_Indice'!$G98="+",MIN('01_Criterios'!$C$10,MAX('01_Criterios'!$C$9,'01_Criterios'!$C$9+('01_Criterios'!$C$10-'01_Criterios'!$C$9)*('04_Dados_Ajustados'!Q98-'03_Base_Indice'!$H98)/('03_Base_Indice'!$I98-'03_Base_Indice'!$H98))),MIN('01_Criterios'!$C$10,MAX('01_Criterios'!$C$9,'01_Criterios'!$C$9+('01_Criterios'!$C$10-'01_Criterios'!$C$9)*('03_Base_Indice'!$I98-'04_Dados_Ajustados'!Q98)/('03_Base_Indice'!$I98-'03_Base_Indice'!$H98))))))</f>
        <v/>
      </c>
      <c r="R98" s="31" t="str">
        <f>IF($D98="","",IF('04_Dados_Ajustados'!R98="","",IF('03_Base_Indice'!$G98="+",MIN('01_Criterios'!$C$10,MAX('01_Criterios'!$C$9,'01_Criterios'!$C$9+('01_Criterios'!$C$10-'01_Criterios'!$C$9)*('04_Dados_Ajustados'!R98-'03_Base_Indice'!$H98)/('03_Base_Indice'!$I98-'03_Base_Indice'!$H98))),MIN('01_Criterios'!$C$10,MAX('01_Criterios'!$C$9,'01_Criterios'!$C$9+('01_Criterios'!$C$10-'01_Criterios'!$C$9)*('03_Base_Indice'!$I98-'04_Dados_Ajustados'!R98)/('03_Base_Indice'!$I98-'03_Base_Indice'!$H98))))))</f>
        <v/>
      </c>
      <c r="S98" s="31" t="str">
        <f>IF($D98="","",IF('04_Dados_Ajustados'!S98="","",IF('03_Base_Indice'!$G98="+",MIN('01_Criterios'!$C$10,MAX('01_Criterios'!$C$9,'01_Criterios'!$C$9+('01_Criterios'!$C$10-'01_Criterios'!$C$9)*('04_Dados_Ajustados'!S98-'03_Base_Indice'!$H98)/('03_Base_Indice'!$I98-'03_Base_Indice'!$H98))),MIN('01_Criterios'!$C$10,MAX('01_Criterios'!$C$9,'01_Criterios'!$C$9+('01_Criterios'!$C$10-'01_Criterios'!$C$9)*('03_Base_Indice'!$I98-'04_Dados_Ajustados'!S98)/('03_Base_Indice'!$I98-'03_Base_Indice'!$H98))))))</f>
        <v/>
      </c>
      <c r="T98" s="31" t="str">
        <f>IF($D98="","",IF('04_Dados_Ajustados'!T98="","",IF('03_Base_Indice'!$G98="+",MIN('01_Criterios'!$C$10,MAX('01_Criterios'!$C$9,'01_Criterios'!$C$9+('01_Criterios'!$C$10-'01_Criterios'!$C$9)*('04_Dados_Ajustados'!T98-'03_Base_Indice'!$H98)/('03_Base_Indice'!$I98-'03_Base_Indice'!$H98))),MIN('01_Criterios'!$C$10,MAX('01_Criterios'!$C$9,'01_Criterios'!$C$9+('01_Criterios'!$C$10-'01_Criterios'!$C$9)*('03_Base_Indice'!$I98-'04_Dados_Ajustados'!T98)/('03_Base_Indice'!$I98-'03_Base_Indice'!$H98))))))</f>
        <v/>
      </c>
      <c r="U98" s="31" t="str">
        <f>IF($D98="","",IF('04_Dados_Ajustados'!U98="","",IF('03_Base_Indice'!$G98="+",MIN('01_Criterios'!$C$10,MAX('01_Criterios'!$C$9,'01_Criterios'!$C$9+('01_Criterios'!$C$10-'01_Criterios'!$C$9)*('04_Dados_Ajustados'!U98-'03_Base_Indice'!$H98)/('03_Base_Indice'!$I98-'03_Base_Indice'!$H98))),MIN('01_Criterios'!$C$10,MAX('01_Criterios'!$C$9,'01_Criterios'!$C$9+('01_Criterios'!$C$10-'01_Criterios'!$C$9)*('03_Base_Indice'!$I98-'04_Dados_Ajustados'!U98)/('03_Base_Indice'!$I98-'03_Base_Indice'!$H98))))))</f>
        <v/>
      </c>
    </row>
    <row r="99" spans="1:21">
      <c r="A99" s="6" t="str">
        <f>IF('03_Base_Indice'!$A99="","",'03_Base_Indice'!$A99)</f>
        <v>10. Demografia, Território e Urbanização</v>
      </c>
      <c r="B99" s="6">
        <f>'03_Base_Indice'!$B99</f>
        <v>5</v>
      </c>
      <c r="D99" s="6" t="str">
        <f>IF('03_Base_Indice'!$D99="","",'03_Base_Indice'!$D99)</f>
        <v/>
      </c>
      <c r="E99" s="6" t="str">
        <f>IF('03_Base_Indice'!$E99="","",'03_Base_Indice'!$E99)</f>
        <v/>
      </c>
      <c r="G99" s="20" t="str">
        <f>IF('03_Base_Indice'!$G99="","",'03_Base_Indice'!$G99)</f>
        <v/>
      </c>
      <c r="K99" s="31" t="str">
        <f>IF($D99="","",IF('04_Dados_Ajustados'!K99="","",IF('03_Base_Indice'!$G99="+",MIN('01_Criterios'!$C$10,MAX('01_Criterios'!$C$9,'01_Criterios'!$C$9+('01_Criterios'!$C$10-'01_Criterios'!$C$9)*('04_Dados_Ajustados'!K99-'03_Base_Indice'!$H99)/('03_Base_Indice'!$I99-'03_Base_Indice'!$H99))),MIN('01_Criterios'!$C$10,MAX('01_Criterios'!$C$9,'01_Criterios'!$C$9+('01_Criterios'!$C$10-'01_Criterios'!$C$9)*('03_Base_Indice'!$I99-'04_Dados_Ajustados'!K99)/('03_Base_Indice'!$I99-'03_Base_Indice'!$H99))))))</f>
        <v/>
      </c>
      <c r="L99" s="31" t="str">
        <f>IF($D99="","",IF('04_Dados_Ajustados'!L99="","",IF('03_Base_Indice'!$G99="+",MIN('01_Criterios'!$C$10,MAX('01_Criterios'!$C$9,'01_Criterios'!$C$9+('01_Criterios'!$C$10-'01_Criterios'!$C$9)*('04_Dados_Ajustados'!L99-'03_Base_Indice'!$H99)/('03_Base_Indice'!$I99-'03_Base_Indice'!$H99))),MIN('01_Criterios'!$C$10,MAX('01_Criterios'!$C$9,'01_Criterios'!$C$9+('01_Criterios'!$C$10-'01_Criterios'!$C$9)*('03_Base_Indice'!$I99-'04_Dados_Ajustados'!L99)/('03_Base_Indice'!$I99-'03_Base_Indice'!$H99))))))</f>
        <v/>
      </c>
      <c r="M99" s="31" t="str">
        <f>IF($D99="","",IF('04_Dados_Ajustados'!M99="","",IF('03_Base_Indice'!$G99="+",MIN('01_Criterios'!$C$10,MAX('01_Criterios'!$C$9,'01_Criterios'!$C$9+('01_Criterios'!$C$10-'01_Criterios'!$C$9)*('04_Dados_Ajustados'!M99-'03_Base_Indice'!$H99)/('03_Base_Indice'!$I99-'03_Base_Indice'!$H99))),MIN('01_Criterios'!$C$10,MAX('01_Criterios'!$C$9,'01_Criterios'!$C$9+('01_Criterios'!$C$10-'01_Criterios'!$C$9)*('03_Base_Indice'!$I99-'04_Dados_Ajustados'!M99)/('03_Base_Indice'!$I99-'03_Base_Indice'!$H99))))))</f>
        <v/>
      </c>
      <c r="N99" s="31" t="str">
        <f>IF($D99="","",IF('04_Dados_Ajustados'!N99="","",IF('03_Base_Indice'!$G99="+",MIN('01_Criterios'!$C$10,MAX('01_Criterios'!$C$9,'01_Criterios'!$C$9+('01_Criterios'!$C$10-'01_Criterios'!$C$9)*('04_Dados_Ajustados'!N99-'03_Base_Indice'!$H99)/('03_Base_Indice'!$I99-'03_Base_Indice'!$H99))),MIN('01_Criterios'!$C$10,MAX('01_Criterios'!$C$9,'01_Criterios'!$C$9+('01_Criterios'!$C$10-'01_Criterios'!$C$9)*('03_Base_Indice'!$I99-'04_Dados_Ajustados'!N99)/('03_Base_Indice'!$I99-'03_Base_Indice'!$H99))))))</f>
        <v/>
      </c>
      <c r="O99" s="31" t="str">
        <f>IF($D99="","",IF('04_Dados_Ajustados'!O99="","",IF('03_Base_Indice'!$G99="+",MIN('01_Criterios'!$C$10,MAX('01_Criterios'!$C$9,'01_Criterios'!$C$9+('01_Criterios'!$C$10-'01_Criterios'!$C$9)*('04_Dados_Ajustados'!O99-'03_Base_Indice'!$H99)/('03_Base_Indice'!$I99-'03_Base_Indice'!$H99))),MIN('01_Criterios'!$C$10,MAX('01_Criterios'!$C$9,'01_Criterios'!$C$9+('01_Criterios'!$C$10-'01_Criterios'!$C$9)*('03_Base_Indice'!$I99-'04_Dados_Ajustados'!O99)/('03_Base_Indice'!$I99-'03_Base_Indice'!$H99))))))</f>
        <v/>
      </c>
      <c r="P99" s="31" t="str">
        <f>IF($D99="","",IF('04_Dados_Ajustados'!P99="","",IF('03_Base_Indice'!$G99="+",MIN('01_Criterios'!$C$10,MAX('01_Criterios'!$C$9,'01_Criterios'!$C$9+('01_Criterios'!$C$10-'01_Criterios'!$C$9)*('04_Dados_Ajustados'!P99-'03_Base_Indice'!$H99)/('03_Base_Indice'!$I99-'03_Base_Indice'!$H99))),MIN('01_Criterios'!$C$10,MAX('01_Criterios'!$C$9,'01_Criterios'!$C$9+('01_Criterios'!$C$10-'01_Criterios'!$C$9)*('03_Base_Indice'!$I99-'04_Dados_Ajustados'!P99)/('03_Base_Indice'!$I99-'03_Base_Indice'!$H99))))))</f>
        <v/>
      </c>
      <c r="Q99" s="31" t="str">
        <f>IF($D99="","",IF('04_Dados_Ajustados'!Q99="","",IF('03_Base_Indice'!$G99="+",MIN('01_Criterios'!$C$10,MAX('01_Criterios'!$C$9,'01_Criterios'!$C$9+('01_Criterios'!$C$10-'01_Criterios'!$C$9)*('04_Dados_Ajustados'!Q99-'03_Base_Indice'!$H99)/('03_Base_Indice'!$I99-'03_Base_Indice'!$H99))),MIN('01_Criterios'!$C$10,MAX('01_Criterios'!$C$9,'01_Criterios'!$C$9+('01_Criterios'!$C$10-'01_Criterios'!$C$9)*('03_Base_Indice'!$I99-'04_Dados_Ajustados'!Q99)/('03_Base_Indice'!$I99-'03_Base_Indice'!$H99))))))</f>
        <v/>
      </c>
      <c r="R99" s="31" t="str">
        <f>IF($D99="","",IF('04_Dados_Ajustados'!R99="","",IF('03_Base_Indice'!$G99="+",MIN('01_Criterios'!$C$10,MAX('01_Criterios'!$C$9,'01_Criterios'!$C$9+('01_Criterios'!$C$10-'01_Criterios'!$C$9)*('04_Dados_Ajustados'!R99-'03_Base_Indice'!$H99)/('03_Base_Indice'!$I99-'03_Base_Indice'!$H99))),MIN('01_Criterios'!$C$10,MAX('01_Criterios'!$C$9,'01_Criterios'!$C$9+('01_Criterios'!$C$10-'01_Criterios'!$C$9)*('03_Base_Indice'!$I99-'04_Dados_Ajustados'!R99)/('03_Base_Indice'!$I99-'03_Base_Indice'!$H99))))))</f>
        <v/>
      </c>
      <c r="S99" s="31" t="str">
        <f>IF($D99="","",IF('04_Dados_Ajustados'!S99="","",IF('03_Base_Indice'!$G99="+",MIN('01_Criterios'!$C$10,MAX('01_Criterios'!$C$9,'01_Criterios'!$C$9+('01_Criterios'!$C$10-'01_Criterios'!$C$9)*('04_Dados_Ajustados'!S99-'03_Base_Indice'!$H99)/('03_Base_Indice'!$I99-'03_Base_Indice'!$H99))),MIN('01_Criterios'!$C$10,MAX('01_Criterios'!$C$9,'01_Criterios'!$C$9+('01_Criterios'!$C$10-'01_Criterios'!$C$9)*('03_Base_Indice'!$I99-'04_Dados_Ajustados'!S99)/('03_Base_Indice'!$I99-'03_Base_Indice'!$H99))))))</f>
        <v/>
      </c>
      <c r="T99" s="31" t="str">
        <f>IF($D99="","",IF('04_Dados_Ajustados'!T99="","",IF('03_Base_Indice'!$G99="+",MIN('01_Criterios'!$C$10,MAX('01_Criterios'!$C$9,'01_Criterios'!$C$9+('01_Criterios'!$C$10-'01_Criterios'!$C$9)*('04_Dados_Ajustados'!T99-'03_Base_Indice'!$H99)/('03_Base_Indice'!$I99-'03_Base_Indice'!$H99))),MIN('01_Criterios'!$C$10,MAX('01_Criterios'!$C$9,'01_Criterios'!$C$9+('01_Criterios'!$C$10-'01_Criterios'!$C$9)*('03_Base_Indice'!$I99-'04_Dados_Ajustados'!T99)/('03_Base_Indice'!$I99-'03_Base_Indice'!$H99))))))</f>
        <v/>
      </c>
      <c r="U99" s="31" t="str">
        <f>IF($D99="","",IF('04_Dados_Ajustados'!U99="","",IF('03_Base_Indice'!$G99="+",MIN('01_Criterios'!$C$10,MAX('01_Criterios'!$C$9,'01_Criterios'!$C$9+('01_Criterios'!$C$10-'01_Criterios'!$C$9)*('04_Dados_Ajustados'!U99-'03_Base_Indice'!$H99)/('03_Base_Indice'!$I99-'03_Base_Indice'!$H99))),MIN('01_Criterios'!$C$10,MAX('01_Criterios'!$C$9,'01_Criterios'!$C$9+('01_Criterios'!$C$10-'01_Criterios'!$C$9)*('03_Base_Indice'!$I99-'04_Dados_Ajustados'!U99)/('03_Base_Indice'!$I99-'03_Base_Indice'!$H99))))))</f>
        <v/>
      </c>
    </row>
    <row r="100" spans="1:21">
      <c r="A100" s="6" t="str">
        <f>IF('03_Base_Indice'!$A100="","",'03_Base_Indice'!$A100)</f>
        <v>10. Demografia, Território e Urbanização</v>
      </c>
      <c r="B100" s="6">
        <f>'03_Base_Indice'!$B100</f>
        <v>6</v>
      </c>
      <c r="D100" s="6" t="str">
        <f>IF('03_Base_Indice'!$D100="","",'03_Base_Indice'!$D100)</f>
        <v/>
      </c>
      <c r="E100" s="6" t="str">
        <f>IF('03_Base_Indice'!$E100="","",'03_Base_Indice'!$E100)</f>
        <v/>
      </c>
      <c r="G100" s="20" t="str">
        <f>IF('03_Base_Indice'!$G100="","",'03_Base_Indice'!$G100)</f>
        <v/>
      </c>
      <c r="K100" s="31" t="str">
        <f>IF($D100="","",IF('04_Dados_Ajustados'!K100="","",IF('03_Base_Indice'!$G100="+",MIN('01_Criterios'!$C$10,MAX('01_Criterios'!$C$9,'01_Criterios'!$C$9+('01_Criterios'!$C$10-'01_Criterios'!$C$9)*('04_Dados_Ajustados'!K100-'03_Base_Indice'!$H100)/('03_Base_Indice'!$I100-'03_Base_Indice'!$H100))),MIN('01_Criterios'!$C$10,MAX('01_Criterios'!$C$9,'01_Criterios'!$C$9+('01_Criterios'!$C$10-'01_Criterios'!$C$9)*('03_Base_Indice'!$I100-'04_Dados_Ajustados'!K100)/('03_Base_Indice'!$I100-'03_Base_Indice'!$H100))))))</f>
        <v/>
      </c>
      <c r="L100" s="31" t="str">
        <f>IF($D100="","",IF('04_Dados_Ajustados'!L100="","",IF('03_Base_Indice'!$G100="+",MIN('01_Criterios'!$C$10,MAX('01_Criterios'!$C$9,'01_Criterios'!$C$9+('01_Criterios'!$C$10-'01_Criterios'!$C$9)*('04_Dados_Ajustados'!L100-'03_Base_Indice'!$H100)/('03_Base_Indice'!$I100-'03_Base_Indice'!$H100))),MIN('01_Criterios'!$C$10,MAX('01_Criterios'!$C$9,'01_Criterios'!$C$9+('01_Criterios'!$C$10-'01_Criterios'!$C$9)*('03_Base_Indice'!$I100-'04_Dados_Ajustados'!L100)/('03_Base_Indice'!$I100-'03_Base_Indice'!$H100))))))</f>
        <v/>
      </c>
      <c r="M100" s="31" t="str">
        <f>IF($D100="","",IF('04_Dados_Ajustados'!M100="","",IF('03_Base_Indice'!$G100="+",MIN('01_Criterios'!$C$10,MAX('01_Criterios'!$C$9,'01_Criterios'!$C$9+('01_Criterios'!$C$10-'01_Criterios'!$C$9)*('04_Dados_Ajustados'!M100-'03_Base_Indice'!$H100)/('03_Base_Indice'!$I100-'03_Base_Indice'!$H100))),MIN('01_Criterios'!$C$10,MAX('01_Criterios'!$C$9,'01_Criterios'!$C$9+('01_Criterios'!$C$10-'01_Criterios'!$C$9)*('03_Base_Indice'!$I100-'04_Dados_Ajustados'!M100)/('03_Base_Indice'!$I100-'03_Base_Indice'!$H100))))))</f>
        <v/>
      </c>
      <c r="N100" s="31" t="str">
        <f>IF($D100="","",IF('04_Dados_Ajustados'!N100="","",IF('03_Base_Indice'!$G100="+",MIN('01_Criterios'!$C$10,MAX('01_Criterios'!$C$9,'01_Criterios'!$C$9+('01_Criterios'!$C$10-'01_Criterios'!$C$9)*('04_Dados_Ajustados'!N100-'03_Base_Indice'!$H100)/('03_Base_Indice'!$I100-'03_Base_Indice'!$H100))),MIN('01_Criterios'!$C$10,MAX('01_Criterios'!$C$9,'01_Criterios'!$C$9+('01_Criterios'!$C$10-'01_Criterios'!$C$9)*('03_Base_Indice'!$I100-'04_Dados_Ajustados'!N100)/('03_Base_Indice'!$I100-'03_Base_Indice'!$H100))))))</f>
        <v/>
      </c>
      <c r="O100" s="31" t="str">
        <f>IF($D100="","",IF('04_Dados_Ajustados'!O100="","",IF('03_Base_Indice'!$G100="+",MIN('01_Criterios'!$C$10,MAX('01_Criterios'!$C$9,'01_Criterios'!$C$9+('01_Criterios'!$C$10-'01_Criterios'!$C$9)*('04_Dados_Ajustados'!O100-'03_Base_Indice'!$H100)/('03_Base_Indice'!$I100-'03_Base_Indice'!$H100))),MIN('01_Criterios'!$C$10,MAX('01_Criterios'!$C$9,'01_Criterios'!$C$9+('01_Criterios'!$C$10-'01_Criterios'!$C$9)*('03_Base_Indice'!$I100-'04_Dados_Ajustados'!O100)/('03_Base_Indice'!$I100-'03_Base_Indice'!$H100))))))</f>
        <v/>
      </c>
      <c r="P100" s="31" t="str">
        <f>IF($D100="","",IF('04_Dados_Ajustados'!P100="","",IF('03_Base_Indice'!$G100="+",MIN('01_Criterios'!$C$10,MAX('01_Criterios'!$C$9,'01_Criterios'!$C$9+('01_Criterios'!$C$10-'01_Criterios'!$C$9)*('04_Dados_Ajustados'!P100-'03_Base_Indice'!$H100)/('03_Base_Indice'!$I100-'03_Base_Indice'!$H100))),MIN('01_Criterios'!$C$10,MAX('01_Criterios'!$C$9,'01_Criterios'!$C$9+('01_Criterios'!$C$10-'01_Criterios'!$C$9)*('03_Base_Indice'!$I100-'04_Dados_Ajustados'!P100)/('03_Base_Indice'!$I100-'03_Base_Indice'!$H100))))))</f>
        <v/>
      </c>
      <c r="Q100" s="31" t="str">
        <f>IF($D100="","",IF('04_Dados_Ajustados'!Q100="","",IF('03_Base_Indice'!$G100="+",MIN('01_Criterios'!$C$10,MAX('01_Criterios'!$C$9,'01_Criterios'!$C$9+('01_Criterios'!$C$10-'01_Criterios'!$C$9)*('04_Dados_Ajustados'!Q100-'03_Base_Indice'!$H100)/('03_Base_Indice'!$I100-'03_Base_Indice'!$H100))),MIN('01_Criterios'!$C$10,MAX('01_Criterios'!$C$9,'01_Criterios'!$C$9+('01_Criterios'!$C$10-'01_Criterios'!$C$9)*('03_Base_Indice'!$I100-'04_Dados_Ajustados'!Q100)/('03_Base_Indice'!$I100-'03_Base_Indice'!$H100))))))</f>
        <v/>
      </c>
      <c r="R100" s="31" t="str">
        <f>IF($D100="","",IF('04_Dados_Ajustados'!R100="","",IF('03_Base_Indice'!$G100="+",MIN('01_Criterios'!$C$10,MAX('01_Criterios'!$C$9,'01_Criterios'!$C$9+('01_Criterios'!$C$10-'01_Criterios'!$C$9)*('04_Dados_Ajustados'!R100-'03_Base_Indice'!$H100)/('03_Base_Indice'!$I100-'03_Base_Indice'!$H100))),MIN('01_Criterios'!$C$10,MAX('01_Criterios'!$C$9,'01_Criterios'!$C$9+('01_Criterios'!$C$10-'01_Criterios'!$C$9)*('03_Base_Indice'!$I100-'04_Dados_Ajustados'!R100)/('03_Base_Indice'!$I100-'03_Base_Indice'!$H100))))))</f>
        <v/>
      </c>
      <c r="S100" s="31" t="str">
        <f>IF($D100="","",IF('04_Dados_Ajustados'!S100="","",IF('03_Base_Indice'!$G100="+",MIN('01_Criterios'!$C$10,MAX('01_Criterios'!$C$9,'01_Criterios'!$C$9+('01_Criterios'!$C$10-'01_Criterios'!$C$9)*('04_Dados_Ajustados'!S100-'03_Base_Indice'!$H100)/('03_Base_Indice'!$I100-'03_Base_Indice'!$H100))),MIN('01_Criterios'!$C$10,MAX('01_Criterios'!$C$9,'01_Criterios'!$C$9+('01_Criterios'!$C$10-'01_Criterios'!$C$9)*('03_Base_Indice'!$I100-'04_Dados_Ajustados'!S100)/('03_Base_Indice'!$I100-'03_Base_Indice'!$H100))))))</f>
        <v/>
      </c>
      <c r="T100" s="31" t="str">
        <f>IF($D100="","",IF('04_Dados_Ajustados'!T100="","",IF('03_Base_Indice'!$G100="+",MIN('01_Criterios'!$C$10,MAX('01_Criterios'!$C$9,'01_Criterios'!$C$9+('01_Criterios'!$C$10-'01_Criterios'!$C$9)*('04_Dados_Ajustados'!T100-'03_Base_Indice'!$H100)/('03_Base_Indice'!$I100-'03_Base_Indice'!$H100))),MIN('01_Criterios'!$C$10,MAX('01_Criterios'!$C$9,'01_Criterios'!$C$9+('01_Criterios'!$C$10-'01_Criterios'!$C$9)*('03_Base_Indice'!$I100-'04_Dados_Ajustados'!T100)/('03_Base_Indice'!$I100-'03_Base_Indice'!$H100))))))</f>
        <v/>
      </c>
      <c r="U100" s="31" t="str">
        <f>IF($D100="","",IF('04_Dados_Ajustados'!U100="","",IF('03_Base_Indice'!$G100="+",MIN('01_Criterios'!$C$10,MAX('01_Criterios'!$C$9,'01_Criterios'!$C$9+('01_Criterios'!$C$10-'01_Criterios'!$C$9)*('04_Dados_Ajustados'!U100-'03_Base_Indice'!$H100)/('03_Base_Indice'!$I100-'03_Base_Indice'!$H100))),MIN('01_Criterios'!$C$10,MAX('01_Criterios'!$C$9,'01_Criterios'!$C$9+('01_Criterios'!$C$10-'01_Criterios'!$C$9)*('03_Base_Indice'!$I100-'04_Dados_Ajustados'!U100)/('03_Base_Indice'!$I100-'03_Base_Indice'!$H100))))))</f>
        <v/>
      </c>
    </row>
    <row r="101" spans="1:21">
      <c r="A101" s="6" t="str">
        <f>IF('03_Base_Indice'!$A101="","",'03_Base_Indice'!$A101)</f>
        <v>10. Demografia, Território e Urbanização</v>
      </c>
      <c r="B101" s="6">
        <f>'03_Base_Indice'!$B101</f>
        <v>7</v>
      </c>
      <c r="D101" s="6" t="str">
        <f>IF('03_Base_Indice'!$D101="","",'03_Base_Indice'!$D101)</f>
        <v/>
      </c>
      <c r="E101" s="6" t="str">
        <f>IF('03_Base_Indice'!$E101="","",'03_Base_Indice'!$E101)</f>
        <v/>
      </c>
      <c r="G101" s="20" t="str">
        <f>IF('03_Base_Indice'!$G101="","",'03_Base_Indice'!$G101)</f>
        <v/>
      </c>
      <c r="K101" s="31" t="str">
        <f>IF($D101="","",IF('04_Dados_Ajustados'!K101="","",IF('03_Base_Indice'!$G101="+",MIN('01_Criterios'!$C$10,MAX('01_Criterios'!$C$9,'01_Criterios'!$C$9+('01_Criterios'!$C$10-'01_Criterios'!$C$9)*('04_Dados_Ajustados'!K101-'03_Base_Indice'!$H101)/('03_Base_Indice'!$I101-'03_Base_Indice'!$H101))),MIN('01_Criterios'!$C$10,MAX('01_Criterios'!$C$9,'01_Criterios'!$C$9+('01_Criterios'!$C$10-'01_Criterios'!$C$9)*('03_Base_Indice'!$I101-'04_Dados_Ajustados'!K101)/('03_Base_Indice'!$I101-'03_Base_Indice'!$H101))))))</f>
        <v/>
      </c>
      <c r="L101" s="31" t="str">
        <f>IF($D101="","",IF('04_Dados_Ajustados'!L101="","",IF('03_Base_Indice'!$G101="+",MIN('01_Criterios'!$C$10,MAX('01_Criterios'!$C$9,'01_Criterios'!$C$9+('01_Criterios'!$C$10-'01_Criterios'!$C$9)*('04_Dados_Ajustados'!L101-'03_Base_Indice'!$H101)/('03_Base_Indice'!$I101-'03_Base_Indice'!$H101))),MIN('01_Criterios'!$C$10,MAX('01_Criterios'!$C$9,'01_Criterios'!$C$9+('01_Criterios'!$C$10-'01_Criterios'!$C$9)*('03_Base_Indice'!$I101-'04_Dados_Ajustados'!L101)/('03_Base_Indice'!$I101-'03_Base_Indice'!$H101))))))</f>
        <v/>
      </c>
      <c r="M101" s="31" t="str">
        <f>IF($D101="","",IF('04_Dados_Ajustados'!M101="","",IF('03_Base_Indice'!$G101="+",MIN('01_Criterios'!$C$10,MAX('01_Criterios'!$C$9,'01_Criterios'!$C$9+('01_Criterios'!$C$10-'01_Criterios'!$C$9)*('04_Dados_Ajustados'!M101-'03_Base_Indice'!$H101)/('03_Base_Indice'!$I101-'03_Base_Indice'!$H101))),MIN('01_Criterios'!$C$10,MAX('01_Criterios'!$C$9,'01_Criterios'!$C$9+('01_Criterios'!$C$10-'01_Criterios'!$C$9)*('03_Base_Indice'!$I101-'04_Dados_Ajustados'!M101)/('03_Base_Indice'!$I101-'03_Base_Indice'!$H101))))))</f>
        <v/>
      </c>
      <c r="N101" s="31" t="str">
        <f>IF($D101="","",IF('04_Dados_Ajustados'!N101="","",IF('03_Base_Indice'!$G101="+",MIN('01_Criterios'!$C$10,MAX('01_Criterios'!$C$9,'01_Criterios'!$C$9+('01_Criterios'!$C$10-'01_Criterios'!$C$9)*('04_Dados_Ajustados'!N101-'03_Base_Indice'!$H101)/('03_Base_Indice'!$I101-'03_Base_Indice'!$H101))),MIN('01_Criterios'!$C$10,MAX('01_Criterios'!$C$9,'01_Criterios'!$C$9+('01_Criterios'!$C$10-'01_Criterios'!$C$9)*('03_Base_Indice'!$I101-'04_Dados_Ajustados'!N101)/('03_Base_Indice'!$I101-'03_Base_Indice'!$H101))))))</f>
        <v/>
      </c>
      <c r="O101" s="31" t="str">
        <f>IF($D101="","",IF('04_Dados_Ajustados'!O101="","",IF('03_Base_Indice'!$G101="+",MIN('01_Criterios'!$C$10,MAX('01_Criterios'!$C$9,'01_Criterios'!$C$9+('01_Criterios'!$C$10-'01_Criterios'!$C$9)*('04_Dados_Ajustados'!O101-'03_Base_Indice'!$H101)/('03_Base_Indice'!$I101-'03_Base_Indice'!$H101))),MIN('01_Criterios'!$C$10,MAX('01_Criterios'!$C$9,'01_Criterios'!$C$9+('01_Criterios'!$C$10-'01_Criterios'!$C$9)*('03_Base_Indice'!$I101-'04_Dados_Ajustados'!O101)/('03_Base_Indice'!$I101-'03_Base_Indice'!$H101))))))</f>
        <v/>
      </c>
      <c r="P101" s="31" t="str">
        <f>IF($D101="","",IF('04_Dados_Ajustados'!P101="","",IF('03_Base_Indice'!$G101="+",MIN('01_Criterios'!$C$10,MAX('01_Criterios'!$C$9,'01_Criterios'!$C$9+('01_Criterios'!$C$10-'01_Criterios'!$C$9)*('04_Dados_Ajustados'!P101-'03_Base_Indice'!$H101)/('03_Base_Indice'!$I101-'03_Base_Indice'!$H101))),MIN('01_Criterios'!$C$10,MAX('01_Criterios'!$C$9,'01_Criterios'!$C$9+('01_Criterios'!$C$10-'01_Criterios'!$C$9)*('03_Base_Indice'!$I101-'04_Dados_Ajustados'!P101)/('03_Base_Indice'!$I101-'03_Base_Indice'!$H101))))))</f>
        <v/>
      </c>
      <c r="Q101" s="31" t="str">
        <f>IF($D101="","",IF('04_Dados_Ajustados'!Q101="","",IF('03_Base_Indice'!$G101="+",MIN('01_Criterios'!$C$10,MAX('01_Criterios'!$C$9,'01_Criterios'!$C$9+('01_Criterios'!$C$10-'01_Criterios'!$C$9)*('04_Dados_Ajustados'!Q101-'03_Base_Indice'!$H101)/('03_Base_Indice'!$I101-'03_Base_Indice'!$H101))),MIN('01_Criterios'!$C$10,MAX('01_Criterios'!$C$9,'01_Criterios'!$C$9+('01_Criterios'!$C$10-'01_Criterios'!$C$9)*('03_Base_Indice'!$I101-'04_Dados_Ajustados'!Q101)/('03_Base_Indice'!$I101-'03_Base_Indice'!$H101))))))</f>
        <v/>
      </c>
      <c r="R101" s="31" t="str">
        <f>IF($D101="","",IF('04_Dados_Ajustados'!R101="","",IF('03_Base_Indice'!$G101="+",MIN('01_Criterios'!$C$10,MAX('01_Criterios'!$C$9,'01_Criterios'!$C$9+('01_Criterios'!$C$10-'01_Criterios'!$C$9)*('04_Dados_Ajustados'!R101-'03_Base_Indice'!$H101)/('03_Base_Indice'!$I101-'03_Base_Indice'!$H101))),MIN('01_Criterios'!$C$10,MAX('01_Criterios'!$C$9,'01_Criterios'!$C$9+('01_Criterios'!$C$10-'01_Criterios'!$C$9)*('03_Base_Indice'!$I101-'04_Dados_Ajustados'!R101)/('03_Base_Indice'!$I101-'03_Base_Indice'!$H101))))))</f>
        <v/>
      </c>
      <c r="S101" s="31" t="str">
        <f>IF($D101="","",IF('04_Dados_Ajustados'!S101="","",IF('03_Base_Indice'!$G101="+",MIN('01_Criterios'!$C$10,MAX('01_Criterios'!$C$9,'01_Criterios'!$C$9+('01_Criterios'!$C$10-'01_Criterios'!$C$9)*('04_Dados_Ajustados'!S101-'03_Base_Indice'!$H101)/('03_Base_Indice'!$I101-'03_Base_Indice'!$H101))),MIN('01_Criterios'!$C$10,MAX('01_Criterios'!$C$9,'01_Criterios'!$C$9+('01_Criterios'!$C$10-'01_Criterios'!$C$9)*('03_Base_Indice'!$I101-'04_Dados_Ajustados'!S101)/('03_Base_Indice'!$I101-'03_Base_Indice'!$H101))))))</f>
        <v/>
      </c>
      <c r="T101" s="31" t="str">
        <f>IF($D101="","",IF('04_Dados_Ajustados'!T101="","",IF('03_Base_Indice'!$G101="+",MIN('01_Criterios'!$C$10,MAX('01_Criterios'!$C$9,'01_Criterios'!$C$9+('01_Criterios'!$C$10-'01_Criterios'!$C$9)*('04_Dados_Ajustados'!T101-'03_Base_Indice'!$H101)/('03_Base_Indice'!$I101-'03_Base_Indice'!$H101))),MIN('01_Criterios'!$C$10,MAX('01_Criterios'!$C$9,'01_Criterios'!$C$9+('01_Criterios'!$C$10-'01_Criterios'!$C$9)*('03_Base_Indice'!$I101-'04_Dados_Ajustados'!T101)/('03_Base_Indice'!$I101-'03_Base_Indice'!$H101))))))</f>
        <v/>
      </c>
      <c r="U101" s="31" t="str">
        <f>IF($D101="","",IF('04_Dados_Ajustados'!U101="","",IF('03_Base_Indice'!$G101="+",MIN('01_Criterios'!$C$10,MAX('01_Criterios'!$C$9,'01_Criterios'!$C$9+('01_Criterios'!$C$10-'01_Criterios'!$C$9)*('04_Dados_Ajustados'!U101-'03_Base_Indice'!$H101)/('03_Base_Indice'!$I101-'03_Base_Indice'!$H101))),MIN('01_Criterios'!$C$10,MAX('01_Criterios'!$C$9,'01_Criterios'!$C$9+('01_Criterios'!$C$10-'01_Criterios'!$C$9)*('03_Base_Indice'!$I101-'04_Dados_Ajustados'!U101)/('03_Base_Indice'!$I101-'03_Base_Indice'!$H101))))))</f>
        <v/>
      </c>
    </row>
    <row r="102" spans="1:21">
      <c r="A102" s="6" t="str">
        <f>IF('03_Base_Indice'!$A102="","",'03_Base_Indice'!$A102)</f>
        <v>10. Demografia, Território e Urbanização</v>
      </c>
      <c r="B102" s="6">
        <f>'03_Base_Indice'!$B102</f>
        <v>8</v>
      </c>
      <c r="D102" s="6" t="str">
        <f>IF('03_Base_Indice'!$D102="","",'03_Base_Indice'!$D102)</f>
        <v/>
      </c>
      <c r="E102" s="6" t="str">
        <f>IF('03_Base_Indice'!$E102="","",'03_Base_Indice'!$E102)</f>
        <v/>
      </c>
      <c r="G102" s="20" t="str">
        <f>IF('03_Base_Indice'!$G102="","",'03_Base_Indice'!$G102)</f>
        <v/>
      </c>
      <c r="K102" s="31" t="str">
        <f>IF($D102="","",IF('04_Dados_Ajustados'!K102="","",IF('03_Base_Indice'!$G102="+",MIN('01_Criterios'!$C$10,MAX('01_Criterios'!$C$9,'01_Criterios'!$C$9+('01_Criterios'!$C$10-'01_Criterios'!$C$9)*('04_Dados_Ajustados'!K102-'03_Base_Indice'!$H102)/('03_Base_Indice'!$I102-'03_Base_Indice'!$H102))),MIN('01_Criterios'!$C$10,MAX('01_Criterios'!$C$9,'01_Criterios'!$C$9+('01_Criterios'!$C$10-'01_Criterios'!$C$9)*('03_Base_Indice'!$I102-'04_Dados_Ajustados'!K102)/('03_Base_Indice'!$I102-'03_Base_Indice'!$H102))))))</f>
        <v/>
      </c>
      <c r="L102" s="31" t="str">
        <f>IF($D102="","",IF('04_Dados_Ajustados'!L102="","",IF('03_Base_Indice'!$G102="+",MIN('01_Criterios'!$C$10,MAX('01_Criterios'!$C$9,'01_Criterios'!$C$9+('01_Criterios'!$C$10-'01_Criterios'!$C$9)*('04_Dados_Ajustados'!L102-'03_Base_Indice'!$H102)/('03_Base_Indice'!$I102-'03_Base_Indice'!$H102))),MIN('01_Criterios'!$C$10,MAX('01_Criterios'!$C$9,'01_Criterios'!$C$9+('01_Criterios'!$C$10-'01_Criterios'!$C$9)*('03_Base_Indice'!$I102-'04_Dados_Ajustados'!L102)/('03_Base_Indice'!$I102-'03_Base_Indice'!$H102))))))</f>
        <v/>
      </c>
      <c r="M102" s="31" t="str">
        <f>IF($D102="","",IF('04_Dados_Ajustados'!M102="","",IF('03_Base_Indice'!$G102="+",MIN('01_Criterios'!$C$10,MAX('01_Criterios'!$C$9,'01_Criterios'!$C$9+('01_Criterios'!$C$10-'01_Criterios'!$C$9)*('04_Dados_Ajustados'!M102-'03_Base_Indice'!$H102)/('03_Base_Indice'!$I102-'03_Base_Indice'!$H102))),MIN('01_Criterios'!$C$10,MAX('01_Criterios'!$C$9,'01_Criterios'!$C$9+('01_Criterios'!$C$10-'01_Criterios'!$C$9)*('03_Base_Indice'!$I102-'04_Dados_Ajustados'!M102)/('03_Base_Indice'!$I102-'03_Base_Indice'!$H102))))))</f>
        <v/>
      </c>
      <c r="N102" s="31" t="str">
        <f>IF($D102="","",IF('04_Dados_Ajustados'!N102="","",IF('03_Base_Indice'!$G102="+",MIN('01_Criterios'!$C$10,MAX('01_Criterios'!$C$9,'01_Criterios'!$C$9+('01_Criterios'!$C$10-'01_Criterios'!$C$9)*('04_Dados_Ajustados'!N102-'03_Base_Indice'!$H102)/('03_Base_Indice'!$I102-'03_Base_Indice'!$H102))),MIN('01_Criterios'!$C$10,MAX('01_Criterios'!$C$9,'01_Criterios'!$C$9+('01_Criterios'!$C$10-'01_Criterios'!$C$9)*('03_Base_Indice'!$I102-'04_Dados_Ajustados'!N102)/('03_Base_Indice'!$I102-'03_Base_Indice'!$H102))))))</f>
        <v/>
      </c>
      <c r="O102" s="31" t="str">
        <f>IF($D102="","",IF('04_Dados_Ajustados'!O102="","",IF('03_Base_Indice'!$G102="+",MIN('01_Criterios'!$C$10,MAX('01_Criterios'!$C$9,'01_Criterios'!$C$9+('01_Criterios'!$C$10-'01_Criterios'!$C$9)*('04_Dados_Ajustados'!O102-'03_Base_Indice'!$H102)/('03_Base_Indice'!$I102-'03_Base_Indice'!$H102))),MIN('01_Criterios'!$C$10,MAX('01_Criterios'!$C$9,'01_Criterios'!$C$9+('01_Criterios'!$C$10-'01_Criterios'!$C$9)*('03_Base_Indice'!$I102-'04_Dados_Ajustados'!O102)/('03_Base_Indice'!$I102-'03_Base_Indice'!$H102))))))</f>
        <v/>
      </c>
      <c r="P102" s="31" t="str">
        <f>IF($D102="","",IF('04_Dados_Ajustados'!P102="","",IF('03_Base_Indice'!$G102="+",MIN('01_Criterios'!$C$10,MAX('01_Criterios'!$C$9,'01_Criterios'!$C$9+('01_Criterios'!$C$10-'01_Criterios'!$C$9)*('04_Dados_Ajustados'!P102-'03_Base_Indice'!$H102)/('03_Base_Indice'!$I102-'03_Base_Indice'!$H102))),MIN('01_Criterios'!$C$10,MAX('01_Criterios'!$C$9,'01_Criterios'!$C$9+('01_Criterios'!$C$10-'01_Criterios'!$C$9)*('03_Base_Indice'!$I102-'04_Dados_Ajustados'!P102)/('03_Base_Indice'!$I102-'03_Base_Indice'!$H102))))))</f>
        <v/>
      </c>
      <c r="Q102" s="31" t="str">
        <f>IF($D102="","",IF('04_Dados_Ajustados'!Q102="","",IF('03_Base_Indice'!$G102="+",MIN('01_Criterios'!$C$10,MAX('01_Criterios'!$C$9,'01_Criterios'!$C$9+('01_Criterios'!$C$10-'01_Criterios'!$C$9)*('04_Dados_Ajustados'!Q102-'03_Base_Indice'!$H102)/('03_Base_Indice'!$I102-'03_Base_Indice'!$H102))),MIN('01_Criterios'!$C$10,MAX('01_Criterios'!$C$9,'01_Criterios'!$C$9+('01_Criterios'!$C$10-'01_Criterios'!$C$9)*('03_Base_Indice'!$I102-'04_Dados_Ajustados'!Q102)/('03_Base_Indice'!$I102-'03_Base_Indice'!$H102))))))</f>
        <v/>
      </c>
      <c r="R102" s="31" t="str">
        <f>IF($D102="","",IF('04_Dados_Ajustados'!R102="","",IF('03_Base_Indice'!$G102="+",MIN('01_Criterios'!$C$10,MAX('01_Criterios'!$C$9,'01_Criterios'!$C$9+('01_Criterios'!$C$10-'01_Criterios'!$C$9)*('04_Dados_Ajustados'!R102-'03_Base_Indice'!$H102)/('03_Base_Indice'!$I102-'03_Base_Indice'!$H102))),MIN('01_Criterios'!$C$10,MAX('01_Criterios'!$C$9,'01_Criterios'!$C$9+('01_Criterios'!$C$10-'01_Criterios'!$C$9)*('03_Base_Indice'!$I102-'04_Dados_Ajustados'!R102)/('03_Base_Indice'!$I102-'03_Base_Indice'!$H102))))))</f>
        <v/>
      </c>
      <c r="S102" s="31" t="str">
        <f>IF($D102="","",IF('04_Dados_Ajustados'!S102="","",IF('03_Base_Indice'!$G102="+",MIN('01_Criterios'!$C$10,MAX('01_Criterios'!$C$9,'01_Criterios'!$C$9+('01_Criterios'!$C$10-'01_Criterios'!$C$9)*('04_Dados_Ajustados'!S102-'03_Base_Indice'!$H102)/('03_Base_Indice'!$I102-'03_Base_Indice'!$H102))),MIN('01_Criterios'!$C$10,MAX('01_Criterios'!$C$9,'01_Criterios'!$C$9+('01_Criterios'!$C$10-'01_Criterios'!$C$9)*('03_Base_Indice'!$I102-'04_Dados_Ajustados'!S102)/('03_Base_Indice'!$I102-'03_Base_Indice'!$H102))))))</f>
        <v/>
      </c>
      <c r="T102" s="31" t="str">
        <f>IF($D102="","",IF('04_Dados_Ajustados'!T102="","",IF('03_Base_Indice'!$G102="+",MIN('01_Criterios'!$C$10,MAX('01_Criterios'!$C$9,'01_Criterios'!$C$9+('01_Criterios'!$C$10-'01_Criterios'!$C$9)*('04_Dados_Ajustados'!T102-'03_Base_Indice'!$H102)/('03_Base_Indice'!$I102-'03_Base_Indice'!$H102))),MIN('01_Criterios'!$C$10,MAX('01_Criterios'!$C$9,'01_Criterios'!$C$9+('01_Criterios'!$C$10-'01_Criterios'!$C$9)*('03_Base_Indice'!$I102-'04_Dados_Ajustados'!T102)/('03_Base_Indice'!$I102-'03_Base_Indice'!$H102))))))</f>
        <v/>
      </c>
      <c r="U102" s="31" t="str">
        <f>IF($D102="","",IF('04_Dados_Ajustados'!U102="","",IF('03_Base_Indice'!$G102="+",MIN('01_Criterios'!$C$10,MAX('01_Criterios'!$C$9,'01_Criterios'!$C$9+('01_Criterios'!$C$10-'01_Criterios'!$C$9)*('04_Dados_Ajustados'!U102-'03_Base_Indice'!$H102)/('03_Base_Indice'!$I102-'03_Base_Indice'!$H102))),MIN('01_Criterios'!$C$10,MAX('01_Criterios'!$C$9,'01_Criterios'!$C$9+('01_Criterios'!$C$10-'01_Criterios'!$C$9)*('03_Base_Indice'!$I102-'04_Dados_Ajustados'!U102)/('03_Base_Indice'!$I102-'03_Base_Indice'!$H102))))))</f>
        <v/>
      </c>
    </row>
    <row r="103" spans="1:21">
      <c r="A103" s="6" t="str">
        <f>IF('03_Base_Indice'!$A103="","",'03_Base_Indice'!$A103)</f>
        <v>10. Demografia, Território e Urbanização</v>
      </c>
      <c r="B103" s="6">
        <f>'03_Base_Indice'!$B103</f>
        <v>9</v>
      </c>
      <c r="D103" s="6" t="str">
        <f>IF('03_Base_Indice'!$D103="","",'03_Base_Indice'!$D103)</f>
        <v/>
      </c>
      <c r="E103" s="6" t="str">
        <f>IF('03_Base_Indice'!$E103="","",'03_Base_Indice'!$E103)</f>
        <v/>
      </c>
      <c r="G103" s="20" t="str">
        <f>IF('03_Base_Indice'!$G103="","",'03_Base_Indice'!$G103)</f>
        <v/>
      </c>
      <c r="K103" s="31" t="str">
        <f>IF($D103="","",IF('04_Dados_Ajustados'!K103="","",IF('03_Base_Indice'!$G103="+",MIN('01_Criterios'!$C$10,MAX('01_Criterios'!$C$9,'01_Criterios'!$C$9+('01_Criterios'!$C$10-'01_Criterios'!$C$9)*('04_Dados_Ajustados'!K103-'03_Base_Indice'!$H103)/('03_Base_Indice'!$I103-'03_Base_Indice'!$H103))),MIN('01_Criterios'!$C$10,MAX('01_Criterios'!$C$9,'01_Criterios'!$C$9+('01_Criterios'!$C$10-'01_Criterios'!$C$9)*('03_Base_Indice'!$I103-'04_Dados_Ajustados'!K103)/('03_Base_Indice'!$I103-'03_Base_Indice'!$H103))))))</f>
        <v/>
      </c>
      <c r="L103" s="31" t="str">
        <f>IF($D103="","",IF('04_Dados_Ajustados'!L103="","",IF('03_Base_Indice'!$G103="+",MIN('01_Criterios'!$C$10,MAX('01_Criterios'!$C$9,'01_Criterios'!$C$9+('01_Criterios'!$C$10-'01_Criterios'!$C$9)*('04_Dados_Ajustados'!L103-'03_Base_Indice'!$H103)/('03_Base_Indice'!$I103-'03_Base_Indice'!$H103))),MIN('01_Criterios'!$C$10,MAX('01_Criterios'!$C$9,'01_Criterios'!$C$9+('01_Criterios'!$C$10-'01_Criterios'!$C$9)*('03_Base_Indice'!$I103-'04_Dados_Ajustados'!L103)/('03_Base_Indice'!$I103-'03_Base_Indice'!$H103))))))</f>
        <v/>
      </c>
      <c r="M103" s="31" t="str">
        <f>IF($D103="","",IF('04_Dados_Ajustados'!M103="","",IF('03_Base_Indice'!$G103="+",MIN('01_Criterios'!$C$10,MAX('01_Criterios'!$C$9,'01_Criterios'!$C$9+('01_Criterios'!$C$10-'01_Criterios'!$C$9)*('04_Dados_Ajustados'!M103-'03_Base_Indice'!$H103)/('03_Base_Indice'!$I103-'03_Base_Indice'!$H103))),MIN('01_Criterios'!$C$10,MAX('01_Criterios'!$C$9,'01_Criterios'!$C$9+('01_Criterios'!$C$10-'01_Criterios'!$C$9)*('03_Base_Indice'!$I103-'04_Dados_Ajustados'!M103)/('03_Base_Indice'!$I103-'03_Base_Indice'!$H103))))))</f>
        <v/>
      </c>
      <c r="N103" s="31" t="str">
        <f>IF($D103="","",IF('04_Dados_Ajustados'!N103="","",IF('03_Base_Indice'!$G103="+",MIN('01_Criterios'!$C$10,MAX('01_Criterios'!$C$9,'01_Criterios'!$C$9+('01_Criterios'!$C$10-'01_Criterios'!$C$9)*('04_Dados_Ajustados'!N103-'03_Base_Indice'!$H103)/('03_Base_Indice'!$I103-'03_Base_Indice'!$H103))),MIN('01_Criterios'!$C$10,MAX('01_Criterios'!$C$9,'01_Criterios'!$C$9+('01_Criterios'!$C$10-'01_Criterios'!$C$9)*('03_Base_Indice'!$I103-'04_Dados_Ajustados'!N103)/('03_Base_Indice'!$I103-'03_Base_Indice'!$H103))))))</f>
        <v/>
      </c>
      <c r="O103" s="31" t="str">
        <f>IF($D103="","",IF('04_Dados_Ajustados'!O103="","",IF('03_Base_Indice'!$G103="+",MIN('01_Criterios'!$C$10,MAX('01_Criterios'!$C$9,'01_Criterios'!$C$9+('01_Criterios'!$C$10-'01_Criterios'!$C$9)*('04_Dados_Ajustados'!O103-'03_Base_Indice'!$H103)/('03_Base_Indice'!$I103-'03_Base_Indice'!$H103))),MIN('01_Criterios'!$C$10,MAX('01_Criterios'!$C$9,'01_Criterios'!$C$9+('01_Criterios'!$C$10-'01_Criterios'!$C$9)*('03_Base_Indice'!$I103-'04_Dados_Ajustados'!O103)/('03_Base_Indice'!$I103-'03_Base_Indice'!$H103))))))</f>
        <v/>
      </c>
      <c r="P103" s="31" t="str">
        <f>IF($D103="","",IF('04_Dados_Ajustados'!P103="","",IF('03_Base_Indice'!$G103="+",MIN('01_Criterios'!$C$10,MAX('01_Criterios'!$C$9,'01_Criterios'!$C$9+('01_Criterios'!$C$10-'01_Criterios'!$C$9)*('04_Dados_Ajustados'!P103-'03_Base_Indice'!$H103)/('03_Base_Indice'!$I103-'03_Base_Indice'!$H103))),MIN('01_Criterios'!$C$10,MAX('01_Criterios'!$C$9,'01_Criterios'!$C$9+('01_Criterios'!$C$10-'01_Criterios'!$C$9)*('03_Base_Indice'!$I103-'04_Dados_Ajustados'!P103)/('03_Base_Indice'!$I103-'03_Base_Indice'!$H103))))))</f>
        <v/>
      </c>
      <c r="Q103" s="31" t="str">
        <f>IF($D103="","",IF('04_Dados_Ajustados'!Q103="","",IF('03_Base_Indice'!$G103="+",MIN('01_Criterios'!$C$10,MAX('01_Criterios'!$C$9,'01_Criterios'!$C$9+('01_Criterios'!$C$10-'01_Criterios'!$C$9)*('04_Dados_Ajustados'!Q103-'03_Base_Indice'!$H103)/('03_Base_Indice'!$I103-'03_Base_Indice'!$H103))),MIN('01_Criterios'!$C$10,MAX('01_Criterios'!$C$9,'01_Criterios'!$C$9+('01_Criterios'!$C$10-'01_Criterios'!$C$9)*('03_Base_Indice'!$I103-'04_Dados_Ajustados'!Q103)/('03_Base_Indice'!$I103-'03_Base_Indice'!$H103))))))</f>
        <v/>
      </c>
      <c r="R103" s="31" t="str">
        <f>IF($D103="","",IF('04_Dados_Ajustados'!R103="","",IF('03_Base_Indice'!$G103="+",MIN('01_Criterios'!$C$10,MAX('01_Criterios'!$C$9,'01_Criterios'!$C$9+('01_Criterios'!$C$10-'01_Criterios'!$C$9)*('04_Dados_Ajustados'!R103-'03_Base_Indice'!$H103)/('03_Base_Indice'!$I103-'03_Base_Indice'!$H103))),MIN('01_Criterios'!$C$10,MAX('01_Criterios'!$C$9,'01_Criterios'!$C$9+('01_Criterios'!$C$10-'01_Criterios'!$C$9)*('03_Base_Indice'!$I103-'04_Dados_Ajustados'!R103)/('03_Base_Indice'!$I103-'03_Base_Indice'!$H103))))))</f>
        <v/>
      </c>
      <c r="S103" s="31" t="str">
        <f>IF($D103="","",IF('04_Dados_Ajustados'!S103="","",IF('03_Base_Indice'!$G103="+",MIN('01_Criterios'!$C$10,MAX('01_Criterios'!$C$9,'01_Criterios'!$C$9+('01_Criterios'!$C$10-'01_Criterios'!$C$9)*('04_Dados_Ajustados'!S103-'03_Base_Indice'!$H103)/('03_Base_Indice'!$I103-'03_Base_Indice'!$H103))),MIN('01_Criterios'!$C$10,MAX('01_Criterios'!$C$9,'01_Criterios'!$C$9+('01_Criterios'!$C$10-'01_Criterios'!$C$9)*('03_Base_Indice'!$I103-'04_Dados_Ajustados'!S103)/('03_Base_Indice'!$I103-'03_Base_Indice'!$H103))))))</f>
        <v/>
      </c>
      <c r="T103" s="31" t="str">
        <f>IF($D103="","",IF('04_Dados_Ajustados'!T103="","",IF('03_Base_Indice'!$G103="+",MIN('01_Criterios'!$C$10,MAX('01_Criterios'!$C$9,'01_Criterios'!$C$9+('01_Criterios'!$C$10-'01_Criterios'!$C$9)*('04_Dados_Ajustados'!T103-'03_Base_Indice'!$H103)/('03_Base_Indice'!$I103-'03_Base_Indice'!$H103))),MIN('01_Criterios'!$C$10,MAX('01_Criterios'!$C$9,'01_Criterios'!$C$9+('01_Criterios'!$C$10-'01_Criterios'!$C$9)*('03_Base_Indice'!$I103-'04_Dados_Ajustados'!T103)/('03_Base_Indice'!$I103-'03_Base_Indice'!$H103))))))</f>
        <v/>
      </c>
      <c r="U103" s="31" t="str">
        <f>IF($D103="","",IF('04_Dados_Ajustados'!U103="","",IF('03_Base_Indice'!$G103="+",MIN('01_Criterios'!$C$10,MAX('01_Criterios'!$C$9,'01_Criterios'!$C$9+('01_Criterios'!$C$10-'01_Criterios'!$C$9)*('04_Dados_Ajustados'!U103-'03_Base_Indice'!$H103)/('03_Base_Indice'!$I103-'03_Base_Indice'!$H103))),MIN('01_Criterios'!$C$10,MAX('01_Criterios'!$C$9,'01_Criterios'!$C$9+('01_Criterios'!$C$10-'01_Criterios'!$C$9)*('03_Base_Indice'!$I103-'04_Dados_Ajustados'!U103)/('03_Base_Indice'!$I103-'03_Base_Indice'!$H103))))))</f>
        <v/>
      </c>
    </row>
    <row r="104" spans="1:21">
      <c r="A104" s="6" t="str">
        <f>IF('03_Base_Indice'!$A104="","",'03_Base_Indice'!$A104)</f>
        <v>10. Demografia, Território e Urbanização</v>
      </c>
      <c r="B104" s="6">
        <f>'03_Base_Indice'!$B104</f>
        <v>10</v>
      </c>
      <c r="D104" s="6" t="str">
        <f>IF('03_Base_Indice'!$D104="","",'03_Base_Indice'!$D104)</f>
        <v/>
      </c>
      <c r="E104" s="6" t="str">
        <f>IF('03_Base_Indice'!$E104="","",'03_Base_Indice'!$E104)</f>
        <v/>
      </c>
      <c r="G104" s="20" t="str">
        <f>IF('03_Base_Indice'!$G104="","",'03_Base_Indice'!$G104)</f>
        <v/>
      </c>
      <c r="K104" s="31" t="str">
        <f>IF($D104="","",IF('04_Dados_Ajustados'!K104="","",IF('03_Base_Indice'!$G104="+",MIN('01_Criterios'!$C$10,MAX('01_Criterios'!$C$9,'01_Criterios'!$C$9+('01_Criterios'!$C$10-'01_Criterios'!$C$9)*('04_Dados_Ajustados'!K104-'03_Base_Indice'!$H104)/('03_Base_Indice'!$I104-'03_Base_Indice'!$H104))),MIN('01_Criterios'!$C$10,MAX('01_Criterios'!$C$9,'01_Criterios'!$C$9+('01_Criterios'!$C$10-'01_Criterios'!$C$9)*('03_Base_Indice'!$I104-'04_Dados_Ajustados'!K104)/('03_Base_Indice'!$I104-'03_Base_Indice'!$H104))))))</f>
        <v/>
      </c>
      <c r="L104" s="31" t="str">
        <f>IF($D104="","",IF('04_Dados_Ajustados'!L104="","",IF('03_Base_Indice'!$G104="+",MIN('01_Criterios'!$C$10,MAX('01_Criterios'!$C$9,'01_Criterios'!$C$9+('01_Criterios'!$C$10-'01_Criterios'!$C$9)*('04_Dados_Ajustados'!L104-'03_Base_Indice'!$H104)/('03_Base_Indice'!$I104-'03_Base_Indice'!$H104))),MIN('01_Criterios'!$C$10,MAX('01_Criterios'!$C$9,'01_Criterios'!$C$9+('01_Criterios'!$C$10-'01_Criterios'!$C$9)*('03_Base_Indice'!$I104-'04_Dados_Ajustados'!L104)/('03_Base_Indice'!$I104-'03_Base_Indice'!$H104))))))</f>
        <v/>
      </c>
      <c r="M104" s="31" t="str">
        <f>IF($D104="","",IF('04_Dados_Ajustados'!M104="","",IF('03_Base_Indice'!$G104="+",MIN('01_Criterios'!$C$10,MAX('01_Criterios'!$C$9,'01_Criterios'!$C$9+('01_Criterios'!$C$10-'01_Criterios'!$C$9)*('04_Dados_Ajustados'!M104-'03_Base_Indice'!$H104)/('03_Base_Indice'!$I104-'03_Base_Indice'!$H104))),MIN('01_Criterios'!$C$10,MAX('01_Criterios'!$C$9,'01_Criterios'!$C$9+('01_Criterios'!$C$10-'01_Criterios'!$C$9)*('03_Base_Indice'!$I104-'04_Dados_Ajustados'!M104)/('03_Base_Indice'!$I104-'03_Base_Indice'!$H104))))))</f>
        <v/>
      </c>
      <c r="N104" s="31" t="str">
        <f>IF($D104="","",IF('04_Dados_Ajustados'!N104="","",IF('03_Base_Indice'!$G104="+",MIN('01_Criterios'!$C$10,MAX('01_Criterios'!$C$9,'01_Criterios'!$C$9+('01_Criterios'!$C$10-'01_Criterios'!$C$9)*('04_Dados_Ajustados'!N104-'03_Base_Indice'!$H104)/('03_Base_Indice'!$I104-'03_Base_Indice'!$H104))),MIN('01_Criterios'!$C$10,MAX('01_Criterios'!$C$9,'01_Criterios'!$C$9+('01_Criterios'!$C$10-'01_Criterios'!$C$9)*('03_Base_Indice'!$I104-'04_Dados_Ajustados'!N104)/('03_Base_Indice'!$I104-'03_Base_Indice'!$H104))))))</f>
        <v/>
      </c>
      <c r="O104" s="31" t="str">
        <f>IF($D104="","",IF('04_Dados_Ajustados'!O104="","",IF('03_Base_Indice'!$G104="+",MIN('01_Criterios'!$C$10,MAX('01_Criterios'!$C$9,'01_Criterios'!$C$9+('01_Criterios'!$C$10-'01_Criterios'!$C$9)*('04_Dados_Ajustados'!O104-'03_Base_Indice'!$H104)/('03_Base_Indice'!$I104-'03_Base_Indice'!$H104))),MIN('01_Criterios'!$C$10,MAX('01_Criterios'!$C$9,'01_Criterios'!$C$9+('01_Criterios'!$C$10-'01_Criterios'!$C$9)*('03_Base_Indice'!$I104-'04_Dados_Ajustados'!O104)/('03_Base_Indice'!$I104-'03_Base_Indice'!$H104))))))</f>
        <v/>
      </c>
      <c r="P104" s="31" t="str">
        <f>IF($D104="","",IF('04_Dados_Ajustados'!P104="","",IF('03_Base_Indice'!$G104="+",MIN('01_Criterios'!$C$10,MAX('01_Criterios'!$C$9,'01_Criterios'!$C$9+('01_Criterios'!$C$10-'01_Criterios'!$C$9)*('04_Dados_Ajustados'!P104-'03_Base_Indice'!$H104)/('03_Base_Indice'!$I104-'03_Base_Indice'!$H104))),MIN('01_Criterios'!$C$10,MAX('01_Criterios'!$C$9,'01_Criterios'!$C$9+('01_Criterios'!$C$10-'01_Criterios'!$C$9)*('03_Base_Indice'!$I104-'04_Dados_Ajustados'!P104)/('03_Base_Indice'!$I104-'03_Base_Indice'!$H104))))))</f>
        <v/>
      </c>
      <c r="Q104" s="31" t="str">
        <f>IF($D104="","",IF('04_Dados_Ajustados'!Q104="","",IF('03_Base_Indice'!$G104="+",MIN('01_Criterios'!$C$10,MAX('01_Criterios'!$C$9,'01_Criterios'!$C$9+('01_Criterios'!$C$10-'01_Criterios'!$C$9)*('04_Dados_Ajustados'!Q104-'03_Base_Indice'!$H104)/('03_Base_Indice'!$I104-'03_Base_Indice'!$H104))),MIN('01_Criterios'!$C$10,MAX('01_Criterios'!$C$9,'01_Criterios'!$C$9+('01_Criterios'!$C$10-'01_Criterios'!$C$9)*('03_Base_Indice'!$I104-'04_Dados_Ajustados'!Q104)/('03_Base_Indice'!$I104-'03_Base_Indice'!$H104))))))</f>
        <v/>
      </c>
      <c r="R104" s="31" t="str">
        <f>IF($D104="","",IF('04_Dados_Ajustados'!R104="","",IF('03_Base_Indice'!$G104="+",MIN('01_Criterios'!$C$10,MAX('01_Criterios'!$C$9,'01_Criterios'!$C$9+('01_Criterios'!$C$10-'01_Criterios'!$C$9)*('04_Dados_Ajustados'!R104-'03_Base_Indice'!$H104)/('03_Base_Indice'!$I104-'03_Base_Indice'!$H104))),MIN('01_Criterios'!$C$10,MAX('01_Criterios'!$C$9,'01_Criterios'!$C$9+('01_Criterios'!$C$10-'01_Criterios'!$C$9)*('03_Base_Indice'!$I104-'04_Dados_Ajustados'!R104)/('03_Base_Indice'!$I104-'03_Base_Indice'!$H104))))))</f>
        <v/>
      </c>
      <c r="S104" s="31" t="str">
        <f>IF($D104="","",IF('04_Dados_Ajustados'!S104="","",IF('03_Base_Indice'!$G104="+",MIN('01_Criterios'!$C$10,MAX('01_Criterios'!$C$9,'01_Criterios'!$C$9+('01_Criterios'!$C$10-'01_Criterios'!$C$9)*('04_Dados_Ajustados'!S104-'03_Base_Indice'!$H104)/('03_Base_Indice'!$I104-'03_Base_Indice'!$H104))),MIN('01_Criterios'!$C$10,MAX('01_Criterios'!$C$9,'01_Criterios'!$C$9+('01_Criterios'!$C$10-'01_Criterios'!$C$9)*('03_Base_Indice'!$I104-'04_Dados_Ajustados'!S104)/('03_Base_Indice'!$I104-'03_Base_Indice'!$H104))))))</f>
        <v/>
      </c>
      <c r="T104" s="31" t="str">
        <f>IF($D104="","",IF('04_Dados_Ajustados'!T104="","",IF('03_Base_Indice'!$G104="+",MIN('01_Criterios'!$C$10,MAX('01_Criterios'!$C$9,'01_Criterios'!$C$9+('01_Criterios'!$C$10-'01_Criterios'!$C$9)*('04_Dados_Ajustados'!T104-'03_Base_Indice'!$H104)/('03_Base_Indice'!$I104-'03_Base_Indice'!$H104))),MIN('01_Criterios'!$C$10,MAX('01_Criterios'!$C$9,'01_Criterios'!$C$9+('01_Criterios'!$C$10-'01_Criterios'!$C$9)*('03_Base_Indice'!$I104-'04_Dados_Ajustados'!T104)/('03_Base_Indice'!$I104-'03_Base_Indice'!$H104))))))</f>
        <v/>
      </c>
      <c r="U104" s="31" t="str">
        <f>IF($D104="","",IF('04_Dados_Ajustados'!U104="","",IF('03_Base_Indice'!$G104="+",MIN('01_Criterios'!$C$10,MAX('01_Criterios'!$C$9,'01_Criterios'!$C$9+('01_Criterios'!$C$10-'01_Criterios'!$C$9)*('04_Dados_Ajustados'!U104-'03_Base_Indice'!$H104)/('03_Base_Indice'!$I104-'03_Base_Indice'!$H104))),MIN('01_Criterios'!$C$10,MAX('01_Criterios'!$C$9,'01_Criterios'!$C$9+('01_Criterios'!$C$10-'01_Criterios'!$C$9)*('03_Base_Indice'!$I104-'04_Dados_Ajustados'!U104)/('03_Base_Indice'!$I104-'03_Base_Indice'!$H104))))))</f>
        <v/>
      </c>
    </row>
    <row r="105" spans="1:21">
      <c r="A105" s="6" t="str">
        <f>IF('03_Base_Indice'!$A105="","",'03_Base_Indice'!$A105)</f>
        <v>11. Transformação Digital e Inovação</v>
      </c>
      <c r="B105" s="6">
        <f>'03_Base_Indice'!$B105</f>
        <v>1</v>
      </c>
      <c r="D105" s="6" t="str">
        <f>IF('03_Base_Indice'!$D105="","",'03_Base_Indice'!$D105)</f>
        <v/>
      </c>
      <c r="E105" s="6" t="str">
        <f>IF('03_Base_Indice'!$E105="","",'03_Base_Indice'!$E105)</f>
        <v/>
      </c>
      <c r="G105" s="20" t="str">
        <f>IF('03_Base_Indice'!$G105="","",'03_Base_Indice'!$G105)</f>
        <v/>
      </c>
      <c r="K105" s="31" t="str">
        <f>IF($D105="","",IF('04_Dados_Ajustados'!K105="","",IF('03_Base_Indice'!$G105="+",MIN('01_Criterios'!$C$10,MAX('01_Criterios'!$C$9,'01_Criterios'!$C$9+('01_Criterios'!$C$10-'01_Criterios'!$C$9)*('04_Dados_Ajustados'!K105-'03_Base_Indice'!$H105)/('03_Base_Indice'!$I105-'03_Base_Indice'!$H105))),MIN('01_Criterios'!$C$10,MAX('01_Criterios'!$C$9,'01_Criterios'!$C$9+('01_Criterios'!$C$10-'01_Criterios'!$C$9)*('03_Base_Indice'!$I105-'04_Dados_Ajustados'!K105)/('03_Base_Indice'!$I105-'03_Base_Indice'!$H105))))))</f>
        <v/>
      </c>
      <c r="L105" s="31" t="str">
        <f>IF($D105="","",IF('04_Dados_Ajustados'!L105="","",IF('03_Base_Indice'!$G105="+",MIN('01_Criterios'!$C$10,MAX('01_Criterios'!$C$9,'01_Criterios'!$C$9+('01_Criterios'!$C$10-'01_Criterios'!$C$9)*('04_Dados_Ajustados'!L105-'03_Base_Indice'!$H105)/('03_Base_Indice'!$I105-'03_Base_Indice'!$H105))),MIN('01_Criterios'!$C$10,MAX('01_Criterios'!$C$9,'01_Criterios'!$C$9+('01_Criterios'!$C$10-'01_Criterios'!$C$9)*('03_Base_Indice'!$I105-'04_Dados_Ajustados'!L105)/('03_Base_Indice'!$I105-'03_Base_Indice'!$H105))))))</f>
        <v/>
      </c>
      <c r="M105" s="31" t="str">
        <f>IF($D105="","",IF('04_Dados_Ajustados'!M105="","",IF('03_Base_Indice'!$G105="+",MIN('01_Criterios'!$C$10,MAX('01_Criterios'!$C$9,'01_Criterios'!$C$9+('01_Criterios'!$C$10-'01_Criterios'!$C$9)*('04_Dados_Ajustados'!M105-'03_Base_Indice'!$H105)/('03_Base_Indice'!$I105-'03_Base_Indice'!$H105))),MIN('01_Criterios'!$C$10,MAX('01_Criterios'!$C$9,'01_Criterios'!$C$9+('01_Criterios'!$C$10-'01_Criterios'!$C$9)*('03_Base_Indice'!$I105-'04_Dados_Ajustados'!M105)/('03_Base_Indice'!$I105-'03_Base_Indice'!$H105))))))</f>
        <v/>
      </c>
      <c r="N105" s="31" t="str">
        <f>IF($D105="","",IF('04_Dados_Ajustados'!N105="","",IF('03_Base_Indice'!$G105="+",MIN('01_Criterios'!$C$10,MAX('01_Criterios'!$C$9,'01_Criterios'!$C$9+('01_Criterios'!$C$10-'01_Criterios'!$C$9)*('04_Dados_Ajustados'!N105-'03_Base_Indice'!$H105)/('03_Base_Indice'!$I105-'03_Base_Indice'!$H105))),MIN('01_Criterios'!$C$10,MAX('01_Criterios'!$C$9,'01_Criterios'!$C$9+('01_Criterios'!$C$10-'01_Criterios'!$C$9)*('03_Base_Indice'!$I105-'04_Dados_Ajustados'!N105)/('03_Base_Indice'!$I105-'03_Base_Indice'!$H105))))))</f>
        <v/>
      </c>
      <c r="O105" s="31" t="str">
        <f>IF($D105="","",IF('04_Dados_Ajustados'!O105="","",IF('03_Base_Indice'!$G105="+",MIN('01_Criterios'!$C$10,MAX('01_Criterios'!$C$9,'01_Criterios'!$C$9+('01_Criterios'!$C$10-'01_Criterios'!$C$9)*('04_Dados_Ajustados'!O105-'03_Base_Indice'!$H105)/('03_Base_Indice'!$I105-'03_Base_Indice'!$H105))),MIN('01_Criterios'!$C$10,MAX('01_Criterios'!$C$9,'01_Criterios'!$C$9+('01_Criterios'!$C$10-'01_Criterios'!$C$9)*('03_Base_Indice'!$I105-'04_Dados_Ajustados'!O105)/('03_Base_Indice'!$I105-'03_Base_Indice'!$H105))))))</f>
        <v/>
      </c>
      <c r="P105" s="31" t="str">
        <f>IF($D105="","",IF('04_Dados_Ajustados'!P105="","",IF('03_Base_Indice'!$G105="+",MIN('01_Criterios'!$C$10,MAX('01_Criterios'!$C$9,'01_Criterios'!$C$9+('01_Criterios'!$C$10-'01_Criterios'!$C$9)*('04_Dados_Ajustados'!P105-'03_Base_Indice'!$H105)/('03_Base_Indice'!$I105-'03_Base_Indice'!$H105))),MIN('01_Criterios'!$C$10,MAX('01_Criterios'!$C$9,'01_Criterios'!$C$9+('01_Criterios'!$C$10-'01_Criterios'!$C$9)*('03_Base_Indice'!$I105-'04_Dados_Ajustados'!P105)/('03_Base_Indice'!$I105-'03_Base_Indice'!$H105))))))</f>
        <v/>
      </c>
      <c r="Q105" s="31" t="str">
        <f>IF($D105="","",IF('04_Dados_Ajustados'!Q105="","",IF('03_Base_Indice'!$G105="+",MIN('01_Criterios'!$C$10,MAX('01_Criterios'!$C$9,'01_Criterios'!$C$9+('01_Criterios'!$C$10-'01_Criterios'!$C$9)*('04_Dados_Ajustados'!Q105-'03_Base_Indice'!$H105)/('03_Base_Indice'!$I105-'03_Base_Indice'!$H105))),MIN('01_Criterios'!$C$10,MAX('01_Criterios'!$C$9,'01_Criterios'!$C$9+('01_Criterios'!$C$10-'01_Criterios'!$C$9)*('03_Base_Indice'!$I105-'04_Dados_Ajustados'!Q105)/('03_Base_Indice'!$I105-'03_Base_Indice'!$H105))))))</f>
        <v/>
      </c>
      <c r="R105" s="31" t="str">
        <f>IF($D105="","",IF('04_Dados_Ajustados'!R105="","",IF('03_Base_Indice'!$G105="+",MIN('01_Criterios'!$C$10,MAX('01_Criterios'!$C$9,'01_Criterios'!$C$9+('01_Criterios'!$C$10-'01_Criterios'!$C$9)*('04_Dados_Ajustados'!R105-'03_Base_Indice'!$H105)/('03_Base_Indice'!$I105-'03_Base_Indice'!$H105))),MIN('01_Criterios'!$C$10,MAX('01_Criterios'!$C$9,'01_Criterios'!$C$9+('01_Criterios'!$C$10-'01_Criterios'!$C$9)*('03_Base_Indice'!$I105-'04_Dados_Ajustados'!R105)/('03_Base_Indice'!$I105-'03_Base_Indice'!$H105))))))</f>
        <v/>
      </c>
      <c r="S105" s="31" t="str">
        <f>IF($D105="","",IF('04_Dados_Ajustados'!S105="","",IF('03_Base_Indice'!$G105="+",MIN('01_Criterios'!$C$10,MAX('01_Criterios'!$C$9,'01_Criterios'!$C$9+('01_Criterios'!$C$10-'01_Criterios'!$C$9)*('04_Dados_Ajustados'!S105-'03_Base_Indice'!$H105)/('03_Base_Indice'!$I105-'03_Base_Indice'!$H105))),MIN('01_Criterios'!$C$10,MAX('01_Criterios'!$C$9,'01_Criterios'!$C$9+('01_Criterios'!$C$10-'01_Criterios'!$C$9)*('03_Base_Indice'!$I105-'04_Dados_Ajustados'!S105)/('03_Base_Indice'!$I105-'03_Base_Indice'!$H105))))))</f>
        <v/>
      </c>
      <c r="T105" s="31" t="str">
        <f>IF($D105="","",IF('04_Dados_Ajustados'!T105="","",IF('03_Base_Indice'!$G105="+",MIN('01_Criterios'!$C$10,MAX('01_Criterios'!$C$9,'01_Criterios'!$C$9+('01_Criterios'!$C$10-'01_Criterios'!$C$9)*('04_Dados_Ajustados'!T105-'03_Base_Indice'!$H105)/('03_Base_Indice'!$I105-'03_Base_Indice'!$H105))),MIN('01_Criterios'!$C$10,MAX('01_Criterios'!$C$9,'01_Criterios'!$C$9+('01_Criterios'!$C$10-'01_Criterios'!$C$9)*('03_Base_Indice'!$I105-'04_Dados_Ajustados'!T105)/('03_Base_Indice'!$I105-'03_Base_Indice'!$H105))))))</f>
        <v/>
      </c>
      <c r="U105" s="31" t="str">
        <f>IF($D105="","",IF('04_Dados_Ajustados'!U105="","",IF('03_Base_Indice'!$G105="+",MIN('01_Criterios'!$C$10,MAX('01_Criterios'!$C$9,'01_Criterios'!$C$9+('01_Criterios'!$C$10-'01_Criterios'!$C$9)*('04_Dados_Ajustados'!U105-'03_Base_Indice'!$H105)/('03_Base_Indice'!$I105-'03_Base_Indice'!$H105))),MIN('01_Criterios'!$C$10,MAX('01_Criterios'!$C$9,'01_Criterios'!$C$9+('01_Criterios'!$C$10-'01_Criterios'!$C$9)*('03_Base_Indice'!$I105-'04_Dados_Ajustados'!U105)/('03_Base_Indice'!$I105-'03_Base_Indice'!$H105))))))</f>
        <v/>
      </c>
    </row>
    <row r="106" spans="1:21">
      <c r="A106" s="6" t="str">
        <f>IF('03_Base_Indice'!$A106="","",'03_Base_Indice'!$A106)</f>
        <v>11. Transformação Digital e Inovação</v>
      </c>
      <c r="B106" s="6">
        <f>'03_Base_Indice'!$B106</f>
        <v>2</v>
      </c>
      <c r="D106" s="6" t="str">
        <f>IF('03_Base_Indice'!$D106="","",'03_Base_Indice'!$D106)</f>
        <v/>
      </c>
      <c r="E106" s="6" t="str">
        <f>IF('03_Base_Indice'!$E106="","",'03_Base_Indice'!$E106)</f>
        <v/>
      </c>
      <c r="G106" s="20" t="str">
        <f>IF('03_Base_Indice'!$G106="","",'03_Base_Indice'!$G106)</f>
        <v/>
      </c>
      <c r="K106" s="31" t="str">
        <f>IF($D106="","",IF('04_Dados_Ajustados'!K106="","",IF('03_Base_Indice'!$G106="+",MIN('01_Criterios'!$C$10,MAX('01_Criterios'!$C$9,'01_Criterios'!$C$9+('01_Criterios'!$C$10-'01_Criterios'!$C$9)*('04_Dados_Ajustados'!K106-'03_Base_Indice'!$H106)/('03_Base_Indice'!$I106-'03_Base_Indice'!$H106))),MIN('01_Criterios'!$C$10,MAX('01_Criterios'!$C$9,'01_Criterios'!$C$9+('01_Criterios'!$C$10-'01_Criterios'!$C$9)*('03_Base_Indice'!$I106-'04_Dados_Ajustados'!K106)/('03_Base_Indice'!$I106-'03_Base_Indice'!$H106))))))</f>
        <v/>
      </c>
      <c r="L106" s="31" t="str">
        <f>IF($D106="","",IF('04_Dados_Ajustados'!L106="","",IF('03_Base_Indice'!$G106="+",MIN('01_Criterios'!$C$10,MAX('01_Criterios'!$C$9,'01_Criterios'!$C$9+('01_Criterios'!$C$10-'01_Criterios'!$C$9)*('04_Dados_Ajustados'!L106-'03_Base_Indice'!$H106)/('03_Base_Indice'!$I106-'03_Base_Indice'!$H106))),MIN('01_Criterios'!$C$10,MAX('01_Criterios'!$C$9,'01_Criterios'!$C$9+('01_Criterios'!$C$10-'01_Criterios'!$C$9)*('03_Base_Indice'!$I106-'04_Dados_Ajustados'!L106)/('03_Base_Indice'!$I106-'03_Base_Indice'!$H106))))))</f>
        <v/>
      </c>
      <c r="M106" s="31" t="str">
        <f>IF($D106="","",IF('04_Dados_Ajustados'!M106="","",IF('03_Base_Indice'!$G106="+",MIN('01_Criterios'!$C$10,MAX('01_Criterios'!$C$9,'01_Criterios'!$C$9+('01_Criterios'!$C$10-'01_Criterios'!$C$9)*('04_Dados_Ajustados'!M106-'03_Base_Indice'!$H106)/('03_Base_Indice'!$I106-'03_Base_Indice'!$H106))),MIN('01_Criterios'!$C$10,MAX('01_Criterios'!$C$9,'01_Criterios'!$C$9+('01_Criterios'!$C$10-'01_Criterios'!$C$9)*('03_Base_Indice'!$I106-'04_Dados_Ajustados'!M106)/('03_Base_Indice'!$I106-'03_Base_Indice'!$H106))))))</f>
        <v/>
      </c>
      <c r="N106" s="31" t="str">
        <f>IF($D106="","",IF('04_Dados_Ajustados'!N106="","",IF('03_Base_Indice'!$G106="+",MIN('01_Criterios'!$C$10,MAX('01_Criterios'!$C$9,'01_Criterios'!$C$9+('01_Criterios'!$C$10-'01_Criterios'!$C$9)*('04_Dados_Ajustados'!N106-'03_Base_Indice'!$H106)/('03_Base_Indice'!$I106-'03_Base_Indice'!$H106))),MIN('01_Criterios'!$C$10,MAX('01_Criterios'!$C$9,'01_Criterios'!$C$9+('01_Criterios'!$C$10-'01_Criterios'!$C$9)*('03_Base_Indice'!$I106-'04_Dados_Ajustados'!N106)/('03_Base_Indice'!$I106-'03_Base_Indice'!$H106))))))</f>
        <v/>
      </c>
      <c r="O106" s="31" t="str">
        <f>IF($D106="","",IF('04_Dados_Ajustados'!O106="","",IF('03_Base_Indice'!$G106="+",MIN('01_Criterios'!$C$10,MAX('01_Criterios'!$C$9,'01_Criterios'!$C$9+('01_Criterios'!$C$10-'01_Criterios'!$C$9)*('04_Dados_Ajustados'!O106-'03_Base_Indice'!$H106)/('03_Base_Indice'!$I106-'03_Base_Indice'!$H106))),MIN('01_Criterios'!$C$10,MAX('01_Criterios'!$C$9,'01_Criterios'!$C$9+('01_Criterios'!$C$10-'01_Criterios'!$C$9)*('03_Base_Indice'!$I106-'04_Dados_Ajustados'!O106)/('03_Base_Indice'!$I106-'03_Base_Indice'!$H106))))))</f>
        <v/>
      </c>
      <c r="P106" s="31" t="str">
        <f>IF($D106="","",IF('04_Dados_Ajustados'!P106="","",IF('03_Base_Indice'!$G106="+",MIN('01_Criterios'!$C$10,MAX('01_Criterios'!$C$9,'01_Criterios'!$C$9+('01_Criterios'!$C$10-'01_Criterios'!$C$9)*('04_Dados_Ajustados'!P106-'03_Base_Indice'!$H106)/('03_Base_Indice'!$I106-'03_Base_Indice'!$H106))),MIN('01_Criterios'!$C$10,MAX('01_Criterios'!$C$9,'01_Criterios'!$C$9+('01_Criterios'!$C$10-'01_Criterios'!$C$9)*('03_Base_Indice'!$I106-'04_Dados_Ajustados'!P106)/('03_Base_Indice'!$I106-'03_Base_Indice'!$H106))))))</f>
        <v/>
      </c>
      <c r="Q106" s="31" t="str">
        <f>IF($D106="","",IF('04_Dados_Ajustados'!Q106="","",IF('03_Base_Indice'!$G106="+",MIN('01_Criterios'!$C$10,MAX('01_Criterios'!$C$9,'01_Criterios'!$C$9+('01_Criterios'!$C$10-'01_Criterios'!$C$9)*('04_Dados_Ajustados'!Q106-'03_Base_Indice'!$H106)/('03_Base_Indice'!$I106-'03_Base_Indice'!$H106))),MIN('01_Criterios'!$C$10,MAX('01_Criterios'!$C$9,'01_Criterios'!$C$9+('01_Criterios'!$C$10-'01_Criterios'!$C$9)*('03_Base_Indice'!$I106-'04_Dados_Ajustados'!Q106)/('03_Base_Indice'!$I106-'03_Base_Indice'!$H106))))))</f>
        <v/>
      </c>
      <c r="R106" s="31" t="str">
        <f>IF($D106="","",IF('04_Dados_Ajustados'!R106="","",IF('03_Base_Indice'!$G106="+",MIN('01_Criterios'!$C$10,MAX('01_Criterios'!$C$9,'01_Criterios'!$C$9+('01_Criterios'!$C$10-'01_Criterios'!$C$9)*('04_Dados_Ajustados'!R106-'03_Base_Indice'!$H106)/('03_Base_Indice'!$I106-'03_Base_Indice'!$H106))),MIN('01_Criterios'!$C$10,MAX('01_Criterios'!$C$9,'01_Criterios'!$C$9+('01_Criterios'!$C$10-'01_Criterios'!$C$9)*('03_Base_Indice'!$I106-'04_Dados_Ajustados'!R106)/('03_Base_Indice'!$I106-'03_Base_Indice'!$H106))))))</f>
        <v/>
      </c>
      <c r="S106" s="31" t="str">
        <f>IF($D106="","",IF('04_Dados_Ajustados'!S106="","",IF('03_Base_Indice'!$G106="+",MIN('01_Criterios'!$C$10,MAX('01_Criterios'!$C$9,'01_Criterios'!$C$9+('01_Criterios'!$C$10-'01_Criterios'!$C$9)*('04_Dados_Ajustados'!S106-'03_Base_Indice'!$H106)/('03_Base_Indice'!$I106-'03_Base_Indice'!$H106))),MIN('01_Criterios'!$C$10,MAX('01_Criterios'!$C$9,'01_Criterios'!$C$9+('01_Criterios'!$C$10-'01_Criterios'!$C$9)*('03_Base_Indice'!$I106-'04_Dados_Ajustados'!S106)/('03_Base_Indice'!$I106-'03_Base_Indice'!$H106))))))</f>
        <v/>
      </c>
      <c r="T106" s="31" t="str">
        <f>IF($D106="","",IF('04_Dados_Ajustados'!T106="","",IF('03_Base_Indice'!$G106="+",MIN('01_Criterios'!$C$10,MAX('01_Criterios'!$C$9,'01_Criterios'!$C$9+('01_Criterios'!$C$10-'01_Criterios'!$C$9)*('04_Dados_Ajustados'!T106-'03_Base_Indice'!$H106)/('03_Base_Indice'!$I106-'03_Base_Indice'!$H106))),MIN('01_Criterios'!$C$10,MAX('01_Criterios'!$C$9,'01_Criterios'!$C$9+('01_Criterios'!$C$10-'01_Criterios'!$C$9)*('03_Base_Indice'!$I106-'04_Dados_Ajustados'!T106)/('03_Base_Indice'!$I106-'03_Base_Indice'!$H106))))))</f>
        <v/>
      </c>
      <c r="U106" s="31" t="str">
        <f>IF($D106="","",IF('04_Dados_Ajustados'!U106="","",IF('03_Base_Indice'!$G106="+",MIN('01_Criterios'!$C$10,MAX('01_Criterios'!$C$9,'01_Criterios'!$C$9+('01_Criterios'!$C$10-'01_Criterios'!$C$9)*('04_Dados_Ajustados'!U106-'03_Base_Indice'!$H106)/('03_Base_Indice'!$I106-'03_Base_Indice'!$H106))),MIN('01_Criterios'!$C$10,MAX('01_Criterios'!$C$9,'01_Criterios'!$C$9+('01_Criterios'!$C$10-'01_Criterios'!$C$9)*('03_Base_Indice'!$I106-'04_Dados_Ajustados'!U106)/('03_Base_Indice'!$I106-'03_Base_Indice'!$H106))))))</f>
        <v/>
      </c>
    </row>
    <row r="107" spans="1:21">
      <c r="A107" s="6" t="str">
        <f>IF('03_Base_Indice'!$A107="","",'03_Base_Indice'!$A107)</f>
        <v>11. Transformação Digital e Inovação</v>
      </c>
      <c r="B107" s="6">
        <f>'03_Base_Indice'!$B107</f>
        <v>3</v>
      </c>
      <c r="D107" s="6" t="str">
        <f>IF('03_Base_Indice'!$D107="","",'03_Base_Indice'!$D107)</f>
        <v/>
      </c>
      <c r="E107" s="6" t="str">
        <f>IF('03_Base_Indice'!$E107="","",'03_Base_Indice'!$E107)</f>
        <v/>
      </c>
      <c r="G107" s="20" t="str">
        <f>IF('03_Base_Indice'!$G107="","",'03_Base_Indice'!$G107)</f>
        <v/>
      </c>
      <c r="K107" s="31" t="str">
        <f>IF($D107="","",IF('04_Dados_Ajustados'!K107="","",IF('03_Base_Indice'!$G107="+",MIN('01_Criterios'!$C$10,MAX('01_Criterios'!$C$9,'01_Criterios'!$C$9+('01_Criterios'!$C$10-'01_Criterios'!$C$9)*('04_Dados_Ajustados'!K107-'03_Base_Indice'!$H107)/('03_Base_Indice'!$I107-'03_Base_Indice'!$H107))),MIN('01_Criterios'!$C$10,MAX('01_Criterios'!$C$9,'01_Criterios'!$C$9+('01_Criterios'!$C$10-'01_Criterios'!$C$9)*('03_Base_Indice'!$I107-'04_Dados_Ajustados'!K107)/('03_Base_Indice'!$I107-'03_Base_Indice'!$H107))))))</f>
        <v/>
      </c>
      <c r="L107" s="31" t="str">
        <f>IF($D107="","",IF('04_Dados_Ajustados'!L107="","",IF('03_Base_Indice'!$G107="+",MIN('01_Criterios'!$C$10,MAX('01_Criterios'!$C$9,'01_Criterios'!$C$9+('01_Criterios'!$C$10-'01_Criterios'!$C$9)*('04_Dados_Ajustados'!L107-'03_Base_Indice'!$H107)/('03_Base_Indice'!$I107-'03_Base_Indice'!$H107))),MIN('01_Criterios'!$C$10,MAX('01_Criterios'!$C$9,'01_Criterios'!$C$9+('01_Criterios'!$C$10-'01_Criterios'!$C$9)*('03_Base_Indice'!$I107-'04_Dados_Ajustados'!L107)/('03_Base_Indice'!$I107-'03_Base_Indice'!$H107))))))</f>
        <v/>
      </c>
      <c r="M107" s="31" t="str">
        <f>IF($D107="","",IF('04_Dados_Ajustados'!M107="","",IF('03_Base_Indice'!$G107="+",MIN('01_Criterios'!$C$10,MAX('01_Criterios'!$C$9,'01_Criterios'!$C$9+('01_Criterios'!$C$10-'01_Criterios'!$C$9)*('04_Dados_Ajustados'!M107-'03_Base_Indice'!$H107)/('03_Base_Indice'!$I107-'03_Base_Indice'!$H107))),MIN('01_Criterios'!$C$10,MAX('01_Criterios'!$C$9,'01_Criterios'!$C$9+('01_Criterios'!$C$10-'01_Criterios'!$C$9)*('03_Base_Indice'!$I107-'04_Dados_Ajustados'!M107)/('03_Base_Indice'!$I107-'03_Base_Indice'!$H107))))))</f>
        <v/>
      </c>
      <c r="N107" s="31" t="str">
        <f>IF($D107="","",IF('04_Dados_Ajustados'!N107="","",IF('03_Base_Indice'!$G107="+",MIN('01_Criterios'!$C$10,MAX('01_Criterios'!$C$9,'01_Criterios'!$C$9+('01_Criterios'!$C$10-'01_Criterios'!$C$9)*('04_Dados_Ajustados'!N107-'03_Base_Indice'!$H107)/('03_Base_Indice'!$I107-'03_Base_Indice'!$H107))),MIN('01_Criterios'!$C$10,MAX('01_Criterios'!$C$9,'01_Criterios'!$C$9+('01_Criterios'!$C$10-'01_Criterios'!$C$9)*('03_Base_Indice'!$I107-'04_Dados_Ajustados'!N107)/('03_Base_Indice'!$I107-'03_Base_Indice'!$H107))))))</f>
        <v/>
      </c>
      <c r="O107" s="31" t="str">
        <f>IF($D107="","",IF('04_Dados_Ajustados'!O107="","",IF('03_Base_Indice'!$G107="+",MIN('01_Criterios'!$C$10,MAX('01_Criterios'!$C$9,'01_Criterios'!$C$9+('01_Criterios'!$C$10-'01_Criterios'!$C$9)*('04_Dados_Ajustados'!O107-'03_Base_Indice'!$H107)/('03_Base_Indice'!$I107-'03_Base_Indice'!$H107))),MIN('01_Criterios'!$C$10,MAX('01_Criterios'!$C$9,'01_Criterios'!$C$9+('01_Criterios'!$C$10-'01_Criterios'!$C$9)*('03_Base_Indice'!$I107-'04_Dados_Ajustados'!O107)/('03_Base_Indice'!$I107-'03_Base_Indice'!$H107))))))</f>
        <v/>
      </c>
      <c r="P107" s="31" t="str">
        <f>IF($D107="","",IF('04_Dados_Ajustados'!P107="","",IF('03_Base_Indice'!$G107="+",MIN('01_Criterios'!$C$10,MAX('01_Criterios'!$C$9,'01_Criterios'!$C$9+('01_Criterios'!$C$10-'01_Criterios'!$C$9)*('04_Dados_Ajustados'!P107-'03_Base_Indice'!$H107)/('03_Base_Indice'!$I107-'03_Base_Indice'!$H107))),MIN('01_Criterios'!$C$10,MAX('01_Criterios'!$C$9,'01_Criterios'!$C$9+('01_Criterios'!$C$10-'01_Criterios'!$C$9)*('03_Base_Indice'!$I107-'04_Dados_Ajustados'!P107)/('03_Base_Indice'!$I107-'03_Base_Indice'!$H107))))))</f>
        <v/>
      </c>
      <c r="Q107" s="31" t="str">
        <f>IF($D107="","",IF('04_Dados_Ajustados'!Q107="","",IF('03_Base_Indice'!$G107="+",MIN('01_Criterios'!$C$10,MAX('01_Criterios'!$C$9,'01_Criterios'!$C$9+('01_Criterios'!$C$10-'01_Criterios'!$C$9)*('04_Dados_Ajustados'!Q107-'03_Base_Indice'!$H107)/('03_Base_Indice'!$I107-'03_Base_Indice'!$H107))),MIN('01_Criterios'!$C$10,MAX('01_Criterios'!$C$9,'01_Criterios'!$C$9+('01_Criterios'!$C$10-'01_Criterios'!$C$9)*('03_Base_Indice'!$I107-'04_Dados_Ajustados'!Q107)/('03_Base_Indice'!$I107-'03_Base_Indice'!$H107))))))</f>
        <v/>
      </c>
      <c r="R107" s="31" t="str">
        <f>IF($D107="","",IF('04_Dados_Ajustados'!R107="","",IF('03_Base_Indice'!$G107="+",MIN('01_Criterios'!$C$10,MAX('01_Criterios'!$C$9,'01_Criterios'!$C$9+('01_Criterios'!$C$10-'01_Criterios'!$C$9)*('04_Dados_Ajustados'!R107-'03_Base_Indice'!$H107)/('03_Base_Indice'!$I107-'03_Base_Indice'!$H107))),MIN('01_Criterios'!$C$10,MAX('01_Criterios'!$C$9,'01_Criterios'!$C$9+('01_Criterios'!$C$10-'01_Criterios'!$C$9)*('03_Base_Indice'!$I107-'04_Dados_Ajustados'!R107)/('03_Base_Indice'!$I107-'03_Base_Indice'!$H107))))))</f>
        <v/>
      </c>
      <c r="S107" s="31" t="str">
        <f>IF($D107="","",IF('04_Dados_Ajustados'!S107="","",IF('03_Base_Indice'!$G107="+",MIN('01_Criterios'!$C$10,MAX('01_Criterios'!$C$9,'01_Criterios'!$C$9+('01_Criterios'!$C$10-'01_Criterios'!$C$9)*('04_Dados_Ajustados'!S107-'03_Base_Indice'!$H107)/('03_Base_Indice'!$I107-'03_Base_Indice'!$H107))),MIN('01_Criterios'!$C$10,MAX('01_Criterios'!$C$9,'01_Criterios'!$C$9+('01_Criterios'!$C$10-'01_Criterios'!$C$9)*('03_Base_Indice'!$I107-'04_Dados_Ajustados'!S107)/('03_Base_Indice'!$I107-'03_Base_Indice'!$H107))))))</f>
        <v/>
      </c>
      <c r="T107" s="31" t="str">
        <f>IF($D107="","",IF('04_Dados_Ajustados'!T107="","",IF('03_Base_Indice'!$G107="+",MIN('01_Criterios'!$C$10,MAX('01_Criterios'!$C$9,'01_Criterios'!$C$9+('01_Criterios'!$C$10-'01_Criterios'!$C$9)*('04_Dados_Ajustados'!T107-'03_Base_Indice'!$H107)/('03_Base_Indice'!$I107-'03_Base_Indice'!$H107))),MIN('01_Criterios'!$C$10,MAX('01_Criterios'!$C$9,'01_Criterios'!$C$9+('01_Criterios'!$C$10-'01_Criterios'!$C$9)*('03_Base_Indice'!$I107-'04_Dados_Ajustados'!T107)/('03_Base_Indice'!$I107-'03_Base_Indice'!$H107))))))</f>
        <v/>
      </c>
      <c r="U107" s="31" t="str">
        <f>IF($D107="","",IF('04_Dados_Ajustados'!U107="","",IF('03_Base_Indice'!$G107="+",MIN('01_Criterios'!$C$10,MAX('01_Criterios'!$C$9,'01_Criterios'!$C$9+('01_Criterios'!$C$10-'01_Criterios'!$C$9)*('04_Dados_Ajustados'!U107-'03_Base_Indice'!$H107)/('03_Base_Indice'!$I107-'03_Base_Indice'!$H107))),MIN('01_Criterios'!$C$10,MAX('01_Criterios'!$C$9,'01_Criterios'!$C$9+('01_Criterios'!$C$10-'01_Criterios'!$C$9)*('03_Base_Indice'!$I107-'04_Dados_Ajustados'!U107)/('03_Base_Indice'!$I107-'03_Base_Indice'!$H107))))))</f>
        <v/>
      </c>
    </row>
    <row r="108" spans="1:21">
      <c r="A108" s="6" t="str">
        <f>IF('03_Base_Indice'!$A108="","",'03_Base_Indice'!$A108)</f>
        <v>11. Transformação Digital e Inovação</v>
      </c>
      <c r="B108" s="6">
        <f>'03_Base_Indice'!$B108</f>
        <v>4</v>
      </c>
      <c r="D108" s="6" t="str">
        <f>IF('03_Base_Indice'!$D108="","",'03_Base_Indice'!$D108)</f>
        <v/>
      </c>
      <c r="E108" s="6" t="str">
        <f>IF('03_Base_Indice'!$E108="","",'03_Base_Indice'!$E108)</f>
        <v/>
      </c>
      <c r="G108" s="20" t="str">
        <f>IF('03_Base_Indice'!$G108="","",'03_Base_Indice'!$G108)</f>
        <v/>
      </c>
      <c r="K108" s="31" t="str">
        <f>IF($D108="","",IF('04_Dados_Ajustados'!K108="","",IF('03_Base_Indice'!$G108="+",MIN('01_Criterios'!$C$10,MAX('01_Criterios'!$C$9,'01_Criterios'!$C$9+('01_Criterios'!$C$10-'01_Criterios'!$C$9)*('04_Dados_Ajustados'!K108-'03_Base_Indice'!$H108)/('03_Base_Indice'!$I108-'03_Base_Indice'!$H108))),MIN('01_Criterios'!$C$10,MAX('01_Criterios'!$C$9,'01_Criterios'!$C$9+('01_Criterios'!$C$10-'01_Criterios'!$C$9)*('03_Base_Indice'!$I108-'04_Dados_Ajustados'!K108)/('03_Base_Indice'!$I108-'03_Base_Indice'!$H108))))))</f>
        <v/>
      </c>
      <c r="L108" s="31" t="str">
        <f>IF($D108="","",IF('04_Dados_Ajustados'!L108="","",IF('03_Base_Indice'!$G108="+",MIN('01_Criterios'!$C$10,MAX('01_Criterios'!$C$9,'01_Criterios'!$C$9+('01_Criterios'!$C$10-'01_Criterios'!$C$9)*('04_Dados_Ajustados'!L108-'03_Base_Indice'!$H108)/('03_Base_Indice'!$I108-'03_Base_Indice'!$H108))),MIN('01_Criterios'!$C$10,MAX('01_Criterios'!$C$9,'01_Criterios'!$C$9+('01_Criterios'!$C$10-'01_Criterios'!$C$9)*('03_Base_Indice'!$I108-'04_Dados_Ajustados'!L108)/('03_Base_Indice'!$I108-'03_Base_Indice'!$H108))))))</f>
        <v/>
      </c>
      <c r="M108" s="31" t="str">
        <f>IF($D108="","",IF('04_Dados_Ajustados'!M108="","",IF('03_Base_Indice'!$G108="+",MIN('01_Criterios'!$C$10,MAX('01_Criterios'!$C$9,'01_Criterios'!$C$9+('01_Criterios'!$C$10-'01_Criterios'!$C$9)*('04_Dados_Ajustados'!M108-'03_Base_Indice'!$H108)/('03_Base_Indice'!$I108-'03_Base_Indice'!$H108))),MIN('01_Criterios'!$C$10,MAX('01_Criterios'!$C$9,'01_Criterios'!$C$9+('01_Criterios'!$C$10-'01_Criterios'!$C$9)*('03_Base_Indice'!$I108-'04_Dados_Ajustados'!M108)/('03_Base_Indice'!$I108-'03_Base_Indice'!$H108))))))</f>
        <v/>
      </c>
      <c r="N108" s="31" t="str">
        <f>IF($D108="","",IF('04_Dados_Ajustados'!N108="","",IF('03_Base_Indice'!$G108="+",MIN('01_Criterios'!$C$10,MAX('01_Criterios'!$C$9,'01_Criterios'!$C$9+('01_Criterios'!$C$10-'01_Criterios'!$C$9)*('04_Dados_Ajustados'!N108-'03_Base_Indice'!$H108)/('03_Base_Indice'!$I108-'03_Base_Indice'!$H108))),MIN('01_Criterios'!$C$10,MAX('01_Criterios'!$C$9,'01_Criterios'!$C$9+('01_Criterios'!$C$10-'01_Criterios'!$C$9)*('03_Base_Indice'!$I108-'04_Dados_Ajustados'!N108)/('03_Base_Indice'!$I108-'03_Base_Indice'!$H108))))))</f>
        <v/>
      </c>
      <c r="O108" s="31" t="str">
        <f>IF($D108="","",IF('04_Dados_Ajustados'!O108="","",IF('03_Base_Indice'!$G108="+",MIN('01_Criterios'!$C$10,MAX('01_Criterios'!$C$9,'01_Criterios'!$C$9+('01_Criterios'!$C$10-'01_Criterios'!$C$9)*('04_Dados_Ajustados'!O108-'03_Base_Indice'!$H108)/('03_Base_Indice'!$I108-'03_Base_Indice'!$H108))),MIN('01_Criterios'!$C$10,MAX('01_Criterios'!$C$9,'01_Criterios'!$C$9+('01_Criterios'!$C$10-'01_Criterios'!$C$9)*('03_Base_Indice'!$I108-'04_Dados_Ajustados'!O108)/('03_Base_Indice'!$I108-'03_Base_Indice'!$H108))))))</f>
        <v/>
      </c>
      <c r="P108" s="31" t="str">
        <f>IF($D108="","",IF('04_Dados_Ajustados'!P108="","",IF('03_Base_Indice'!$G108="+",MIN('01_Criterios'!$C$10,MAX('01_Criterios'!$C$9,'01_Criterios'!$C$9+('01_Criterios'!$C$10-'01_Criterios'!$C$9)*('04_Dados_Ajustados'!P108-'03_Base_Indice'!$H108)/('03_Base_Indice'!$I108-'03_Base_Indice'!$H108))),MIN('01_Criterios'!$C$10,MAX('01_Criterios'!$C$9,'01_Criterios'!$C$9+('01_Criterios'!$C$10-'01_Criterios'!$C$9)*('03_Base_Indice'!$I108-'04_Dados_Ajustados'!P108)/('03_Base_Indice'!$I108-'03_Base_Indice'!$H108))))))</f>
        <v/>
      </c>
      <c r="Q108" s="31" t="str">
        <f>IF($D108="","",IF('04_Dados_Ajustados'!Q108="","",IF('03_Base_Indice'!$G108="+",MIN('01_Criterios'!$C$10,MAX('01_Criterios'!$C$9,'01_Criterios'!$C$9+('01_Criterios'!$C$10-'01_Criterios'!$C$9)*('04_Dados_Ajustados'!Q108-'03_Base_Indice'!$H108)/('03_Base_Indice'!$I108-'03_Base_Indice'!$H108))),MIN('01_Criterios'!$C$10,MAX('01_Criterios'!$C$9,'01_Criterios'!$C$9+('01_Criterios'!$C$10-'01_Criterios'!$C$9)*('03_Base_Indice'!$I108-'04_Dados_Ajustados'!Q108)/('03_Base_Indice'!$I108-'03_Base_Indice'!$H108))))))</f>
        <v/>
      </c>
      <c r="R108" s="31" t="str">
        <f>IF($D108="","",IF('04_Dados_Ajustados'!R108="","",IF('03_Base_Indice'!$G108="+",MIN('01_Criterios'!$C$10,MAX('01_Criterios'!$C$9,'01_Criterios'!$C$9+('01_Criterios'!$C$10-'01_Criterios'!$C$9)*('04_Dados_Ajustados'!R108-'03_Base_Indice'!$H108)/('03_Base_Indice'!$I108-'03_Base_Indice'!$H108))),MIN('01_Criterios'!$C$10,MAX('01_Criterios'!$C$9,'01_Criterios'!$C$9+('01_Criterios'!$C$10-'01_Criterios'!$C$9)*('03_Base_Indice'!$I108-'04_Dados_Ajustados'!R108)/('03_Base_Indice'!$I108-'03_Base_Indice'!$H108))))))</f>
        <v/>
      </c>
      <c r="S108" s="31" t="str">
        <f>IF($D108="","",IF('04_Dados_Ajustados'!S108="","",IF('03_Base_Indice'!$G108="+",MIN('01_Criterios'!$C$10,MAX('01_Criterios'!$C$9,'01_Criterios'!$C$9+('01_Criterios'!$C$10-'01_Criterios'!$C$9)*('04_Dados_Ajustados'!S108-'03_Base_Indice'!$H108)/('03_Base_Indice'!$I108-'03_Base_Indice'!$H108))),MIN('01_Criterios'!$C$10,MAX('01_Criterios'!$C$9,'01_Criterios'!$C$9+('01_Criterios'!$C$10-'01_Criterios'!$C$9)*('03_Base_Indice'!$I108-'04_Dados_Ajustados'!S108)/('03_Base_Indice'!$I108-'03_Base_Indice'!$H108))))))</f>
        <v/>
      </c>
      <c r="T108" s="31" t="str">
        <f>IF($D108="","",IF('04_Dados_Ajustados'!T108="","",IF('03_Base_Indice'!$G108="+",MIN('01_Criterios'!$C$10,MAX('01_Criterios'!$C$9,'01_Criterios'!$C$9+('01_Criterios'!$C$10-'01_Criterios'!$C$9)*('04_Dados_Ajustados'!T108-'03_Base_Indice'!$H108)/('03_Base_Indice'!$I108-'03_Base_Indice'!$H108))),MIN('01_Criterios'!$C$10,MAX('01_Criterios'!$C$9,'01_Criterios'!$C$9+('01_Criterios'!$C$10-'01_Criterios'!$C$9)*('03_Base_Indice'!$I108-'04_Dados_Ajustados'!T108)/('03_Base_Indice'!$I108-'03_Base_Indice'!$H108))))))</f>
        <v/>
      </c>
      <c r="U108" s="31" t="str">
        <f>IF($D108="","",IF('04_Dados_Ajustados'!U108="","",IF('03_Base_Indice'!$G108="+",MIN('01_Criterios'!$C$10,MAX('01_Criterios'!$C$9,'01_Criterios'!$C$9+('01_Criterios'!$C$10-'01_Criterios'!$C$9)*('04_Dados_Ajustados'!U108-'03_Base_Indice'!$H108)/('03_Base_Indice'!$I108-'03_Base_Indice'!$H108))),MIN('01_Criterios'!$C$10,MAX('01_Criterios'!$C$9,'01_Criterios'!$C$9+('01_Criterios'!$C$10-'01_Criterios'!$C$9)*('03_Base_Indice'!$I108-'04_Dados_Ajustados'!U108)/('03_Base_Indice'!$I108-'03_Base_Indice'!$H108))))))</f>
        <v/>
      </c>
    </row>
    <row r="109" spans="1:21">
      <c r="A109" s="6" t="str">
        <f>IF('03_Base_Indice'!$A109="","",'03_Base_Indice'!$A109)</f>
        <v>11. Transformação Digital e Inovação</v>
      </c>
      <c r="B109" s="6">
        <f>'03_Base_Indice'!$B109</f>
        <v>5</v>
      </c>
      <c r="D109" s="6" t="str">
        <f>IF('03_Base_Indice'!$D109="","",'03_Base_Indice'!$D109)</f>
        <v/>
      </c>
      <c r="E109" s="6" t="str">
        <f>IF('03_Base_Indice'!$E109="","",'03_Base_Indice'!$E109)</f>
        <v/>
      </c>
      <c r="G109" s="20" t="str">
        <f>IF('03_Base_Indice'!$G109="","",'03_Base_Indice'!$G109)</f>
        <v/>
      </c>
      <c r="K109" s="31" t="str">
        <f>IF($D109="","",IF('04_Dados_Ajustados'!K109="","",IF('03_Base_Indice'!$G109="+",MIN('01_Criterios'!$C$10,MAX('01_Criterios'!$C$9,'01_Criterios'!$C$9+('01_Criterios'!$C$10-'01_Criterios'!$C$9)*('04_Dados_Ajustados'!K109-'03_Base_Indice'!$H109)/('03_Base_Indice'!$I109-'03_Base_Indice'!$H109))),MIN('01_Criterios'!$C$10,MAX('01_Criterios'!$C$9,'01_Criterios'!$C$9+('01_Criterios'!$C$10-'01_Criterios'!$C$9)*('03_Base_Indice'!$I109-'04_Dados_Ajustados'!K109)/('03_Base_Indice'!$I109-'03_Base_Indice'!$H109))))))</f>
        <v/>
      </c>
      <c r="L109" s="31" t="str">
        <f>IF($D109="","",IF('04_Dados_Ajustados'!L109="","",IF('03_Base_Indice'!$G109="+",MIN('01_Criterios'!$C$10,MAX('01_Criterios'!$C$9,'01_Criterios'!$C$9+('01_Criterios'!$C$10-'01_Criterios'!$C$9)*('04_Dados_Ajustados'!L109-'03_Base_Indice'!$H109)/('03_Base_Indice'!$I109-'03_Base_Indice'!$H109))),MIN('01_Criterios'!$C$10,MAX('01_Criterios'!$C$9,'01_Criterios'!$C$9+('01_Criterios'!$C$10-'01_Criterios'!$C$9)*('03_Base_Indice'!$I109-'04_Dados_Ajustados'!L109)/('03_Base_Indice'!$I109-'03_Base_Indice'!$H109))))))</f>
        <v/>
      </c>
      <c r="M109" s="31" t="str">
        <f>IF($D109="","",IF('04_Dados_Ajustados'!M109="","",IF('03_Base_Indice'!$G109="+",MIN('01_Criterios'!$C$10,MAX('01_Criterios'!$C$9,'01_Criterios'!$C$9+('01_Criterios'!$C$10-'01_Criterios'!$C$9)*('04_Dados_Ajustados'!M109-'03_Base_Indice'!$H109)/('03_Base_Indice'!$I109-'03_Base_Indice'!$H109))),MIN('01_Criterios'!$C$10,MAX('01_Criterios'!$C$9,'01_Criterios'!$C$9+('01_Criterios'!$C$10-'01_Criterios'!$C$9)*('03_Base_Indice'!$I109-'04_Dados_Ajustados'!M109)/('03_Base_Indice'!$I109-'03_Base_Indice'!$H109))))))</f>
        <v/>
      </c>
      <c r="N109" s="31" t="str">
        <f>IF($D109="","",IF('04_Dados_Ajustados'!N109="","",IF('03_Base_Indice'!$G109="+",MIN('01_Criterios'!$C$10,MAX('01_Criterios'!$C$9,'01_Criterios'!$C$9+('01_Criterios'!$C$10-'01_Criterios'!$C$9)*('04_Dados_Ajustados'!N109-'03_Base_Indice'!$H109)/('03_Base_Indice'!$I109-'03_Base_Indice'!$H109))),MIN('01_Criterios'!$C$10,MAX('01_Criterios'!$C$9,'01_Criterios'!$C$9+('01_Criterios'!$C$10-'01_Criterios'!$C$9)*('03_Base_Indice'!$I109-'04_Dados_Ajustados'!N109)/('03_Base_Indice'!$I109-'03_Base_Indice'!$H109))))))</f>
        <v/>
      </c>
      <c r="O109" s="31" t="str">
        <f>IF($D109="","",IF('04_Dados_Ajustados'!O109="","",IF('03_Base_Indice'!$G109="+",MIN('01_Criterios'!$C$10,MAX('01_Criterios'!$C$9,'01_Criterios'!$C$9+('01_Criterios'!$C$10-'01_Criterios'!$C$9)*('04_Dados_Ajustados'!O109-'03_Base_Indice'!$H109)/('03_Base_Indice'!$I109-'03_Base_Indice'!$H109))),MIN('01_Criterios'!$C$10,MAX('01_Criterios'!$C$9,'01_Criterios'!$C$9+('01_Criterios'!$C$10-'01_Criterios'!$C$9)*('03_Base_Indice'!$I109-'04_Dados_Ajustados'!O109)/('03_Base_Indice'!$I109-'03_Base_Indice'!$H109))))))</f>
        <v/>
      </c>
      <c r="P109" s="31" t="str">
        <f>IF($D109="","",IF('04_Dados_Ajustados'!P109="","",IF('03_Base_Indice'!$G109="+",MIN('01_Criterios'!$C$10,MAX('01_Criterios'!$C$9,'01_Criterios'!$C$9+('01_Criterios'!$C$10-'01_Criterios'!$C$9)*('04_Dados_Ajustados'!P109-'03_Base_Indice'!$H109)/('03_Base_Indice'!$I109-'03_Base_Indice'!$H109))),MIN('01_Criterios'!$C$10,MAX('01_Criterios'!$C$9,'01_Criterios'!$C$9+('01_Criterios'!$C$10-'01_Criterios'!$C$9)*('03_Base_Indice'!$I109-'04_Dados_Ajustados'!P109)/('03_Base_Indice'!$I109-'03_Base_Indice'!$H109))))))</f>
        <v/>
      </c>
      <c r="Q109" s="31" t="str">
        <f>IF($D109="","",IF('04_Dados_Ajustados'!Q109="","",IF('03_Base_Indice'!$G109="+",MIN('01_Criterios'!$C$10,MAX('01_Criterios'!$C$9,'01_Criterios'!$C$9+('01_Criterios'!$C$10-'01_Criterios'!$C$9)*('04_Dados_Ajustados'!Q109-'03_Base_Indice'!$H109)/('03_Base_Indice'!$I109-'03_Base_Indice'!$H109))),MIN('01_Criterios'!$C$10,MAX('01_Criterios'!$C$9,'01_Criterios'!$C$9+('01_Criterios'!$C$10-'01_Criterios'!$C$9)*('03_Base_Indice'!$I109-'04_Dados_Ajustados'!Q109)/('03_Base_Indice'!$I109-'03_Base_Indice'!$H109))))))</f>
        <v/>
      </c>
      <c r="R109" s="31" t="str">
        <f>IF($D109="","",IF('04_Dados_Ajustados'!R109="","",IF('03_Base_Indice'!$G109="+",MIN('01_Criterios'!$C$10,MAX('01_Criterios'!$C$9,'01_Criterios'!$C$9+('01_Criterios'!$C$10-'01_Criterios'!$C$9)*('04_Dados_Ajustados'!R109-'03_Base_Indice'!$H109)/('03_Base_Indice'!$I109-'03_Base_Indice'!$H109))),MIN('01_Criterios'!$C$10,MAX('01_Criterios'!$C$9,'01_Criterios'!$C$9+('01_Criterios'!$C$10-'01_Criterios'!$C$9)*('03_Base_Indice'!$I109-'04_Dados_Ajustados'!R109)/('03_Base_Indice'!$I109-'03_Base_Indice'!$H109))))))</f>
        <v/>
      </c>
      <c r="S109" s="31" t="str">
        <f>IF($D109="","",IF('04_Dados_Ajustados'!S109="","",IF('03_Base_Indice'!$G109="+",MIN('01_Criterios'!$C$10,MAX('01_Criterios'!$C$9,'01_Criterios'!$C$9+('01_Criterios'!$C$10-'01_Criterios'!$C$9)*('04_Dados_Ajustados'!S109-'03_Base_Indice'!$H109)/('03_Base_Indice'!$I109-'03_Base_Indice'!$H109))),MIN('01_Criterios'!$C$10,MAX('01_Criterios'!$C$9,'01_Criterios'!$C$9+('01_Criterios'!$C$10-'01_Criterios'!$C$9)*('03_Base_Indice'!$I109-'04_Dados_Ajustados'!S109)/('03_Base_Indice'!$I109-'03_Base_Indice'!$H109))))))</f>
        <v/>
      </c>
      <c r="T109" s="31" t="str">
        <f>IF($D109="","",IF('04_Dados_Ajustados'!T109="","",IF('03_Base_Indice'!$G109="+",MIN('01_Criterios'!$C$10,MAX('01_Criterios'!$C$9,'01_Criterios'!$C$9+('01_Criterios'!$C$10-'01_Criterios'!$C$9)*('04_Dados_Ajustados'!T109-'03_Base_Indice'!$H109)/('03_Base_Indice'!$I109-'03_Base_Indice'!$H109))),MIN('01_Criterios'!$C$10,MAX('01_Criterios'!$C$9,'01_Criterios'!$C$9+('01_Criterios'!$C$10-'01_Criterios'!$C$9)*('03_Base_Indice'!$I109-'04_Dados_Ajustados'!T109)/('03_Base_Indice'!$I109-'03_Base_Indice'!$H109))))))</f>
        <v/>
      </c>
      <c r="U109" s="31" t="str">
        <f>IF($D109="","",IF('04_Dados_Ajustados'!U109="","",IF('03_Base_Indice'!$G109="+",MIN('01_Criterios'!$C$10,MAX('01_Criterios'!$C$9,'01_Criterios'!$C$9+('01_Criterios'!$C$10-'01_Criterios'!$C$9)*('04_Dados_Ajustados'!U109-'03_Base_Indice'!$H109)/('03_Base_Indice'!$I109-'03_Base_Indice'!$H109))),MIN('01_Criterios'!$C$10,MAX('01_Criterios'!$C$9,'01_Criterios'!$C$9+('01_Criterios'!$C$10-'01_Criterios'!$C$9)*('03_Base_Indice'!$I109-'04_Dados_Ajustados'!U109)/('03_Base_Indice'!$I109-'03_Base_Indice'!$H109))))))</f>
        <v/>
      </c>
    </row>
    <row r="110" spans="1:21">
      <c r="A110" s="6" t="str">
        <f>IF('03_Base_Indice'!$A110="","",'03_Base_Indice'!$A110)</f>
        <v>11. Transformação Digital e Inovação</v>
      </c>
      <c r="B110" s="6">
        <f>'03_Base_Indice'!$B110</f>
        <v>6</v>
      </c>
      <c r="D110" s="6" t="str">
        <f>IF('03_Base_Indice'!$D110="","",'03_Base_Indice'!$D110)</f>
        <v/>
      </c>
      <c r="E110" s="6" t="str">
        <f>IF('03_Base_Indice'!$E110="","",'03_Base_Indice'!$E110)</f>
        <v/>
      </c>
      <c r="G110" s="20" t="str">
        <f>IF('03_Base_Indice'!$G110="","",'03_Base_Indice'!$G110)</f>
        <v/>
      </c>
      <c r="K110" s="31" t="str">
        <f>IF($D110="","",IF('04_Dados_Ajustados'!K110="","",IF('03_Base_Indice'!$G110="+",MIN('01_Criterios'!$C$10,MAX('01_Criterios'!$C$9,'01_Criterios'!$C$9+('01_Criterios'!$C$10-'01_Criterios'!$C$9)*('04_Dados_Ajustados'!K110-'03_Base_Indice'!$H110)/('03_Base_Indice'!$I110-'03_Base_Indice'!$H110))),MIN('01_Criterios'!$C$10,MAX('01_Criterios'!$C$9,'01_Criterios'!$C$9+('01_Criterios'!$C$10-'01_Criterios'!$C$9)*('03_Base_Indice'!$I110-'04_Dados_Ajustados'!K110)/('03_Base_Indice'!$I110-'03_Base_Indice'!$H110))))))</f>
        <v/>
      </c>
      <c r="L110" s="31" t="str">
        <f>IF($D110="","",IF('04_Dados_Ajustados'!L110="","",IF('03_Base_Indice'!$G110="+",MIN('01_Criterios'!$C$10,MAX('01_Criterios'!$C$9,'01_Criterios'!$C$9+('01_Criterios'!$C$10-'01_Criterios'!$C$9)*('04_Dados_Ajustados'!L110-'03_Base_Indice'!$H110)/('03_Base_Indice'!$I110-'03_Base_Indice'!$H110))),MIN('01_Criterios'!$C$10,MAX('01_Criterios'!$C$9,'01_Criterios'!$C$9+('01_Criterios'!$C$10-'01_Criterios'!$C$9)*('03_Base_Indice'!$I110-'04_Dados_Ajustados'!L110)/('03_Base_Indice'!$I110-'03_Base_Indice'!$H110))))))</f>
        <v/>
      </c>
      <c r="M110" s="31" t="str">
        <f>IF($D110="","",IF('04_Dados_Ajustados'!M110="","",IF('03_Base_Indice'!$G110="+",MIN('01_Criterios'!$C$10,MAX('01_Criterios'!$C$9,'01_Criterios'!$C$9+('01_Criterios'!$C$10-'01_Criterios'!$C$9)*('04_Dados_Ajustados'!M110-'03_Base_Indice'!$H110)/('03_Base_Indice'!$I110-'03_Base_Indice'!$H110))),MIN('01_Criterios'!$C$10,MAX('01_Criterios'!$C$9,'01_Criterios'!$C$9+('01_Criterios'!$C$10-'01_Criterios'!$C$9)*('03_Base_Indice'!$I110-'04_Dados_Ajustados'!M110)/('03_Base_Indice'!$I110-'03_Base_Indice'!$H110))))))</f>
        <v/>
      </c>
      <c r="N110" s="31" t="str">
        <f>IF($D110="","",IF('04_Dados_Ajustados'!N110="","",IF('03_Base_Indice'!$G110="+",MIN('01_Criterios'!$C$10,MAX('01_Criterios'!$C$9,'01_Criterios'!$C$9+('01_Criterios'!$C$10-'01_Criterios'!$C$9)*('04_Dados_Ajustados'!N110-'03_Base_Indice'!$H110)/('03_Base_Indice'!$I110-'03_Base_Indice'!$H110))),MIN('01_Criterios'!$C$10,MAX('01_Criterios'!$C$9,'01_Criterios'!$C$9+('01_Criterios'!$C$10-'01_Criterios'!$C$9)*('03_Base_Indice'!$I110-'04_Dados_Ajustados'!N110)/('03_Base_Indice'!$I110-'03_Base_Indice'!$H110))))))</f>
        <v/>
      </c>
      <c r="O110" s="31" t="str">
        <f>IF($D110="","",IF('04_Dados_Ajustados'!O110="","",IF('03_Base_Indice'!$G110="+",MIN('01_Criterios'!$C$10,MAX('01_Criterios'!$C$9,'01_Criterios'!$C$9+('01_Criterios'!$C$10-'01_Criterios'!$C$9)*('04_Dados_Ajustados'!O110-'03_Base_Indice'!$H110)/('03_Base_Indice'!$I110-'03_Base_Indice'!$H110))),MIN('01_Criterios'!$C$10,MAX('01_Criterios'!$C$9,'01_Criterios'!$C$9+('01_Criterios'!$C$10-'01_Criterios'!$C$9)*('03_Base_Indice'!$I110-'04_Dados_Ajustados'!O110)/('03_Base_Indice'!$I110-'03_Base_Indice'!$H110))))))</f>
        <v/>
      </c>
      <c r="P110" s="31" t="str">
        <f>IF($D110="","",IF('04_Dados_Ajustados'!P110="","",IF('03_Base_Indice'!$G110="+",MIN('01_Criterios'!$C$10,MAX('01_Criterios'!$C$9,'01_Criterios'!$C$9+('01_Criterios'!$C$10-'01_Criterios'!$C$9)*('04_Dados_Ajustados'!P110-'03_Base_Indice'!$H110)/('03_Base_Indice'!$I110-'03_Base_Indice'!$H110))),MIN('01_Criterios'!$C$10,MAX('01_Criterios'!$C$9,'01_Criterios'!$C$9+('01_Criterios'!$C$10-'01_Criterios'!$C$9)*('03_Base_Indice'!$I110-'04_Dados_Ajustados'!P110)/('03_Base_Indice'!$I110-'03_Base_Indice'!$H110))))))</f>
        <v/>
      </c>
      <c r="Q110" s="31" t="str">
        <f>IF($D110="","",IF('04_Dados_Ajustados'!Q110="","",IF('03_Base_Indice'!$G110="+",MIN('01_Criterios'!$C$10,MAX('01_Criterios'!$C$9,'01_Criterios'!$C$9+('01_Criterios'!$C$10-'01_Criterios'!$C$9)*('04_Dados_Ajustados'!Q110-'03_Base_Indice'!$H110)/('03_Base_Indice'!$I110-'03_Base_Indice'!$H110))),MIN('01_Criterios'!$C$10,MAX('01_Criterios'!$C$9,'01_Criterios'!$C$9+('01_Criterios'!$C$10-'01_Criterios'!$C$9)*('03_Base_Indice'!$I110-'04_Dados_Ajustados'!Q110)/('03_Base_Indice'!$I110-'03_Base_Indice'!$H110))))))</f>
        <v/>
      </c>
      <c r="R110" s="31" t="str">
        <f>IF($D110="","",IF('04_Dados_Ajustados'!R110="","",IF('03_Base_Indice'!$G110="+",MIN('01_Criterios'!$C$10,MAX('01_Criterios'!$C$9,'01_Criterios'!$C$9+('01_Criterios'!$C$10-'01_Criterios'!$C$9)*('04_Dados_Ajustados'!R110-'03_Base_Indice'!$H110)/('03_Base_Indice'!$I110-'03_Base_Indice'!$H110))),MIN('01_Criterios'!$C$10,MAX('01_Criterios'!$C$9,'01_Criterios'!$C$9+('01_Criterios'!$C$10-'01_Criterios'!$C$9)*('03_Base_Indice'!$I110-'04_Dados_Ajustados'!R110)/('03_Base_Indice'!$I110-'03_Base_Indice'!$H110))))))</f>
        <v/>
      </c>
      <c r="S110" s="31" t="str">
        <f>IF($D110="","",IF('04_Dados_Ajustados'!S110="","",IF('03_Base_Indice'!$G110="+",MIN('01_Criterios'!$C$10,MAX('01_Criterios'!$C$9,'01_Criterios'!$C$9+('01_Criterios'!$C$10-'01_Criterios'!$C$9)*('04_Dados_Ajustados'!S110-'03_Base_Indice'!$H110)/('03_Base_Indice'!$I110-'03_Base_Indice'!$H110))),MIN('01_Criterios'!$C$10,MAX('01_Criterios'!$C$9,'01_Criterios'!$C$9+('01_Criterios'!$C$10-'01_Criterios'!$C$9)*('03_Base_Indice'!$I110-'04_Dados_Ajustados'!S110)/('03_Base_Indice'!$I110-'03_Base_Indice'!$H110))))))</f>
        <v/>
      </c>
      <c r="T110" s="31" t="str">
        <f>IF($D110="","",IF('04_Dados_Ajustados'!T110="","",IF('03_Base_Indice'!$G110="+",MIN('01_Criterios'!$C$10,MAX('01_Criterios'!$C$9,'01_Criterios'!$C$9+('01_Criterios'!$C$10-'01_Criterios'!$C$9)*('04_Dados_Ajustados'!T110-'03_Base_Indice'!$H110)/('03_Base_Indice'!$I110-'03_Base_Indice'!$H110))),MIN('01_Criterios'!$C$10,MAX('01_Criterios'!$C$9,'01_Criterios'!$C$9+('01_Criterios'!$C$10-'01_Criterios'!$C$9)*('03_Base_Indice'!$I110-'04_Dados_Ajustados'!T110)/('03_Base_Indice'!$I110-'03_Base_Indice'!$H110))))))</f>
        <v/>
      </c>
      <c r="U110" s="31" t="str">
        <f>IF($D110="","",IF('04_Dados_Ajustados'!U110="","",IF('03_Base_Indice'!$G110="+",MIN('01_Criterios'!$C$10,MAX('01_Criterios'!$C$9,'01_Criterios'!$C$9+('01_Criterios'!$C$10-'01_Criterios'!$C$9)*('04_Dados_Ajustados'!U110-'03_Base_Indice'!$H110)/('03_Base_Indice'!$I110-'03_Base_Indice'!$H110))),MIN('01_Criterios'!$C$10,MAX('01_Criterios'!$C$9,'01_Criterios'!$C$9+('01_Criterios'!$C$10-'01_Criterios'!$C$9)*('03_Base_Indice'!$I110-'04_Dados_Ajustados'!U110)/('03_Base_Indice'!$I110-'03_Base_Indice'!$H110))))))</f>
        <v/>
      </c>
    </row>
    <row r="111" spans="1:21">
      <c r="A111" s="6" t="str">
        <f>IF('03_Base_Indice'!$A111="","",'03_Base_Indice'!$A111)</f>
        <v>11. Transformação Digital e Inovação</v>
      </c>
      <c r="B111" s="6">
        <f>'03_Base_Indice'!$B111</f>
        <v>7</v>
      </c>
      <c r="D111" s="6" t="str">
        <f>IF('03_Base_Indice'!$D111="","",'03_Base_Indice'!$D111)</f>
        <v/>
      </c>
      <c r="E111" s="6" t="str">
        <f>IF('03_Base_Indice'!$E111="","",'03_Base_Indice'!$E111)</f>
        <v/>
      </c>
      <c r="G111" s="20" t="str">
        <f>IF('03_Base_Indice'!$G111="","",'03_Base_Indice'!$G111)</f>
        <v/>
      </c>
      <c r="K111" s="31" t="str">
        <f>IF($D111="","",IF('04_Dados_Ajustados'!K111="","",IF('03_Base_Indice'!$G111="+",MIN('01_Criterios'!$C$10,MAX('01_Criterios'!$C$9,'01_Criterios'!$C$9+('01_Criterios'!$C$10-'01_Criterios'!$C$9)*('04_Dados_Ajustados'!K111-'03_Base_Indice'!$H111)/('03_Base_Indice'!$I111-'03_Base_Indice'!$H111))),MIN('01_Criterios'!$C$10,MAX('01_Criterios'!$C$9,'01_Criterios'!$C$9+('01_Criterios'!$C$10-'01_Criterios'!$C$9)*('03_Base_Indice'!$I111-'04_Dados_Ajustados'!K111)/('03_Base_Indice'!$I111-'03_Base_Indice'!$H111))))))</f>
        <v/>
      </c>
      <c r="L111" s="31" t="str">
        <f>IF($D111="","",IF('04_Dados_Ajustados'!L111="","",IF('03_Base_Indice'!$G111="+",MIN('01_Criterios'!$C$10,MAX('01_Criterios'!$C$9,'01_Criterios'!$C$9+('01_Criterios'!$C$10-'01_Criterios'!$C$9)*('04_Dados_Ajustados'!L111-'03_Base_Indice'!$H111)/('03_Base_Indice'!$I111-'03_Base_Indice'!$H111))),MIN('01_Criterios'!$C$10,MAX('01_Criterios'!$C$9,'01_Criterios'!$C$9+('01_Criterios'!$C$10-'01_Criterios'!$C$9)*('03_Base_Indice'!$I111-'04_Dados_Ajustados'!L111)/('03_Base_Indice'!$I111-'03_Base_Indice'!$H111))))))</f>
        <v/>
      </c>
      <c r="M111" s="31" t="str">
        <f>IF($D111="","",IF('04_Dados_Ajustados'!M111="","",IF('03_Base_Indice'!$G111="+",MIN('01_Criterios'!$C$10,MAX('01_Criterios'!$C$9,'01_Criterios'!$C$9+('01_Criterios'!$C$10-'01_Criterios'!$C$9)*('04_Dados_Ajustados'!M111-'03_Base_Indice'!$H111)/('03_Base_Indice'!$I111-'03_Base_Indice'!$H111))),MIN('01_Criterios'!$C$10,MAX('01_Criterios'!$C$9,'01_Criterios'!$C$9+('01_Criterios'!$C$10-'01_Criterios'!$C$9)*('03_Base_Indice'!$I111-'04_Dados_Ajustados'!M111)/('03_Base_Indice'!$I111-'03_Base_Indice'!$H111))))))</f>
        <v/>
      </c>
      <c r="N111" s="31" t="str">
        <f>IF($D111="","",IF('04_Dados_Ajustados'!N111="","",IF('03_Base_Indice'!$G111="+",MIN('01_Criterios'!$C$10,MAX('01_Criterios'!$C$9,'01_Criterios'!$C$9+('01_Criterios'!$C$10-'01_Criterios'!$C$9)*('04_Dados_Ajustados'!N111-'03_Base_Indice'!$H111)/('03_Base_Indice'!$I111-'03_Base_Indice'!$H111))),MIN('01_Criterios'!$C$10,MAX('01_Criterios'!$C$9,'01_Criterios'!$C$9+('01_Criterios'!$C$10-'01_Criterios'!$C$9)*('03_Base_Indice'!$I111-'04_Dados_Ajustados'!N111)/('03_Base_Indice'!$I111-'03_Base_Indice'!$H111))))))</f>
        <v/>
      </c>
      <c r="O111" s="31" t="str">
        <f>IF($D111="","",IF('04_Dados_Ajustados'!O111="","",IF('03_Base_Indice'!$G111="+",MIN('01_Criterios'!$C$10,MAX('01_Criterios'!$C$9,'01_Criterios'!$C$9+('01_Criterios'!$C$10-'01_Criterios'!$C$9)*('04_Dados_Ajustados'!O111-'03_Base_Indice'!$H111)/('03_Base_Indice'!$I111-'03_Base_Indice'!$H111))),MIN('01_Criterios'!$C$10,MAX('01_Criterios'!$C$9,'01_Criterios'!$C$9+('01_Criterios'!$C$10-'01_Criterios'!$C$9)*('03_Base_Indice'!$I111-'04_Dados_Ajustados'!O111)/('03_Base_Indice'!$I111-'03_Base_Indice'!$H111))))))</f>
        <v/>
      </c>
      <c r="P111" s="31" t="str">
        <f>IF($D111="","",IF('04_Dados_Ajustados'!P111="","",IF('03_Base_Indice'!$G111="+",MIN('01_Criterios'!$C$10,MAX('01_Criterios'!$C$9,'01_Criterios'!$C$9+('01_Criterios'!$C$10-'01_Criterios'!$C$9)*('04_Dados_Ajustados'!P111-'03_Base_Indice'!$H111)/('03_Base_Indice'!$I111-'03_Base_Indice'!$H111))),MIN('01_Criterios'!$C$10,MAX('01_Criterios'!$C$9,'01_Criterios'!$C$9+('01_Criterios'!$C$10-'01_Criterios'!$C$9)*('03_Base_Indice'!$I111-'04_Dados_Ajustados'!P111)/('03_Base_Indice'!$I111-'03_Base_Indice'!$H111))))))</f>
        <v/>
      </c>
      <c r="Q111" s="31" t="str">
        <f>IF($D111="","",IF('04_Dados_Ajustados'!Q111="","",IF('03_Base_Indice'!$G111="+",MIN('01_Criterios'!$C$10,MAX('01_Criterios'!$C$9,'01_Criterios'!$C$9+('01_Criterios'!$C$10-'01_Criterios'!$C$9)*('04_Dados_Ajustados'!Q111-'03_Base_Indice'!$H111)/('03_Base_Indice'!$I111-'03_Base_Indice'!$H111))),MIN('01_Criterios'!$C$10,MAX('01_Criterios'!$C$9,'01_Criterios'!$C$9+('01_Criterios'!$C$10-'01_Criterios'!$C$9)*('03_Base_Indice'!$I111-'04_Dados_Ajustados'!Q111)/('03_Base_Indice'!$I111-'03_Base_Indice'!$H111))))))</f>
        <v/>
      </c>
      <c r="R111" s="31" t="str">
        <f>IF($D111="","",IF('04_Dados_Ajustados'!R111="","",IF('03_Base_Indice'!$G111="+",MIN('01_Criterios'!$C$10,MAX('01_Criterios'!$C$9,'01_Criterios'!$C$9+('01_Criterios'!$C$10-'01_Criterios'!$C$9)*('04_Dados_Ajustados'!R111-'03_Base_Indice'!$H111)/('03_Base_Indice'!$I111-'03_Base_Indice'!$H111))),MIN('01_Criterios'!$C$10,MAX('01_Criterios'!$C$9,'01_Criterios'!$C$9+('01_Criterios'!$C$10-'01_Criterios'!$C$9)*('03_Base_Indice'!$I111-'04_Dados_Ajustados'!R111)/('03_Base_Indice'!$I111-'03_Base_Indice'!$H111))))))</f>
        <v/>
      </c>
      <c r="S111" s="31" t="str">
        <f>IF($D111="","",IF('04_Dados_Ajustados'!S111="","",IF('03_Base_Indice'!$G111="+",MIN('01_Criterios'!$C$10,MAX('01_Criterios'!$C$9,'01_Criterios'!$C$9+('01_Criterios'!$C$10-'01_Criterios'!$C$9)*('04_Dados_Ajustados'!S111-'03_Base_Indice'!$H111)/('03_Base_Indice'!$I111-'03_Base_Indice'!$H111))),MIN('01_Criterios'!$C$10,MAX('01_Criterios'!$C$9,'01_Criterios'!$C$9+('01_Criterios'!$C$10-'01_Criterios'!$C$9)*('03_Base_Indice'!$I111-'04_Dados_Ajustados'!S111)/('03_Base_Indice'!$I111-'03_Base_Indice'!$H111))))))</f>
        <v/>
      </c>
      <c r="T111" s="31" t="str">
        <f>IF($D111="","",IF('04_Dados_Ajustados'!T111="","",IF('03_Base_Indice'!$G111="+",MIN('01_Criterios'!$C$10,MAX('01_Criterios'!$C$9,'01_Criterios'!$C$9+('01_Criterios'!$C$10-'01_Criterios'!$C$9)*('04_Dados_Ajustados'!T111-'03_Base_Indice'!$H111)/('03_Base_Indice'!$I111-'03_Base_Indice'!$H111))),MIN('01_Criterios'!$C$10,MAX('01_Criterios'!$C$9,'01_Criterios'!$C$9+('01_Criterios'!$C$10-'01_Criterios'!$C$9)*('03_Base_Indice'!$I111-'04_Dados_Ajustados'!T111)/('03_Base_Indice'!$I111-'03_Base_Indice'!$H111))))))</f>
        <v/>
      </c>
      <c r="U111" s="31" t="str">
        <f>IF($D111="","",IF('04_Dados_Ajustados'!U111="","",IF('03_Base_Indice'!$G111="+",MIN('01_Criterios'!$C$10,MAX('01_Criterios'!$C$9,'01_Criterios'!$C$9+('01_Criterios'!$C$10-'01_Criterios'!$C$9)*('04_Dados_Ajustados'!U111-'03_Base_Indice'!$H111)/('03_Base_Indice'!$I111-'03_Base_Indice'!$H111))),MIN('01_Criterios'!$C$10,MAX('01_Criterios'!$C$9,'01_Criterios'!$C$9+('01_Criterios'!$C$10-'01_Criterios'!$C$9)*('03_Base_Indice'!$I111-'04_Dados_Ajustados'!U111)/('03_Base_Indice'!$I111-'03_Base_Indice'!$H111))))))</f>
        <v/>
      </c>
    </row>
    <row r="112" spans="1:21">
      <c r="A112" s="6" t="str">
        <f>IF('03_Base_Indice'!$A112="","",'03_Base_Indice'!$A112)</f>
        <v>11. Transformação Digital e Inovação</v>
      </c>
      <c r="B112" s="6">
        <f>'03_Base_Indice'!$B112</f>
        <v>8</v>
      </c>
      <c r="D112" s="6" t="str">
        <f>IF('03_Base_Indice'!$D112="","",'03_Base_Indice'!$D112)</f>
        <v/>
      </c>
      <c r="E112" s="6" t="str">
        <f>IF('03_Base_Indice'!$E112="","",'03_Base_Indice'!$E112)</f>
        <v/>
      </c>
      <c r="G112" s="20" t="str">
        <f>IF('03_Base_Indice'!$G112="","",'03_Base_Indice'!$G112)</f>
        <v/>
      </c>
      <c r="K112" s="31" t="str">
        <f>IF($D112="","",IF('04_Dados_Ajustados'!K112="","",IF('03_Base_Indice'!$G112="+",MIN('01_Criterios'!$C$10,MAX('01_Criterios'!$C$9,'01_Criterios'!$C$9+('01_Criterios'!$C$10-'01_Criterios'!$C$9)*('04_Dados_Ajustados'!K112-'03_Base_Indice'!$H112)/('03_Base_Indice'!$I112-'03_Base_Indice'!$H112))),MIN('01_Criterios'!$C$10,MAX('01_Criterios'!$C$9,'01_Criterios'!$C$9+('01_Criterios'!$C$10-'01_Criterios'!$C$9)*('03_Base_Indice'!$I112-'04_Dados_Ajustados'!K112)/('03_Base_Indice'!$I112-'03_Base_Indice'!$H112))))))</f>
        <v/>
      </c>
      <c r="L112" s="31" t="str">
        <f>IF($D112="","",IF('04_Dados_Ajustados'!L112="","",IF('03_Base_Indice'!$G112="+",MIN('01_Criterios'!$C$10,MAX('01_Criterios'!$C$9,'01_Criterios'!$C$9+('01_Criterios'!$C$10-'01_Criterios'!$C$9)*('04_Dados_Ajustados'!L112-'03_Base_Indice'!$H112)/('03_Base_Indice'!$I112-'03_Base_Indice'!$H112))),MIN('01_Criterios'!$C$10,MAX('01_Criterios'!$C$9,'01_Criterios'!$C$9+('01_Criterios'!$C$10-'01_Criterios'!$C$9)*('03_Base_Indice'!$I112-'04_Dados_Ajustados'!L112)/('03_Base_Indice'!$I112-'03_Base_Indice'!$H112))))))</f>
        <v/>
      </c>
      <c r="M112" s="31" t="str">
        <f>IF($D112="","",IF('04_Dados_Ajustados'!M112="","",IF('03_Base_Indice'!$G112="+",MIN('01_Criterios'!$C$10,MAX('01_Criterios'!$C$9,'01_Criterios'!$C$9+('01_Criterios'!$C$10-'01_Criterios'!$C$9)*('04_Dados_Ajustados'!M112-'03_Base_Indice'!$H112)/('03_Base_Indice'!$I112-'03_Base_Indice'!$H112))),MIN('01_Criterios'!$C$10,MAX('01_Criterios'!$C$9,'01_Criterios'!$C$9+('01_Criterios'!$C$10-'01_Criterios'!$C$9)*('03_Base_Indice'!$I112-'04_Dados_Ajustados'!M112)/('03_Base_Indice'!$I112-'03_Base_Indice'!$H112))))))</f>
        <v/>
      </c>
      <c r="N112" s="31" t="str">
        <f>IF($D112="","",IF('04_Dados_Ajustados'!N112="","",IF('03_Base_Indice'!$G112="+",MIN('01_Criterios'!$C$10,MAX('01_Criterios'!$C$9,'01_Criterios'!$C$9+('01_Criterios'!$C$10-'01_Criterios'!$C$9)*('04_Dados_Ajustados'!N112-'03_Base_Indice'!$H112)/('03_Base_Indice'!$I112-'03_Base_Indice'!$H112))),MIN('01_Criterios'!$C$10,MAX('01_Criterios'!$C$9,'01_Criterios'!$C$9+('01_Criterios'!$C$10-'01_Criterios'!$C$9)*('03_Base_Indice'!$I112-'04_Dados_Ajustados'!N112)/('03_Base_Indice'!$I112-'03_Base_Indice'!$H112))))))</f>
        <v/>
      </c>
      <c r="O112" s="31" t="str">
        <f>IF($D112="","",IF('04_Dados_Ajustados'!O112="","",IF('03_Base_Indice'!$G112="+",MIN('01_Criterios'!$C$10,MAX('01_Criterios'!$C$9,'01_Criterios'!$C$9+('01_Criterios'!$C$10-'01_Criterios'!$C$9)*('04_Dados_Ajustados'!O112-'03_Base_Indice'!$H112)/('03_Base_Indice'!$I112-'03_Base_Indice'!$H112))),MIN('01_Criterios'!$C$10,MAX('01_Criterios'!$C$9,'01_Criterios'!$C$9+('01_Criterios'!$C$10-'01_Criterios'!$C$9)*('03_Base_Indice'!$I112-'04_Dados_Ajustados'!O112)/('03_Base_Indice'!$I112-'03_Base_Indice'!$H112))))))</f>
        <v/>
      </c>
      <c r="P112" s="31" t="str">
        <f>IF($D112="","",IF('04_Dados_Ajustados'!P112="","",IF('03_Base_Indice'!$G112="+",MIN('01_Criterios'!$C$10,MAX('01_Criterios'!$C$9,'01_Criterios'!$C$9+('01_Criterios'!$C$10-'01_Criterios'!$C$9)*('04_Dados_Ajustados'!P112-'03_Base_Indice'!$H112)/('03_Base_Indice'!$I112-'03_Base_Indice'!$H112))),MIN('01_Criterios'!$C$10,MAX('01_Criterios'!$C$9,'01_Criterios'!$C$9+('01_Criterios'!$C$10-'01_Criterios'!$C$9)*('03_Base_Indice'!$I112-'04_Dados_Ajustados'!P112)/('03_Base_Indice'!$I112-'03_Base_Indice'!$H112))))))</f>
        <v/>
      </c>
      <c r="Q112" s="31" t="str">
        <f>IF($D112="","",IF('04_Dados_Ajustados'!Q112="","",IF('03_Base_Indice'!$G112="+",MIN('01_Criterios'!$C$10,MAX('01_Criterios'!$C$9,'01_Criterios'!$C$9+('01_Criterios'!$C$10-'01_Criterios'!$C$9)*('04_Dados_Ajustados'!Q112-'03_Base_Indice'!$H112)/('03_Base_Indice'!$I112-'03_Base_Indice'!$H112))),MIN('01_Criterios'!$C$10,MAX('01_Criterios'!$C$9,'01_Criterios'!$C$9+('01_Criterios'!$C$10-'01_Criterios'!$C$9)*('03_Base_Indice'!$I112-'04_Dados_Ajustados'!Q112)/('03_Base_Indice'!$I112-'03_Base_Indice'!$H112))))))</f>
        <v/>
      </c>
      <c r="R112" s="31" t="str">
        <f>IF($D112="","",IF('04_Dados_Ajustados'!R112="","",IF('03_Base_Indice'!$G112="+",MIN('01_Criterios'!$C$10,MAX('01_Criterios'!$C$9,'01_Criterios'!$C$9+('01_Criterios'!$C$10-'01_Criterios'!$C$9)*('04_Dados_Ajustados'!R112-'03_Base_Indice'!$H112)/('03_Base_Indice'!$I112-'03_Base_Indice'!$H112))),MIN('01_Criterios'!$C$10,MAX('01_Criterios'!$C$9,'01_Criterios'!$C$9+('01_Criterios'!$C$10-'01_Criterios'!$C$9)*('03_Base_Indice'!$I112-'04_Dados_Ajustados'!R112)/('03_Base_Indice'!$I112-'03_Base_Indice'!$H112))))))</f>
        <v/>
      </c>
      <c r="S112" s="31" t="str">
        <f>IF($D112="","",IF('04_Dados_Ajustados'!S112="","",IF('03_Base_Indice'!$G112="+",MIN('01_Criterios'!$C$10,MAX('01_Criterios'!$C$9,'01_Criterios'!$C$9+('01_Criterios'!$C$10-'01_Criterios'!$C$9)*('04_Dados_Ajustados'!S112-'03_Base_Indice'!$H112)/('03_Base_Indice'!$I112-'03_Base_Indice'!$H112))),MIN('01_Criterios'!$C$10,MAX('01_Criterios'!$C$9,'01_Criterios'!$C$9+('01_Criterios'!$C$10-'01_Criterios'!$C$9)*('03_Base_Indice'!$I112-'04_Dados_Ajustados'!S112)/('03_Base_Indice'!$I112-'03_Base_Indice'!$H112))))))</f>
        <v/>
      </c>
      <c r="T112" s="31" t="str">
        <f>IF($D112="","",IF('04_Dados_Ajustados'!T112="","",IF('03_Base_Indice'!$G112="+",MIN('01_Criterios'!$C$10,MAX('01_Criterios'!$C$9,'01_Criterios'!$C$9+('01_Criterios'!$C$10-'01_Criterios'!$C$9)*('04_Dados_Ajustados'!T112-'03_Base_Indice'!$H112)/('03_Base_Indice'!$I112-'03_Base_Indice'!$H112))),MIN('01_Criterios'!$C$10,MAX('01_Criterios'!$C$9,'01_Criterios'!$C$9+('01_Criterios'!$C$10-'01_Criterios'!$C$9)*('03_Base_Indice'!$I112-'04_Dados_Ajustados'!T112)/('03_Base_Indice'!$I112-'03_Base_Indice'!$H112))))))</f>
        <v/>
      </c>
      <c r="U112" s="31" t="str">
        <f>IF($D112="","",IF('04_Dados_Ajustados'!U112="","",IF('03_Base_Indice'!$G112="+",MIN('01_Criterios'!$C$10,MAX('01_Criterios'!$C$9,'01_Criterios'!$C$9+('01_Criterios'!$C$10-'01_Criterios'!$C$9)*('04_Dados_Ajustados'!U112-'03_Base_Indice'!$H112)/('03_Base_Indice'!$I112-'03_Base_Indice'!$H112))),MIN('01_Criterios'!$C$10,MAX('01_Criterios'!$C$9,'01_Criterios'!$C$9+('01_Criterios'!$C$10-'01_Criterios'!$C$9)*('03_Base_Indice'!$I112-'04_Dados_Ajustados'!U112)/('03_Base_Indice'!$I112-'03_Base_Indice'!$H112))))))</f>
        <v/>
      </c>
    </row>
    <row r="113" spans="1:21">
      <c r="A113" s="6" t="str">
        <f>IF('03_Base_Indice'!$A113="","",'03_Base_Indice'!$A113)</f>
        <v>11. Transformação Digital e Inovação</v>
      </c>
      <c r="B113" s="6">
        <f>'03_Base_Indice'!$B113</f>
        <v>9</v>
      </c>
      <c r="D113" s="6" t="str">
        <f>IF('03_Base_Indice'!$D113="","",'03_Base_Indice'!$D113)</f>
        <v/>
      </c>
      <c r="E113" s="6" t="str">
        <f>IF('03_Base_Indice'!$E113="","",'03_Base_Indice'!$E113)</f>
        <v/>
      </c>
      <c r="G113" s="20" t="str">
        <f>IF('03_Base_Indice'!$G113="","",'03_Base_Indice'!$G113)</f>
        <v/>
      </c>
      <c r="K113" s="31" t="str">
        <f>IF($D113="","",IF('04_Dados_Ajustados'!K113="","",IF('03_Base_Indice'!$G113="+",MIN('01_Criterios'!$C$10,MAX('01_Criterios'!$C$9,'01_Criterios'!$C$9+('01_Criterios'!$C$10-'01_Criterios'!$C$9)*('04_Dados_Ajustados'!K113-'03_Base_Indice'!$H113)/('03_Base_Indice'!$I113-'03_Base_Indice'!$H113))),MIN('01_Criterios'!$C$10,MAX('01_Criterios'!$C$9,'01_Criterios'!$C$9+('01_Criterios'!$C$10-'01_Criterios'!$C$9)*('03_Base_Indice'!$I113-'04_Dados_Ajustados'!K113)/('03_Base_Indice'!$I113-'03_Base_Indice'!$H113))))))</f>
        <v/>
      </c>
      <c r="L113" s="31" t="str">
        <f>IF($D113="","",IF('04_Dados_Ajustados'!L113="","",IF('03_Base_Indice'!$G113="+",MIN('01_Criterios'!$C$10,MAX('01_Criterios'!$C$9,'01_Criterios'!$C$9+('01_Criterios'!$C$10-'01_Criterios'!$C$9)*('04_Dados_Ajustados'!L113-'03_Base_Indice'!$H113)/('03_Base_Indice'!$I113-'03_Base_Indice'!$H113))),MIN('01_Criterios'!$C$10,MAX('01_Criterios'!$C$9,'01_Criterios'!$C$9+('01_Criterios'!$C$10-'01_Criterios'!$C$9)*('03_Base_Indice'!$I113-'04_Dados_Ajustados'!L113)/('03_Base_Indice'!$I113-'03_Base_Indice'!$H113))))))</f>
        <v/>
      </c>
      <c r="M113" s="31" t="str">
        <f>IF($D113="","",IF('04_Dados_Ajustados'!M113="","",IF('03_Base_Indice'!$G113="+",MIN('01_Criterios'!$C$10,MAX('01_Criterios'!$C$9,'01_Criterios'!$C$9+('01_Criterios'!$C$10-'01_Criterios'!$C$9)*('04_Dados_Ajustados'!M113-'03_Base_Indice'!$H113)/('03_Base_Indice'!$I113-'03_Base_Indice'!$H113))),MIN('01_Criterios'!$C$10,MAX('01_Criterios'!$C$9,'01_Criterios'!$C$9+('01_Criterios'!$C$10-'01_Criterios'!$C$9)*('03_Base_Indice'!$I113-'04_Dados_Ajustados'!M113)/('03_Base_Indice'!$I113-'03_Base_Indice'!$H113))))))</f>
        <v/>
      </c>
      <c r="N113" s="31" t="str">
        <f>IF($D113="","",IF('04_Dados_Ajustados'!N113="","",IF('03_Base_Indice'!$G113="+",MIN('01_Criterios'!$C$10,MAX('01_Criterios'!$C$9,'01_Criterios'!$C$9+('01_Criterios'!$C$10-'01_Criterios'!$C$9)*('04_Dados_Ajustados'!N113-'03_Base_Indice'!$H113)/('03_Base_Indice'!$I113-'03_Base_Indice'!$H113))),MIN('01_Criterios'!$C$10,MAX('01_Criterios'!$C$9,'01_Criterios'!$C$9+('01_Criterios'!$C$10-'01_Criterios'!$C$9)*('03_Base_Indice'!$I113-'04_Dados_Ajustados'!N113)/('03_Base_Indice'!$I113-'03_Base_Indice'!$H113))))))</f>
        <v/>
      </c>
      <c r="O113" s="31" t="str">
        <f>IF($D113="","",IF('04_Dados_Ajustados'!O113="","",IF('03_Base_Indice'!$G113="+",MIN('01_Criterios'!$C$10,MAX('01_Criterios'!$C$9,'01_Criterios'!$C$9+('01_Criterios'!$C$10-'01_Criterios'!$C$9)*('04_Dados_Ajustados'!O113-'03_Base_Indice'!$H113)/('03_Base_Indice'!$I113-'03_Base_Indice'!$H113))),MIN('01_Criterios'!$C$10,MAX('01_Criterios'!$C$9,'01_Criterios'!$C$9+('01_Criterios'!$C$10-'01_Criterios'!$C$9)*('03_Base_Indice'!$I113-'04_Dados_Ajustados'!O113)/('03_Base_Indice'!$I113-'03_Base_Indice'!$H113))))))</f>
        <v/>
      </c>
      <c r="P113" s="31" t="str">
        <f>IF($D113="","",IF('04_Dados_Ajustados'!P113="","",IF('03_Base_Indice'!$G113="+",MIN('01_Criterios'!$C$10,MAX('01_Criterios'!$C$9,'01_Criterios'!$C$9+('01_Criterios'!$C$10-'01_Criterios'!$C$9)*('04_Dados_Ajustados'!P113-'03_Base_Indice'!$H113)/('03_Base_Indice'!$I113-'03_Base_Indice'!$H113))),MIN('01_Criterios'!$C$10,MAX('01_Criterios'!$C$9,'01_Criterios'!$C$9+('01_Criterios'!$C$10-'01_Criterios'!$C$9)*('03_Base_Indice'!$I113-'04_Dados_Ajustados'!P113)/('03_Base_Indice'!$I113-'03_Base_Indice'!$H113))))))</f>
        <v/>
      </c>
      <c r="Q113" s="31" t="str">
        <f>IF($D113="","",IF('04_Dados_Ajustados'!Q113="","",IF('03_Base_Indice'!$G113="+",MIN('01_Criterios'!$C$10,MAX('01_Criterios'!$C$9,'01_Criterios'!$C$9+('01_Criterios'!$C$10-'01_Criterios'!$C$9)*('04_Dados_Ajustados'!Q113-'03_Base_Indice'!$H113)/('03_Base_Indice'!$I113-'03_Base_Indice'!$H113))),MIN('01_Criterios'!$C$10,MAX('01_Criterios'!$C$9,'01_Criterios'!$C$9+('01_Criterios'!$C$10-'01_Criterios'!$C$9)*('03_Base_Indice'!$I113-'04_Dados_Ajustados'!Q113)/('03_Base_Indice'!$I113-'03_Base_Indice'!$H113))))))</f>
        <v/>
      </c>
      <c r="R113" s="31" t="str">
        <f>IF($D113="","",IF('04_Dados_Ajustados'!R113="","",IF('03_Base_Indice'!$G113="+",MIN('01_Criterios'!$C$10,MAX('01_Criterios'!$C$9,'01_Criterios'!$C$9+('01_Criterios'!$C$10-'01_Criterios'!$C$9)*('04_Dados_Ajustados'!R113-'03_Base_Indice'!$H113)/('03_Base_Indice'!$I113-'03_Base_Indice'!$H113))),MIN('01_Criterios'!$C$10,MAX('01_Criterios'!$C$9,'01_Criterios'!$C$9+('01_Criterios'!$C$10-'01_Criterios'!$C$9)*('03_Base_Indice'!$I113-'04_Dados_Ajustados'!R113)/('03_Base_Indice'!$I113-'03_Base_Indice'!$H113))))))</f>
        <v/>
      </c>
      <c r="S113" s="31" t="str">
        <f>IF($D113="","",IF('04_Dados_Ajustados'!S113="","",IF('03_Base_Indice'!$G113="+",MIN('01_Criterios'!$C$10,MAX('01_Criterios'!$C$9,'01_Criterios'!$C$9+('01_Criterios'!$C$10-'01_Criterios'!$C$9)*('04_Dados_Ajustados'!S113-'03_Base_Indice'!$H113)/('03_Base_Indice'!$I113-'03_Base_Indice'!$H113))),MIN('01_Criterios'!$C$10,MAX('01_Criterios'!$C$9,'01_Criterios'!$C$9+('01_Criterios'!$C$10-'01_Criterios'!$C$9)*('03_Base_Indice'!$I113-'04_Dados_Ajustados'!S113)/('03_Base_Indice'!$I113-'03_Base_Indice'!$H113))))))</f>
        <v/>
      </c>
      <c r="T113" s="31" t="str">
        <f>IF($D113="","",IF('04_Dados_Ajustados'!T113="","",IF('03_Base_Indice'!$G113="+",MIN('01_Criterios'!$C$10,MAX('01_Criterios'!$C$9,'01_Criterios'!$C$9+('01_Criterios'!$C$10-'01_Criterios'!$C$9)*('04_Dados_Ajustados'!T113-'03_Base_Indice'!$H113)/('03_Base_Indice'!$I113-'03_Base_Indice'!$H113))),MIN('01_Criterios'!$C$10,MAX('01_Criterios'!$C$9,'01_Criterios'!$C$9+('01_Criterios'!$C$10-'01_Criterios'!$C$9)*('03_Base_Indice'!$I113-'04_Dados_Ajustados'!T113)/('03_Base_Indice'!$I113-'03_Base_Indice'!$H113))))))</f>
        <v/>
      </c>
      <c r="U113" s="31" t="str">
        <f>IF($D113="","",IF('04_Dados_Ajustados'!U113="","",IF('03_Base_Indice'!$G113="+",MIN('01_Criterios'!$C$10,MAX('01_Criterios'!$C$9,'01_Criterios'!$C$9+('01_Criterios'!$C$10-'01_Criterios'!$C$9)*('04_Dados_Ajustados'!U113-'03_Base_Indice'!$H113)/('03_Base_Indice'!$I113-'03_Base_Indice'!$H113))),MIN('01_Criterios'!$C$10,MAX('01_Criterios'!$C$9,'01_Criterios'!$C$9+('01_Criterios'!$C$10-'01_Criterios'!$C$9)*('03_Base_Indice'!$I113-'04_Dados_Ajustados'!U113)/('03_Base_Indice'!$I113-'03_Base_Indice'!$H113))))))</f>
        <v/>
      </c>
    </row>
    <row r="114" spans="1:21">
      <c r="A114" s="6" t="str">
        <f>IF('03_Base_Indice'!$A114="","",'03_Base_Indice'!$A114)</f>
        <v>11. Transformação Digital e Inovação</v>
      </c>
      <c r="B114" s="6">
        <f>'03_Base_Indice'!$B114</f>
        <v>10</v>
      </c>
      <c r="D114" s="6" t="str">
        <f>IF('03_Base_Indice'!$D114="","",'03_Base_Indice'!$D114)</f>
        <v/>
      </c>
      <c r="E114" s="6" t="str">
        <f>IF('03_Base_Indice'!$E114="","",'03_Base_Indice'!$E114)</f>
        <v/>
      </c>
      <c r="G114" s="20" t="str">
        <f>IF('03_Base_Indice'!$G114="","",'03_Base_Indice'!$G114)</f>
        <v/>
      </c>
      <c r="K114" s="31" t="str">
        <f>IF($D114="","",IF('04_Dados_Ajustados'!K114="","",IF('03_Base_Indice'!$G114="+",MIN('01_Criterios'!$C$10,MAX('01_Criterios'!$C$9,'01_Criterios'!$C$9+('01_Criterios'!$C$10-'01_Criterios'!$C$9)*('04_Dados_Ajustados'!K114-'03_Base_Indice'!$H114)/('03_Base_Indice'!$I114-'03_Base_Indice'!$H114))),MIN('01_Criterios'!$C$10,MAX('01_Criterios'!$C$9,'01_Criterios'!$C$9+('01_Criterios'!$C$10-'01_Criterios'!$C$9)*('03_Base_Indice'!$I114-'04_Dados_Ajustados'!K114)/('03_Base_Indice'!$I114-'03_Base_Indice'!$H114))))))</f>
        <v/>
      </c>
      <c r="L114" s="31" t="str">
        <f>IF($D114="","",IF('04_Dados_Ajustados'!L114="","",IF('03_Base_Indice'!$G114="+",MIN('01_Criterios'!$C$10,MAX('01_Criterios'!$C$9,'01_Criterios'!$C$9+('01_Criterios'!$C$10-'01_Criterios'!$C$9)*('04_Dados_Ajustados'!L114-'03_Base_Indice'!$H114)/('03_Base_Indice'!$I114-'03_Base_Indice'!$H114))),MIN('01_Criterios'!$C$10,MAX('01_Criterios'!$C$9,'01_Criterios'!$C$9+('01_Criterios'!$C$10-'01_Criterios'!$C$9)*('03_Base_Indice'!$I114-'04_Dados_Ajustados'!L114)/('03_Base_Indice'!$I114-'03_Base_Indice'!$H114))))))</f>
        <v/>
      </c>
      <c r="M114" s="31" t="str">
        <f>IF($D114="","",IF('04_Dados_Ajustados'!M114="","",IF('03_Base_Indice'!$G114="+",MIN('01_Criterios'!$C$10,MAX('01_Criterios'!$C$9,'01_Criterios'!$C$9+('01_Criterios'!$C$10-'01_Criterios'!$C$9)*('04_Dados_Ajustados'!M114-'03_Base_Indice'!$H114)/('03_Base_Indice'!$I114-'03_Base_Indice'!$H114))),MIN('01_Criterios'!$C$10,MAX('01_Criterios'!$C$9,'01_Criterios'!$C$9+('01_Criterios'!$C$10-'01_Criterios'!$C$9)*('03_Base_Indice'!$I114-'04_Dados_Ajustados'!M114)/('03_Base_Indice'!$I114-'03_Base_Indice'!$H114))))))</f>
        <v/>
      </c>
      <c r="N114" s="31" t="str">
        <f>IF($D114="","",IF('04_Dados_Ajustados'!N114="","",IF('03_Base_Indice'!$G114="+",MIN('01_Criterios'!$C$10,MAX('01_Criterios'!$C$9,'01_Criterios'!$C$9+('01_Criterios'!$C$10-'01_Criterios'!$C$9)*('04_Dados_Ajustados'!N114-'03_Base_Indice'!$H114)/('03_Base_Indice'!$I114-'03_Base_Indice'!$H114))),MIN('01_Criterios'!$C$10,MAX('01_Criterios'!$C$9,'01_Criterios'!$C$9+('01_Criterios'!$C$10-'01_Criterios'!$C$9)*('03_Base_Indice'!$I114-'04_Dados_Ajustados'!N114)/('03_Base_Indice'!$I114-'03_Base_Indice'!$H114))))))</f>
        <v/>
      </c>
      <c r="O114" s="31" t="str">
        <f>IF($D114="","",IF('04_Dados_Ajustados'!O114="","",IF('03_Base_Indice'!$G114="+",MIN('01_Criterios'!$C$10,MAX('01_Criterios'!$C$9,'01_Criterios'!$C$9+('01_Criterios'!$C$10-'01_Criterios'!$C$9)*('04_Dados_Ajustados'!O114-'03_Base_Indice'!$H114)/('03_Base_Indice'!$I114-'03_Base_Indice'!$H114))),MIN('01_Criterios'!$C$10,MAX('01_Criterios'!$C$9,'01_Criterios'!$C$9+('01_Criterios'!$C$10-'01_Criterios'!$C$9)*('03_Base_Indice'!$I114-'04_Dados_Ajustados'!O114)/('03_Base_Indice'!$I114-'03_Base_Indice'!$H114))))))</f>
        <v/>
      </c>
      <c r="P114" s="31" t="str">
        <f>IF($D114="","",IF('04_Dados_Ajustados'!P114="","",IF('03_Base_Indice'!$G114="+",MIN('01_Criterios'!$C$10,MAX('01_Criterios'!$C$9,'01_Criterios'!$C$9+('01_Criterios'!$C$10-'01_Criterios'!$C$9)*('04_Dados_Ajustados'!P114-'03_Base_Indice'!$H114)/('03_Base_Indice'!$I114-'03_Base_Indice'!$H114))),MIN('01_Criterios'!$C$10,MAX('01_Criterios'!$C$9,'01_Criterios'!$C$9+('01_Criterios'!$C$10-'01_Criterios'!$C$9)*('03_Base_Indice'!$I114-'04_Dados_Ajustados'!P114)/('03_Base_Indice'!$I114-'03_Base_Indice'!$H114))))))</f>
        <v/>
      </c>
      <c r="Q114" s="31" t="str">
        <f>IF($D114="","",IF('04_Dados_Ajustados'!Q114="","",IF('03_Base_Indice'!$G114="+",MIN('01_Criterios'!$C$10,MAX('01_Criterios'!$C$9,'01_Criterios'!$C$9+('01_Criterios'!$C$10-'01_Criterios'!$C$9)*('04_Dados_Ajustados'!Q114-'03_Base_Indice'!$H114)/('03_Base_Indice'!$I114-'03_Base_Indice'!$H114))),MIN('01_Criterios'!$C$10,MAX('01_Criterios'!$C$9,'01_Criterios'!$C$9+('01_Criterios'!$C$10-'01_Criterios'!$C$9)*('03_Base_Indice'!$I114-'04_Dados_Ajustados'!Q114)/('03_Base_Indice'!$I114-'03_Base_Indice'!$H114))))))</f>
        <v/>
      </c>
      <c r="R114" s="31" t="str">
        <f>IF($D114="","",IF('04_Dados_Ajustados'!R114="","",IF('03_Base_Indice'!$G114="+",MIN('01_Criterios'!$C$10,MAX('01_Criterios'!$C$9,'01_Criterios'!$C$9+('01_Criterios'!$C$10-'01_Criterios'!$C$9)*('04_Dados_Ajustados'!R114-'03_Base_Indice'!$H114)/('03_Base_Indice'!$I114-'03_Base_Indice'!$H114))),MIN('01_Criterios'!$C$10,MAX('01_Criterios'!$C$9,'01_Criterios'!$C$9+('01_Criterios'!$C$10-'01_Criterios'!$C$9)*('03_Base_Indice'!$I114-'04_Dados_Ajustados'!R114)/('03_Base_Indice'!$I114-'03_Base_Indice'!$H114))))))</f>
        <v/>
      </c>
      <c r="S114" s="31" t="str">
        <f>IF($D114="","",IF('04_Dados_Ajustados'!S114="","",IF('03_Base_Indice'!$G114="+",MIN('01_Criterios'!$C$10,MAX('01_Criterios'!$C$9,'01_Criterios'!$C$9+('01_Criterios'!$C$10-'01_Criterios'!$C$9)*('04_Dados_Ajustados'!S114-'03_Base_Indice'!$H114)/('03_Base_Indice'!$I114-'03_Base_Indice'!$H114))),MIN('01_Criterios'!$C$10,MAX('01_Criterios'!$C$9,'01_Criterios'!$C$9+('01_Criterios'!$C$10-'01_Criterios'!$C$9)*('03_Base_Indice'!$I114-'04_Dados_Ajustados'!S114)/('03_Base_Indice'!$I114-'03_Base_Indice'!$H114))))))</f>
        <v/>
      </c>
      <c r="T114" s="31" t="str">
        <f>IF($D114="","",IF('04_Dados_Ajustados'!T114="","",IF('03_Base_Indice'!$G114="+",MIN('01_Criterios'!$C$10,MAX('01_Criterios'!$C$9,'01_Criterios'!$C$9+('01_Criterios'!$C$10-'01_Criterios'!$C$9)*('04_Dados_Ajustados'!T114-'03_Base_Indice'!$H114)/('03_Base_Indice'!$I114-'03_Base_Indice'!$H114))),MIN('01_Criterios'!$C$10,MAX('01_Criterios'!$C$9,'01_Criterios'!$C$9+('01_Criterios'!$C$10-'01_Criterios'!$C$9)*('03_Base_Indice'!$I114-'04_Dados_Ajustados'!T114)/('03_Base_Indice'!$I114-'03_Base_Indice'!$H114))))))</f>
        <v/>
      </c>
      <c r="U114" s="31" t="str">
        <f>IF($D114="","",IF('04_Dados_Ajustados'!U114="","",IF('03_Base_Indice'!$G114="+",MIN('01_Criterios'!$C$10,MAX('01_Criterios'!$C$9,'01_Criterios'!$C$9+('01_Criterios'!$C$10-'01_Criterios'!$C$9)*('04_Dados_Ajustados'!U114-'03_Base_Indice'!$H114)/('03_Base_Indice'!$I114-'03_Base_Indice'!$H114))),MIN('01_Criterios'!$C$10,MAX('01_Criterios'!$C$9,'01_Criterios'!$C$9+('01_Criterios'!$C$10-'01_Criterios'!$C$9)*('03_Base_Indice'!$I114-'04_Dados_Ajustados'!U114)/('03_Base_Indice'!$I114-'03_Base_Indice'!$H114))))))</f>
        <v/>
      </c>
    </row>
  </sheetData>
  <conditionalFormatting sqref="K5:U114">
    <cfRule type="colorScale" priority="1">
      <colorScale>
        <cfvo type="num" val="0"/>
        <cfvo type="num" val="50"/>
        <cfvo type="num" val="100"/>
        <color rgb="FFF8696B"/>
        <color rgb="FFFFEB84"/>
        <color rgb="FF63BE7B"/>
      </colorScale>
    </cfRule>
  </conditionalFormatting>
  <hyperlinks>
    <hyperlink ref="A1" location="'00_Painel'!A1" display="← Painel" xr:uid="{00000000-0004-0000-0600-000000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7D32"/>
  </sheetPr>
  <dimension ref="A1:U35"/>
  <sheetViews>
    <sheetView zoomScale="80" zoomScaleNormal="80" workbookViewId="0">
      <pane xSplit="1" ySplit="4" topLeftCell="B24" activePane="bottomRight" state="frozen"/>
      <selection pane="bottomRight" activeCell="P4" sqref="P4"/>
      <selection pane="bottomLeft"/>
      <selection pane="topRight"/>
    </sheetView>
  </sheetViews>
  <sheetFormatPr defaultRowHeight="14.45"/>
  <cols>
    <col min="1" max="1" width="30" customWidth="1"/>
    <col min="2" max="2" width="9" customWidth="1"/>
    <col min="3" max="3" width="7" customWidth="1"/>
    <col min="4" max="4" width="12" customWidth="1"/>
    <col min="5" max="5" width="11" customWidth="1"/>
    <col min="6" max="16" width="8" customWidth="1"/>
    <col min="17" max="17" width="11" customWidth="1"/>
    <col min="18" max="18" width="12" customWidth="1"/>
    <col min="19" max="21" width="10" customWidth="1"/>
  </cols>
  <sheetData>
    <row r="1" spans="1:21">
      <c r="A1" s="3" t="s">
        <v>27</v>
      </c>
    </row>
    <row r="2" spans="1:21" ht="23.45" customHeight="1">
      <c r="B2" s="1" t="s">
        <v>1800</v>
      </c>
    </row>
    <row r="3" spans="1:21">
      <c r="B3" s="2" t="s">
        <v>1801</v>
      </c>
    </row>
    <row r="4" spans="1:21" ht="15">
      <c r="A4" s="11" t="s">
        <v>24</v>
      </c>
      <c r="B4" s="11" t="s">
        <v>1802</v>
      </c>
      <c r="C4" s="11" t="s">
        <v>69</v>
      </c>
      <c r="D4" s="11" t="s">
        <v>1803</v>
      </c>
      <c r="E4" s="11" t="s">
        <v>1804</v>
      </c>
      <c r="F4" s="11">
        <v>2015</v>
      </c>
      <c r="G4" s="11">
        <v>2016</v>
      </c>
      <c r="H4" s="11">
        <v>2017</v>
      </c>
      <c r="I4" s="11">
        <v>2018</v>
      </c>
      <c r="J4" s="11">
        <v>2019</v>
      </c>
      <c r="K4" s="11">
        <v>2020</v>
      </c>
      <c r="L4" s="11">
        <v>2021</v>
      </c>
      <c r="M4" s="11">
        <v>2022</v>
      </c>
      <c r="N4" s="11">
        <v>2023</v>
      </c>
      <c r="O4" s="11">
        <v>2024</v>
      </c>
      <c r="P4" s="11">
        <v>2025</v>
      </c>
      <c r="Q4" s="11" t="s">
        <v>1805</v>
      </c>
      <c r="R4" s="11" t="s">
        <v>1806</v>
      </c>
      <c r="S4" s="11" t="s">
        <v>1807</v>
      </c>
      <c r="T4" s="11" t="s">
        <v>1808</v>
      </c>
      <c r="U4" s="11" t="s">
        <v>1809</v>
      </c>
    </row>
    <row r="5" spans="1:21">
      <c r="A5" s="8" t="s">
        <v>1810</v>
      </c>
      <c r="B5" s="32">
        <f>'01_Criterios'!$C$26</f>
        <v>1</v>
      </c>
      <c r="C5" s="32">
        <f>'01_Criterios'!$D$26</f>
        <v>1</v>
      </c>
      <c r="D5" s="32">
        <f>SUMPRODUCT(('03_Base_Indice'!$D$5:$D$14&lt;&gt;"")*1)</f>
        <v>5</v>
      </c>
      <c r="E5" s="32">
        <f>IF(D5=0,0,ROUNDUP(D5*'01_Criterios'!$C$16,0))</f>
        <v>4</v>
      </c>
      <c r="F5" s="33">
        <f>IF($B5&lt;&gt;1,"",IFERROR(IF(SUMPRODUCT(Aux!BJ$5:BJ$14*1)&lt;$E5,"",SUMPRODUCT(Aux!AX$5:AX$14,'03_Base_Indice'!$J$5:$J$14)/SUMPRODUCT(Aux!BJ$5:BJ$14,'03_Base_Indice'!$J$5:$J$14)),""))</f>
        <v>27.415798000000002</v>
      </c>
      <c r="G5" s="33">
        <f>IF($B5&lt;&gt;1,"",IFERROR(IF(SUMPRODUCT(Aux!BK$5:BK$14*1)&lt;$E5,"",SUMPRODUCT(Aux!AY$5:AY$14,'03_Base_Indice'!$J$5:$J$14)/SUMPRODUCT(Aux!BK$5:BK$14,'03_Base_Indice'!$J$5:$J$14)),""))</f>
        <v>28.027149599999994</v>
      </c>
      <c r="H5" s="33">
        <f>IF($B5&lt;&gt;1,"",IFERROR(IF(SUMPRODUCT(Aux!BL$5:BL$14*1)&lt;$E5,"",SUMPRODUCT(Aux!AZ$5:AZ$14,'03_Base_Indice'!$J$5:$J$14)/SUMPRODUCT(Aux!BL$5:BL$14,'03_Base_Indice'!$J$5:$J$14)),""))</f>
        <v>27.731903199999998</v>
      </c>
      <c r="I5" s="33">
        <f>IF($B5&lt;&gt;1,"",IFERROR(IF(SUMPRODUCT(Aux!BM$5:BM$14*1)&lt;$E5,"",SUMPRODUCT(Aux!BA$5:BA$14,'03_Base_Indice'!$J$5:$J$14)/SUMPRODUCT(Aux!BM$5:BM$14,'03_Base_Indice'!$J$5:$J$14)),""))</f>
        <v>29.570946399999997</v>
      </c>
      <c r="J5" s="33">
        <f>IF($B5&lt;&gt;1,"",IFERROR(IF(SUMPRODUCT(Aux!BN$5:BN$14*1)&lt;$E5,"",SUMPRODUCT(Aux!BB$5:BB$14,'03_Base_Indice'!$J$5:$J$14)/SUMPRODUCT(Aux!BN$5:BN$14,'03_Base_Indice'!$J$5:$J$14)),""))</f>
        <v>31.678183999999998</v>
      </c>
      <c r="K5" s="33">
        <f>IF($B5&lt;&gt;1,"",IFERROR(IF(SUMPRODUCT(Aux!BO$5:BO$14*1)&lt;$E5,"",SUMPRODUCT(Aux!BC$5:BC$14,'03_Base_Indice'!$J$5:$J$14)/SUMPRODUCT(Aux!BO$5:BO$14,'03_Base_Indice'!$J$5:$J$14)),""))</f>
        <v>30.817962399999999</v>
      </c>
      <c r="L5" s="33">
        <f>IF($B5&lt;&gt;1,"",IFERROR(IF(SUMPRODUCT(Aux!BP$5:BP$14*1)&lt;$E5,"",SUMPRODUCT(Aux!BD$5:BD$14,'03_Base_Indice'!$J$5:$J$14)/SUMPRODUCT(Aux!BP$5:BP$14,'03_Base_Indice'!$J$5:$J$14)),""))</f>
        <v>31.100242000000001</v>
      </c>
      <c r="M5" s="33">
        <f>IF($B5&lt;&gt;1,"",IFERROR(IF(SUMPRODUCT(Aux!BQ$5:BQ$14*1)&lt;$E5,"",SUMPRODUCT(Aux!BE$5:BE$14,'03_Base_Indice'!$J$5:$J$14)/SUMPRODUCT(Aux!BQ$5:BQ$14,'03_Base_Indice'!$J$5:$J$14)),""))</f>
        <v>33.006381599999997</v>
      </c>
      <c r="N5" s="33">
        <f>IF($B5&lt;&gt;1,"",IFERROR(IF(SUMPRODUCT(Aux!BR$5:BR$14*1)&lt;$E5,"",SUMPRODUCT(Aux!BF$5:BF$14,'03_Base_Indice'!$J$5:$J$14)/SUMPRODUCT(Aux!BR$5:BR$14,'03_Base_Indice'!$J$5:$J$14)),""))</f>
        <v>33.637387199999999</v>
      </c>
      <c r="O5" s="33">
        <f>IF($B5&lt;&gt;1,"",IFERROR(IF(SUMPRODUCT(Aux!BS$5:BS$14*1)&lt;$E5,"",SUMPRODUCT(Aux!BG$5:BG$14,'03_Base_Indice'!$J$5:$J$14)/SUMPRODUCT(Aux!BS$5:BS$14,'03_Base_Indice'!$J$5:$J$14)),""))</f>
        <v>33.1938076</v>
      </c>
      <c r="P5" s="33">
        <f>IF($B5&lt;&gt;1,"",IFERROR(IF(SUMPRODUCT(Aux!BT$5:BT$14*1)&lt;$E5,"",SUMPRODUCT(Aux!BH$5:BH$14,'03_Base_Indice'!$J$5:$J$14)/SUMPRODUCT(Aux!BT$5:BT$14,'03_Base_Indice'!$J$5:$J$14)),""))</f>
        <v>33.1938076</v>
      </c>
      <c r="Q5" s="34">
        <f>IFERROR(LOOKUP(9.99E+307,F5:P5),"")</f>
        <v>33.1938076</v>
      </c>
      <c r="R5" s="34">
        <f>IFERROR(INDEX(F5:P5,MATCH(TRUE,INDEX(ISNUMBER(F5:P5),0),0)),"")</f>
        <v>27.415798000000002</v>
      </c>
      <c r="S5" s="35">
        <f>IF(OR(Q5="",R5=""),"",Q5-R5)</f>
        <v>5.7780095999999972</v>
      </c>
      <c r="T5" s="34">
        <f>IF($B5=1,IF(Q5="","",Q5),"")</f>
        <v>33.1938076</v>
      </c>
      <c r="U5" s="35">
        <f>IF($B5=1,IF(S5="","",S5),"")</f>
        <v>5.7780095999999972</v>
      </c>
    </row>
    <row r="6" spans="1:21">
      <c r="A6" s="8" t="s">
        <v>1811</v>
      </c>
      <c r="B6" s="32">
        <f>'01_Criterios'!$C$27</f>
        <v>1</v>
      </c>
      <c r="C6" s="32">
        <f>'01_Criterios'!$D$27</f>
        <v>1</v>
      </c>
      <c r="D6" s="32">
        <f>SUMPRODUCT(('03_Base_Indice'!$D$15:$D$24&lt;&gt;"")*1)</f>
        <v>7</v>
      </c>
      <c r="E6" s="32">
        <f>IF(D6=0,0,ROUNDUP(D6*'01_Criterios'!$C$16,0))</f>
        <v>6</v>
      </c>
      <c r="F6" s="33">
        <f>IF($B6&lt;&gt;1,"",IFERROR(IF(SUMPRODUCT(Aux!BJ$15:BJ$24*1)&lt;$E6,"",SUMPRODUCT(Aux!AX$15:AX$24,'03_Base_Indice'!$J$15:$J$24)/SUMPRODUCT(Aux!BJ$15:BJ$24,'03_Base_Indice'!$J$15:$J$24)),""))</f>
        <v>49.133768107736039</v>
      </c>
      <c r="G6" s="33">
        <f>IF($B6&lt;&gt;1,"",IFERROR(IF(SUMPRODUCT(Aux!BK$15:BK$24*1)&lt;$E6,"",SUMPRODUCT(Aux!AY$15:AY$24,'03_Base_Indice'!$J$15:$J$24)/SUMPRODUCT(Aux!BK$15:BK$24,'03_Base_Indice'!$J$15:$J$24)),""))</f>
        <v>44.476291758312172</v>
      </c>
      <c r="H6" s="33">
        <f>IF($B6&lt;&gt;1,"",IFERROR(IF(SUMPRODUCT(Aux!BL$15:BL$24*1)&lt;$E6,"",SUMPRODUCT(Aux!AZ$15:AZ$24,'03_Base_Indice'!$J$15:$J$24)/SUMPRODUCT(Aux!BL$15:BL$24,'03_Base_Indice'!$J$15:$J$24)),""))</f>
        <v>46.557338502599372</v>
      </c>
      <c r="I6" s="33">
        <f>IF($B6&lt;&gt;1,"",IFERROR(IF(SUMPRODUCT(Aux!BM$15:BM$24*1)&lt;$E6,"",SUMPRODUCT(Aux!BA$15:BA$24,'03_Base_Indice'!$J$15:$J$24)/SUMPRODUCT(Aux!BM$15:BM$24,'03_Base_Indice'!$J$15:$J$24)),""))</f>
        <v>45.10833095894948</v>
      </c>
      <c r="J6" s="33">
        <f>IF($B6&lt;&gt;1,"",IFERROR(IF(SUMPRODUCT(Aux!BN$15:BN$24*1)&lt;$E6,"",SUMPRODUCT(Aux!BB$15:BB$24,'03_Base_Indice'!$J$15:$J$24)/SUMPRODUCT(Aux!BN$15:BN$24,'03_Base_Indice'!$J$15:$J$24)),""))</f>
        <v>44.095034318734243</v>
      </c>
      <c r="K6" s="33">
        <f>IF($B6&lt;&gt;1,"",IFERROR(IF(SUMPRODUCT(Aux!BO$15:BO$24*1)&lt;$E6,"",SUMPRODUCT(Aux!BC$15:BC$24,'03_Base_Indice'!$J$15:$J$24)/SUMPRODUCT(Aux!BO$15:BO$24,'03_Base_Indice'!$J$15:$J$24)),""))</f>
        <v>33.062574046126485</v>
      </c>
      <c r="L6" s="33">
        <f>IF($B6&lt;&gt;1,"",IFERROR(IF(SUMPRODUCT(Aux!BP$15:BP$24*1)&lt;$E6,"",SUMPRODUCT(Aux!BD$15:BD$24,'03_Base_Indice'!$J$15:$J$24)/SUMPRODUCT(Aux!BP$15:BP$24,'03_Base_Indice'!$J$15:$J$24)),""))</f>
        <v>48.695602599234192</v>
      </c>
      <c r="M6" s="33">
        <f>IF($B6&lt;&gt;1,"",IFERROR(IF(SUMPRODUCT(Aux!BQ$15:BQ$24*1)&lt;$E6,"",SUMPRODUCT(Aux!BE$15:BE$24,'03_Base_Indice'!$J$15:$J$24)/SUMPRODUCT(Aux!BQ$15:BQ$24,'03_Base_Indice'!$J$15:$J$24)),""))</f>
        <v>49.630240065091314</v>
      </c>
      <c r="N6" s="33">
        <f>IF($B6&lt;&gt;1,"",IFERROR(IF(SUMPRODUCT(Aux!BR$15:BR$24*1)&lt;$E6,"",SUMPRODUCT(Aux!BF$15:BF$24,'03_Base_Indice'!$J$15:$J$24)/SUMPRODUCT(Aux!BR$15:BR$24,'03_Base_Indice'!$J$15:$J$24)),""))</f>
        <v>47.263381415405128</v>
      </c>
      <c r="O6" s="33">
        <f>IF($B6&lt;&gt;1,"",IFERROR(IF(SUMPRODUCT(Aux!BS$15:BS$24*1)&lt;$E6,"",SUMPRODUCT(Aux!BG$15:BG$24,'03_Base_Indice'!$J$15:$J$24)/SUMPRODUCT(Aux!BS$15:BS$24,'03_Base_Indice'!$J$15:$J$24)),""))</f>
        <v>48.596289571208857</v>
      </c>
      <c r="P6" s="33">
        <f>IF($B6&lt;&gt;1,"",IFERROR(IF(SUMPRODUCT(Aux!BT$15:BT$24*1)&lt;$E6,"",SUMPRODUCT(Aux!BH$15:BH$24,'03_Base_Indice'!$J$15:$J$24)/SUMPRODUCT(Aux!BT$15:BT$24,'03_Base_Indice'!$J$15:$J$24)),""))</f>
        <v>49.659758493545056</v>
      </c>
      <c r="Q6" s="34">
        <f>IFERROR(LOOKUP(9.99E+307,F6:P6),"")</f>
        <v>49.659758493545056</v>
      </c>
      <c r="R6" s="34">
        <f>IFERROR(INDEX(F6:P6,MATCH(TRUE,INDEX(ISNUMBER(F6:P6),0),0)),"")</f>
        <v>49.133768107736039</v>
      </c>
      <c r="S6" s="35">
        <f>IF(OR(Q6="",R6=""),"",Q6-R6)</f>
        <v>0.52599038580901691</v>
      </c>
      <c r="T6" s="34">
        <f>IF($B6=1,IF(Q6="","",Q6),"")</f>
        <v>49.659758493545056</v>
      </c>
      <c r="U6" s="35">
        <f>IF($B6=1,IF(S6="","",S6),"")</f>
        <v>0.52599038580901691</v>
      </c>
    </row>
    <row r="7" spans="1:21">
      <c r="A7" s="8" t="s">
        <v>1812</v>
      </c>
      <c r="B7" s="32">
        <f>'01_Criterios'!$C$28</f>
        <v>1</v>
      </c>
      <c r="C7" s="32">
        <f>'01_Criterios'!$D$28</f>
        <v>1</v>
      </c>
      <c r="D7" s="32">
        <f>SUMPRODUCT(('03_Base_Indice'!$D$25:$D$34&lt;&gt;"")*1)</f>
        <v>4</v>
      </c>
      <c r="E7" s="32">
        <f>IF(D7=0,0,ROUNDUP(D7*'01_Criterios'!$C$16,0))</f>
        <v>3</v>
      </c>
      <c r="F7" s="33">
        <f>IF($B7&lt;&gt;1,"",IFERROR(IF(SUMPRODUCT(Aux!BJ$25:BJ$34*1)&lt;$E7,"",SUMPRODUCT(Aux!AX$25:AX$34,'03_Base_Indice'!$J$25:$J$34)/SUMPRODUCT(Aux!BJ$25:BJ$34,'03_Base_Indice'!$J$25:$J$34)),""))</f>
        <v>50.4790343816302</v>
      </c>
      <c r="G7" s="33">
        <f>IF($B7&lt;&gt;1,"",IFERROR(IF(SUMPRODUCT(Aux!BK$25:BK$34*1)&lt;$E7,"",SUMPRODUCT(Aux!AY$25:AY$34,'03_Base_Indice'!$J$25:$J$34)/SUMPRODUCT(Aux!BK$25:BK$34,'03_Base_Indice'!$J$25:$J$34)),""))</f>
        <v>56.861999734226245</v>
      </c>
      <c r="H7" s="33">
        <f>IF($B7&lt;&gt;1,"",IFERROR(IF(SUMPRODUCT(Aux!BL$25:BL$34*1)&lt;$E7,"",SUMPRODUCT(Aux!AZ$25:AZ$34,'03_Base_Indice'!$J$25:$J$34)/SUMPRODUCT(Aux!BL$25:BL$34,'03_Base_Indice'!$J$25:$J$34)),""))</f>
        <v>56.57129959172471</v>
      </c>
      <c r="I7" s="33">
        <f>IF($B7&lt;&gt;1,"",IFERROR(IF(SUMPRODUCT(Aux!BM$25:BM$34*1)&lt;$E7,"",SUMPRODUCT(Aux!BA$25:BA$34,'03_Base_Indice'!$J$25:$J$34)/SUMPRODUCT(Aux!BM$25:BM$34,'03_Base_Indice'!$J$25:$J$34)),""))</f>
        <v>56.257329482203879</v>
      </c>
      <c r="J7" s="33">
        <f>IF($B7&lt;&gt;1,"",IFERROR(IF(SUMPRODUCT(Aux!BN$25:BN$34*1)&lt;$E7,"",SUMPRODUCT(Aux!BB$25:BB$34,'03_Base_Indice'!$J$25:$J$34)/SUMPRODUCT(Aux!BN$25:BN$34,'03_Base_Indice'!$J$25:$J$34)),""))</f>
        <v>56.302874629753752</v>
      </c>
      <c r="K7" s="33">
        <f>IF($B7&lt;&gt;1,"",IFERROR(IF(SUMPRODUCT(Aux!BO$25:BO$34*1)&lt;$E7,"",SUMPRODUCT(Aux!BC$25:BC$34,'03_Base_Indice'!$J$25:$J$34)/SUMPRODUCT(Aux!BO$25:BO$34,'03_Base_Indice'!$J$25:$J$34)),""))</f>
        <v>57.924943128556905</v>
      </c>
      <c r="L7" s="33">
        <f>IF($B7&lt;&gt;1,"",IFERROR(IF(SUMPRODUCT(Aux!BP$25:BP$34*1)&lt;$E7,"",SUMPRODUCT(Aux!BD$25:BD$34,'03_Base_Indice'!$J$25:$J$34)/SUMPRODUCT(Aux!BP$25:BP$34,'03_Base_Indice'!$J$25:$J$34)),""))</f>
        <v>56.994872579711362</v>
      </c>
      <c r="M7" s="33">
        <f>IF($B7&lt;&gt;1,"",IFERROR(IF(SUMPRODUCT(Aux!BQ$25:BQ$34*1)&lt;$E7,"",SUMPRODUCT(Aux!BE$25:BE$34,'03_Base_Indice'!$J$25:$J$34)/SUMPRODUCT(Aux!BQ$25:BQ$34,'03_Base_Indice'!$J$25:$J$34)),""))</f>
        <v>58.047500024518392</v>
      </c>
      <c r="N7" s="33">
        <f>IF($B7&lt;&gt;1,"",IFERROR(IF(SUMPRODUCT(Aux!BR$25:BR$34*1)&lt;$E7,"",SUMPRODUCT(Aux!BF$25:BF$34,'03_Base_Indice'!$J$25:$J$34)/SUMPRODUCT(Aux!BR$25:BR$34,'03_Base_Indice'!$J$25:$J$34)),""))</f>
        <v>58.688721924774967</v>
      </c>
      <c r="O7" s="33">
        <f>IF($B7&lt;&gt;1,"",IFERROR(IF(SUMPRODUCT(Aux!BS$25:BS$34*1)&lt;$E7,"",SUMPRODUCT(Aux!BG$25:BG$34,'03_Base_Indice'!$J$25:$J$34)/SUMPRODUCT(Aux!BS$25:BS$34,'03_Base_Indice'!$J$25:$J$34)),""))</f>
        <v>58.943166369219412</v>
      </c>
      <c r="P7" s="33">
        <f>IF($B7&lt;&gt;1,"",IFERROR(IF(SUMPRODUCT(Aux!BT$25:BT$34*1)&lt;$E7,"",SUMPRODUCT(Aux!BH$25:BH$34,'03_Base_Indice'!$J$25:$J$34)/SUMPRODUCT(Aux!BT$25:BT$34,'03_Base_Indice'!$J$25:$J$34)),""))</f>
        <v>59.051499702552746</v>
      </c>
      <c r="Q7" s="34">
        <f>IFERROR(LOOKUP(9.99E+307,F7:P7),"")</f>
        <v>59.051499702552746</v>
      </c>
      <c r="R7" s="34">
        <f>IFERROR(INDEX(F7:P7,MATCH(TRUE,INDEX(ISNUMBER(F7:P7),0),0)),"")</f>
        <v>50.4790343816302</v>
      </c>
      <c r="S7" s="35">
        <f>IF(OR(Q7="",R7=""),"",Q7-R7)</f>
        <v>8.5724653209225465</v>
      </c>
      <c r="T7" s="34">
        <f>IF($B7=1,IF(Q7="","",Q7),"")</f>
        <v>59.051499702552746</v>
      </c>
      <c r="U7" s="35">
        <f>IF($B7=1,IF(S7="","",S7),"")</f>
        <v>8.5724653209225465</v>
      </c>
    </row>
    <row r="8" spans="1:21">
      <c r="A8" s="8" t="s">
        <v>1813</v>
      </c>
      <c r="B8" s="32">
        <f>'01_Criterios'!$C$29</f>
        <v>1</v>
      </c>
      <c r="C8" s="32">
        <f>'01_Criterios'!$D$29</f>
        <v>1</v>
      </c>
      <c r="D8" s="32">
        <f>SUMPRODUCT(('03_Base_Indice'!$D$35:$D$44&lt;&gt;"")*1)</f>
        <v>3</v>
      </c>
      <c r="E8" s="32">
        <f>IF(D8=0,0,ROUNDUP(D8*'01_Criterios'!$C$16,0))</f>
        <v>3</v>
      </c>
      <c r="F8" s="33">
        <f>IF($B8&lt;&gt;1,"",IFERROR(IF(SUMPRODUCT(Aux!BJ$35:BJ$44*1)&lt;$E8,"",SUMPRODUCT(Aux!AX$35:AX$44,'03_Base_Indice'!$J$35:$J$44)/SUMPRODUCT(Aux!BJ$35:BJ$44,'03_Base_Indice'!$J$35:$J$44)),""))</f>
        <v>50.768338557993722</v>
      </c>
      <c r="G8" s="33">
        <f>IF($B8&lt;&gt;1,"",IFERROR(IF(SUMPRODUCT(Aux!BK$35:BK$44*1)&lt;$E8,"",SUMPRODUCT(Aux!AY$35:AY$44,'03_Base_Indice'!$J$35:$J$44)/SUMPRODUCT(Aux!BK$35:BK$44,'03_Base_Indice'!$J$35:$J$44)),""))</f>
        <v>47.543051201671879</v>
      </c>
      <c r="H8" s="33">
        <f>IF($B8&lt;&gt;1,"",IFERROR(IF(SUMPRODUCT(Aux!BL$35:BL$44*1)&lt;$E8,"",SUMPRODUCT(Aux!AZ$35:AZ$44,'03_Base_Indice'!$J$35:$J$44)/SUMPRODUCT(Aux!BL$35:BL$44,'03_Base_Indice'!$J$35:$J$44)),""))</f>
        <v>42.71229536746781</v>
      </c>
      <c r="I8" s="33">
        <f>IF($B8&lt;&gt;1,"",IFERROR(IF(SUMPRODUCT(Aux!BM$35:BM$44*1)&lt;$E8,"",SUMPRODUCT(Aux!BA$35:BA$44,'03_Base_Indice'!$J$35:$J$44)/SUMPRODUCT(Aux!BM$35:BM$44,'03_Base_Indice'!$J$35:$J$44)),""))</f>
        <v>42.157122953674701</v>
      </c>
      <c r="J8" s="33">
        <f>IF($B8&lt;&gt;1,"",IFERROR(IF(SUMPRODUCT(Aux!BN$35:BN$44*1)&lt;$E8,"",SUMPRODUCT(Aux!BB$35:BB$44,'03_Base_Indice'!$J$35:$J$44)/SUMPRODUCT(Aux!BN$35:BN$44,'03_Base_Indice'!$J$35:$J$44)),""))</f>
        <v>42.722413793103449</v>
      </c>
      <c r="K8" s="33">
        <f>IF($B8&lt;&gt;1,"",IFERROR(IF(SUMPRODUCT(Aux!BO$35:BO$44*1)&lt;$E8,"",SUMPRODUCT(Aux!BC$35:BC$44,'03_Base_Indice'!$J$35:$J$44)/SUMPRODUCT(Aux!BO$35:BO$44,'03_Base_Indice'!$J$35:$J$44)),""))</f>
        <v>42.114942528735632</v>
      </c>
      <c r="L8" s="33">
        <f>IF($B8&lt;&gt;1,"",IFERROR(IF(SUMPRODUCT(Aux!BP$35:BP$44*1)&lt;$E8,"",SUMPRODUCT(Aux!BD$35:BD$44,'03_Base_Indice'!$J$35:$J$44)/SUMPRODUCT(Aux!BP$35:BP$44,'03_Base_Indice'!$J$35:$J$44)),""))</f>
        <v>41.670463253221847</v>
      </c>
      <c r="M8" s="33">
        <f>IF($B8&lt;&gt;1,"",IFERROR(IF(SUMPRODUCT(Aux!BQ$35:BQ$44*1)&lt;$E8,"",SUMPRODUCT(Aux!BE$35:BE$44,'03_Base_Indice'!$J$35:$J$44)/SUMPRODUCT(Aux!BQ$35:BQ$44,'03_Base_Indice'!$J$35:$J$44)),""))</f>
        <v>44.068477882270969</v>
      </c>
      <c r="N8" s="33">
        <f>IF($B8&lt;&gt;1,"",IFERROR(IF(SUMPRODUCT(Aux!BR$35:BR$44*1)&lt;$E8,"",SUMPRODUCT(Aux!BF$35:BF$44,'03_Base_Indice'!$J$35:$J$44)/SUMPRODUCT(Aux!BR$35:BR$44,'03_Base_Indice'!$J$35:$J$44)),""))</f>
        <v>45.496064089167525</v>
      </c>
      <c r="O8" s="33">
        <f>IF($B8&lt;&gt;1,"",IFERROR(IF(SUMPRODUCT(Aux!BS$35:BS$44*1)&lt;$E8,"",SUMPRODUCT(Aux!BG$35:BG$44,'03_Base_Indice'!$J$35:$J$44)/SUMPRODUCT(Aux!BS$35:BS$44,'03_Base_Indice'!$J$35:$J$44)),""))</f>
        <v>49.638662486938323</v>
      </c>
      <c r="P8" s="33">
        <f>IF($B8&lt;&gt;1,"",IFERROR(IF(SUMPRODUCT(Aux!BT$35:BT$44*1)&lt;$E8,"",SUMPRODUCT(Aux!BH$35:BH$44,'03_Base_Indice'!$J$35:$J$44)/SUMPRODUCT(Aux!BT$35:BT$44,'03_Base_Indice'!$J$35:$J$44)),""))</f>
        <v>49.409125740160221</v>
      </c>
      <c r="Q8" s="34">
        <f>IFERROR(LOOKUP(9.99E+307,F8:P8),"")</f>
        <v>49.409125740160221</v>
      </c>
      <c r="R8" s="34">
        <f>IFERROR(INDEX(F8:P8,MATCH(TRUE,INDEX(ISNUMBER(F8:P8),0),0)),"")</f>
        <v>50.768338557993722</v>
      </c>
      <c r="S8" s="35">
        <f>IF(OR(Q8="",R8=""),"",Q8-R8)</f>
        <v>-1.3592128178335017</v>
      </c>
      <c r="T8" s="34">
        <f>IF($B8=1,IF(Q8="","",Q8),"")</f>
        <v>49.409125740160221</v>
      </c>
      <c r="U8" s="35">
        <f>IF($B8=1,IF(S8="","",S8),"")</f>
        <v>-1.3592128178335017</v>
      </c>
    </row>
    <row r="9" spans="1:21">
      <c r="A9" s="8" t="s">
        <v>1814</v>
      </c>
      <c r="B9" s="32">
        <f>'01_Criterios'!$C$30</f>
        <v>1</v>
      </c>
      <c r="C9" s="32">
        <f>'01_Criterios'!$D$30</f>
        <v>1</v>
      </c>
      <c r="D9" s="32">
        <f>SUMPRODUCT(('03_Base_Indice'!$D$45:$D$54&lt;&gt;"")*1)</f>
        <v>5</v>
      </c>
      <c r="E9" s="32">
        <f>IF(D9=0,0,ROUNDUP(D9*'01_Criterios'!$C$16,0))</f>
        <v>4</v>
      </c>
      <c r="F9" s="33">
        <f>IF($B9&lt;&gt;1,"",IFERROR(IF(SUMPRODUCT(Aux!BJ$45:BJ$54*1)&lt;$E9,"",SUMPRODUCT(Aux!AX$45:AX$54,'03_Base_Indice'!$J$45:$J$54)/SUMPRODUCT(Aux!BJ$45:BJ$54,'03_Base_Indice'!$J$45:$J$54)),""))</f>
        <v>45.989555869783167</v>
      </c>
      <c r="G9" s="33">
        <f>IF($B9&lt;&gt;1,"",IFERROR(IF(SUMPRODUCT(Aux!BK$45:BK$54*1)&lt;$E9,"",SUMPRODUCT(Aux!AY$45:AY$54,'03_Base_Indice'!$J$45:$J$54)/SUMPRODUCT(Aux!BK$45:BK$54,'03_Base_Indice'!$J$45:$J$54)),""))</f>
        <v>39.273908700006679</v>
      </c>
      <c r="H9" s="33">
        <f>IF($B9&lt;&gt;1,"",IFERROR(IF(SUMPRODUCT(Aux!BL$45:BL$54*1)&lt;$E9,"",SUMPRODUCT(Aux!AZ$45:AZ$54,'03_Base_Indice'!$J$45:$J$54)/SUMPRODUCT(Aux!BL$45:BL$54,'03_Base_Indice'!$J$45:$J$54)),""))</f>
        <v>44.683769108757488</v>
      </c>
      <c r="I9" s="33">
        <f>IF($B9&lt;&gt;1,"",IFERROR(IF(SUMPRODUCT(Aux!BM$45:BM$54*1)&lt;$E9,"",SUMPRODUCT(Aux!BA$45:BA$54,'03_Base_Indice'!$J$45:$J$54)/SUMPRODUCT(Aux!BM$45:BM$54,'03_Base_Indice'!$J$45:$J$54)),""))</f>
        <v>42.129239629241894</v>
      </c>
      <c r="J9" s="33">
        <f>IF($B9&lt;&gt;1,"",IFERROR(IF(SUMPRODUCT(Aux!BN$45:BN$54*1)&lt;$E9,"",SUMPRODUCT(Aux!BB$45:BB$54,'03_Base_Indice'!$J$45:$J$54)/SUMPRODUCT(Aux!BN$45:BN$54,'03_Base_Indice'!$J$45:$J$54)),""))</f>
        <v>44.854885911165049</v>
      </c>
      <c r="K9" s="33">
        <f>IF($B9&lt;&gt;1,"",IFERROR(IF(SUMPRODUCT(Aux!BO$45:BO$54*1)&lt;$E9,"",SUMPRODUCT(Aux!BC$45:BC$54,'03_Base_Indice'!$J$45:$J$54)/SUMPRODUCT(Aux!BO$45:BO$54,'03_Base_Indice'!$J$45:$J$54)),""))</f>
        <v>42.272598701323361</v>
      </c>
      <c r="L9" s="33">
        <f>IF($B9&lt;&gt;1,"",IFERROR(IF(SUMPRODUCT(Aux!BP$45:BP$54*1)&lt;$E9,"",SUMPRODUCT(Aux!BD$45:BD$54,'03_Base_Indice'!$J$45:$J$54)/SUMPRODUCT(Aux!BP$45:BP$54,'03_Base_Indice'!$J$45:$J$54)),""))</f>
        <v>44.079488580924043</v>
      </c>
      <c r="M9" s="33">
        <f>IF($B9&lt;&gt;1,"",IFERROR(IF(SUMPRODUCT(Aux!BQ$45:BQ$54*1)&lt;$E9,"",SUMPRODUCT(Aux!BE$45:BE$54,'03_Base_Indice'!$J$45:$J$54)/SUMPRODUCT(Aux!BQ$45:BQ$54,'03_Base_Indice'!$J$45:$J$54)),""))</f>
        <v>45.812539538030073</v>
      </c>
      <c r="N9" s="33">
        <f>IF($B9&lt;&gt;1,"",IFERROR(IF(SUMPRODUCT(Aux!BR$45:BR$54*1)&lt;$E9,"",SUMPRODUCT(Aux!BF$45:BF$54,'03_Base_Indice'!$J$45:$J$54)/SUMPRODUCT(Aux!BR$45:BR$54,'03_Base_Indice'!$J$45:$J$54)),""))</f>
        <v>46.239818385103277</v>
      </c>
      <c r="O9" s="33">
        <f>IF($B9&lt;&gt;1,"",IFERROR(IF(SUMPRODUCT(Aux!BS$45:BS$54*1)&lt;$E9,"",SUMPRODUCT(Aux!BG$45:BG$54,'03_Base_Indice'!$J$45:$J$54)/SUMPRODUCT(Aux!BS$45:BS$54,'03_Base_Indice'!$J$45:$J$54)),""))</f>
        <v>47.984622518916311</v>
      </c>
      <c r="P9" s="33">
        <f>IF($B9&lt;&gt;1,"",IFERROR(IF(SUMPRODUCT(Aux!BT$45:BT$54*1)&lt;$E9,"",SUMPRODUCT(Aux!BH$45:BH$54,'03_Base_Indice'!$J$45:$J$54)/SUMPRODUCT(Aux!BT$45:BT$54,'03_Base_Indice'!$J$45:$J$54)),""))</f>
        <v>47.984622518916311</v>
      </c>
      <c r="Q9" s="34">
        <f>IFERROR(LOOKUP(9.99E+307,F9:P9),"")</f>
        <v>47.984622518916311</v>
      </c>
      <c r="R9" s="34">
        <f>IFERROR(INDEX(F9:P9,MATCH(TRUE,INDEX(ISNUMBER(F9:P9),0),0)),"")</f>
        <v>45.989555869783167</v>
      </c>
      <c r="S9" s="35">
        <f>IF(OR(Q9="",R9=""),"",Q9-R9)</f>
        <v>1.9950666491331432</v>
      </c>
      <c r="T9" s="34">
        <f>IF($B9=1,IF(Q9="","",Q9),"")</f>
        <v>47.984622518916311</v>
      </c>
      <c r="U9" s="35">
        <f>IF($B9=1,IF(S9="","",S9),"")</f>
        <v>1.9950666491331432</v>
      </c>
    </row>
    <row r="10" spans="1:21">
      <c r="A10" s="8" t="s">
        <v>1815</v>
      </c>
      <c r="B10" s="32">
        <f>'01_Criterios'!$C$31</f>
        <v>1</v>
      </c>
      <c r="C10" s="32">
        <f>'01_Criterios'!$D$31</f>
        <v>1</v>
      </c>
      <c r="D10" s="32">
        <f>SUMPRODUCT(('03_Base_Indice'!$D$55:$D$64&lt;&gt;"")*1)</f>
        <v>5</v>
      </c>
      <c r="E10" s="32">
        <f>IF(D10=0,0,ROUNDUP(D10*'01_Criterios'!$C$16,0))</f>
        <v>4</v>
      </c>
      <c r="F10" s="33">
        <f>IF($B10&lt;&gt;1,"",IFERROR(IF(SUMPRODUCT(Aux!BJ$55:BJ$64*1)&lt;$E10,"",SUMPRODUCT(Aux!AX$55:AX$64,'03_Base_Indice'!$J$55:$J$64)/SUMPRODUCT(Aux!BJ$55:BJ$64,'03_Base_Indice'!$J$55:$J$64)),""))</f>
        <v>65.104270808678507</v>
      </c>
      <c r="G10" s="33">
        <f>IF($B10&lt;&gt;1,"",IFERROR(IF(SUMPRODUCT(Aux!BK$55:BK$64*1)&lt;$E10,"",SUMPRODUCT(Aux!AY$55:AY$64,'03_Base_Indice'!$J$55:$J$64)/SUMPRODUCT(Aux!BK$55:BK$64,'03_Base_Indice'!$J$55:$J$64)),""))</f>
        <v>63.743466173570027</v>
      </c>
      <c r="H10" s="33">
        <f>IF($B10&lt;&gt;1,"",IFERROR(IF(SUMPRODUCT(Aux!BL$55:BL$64*1)&lt;$E10,"",SUMPRODUCT(Aux!AZ$55:AZ$64,'03_Base_Indice'!$J$55:$J$64)/SUMPRODUCT(Aux!BL$55:BL$64,'03_Base_Indice'!$J$55:$J$64)),""))</f>
        <v>63.451157889546344</v>
      </c>
      <c r="I10" s="33">
        <f>IF($B10&lt;&gt;1,"",IFERROR(IF(SUMPRODUCT(Aux!BM$55:BM$64*1)&lt;$E10,"",SUMPRODUCT(Aux!BA$55:BA$64,'03_Base_Indice'!$J$55:$J$64)/SUMPRODUCT(Aux!BM$55:BM$64,'03_Base_Indice'!$J$55:$J$64)),""))</f>
        <v>62.984661834319525</v>
      </c>
      <c r="J10" s="33">
        <f>IF($B10&lt;&gt;1,"",IFERROR(IF(SUMPRODUCT(Aux!BN$55:BN$64*1)&lt;$E10,"",SUMPRODUCT(Aux!BB$55:BB$64,'03_Base_Indice'!$J$55:$J$64)/SUMPRODUCT(Aux!BN$55:BN$64,'03_Base_Indice'!$J$55:$J$64)),""))</f>
        <v>62.982749506903346</v>
      </c>
      <c r="K10" s="33">
        <f>IF($B10&lt;&gt;1,"",IFERROR(IF(SUMPRODUCT(Aux!BO$55:BO$64*1)&lt;$E10,"",SUMPRODUCT(Aux!BC$55:BC$64,'03_Base_Indice'!$J$55:$J$64)/SUMPRODUCT(Aux!BO$55:BO$64,'03_Base_Indice'!$J$55:$J$64)),""))</f>
        <v>59.207059566074953</v>
      </c>
      <c r="L10" s="33">
        <f>IF($B10&lt;&gt;1,"",IFERROR(IF(SUMPRODUCT(Aux!BP$55:BP$64*1)&lt;$E10,"",SUMPRODUCT(Aux!BD$55:BD$64,'03_Base_Indice'!$J$55:$J$64)/SUMPRODUCT(Aux!BP$55:BP$64,'03_Base_Indice'!$J$55:$J$64)),""))</f>
        <v>62.696662623274165</v>
      </c>
      <c r="M10" s="33">
        <f>IF($B10&lt;&gt;1,"",IFERROR(IF(SUMPRODUCT(Aux!BQ$55:BQ$64*1)&lt;$E10,"",SUMPRODUCT(Aux!BE$55:BE$64,'03_Base_Indice'!$J$55:$J$64)/SUMPRODUCT(Aux!BQ$55:BQ$64,'03_Base_Indice'!$J$55:$J$64)),""))</f>
        <v>67.141387278106492</v>
      </c>
      <c r="N10" s="33">
        <f>IF($B10&lt;&gt;1,"",IFERROR(IF(SUMPRODUCT(Aux!BR$55:BR$64*1)&lt;$E10,"",SUMPRODUCT(Aux!BF$55:BF$64,'03_Base_Indice'!$J$55:$J$64)/SUMPRODUCT(Aux!BR$55:BR$64,'03_Base_Indice'!$J$55:$J$64)),""))</f>
        <v>66.686718934911241</v>
      </c>
      <c r="O10" s="33">
        <f>IF($B10&lt;&gt;1,"",IFERROR(IF(SUMPRODUCT(Aux!BS$55:BS$64*1)&lt;$E10,"",SUMPRODUCT(Aux!BG$55:BG$64,'03_Base_Indice'!$J$55:$J$64)/SUMPRODUCT(Aux!BS$55:BS$64,'03_Base_Indice'!$J$55:$J$64)),""))</f>
        <v>67.060912820512812</v>
      </c>
      <c r="P10" s="33">
        <f>IF($B10&lt;&gt;1,"",IFERROR(IF(SUMPRODUCT(Aux!BT$55:BT$64*1)&lt;$E10,"",SUMPRODUCT(Aux!BH$55:BH$64,'03_Base_Indice'!$J$55:$J$64)/SUMPRODUCT(Aux!BT$55:BT$64,'03_Base_Indice'!$J$55:$J$64)),""))</f>
        <v>66.046859664694281</v>
      </c>
      <c r="Q10" s="34">
        <f>IFERROR(LOOKUP(9.99E+307,F10:P10),"")</f>
        <v>66.046859664694281</v>
      </c>
      <c r="R10" s="34">
        <f>IFERROR(INDEX(F10:P10,MATCH(TRUE,INDEX(ISNUMBER(F10:P10),0),0)),"")</f>
        <v>65.104270808678507</v>
      </c>
      <c r="S10" s="35">
        <f>IF(OR(Q10="",R10=""),"",Q10-R10)</f>
        <v>0.94258885601577447</v>
      </c>
      <c r="T10" s="34">
        <f>IF($B10=1,IF(Q10="","",Q10),"")</f>
        <v>66.046859664694281</v>
      </c>
      <c r="U10" s="35">
        <f>IF($B10=1,IF(S10="","",S10),"")</f>
        <v>0.94258885601577447</v>
      </c>
    </row>
    <row r="11" spans="1:21">
      <c r="A11" s="8" t="s">
        <v>1816</v>
      </c>
      <c r="B11" s="32">
        <f>'01_Criterios'!$C$32</f>
        <v>1</v>
      </c>
      <c r="C11" s="32">
        <f>'01_Criterios'!$D$32</f>
        <v>1</v>
      </c>
      <c r="D11" s="32">
        <f>SUMPRODUCT(('03_Base_Indice'!$D$65:$D$74&lt;&gt;"")*1)</f>
        <v>7</v>
      </c>
      <c r="E11" s="32">
        <f>IF(D11=0,0,ROUNDUP(D11*'01_Criterios'!$C$16,0))</f>
        <v>6</v>
      </c>
      <c r="F11" s="33">
        <f>IF($B11&lt;&gt;1,"",IFERROR(IF(SUMPRODUCT(Aux!BJ$65:BJ$74*1)&lt;$E11,"",SUMPRODUCT(Aux!AX$65:AX$74,'03_Base_Indice'!$J$65:$J$74)/SUMPRODUCT(Aux!BJ$65:BJ$74,'03_Base_Indice'!$J$65:$J$74)),""))</f>
        <v>59.24485122952381</v>
      </c>
      <c r="G11" s="33">
        <f>IF($B11&lt;&gt;1,"",IFERROR(IF(SUMPRODUCT(Aux!BK$65:BK$74*1)&lt;$E11,"",SUMPRODUCT(Aux!AY$65:AY$74,'03_Base_Indice'!$J$65:$J$74)/SUMPRODUCT(Aux!BK$65:BK$74,'03_Base_Indice'!$J$65:$J$74)),""))</f>
        <v>58.281854842380952</v>
      </c>
      <c r="H11" s="33">
        <f>IF($B11&lt;&gt;1,"",IFERROR(IF(SUMPRODUCT(Aux!BL$65:BL$74*1)&lt;$E11,"",SUMPRODUCT(Aux!AZ$65:AZ$74,'03_Base_Indice'!$J$65:$J$74)/SUMPRODUCT(Aux!BL$65:BL$74,'03_Base_Indice'!$J$65:$J$74)),""))</f>
        <v>57.759990908571424</v>
      </c>
      <c r="I11" s="33">
        <f>IF($B11&lt;&gt;1,"",IFERROR(IF(SUMPRODUCT(Aux!BM$65:BM$74*1)&lt;$E11,"",SUMPRODUCT(Aux!BA$65:BA$74,'03_Base_Indice'!$J$65:$J$74)/SUMPRODUCT(Aux!BM$65:BM$74,'03_Base_Indice'!$J$65:$J$74)),""))</f>
        <v>58.248642695714288</v>
      </c>
      <c r="J11" s="33">
        <f>IF($B11&lt;&gt;1,"",IFERROR(IF(SUMPRODUCT(Aux!BN$65:BN$74*1)&lt;$E11,"",SUMPRODUCT(Aux!BB$65:BB$74,'03_Base_Indice'!$J$65:$J$74)/SUMPRODUCT(Aux!BN$65:BN$74,'03_Base_Indice'!$J$65:$J$74)),""))</f>
        <v>58.239980912380965</v>
      </c>
      <c r="K11" s="33">
        <f>IF($B11&lt;&gt;1,"",IFERROR(IF(SUMPRODUCT(Aux!BO$65:BO$74*1)&lt;$E11,"",SUMPRODUCT(Aux!BC$65:BC$74,'03_Base_Indice'!$J$65:$J$74)/SUMPRODUCT(Aux!BO$65:BO$74,'03_Base_Indice'!$J$65:$J$74)),""))</f>
        <v>58.15015419904762</v>
      </c>
      <c r="L11" s="33">
        <f>IF($B11&lt;&gt;1,"",IFERROR(IF(SUMPRODUCT(Aux!BP$65:BP$74*1)&lt;$E11,"",SUMPRODUCT(Aux!BD$65:BD$74,'03_Base_Indice'!$J$65:$J$74)/SUMPRODUCT(Aux!BP$65:BP$74,'03_Base_Indice'!$J$65:$J$74)),""))</f>
        <v>56.503792958095232</v>
      </c>
      <c r="M11" s="33">
        <f>IF($B11&lt;&gt;1,"",IFERROR(IF(SUMPRODUCT(Aux!BQ$65:BQ$74*1)&lt;$E11,"",SUMPRODUCT(Aux!BE$65:BE$74,'03_Base_Indice'!$J$65:$J$74)/SUMPRODUCT(Aux!BQ$65:BQ$74,'03_Base_Indice'!$J$65:$J$74)),""))</f>
        <v>56.375636221904756</v>
      </c>
      <c r="N11" s="33">
        <f>IF($B11&lt;&gt;1,"",IFERROR(IF(SUMPRODUCT(Aux!BR$65:BR$74*1)&lt;$E11,"",SUMPRODUCT(Aux!BF$65:BF$74,'03_Base_Indice'!$J$65:$J$74)/SUMPRODUCT(Aux!BR$65:BR$74,'03_Base_Indice'!$J$65:$J$74)),""))</f>
        <v>58.255549660952383</v>
      </c>
      <c r="O11" s="33">
        <f>IF($B11&lt;&gt;1,"",IFERROR(IF(SUMPRODUCT(Aux!BS$65:BS$74*1)&lt;$E11,"",SUMPRODUCT(Aux!BG$65:BG$74,'03_Base_Indice'!$J$65:$J$74)/SUMPRODUCT(Aux!BS$65:BS$74,'03_Base_Indice'!$J$65:$J$74)),""))</f>
        <v>56.807549660952382</v>
      </c>
      <c r="P11" s="33">
        <f>IF($B11&lt;&gt;1,"",IFERROR(IF(SUMPRODUCT(Aux!BT$65:BT$74*1)&lt;$E11,"",SUMPRODUCT(Aux!BH$65:BH$74,'03_Base_Indice'!$J$65:$J$74)/SUMPRODUCT(Aux!BT$65:BT$74,'03_Base_Indice'!$J$65:$J$74)),""))</f>
        <v>57.021835375238098</v>
      </c>
      <c r="Q11" s="34">
        <f>IFERROR(LOOKUP(9.99E+307,F11:P11),"")</f>
        <v>57.021835375238098</v>
      </c>
      <c r="R11" s="34">
        <f>IFERROR(INDEX(F11:P11,MATCH(TRUE,INDEX(ISNUMBER(F11:P11),0),0)),"")</f>
        <v>59.24485122952381</v>
      </c>
      <c r="S11" s="35">
        <f>IF(OR(Q11="",R11=""),"",Q11-R11)</f>
        <v>-2.2230158542857126</v>
      </c>
      <c r="T11" s="34">
        <f>IF($B11=1,IF(Q11="","",Q11),"")</f>
        <v>57.021835375238098</v>
      </c>
      <c r="U11" s="35">
        <f>IF($B11=1,IF(S11="","",S11),"")</f>
        <v>-2.2230158542857126</v>
      </c>
    </row>
    <row r="12" spans="1:21">
      <c r="A12" s="8" t="s">
        <v>1817</v>
      </c>
      <c r="B12" s="32">
        <f>'01_Criterios'!$C$33</f>
        <v>1</v>
      </c>
      <c r="C12" s="32">
        <f>'01_Criterios'!$D$33</f>
        <v>1</v>
      </c>
      <c r="D12" s="32">
        <f>SUMPRODUCT(('03_Base_Indice'!$D$75:$D$84&lt;&gt;"")*1)</f>
        <v>5</v>
      </c>
      <c r="E12" s="32">
        <f>IF(D12=0,0,ROUNDUP(D12*'01_Criterios'!$C$16,0))</f>
        <v>4</v>
      </c>
      <c r="F12" s="33">
        <f>IF($B12&lt;&gt;1,"",IFERROR(IF(SUMPRODUCT(Aux!BJ$75:BJ$84*1)&lt;$E12,"",SUMPRODUCT(Aux!AX$75:AX$84,'03_Base_Indice'!$J$75:$J$84)/SUMPRODUCT(Aux!BJ$75:BJ$84,'03_Base_Indice'!$J$75:$J$84)),""))</f>
        <v>19.988441072755187</v>
      </c>
      <c r="G12" s="33">
        <f>IF($B12&lt;&gt;1,"",IFERROR(IF(SUMPRODUCT(Aux!BK$75:BK$84*1)&lt;$E12,"",SUMPRODUCT(Aux!AY$75:AY$84,'03_Base_Indice'!$J$75:$J$84)/SUMPRODUCT(Aux!BK$75:BK$84,'03_Base_Indice'!$J$75:$J$84)),""))</f>
        <v>23.478583209191974</v>
      </c>
      <c r="H12" s="33">
        <f>IF($B12&lt;&gt;1,"",IFERROR(IF(SUMPRODUCT(Aux!BL$75:BL$84*1)&lt;$E12,"",SUMPRODUCT(Aux!AZ$75:AZ$84,'03_Base_Indice'!$J$75:$J$84)/SUMPRODUCT(Aux!BL$75:BL$84,'03_Base_Indice'!$J$75:$J$84)),""))</f>
        <v>24.641193541811887</v>
      </c>
      <c r="I12" s="33">
        <f>IF($B12&lt;&gt;1,"",IFERROR(IF(SUMPRODUCT(Aux!BM$75:BM$84*1)&lt;$E12,"",SUMPRODUCT(Aux!BA$75:BA$84,'03_Base_Indice'!$J$75:$J$84)/SUMPRODUCT(Aux!BM$75:BM$84,'03_Base_Indice'!$J$75:$J$84)),""))</f>
        <v>23.183337006898377</v>
      </c>
      <c r="J12" s="33">
        <f>IF($B12&lt;&gt;1,"",IFERROR(IF(SUMPRODUCT(Aux!BN$75:BN$84*1)&lt;$E12,"",SUMPRODUCT(Aux!BB$75:BB$84,'03_Base_Indice'!$J$75:$J$84)/SUMPRODUCT(Aux!BN$75:BN$84,'03_Base_Indice'!$J$75:$J$84)),""))</f>
        <v>21.835223422876471</v>
      </c>
      <c r="K12" s="33">
        <f>IF($B12&lt;&gt;1,"",IFERROR(IF(SUMPRODUCT(Aux!BO$75:BO$84*1)&lt;$E12,"",SUMPRODUCT(Aux!BC$75:BC$84,'03_Base_Indice'!$J$75:$J$84)/SUMPRODUCT(Aux!BO$75:BO$84,'03_Base_Indice'!$J$75:$J$84)),""))</f>
        <v>17.201785256447533</v>
      </c>
      <c r="L12" s="33">
        <f>IF($B12&lt;&gt;1,"",IFERROR(IF(SUMPRODUCT(Aux!BP$75:BP$84*1)&lt;$E12,"",SUMPRODUCT(Aux!BD$75:BD$84,'03_Base_Indice'!$J$75:$J$84)/SUMPRODUCT(Aux!BP$75:BP$84,'03_Base_Indice'!$J$75:$J$84)),""))</f>
        <v>24.55190943479478</v>
      </c>
      <c r="M12" s="33">
        <f>IF($B12&lt;&gt;1,"",IFERROR(IF(SUMPRODUCT(Aux!BQ$75:BQ$84*1)&lt;$E12,"",SUMPRODUCT(Aux!BE$75:BE$84,'03_Base_Indice'!$J$75:$J$84)/SUMPRODUCT(Aux!BQ$75:BQ$84,'03_Base_Indice'!$J$75:$J$84)),""))</f>
        <v>22.852555767836172</v>
      </c>
      <c r="N12" s="33">
        <f>IF($B12&lt;&gt;1,"",IFERROR(IF(SUMPRODUCT(Aux!BR$75:BR$84*1)&lt;$E12,"",SUMPRODUCT(Aux!BF$75:BF$84,'03_Base_Indice'!$J$75:$J$84)/SUMPRODUCT(Aux!BR$75:BR$84,'03_Base_Indice'!$J$75:$J$84)),""))</f>
        <v>23.132466989087224</v>
      </c>
      <c r="O12" s="33">
        <f>IF($B12&lt;&gt;1,"",IFERROR(IF(SUMPRODUCT(Aux!BS$75:BS$84*1)&lt;$E12,"",SUMPRODUCT(Aux!BG$75:BG$84,'03_Base_Indice'!$J$75:$J$84)/SUMPRODUCT(Aux!BS$75:BS$84,'03_Base_Indice'!$J$75:$J$84)),""))</f>
        <v>24.84501895430645</v>
      </c>
      <c r="P12" s="33">
        <f>IF($B12&lt;&gt;1,"",IFERROR(IF(SUMPRODUCT(Aux!BT$75:BT$84*1)&lt;$E12,"",SUMPRODUCT(Aux!BH$75:BH$84,'03_Base_Indice'!$J$75:$J$84)/SUMPRODUCT(Aux!BT$75:BT$84,'03_Base_Indice'!$J$75:$J$84)),""))</f>
        <v>24.85907584683132</v>
      </c>
      <c r="Q12" s="34">
        <f>IFERROR(LOOKUP(9.99E+307,F12:P12),"")</f>
        <v>24.85907584683132</v>
      </c>
      <c r="R12" s="34">
        <f>IFERROR(INDEX(F12:P12,MATCH(TRUE,INDEX(ISNUMBER(F12:P12),0),0)),"")</f>
        <v>19.988441072755187</v>
      </c>
      <c r="S12" s="35">
        <f>IF(OR(Q12="",R12=""),"",Q12-R12)</f>
        <v>4.8706347740761338</v>
      </c>
      <c r="T12" s="34">
        <f>IF($B12=1,IF(Q12="","",Q12),"")</f>
        <v>24.85907584683132</v>
      </c>
      <c r="U12" s="35">
        <f>IF($B12=1,IF(S12="","",S12),"")</f>
        <v>4.8706347740761338</v>
      </c>
    </row>
    <row r="13" spans="1:21">
      <c r="A13" s="8" t="s">
        <v>1818</v>
      </c>
      <c r="B13" s="32">
        <f>'01_Criterios'!$C$34</f>
        <v>0</v>
      </c>
      <c r="C13" s="32">
        <f>'01_Criterios'!$D$34</f>
        <v>1</v>
      </c>
      <c r="D13" s="32">
        <f>SUMPRODUCT(('03_Base_Indice'!$D$85:$D$94&lt;&gt;"")*1)</f>
        <v>0</v>
      </c>
      <c r="E13" s="32">
        <f>IF(D13=0,0,ROUNDUP(D13*'01_Criterios'!$C$16,0))</f>
        <v>0</v>
      </c>
      <c r="F13" s="33" t="str">
        <f>IF($B13&lt;&gt;1,"",IFERROR(IF(SUMPRODUCT(Aux!BJ$85:BJ$94*1)&lt;$E13,"",SUMPRODUCT(Aux!AX$85:AX$94,'03_Base_Indice'!$J$85:$J$94)/SUMPRODUCT(Aux!BJ$85:BJ$94,'03_Base_Indice'!$J$85:$J$94)),""))</f>
        <v/>
      </c>
      <c r="G13" s="33" t="str">
        <f>IF($B13&lt;&gt;1,"",IFERROR(IF(SUMPRODUCT(Aux!BK$85:BK$94*1)&lt;$E13,"",SUMPRODUCT(Aux!AY$85:AY$94,'03_Base_Indice'!$J$85:$J$94)/SUMPRODUCT(Aux!BK$85:BK$94,'03_Base_Indice'!$J$85:$J$94)),""))</f>
        <v/>
      </c>
      <c r="H13" s="33" t="str">
        <f>IF($B13&lt;&gt;1,"",IFERROR(IF(SUMPRODUCT(Aux!BL$85:BL$94*1)&lt;$E13,"",SUMPRODUCT(Aux!AZ$85:AZ$94,'03_Base_Indice'!$J$85:$J$94)/SUMPRODUCT(Aux!BL$85:BL$94,'03_Base_Indice'!$J$85:$J$94)),""))</f>
        <v/>
      </c>
      <c r="I13" s="33" t="str">
        <f>IF($B13&lt;&gt;1,"",IFERROR(IF(SUMPRODUCT(Aux!BM$85:BM$94*1)&lt;$E13,"",SUMPRODUCT(Aux!BA$85:BA$94,'03_Base_Indice'!$J$85:$J$94)/SUMPRODUCT(Aux!BM$85:BM$94,'03_Base_Indice'!$J$85:$J$94)),""))</f>
        <v/>
      </c>
      <c r="J13" s="33" t="str">
        <f>IF($B13&lt;&gt;1,"",IFERROR(IF(SUMPRODUCT(Aux!BN$85:BN$94*1)&lt;$E13,"",SUMPRODUCT(Aux!BB$85:BB$94,'03_Base_Indice'!$J$85:$J$94)/SUMPRODUCT(Aux!BN$85:BN$94,'03_Base_Indice'!$J$85:$J$94)),""))</f>
        <v/>
      </c>
      <c r="K13" s="33" t="str">
        <f>IF($B13&lt;&gt;1,"",IFERROR(IF(SUMPRODUCT(Aux!BO$85:BO$94*1)&lt;$E13,"",SUMPRODUCT(Aux!BC$85:BC$94,'03_Base_Indice'!$J$85:$J$94)/SUMPRODUCT(Aux!BO$85:BO$94,'03_Base_Indice'!$J$85:$J$94)),""))</f>
        <v/>
      </c>
      <c r="L13" s="33" t="str">
        <f>IF($B13&lt;&gt;1,"",IFERROR(IF(SUMPRODUCT(Aux!BP$85:BP$94*1)&lt;$E13,"",SUMPRODUCT(Aux!BD$85:BD$94,'03_Base_Indice'!$J$85:$J$94)/SUMPRODUCT(Aux!BP$85:BP$94,'03_Base_Indice'!$J$85:$J$94)),""))</f>
        <v/>
      </c>
      <c r="M13" s="33" t="str">
        <f>IF($B13&lt;&gt;1,"",IFERROR(IF(SUMPRODUCT(Aux!BQ$85:BQ$94*1)&lt;$E13,"",SUMPRODUCT(Aux!BE$85:BE$94,'03_Base_Indice'!$J$85:$J$94)/SUMPRODUCT(Aux!BQ$85:BQ$94,'03_Base_Indice'!$J$85:$J$94)),""))</f>
        <v/>
      </c>
      <c r="N13" s="33" t="str">
        <f>IF($B13&lt;&gt;1,"",IFERROR(IF(SUMPRODUCT(Aux!BR$85:BR$94*1)&lt;$E13,"",SUMPRODUCT(Aux!BF$85:BF$94,'03_Base_Indice'!$J$85:$J$94)/SUMPRODUCT(Aux!BR$85:BR$94,'03_Base_Indice'!$J$85:$J$94)),""))</f>
        <v/>
      </c>
      <c r="O13" s="33" t="str">
        <f>IF($B13&lt;&gt;1,"",IFERROR(IF(SUMPRODUCT(Aux!BS$85:BS$94*1)&lt;$E13,"",SUMPRODUCT(Aux!BG$85:BG$94,'03_Base_Indice'!$J$85:$J$94)/SUMPRODUCT(Aux!BS$85:BS$94,'03_Base_Indice'!$J$85:$J$94)),""))</f>
        <v/>
      </c>
      <c r="P13" s="33" t="str">
        <f>IF($B13&lt;&gt;1,"",IFERROR(IF(SUMPRODUCT(Aux!BT$85:BT$94*1)&lt;$E13,"",SUMPRODUCT(Aux!BH$85:BH$94,'03_Base_Indice'!$J$85:$J$94)/SUMPRODUCT(Aux!BT$85:BT$94,'03_Base_Indice'!$J$85:$J$94)),""))</f>
        <v/>
      </c>
      <c r="Q13" s="34" t="str">
        <f>IFERROR(LOOKUP(9.99E+307,F13:P13),"")</f>
        <v/>
      </c>
      <c r="R13" s="34" t="str">
        <f>IFERROR(INDEX(F13:P13,MATCH(TRUE,INDEX(ISNUMBER(F13:P13),0),0)),"")</f>
        <v/>
      </c>
      <c r="S13" s="35" t="str">
        <f>IF(OR(Q13="",R13=""),"",Q13-R13)</f>
        <v/>
      </c>
      <c r="T13" s="34" t="str">
        <f>IF($B13=1,IF(Q13="","",Q13),"")</f>
        <v/>
      </c>
      <c r="U13" s="35" t="str">
        <f>IF($B13=1,IF(S13="","",S13),"")</f>
        <v/>
      </c>
    </row>
    <row r="14" spans="1:21">
      <c r="A14" s="8" t="s">
        <v>1819</v>
      </c>
      <c r="B14" s="32">
        <f>'01_Criterios'!$C$35</f>
        <v>0</v>
      </c>
      <c r="C14" s="32">
        <f>'01_Criterios'!$D$35</f>
        <v>1</v>
      </c>
      <c r="D14" s="32">
        <f>SUMPRODUCT(('03_Base_Indice'!$D$95:$D$104&lt;&gt;"")*1)</f>
        <v>0</v>
      </c>
      <c r="E14" s="32">
        <f>IF(D14=0,0,ROUNDUP(D14*'01_Criterios'!$C$16,0))</f>
        <v>0</v>
      </c>
      <c r="F14" s="33" t="str">
        <f>IF($B14&lt;&gt;1,"",IFERROR(IF(SUMPRODUCT(Aux!BJ$95:BJ$104*1)&lt;$E14,"",SUMPRODUCT(Aux!AX$95:AX$104,'03_Base_Indice'!$J$95:$J$104)/SUMPRODUCT(Aux!BJ$95:BJ$104,'03_Base_Indice'!$J$95:$J$104)),""))</f>
        <v/>
      </c>
      <c r="G14" s="33" t="str">
        <f>IF($B14&lt;&gt;1,"",IFERROR(IF(SUMPRODUCT(Aux!BK$95:BK$104*1)&lt;$E14,"",SUMPRODUCT(Aux!AY$95:AY$104,'03_Base_Indice'!$J$95:$J$104)/SUMPRODUCT(Aux!BK$95:BK$104,'03_Base_Indice'!$J$95:$J$104)),""))</f>
        <v/>
      </c>
      <c r="H14" s="33" t="str">
        <f>IF($B14&lt;&gt;1,"",IFERROR(IF(SUMPRODUCT(Aux!BL$95:BL$104*1)&lt;$E14,"",SUMPRODUCT(Aux!AZ$95:AZ$104,'03_Base_Indice'!$J$95:$J$104)/SUMPRODUCT(Aux!BL$95:BL$104,'03_Base_Indice'!$J$95:$J$104)),""))</f>
        <v/>
      </c>
      <c r="I14" s="33" t="str">
        <f>IF($B14&lt;&gt;1,"",IFERROR(IF(SUMPRODUCT(Aux!BM$95:BM$104*1)&lt;$E14,"",SUMPRODUCT(Aux!BA$95:BA$104,'03_Base_Indice'!$J$95:$J$104)/SUMPRODUCT(Aux!BM$95:BM$104,'03_Base_Indice'!$J$95:$J$104)),""))</f>
        <v/>
      </c>
      <c r="J14" s="33" t="str">
        <f>IF($B14&lt;&gt;1,"",IFERROR(IF(SUMPRODUCT(Aux!BN$95:BN$104*1)&lt;$E14,"",SUMPRODUCT(Aux!BB$95:BB$104,'03_Base_Indice'!$J$95:$J$104)/SUMPRODUCT(Aux!BN$95:BN$104,'03_Base_Indice'!$J$95:$J$104)),""))</f>
        <v/>
      </c>
      <c r="K14" s="33" t="str">
        <f>IF($B14&lt;&gt;1,"",IFERROR(IF(SUMPRODUCT(Aux!BO$95:BO$104*1)&lt;$E14,"",SUMPRODUCT(Aux!BC$95:BC$104,'03_Base_Indice'!$J$95:$J$104)/SUMPRODUCT(Aux!BO$95:BO$104,'03_Base_Indice'!$J$95:$J$104)),""))</f>
        <v/>
      </c>
      <c r="L14" s="33" t="str">
        <f>IF($B14&lt;&gt;1,"",IFERROR(IF(SUMPRODUCT(Aux!BP$95:BP$104*1)&lt;$E14,"",SUMPRODUCT(Aux!BD$95:BD$104,'03_Base_Indice'!$J$95:$J$104)/SUMPRODUCT(Aux!BP$95:BP$104,'03_Base_Indice'!$J$95:$J$104)),""))</f>
        <v/>
      </c>
      <c r="M14" s="33" t="str">
        <f>IF($B14&lt;&gt;1,"",IFERROR(IF(SUMPRODUCT(Aux!BQ$95:BQ$104*1)&lt;$E14,"",SUMPRODUCT(Aux!BE$95:BE$104,'03_Base_Indice'!$J$95:$J$104)/SUMPRODUCT(Aux!BQ$95:BQ$104,'03_Base_Indice'!$J$95:$J$104)),""))</f>
        <v/>
      </c>
      <c r="N14" s="33" t="str">
        <f>IF($B14&lt;&gt;1,"",IFERROR(IF(SUMPRODUCT(Aux!BR$95:BR$104*1)&lt;$E14,"",SUMPRODUCT(Aux!BF$95:BF$104,'03_Base_Indice'!$J$95:$J$104)/SUMPRODUCT(Aux!BR$95:BR$104,'03_Base_Indice'!$J$95:$J$104)),""))</f>
        <v/>
      </c>
      <c r="O14" s="33" t="str">
        <f>IF($B14&lt;&gt;1,"",IFERROR(IF(SUMPRODUCT(Aux!BS$95:BS$104*1)&lt;$E14,"",SUMPRODUCT(Aux!BG$95:BG$104,'03_Base_Indice'!$J$95:$J$104)/SUMPRODUCT(Aux!BS$95:BS$104,'03_Base_Indice'!$J$95:$J$104)),""))</f>
        <v/>
      </c>
      <c r="P14" s="33" t="str">
        <f>IF($B14&lt;&gt;1,"",IFERROR(IF(SUMPRODUCT(Aux!BT$95:BT$104*1)&lt;$E14,"",SUMPRODUCT(Aux!BH$95:BH$104,'03_Base_Indice'!$J$95:$J$104)/SUMPRODUCT(Aux!BT$95:BT$104,'03_Base_Indice'!$J$95:$J$104)),""))</f>
        <v/>
      </c>
      <c r="Q14" s="34" t="str">
        <f>IFERROR(LOOKUP(9.99E+307,F14:P14),"")</f>
        <v/>
      </c>
      <c r="R14" s="34" t="str">
        <f>IFERROR(INDEX(F14:P14,MATCH(TRUE,INDEX(ISNUMBER(F14:P14),0),0)),"")</f>
        <v/>
      </c>
      <c r="S14" s="35" t="str">
        <f>IF(OR(Q14="",R14=""),"",Q14-R14)</f>
        <v/>
      </c>
      <c r="T14" s="34" t="str">
        <f>IF($B14=1,IF(Q14="","",Q14),"")</f>
        <v/>
      </c>
      <c r="U14" s="35" t="str">
        <f>IF($B14=1,IF(S14="","",S14),"")</f>
        <v/>
      </c>
    </row>
    <row r="15" spans="1:21">
      <c r="A15" s="8" t="s">
        <v>1820</v>
      </c>
      <c r="B15" s="32">
        <f>'01_Criterios'!$C$36</f>
        <v>0</v>
      </c>
      <c r="C15" s="32">
        <f>'01_Criterios'!$D$36</f>
        <v>1</v>
      </c>
      <c r="D15" s="32">
        <f>SUMPRODUCT(('03_Base_Indice'!$D$105:$D$114&lt;&gt;"")*1)</f>
        <v>0</v>
      </c>
      <c r="E15" s="32">
        <f>IF(D15=0,0,ROUNDUP(D15*'01_Criterios'!$C$16,0))</f>
        <v>0</v>
      </c>
      <c r="F15" s="33" t="str">
        <f>IF($B15&lt;&gt;1,"",IFERROR(IF(SUMPRODUCT(Aux!BJ$105:BJ$114*1)&lt;$E15,"",SUMPRODUCT(Aux!AX$105:AX$114,'03_Base_Indice'!$J$105:$J$114)/SUMPRODUCT(Aux!BJ$105:BJ$114,'03_Base_Indice'!$J$105:$J$114)),""))</f>
        <v/>
      </c>
      <c r="G15" s="33" t="str">
        <f>IF($B15&lt;&gt;1,"",IFERROR(IF(SUMPRODUCT(Aux!BK$105:BK$114*1)&lt;$E15,"",SUMPRODUCT(Aux!AY$105:AY$114,'03_Base_Indice'!$J$105:$J$114)/SUMPRODUCT(Aux!BK$105:BK$114,'03_Base_Indice'!$J$105:$J$114)),""))</f>
        <v/>
      </c>
      <c r="H15" s="33" t="str">
        <f>IF($B15&lt;&gt;1,"",IFERROR(IF(SUMPRODUCT(Aux!BL$105:BL$114*1)&lt;$E15,"",SUMPRODUCT(Aux!AZ$105:AZ$114,'03_Base_Indice'!$J$105:$J$114)/SUMPRODUCT(Aux!BL$105:BL$114,'03_Base_Indice'!$J$105:$J$114)),""))</f>
        <v/>
      </c>
      <c r="I15" s="33" t="str">
        <f>IF($B15&lt;&gt;1,"",IFERROR(IF(SUMPRODUCT(Aux!BM$105:BM$114*1)&lt;$E15,"",SUMPRODUCT(Aux!BA$105:BA$114,'03_Base_Indice'!$J$105:$J$114)/SUMPRODUCT(Aux!BM$105:BM$114,'03_Base_Indice'!$J$105:$J$114)),""))</f>
        <v/>
      </c>
      <c r="J15" s="33" t="str">
        <f>IF($B15&lt;&gt;1,"",IFERROR(IF(SUMPRODUCT(Aux!BN$105:BN$114*1)&lt;$E15,"",SUMPRODUCT(Aux!BB$105:BB$114,'03_Base_Indice'!$J$105:$J$114)/SUMPRODUCT(Aux!BN$105:BN$114,'03_Base_Indice'!$J$105:$J$114)),""))</f>
        <v/>
      </c>
      <c r="K15" s="33" t="str">
        <f>IF($B15&lt;&gt;1,"",IFERROR(IF(SUMPRODUCT(Aux!BO$105:BO$114*1)&lt;$E15,"",SUMPRODUCT(Aux!BC$105:BC$114,'03_Base_Indice'!$J$105:$J$114)/SUMPRODUCT(Aux!BO$105:BO$114,'03_Base_Indice'!$J$105:$J$114)),""))</f>
        <v/>
      </c>
      <c r="L15" s="33" t="str">
        <f>IF($B15&lt;&gt;1,"",IFERROR(IF(SUMPRODUCT(Aux!BP$105:BP$114*1)&lt;$E15,"",SUMPRODUCT(Aux!BD$105:BD$114,'03_Base_Indice'!$J$105:$J$114)/SUMPRODUCT(Aux!BP$105:BP$114,'03_Base_Indice'!$J$105:$J$114)),""))</f>
        <v/>
      </c>
      <c r="M15" s="33" t="str">
        <f>IF($B15&lt;&gt;1,"",IFERROR(IF(SUMPRODUCT(Aux!BQ$105:BQ$114*1)&lt;$E15,"",SUMPRODUCT(Aux!BE$105:BE$114,'03_Base_Indice'!$J$105:$J$114)/SUMPRODUCT(Aux!BQ$105:BQ$114,'03_Base_Indice'!$J$105:$J$114)),""))</f>
        <v/>
      </c>
      <c r="N15" s="33" t="str">
        <f>IF($B15&lt;&gt;1,"",IFERROR(IF(SUMPRODUCT(Aux!BR$105:BR$114*1)&lt;$E15,"",SUMPRODUCT(Aux!BF$105:BF$114,'03_Base_Indice'!$J$105:$J$114)/SUMPRODUCT(Aux!BR$105:BR$114,'03_Base_Indice'!$J$105:$J$114)),""))</f>
        <v/>
      </c>
      <c r="O15" s="33" t="str">
        <f>IF($B15&lt;&gt;1,"",IFERROR(IF(SUMPRODUCT(Aux!BS$105:BS$114*1)&lt;$E15,"",SUMPRODUCT(Aux!BG$105:BG$114,'03_Base_Indice'!$J$105:$J$114)/SUMPRODUCT(Aux!BS$105:BS$114,'03_Base_Indice'!$J$105:$J$114)),""))</f>
        <v/>
      </c>
      <c r="P15" s="33" t="str">
        <f>IF($B15&lt;&gt;1,"",IFERROR(IF(SUMPRODUCT(Aux!BT$105:BT$114*1)&lt;$E15,"",SUMPRODUCT(Aux!BH$105:BH$114,'03_Base_Indice'!$J$105:$J$114)/SUMPRODUCT(Aux!BT$105:BT$114,'03_Base_Indice'!$J$105:$J$114)),""))</f>
        <v/>
      </c>
      <c r="Q15" s="34" t="str">
        <f>IFERROR(LOOKUP(9.99E+307,F15:P15),"")</f>
        <v/>
      </c>
      <c r="R15" s="34" t="str">
        <f>IFERROR(INDEX(F15:P15,MATCH(TRUE,INDEX(ISNUMBER(F15:P15),0),0)),"")</f>
        <v/>
      </c>
      <c r="S15" s="35" t="str">
        <f>IF(OR(Q15="",R15=""),"",Q15-R15)</f>
        <v/>
      </c>
      <c r="T15" s="34" t="str">
        <f>IF($B15=1,IF(Q15="","",Q15),"")</f>
        <v/>
      </c>
      <c r="U15" s="35" t="str">
        <f>IF($B15=1,IF(S15="","",S15),"")</f>
        <v/>
      </c>
    </row>
    <row r="18" spans="1:19" ht="15.6" customHeight="1">
      <c r="A18" s="53" t="s">
        <v>1821</v>
      </c>
      <c r="F18" s="9">
        <f>IF(SUM(Aux!Z120:Z130)&lt;'01_Criterios'!$C$17,"",IF(SUM(Aux!AL120:AL130)&gt;0,'01_Criterios'!$C$9,EXP(SUM(Aux!B120:B130)/SUM(Aux!N120:N130))))</f>
        <v>43.248684111213123</v>
      </c>
      <c r="G18" s="9">
        <f>IF(SUM(Aux!AA120:AA130)&lt;'01_Criterios'!$C$17,"",IF(SUM(Aux!AM120:AM130)&gt;0,'01_Criterios'!$C$9,EXP(SUM(Aux!C120:C130)/SUM(Aux!O120:O130))))</f>
        <v>42.933393485198948</v>
      </c>
      <c r="H18" s="9">
        <f>IF(SUM(Aux!AB120:AB130)&lt;'01_Criterios'!$C$17,"",IF(SUM(Aux!AN120:AN130)&gt;0,'01_Criterios'!$C$9,EXP(SUM(Aux!D120:D130)/SUM(Aux!P120:P130))))</f>
        <v>43.400965089370771</v>
      </c>
      <c r="I18" s="9">
        <f>IF(SUM(Aux!AC120:AC130)&lt;'01_Criterios'!$C$17,"",IF(SUM(Aux!AO120:AO130)&gt;0,'01_Criterios'!$C$9,EXP(SUM(Aux!E120:E130)/SUM(Aux!Q120:Q130))))</f>
        <v>42.835765267401101</v>
      </c>
      <c r="J18" s="9">
        <f>IF(SUM(Aux!AD120:AD130)&lt;'01_Criterios'!$C$17,"",IF(SUM(Aux!AP120:AP130)&gt;0,'01_Criterios'!$C$9,EXP(SUM(Aux!F120:F130)/SUM(Aux!R120:R130))))</f>
        <v>43.173605483726718</v>
      </c>
      <c r="K18" s="9">
        <f>IF(SUM(Aux!AE120:AE130)&lt;'01_Criterios'!$C$17,"",IF(SUM(Aux!AQ120:AQ130)&gt;0,'01_Criterios'!$C$9,EXP(SUM(Aux!G120:G130)/SUM(Aux!S120:S130))))</f>
        <v>39.742017061261691</v>
      </c>
      <c r="L18" s="9">
        <f>IF(SUM(Aux!AF120:AF130)&lt;'01_Criterios'!$C$17,"",IF(SUM(Aux!AR120:AR130)&gt;0,'01_Criterios'!$C$9,EXP(SUM(Aux!H120:H130)/SUM(Aux!T120:T130))))</f>
        <v>43.898045503056984</v>
      </c>
      <c r="M18" s="9">
        <f>IF(SUM(Aux!AG120:AG130)&lt;'01_Criterios'!$C$17,"",IF(SUM(Aux!AS120:AS130)&gt;0,'01_Criterios'!$C$9,EXP(SUM(Aux!I120:I130)/SUM(Aux!U120:U130))))</f>
        <v>44.929552882565105</v>
      </c>
      <c r="N18" s="9">
        <f>IF(SUM(Aux!AH120:AH130)&lt;'01_Criterios'!$C$17,"",IF(SUM(Aux!AT120:AT130)&gt;0,'01_Criterios'!$C$9,EXP(SUM(Aux!J120:J130)/SUM(Aux!V120:V130))))</f>
        <v>45.270081985777637</v>
      </c>
      <c r="O18" s="9">
        <f>IF(SUM(Aux!AI120:AI130)&lt;'01_Criterios'!$C$17,"",IF(SUM(Aux!AU120:AU130)&gt;0,'01_Criterios'!$C$9,EXP(SUM(Aux!K120:K130)/SUM(Aux!W120:W130))))</f>
        <v>46.386470755815132</v>
      </c>
      <c r="P18" s="9">
        <f>IF(SUM(Aux!AJ120:AJ130)&lt;'01_Criterios'!$C$17,"",IF(SUM(Aux!AV120:AV130)&gt;0,'01_Criterios'!$C$9,EXP(SUM(Aux!L120:L130)/SUM(Aux!X120:X130))))</f>
        <v>46.432548972529112</v>
      </c>
      <c r="Q18" s="34">
        <f>IFERROR(LOOKUP(9.99E+307,F18:P18),"")</f>
        <v>46.432548972529112</v>
      </c>
      <c r="R18" s="34">
        <f>IFERROR(INDEX(F18:P18,MATCH(TRUE,INDEX(ISNUMBER(F18:P18),0),0)),"")</f>
        <v>43.248684111213123</v>
      </c>
      <c r="S18" s="35">
        <f>IF(OR(Q18="",R18=""),"",Q18-R18)</f>
        <v>3.183864861315989</v>
      </c>
    </row>
    <row r="19" spans="1:19">
      <c r="A19" s="52" t="s">
        <v>1822</v>
      </c>
      <c r="F19" s="32" t="str">
        <f>IF(F18="","",IF(F18&gt;=80,"Muito Elevado",IF(F18&gt;=60,"Elevado",IF(F18&gt;=40,"Médio",IF(F18&gt;=20,"Baixo","Muito Baixo")))))</f>
        <v>Médio</v>
      </c>
      <c r="G19" s="32" t="str">
        <f>IF(G18="","",IF(G18&gt;=80,"Muito Elevado",IF(G18&gt;=60,"Elevado",IF(G18&gt;=40,"Médio",IF(G18&gt;=20,"Baixo","Muito Baixo")))))</f>
        <v>Médio</v>
      </c>
      <c r="H19" s="32" t="str">
        <f>IF(H18="","",IF(H18&gt;=80,"Muito Elevado",IF(H18&gt;=60,"Elevado",IF(H18&gt;=40,"Médio",IF(H18&gt;=20,"Baixo","Muito Baixo")))))</f>
        <v>Médio</v>
      </c>
      <c r="I19" s="32" t="str">
        <f>IF(I18="","",IF(I18&gt;=80,"Muito Elevado",IF(I18&gt;=60,"Elevado",IF(I18&gt;=40,"Médio",IF(I18&gt;=20,"Baixo","Muito Baixo")))))</f>
        <v>Médio</v>
      </c>
      <c r="J19" s="32" t="str">
        <f>IF(J18="","",IF(J18&gt;=80,"Muito Elevado",IF(J18&gt;=60,"Elevado",IF(J18&gt;=40,"Médio",IF(J18&gt;=20,"Baixo","Muito Baixo")))))</f>
        <v>Médio</v>
      </c>
      <c r="K19" s="32" t="str">
        <f>IF(K18="","",IF(K18&gt;=80,"Muito Elevado",IF(K18&gt;=60,"Elevado",IF(K18&gt;=40,"Médio",IF(K18&gt;=20,"Baixo","Muito Baixo")))))</f>
        <v>Baixo</v>
      </c>
      <c r="L19" s="32" t="str">
        <f>IF(L18="","",IF(L18&gt;=80,"Muito Elevado",IF(L18&gt;=60,"Elevado",IF(L18&gt;=40,"Médio",IF(L18&gt;=20,"Baixo","Muito Baixo")))))</f>
        <v>Médio</v>
      </c>
      <c r="M19" s="32" t="str">
        <f>IF(M18="","",IF(M18&gt;=80,"Muito Elevado",IF(M18&gt;=60,"Elevado",IF(M18&gt;=40,"Médio",IF(M18&gt;=20,"Baixo","Muito Baixo")))))</f>
        <v>Médio</v>
      </c>
      <c r="N19" s="32" t="str">
        <f>IF(N18="","",IF(N18&gt;=80,"Muito Elevado",IF(N18&gt;=60,"Elevado",IF(N18&gt;=40,"Médio",IF(N18&gt;=20,"Baixo","Muito Baixo")))))</f>
        <v>Médio</v>
      </c>
      <c r="O19" s="32" t="str">
        <f>IF(O18="","",IF(O18&gt;=80,"Muito Elevado",IF(O18&gt;=60,"Elevado",IF(O18&gt;=40,"Médio",IF(O18&gt;=20,"Baixo","Muito Baixo")))))</f>
        <v>Médio</v>
      </c>
      <c r="P19" s="32" t="str">
        <f>IF(P18="","",IF(P18&gt;=80,"Muito Elevado",IF(P18&gt;=60,"Elevado",IF(P18&gt;=40,"Médio",IF(P18&gt;=20,"Baixo","Muito Baixo")))))</f>
        <v>Médio</v>
      </c>
    </row>
    <row r="20" spans="1:19">
      <c r="A20" s="8" t="s">
        <v>1823</v>
      </c>
      <c r="F20" s="32"/>
      <c r="G20" s="36">
        <f>IF(OR(G18="",F18=""),"",G18-F18)</f>
        <v>-0.31529062601417479</v>
      </c>
      <c r="H20" s="36">
        <f>IF(OR(H18="",G18=""),"",H18-G18)</f>
        <v>0.4675716041718232</v>
      </c>
      <c r="I20" s="36">
        <f>IF(OR(I18="",H18=""),"",I18-H18)</f>
        <v>-0.56519982196967078</v>
      </c>
      <c r="J20" s="36">
        <f>IF(OR(J18="",I18=""),"",J18-I18)</f>
        <v>0.33784021632561689</v>
      </c>
      <c r="K20" s="36">
        <f>IF(OR(K18="",J18=""),"",K18-J18)</f>
        <v>-3.4315884224650262</v>
      </c>
      <c r="L20" s="36">
        <f>IF(OR(L18="",K18=""),"",L18-K18)</f>
        <v>4.1560284417952928</v>
      </c>
      <c r="M20" s="36">
        <f>IF(OR(M18="",L18=""),"",M18-L18)</f>
        <v>1.0315073795081204</v>
      </c>
      <c r="N20" s="36">
        <f>IF(OR(N18="",M18=""),"",N18-M18)</f>
        <v>0.34052910321253194</v>
      </c>
      <c r="O20" s="36">
        <f>IF(OR(O18="",N18=""),"",O18-N18)</f>
        <v>1.1163887700374957</v>
      </c>
      <c r="P20" s="36">
        <f>IF(OR(P18="",O18=""),"",P18-O18)</f>
        <v>4.6078216713979714E-2</v>
      </c>
    </row>
    <row r="21" spans="1:19">
      <c r="A21" s="8" t="s">
        <v>1824</v>
      </c>
      <c r="F21" s="32" t="str">
        <f>SUMPRODUCT(ISNUMBER(F$5:F$15)*($B$5:$B$15=1))&amp;"/"&amp;SUMPRODUCT(($B$5:$B$15=1)*1)</f>
        <v>8/8</v>
      </c>
      <c r="G21" s="32" t="str">
        <f>SUMPRODUCT(ISNUMBER(G$5:G$15)*($B$5:$B$15=1))&amp;"/"&amp;SUMPRODUCT(($B$5:$B$15=1)*1)</f>
        <v>8/8</v>
      </c>
      <c r="H21" s="32" t="str">
        <f>SUMPRODUCT(ISNUMBER(H$5:H$15)*($B$5:$B$15=1))&amp;"/"&amp;SUMPRODUCT(($B$5:$B$15=1)*1)</f>
        <v>8/8</v>
      </c>
      <c r="I21" s="32" t="str">
        <f>SUMPRODUCT(ISNUMBER(I$5:I$15)*($B$5:$B$15=1))&amp;"/"&amp;SUMPRODUCT(($B$5:$B$15=1)*1)</f>
        <v>8/8</v>
      </c>
      <c r="J21" s="32" t="str">
        <f>SUMPRODUCT(ISNUMBER(J$5:J$15)*($B$5:$B$15=1))&amp;"/"&amp;SUMPRODUCT(($B$5:$B$15=1)*1)</f>
        <v>8/8</v>
      </c>
      <c r="K21" s="32" t="str">
        <f>SUMPRODUCT(ISNUMBER(K$5:K$15)*($B$5:$B$15=1))&amp;"/"&amp;SUMPRODUCT(($B$5:$B$15=1)*1)</f>
        <v>8/8</v>
      </c>
      <c r="L21" s="32" t="str">
        <f>SUMPRODUCT(ISNUMBER(L$5:L$15)*($B$5:$B$15=1))&amp;"/"&amp;SUMPRODUCT(($B$5:$B$15=1)*1)</f>
        <v>8/8</v>
      </c>
      <c r="M21" s="32" t="str">
        <f>SUMPRODUCT(ISNUMBER(M$5:M$15)*($B$5:$B$15=1))&amp;"/"&amp;SUMPRODUCT(($B$5:$B$15=1)*1)</f>
        <v>8/8</v>
      </c>
      <c r="N21" s="32" t="str">
        <f>SUMPRODUCT(ISNUMBER(N$5:N$15)*($B$5:$B$15=1))&amp;"/"&amp;SUMPRODUCT(($B$5:$B$15=1)*1)</f>
        <v>8/8</v>
      </c>
      <c r="O21" s="32" t="str">
        <f>SUMPRODUCT(ISNUMBER(O$5:O$15)*($B$5:$B$15=1))&amp;"/"&amp;SUMPRODUCT(($B$5:$B$15=1)*1)</f>
        <v>8/8</v>
      </c>
      <c r="P21" s="32" t="str">
        <f>SUMPRODUCT(ISNUMBER(P$5:P$15)*($B$5:$B$15=1))&amp;"/"&amp;SUMPRODUCT(($B$5:$B$15=1)*1)</f>
        <v>8/8</v>
      </c>
    </row>
    <row r="23" spans="1:19">
      <c r="A23" s="8" t="s">
        <v>1825</v>
      </c>
    </row>
    <row r="24" spans="1:19">
      <c r="A24" s="5" t="s">
        <v>24</v>
      </c>
      <c r="F24" s="5" t="s">
        <v>1778</v>
      </c>
      <c r="G24" s="5" t="s">
        <v>1779</v>
      </c>
      <c r="H24" s="5" t="s">
        <v>1780</v>
      </c>
      <c r="I24" s="5" t="s">
        <v>1781</v>
      </c>
      <c r="J24" s="5" t="s">
        <v>1782</v>
      </c>
      <c r="K24" s="5" t="s">
        <v>1783</v>
      </c>
      <c r="L24" s="5" t="s">
        <v>1784</v>
      </c>
      <c r="M24" s="5" t="s">
        <v>1785</v>
      </c>
      <c r="N24" s="5" t="s">
        <v>1786</v>
      </c>
      <c r="O24" s="5" t="s">
        <v>1787</v>
      </c>
      <c r="P24" s="5" t="s">
        <v>1788</v>
      </c>
    </row>
    <row r="25" spans="1:19">
      <c r="A25" s="6" t="s">
        <v>1810</v>
      </c>
      <c r="F25" s="20" t="str">
        <f>SUMPRODUCT(ISNUMBER('06_Normalizacao'!K$5:K$14)*1)&amp;"/"&amp;$D5</f>
        <v>5/5</v>
      </c>
      <c r="G25" s="20" t="str">
        <f>SUMPRODUCT(ISNUMBER('06_Normalizacao'!L$5:L$14)*1)&amp;"/"&amp;$D5</f>
        <v>5/5</v>
      </c>
      <c r="H25" s="20" t="str">
        <f>SUMPRODUCT(ISNUMBER('06_Normalizacao'!M$5:M$14)*1)&amp;"/"&amp;$D5</f>
        <v>5/5</v>
      </c>
      <c r="I25" s="20" t="str">
        <f>SUMPRODUCT(ISNUMBER('06_Normalizacao'!N$5:N$14)*1)&amp;"/"&amp;$D5</f>
        <v>5/5</v>
      </c>
      <c r="J25" s="20" t="str">
        <f>SUMPRODUCT(ISNUMBER('06_Normalizacao'!O$5:O$14)*1)&amp;"/"&amp;$D5</f>
        <v>5/5</v>
      </c>
      <c r="K25" s="20" t="str">
        <f>SUMPRODUCT(ISNUMBER('06_Normalizacao'!P$5:P$14)*1)&amp;"/"&amp;$D5</f>
        <v>5/5</v>
      </c>
      <c r="L25" s="20" t="str">
        <f>SUMPRODUCT(ISNUMBER('06_Normalizacao'!Q$5:Q$14)*1)&amp;"/"&amp;$D5</f>
        <v>5/5</v>
      </c>
      <c r="M25" s="20" t="str">
        <f>SUMPRODUCT(ISNUMBER('06_Normalizacao'!R$5:R$14)*1)&amp;"/"&amp;$D5</f>
        <v>5/5</v>
      </c>
      <c r="N25" s="20" t="str">
        <f>SUMPRODUCT(ISNUMBER('06_Normalizacao'!S$5:S$14)*1)&amp;"/"&amp;$D5</f>
        <v>5/5</v>
      </c>
      <c r="O25" s="20" t="str">
        <f>SUMPRODUCT(ISNUMBER('06_Normalizacao'!T$5:T$14)*1)&amp;"/"&amp;$D5</f>
        <v>5/5</v>
      </c>
      <c r="P25" s="20" t="str">
        <f>SUMPRODUCT(ISNUMBER('06_Normalizacao'!U$5:U$14)*1)&amp;"/"&amp;$D5</f>
        <v>5/5</v>
      </c>
    </row>
    <row r="26" spans="1:19">
      <c r="A26" s="6" t="s">
        <v>1811</v>
      </c>
      <c r="F26" s="20" t="str">
        <f>SUMPRODUCT(ISNUMBER('06_Normalizacao'!K$15:K$24)*1)&amp;"/"&amp;$D6</f>
        <v>7/7</v>
      </c>
      <c r="G26" s="20" t="str">
        <f>SUMPRODUCT(ISNUMBER('06_Normalizacao'!L$15:L$24)*1)&amp;"/"&amp;$D6</f>
        <v>7/7</v>
      </c>
      <c r="H26" s="20" t="str">
        <f>SUMPRODUCT(ISNUMBER('06_Normalizacao'!M$15:M$24)*1)&amp;"/"&amp;$D6</f>
        <v>7/7</v>
      </c>
      <c r="I26" s="20" t="str">
        <f>SUMPRODUCT(ISNUMBER('06_Normalizacao'!N$15:N$24)*1)&amp;"/"&amp;$D6</f>
        <v>7/7</v>
      </c>
      <c r="J26" s="20" t="str">
        <f>SUMPRODUCT(ISNUMBER('06_Normalizacao'!O$15:O$24)*1)&amp;"/"&amp;$D6</f>
        <v>7/7</v>
      </c>
      <c r="K26" s="20" t="str">
        <f>SUMPRODUCT(ISNUMBER('06_Normalizacao'!P$15:P$24)*1)&amp;"/"&amp;$D6</f>
        <v>7/7</v>
      </c>
      <c r="L26" s="20" t="str">
        <f>SUMPRODUCT(ISNUMBER('06_Normalizacao'!Q$15:Q$24)*1)&amp;"/"&amp;$D6</f>
        <v>7/7</v>
      </c>
      <c r="M26" s="20" t="str">
        <f>SUMPRODUCT(ISNUMBER('06_Normalizacao'!R$15:R$24)*1)&amp;"/"&amp;$D6</f>
        <v>7/7</v>
      </c>
      <c r="N26" s="20" t="str">
        <f>SUMPRODUCT(ISNUMBER('06_Normalizacao'!S$15:S$24)*1)&amp;"/"&amp;$D6</f>
        <v>7/7</v>
      </c>
      <c r="O26" s="20" t="str">
        <f>SUMPRODUCT(ISNUMBER('06_Normalizacao'!T$15:T$24)*1)&amp;"/"&amp;$D6</f>
        <v>7/7</v>
      </c>
      <c r="P26" s="20" t="str">
        <f>SUMPRODUCT(ISNUMBER('06_Normalizacao'!U$15:U$24)*1)&amp;"/"&amp;$D6</f>
        <v>7/7</v>
      </c>
    </row>
    <row r="27" spans="1:19">
      <c r="A27" s="6" t="s">
        <v>1812</v>
      </c>
      <c r="F27" s="20" t="str">
        <f>SUMPRODUCT(ISNUMBER('06_Normalizacao'!K$25:K$34)*1)&amp;"/"&amp;$D7</f>
        <v>4/4</v>
      </c>
      <c r="G27" s="20" t="str">
        <f>SUMPRODUCT(ISNUMBER('06_Normalizacao'!L$25:L$34)*1)&amp;"/"&amp;$D7</f>
        <v>4/4</v>
      </c>
      <c r="H27" s="20" t="str">
        <f>SUMPRODUCT(ISNUMBER('06_Normalizacao'!M$25:M$34)*1)&amp;"/"&amp;$D7</f>
        <v>4/4</v>
      </c>
      <c r="I27" s="20" t="str">
        <f>SUMPRODUCT(ISNUMBER('06_Normalizacao'!N$25:N$34)*1)&amp;"/"&amp;$D7</f>
        <v>4/4</v>
      </c>
      <c r="J27" s="20" t="str">
        <f>SUMPRODUCT(ISNUMBER('06_Normalizacao'!O$25:O$34)*1)&amp;"/"&amp;$D7</f>
        <v>4/4</v>
      </c>
      <c r="K27" s="20" t="str">
        <f>SUMPRODUCT(ISNUMBER('06_Normalizacao'!P$25:P$34)*1)&amp;"/"&amp;$D7</f>
        <v>4/4</v>
      </c>
      <c r="L27" s="20" t="str">
        <f>SUMPRODUCT(ISNUMBER('06_Normalizacao'!Q$25:Q$34)*1)&amp;"/"&amp;$D7</f>
        <v>4/4</v>
      </c>
      <c r="M27" s="20" t="str">
        <f>SUMPRODUCT(ISNUMBER('06_Normalizacao'!R$25:R$34)*1)&amp;"/"&amp;$D7</f>
        <v>4/4</v>
      </c>
      <c r="N27" s="20" t="str">
        <f>SUMPRODUCT(ISNUMBER('06_Normalizacao'!S$25:S$34)*1)&amp;"/"&amp;$D7</f>
        <v>4/4</v>
      </c>
      <c r="O27" s="20" t="str">
        <f>SUMPRODUCT(ISNUMBER('06_Normalizacao'!T$25:T$34)*1)&amp;"/"&amp;$D7</f>
        <v>4/4</v>
      </c>
      <c r="P27" s="20" t="str">
        <f>SUMPRODUCT(ISNUMBER('06_Normalizacao'!U$25:U$34)*1)&amp;"/"&amp;$D7</f>
        <v>4/4</v>
      </c>
    </row>
    <row r="28" spans="1:19">
      <c r="A28" s="6" t="s">
        <v>1813</v>
      </c>
      <c r="F28" s="20" t="str">
        <f>SUMPRODUCT(ISNUMBER('06_Normalizacao'!K$35:K$44)*1)&amp;"/"&amp;$D8</f>
        <v>3/3</v>
      </c>
      <c r="G28" s="20" t="str">
        <f>SUMPRODUCT(ISNUMBER('06_Normalizacao'!L$35:L$44)*1)&amp;"/"&amp;$D8</f>
        <v>3/3</v>
      </c>
      <c r="H28" s="20" t="str">
        <f>SUMPRODUCT(ISNUMBER('06_Normalizacao'!M$35:M$44)*1)&amp;"/"&amp;$D8</f>
        <v>3/3</v>
      </c>
      <c r="I28" s="20" t="str">
        <f>SUMPRODUCT(ISNUMBER('06_Normalizacao'!N$35:N$44)*1)&amp;"/"&amp;$D8</f>
        <v>3/3</v>
      </c>
      <c r="J28" s="20" t="str">
        <f>SUMPRODUCT(ISNUMBER('06_Normalizacao'!O$35:O$44)*1)&amp;"/"&amp;$D8</f>
        <v>3/3</v>
      </c>
      <c r="K28" s="20" t="str">
        <f>SUMPRODUCT(ISNUMBER('06_Normalizacao'!P$35:P$44)*1)&amp;"/"&amp;$D8</f>
        <v>3/3</v>
      </c>
      <c r="L28" s="20" t="str">
        <f>SUMPRODUCT(ISNUMBER('06_Normalizacao'!Q$35:Q$44)*1)&amp;"/"&amp;$D8</f>
        <v>3/3</v>
      </c>
      <c r="M28" s="20" t="str">
        <f>SUMPRODUCT(ISNUMBER('06_Normalizacao'!R$35:R$44)*1)&amp;"/"&amp;$D8</f>
        <v>3/3</v>
      </c>
      <c r="N28" s="20" t="str">
        <f>SUMPRODUCT(ISNUMBER('06_Normalizacao'!S$35:S$44)*1)&amp;"/"&amp;$D8</f>
        <v>3/3</v>
      </c>
      <c r="O28" s="20" t="str">
        <f>SUMPRODUCT(ISNUMBER('06_Normalizacao'!T$35:T$44)*1)&amp;"/"&amp;$D8</f>
        <v>3/3</v>
      </c>
      <c r="P28" s="20" t="str">
        <f>SUMPRODUCT(ISNUMBER('06_Normalizacao'!U$35:U$44)*1)&amp;"/"&amp;$D8</f>
        <v>3/3</v>
      </c>
    </row>
    <row r="29" spans="1:19">
      <c r="A29" s="6" t="s">
        <v>1814</v>
      </c>
      <c r="F29" s="20" t="str">
        <f>SUMPRODUCT(ISNUMBER('06_Normalizacao'!K$45:K$54)*1)&amp;"/"&amp;$D9</f>
        <v>5/5</v>
      </c>
      <c r="G29" s="20" t="str">
        <f>SUMPRODUCT(ISNUMBER('06_Normalizacao'!L$45:L$54)*1)&amp;"/"&amp;$D9</f>
        <v>5/5</v>
      </c>
      <c r="H29" s="20" t="str">
        <f>SUMPRODUCT(ISNUMBER('06_Normalizacao'!M$45:M$54)*1)&amp;"/"&amp;$D9</f>
        <v>5/5</v>
      </c>
      <c r="I29" s="20" t="str">
        <f>SUMPRODUCT(ISNUMBER('06_Normalizacao'!N$45:N$54)*1)&amp;"/"&amp;$D9</f>
        <v>5/5</v>
      </c>
      <c r="J29" s="20" t="str">
        <f>SUMPRODUCT(ISNUMBER('06_Normalizacao'!O$45:O$54)*1)&amp;"/"&amp;$D9</f>
        <v>5/5</v>
      </c>
      <c r="K29" s="20" t="str">
        <f>SUMPRODUCT(ISNUMBER('06_Normalizacao'!P$45:P$54)*1)&amp;"/"&amp;$D9</f>
        <v>5/5</v>
      </c>
      <c r="L29" s="20" t="str">
        <f>SUMPRODUCT(ISNUMBER('06_Normalizacao'!Q$45:Q$54)*1)&amp;"/"&amp;$D9</f>
        <v>5/5</v>
      </c>
      <c r="M29" s="20" t="str">
        <f>SUMPRODUCT(ISNUMBER('06_Normalizacao'!R$45:R$54)*1)&amp;"/"&amp;$D9</f>
        <v>5/5</v>
      </c>
      <c r="N29" s="20" t="str">
        <f>SUMPRODUCT(ISNUMBER('06_Normalizacao'!S$45:S$54)*1)&amp;"/"&amp;$D9</f>
        <v>5/5</v>
      </c>
      <c r="O29" s="20" t="str">
        <f>SUMPRODUCT(ISNUMBER('06_Normalizacao'!T$45:T$54)*1)&amp;"/"&amp;$D9</f>
        <v>5/5</v>
      </c>
      <c r="P29" s="20" t="str">
        <f>SUMPRODUCT(ISNUMBER('06_Normalizacao'!U$45:U$54)*1)&amp;"/"&amp;$D9</f>
        <v>5/5</v>
      </c>
    </row>
    <row r="30" spans="1:19">
      <c r="A30" s="6" t="s">
        <v>1815</v>
      </c>
      <c r="F30" s="20" t="str">
        <f>SUMPRODUCT(ISNUMBER('06_Normalizacao'!K$55:K$64)*1)&amp;"/"&amp;$D10</f>
        <v>5/5</v>
      </c>
      <c r="G30" s="20" t="str">
        <f>SUMPRODUCT(ISNUMBER('06_Normalizacao'!L$55:L$64)*1)&amp;"/"&amp;$D10</f>
        <v>5/5</v>
      </c>
      <c r="H30" s="20" t="str">
        <f>SUMPRODUCT(ISNUMBER('06_Normalizacao'!M$55:M$64)*1)&amp;"/"&amp;$D10</f>
        <v>5/5</v>
      </c>
      <c r="I30" s="20" t="str">
        <f>SUMPRODUCT(ISNUMBER('06_Normalizacao'!N$55:N$64)*1)&amp;"/"&amp;$D10</f>
        <v>5/5</v>
      </c>
      <c r="J30" s="20" t="str">
        <f>SUMPRODUCT(ISNUMBER('06_Normalizacao'!O$55:O$64)*1)&amp;"/"&amp;$D10</f>
        <v>5/5</v>
      </c>
      <c r="K30" s="20" t="str">
        <f>SUMPRODUCT(ISNUMBER('06_Normalizacao'!P$55:P$64)*1)&amp;"/"&amp;$D10</f>
        <v>5/5</v>
      </c>
      <c r="L30" s="20" t="str">
        <f>SUMPRODUCT(ISNUMBER('06_Normalizacao'!Q$55:Q$64)*1)&amp;"/"&amp;$D10</f>
        <v>5/5</v>
      </c>
      <c r="M30" s="20" t="str">
        <f>SUMPRODUCT(ISNUMBER('06_Normalizacao'!R$55:R$64)*1)&amp;"/"&amp;$D10</f>
        <v>5/5</v>
      </c>
      <c r="N30" s="20" t="str">
        <f>SUMPRODUCT(ISNUMBER('06_Normalizacao'!S$55:S$64)*1)&amp;"/"&amp;$D10</f>
        <v>5/5</v>
      </c>
      <c r="O30" s="20" t="str">
        <f>SUMPRODUCT(ISNUMBER('06_Normalizacao'!T$55:T$64)*1)&amp;"/"&amp;$D10</f>
        <v>5/5</v>
      </c>
      <c r="P30" s="20" t="str">
        <f>SUMPRODUCT(ISNUMBER('06_Normalizacao'!U$55:U$64)*1)&amp;"/"&amp;$D10</f>
        <v>5/5</v>
      </c>
    </row>
    <row r="31" spans="1:19">
      <c r="A31" s="6" t="s">
        <v>1816</v>
      </c>
      <c r="F31" s="20" t="str">
        <f>SUMPRODUCT(ISNUMBER('06_Normalizacao'!K$65:K$74)*1)&amp;"/"&amp;$D11</f>
        <v>7/7</v>
      </c>
      <c r="G31" s="20" t="str">
        <f>SUMPRODUCT(ISNUMBER('06_Normalizacao'!L$65:L$74)*1)&amp;"/"&amp;$D11</f>
        <v>7/7</v>
      </c>
      <c r="H31" s="20" t="str">
        <f>SUMPRODUCT(ISNUMBER('06_Normalizacao'!M$65:M$74)*1)&amp;"/"&amp;$D11</f>
        <v>7/7</v>
      </c>
      <c r="I31" s="20" t="str">
        <f>SUMPRODUCT(ISNUMBER('06_Normalizacao'!N$65:N$74)*1)&amp;"/"&amp;$D11</f>
        <v>7/7</v>
      </c>
      <c r="J31" s="20" t="str">
        <f>SUMPRODUCT(ISNUMBER('06_Normalizacao'!O$65:O$74)*1)&amp;"/"&amp;$D11</f>
        <v>7/7</v>
      </c>
      <c r="K31" s="20" t="str">
        <f>SUMPRODUCT(ISNUMBER('06_Normalizacao'!P$65:P$74)*1)&amp;"/"&amp;$D11</f>
        <v>7/7</v>
      </c>
      <c r="L31" s="20" t="str">
        <f>SUMPRODUCT(ISNUMBER('06_Normalizacao'!Q$65:Q$74)*1)&amp;"/"&amp;$D11</f>
        <v>7/7</v>
      </c>
      <c r="M31" s="20" t="str">
        <f>SUMPRODUCT(ISNUMBER('06_Normalizacao'!R$65:R$74)*1)&amp;"/"&amp;$D11</f>
        <v>7/7</v>
      </c>
      <c r="N31" s="20" t="str">
        <f>SUMPRODUCT(ISNUMBER('06_Normalizacao'!S$65:S$74)*1)&amp;"/"&amp;$D11</f>
        <v>7/7</v>
      </c>
      <c r="O31" s="20" t="str">
        <f>SUMPRODUCT(ISNUMBER('06_Normalizacao'!T$65:T$74)*1)&amp;"/"&amp;$D11</f>
        <v>7/7</v>
      </c>
      <c r="P31" s="20" t="str">
        <f>SUMPRODUCT(ISNUMBER('06_Normalizacao'!U$65:U$74)*1)&amp;"/"&amp;$D11</f>
        <v>7/7</v>
      </c>
    </row>
    <row r="32" spans="1:19">
      <c r="A32" s="6" t="s">
        <v>1817</v>
      </c>
      <c r="F32" s="20" t="str">
        <f>SUMPRODUCT(ISNUMBER('06_Normalizacao'!K$75:K$84)*1)&amp;"/"&amp;$D12</f>
        <v>5/5</v>
      </c>
      <c r="G32" s="20" t="str">
        <f>SUMPRODUCT(ISNUMBER('06_Normalizacao'!L$75:L$84)*1)&amp;"/"&amp;$D12</f>
        <v>5/5</v>
      </c>
      <c r="H32" s="20" t="str">
        <f>SUMPRODUCT(ISNUMBER('06_Normalizacao'!M$75:M$84)*1)&amp;"/"&amp;$D12</f>
        <v>5/5</v>
      </c>
      <c r="I32" s="20" t="str">
        <f>SUMPRODUCT(ISNUMBER('06_Normalizacao'!N$75:N$84)*1)&amp;"/"&amp;$D12</f>
        <v>5/5</v>
      </c>
      <c r="J32" s="20" t="str">
        <f>SUMPRODUCT(ISNUMBER('06_Normalizacao'!O$75:O$84)*1)&amp;"/"&amp;$D12</f>
        <v>5/5</v>
      </c>
      <c r="K32" s="20" t="str">
        <f>SUMPRODUCT(ISNUMBER('06_Normalizacao'!P$75:P$84)*1)&amp;"/"&amp;$D12</f>
        <v>5/5</v>
      </c>
      <c r="L32" s="20" t="str">
        <f>SUMPRODUCT(ISNUMBER('06_Normalizacao'!Q$75:Q$84)*1)&amp;"/"&amp;$D12</f>
        <v>5/5</v>
      </c>
      <c r="M32" s="20" t="str">
        <f>SUMPRODUCT(ISNUMBER('06_Normalizacao'!R$75:R$84)*1)&amp;"/"&amp;$D12</f>
        <v>5/5</v>
      </c>
      <c r="N32" s="20" t="str">
        <f>SUMPRODUCT(ISNUMBER('06_Normalizacao'!S$75:S$84)*1)&amp;"/"&amp;$D12</f>
        <v>5/5</v>
      </c>
      <c r="O32" s="20" t="str">
        <f>SUMPRODUCT(ISNUMBER('06_Normalizacao'!T$75:T$84)*1)&amp;"/"&amp;$D12</f>
        <v>5/5</v>
      </c>
      <c r="P32" s="20" t="str">
        <f>SUMPRODUCT(ISNUMBER('06_Normalizacao'!U$75:U$84)*1)&amp;"/"&amp;$D12</f>
        <v>5/5</v>
      </c>
    </row>
    <row r="33" spans="1:16">
      <c r="A33" s="6" t="s">
        <v>1818</v>
      </c>
      <c r="F33" s="20" t="str">
        <f>SUMPRODUCT(ISNUMBER('06_Normalizacao'!K$85:K$94)*1)&amp;"/"&amp;$D13</f>
        <v>0/0</v>
      </c>
      <c r="G33" s="20" t="str">
        <f>SUMPRODUCT(ISNUMBER('06_Normalizacao'!L$85:L$94)*1)&amp;"/"&amp;$D13</f>
        <v>0/0</v>
      </c>
      <c r="H33" s="20" t="str">
        <f>SUMPRODUCT(ISNUMBER('06_Normalizacao'!M$85:M$94)*1)&amp;"/"&amp;$D13</f>
        <v>0/0</v>
      </c>
      <c r="I33" s="20" t="str">
        <f>SUMPRODUCT(ISNUMBER('06_Normalizacao'!N$85:N$94)*1)&amp;"/"&amp;$D13</f>
        <v>0/0</v>
      </c>
      <c r="J33" s="20" t="str">
        <f>SUMPRODUCT(ISNUMBER('06_Normalizacao'!O$85:O$94)*1)&amp;"/"&amp;$D13</f>
        <v>0/0</v>
      </c>
      <c r="K33" s="20" t="str">
        <f>SUMPRODUCT(ISNUMBER('06_Normalizacao'!P$85:P$94)*1)&amp;"/"&amp;$D13</f>
        <v>0/0</v>
      </c>
      <c r="L33" s="20" t="str">
        <f>SUMPRODUCT(ISNUMBER('06_Normalizacao'!Q$85:Q$94)*1)&amp;"/"&amp;$D13</f>
        <v>0/0</v>
      </c>
      <c r="M33" s="20" t="str">
        <f>SUMPRODUCT(ISNUMBER('06_Normalizacao'!R$85:R$94)*1)&amp;"/"&amp;$D13</f>
        <v>0/0</v>
      </c>
      <c r="N33" s="20" t="str">
        <f>SUMPRODUCT(ISNUMBER('06_Normalizacao'!S$85:S$94)*1)&amp;"/"&amp;$D13</f>
        <v>0/0</v>
      </c>
      <c r="O33" s="20" t="str">
        <f>SUMPRODUCT(ISNUMBER('06_Normalizacao'!T$85:T$94)*1)&amp;"/"&amp;$D13</f>
        <v>0/0</v>
      </c>
      <c r="P33" s="20" t="str">
        <f>SUMPRODUCT(ISNUMBER('06_Normalizacao'!U$85:U$94)*1)&amp;"/"&amp;$D13</f>
        <v>0/0</v>
      </c>
    </row>
    <row r="34" spans="1:16">
      <c r="A34" s="6" t="s">
        <v>1819</v>
      </c>
      <c r="F34" s="20" t="str">
        <f>SUMPRODUCT(ISNUMBER('06_Normalizacao'!K$95:K$104)*1)&amp;"/"&amp;$D14</f>
        <v>0/0</v>
      </c>
      <c r="G34" s="20" t="str">
        <f>SUMPRODUCT(ISNUMBER('06_Normalizacao'!L$95:L$104)*1)&amp;"/"&amp;$D14</f>
        <v>0/0</v>
      </c>
      <c r="H34" s="20" t="str">
        <f>SUMPRODUCT(ISNUMBER('06_Normalizacao'!M$95:M$104)*1)&amp;"/"&amp;$D14</f>
        <v>0/0</v>
      </c>
      <c r="I34" s="20" t="str">
        <f>SUMPRODUCT(ISNUMBER('06_Normalizacao'!N$95:N$104)*1)&amp;"/"&amp;$D14</f>
        <v>0/0</v>
      </c>
      <c r="J34" s="20" t="str">
        <f>SUMPRODUCT(ISNUMBER('06_Normalizacao'!O$95:O$104)*1)&amp;"/"&amp;$D14</f>
        <v>0/0</v>
      </c>
      <c r="K34" s="20" t="str">
        <f>SUMPRODUCT(ISNUMBER('06_Normalizacao'!P$95:P$104)*1)&amp;"/"&amp;$D14</f>
        <v>0/0</v>
      </c>
      <c r="L34" s="20" t="str">
        <f>SUMPRODUCT(ISNUMBER('06_Normalizacao'!Q$95:Q$104)*1)&amp;"/"&amp;$D14</f>
        <v>0/0</v>
      </c>
      <c r="M34" s="20" t="str">
        <f>SUMPRODUCT(ISNUMBER('06_Normalizacao'!R$95:R$104)*1)&amp;"/"&amp;$D14</f>
        <v>0/0</v>
      </c>
      <c r="N34" s="20" t="str">
        <f>SUMPRODUCT(ISNUMBER('06_Normalizacao'!S$95:S$104)*1)&amp;"/"&amp;$D14</f>
        <v>0/0</v>
      </c>
      <c r="O34" s="20" t="str">
        <f>SUMPRODUCT(ISNUMBER('06_Normalizacao'!T$95:T$104)*1)&amp;"/"&amp;$D14</f>
        <v>0/0</v>
      </c>
      <c r="P34" s="20" t="str">
        <f>SUMPRODUCT(ISNUMBER('06_Normalizacao'!U$95:U$104)*1)&amp;"/"&amp;$D14</f>
        <v>0/0</v>
      </c>
    </row>
    <row r="35" spans="1:16">
      <c r="A35" s="6" t="s">
        <v>1820</v>
      </c>
      <c r="F35" s="20" t="str">
        <f>SUMPRODUCT(ISNUMBER('06_Normalizacao'!K$105:K$114)*1)&amp;"/"&amp;$D15</f>
        <v>0/0</v>
      </c>
      <c r="G35" s="20" t="str">
        <f>SUMPRODUCT(ISNUMBER('06_Normalizacao'!L$105:L$114)*1)&amp;"/"&amp;$D15</f>
        <v>0/0</v>
      </c>
      <c r="H35" s="20" t="str">
        <f>SUMPRODUCT(ISNUMBER('06_Normalizacao'!M$105:M$114)*1)&amp;"/"&amp;$D15</f>
        <v>0/0</v>
      </c>
      <c r="I35" s="20" t="str">
        <f>SUMPRODUCT(ISNUMBER('06_Normalizacao'!N$105:N$114)*1)&amp;"/"&amp;$D15</f>
        <v>0/0</v>
      </c>
      <c r="J35" s="20" t="str">
        <f>SUMPRODUCT(ISNUMBER('06_Normalizacao'!O$105:O$114)*1)&amp;"/"&amp;$D15</f>
        <v>0/0</v>
      </c>
      <c r="K35" s="20" t="str">
        <f>SUMPRODUCT(ISNUMBER('06_Normalizacao'!P$105:P$114)*1)&amp;"/"&amp;$D15</f>
        <v>0/0</v>
      </c>
      <c r="L35" s="20" t="str">
        <f>SUMPRODUCT(ISNUMBER('06_Normalizacao'!Q$105:Q$114)*1)&amp;"/"&amp;$D15</f>
        <v>0/0</v>
      </c>
      <c r="M35" s="20" t="str">
        <f>SUMPRODUCT(ISNUMBER('06_Normalizacao'!R$105:R$114)*1)&amp;"/"&amp;$D15</f>
        <v>0/0</v>
      </c>
      <c r="N35" s="20" t="str">
        <f>SUMPRODUCT(ISNUMBER('06_Normalizacao'!S$105:S$114)*1)&amp;"/"&amp;$D15</f>
        <v>0/0</v>
      </c>
      <c r="O35" s="20" t="str">
        <f>SUMPRODUCT(ISNUMBER('06_Normalizacao'!T$105:T$114)*1)&amp;"/"&amp;$D15</f>
        <v>0/0</v>
      </c>
      <c r="P35" s="20" t="str">
        <f>SUMPRODUCT(ISNUMBER('06_Normalizacao'!U$105:U$114)*1)&amp;"/"&amp;$D15</f>
        <v>0/0</v>
      </c>
    </row>
  </sheetData>
  <conditionalFormatting sqref="F5:P15">
    <cfRule type="colorScale" priority="1">
      <colorScale>
        <cfvo type="num" val="0"/>
        <cfvo type="num" val="50"/>
        <cfvo type="num" val="100"/>
        <color rgb="FFF8696B"/>
        <color rgb="FFFFEB84"/>
        <color rgb="FF63BE7B"/>
      </colorScale>
    </cfRule>
  </conditionalFormatting>
  <hyperlinks>
    <hyperlink ref="A1" location="'00_Painel'!A1" display="← Painel" xr:uid="{00000000-0004-0000-0700-000000000000}"/>
  </hyperlinks>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A1:N36"/>
  <sheetViews>
    <sheetView showGridLines="0" tabSelected="1" topLeftCell="A5" workbookViewId="0">
      <selection activeCell="F14" sqref="F14"/>
    </sheetView>
  </sheetViews>
  <sheetFormatPr defaultRowHeight="14.45"/>
  <cols>
    <col min="2" max="2" width="22" customWidth="1"/>
    <col min="3" max="13" width="7" customWidth="1"/>
  </cols>
  <sheetData>
    <row r="1" spans="1:14">
      <c r="A1" s="3" t="s">
        <v>27</v>
      </c>
    </row>
    <row r="2" spans="1:14" ht="23.45" customHeight="1">
      <c r="B2" s="1" t="s">
        <v>1826</v>
      </c>
    </row>
    <row r="3" spans="1:14">
      <c r="B3" s="2" t="s">
        <v>1827</v>
      </c>
    </row>
    <row r="5" spans="1:14" ht="15.6" customHeight="1">
      <c r="B5" s="42" t="s">
        <v>1828</v>
      </c>
      <c r="C5" s="54"/>
      <c r="D5" s="54"/>
      <c r="E5" s="54"/>
      <c r="F5" s="54"/>
      <c r="G5" s="54"/>
      <c r="H5" s="54"/>
      <c r="I5" s="54"/>
      <c r="J5" s="54"/>
      <c r="K5" s="54"/>
      <c r="L5" s="54"/>
      <c r="M5" s="54"/>
    </row>
    <row r="6" spans="1:14">
      <c r="B6" s="5" t="s">
        <v>24</v>
      </c>
      <c r="C6" s="5">
        <v>2015</v>
      </c>
      <c r="D6" s="5">
        <v>2016</v>
      </c>
      <c r="E6" s="5">
        <v>2017</v>
      </c>
      <c r="F6" s="5">
        <v>2018</v>
      </c>
      <c r="G6" s="5">
        <v>2019</v>
      </c>
      <c r="H6" s="5">
        <v>2020</v>
      </c>
      <c r="I6" s="5">
        <v>2021</v>
      </c>
      <c r="J6" s="5">
        <v>2022</v>
      </c>
      <c r="K6" s="5">
        <v>2023</v>
      </c>
      <c r="L6" s="5">
        <v>2024</v>
      </c>
      <c r="M6" s="5">
        <v>2025</v>
      </c>
      <c r="N6" s="5" t="s">
        <v>1829</v>
      </c>
    </row>
    <row r="7" spans="1:14">
      <c r="B7" s="6" t="str">
        <f>'07_Subindices'!A5</f>
        <v>Governança</v>
      </c>
      <c r="C7" s="37">
        <f>IF('07_Subindices'!F5="","",'07_Subindices'!F5)</f>
        <v>27.415798000000002</v>
      </c>
      <c r="D7" s="37">
        <f>IF('07_Subindices'!G5="","",'07_Subindices'!G5)</f>
        <v>28.027149599999994</v>
      </c>
      <c r="E7" s="37">
        <f>IF('07_Subindices'!H5="","",'07_Subindices'!H5)</f>
        <v>27.731903199999998</v>
      </c>
      <c r="F7" s="37">
        <f>IF('07_Subindices'!I5="","",'07_Subindices'!I5)</f>
        <v>29.570946399999997</v>
      </c>
      <c r="G7" s="37">
        <f>IF('07_Subindices'!J5="","",'07_Subindices'!J5)</f>
        <v>31.678183999999998</v>
      </c>
      <c r="H7" s="37">
        <f>IF('07_Subindices'!K5="","",'07_Subindices'!K5)</f>
        <v>30.817962399999999</v>
      </c>
      <c r="I7" s="37">
        <f>IF('07_Subindices'!L5="","",'07_Subindices'!L5)</f>
        <v>31.100242000000001</v>
      </c>
      <c r="J7" s="37">
        <f>IF('07_Subindices'!M5="","",'07_Subindices'!M5)</f>
        <v>33.006381599999997</v>
      </c>
      <c r="K7" s="37">
        <f>IF('07_Subindices'!N5="","",'07_Subindices'!N5)</f>
        <v>33.637387199999999</v>
      </c>
      <c r="L7" s="37">
        <f>IF('07_Subindices'!O5="","",'07_Subindices'!O5)</f>
        <v>33.1938076</v>
      </c>
      <c r="M7" s="37">
        <f>IF('07_Subindices'!P5="","",'07_Subindices'!P5)</f>
        <v>33.1938076</v>
      </c>
      <c r="N7" s="36">
        <f>IF('07_Subindices'!S5="","",'07_Subindices'!S5)</f>
        <v>5.7780095999999972</v>
      </c>
    </row>
    <row r="8" spans="1:14">
      <c r="B8" s="6" t="str">
        <f>'07_Subindices'!A6</f>
        <v>Macroeconomia</v>
      </c>
      <c r="C8" s="37">
        <f>IF('07_Subindices'!F6="","",'07_Subindices'!F6)</f>
        <v>49.133768107736039</v>
      </c>
      <c r="D8" s="37">
        <f>IF('07_Subindices'!G6="","",'07_Subindices'!G6)</f>
        <v>44.476291758312172</v>
      </c>
      <c r="E8" s="37">
        <f>IF('07_Subindices'!H6="","",'07_Subindices'!H6)</f>
        <v>46.557338502599372</v>
      </c>
      <c r="F8" s="37">
        <f>IF('07_Subindices'!I6="","",'07_Subindices'!I6)</f>
        <v>45.10833095894948</v>
      </c>
      <c r="G8" s="37">
        <f>IF('07_Subindices'!J6="","",'07_Subindices'!J6)</f>
        <v>44.095034318734243</v>
      </c>
      <c r="H8" s="37">
        <f>IF('07_Subindices'!K6="","",'07_Subindices'!K6)</f>
        <v>33.062574046126485</v>
      </c>
      <c r="I8" s="37">
        <f>IF('07_Subindices'!L6="","",'07_Subindices'!L6)</f>
        <v>48.695602599234192</v>
      </c>
      <c r="J8" s="37">
        <f>IF('07_Subindices'!M6="","",'07_Subindices'!M6)</f>
        <v>49.630240065091314</v>
      </c>
      <c r="K8" s="37">
        <f>IF('07_Subindices'!N6="","",'07_Subindices'!N6)</f>
        <v>47.263381415405128</v>
      </c>
      <c r="L8" s="37">
        <f>IF('07_Subindices'!O6="","",'07_Subindices'!O6)</f>
        <v>48.596289571208857</v>
      </c>
      <c r="M8" s="37">
        <f>IF('07_Subindices'!P6="","",'07_Subindices'!P6)</f>
        <v>49.659758493545056</v>
      </c>
      <c r="N8" s="36">
        <f>IF('07_Subindices'!S6="","",'07_Subindices'!S6)</f>
        <v>0.52599038580901691</v>
      </c>
    </row>
    <row r="9" spans="1:14">
      <c r="B9" s="6" t="str">
        <f>'07_Subindices'!A7</f>
        <v>Capital Humano</v>
      </c>
      <c r="C9" s="37">
        <f>IF('07_Subindices'!F7="","",'07_Subindices'!F7)</f>
        <v>50.4790343816302</v>
      </c>
      <c r="D9" s="37">
        <f>IF('07_Subindices'!G7="","",'07_Subindices'!G7)</f>
        <v>56.861999734226245</v>
      </c>
      <c r="E9" s="37">
        <f>IF('07_Subindices'!H7="","",'07_Subindices'!H7)</f>
        <v>56.57129959172471</v>
      </c>
      <c r="F9" s="37">
        <f>IF('07_Subindices'!I7="","",'07_Subindices'!I7)</f>
        <v>56.257329482203879</v>
      </c>
      <c r="G9" s="37">
        <f>IF('07_Subindices'!J7="","",'07_Subindices'!J7)</f>
        <v>56.302874629753752</v>
      </c>
      <c r="H9" s="37">
        <f>IF('07_Subindices'!K7="","",'07_Subindices'!K7)</f>
        <v>57.924943128556905</v>
      </c>
      <c r="I9" s="37">
        <f>IF('07_Subindices'!L7="","",'07_Subindices'!L7)</f>
        <v>56.994872579711362</v>
      </c>
      <c r="J9" s="37">
        <f>IF('07_Subindices'!M7="","",'07_Subindices'!M7)</f>
        <v>58.047500024518392</v>
      </c>
      <c r="K9" s="37">
        <f>IF('07_Subindices'!N7="","",'07_Subindices'!N7)</f>
        <v>58.688721924774967</v>
      </c>
      <c r="L9" s="37">
        <f>IF('07_Subindices'!O7="","",'07_Subindices'!O7)</f>
        <v>58.943166369219412</v>
      </c>
      <c r="M9" s="37">
        <f>IF('07_Subindices'!P7="","",'07_Subindices'!P7)</f>
        <v>59.051499702552746</v>
      </c>
      <c r="N9" s="36">
        <f>IF('07_Subindices'!S7="","",'07_Subindices'!S7)</f>
        <v>8.5724653209225465</v>
      </c>
    </row>
    <row r="10" spans="1:14">
      <c r="B10" s="6" t="str">
        <f>'07_Subindices'!A8</f>
        <v>Inclusão Social</v>
      </c>
      <c r="C10" s="37">
        <f>IF('07_Subindices'!F8="","",'07_Subindices'!F8)</f>
        <v>50.768338557993722</v>
      </c>
      <c r="D10" s="37">
        <f>IF('07_Subindices'!G8="","",'07_Subindices'!G8)</f>
        <v>47.543051201671879</v>
      </c>
      <c r="E10" s="37">
        <f>IF('07_Subindices'!H8="","",'07_Subindices'!H8)</f>
        <v>42.71229536746781</v>
      </c>
      <c r="F10" s="37">
        <f>IF('07_Subindices'!I8="","",'07_Subindices'!I8)</f>
        <v>42.157122953674701</v>
      </c>
      <c r="G10" s="37">
        <f>IF('07_Subindices'!J8="","",'07_Subindices'!J8)</f>
        <v>42.722413793103449</v>
      </c>
      <c r="H10" s="37">
        <f>IF('07_Subindices'!K8="","",'07_Subindices'!K8)</f>
        <v>42.114942528735632</v>
      </c>
      <c r="I10" s="37">
        <f>IF('07_Subindices'!L8="","",'07_Subindices'!L8)</f>
        <v>41.670463253221847</v>
      </c>
      <c r="J10" s="37">
        <f>IF('07_Subindices'!M8="","",'07_Subindices'!M8)</f>
        <v>44.068477882270969</v>
      </c>
      <c r="K10" s="37">
        <f>IF('07_Subindices'!N8="","",'07_Subindices'!N8)</f>
        <v>45.496064089167525</v>
      </c>
      <c r="L10" s="37">
        <f>IF('07_Subindices'!O8="","",'07_Subindices'!O8)</f>
        <v>49.638662486938323</v>
      </c>
      <c r="M10" s="37">
        <f>IF('07_Subindices'!P8="","",'07_Subindices'!P8)</f>
        <v>49.409125740160221</v>
      </c>
      <c r="N10" s="36">
        <f>IF('07_Subindices'!S8="","",'07_Subindices'!S8)</f>
        <v>-1.3592128178335017</v>
      </c>
    </row>
    <row r="11" spans="1:14">
      <c r="B11" s="6" t="str">
        <f>'07_Subindices'!A9</f>
        <v>Infraestruturas</v>
      </c>
      <c r="C11" s="37">
        <f>IF('07_Subindices'!F9="","",'07_Subindices'!F9)</f>
        <v>45.989555869783167</v>
      </c>
      <c r="D11" s="37">
        <f>IF('07_Subindices'!G9="","",'07_Subindices'!G9)</f>
        <v>39.273908700006679</v>
      </c>
      <c r="E11" s="37">
        <f>IF('07_Subindices'!H9="","",'07_Subindices'!H9)</f>
        <v>44.683769108757488</v>
      </c>
      <c r="F11" s="37">
        <f>IF('07_Subindices'!I9="","",'07_Subindices'!I9)</f>
        <v>42.129239629241894</v>
      </c>
      <c r="G11" s="37">
        <f>IF('07_Subindices'!J9="","",'07_Subindices'!J9)</f>
        <v>44.854885911165049</v>
      </c>
      <c r="H11" s="37">
        <f>IF('07_Subindices'!K9="","",'07_Subindices'!K9)</f>
        <v>42.272598701323361</v>
      </c>
      <c r="I11" s="37">
        <f>IF('07_Subindices'!L9="","",'07_Subindices'!L9)</f>
        <v>44.079488580924043</v>
      </c>
      <c r="J11" s="37">
        <f>IF('07_Subindices'!M9="","",'07_Subindices'!M9)</f>
        <v>45.812539538030073</v>
      </c>
      <c r="K11" s="37">
        <f>IF('07_Subindices'!N9="","",'07_Subindices'!N9)</f>
        <v>46.239818385103277</v>
      </c>
      <c r="L11" s="37">
        <f>IF('07_Subindices'!O9="","",'07_Subindices'!O9)</f>
        <v>47.984622518916311</v>
      </c>
      <c r="M11" s="37">
        <f>IF('07_Subindices'!P9="","",'07_Subindices'!P9)</f>
        <v>47.984622518916311</v>
      </c>
      <c r="N11" s="36">
        <f>IF('07_Subindices'!S9="","",'07_Subindices'!S9)</f>
        <v>1.9950666491331432</v>
      </c>
    </row>
    <row r="12" spans="1:14">
      <c r="B12" s="6" t="str">
        <f>'07_Subindices'!A10</f>
        <v>Mercado Trabalho</v>
      </c>
      <c r="C12" s="37">
        <f>IF('07_Subindices'!F10="","",'07_Subindices'!F10)</f>
        <v>65.104270808678507</v>
      </c>
      <c r="D12" s="37">
        <f>IF('07_Subindices'!G10="","",'07_Subindices'!G10)</f>
        <v>63.743466173570027</v>
      </c>
      <c r="E12" s="37">
        <f>IF('07_Subindices'!H10="","",'07_Subindices'!H10)</f>
        <v>63.451157889546344</v>
      </c>
      <c r="F12" s="37">
        <f>IF('07_Subindices'!I10="","",'07_Subindices'!I10)</f>
        <v>62.984661834319525</v>
      </c>
      <c r="G12" s="37">
        <f>IF('07_Subindices'!J10="","",'07_Subindices'!J10)</f>
        <v>62.982749506903346</v>
      </c>
      <c r="H12" s="37">
        <f>IF('07_Subindices'!K10="","",'07_Subindices'!K10)</f>
        <v>59.207059566074953</v>
      </c>
      <c r="I12" s="37">
        <f>IF('07_Subindices'!L10="","",'07_Subindices'!L10)</f>
        <v>62.696662623274165</v>
      </c>
      <c r="J12" s="37">
        <f>IF('07_Subindices'!M10="","",'07_Subindices'!M10)</f>
        <v>67.141387278106492</v>
      </c>
      <c r="K12" s="37">
        <f>IF('07_Subindices'!N10="","",'07_Subindices'!N10)</f>
        <v>66.686718934911241</v>
      </c>
      <c r="L12" s="37">
        <f>IF('07_Subindices'!O10="","",'07_Subindices'!O10)</f>
        <v>67.060912820512812</v>
      </c>
      <c r="M12" s="37">
        <f>IF('07_Subindices'!P10="","",'07_Subindices'!P10)</f>
        <v>66.046859664694281</v>
      </c>
      <c r="N12" s="36">
        <f>IF('07_Subindices'!S10="","",'07_Subindices'!S10)</f>
        <v>0.94258885601577447</v>
      </c>
    </row>
    <row r="13" spans="1:14">
      <c r="B13" s="6" t="str">
        <f>'07_Subindices'!A11</f>
        <v>Saúde/Alimentar</v>
      </c>
      <c r="C13" s="37">
        <f>IF('07_Subindices'!F11="","",'07_Subindices'!F11)</f>
        <v>59.24485122952381</v>
      </c>
      <c r="D13" s="37">
        <f>IF('07_Subindices'!G11="","",'07_Subindices'!G11)</f>
        <v>58.281854842380952</v>
      </c>
      <c r="E13" s="37">
        <f>IF('07_Subindices'!H11="","",'07_Subindices'!H11)</f>
        <v>57.759990908571424</v>
      </c>
      <c r="F13" s="37">
        <f>IF('07_Subindices'!I11="","",'07_Subindices'!I11)</f>
        <v>58.248642695714288</v>
      </c>
      <c r="G13" s="37">
        <f>IF('07_Subindices'!J11="","",'07_Subindices'!J11)</f>
        <v>58.239980912380965</v>
      </c>
      <c r="H13" s="37">
        <f>IF('07_Subindices'!K11="","",'07_Subindices'!K11)</f>
        <v>58.15015419904762</v>
      </c>
      <c r="I13" s="37">
        <f>IF('07_Subindices'!L11="","",'07_Subindices'!L11)</f>
        <v>56.503792958095232</v>
      </c>
      <c r="J13" s="37">
        <f>IF('07_Subindices'!M11="","",'07_Subindices'!M11)</f>
        <v>56.375636221904756</v>
      </c>
      <c r="K13" s="37">
        <f>IF('07_Subindices'!N11="","",'07_Subindices'!N11)</f>
        <v>58.255549660952383</v>
      </c>
      <c r="L13" s="37">
        <f>IF('07_Subindices'!O11="","",'07_Subindices'!O11)</f>
        <v>56.807549660952382</v>
      </c>
      <c r="M13" s="37">
        <f>IF('07_Subindices'!P11="","",'07_Subindices'!P11)</f>
        <v>57.021835375238098</v>
      </c>
      <c r="N13" s="36">
        <f>IF('07_Subindices'!S11="","",'07_Subindices'!S11)</f>
        <v>-2.2230158542857126</v>
      </c>
    </row>
    <row r="14" spans="1:14">
      <c r="B14" s="6" t="str">
        <f>'07_Subindices'!A12</f>
        <v>Diversificação</v>
      </c>
      <c r="C14" s="37">
        <f>IF('07_Subindices'!F12="","",'07_Subindices'!F12)</f>
        <v>19.988441072755187</v>
      </c>
      <c r="D14" s="37">
        <f>IF('07_Subindices'!G12="","",'07_Subindices'!G12)</f>
        <v>23.478583209191974</v>
      </c>
      <c r="E14" s="37">
        <f>IF('07_Subindices'!H12="","",'07_Subindices'!H12)</f>
        <v>24.641193541811887</v>
      </c>
      <c r="F14" s="37">
        <f>IF('07_Subindices'!I12="","",'07_Subindices'!I12)</f>
        <v>23.183337006898377</v>
      </c>
      <c r="G14" s="37">
        <f>IF('07_Subindices'!J12="","",'07_Subindices'!J12)</f>
        <v>21.835223422876471</v>
      </c>
      <c r="H14" s="37">
        <f>IF('07_Subindices'!K12="","",'07_Subindices'!K12)</f>
        <v>17.201785256447533</v>
      </c>
      <c r="I14" s="37">
        <f>IF('07_Subindices'!L12="","",'07_Subindices'!L12)</f>
        <v>24.55190943479478</v>
      </c>
      <c r="J14" s="37">
        <f>IF('07_Subindices'!M12="","",'07_Subindices'!M12)</f>
        <v>22.852555767836172</v>
      </c>
      <c r="K14" s="37">
        <f>IF('07_Subindices'!N12="","",'07_Subindices'!N12)</f>
        <v>23.132466989087224</v>
      </c>
      <c r="L14" s="37">
        <f>IF('07_Subindices'!O12="","",'07_Subindices'!O12)</f>
        <v>24.84501895430645</v>
      </c>
      <c r="M14" s="37">
        <f>IF('07_Subindices'!P12="","",'07_Subindices'!P12)</f>
        <v>24.85907584683132</v>
      </c>
      <c r="N14" s="36">
        <f>IF('07_Subindices'!S12="","",'07_Subindices'!S12)</f>
        <v>4.8706347740761338</v>
      </c>
    </row>
    <row r="15" spans="1:14">
      <c r="B15" s="6" t="str">
        <f>'07_Subindices'!A13</f>
        <v>Ambiente</v>
      </c>
      <c r="C15" s="37" t="str">
        <f>IF('07_Subindices'!F13="","",'07_Subindices'!F13)</f>
        <v/>
      </c>
      <c r="D15" s="37" t="str">
        <f>IF('07_Subindices'!G13="","",'07_Subindices'!G13)</f>
        <v/>
      </c>
      <c r="E15" s="37" t="str">
        <f>IF('07_Subindices'!H13="","",'07_Subindices'!H13)</f>
        <v/>
      </c>
      <c r="F15" s="37" t="str">
        <f>IF('07_Subindices'!I13="","",'07_Subindices'!I13)</f>
        <v/>
      </c>
      <c r="G15" s="37" t="str">
        <f>IF('07_Subindices'!J13="","",'07_Subindices'!J13)</f>
        <v/>
      </c>
      <c r="H15" s="37" t="str">
        <f>IF('07_Subindices'!K13="","",'07_Subindices'!K13)</f>
        <v/>
      </c>
      <c r="I15" s="37" t="str">
        <f>IF('07_Subindices'!L13="","",'07_Subindices'!L13)</f>
        <v/>
      </c>
      <c r="J15" s="37" t="str">
        <f>IF('07_Subindices'!M13="","",'07_Subindices'!M13)</f>
        <v/>
      </c>
      <c r="K15" s="37" t="str">
        <f>IF('07_Subindices'!N13="","",'07_Subindices'!N13)</f>
        <v/>
      </c>
      <c r="L15" s="37" t="str">
        <f>IF('07_Subindices'!O13="","",'07_Subindices'!O13)</f>
        <v/>
      </c>
      <c r="M15" s="37" t="str">
        <f>IF('07_Subindices'!P13="","",'07_Subindices'!P13)</f>
        <v/>
      </c>
      <c r="N15" s="36" t="str">
        <f>IF('07_Subindices'!S13="","",'07_Subindices'!S13)</f>
        <v/>
      </c>
    </row>
    <row r="16" spans="1:14">
      <c r="B16" s="6" t="str">
        <f>'07_Subindices'!A14</f>
        <v>Demografia</v>
      </c>
      <c r="C16" s="37" t="str">
        <f>IF('07_Subindices'!F14="","",'07_Subindices'!F14)</f>
        <v/>
      </c>
      <c r="D16" s="37" t="str">
        <f>IF('07_Subindices'!G14="","",'07_Subindices'!G14)</f>
        <v/>
      </c>
      <c r="E16" s="37" t="str">
        <f>IF('07_Subindices'!H14="","",'07_Subindices'!H14)</f>
        <v/>
      </c>
      <c r="F16" s="37" t="str">
        <f>IF('07_Subindices'!I14="","",'07_Subindices'!I14)</f>
        <v/>
      </c>
      <c r="G16" s="37" t="str">
        <f>IF('07_Subindices'!J14="","",'07_Subindices'!J14)</f>
        <v/>
      </c>
      <c r="H16" s="37" t="str">
        <f>IF('07_Subindices'!K14="","",'07_Subindices'!K14)</f>
        <v/>
      </c>
      <c r="I16" s="37" t="str">
        <f>IF('07_Subindices'!L14="","",'07_Subindices'!L14)</f>
        <v/>
      </c>
      <c r="J16" s="37" t="str">
        <f>IF('07_Subindices'!M14="","",'07_Subindices'!M14)</f>
        <v/>
      </c>
      <c r="K16" s="37" t="str">
        <f>IF('07_Subindices'!N14="","",'07_Subindices'!N14)</f>
        <v/>
      </c>
      <c r="L16" s="37" t="str">
        <f>IF('07_Subindices'!O14="","",'07_Subindices'!O14)</f>
        <v/>
      </c>
      <c r="M16" s="37" t="str">
        <f>IF('07_Subindices'!P14="","",'07_Subindices'!P14)</f>
        <v/>
      </c>
      <c r="N16" s="36" t="str">
        <f>IF('07_Subindices'!S14="","",'07_Subindices'!S14)</f>
        <v/>
      </c>
    </row>
    <row r="17" spans="2:14">
      <c r="B17" s="6" t="str">
        <f>'07_Subindices'!A15</f>
        <v>Digital/Inovação</v>
      </c>
      <c r="C17" s="37" t="str">
        <f>IF('07_Subindices'!F15="","",'07_Subindices'!F15)</f>
        <v/>
      </c>
      <c r="D17" s="37" t="str">
        <f>IF('07_Subindices'!G15="","",'07_Subindices'!G15)</f>
        <v/>
      </c>
      <c r="E17" s="37" t="str">
        <f>IF('07_Subindices'!H15="","",'07_Subindices'!H15)</f>
        <v/>
      </c>
      <c r="F17" s="37" t="str">
        <f>IF('07_Subindices'!I15="","",'07_Subindices'!I15)</f>
        <v/>
      </c>
      <c r="G17" s="37" t="str">
        <f>IF('07_Subindices'!J15="","",'07_Subindices'!J15)</f>
        <v/>
      </c>
      <c r="H17" s="37" t="str">
        <f>IF('07_Subindices'!K15="","",'07_Subindices'!K15)</f>
        <v/>
      </c>
      <c r="I17" s="37" t="str">
        <f>IF('07_Subindices'!L15="","",'07_Subindices'!L15)</f>
        <v/>
      </c>
      <c r="J17" s="37" t="str">
        <f>IF('07_Subindices'!M15="","",'07_Subindices'!M15)</f>
        <v/>
      </c>
      <c r="K17" s="37" t="str">
        <f>IF('07_Subindices'!N15="","",'07_Subindices'!N15)</f>
        <v/>
      </c>
      <c r="L17" s="37" t="str">
        <f>IF('07_Subindices'!O15="","",'07_Subindices'!O15)</f>
        <v/>
      </c>
      <c r="M17" s="37" t="str">
        <f>IF('07_Subindices'!P15="","",'07_Subindices'!P15)</f>
        <v/>
      </c>
      <c r="N17" s="36" t="str">
        <f>IF('07_Subindices'!S15="","",'07_Subindices'!S15)</f>
        <v/>
      </c>
    </row>
    <row r="18" spans="2:14">
      <c r="B18" s="8" t="s">
        <v>1830</v>
      </c>
      <c r="C18" s="37">
        <f>IF('07_Subindices'!F18="","",'07_Subindices'!F18)</f>
        <v>43.248684111213123</v>
      </c>
      <c r="D18" s="37">
        <f>IF('07_Subindices'!G18="","",'07_Subindices'!G18)</f>
        <v>42.933393485198948</v>
      </c>
      <c r="E18" s="37">
        <f>IF('07_Subindices'!H18="","",'07_Subindices'!H18)</f>
        <v>43.400965089370771</v>
      </c>
      <c r="F18" s="37">
        <f>IF('07_Subindices'!I18="","",'07_Subindices'!I18)</f>
        <v>42.835765267401101</v>
      </c>
      <c r="G18" s="37">
        <f>IF('07_Subindices'!J18="","",'07_Subindices'!J18)</f>
        <v>43.173605483726718</v>
      </c>
      <c r="H18" s="37">
        <f>IF('07_Subindices'!K18="","",'07_Subindices'!K18)</f>
        <v>39.742017061261691</v>
      </c>
      <c r="I18" s="37">
        <f>IF('07_Subindices'!L18="","",'07_Subindices'!L18)</f>
        <v>43.898045503056984</v>
      </c>
      <c r="J18" s="37">
        <f>IF('07_Subindices'!M18="","",'07_Subindices'!M18)</f>
        <v>44.929552882565105</v>
      </c>
      <c r="K18" s="37">
        <f>IF('07_Subindices'!N18="","",'07_Subindices'!N18)</f>
        <v>45.270081985777637</v>
      </c>
      <c r="L18" s="37">
        <f>IF('07_Subindices'!O18="","",'07_Subindices'!O18)</f>
        <v>46.386470755815132</v>
      </c>
      <c r="M18" s="37">
        <f>IF('07_Subindices'!P18="","",'07_Subindices'!P18)</f>
        <v>46.432548972529112</v>
      </c>
      <c r="N18" s="36">
        <f>IF('07_Subindices'!S18="","",'07_Subindices'!S18)</f>
        <v>3.183864861315989</v>
      </c>
    </row>
    <row r="21" spans="2:14" ht="15.6" customHeight="1">
      <c r="B21" s="42" t="s">
        <v>1831</v>
      </c>
      <c r="C21" s="54"/>
      <c r="D21" s="54"/>
      <c r="E21" s="54"/>
      <c r="F21" s="54"/>
      <c r="G21" s="54"/>
      <c r="H21" s="54"/>
      <c r="I21" s="54"/>
      <c r="J21" s="54"/>
      <c r="K21" s="54"/>
      <c r="L21" s="54"/>
      <c r="M21" s="54"/>
    </row>
    <row r="23" spans="2:14">
      <c r="B23" s="8" t="s">
        <v>1832</v>
      </c>
      <c r="C23" s="38">
        <v>2021</v>
      </c>
      <c r="E23" s="8" t="s">
        <v>1833</v>
      </c>
      <c r="F23" s="38">
        <v>2025</v>
      </c>
    </row>
    <row r="25" spans="2:14">
      <c r="B25" s="5" t="s">
        <v>24</v>
      </c>
      <c r="C25" s="39">
        <f>$C$23</f>
        <v>2021</v>
      </c>
      <c r="D25" s="39">
        <f>$F$23</f>
        <v>2025</v>
      </c>
      <c r="E25" s="39" t="s">
        <v>1834</v>
      </c>
    </row>
    <row r="26" spans="2:14">
      <c r="B26" s="6" t="str">
        <f>'07_Subindices'!A5</f>
        <v>Governança</v>
      </c>
      <c r="C26" s="7">
        <f>IFERROR(INDEX('07_Subindices'!F5:P5,MATCH($C$23,'07_Subindices'!$F$4:$P$4,0)),"")</f>
        <v>31.100242000000001</v>
      </c>
      <c r="D26" s="7">
        <f>IFERROR(INDEX('07_Subindices'!F5:P5,MATCH($F$23,'07_Subindices'!$F$4:$P$4,0)),"")</f>
        <v>33.1938076</v>
      </c>
      <c r="E26" s="40">
        <f>IF(OR(C26="",D26=""),"",D26-C26)</f>
        <v>2.093565599999998</v>
      </c>
    </row>
    <row r="27" spans="2:14">
      <c r="B27" s="6" t="str">
        <f>'07_Subindices'!A6</f>
        <v>Macroeconomia</v>
      </c>
      <c r="C27" s="7">
        <f>IFERROR(INDEX('07_Subindices'!F6:P6,MATCH($C$23,'07_Subindices'!$F$4:$P$4,0)),"")</f>
        <v>48.695602599234192</v>
      </c>
      <c r="D27" s="7">
        <f>IFERROR(INDEX('07_Subindices'!F6:P6,MATCH($F$23,'07_Subindices'!$F$4:$P$4,0)),"")</f>
        <v>49.659758493545056</v>
      </c>
      <c r="E27" s="40">
        <f>IF(OR(C27="",D27=""),"",D27-C27)</f>
        <v>0.96415589431086346</v>
      </c>
    </row>
    <row r="28" spans="2:14">
      <c r="B28" s="6" t="str">
        <f>'07_Subindices'!A7</f>
        <v>Capital Humano</v>
      </c>
      <c r="C28" s="7">
        <f>IFERROR(INDEX('07_Subindices'!F7:P7,MATCH($C$23,'07_Subindices'!$F$4:$P$4,0)),"")</f>
        <v>56.994872579711362</v>
      </c>
      <c r="D28" s="7">
        <f>IFERROR(INDEX('07_Subindices'!F7:P7,MATCH($F$23,'07_Subindices'!$F$4:$P$4,0)),"")</f>
        <v>59.051499702552746</v>
      </c>
      <c r="E28" s="40">
        <f>IF(OR(C28="",D28=""),"",D28-C28)</f>
        <v>2.0566271228413839</v>
      </c>
    </row>
    <row r="29" spans="2:14">
      <c r="B29" s="6" t="str">
        <f>'07_Subindices'!A8</f>
        <v>Inclusão Social</v>
      </c>
      <c r="C29" s="7">
        <f>IFERROR(INDEX('07_Subindices'!F8:P8,MATCH($C$23,'07_Subindices'!$F$4:$P$4,0)),"")</f>
        <v>41.670463253221847</v>
      </c>
      <c r="D29" s="7">
        <f>IFERROR(INDEX('07_Subindices'!F8:P8,MATCH($F$23,'07_Subindices'!$F$4:$P$4,0)),"")</f>
        <v>49.409125740160221</v>
      </c>
      <c r="E29" s="40">
        <f>IF(OR(C29="",D29=""),"",D29-C29)</f>
        <v>7.7386624869383738</v>
      </c>
    </row>
    <row r="30" spans="2:14">
      <c r="B30" s="6" t="str">
        <f>'07_Subindices'!A9</f>
        <v>Infraestruturas</v>
      </c>
      <c r="C30" s="7">
        <f>IFERROR(INDEX('07_Subindices'!F9:P9,MATCH($C$23,'07_Subindices'!$F$4:$P$4,0)),"")</f>
        <v>44.079488580924043</v>
      </c>
      <c r="D30" s="7">
        <f>IFERROR(INDEX('07_Subindices'!F9:P9,MATCH($F$23,'07_Subindices'!$F$4:$P$4,0)),"")</f>
        <v>47.984622518916311</v>
      </c>
      <c r="E30" s="40">
        <f>IF(OR(C30="",D30=""),"",D30-C30)</f>
        <v>3.905133937992268</v>
      </c>
    </row>
    <row r="31" spans="2:14">
      <c r="B31" s="6" t="str">
        <f>'07_Subindices'!A10</f>
        <v>Mercado Trabalho</v>
      </c>
      <c r="C31" s="7">
        <f>IFERROR(INDEX('07_Subindices'!F10:P10,MATCH($C$23,'07_Subindices'!$F$4:$P$4,0)),"")</f>
        <v>62.696662623274165</v>
      </c>
      <c r="D31" s="7">
        <f>IFERROR(INDEX('07_Subindices'!F10:P10,MATCH($F$23,'07_Subindices'!$F$4:$P$4,0)),"")</f>
        <v>66.046859664694281</v>
      </c>
      <c r="E31" s="40">
        <f>IF(OR(C31="",D31=""),"",D31-C31)</f>
        <v>3.3501970414201168</v>
      </c>
    </row>
    <row r="32" spans="2:14">
      <c r="B32" s="6" t="str">
        <f>'07_Subindices'!A11</f>
        <v>Saúde/Alimentar</v>
      </c>
      <c r="C32" s="7">
        <f>IFERROR(INDEX('07_Subindices'!F11:P11,MATCH($C$23,'07_Subindices'!$F$4:$P$4,0)),"")</f>
        <v>56.503792958095232</v>
      </c>
      <c r="D32" s="7">
        <f>IFERROR(INDEX('07_Subindices'!F11:P11,MATCH($F$23,'07_Subindices'!$F$4:$P$4,0)),"")</f>
        <v>57.021835375238098</v>
      </c>
      <c r="E32" s="40">
        <f>IF(OR(C32="",D32=""),"",D32-C32)</f>
        <v>0.51804241714286547</v>
      </c>
    </row>
    <row r="33" spans="2:5">
      <c r="B33" s="6" t="str">
        <f>'07_Subindices'!A12</f>
        <v>Diversificação</v>
      </c>
      <c r="C33" s="7">
        <f>IFERROR(INDEX('07_Subindices'!F12:P12,MATCH($C$23,'07_Subindices'!$F$4:$P$4,0)),"")</f>
        <v>24.55190943479478</v>
      </c>
      <c r="D33" s="7">
        <f>IFERROR(INDEX('07_Subindices'!F12:P12,MATCH($F$23,'07_Subindices'!$F$4:$P$4,0)),"")</f>
        <v>24.85907584683132</v>
      </c>
      <c r="E33" s="40">
        <f>IF(OR(C33="",D33=""),"",D33-C33)</f>
        <v>0.30716641203654049</v>
      </c>
    </row>
    <row r="34" spans="2:5">
      <c r="B34" s="6" t="str">
        <f>'07_Subindices'!A13</f>
        <v>Ambiente</v>
      </c>
      <c r="C34" s="7" t="str">
        <f>IFERROR(INDEX('07_Subindices'!F13:P13,MATCH($C$23,'07_Subindices'!$F$4:$P$4,0)),"")</f>
        <v/>
      </c>
      <c r="D34" s="7" t="str">
        <f>IFERROR(INDEX('07_Subindices'!F13:P13,MATCH($F$23,'07_Subindices'!$F$4:$P$4,0)),"")</f>
        <v/>
      </c>
      <c r="E34" s="40" t="str">
        <f>IF(OR(C34="",D34=""),"",D34-C34)</f>
        <v/>
      </c>
    </row>
    <row r="35" spans="2:5">
      <c r="B35" s="6" t="str">
        <f>'07_Subindices'!A14</f>
        <v>Demografia</v>
      </c>
      <c r="C35" s="7" t="str">
        <f>IFERROR(INDEX('07_Subindices'!F14:P14,MATCH($C$23,'07_Subindices'!$F$4:$P$4,0)),"")</f>
        <v/>
      </c>
      <c r="D35" s="7" t="str">
        <f>IFERROR(INDEX('07_Subindices'!F14:P14,MATCH($F$23,'07_Subindices'!$F$4:$P$4,0)),"")</f>
        <v/>
      </c>
      <c r="E35" s="40" t="str">
        <f>IF(OR(C35="",D35=""),"",D35-C35)</f>
        <v/>
      </c>
    </row>
    <row r="36" spans="2:5">
      <c r="B36" s="6" t="str">
        <f>'07_Subindices'!A15</f>
        <v>Digital/Inovação</v>
      </c>
      <c r="C36" s="7" t="str">
        <f>IFERROR(INDEX('07_Subindices'!F15:P15,MATCH($C$23,'07_Subindices'!$F$4:$P$4,0)),"")</f>
        <v/>
      </c>
      <c r="D36" s="7" t="str">
        <f>IFERROR(INDEX('07_Subindices'!F15:P15,MATCH($F$23,'07_Subindices'!$F$4:$P$4,0)),"")</f>
        <v/>
      </c>
      <c r="E36" s="40" t="str">
        <f>IF(OR(C36="",D36=""),"",D36-C36)</f>
        <v/>
      </c>
    </row>
  </sheetData>
  <mergeCells count="2">
    <mergeCell ref="B5:M5"/>
    <mergeCell ref="B21:M21"/>
  </mergeCells>
  <conditionalFormatting sqref="C7:M18">
    <cfRule type="colorScale" priority="1">
      <colorScale>
        <cfvo type="num" val="0"/>
        <cfvo type="num" val="50"/>
        <cfvo type="num" val="100"/>
        <color rgb="FFF8696B"/>
        <color rgb="FFFFEB84"/>
        <color rgb="FF63BE7B"/>
      </colorScale>
    </cfRule>
  </conditionalFormatting>
  <dataValidations count="1">
    <dataValidation type="list" sqref="C23 F23" xr:uid="{00000000-0002-0000-0800-000000000000}">
      <formula1>"2015,2016,2017,2018,2019,2020,2021,2022,2023,2024,2025"</formula1>
    </dataValidation>
  </dataValidations>
  <hyperlinks>
    <hyperlink ref="A1" location="'00_Painel'!A1" display="← Painel" xr:uid="{00000000-0004-0000-0800-000000000000}"/>
  </hyperlinks>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48235"/>
  </sheetPr>
  <dimension ref="A1:K53"/>
  <sheetViews>
    <sheetView showGridLines="0" workbookViewId="0"/>
  </sheetViews>
  <sheetFormatPr defaultRowHeight="14.45"/>
  <cols>
    <col min="2" max="2" width="110" customWidth="1"/>
  </cols>
  <sheetData>
    <row r="1" spans="1:11">
      <c r="A1" s="3" t="s">
        <v>27</v>
      </c>
    </row>
    <row r="2" spans="1:11" ht="23.45" customHeight="1">
      <c r="B2" s="1" t="s">
        <v>1835</v>
      </c>
    </row>
    <row r="4" spans="1:11" ht="15.6" customHeight="1">
      <c r="B4" s="42" t="s">
        <v>1836</v>
      </c>
      <c r="C4" s="54"/>
      <c r="D4" s="54"/>
      <c r="E4" s="54"/>
      <c r="F4" s="54"/>
      <c r="G4" s="54"/>
      <c r="H4" s="54"/>
      <c r="I4" s="54"/>
      <c r="J4" s="54"/>
      <c r="K4" s="54"/>
    </row>
    <row r="5" spans="1:11" ht="14.1" customHeight="1">
      <c r="B5" s="51" t="s">
        <v>1837</v>
      </c>
      <c r="C5" s="54"/>
      <c r="D5" s="54"/>
      <c r="E5" s="54"/>
      <c r="F5" s="54"/>
      <c r="G5" s="54"/>
      <c r="H5" s="54"/>
      <c r="I5" s="54"/>
      <c r="J5" s="54"/>
      <c r="K5" s="54"/>
    </row>
    <row r="6" spans="1:11" ht="26.1" customHeight="1">
      <c r="B6" s="51" t="s">
        <v>1838</v>
      </c>
      <c r="C6" s="54"/>
      <c r="D6" s="54"/>
      <c r="E6" s="54"/>
      <c r="F6" s="54"/>
      <c r="G6" s="54"/>
      <c r="H6" s="54"/>
      <c r="I6" s="54"/>
      <c r="J6" s="54"/>
      <c r="K6" s="54"/>
    </row>
    <row r="7" spans="1:11" ht="26.1" customHeight="1">
      <c r="B7" s="51" t="s">
        <v>1839</v>
      </c>
      <c r="C7" s="54"/>
      <c r="D7" s="54"/>
      <c r="E7" s="54"/>
      <c r="F7" s="54"/>
      <c r="G7" s="54"/>
      <c r="H7" s="54"/>
      <c r="I7" s="54"/>
      <c r="J7" s="54"/>
      <c r="K7" s="54"/>
    </row>
    <row r="9" spans="1:11" ht="15.6" customHeight="1">
      <c r="B9" s="42" t="s">
        <v>1840</v>
      </c>
      <c r="C9" s="54"/>
      <c r="D9" s="54"/>
      <c r="E9" s="54"/>
      <c r="F9" s="54"/>
      <c r="G9" s="54"/>
      <c r="H9" s="54"/>
      <c r="I9" s="54"/>
      <c r="J9" s="54"/>
      <c r="K9" s="54"/>
    </row>
    <row r="10" spans="1:11" ht="26.1" customHeight="1">
      <c r="B10" s="51" t="s">
        <v>1841</v>
      </c>
      <c r="C10" s="54"/>
      <c r="D10" s="54"/>
      <c r="E10" s="54"/>
      <c r="F10" s="54"/>
      <c r="G10" s="54"/>
      <c r="H10" s="54"/>
      <c r="I10" s="54"/>
      <c r="J10" s="54"/>
      <c r="K10" s="54"/>
    </row>
    <row r="11" spans="1:11" ht="26.1" customHeight="1">
      <c r="B11" s="51" t="s">
        <v>1842</v>
      </c>
      <c r="C11" s="54"/>
      <c r="D11" s="54"/>
      <c r="E11" s="54"/>
      <c r="F11" s="54"/>
      <c r="G11" s="54"/>
      <c r="H11" s="54"/>
      <c r="I11" s="54"/>
      <c r="J11" s="54"/>
      <c r="K11" s="54"/>
    </row>
    <row r="12" spans="1:11" ht="26.1" customHeight="1">
      <c r="B12" s="51" t="s">
        <v>1843</v>
      </c>
      <c r="C12" s="54"/>
      <c r="D12" s="54"/>
      <c r="E12" s="54"/>
      <c r="F12" s="54"/>
      <c r="G12" s="54"/>
      <c r="H12" s="54"/>
      <c r="I12" s="54"/>
      <c r="J12" s="54"/>
      <c r="K12" s="54"/>
    </row>
    <row r="14" spans="1:11" ht="15.6" customHeight="1">
      <c r="B14" s="42" t="s">
        <v>1844</v>
      </c>
      <c r="C14" s="54"/>
      <c r="D14" s="54"/>
      <c r="E14" s="54"/>
      <c r="F14" s="54"/>
      <c r="G14" s="54"/>
      <c r="H14" s="54"/>
      <c r="I14" s="54"/>
      <c r="J14" s="54"/>
      <c r="K14" s="54"/>
    </row>
    <row r="15" spans="1:11" ht="51.95" customHeight="1">
      <c r="B15" s="51" t="s">
        <v>1845</v>
      </c>
      <c r="C15" s="54"/>
      <c r="D15" s="54"/>
      <c r="E15" s="54"/>
      <c r="F15" s="54"/>
      <c r="G15" s="54"/>
      <c r="H15" s="54"/>
      <c r="I15" s="54"/>
      <c r="J15" s="54"/>
      <c r="K15" s="54"/>
    </row>
    <row r="16" spans="1:11" ht="26.1" customHeight="1">
      <c r="B16" s="51" t="s">
        <v>1846</v>
      </c>
      <c r="C16" s="54"/>
      <c r="D16" s="54"/>
      <c r="E16" s="54"/>
      <c r="F16" s="54"/>
      <c r="G16" s="54"/>
      <c r="H16" s="54"/>
      <c r="I16" s="54"/>
      <c r="J16" s="54"/>
      <c r="K16" s="54"/>
    </row>
    <row r="17" spans="2:11" ht="39" customHeight="1">
      <c r="B17" s="51" t="s">
        <v>1847</v>
      </c>
      <c r="C17" s="54"/>
      <c r="D17" s="54"/>
      <c r="E17" s="54"/>
      <c r="F17" s="54"/>
      <c r="G17" s="54"/>
      <c r="H17" s="54"/>
      <c r="I17" s="54"/>
      <c r="J17" s="54"/>
      <c r="K17" s="54"/>
    </row>
    <row r="19" spans="2:11" ht="15.6" customHeight="1">
      <c r="B19" s="42" t="s">
        <v>1848</v>
      </c>
      <c r="C19" s="54"/>
      <c r="D19" s="54"/>
      <c r="E19" s="54"/>
      <c r="F19" s="54"/>
      <c r="G19" s="54"/>
      <c r="H19" s="54"/>
      <c r="I19" s="54"/>
      <c r="J19" s="54"/>
      <c r="K19" s="54"/>
    </row>
    <row r="20" spans="2:11" ht="39" customHeight="1">
      <c r="B20" s="51" t="s">
        <v>1849</v>
      </c>
      <c r="C20" s="54"/>
      <c r="D20" s="54"/>
      <c r="E20" s="54"/>
      <c r="F20" s="54"/>
      <c r="G20" s="54"/>
      <c r="H20" s="54"/>
      <c r="I20" s="54"/>
      <c r="J20" s="54"/>
      <c r="K20" s="54"/>
    </row>
    <row r="21" spans="2:11" ht="26.1" customHeight="1">
      <c r="B21" s="51" t="s">
        <v>1850</v>
      </c>
      <c r="C21" s="54"/>
      <c r="D21" s="54"/>
      <c r="E21" s="54"/>
      <c r="F21" s="54"/>
      <c r="G21" s="54"/>
      <c r="H21" s="54"/>
      <c r="I21" s="54"/>
      <c r="J21" s="54"/>
      <c r="K21" s="54"/>
    </row>
    <row r="22" spans="2:11" ht="26.1" customHeight="1">
      <c r="B22" s="51" t="s">
        <v>1851</v>
      </c>
      <c r="C22" s="54"/>
      <c r="D22" s="54"/>
      <c r="E22" s="54"/>
      <c r="F22" s="54"/>
      <c r="G22" s="54"/>
      <c r="H22" s="54"/>
      <c r="I22" s="54"/>
      <c r="J22" s="54"/>
      <c r="K22" s="54"/>
    </row>
    <row r="23" spans="2:11" ht="26.1" customHeight="1">
      <c r="B23" s="51" t="s">
        <v>1852</v>
      </c>
      <c r="C23" s="54"/>
      <c r="D23" s="54"/>
      <c r="E23" s="54"/>
      <c r="F23" s="54"/>
      <c r="G23" s="54"/>
      <c r="H23" s="54"/>
      <c r="I23" s="54"/>
      <c r="J23" s="54"/>
      <c r="K23" s="54"/>
    </row>
    <row r="25" spans="2:11" ht="15.6" customHeight="1">
      <c r="B25" s="42" t="s">
        <v>1853</v>
      </c>
      <c r="C25" s="54"/>
      <c r="D25" s="54"/>
      <c r="E25" s="54"/>
      <c r="F25" s="54"/>
      <c r="G25" s="54"/>
      <c r="H25" s="54"/>
      <c r="I25" s="54"/>
      <c r="J25" s="54"/>
      <c r="K25" s="54"/>
    </row>
    <row r="26" spans="2:11" ht="14.1" customHeight="1">
      <c r="B26" s="51" t="s">
        <v>1854</v>
      </c>
      <c r="C26" s="54"/>
      <c r="D26" s="54"/>
      <c r="E26" s="54"/>
      <c r="F26" s="54"/>
      <c r="G26" s="54"/>
      <c r="H26" s="54"/>
      <c r="I26" s="54"/>
      <c r="J26" s="54"/>
      <c r="K26" s="54"/>
    </row>
    <row r="27" spans="2:11" ht="26.1" customHeight="1">
      <c r="B27" s="51" t="s">
        <v>1855</v>
      </c>
      <c r="C27" s="54"/>
      <c r="D27" s="54"/>
      <c r="E27" s="54"/>
      <c r="F27" s="54"/>
      <c r="G27" s="54"/>
      <c r="H27" s="54"/>
      <c r="I27" s="54"/>
      <c r="J27" s="54"/>
      <c r="K27" s="54"/>
    </row>
    <row r="28" spans="2:11" ht="14.1" customHeight="1">
      <c r="B28" s="51" t="s">
        <v>1856</v>
      </c>
      <c r="C28" s="54"/>
      <c r="D28" s="54"/>
      <c r="E28" s="54"/>
      <c r="F28" s="54"/>
      <c r="G28" s="54"/>
      <c r="H28" s="54"/>
      <c r="I28" s="54"/>
      <c r="J28" s="54"/>
      <c r="K28" s="54"/>
    </row>
    <row r="29" spans="2:11" ht="14.1" customHeight="1">
      <c r="B29" s="51" t="s">
        <v>1857</v>
      </c>
      <c r="C29" s="54"/>
      <c r="D29" s="54"/>
      <c r="E29" s="54"/>
      <c r="F29" s="54"/>
      <c r="G29" s="54"/>
      <c r="H29" s="54"/>
      <c r="I29" s="54"/>
      <c r="J29" s="54"/>
      <c r="K29" s="54"/>
    </row>
    <row r="30" spans="2:11" ht="14.1" customHeight="1">
      <c r="B30" s="51" t="s">
        <v>1858</v>
      </c>
      <c r="C30" s="54"/>
      <c r="D30" s="54"/>
      <c r="E30" s="54"/>
      <c r="F30" s="54"/>
      <c r="G30" s="54"/>
      <c r="H30" s="54"/>
      <c r="I30" s="54"/>
      <c r="J30" s="54"/>
      <c r="K30" s="54"/>
    </row>
    <row r="31" spans="2:11" ht="26.1" customHeight="1">
      <c r="B31" s="51" t="s">
        <v>1859</v>
      </c>
      <c r="C31" s="54"/>
      <c r="D31" s="54"/>
      <c r="E31" s="54"/>
      <c r="F31" s="54"/>
      <c r="G31" s="54"/>
      <c r="H31" s="54"/>
      <c r="I31" s="54"/>
      <c r="J31" s="54"/>
      <c r="K31" s="54"/>
    </row>
    <row r="33" spans="2:11" ht="15.6" customHeight="1">
      <c r="B33" s="42" t="s">
        <v>1860</v>
      </c>
      <c r="C33" s="54"/>
      <c r="D33" s="54"/>
      <c r="E33" s="54"/>
      <c r="F33" s="54"/>
      <c r="G33" s="54"/>
      <c r="H33" s="54"/>
      <c r="I33" s="54"/>
      <c r="J33" s="54"/>
      <c r="K33" s="54"/>
    </row>
    <row r="34" spans="2:11" ht="26.1" customHeight="1">
      <c r="B34" s="51" t="s">
        <v>1861</v>
      </c>
      <c r="C34" s="54"/>
      <c r="D34" s="54"/>
      <c r="E34" s="54"/>
      <c r="F34" s="54"/>
      <c r="G34" s="54"/>
      <c r="H34" s="54"/>
      <c r="I34" s="54"/>
      <c r="J34" s="54"/>
      <c r="K34" s="54"/>
    </row>
    <row r="35" spans="2:11" ht="14.1" customHeight="1">
      <c r="B35" s="51" t="s">
        <v>1862</v>
      </c>
      <c r="C35" s="54"/>
      <c r="D35" s="54"/>
      <c r="E35" s="54"/>
      <c r="F35" s="54"/>
      <c r="G35" s="54"/>
      <c r="H35" s="54"/>
      <c r="I35" s="54"/>
      <c r="J35" s="54"/>
      <c r="K35" s="54"/>
    </row>
    <row r="36" spans="2:11" ht="14.1" customHeight="1">
      <c r="B36" s="51" t="s">
        <v>1863</v>
      </c>
      <c r="C36" s="54"/>
      <c r="D36" s="54"/>
      <c r="E36" s="54"/>
      <c r="F36" s="54"/>
      <c r="G36" s="54"/>
      <c r="H36" s="54"/>
      <c r="I36" s="54"/>
      <c r="J36" s="54"/>
      <c r="K36" s="54"/>
    </row>
    <row r="37" spans="2:11" ht="14.1" customHeight="1">
      <c r="B37" s="51" t="s">
        <v>1864</v>
      </c>
      <c r="C37" s="54"/>
      <c r="D37" s="54"/>
      <c r="E37" s="54"/>
      <c r="F37" s="54"/>
      <c r="G37" s="54"/>
      <c r="H37" s="54"/>
      <c r="I37" s="54"/>
      <c r="J37" s="54"/>
      <c r="K37" s="54"/>
    </row>
    <row r="39" spans="2:11" ht="15.6" customHeight="1">
      <c r="B39" s="42" t="s">
        <v>1865</v>
      </c>
      <c r="C39" s="54"/>
      <c r="D39" s="54"/>
      <c r="E39" s="54"/>
      <c r="F39" s="54"/>
      <c r="G39" s="54"/>
      <c r="H39" s="54"/>
      <c r="I39" s="54"/>
      <c r="J39" s="54"/>
      <c r="K39" s="54"/>
    </row>
    <row r="40" spans="2:11" ht="26.1" customHeight="1">
      <c r="B40" s="51" t="s">
        <v>1866</v>
      </c>
      <c r="C40" s="54"/>
      <c r="D40" s="54"/>
      <c r="E40" s="54"/>
      <c r="F40" s="54"/>
      <c r="G40" s="54"/>
      <c r="H40" s="54"/>
      <c r="I40" s="54"/>
      <c r="J40" s="54"/>
      <c r="K40" s="54"/>
    </row>
    <row r="41" spans="2:11" ht="26.1" customHeight="1">
      <c r="B41" s="51" t="s">
        <v>1867</v>
      </c>
      <c r="C41" s="54"/>
      <c r="D41" s="54"/>
      <c r="E41" s="54"/>
      <c r="F41" s="54"/>
      <c r="G41" s="54"/>
      <c r="H41" s="54"/>
      <c r="I41" s="54"/>
      <c r="J41" s="54"/>
      <c r="K41" s="54"/>
    </row>
    <row r="43" spans="2:11" ht="15.6" customHeight="1">
      <c r="B43" s="42" t="s">
        <v>1868</v>
      </c>
      <c r="C43" s="54"/>
      <c r="D43" s="54"/>
      <c r="E43" s="54"/>
      <c r="F43" s="54"/>
      <c r="G43" s="54"/>
      <c r="H43" s="54"/>
      <c r="I43" s="54"/>
      <c r="J43" s="54"/>
      <c r="K43" s="54"/>
    </row>
    <row r="44" spans="2:11" ht="14.1" customHeight="1">
      <c r="B44" s="51" t="s">
        <v>1869</v>
      </c>
      <c r="C44" s="54"/>
      <c r="D44" s="54"/>
      <c r="E44" s="54"/>
      <c r="F44" s="54"/>
      <c r="G44" s="54"/>
      <c r="H44" s="54"/>
      <c r="I44" s="54"/>
      <c r="J44" s="54"/>
      <c r="K44" s="54"/>
    </row>
    <row r="46" spans="2:11" ht="15.6" customHeight="1">
      <c r="B46" s="42" t="s">
        <v>1870</v>
      </c>
      <c r="C46" s="54"/>
      <c r="D46" s="54"/>
      <c r="E46" s="54"/>
      <c r="F46" s="54"/>
      <c r="G46" s="54"/>
      <c r="H46" s="54"/>
      <c r="I46" s="54"/>
      <c r="J46" s="54"/>
      <c r="K46" s="54"/>
    </row>
    <row r="47" spans="2:11" ht="14.1" customHeight="1">
      <c r="B47" s="51" t="s">
        <v>1871</v>
      </c>
      <c r="C47" s="54"/>
      <c r="D47" s="54"/>
      <c r="E47" s="54"/>
      <c r="F47" s="54"/>
      <c r="G47" s="54"/>
      <c r="H47" s="54"/>
      <c r="I47" s="54"/>
      <c r="J47" s="54"/>
      <c r="K47" s="54"/>
    </row>
    <row r="48" spans="2:11" ht="26.1" customHeight="1">
      <c r="B48" s="51" t="s">
        <v>1872</v>
      </c>
      <c r="C48" s="54"/>
      <c r="D48" s="54"/>
      <c r="E48" s="54"/>
      <c r="F48" s="54"/>
      <c r="G48" s="54"/>
      <c r="H48" s="54"/>
      <c r="I48" s="54"/>
      <c r="J48" s="54"/>
      <c r="K48" s="54"/>
    </row>
    <row r="49" spans="2:11" ht="14.1" customHeight="1">
      <c r="B49" s="51" t="s">
        <v>1873</v>
      </c>
      <c r="C49" s="54"/>
      <c r="D49" s="54"/>
      <c r="E49" s="54"/>
      <c r="F49" s="54"/>
      <c r="G49" s="54"/>
      <c r="H49" s="54"/>
      <c r="I49" s="54"/>
      <c r="J49" s="54"/>
      <c r="K49" s="54"/>
    </row>
    <row r="50" spans="2:11" ht="26.1" customHeight="1">
      <c r="B50" s="51" t="s">
        <v>1874</v>
      </c>
      <c r="C50" s="54"/>
      <c r="D50" s="54"/>
      <c r="E50" s="54"/>
      <c r="F50" s="54"/>
      <c r="G50" s="54"/>
      <c r="H50" s="54"/>
      <c r="I50" s="54"/>
      <c r="J50" s="54"/>
      <c r="K50" s="54"/>
    </row>
    <row r="51" spans="2:11" ht="26.1" customHeight="1">
      <c r="B51" s="51" t="s">
        <v>1875</v>
      </c>
      <c r="C51" s="54"/>
      <c r="D51" s="54"/>
      <c r="E51" s="54"/>
      <c r="F51" s="54"/>
      <c r="G51" s="54"/>
      <c r="H51" s="54"/>
      <c r="I51" s="54"/>
      <c r="J51" s="54"/>
      <c r="K51" s="54"/>
    </row>
    <row r="53" spans="2:11">
      <c r="B53" s="4" t="s">
        <v>1876</v>
      </c>
    </row>
  </sheetData>
  <mergeCells count="40">
    <mergeCell ref="B5:K5"/>
    <mergeCell ref="B41:K41"/>
    <mergeCell ref="B4:K4"/>
    <mergeCell ref="B50:K50"/>
    <mergeCell ref="B26:K26"/>
    <mergeCell ref="B35:K35"/>
    <mergeCell ref="B7:K7"/>
    <mergeCell ref="B25:K25"/>
    <mergeCell ref="B47:K47"/>
    <mergeCell ref="B16:K16"/>
    <mergeCell ref="B31:K31"/>
    <mergeCell ref="B46:K46"/>
    <mergeCell ref="B22:K22"/>
    <mergeCell ref="B27:K27"/>
    <mergeCell ref="B21:K21"/>
    <mergeCell ref="B43:K43"/>
    <mergeCell ref="B6:K6"/>
    <mergeCell ref="B51:K51"/>
    <mergeCell ref="B20:K20"/>
    <mergeCell ref="B33:K33"/>
    <mergeCell ref="B36:K36"/>
    <mergeCell ref="B12:K12"/>
    <mergeCell ref="B39:K39"/>
    <mergeCell ref="B48:K48"/>
    <mergeCell ref="B11:K11"/>
    <mergeCell ref="B23:K23"/>
    <mergeCell ref="B14:K14"/>
    <mergeCell ref="B17:K17"/>
    <mergeCell ref="B44:K44"/>
    <mergeCell ref="B29:K29"/>
    <mergeCell ref="B34:K34"/>
    <mergeCell ref="B10:K10"/>
    <mergeCell ref="B49:K49"/>
    <mergeCell ref="B40:K40"/>
    <mergeCell ref="B9:K9"/>
    <mergeCell ref="B30:K30"/>
    <mergeCell ref="B15:K15"/>
    <mergeCell ref="B28:K28"/>
    <mergeCell ref="B19:K19"/>
    <mergeCell ref="B37:K37"/>
  </mergeCells>
  <hyperlinks>
    <hyperlink ref="A1" location="'00_Painel'!A1" display="← Painel" xr:uid="{00000000-0004-0000-0900-000000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48235"/>
  </sheetPr>
  <dimension ref="A1:H335"/>
  <sheetViews>
    <sheetView workbookViewId="0">
      <pane ySplit="4" topLeftCell="A71" activePane="bottomLeft" state="frozen"/>
      <selection pane="bottomLeft" activeCell="C87" sqref="C87"/>
    </sheetView>
  </sheetViews>
  <sheetFormatPr defaultRowHeight="14.45"/>
  <cols>
    <col min="1" max="1" width="9" customWidth="1"/>
    <col min="2" max="2" width="46" customWidth="1"/>
    <col min="3" max="4" width="30" customWidth="1"/>
    <col min="5" max="5" width="22" customWidth="1"/>
    <col min="6" max="6" width="12" customWidth="1"/>
    <col min="7" max="7" width="50" customWidth="1"/>
    <col min="8" max="8" width="30" customWidth="1"/>
  </cols>
  <sheetData>
    <row r="1" spans="1:8">
      <c r="A1" s="3" t="s">
        <v>27</v>
      </c>
    </row>
    <row r="2" spans="1:8" ht="23.45" customHeight="1">
      <c r="B2" s="1" t="s">
        <v>1877</v>
      </c>
    </row>
    <row r="3" spans="1:8">
      <c r="B3" s="2" t="s">
        <v>1878</v>
      </c>
    </row>
    <row r="4" spans="1:8" ht="26.1" customHeight="1">
      <c r="A4" s="11" t="s">
        <v>90</v>
      </c>
      <c r="B4" s="11" t="s">
        <v>92</v>
      </c>
      <c r="C4" s="11" t="s">
        <v>24</v>
      </c>
      <c r="D4" s="11" t="s">
        <v>98</v>
      </c>
      <c r="E4" s="11" t="s">
        <v>99</v>
      </c>
      <c r="F4" s="11" t="s">
        <v>101</v>
      </c>
      <c r="G4" s="11" t="s">
        <v>1879</v>
      </c>
      <c r="H4" s="11" t="s">
        <v>1880</v>
      </c>
    </row>
    <row r="5" spans="1:8">
      <c r="A5" s="6" t="s">
        <v>122</v>
      </c>
      <c r="B5" s="6" t="s">
        <v>124</v>
      </c>
      <c r="C5" s="6" t="s">
        <v>76</v>
      </c>
      <c r="D5" s="6" t="s">
        <v>127</v>
      </c>
      <c r="E5" s="6" t="s">
        <v>128</v>
      </c>
      <c r="F5" s="6"/>
      <c r="G5" s="6" t="s">
        <v>1881</v>
      </c>
      <c r="H5" s="6" t="s">
        <v>129</v>
      </c>
    </row>
    <row r="6" spans="1:8">
      <c r="A6" s="27" t="s">
        <v>133</v>
      </c>
      <c r="B6" s="27" t="s">
        <v>134</v>
      </c>
      <c r="C6" s="27" t="s">
        <v>76</v>
      </c>
      <c r="D6" s="27" t="s">
        <v>127</v>
      </c>
      <c r="E6" s="27"/>
      <c r="F6" s="27"/>
      <c r="G6" s="27"/>
      <c r="H6" s="27" t="s">
        <v>129</v>
      </c>
    </row>
    <row r="7" spans="1:8" ht="15.6" customHeight="1">
      <c r="A7" s="6" t="s">
        <v>136</v>
      </c>
      <c r="B7" s="6" t="s">
        <v>137</v>
      </c>
      <c r="C7" s="6" t="s">
        <v>76</v>
      </c>
      <c r="D7" s="6" t="s">
        <v>1882</v>
      </c>
      <c r="E7" s="6" t="s">
        <v>139</v>
      </c>
      <c r="F7" s="6"/>
      <c r="G7" s="41" t="s">
        <v>1883</v>
      </c>
      <c r="H7" s="6" t="s">
        <v>1884</v>
      </c>
    </row>
    <row r="8" spans="1:8">
      <c r="A8" s="27" t="s">
        <v>142</v>
      </c>
      <c r="B8" s="27" t="s">
        <v>143</v>
      </c>
      <c r="C8" s="27" t="s">
        <v>76</v>
      </c>
      <c r="D8" s="27" t="s">
        <v>127</v>
      </c>
      <c r="E8" s="27" t="s">
        <v>144</v>
      </c>
      <c r="F8" s="27"/>
      <c r="G8" s="27" t="s">
        <v>1881</v>
      </c>
      <c r="H8" s="27" t="s">
        <v>129</v>
      </c>
    </row>
    <row r="9" spans="1:8">
      <c r="A9" s="6" t="s">
        <v>145</v>
      </c>
      <c r="B9" s="6" t="s">
        <v>146</v>
      </c>
      <c r="C9" s="6" t="s">
        <v>76</v>
      </c>
      <c r="D9" s="6" t="s">
        <v>127</v>
      </c>
      <c r="E9" s="6" t="s">
        <v>147</v>
      </c>
      <c r="F9" s="6"/>
      <c r="G9" s="6" t="s">
        <v>1881</v>
      </c>
      <c r="H9" s="6" t="s">
        <v>129</v>
      </c>
    </row>
    <row r="10" spans="1:8">
      <c r="A10" s="27" t="s">
        <v>148</v>
      </c>
      <c r="B10" s="27" t="s">
        <v>149</v>
      </c>
      <c r="C10" s="27" t="s">
        <v>76</v>
      </c>
      <c r="D10" s="27" t="s">
        <v>150</v>
      </c>
      <c r="E10" s="27" t="s">
        <v>151</v>
      </c>
      <c r="F10" s="27"/>
      <c r="G10" s="27" t="s">
        <v>1885</v>
      </c>
      <c r="H10" s="27" t="s">
        <v>150</v>
      </c>
    </row>
    <row r="11" spans="1:8">
      <c r="A11" s="6" t="s">
        <v>154</v>
      </c>
      <c r="B11" s="6" t="s">
        <v>156</v>
      </c>
      <c r="C11" s="6" t="s">
        <v>76</v>
      </c>
      <c r="D11" s="6" t="s">
        <v>159</v>
      </c>
      <c r="E11" s="6" t="s">
        <v>160</v>
      </c>
      <c r="F11" s="6"/>
      <c r="G11" s="6" t="s">
        <v>1886</v>
      </c>
      <c r="H11" s="6" t="s">
        <v>161</v>
      </c>
    </row>
    <row r="12" spans="1:8">
      <c r="A12" s="27" t="s">
        <v>163</v>
      </c>
      <c r="B12" s="27" t="s">
        <v>164</v>
      </c>
      <c r="C12" s="27" t="s">
        <v>76</v>
      </c>
      <c r="D12" s="27" t="s">
        <v>159</v>
      </c>
      <c r="E12" s="27" t="s">
        <v>165</v>
      </c>
      <c r="F12" s="27"/>
      <c r="G12" s="27" t="s">
        <v>1887</v>
      </c>
      <c r="H12" s="27" t="s">
        <v>161</v>
      </c>
    </row>
    <row r="13" spans="1:8">
      <c r="A13" s="6" t="s">
        <v>167</v>
      </c>
      <c r="B13" s="6" t="s">
        <v>168</v>
      </c>
      <c r="C13" s="6" t="s">
        <v>76</v>
      </c>
      <c r="D13" s="6" t="s">
        <v>169</v>
      </c>
      <c r="E13" s="6" t="s">
        <v>170</v>
      </c>
      <c r="F13" s="6"/>
      <c r="G13" s="6" t="s">
        <v>1881</v>
      </c>
      <c r="H13" s="6" t="s">
        <v>129</v>
      </c>
    </row>
    <row r="14" spans="1:8">
      <c r="A14" s="27" t="s">
        <v>172</v>
      </c>
      <c r="B14" s="27" t="s">
        <v>173</v>
      </c>
      <c r="C14" s="27" t="s">
        <v>76</v>
      </c>
      <c r="D14" s="27" t="s">
        <v>169</v>
      </c>
      <c r="E14" s="27" t="s">
        <v>174</v>
      </c>
      <c r="F14" s="27"/>
      <c r="G14" s="27" t="s">
        <v>1881</v>
      </c>
      <c r="H14" s="27" t="s">
        <v>129</v>
      </c>
    </row>
    <row r="15" spans="1:8">
      <c r="A15" s="6" t="s">
        <v>177</v>
      </c>
      <c r="B15" s="6" t="s">
        <v>178</v>
      </c>
      <c r="C15" s="6" t="s">
        <v>76</v>
      </c>
      <c r="D15" s="6" t="s">
        <v>169</v>
      </c>
      <c r="E15" s="6" t="s">
        <v>179</v>
      </c>
      <c r="F15" s="6"/>
      <c r="G15" s="6" t="s">
        <v>1881</v>
      </c>
      <c r="H15" s="6" t="s">
        <v>129</v>
      </c>
    </row>
    <row r="16" spans="1:8">
      <c r="A16" s="27" t="s">
        <v>182</v>
      </c>
      <c r="B16" s="27" t="s">
        <v>183</v>
      </c>
      <c r="C16" s="27" t="s">
        <v>76</v>
      </c>
      <c r="D16" s="27" t="s">
        <v>150</v>
      </c>
      <c r="E16" s="27" t="s">
        <v>184</v>
      </c>
      <c r="F16" s="27"/>
      <c r="G16" s="27" t="s">
        <v>1885</v>
      </c>
      <c r="H16" s="27" t="s">
        <v>150</v>
      </c>
    </row>
    <row r="17" spans="1:8">
      <c r="A17" s="6" t="s">
        <v>187</v>
      </c>
      <c r="B17" s="6" t="s">
        <v>188</v>
      </c>
      <c r="C17" s="6" t="s">
        <v>76</v>
      </c>
      <c r="D17" s="6" t="s">
        <v>189</v>
      </c>
      <c r="E17" s="6" t="s">
        <v>190</v>
      </c>
      <c r="F17" s="6"/>
      <c r="G17" s="6" t="s">
        <v>1888</v>
      </c>
      <c r="H17" s="6" t="s">
        <v>189</v>
      </c>
    </row>
    <row r="18" spans="1:8">
      <c r="A18" s="27" t="s">
        <v>192</v>
      </c>
      <c r="B18" s="27" t="s">
        <v>193</v>
      </c>
      <c r="C18" s="27" t="s">
        <v>76</v>
      </c>
      <c r="D18" s="27" t="s">
        <v>194</v>
      </c>
      <c r="E18" s="27"/>
      <c r="F18" s="27"/>
      <c r="G18" s="27" t="s">
        <v>1889</v>
      </c>
      <c r="H18" s="27" t="s">
        <v>129</v>
      </c>
    </row>
    <row r="19" spans="1:8">
      <c r="A19" s="6" t="s">
        <v>196</v>
      </c>
      <c r="B19" s="6" t="s">
        <v>197</v>
      </c>
      <c r="C19" s="6" t="s">
        <v>76</v>
      </c>
      <c r="D19" s="6" t="s">
        <v>127</v>
      </c>
      <c r="E19" s="6" t="s">
        <v>198</v>
      </c>
      <c r="F19" s="6"/>
      <c r="G19" s="6" t="s">
        <v>1890</v>
      </c>
      <c r="H19" s="6" t="s">
        <v>161</v>
      </c>
    </row>
    <row r="20" spans="1:8">
      <c r="A20" s="27" t="s">
        <v>200</v>
      </c>
      <c r="B20" s="27" t="s">
        <v>202</v>
      </c>
      <c r="C20" s="27" t="s">
        <v>76</v>
      </c>
      <c r="D20" s="27" t="s">
        <v>204</v>
      </c>
      <c r="E20" s="27" t="s">
        <v>205</v>
      </c>
      <c r="F20" s="27"/>
      <c r="G20" s="27" t="s">
        <v>1891</v>
      </c>
      <c r="H20" s="27" t="s">
        <v>161</v>
      </c>
    </row>
    <row r="21" spans="1:8">
      <c r="A21" s="6" t="s">
        <v>207</v>
      </c>
      <c r="B21" s="6" t="s">
        <v>208</v>
      </c>
      <c r="C21" s="6" t="s">
        <v>76</v>
      </c>
      <c r="D21" s="6" t="s">
        <v>204</v>
      </c>
      <c r="E21" s="6" t="s">
        <v>209</v>
      </c>
      <c r="F21" s="6"/>
      <c r="G21" s="6" t="s">
        <v>1892</v>
      </c>
      <c r="H21" s="6" t="s">
        <v>161</v>
      </c>
    </row>
    <row r="22" spans="1:8">
      <c r="A22" s="27" t="s">
        <v>211</v>
      </c>
      <c r="B22" s="27" t="s">
        <v>212</v>
      </c>
      <c r="C22" s="27" t="s">
        <v>76</v>
      </c>
      <c r="D22" s="27" t="s">
        <v>204</v>
      </c>
      <c r="E22" s="27" t="s">
        <v>213</v>
      </c>
      <c r="F22" s="27"/>
      <c r="G22" s="27" t="s">
        <v>1893</v>
      </c>
      <c r="H22" s="27" t="s">
        <v>161</v>
      </c>
    </row>
    <row r="23" spans="1:8">
      <c r="A23" s="6" t="s">
        <v>215</v>
      </c>
      <c r="B23" s="6" t="s">
        <v>216</v>
      </c>
      <c r="C23" s="6" t="s">
        <v>76</v>
      </c>
      <c r="D23" s="6" t="s">
        <v>204</v>
      </c>
      <c r="E23" s="6" t="s">
        <v>217</v>
      </c>
      <c r="F23" s="6"/>
      <c r="G23" s="6" t="s">
        <v>1894</v>
      </c>
      <c r="H23" s="6" t="s">
        <v>161</v>
      </c>
    </row>
    <row r="24" spans="1:8">
      <c r="A24" s="27" t="s">
        <v>219</v>
      </c>
      <c r="B24" s="27" t="s">
        <v>221</v>
      </c>
      <c r="C24" s="27" t="s">
        <v>76</v>
      </c>
      <c r="D24" s="27" t="s">
        <v>204</v>
      </c>
      <c r="E24" s="27" t="s">
        <v>222</v>
      </c>
      <c r="F24" s="27"/>
      <c r="G24" s="27" t="s">
        <v>1895</v>
      </c>
      <c r="H24" s="27" t="s">
        <v>161</v>
      </c>
    </row>
    <row r="25" spans="1:8">
      <c r="A25" s="6" t="s">
        <v>224</v>
      </c>
      <c r="B25" s="6" t="s">
        <v>226</v>
      </c>
      <c r="C25" s="6" t="s">
        <v>76</v>
      </c>
      <c r="D25" s="6" t="s">
        <v>204</v>
      </c>
      <c r="E25" s="6" t="s">
        <v>227</v>
      </c>
      <c r="F25" s="6"/>
      <c r="G25" s="6" t="s">
        <v>1896</v>
      </c>
      <c r="H25" s="6" t="s">
        <v>161</v>
      </c>
    </row>
    <row r="26" spans="1:8">
      <c r="A26" s="27" t="s">
        <v>229</v>
      </c>
      <c r="B26" s="27" t="s">
        <v>231</v>
      </c>
      <c r="C26" s="27" t="s">
        <v>76</v>
      </c>
      <c r="D26" s="27" t="s">
        <v>204</v>
      </c>
      <c r="E26" s="27" t="s">
        <v>233</v>
      </c>
      <c r="F26" s="27"/>
      <c r="G26" s="27" t="s">
        <v>1897</v>
      </c>
      <c r="H26" s="27" t="s">
        <v>161</v>
      </c>
    </row>
    <row r="27" spans="1:8">
      <c r="A27" s="6" t="s">
        <v>235</v>
      </c>
      <c r="B27" s="6" t="s">
        <v>236</v>
      </c>
      <c r="C27" s="6" t="s">
        <v>76</v>
      </c>
      <c r="D27" s="6" t="s">
        <v>204</v>
      </c>
      <c r="E27" s="6" t="s">
        <v>238</v>
      </c>
      <c r="F27" s="6"/>
      <c r="G27" s="6" t="s">
        <v>1898</v>
      </c>
      <c r="H27" s="6" t="s">
        <v>161</v>
      </c>
    </row>
    <row r="28" spans="1:8">
      <c r="A28" s="27" t="s">
        <v>240</v>
      </c>
      <c r="B28" s="27" t="s">
        <v>242</v>
      </c>
      <c r="C28" s="27" t="s">
        <v>76</v>
      </c>
      <c r="D28" s="27" t="s">
        <v>150</v>
      </c>
      <c r="E28" s="27" t="s">
        <v>243</v>
      </c>
      <c r="F28" s="27"/>
      <c r="G28" s="27" t="s">
        <v>1885</v>
      </c>
      <c r="H28" s="27" t="s">
        <v>150</v>
      </c>
    </row>
    <row r="29" spans="1:8">
      <c r="A29" s="6" t="s">
        <v>245</v>
      </c>
      <c r="B29" s="6" t="s">
        <v>246</v>
      </c>
      <c r="C29" s="6" t="s">
        <v>76</v>
      </c>
      <c r="D29" s="6" t="s">
        <v>150</v>
      </c>
      <c r="E29" s="6" t="s">
        <v>184</v>
      </c>
      <c r="F29" s="6"/>
      <c r="G29" s="6" t="s">
        <v>1885</v>
      </c>
      <c r="H29" s="6" t="s">
        <v>150</v>
      </c>
    </row>
    <row r="30" spans="1:8">
      <c r="A30" s="27" t="s">
        <v>248</v>
      </c>
      <c r="B30" s="27" t="s">
        <v>250</v>
      </c>
      <c r="C30" s="27" t="s">
        <v>76</v>
      </c>
      <c r="D30" s="27" t="s">
        <v>252</v>
      </c>
      <c r="E30" s="27" t="s">
        <v>253</v>
      </c>
      <c r="F30" s="27"/>
      <c r="G30" s="27" t="s">
        <v>1899</v>
      </c>
      <c r="H30" s="27" t="s">
        <v>254</v>
      </c>
    </row>
    <row r="31" spans="1:8">
      <c r="A31" s="6" t="s">
        <v>256</v>
      </c>
      <c r="B31" s="6" t="s">
        <v>258</v>
      </c>
      <c r="C31" s="6" t="s">
        <v>76</v>
      </c>
      <c r="D31" s="6" t="s">
        <v>260</v>
      </c>
      <c r="E31" s="6" t="s">
        <v>261</v>
      </c>
      <c r="F31" s="6"/>
      <c r="G31" s="6" t="s">
        <v>1900</v>
      </c>
      <c r="H31" s="6" t="s">
        <v>254</v>
      </c>
    </row>
    <row r="32" spans="1:8">
      <c r="A32" s="27" t="s">
        <v>263</v>
      </c>
      <c r="B32" s="27" t="s">
        <v>265</v>
      </c>
      <c r="C32" s="27" t="s">
        <v>76</v>
      </c>
      <c r="D32" s="27" t="s">
        <v>266</v>
      </c>
      <c r="E32" s="27" t="s">
        <v>267</v>
      </c>
      <c r="F32" s="27"/>
      <c r="G32" s="27" t="s">
        <v>1901</v>
      </c>
      <c r="H32" s="27" t="s">
        <v>254</v>
      </c>
    </row>
    <row r="33" spans="1:8" ht="15.6" customHeight="1">
      <c r="A33" s="6" t="s">
        <v>270</v>
      </c>
      <c r="B33" s="6" t="s">
        <v>272</v>
      </c>
      <c r="C33" s="6" t="s">
        <v>77</v>
      </c>
      <c r="D33" s="6" t="s">
        <v>273</v>
      </c>
      <c r="E33" s="6" t="s">
        <v>274</v>
      </c>
      <c r="F33" s="6" t="s">
        <v>1902</v>
      </c>
      <c r="G33" s="41" t="s">
        <v>1903</v>
      </c>
      <c r="H33" s="6" t="s">
        <v>161</v>
      </c>
    </row>
    <row r="34" spans="1:8" ht="15.6" customHeight="1">
      <c r="A34" s="27" t="s">
        <v>277</v>
      </c>
      <c r="B34" s="27" t="s">
        <v>278</v>
      </c>
      <c r="C34" s="27" t="s">
        <v>77</v>
      </c>
      <c r="D34" s="27" t="s">
        <v>273</v>
      </c>
      <c r="E34" s="27" t="s">
        <v>280</v>
      </c>
      <c r="F34" s="27" t="s">
        <v>1902</v>
      </c>
      <c r="G34" s="41" t="s">
        <v>1904</v>
      </c>
      <c r="H34" s="27" t="s">
        <v>161</v>
      </c>
    </row>
    <row r="35" spans="1:8" ht="15.6" customHeight="1">
      <c r="A35" s="6" t="s">
        <v>283</v>
      </c>
      <c r="B35" s="6" t="s">
        <v>284</v>
      </c>
      <c r="C35" s="6" t="s">
        <v>77</v>
      </c>
      <c r="D35" s="6" t="s">
        <v>285</v>
      </c>
      <c r="E35" s="6" t="s">
        <v>286</v>
      </c>
      <c r="F35" s="6" t="s">
        <v>1902</v>
      </c>
      <c r="G35" s="41" t="s">
        <v>1905</v>
      </c>
      <c r="H35" s="6" t="s">
        <v>161</v>
      </c>
    </row>
    <row r="36" spans="1:8">
      <c r="A36" s="27" t="s">
        <v>289</v>
      </c>
      <c r="B36" s="27" t="s">
        <v>290</v>
      </c>
      <c r="C36" s="27" t="s">
        <v>77</v>
      </c>
      <c r="D36" s="27" t="s">
        <v>291</v>
      </c>
      <c r="E36" s="27" t="s">
        <v>292</v>
      </c>
      <c r="F36" s="27" t="s">
        <v>1902</v>
      </c>
      <c r="G36" s="27" t="s">
        <v>1906</v>
      </c>
      <c r="H36" s="27" t="s">
        <v>129</v>
      </c>
    </row>
    <row r="37" spans="1:8">
      <c r="A37" s="6" t="s">
        <v>294</v>
      </c>
      <c r="B37" s="6" t="s">
        <v>295</v>
      </c>
      <c r="C37" s="6" t="s">
        <v>77</v>
      </c>
      <c r="D37" s="6" t="s">
        <v>291</v>
      </c>
      <c r="E37" s="6" t="s">
        <v>296</v>
      </c>
      <c r="F37" s="6" t="s">
        <v>1902</v>
      </c>
      <c r="G37" s="6" t="s">
        <v>1907</v>
      </c>
      <c r="H37" s="6" t="s">
        <v>129</v>
      </c>
    </row>
    <row r="38" spans="1:8">
      <c r="A38" s="27" t="s">
        <v>298</v>
      </c>
      <c r="B38" s="27" t="s">
        <v>299</v>
      </c>
      <c r="C38" s="27" t="s">
        <v>77</v>
      </c>
      <c r="D38" s="27" t="s">
        <v>300</v>
      </c>
      <c r="E38" s="27"/>
      <c r="F38" s="27" t="s">
        <v>1902</v>
      </c>
      <c r="G38" s="27" t="s">
        <v>1908</v>
      </c>
      <c r="H38" s="27" t="s">
        <v>129</v>
      </c>
    </row>
    <row r="39" spans="1:8" ht="15.6" customHeight="1">
      <c r="A39" s="6" t="s">
        <v>301</v>
      </c>
      <c r="B39" s="6" t="s">
        <v>302</v>
      </c>
      <c r="C39" s="6" t="s">
        <v>77</v>
      </c>
      <c r="D39" s="6" t="s">
        <v>304</v>
      </c>
      <c r="E39" s="6" t="s">
        <v>305</v>
      </c>
      <c r="F39" s="6" t="s">
        <v>1902</v>
      </c>
      <c r="G39" s="41" t="s">
        <v>1909</v>
      </c>
      <c r="H39" s="6" t="s">
        <v>161</v>
      </c>
    </row>
    <row r="40" spans="1:8" ht="15.6" customHeight="1">
      <c r="A40" s="27" t="s">
        <v>308</v>
      </c>
      <c r="B40" s="27" t="s">
        <v>309</v>
      </c>
      <c r="C40" s="27" t="s">
        <v>77</v>
      </c>
      <c r="D40" s="27" t="s">
        <v>310</v>
      </c>
      <c r="E40" s="27" t="s">
        <v>311</v>
      </c>
      <c r="F40" s="27" t="s">
        <v>1902</v>
      </c>
      <c r="G40" s="41" t="s">
        <v>1910</v>
      </c>
      <c r="H40" s="27" t="s">
        <v>1911</v>
      </c>
    </row>
    <row r="41" spans="1:8">
      <c r="A41" s="6" t="s">
        <v>313</v>
      </c>
      <c r="B41" s="6" t="s">
        <v>315</v>
      </c>
      <c r="C41" s="6" t="s">
        <v>77</v>
      </c>
      <c r="D41" s="6" t="s">
        <v>317</v>
      </c>
      <c r="E41" s="6" t="s">
        <v>318</v>
      </c>
      <c r="F41" s="6" t="s">
        <v>1902</v>
      </c>
      <c r="G41" s="6" t="s">
        <v>1908</v>
      </c>
      <c r="H41" s="6" t="s">
        <v>317</v>
      </c>
    </row>
    <row r="42" spans="1:8">
      <c r="A42" s="27" t="s">
        <v>320</v>
      </c>
      <c r="B42" s="27" t="s">
        <v>322</v>
      </c>
      <c r="C42" s="27" t="s">
        <v>77</v>
      </c>
      <c r="D42" s="27" t="s">
        <v>323</v>
      </c>
      <c r="E42" s="27" t="s">
        <v>324</v>
      </c>
      <c r="F42" s="27" t="s">
        <v>1902</v>
      </c>
      <c r="G42" s="27" t="s">
        <v>1908</v>
      </c>
      <c r="H42" s="27" t="s">
        <v>323</v>
      </c>
    </row>
    <row r="43" spans="1:8" ht="15.6" customHeight="1">
      <c r="A43" s="6" t="s">
        <v>326</v>
      </c>
      <c r="B43" s="6" t="s">
        <v>328</v>
      </c>
      <c r="C43" s="6" t="s">
        <v>77</v>
      </c>
      <c r="D43" s="6" t="s">
        <v>310</v>
      </c>
      <c r="E43" s="6" t="s">
        <v>1912</v>
      </c>
      <c r="F43" s="6" t="s">
        <v>1902</v>
      </c>
      <c r="G43" s="41" t="s">
        <v>1910</v>
      </c>
      <c r="H43" s="6" t="s">
        <v>1911</v>
      </c>
    </row>
    <row r="44" spans="1:8">
      <c r="A44" s="27" t="s">
        <v>332</v>
      </c>
      <c r="B44" s="27" t="s">
        <v>333</v>
      </c>
      <c r="C44" s="27" t="s">
        <v>77</v>
      </c>
      <c r="D44" s="27" t="s">
        <v>335</v>
      </c>
      <c r="E44" s="27" t="s">
        <v>336</v>
      </c>
      <c r="F44" s="27" t="s">
        <v>1902</v>
      </c>
      <c r="G44" s="27" t="s">
        <v>1913</v>
      </c>
      <c r="H44" s="27" t="s">
        <v>335</v>
      </c>
    </row>
    <row r="45" spans="1:8">
      <c r="A45" s="6" t="s">
        <v>339</v>
      </c>
      <c r="B45" s="6" t="s">
        <v>341</v>
      </c>
      <c r="C45" s="6" t="s">
        <v>77</v>
      </c>
      <c r="D45" s="6" t="s">
        <v>329</v>
      </c>
      <c r="E45" s="6" t="s">
        <v>342</v>
      </c>
      <c r="F45" s="6" t="s">
        <v>1902</v>
      </c>
      <c r="G45" s="6" t="s">
        <v>1914</v>
      </c>
      <c r="H45" s="6" t="s">
        <v>329</v>
      </c>
    </row>
    <row r="46" spans="1:8">
      <c r="A46" s="27" t="s">
        <v>345</v>
      </c>
      <c r="B46" s="27" t="s">
        <v>347</v>
      </c>
      <c r="C46" s="27" t="s">
        <v>77</v>
      </c>
      <c r="D46" s="27" t="s">
        <v>335</v>
      </c>
      <c r="E46" s="27" t="s">
        <v>348</v>
      </c>
      <c r="F46" s="27" t="s">
        <v>1902</v>
      </c>
      <c r="G46" s="27" t="s">
        <v>1915</v>
      </c>
      <c r="H46" s="27" t="s">
        <v>335</v>
      </c>
    </row>
    <row r="47" spans="1:8">
      <c r="A47" s="6" t="s">
        <v>351</v>
      </c>
      <c r="B47" s="6" t="s">
        <v>352</v>
      </c>
      <c r="C47" s="6" t="s">
        <v>77</v>
      </c>
      <c r="D47" s="6" t="s">
        <v>335</v>
      </c>
      <c r="E47" s="6" t="s">
        <v>353</v>
      </c>
      <c r="F47" s="6" t="s">
        <v>1902</v>
      </c>
      <c r="G47" s="6" t="s">
        <v>1916</v>
      </c>
      <c r="H47" s="6" t="s">
        <v>335</v>
      </c>
    </row>
    <row r="48" spans="1:8">
      <c r="A48" s="27" t="s">
        <v>356</v>
      </c>
      <c r="B48" s="27" t="s">
        <v>357</v>
      </c>
      <c r="C48" s="27" t="s">
        <v>77</v>
      </c>
      <c r="D48" s="27" t="s">
        <v>335</v>
      </c>
      <c r="E48" s="27" t="s">
        <v>359</v>
      </c>
      <c r="F48" s="27" t="s">
        <v>1902</v>
      </c>
      <c r="G48" s="27" t="s">
        <v>1917</v>
      </c>
      <c r="H48" s="27" t="s">
        <v>335</v>
      </c>
    </row>
    <row r="49" spans="1:8" ht="15.6" customHeight="1">
      <c r="A49" s="6" t="s">
        <v>361</v>
      </c>
      <c r="B49" s="6" t="s">
        <v>362</v>
      </c>
      <c r="C49" s="6" t="s">
        <v>77</v>
      </c>
      <c r="D49" s="6" t="s">
        <v>204</v>
      </c>
      <c r="E49" s="6" t="s">
        <v>363</v>
      </c>
      <c r="F49" s="6"/>
      <c r="G49" s="41" t="s">
        <v>1918</v>
      </c>
      <c r="H49" s="6" t="s">
        <v>161</v>
      </c>
    </row>
    <row r="50" spans="1:8" ht="15.6" customHeight="1">
      <c r="A50" s="27" t="s">
        <v>365</v>
      </c>
      <c r="B50" s="27" t="s">
        <v>366</v>
      </c>
      <c r="C50" s="27" t="s">
        <v>77</v>
      </c>
      <c r="D50" s="27" t="s">
        <v>204</v>
      </c>
      <c r="E50" s="27" t="s">
        <v>367</v>
      </c>
      <c r="F50" s="27"/>
      <c r="G50" s="41" t="s">
        <v>1919</v>
      </c>
      <c r="H50" s="27" t="s">
        <v>161</v>
      </c>
    </row>
    <row r="51" spans="1:8" ht="15.6" customHeight="1">
      <c r="A51" s="6" t="s">
        <v>370</v>
      </c>
      <c r="B51" s="6" t="s">
        <v>371</v>
      </c>
      <c r="C51" s="6" t="s">
        <v>77</v>
      </c>
      <c r="D51" s="6" t="s">
        <v>204</v>
      </c>
      <c r="E51" s="6" t="s">
        <v>372</v>
      </c>
      <c r="F51" s="6"/>
      <c r="G51" s="41" t="s">
        <v>1920</v>
      </c>
      <c r="H51" s="6" t="s">
        <v>161</v>
      </c>
    </row>
    <row r="52" spans="1:8">
      <c r="A52" s="27" t="s">
        <v>374</v>
      </c>
      <c r="B52" s="27" t="s">
        <v>375</v>
      </c>
      <c r="C52" s="27" t="s">
        <v>77</v>
      </c>
      <c r="D52" s="27" t="s">
        <v>204</v>
      </c>
      <c r="E52" s="27" t="s">
        <v>376</v>
      </c>
      <c r="F52" s="27"/>
      <c r="G52" s="27" t="s">
        <v>1921</v>
      </c>
      <c r="H52" s="27" t="s">
        <v>161</v>
      </c>
    </row>
    <row r="53" spans="1:8">
      <c r="A53" s="6" t="s">
        <v>379</v>
      </c>
      <c r="B53" s="6" t="s">
        <v>380</v>
      </c>
      <c r="C53" s="6" t="s">
        <v>77</v>
      </c>
      <c r="D53" s="6" t="s">
        <v>381</v>
      </c>
      <c r="E53" s="6" t="s">
        <v>382</v>
      </c>
      <c r="F53" s="6"/>
      <c r="G53" s="6" t="s">
        <v>1922</v>
      </c>
      <c r="H53" s="6" t="s">
        <v>383</v>
      </c>
    </row>
    <row r="54" spans="1:8">
      <c r="A54" s="27" t="s">
        <v>385</v>
      </c>
      <c r="B54" s="27" t="s">
        <v>386</v>
      </c>
      <c r="C54" s="27" t="s">
        <v>77</v>
      </c>
      <c r="D54" s="27" t="s">
        <v>381</v>
      </c>
      <c r="E54" s="27" t="s">
        <v>387</v>
      </c>
      <c r="F54" s="27"/>
      <c r="G54" s="27" t="s">
        <v>1923</v>
      </c>
      <c r="H54" s="27" t="s">
        <v>383</v>
      </c>
    </row>
    <row r="55" spans="1:8" ht="15.6" customHeight="1">
      <c r="A55" s="6" t="s">
        <v>389</v>
      </c>
      <c r="B55" s="6" t="s">
        <v>390</v>
      </c>
      <c r="C55" s="6" t="s">
        <v>77</v>
      </c>
      <c r="D55" s="6" t="s">
        <v>392</v>
      </c>
      <c r="E55" s="6" t="s">
        <v>393</v>
      </c>
      <c r="F55" s="6" t="s">
        <v>1902</v>
      </c>
      <c r="G55" s="41" t="s">
        <v>1924</v>
      </c>
      <c r="H55" s="6" t="s">
        <v>161</v>
      </c>
    </row>
    <row r="56" spans="1:8">
      <c r="A56" s="27" t="s">
        <v>395</v>
      </c>
      <c r="B56" s="27" t="s">
        <v>396</v>
      </c>
      <c r="C56" s="27" t="s">
        <v>77</v>
      </c>
      <c r="D56" s="27" t="s">
        <v>323</v>
      </c>
      <c r="E56" s="27" t="s">
        <v>397</v>
      </c>
      <c r="F56" s="27" t="s">
        <v>1902</v>
      </c>
      <c r="G56" s="27" t="s">
        <v>1925</v>
      </c>
      <c r="H56" s="27" t="s">
        <v>398</v>
      </c>
    </row>
    <row r="57" spans="1:8">
      <c r="A57" s="6" t="s">
        <v>400</v>
      </c>
      <c r="B57" s="6" t="s">
        <v>401</v>
      </c>
      <c r="C57" s="6" t="s">
        <v>77</v>
      </c>
      <c r="D57" s="6" t="s">
        <v>335</v>
      </c>
      <c r="E57" s="6" t="s">
        <v>403</v>
      </c>
      <c r="F57" s="6" t="s">
        <v>1902</v>
      </c>
      <c r="G57" s="6" t="s">
        <v>1926</v>
      </c>
      <c r="H57" s="6" t="s">
        <v>335</v>
      </c>
    </row>
    <row r="58" spans="1:8">
      <c r="A58" s="27" t="s">
        <v>405</v>
      </c>
      <c r="B58" s="27" t="s">
        <v>406</v>
      </c>
      <c r="C58" s="27" t="s">
        <v>77</v>
      </c>
      <c r="D58" s="27" t="s">
        <v>329</v>
      </c>
      <c r="E58" s="27" t="s">
        <v>407</v>
      </c>
      <c r="F58" s="27" t="s">
        <v>1902</v>
      </c>
      <c r="G58" s="27" t="s">
        <v>1927</v>
      </c>
      <c r="H58" s="27" t="s">
        <v>329</v>
      </c>
    </row>
    <row r="59" spans="1:8">
      <c r="A59" s="6" t="s">
        <v>409</v>
      </c>
      <c r="B59" s="6" t="s">
        <v>410</v>
      </c>
      <c r="C59" s="6" t="s">
        <v>77</v>
      </c>
      <c r="D59" s="6" t="s">
        <v>335</v>
      </c>
      <c r="E59" s="6" t="s">
        <v>411</v>
      </c>
      <c r="F59" s="6" t="s">
        <v>1902</v>
      </c>
      <c r="G59" s="6" t="s">
        <v>1928</v>
      </c>
      <c r="H59" s="6" t="s">
        <v>335</v>
      </c>
    </row>
    <row r="60" spans="1:8">
      <c r="A60" s="27" t="s">
        <v>413</v>
      </c>
      <c r="B60" s="27" t="s">
        <v>414</v>
      </c>
      <c r="C60" s="27" t="s">
        <v>77</v>
      </c>
      <c r="D60" s="27" t="s">
        <v>329</v>
      </c>
      <c r="E60" s="27" t="s">
        <v>415</v>
      </c>
      <c r="F60" s="27" t="s">
        <v>1902</v>
      </c>
      <c r="G60" s="27" t="s">
        <v>1929</v>
      </c>
      <c r="H60" s="27" t="s">
        <v>329</v>
      </c>
    </row>
    <row r="61" spans="1:8">
      <c r="A61" s="6" t="s">
        <v>416</v>
      </c>
      <c r="B61" s="6" t="s">
        <v>417</v>
      </c>
      <c r="C61" s="6" t="s">
        <v>77</v>
      </c>
      <c r="D61" s="6" t="s">
        <v>329</v>
      </c>
      <c r="E61" s="6" t="s">
        <v>418</v>
      </c>
      <c r="F61" s="6" t="s">
        <v>1902</v>
      </c>
      <c r="G61" s="6" t="s">
        <v>1930</v>
      </c>
      <c r="H61" s="6" t="s">
        <v>329</v>
      </c>
    </row>
    <row r="62" spans="1:8">
      <c r="A62" s="27" t="s">
        <v>420</v>
      </c>
      <c r="B62" s="27" t="s">
        <v>421</v>
      </c>
      <c r="C62" s="27" t="s">
        <v>77</v>
      </c>
      <c r="D62" s="27" t="s">
        <v>335</v>
      </c>
      <c r="E62" s="27" t="s">
        <v>422</v>
      </c>
      <c r="F62" s="27" t="s">
        <v>1902</v>
      </c>
      <c r="G62" s="27" t="s">
        <v>1931</v>
      </c>
      <c r="H62" s="27" t="s">
        <v>335</v>
      </c>
    </row>
    <row r="63" spans="1:8">
      <c r="A63" s="6" t="s">
        <v>425</v>
      </c>
      <c r="B63" s="6" t="s">
        <v>426</v>
      </c>
      <c r="C63" s="6" t="s">
        <v>77</v>
      </c>
      <c r="D63" s="6" t="s">
        <v>335</v>
      </c>
      <c r="E63" s="6" t="s">
        <v>427</v>
      </c>
      <c r="F63" s="6" t="s">
        <v>1902</v>
      </c>
      <c r="G63" s="6" t="s">
        <v>1932</v>
      </c>
      <c r="H63" s="6" t="s">
        <v>335</v>
      </c>
    </row>
    <row r="64" spans="1:8">
      <c r="A64" s="27" t="s">
        <v>430</v>
      </c>
      <c r="B64" s="27" t="s">
        <v>431</v>
      </c>
      <c r="C64" s="27" t="s">
        <v>77</v>
      </c>
      <c r="D64" s="27" t="s">
        <v>335</v>
      </c>
      <c r="E64" s="27" t="s">
        <v>432</v>
      </c>
      <c r="F64" s="27" t="s">
        <v>1902</v>
      </c>
      <c r="G64" s="27" t="s">
        <v>1933</v>
      </c>
      <c r="H64" s="27" t="s">
        <v>335</v>
      </c>
    </row>
    <row r="65" spans="1:8">
      <c r="A65" s="6" t="s">
        <v>434</v>
      </c>
      <c r="B65" s="6" t="s">
        <v>435</v>
      </c>
      <c r="C65" s="6" t="s">
        <v>77</v>
      </c>
      <c r="D65" s="6" t="s">
        <v>335</v>
      </c>
      <c r="E65" s="6" t="s">
        <v>436</v>
      </c>
      <c r="F65" s="6" t="s">
        <v>1902</v>
      </c>
      <c r="G65" s="6" t="s">
        <v>1934</v>
      </c>
      <c r="H65" s="6" t="s">
        <v>335</v>
      </c>
    </row>
    <row r="66" spans="1:8">
      <c r="A66" s="27" t="s">
        <v>438</v>
      </c>
      <c r="B66" s="27" t="s">
        <v>439</v>
      </c>
      <c r="C66" s="27" t="s">
        <v>77</v>
      </c>
      <c r="D66" s="27" t="s">
        <v>335</v>
      </c>
      <c r="E66" s="27" t="s">
        <v>441</v>
      </c>
      <c r="F66" s="27" t="s">
        <v>1902</v>
      </c>
      <c r="G66" s="27" t="s">
        <v>1935</v>
      </c>
      <c r="H66" s="27" t="s">
        <v>335</v>
      </c>
    </row>
    <row r="67" spans="1:8" ht="15.6" customHeight="1">
      <c r="A67" s="6" t="s">
        <v>443</v>
      </c>
      <c r="B67" s="6" t="s">
        <v>444</v>
      </c>
      <c r="C67" s="6" t="s">
        <v>77</v>
      </c>
      <c r="D67" s="6" t="s">
        <v>204</v>
      </c>
      <c r="E67" s="6" t="s">
        <v>445</v>
      </c>
      <c r="F67" s="6"/>
      <c r="G67" s="41" t="s">
        <v>1936</v>
      </c>
      <c r="H67" s="6" t="s">
        <v>161</v>
      </c>
    </row>
    <row r="68" spans="1:8" ht="15.6" customHeight="1">
      <c r="A68" s="27" t="s">
        <v>447</v>
      </c>
      <c r="B68" s="27" t="s">
        <v>448</v>
      </c>
      <c r="C68" s="27" t="s">
        <v>77</v>
      </c>
      <c r="D68" s="27" t="s">
        <v>204</v>
      </c>
      <c r="E68" s="27" t="s">
        <v>449</v>
      </c>
      <c r="F68" s="27"/>
      <c r="G68" s="41" t="s">
        <v>1937</v>
      </c>
      <c r="H68" s="27" t="s">
        <v>161</v>
      </c>
    </row>
    <row r="69" spans="1:8">
      <c r="A69" s="6" t="s">
        <v>452</v>
      </c>
      <c r="B69" s="6" t="s">
        <v>453</v>
      </c>
      <c r="C69" s="6" t="s">
        <v>77</v>
      </c>
      <c r="D69" s="6" t="s">
        <v>381</v>
      </c>
      <c r="E69" s="6" t="s">
        <v>454</v>
      </c>
      <c r="F69" s="6"/>
      <c r="G69" s="6" t="s">
        <v>1938</v>
      </c>
      <c r="H69" s="6" t="s">
        <v>383</v>
      </c>
    </row>
    <row r="70" spans="1:8">
      <c r="A70" s="27" t="s">
        <v>456</v>
      </c>
      <c r="B70" s="27" t="s">
        <v>457</v>
      </c>
      <c r="C70" s="27" t="s">
        <v>77</v>
      </c>
      <c r="D70" s="27" t="s">
        <v>381</v>
      </c>
      <c r="E70" s="27" t="s">
        <v>458</v>
      </c>
      <c r="F70" s="27"/>
      <c r="G70" s="27" t="s">
        <v>1939</v>
      </c>
      <c r="H70" s="27" t="s">
        <v>383</v>
      </c>
    </row>
    <row r="71" spans="1:8">
      <c r="A71" s="6" t="s">
        <v>460</v>
      </c>
      <c r="B71" s="6" t="s">
        <v>461</v>
      </c>
      <c r="C71" s="6" t="s">
        <v>77</v>
      </c>
      <c r="D71" s="6" t="s">
        <v>381</v>
      </c>
      <c r="E71" s="6" t="s">
        <v>462</v>
      </c>
      <c r="F71" s="6"/>
      <c r="G71" s="6" t="s">
        <v>1940</v>
      </c>
      <c r="H71" s="6" t="s">
        <v>383</v>
      </c>
    </row>
    <row r="72" spans="1:8">
      <c r="A72" s="27" t="s">
        <v>464</v>
      </c>
      <c r="B72" s="27" t="s">
        <v>465</v>
      </c>
      <c r="C72" s="27" t="s">
        <v>77</v>
      </c>
      <c r="D72" s="27" t="s">
        <v>381</v>
      </c>
      <c r="E72" s="27" t="s">
        <v>466</v>
      </c>
      <c r="F72" s="27"/>
      <c r="G72" s="27" t="s">
        <v>1941</v>
      </c>
      <c r="H72" s="27" t="s">
        <v>383</v>
      </c>
    </row>
    <row r="73" spans="1:8" ht="15.6" customHeight="1">
      <c r="A73" s="6" t="s">
        <v>468</v>
      </c>
      <c r="B73" s="6" t="s">
        <v>469</v>
      </c>
      <c r="C73" s="6" t="s">
        <v>77</v>
      </c>
      <c r="D73" s="6" t="s">
        <v>204</v>
      </c>
      <c r="E73" s="6" t="s">
        <v>470</v>
      </c>
      <c r="F73" s="6"/>
      <c r="G73" s="41" t="s">
        <v>1942</v>
      </c>
      <c r="H73" s="6" t="s">
        <v>161</v>
      </c>
    </row>
    <row r="74" spans="1:8" ht="15.6" customHeight="1">
      <c r="A74" s="27" t="s">
        <v>472</v>
      </c>
      <c r="B74" s="27" t="s">
        <v>473</v>
      </c>
      <c r="C74" s="27" t="s">
        <v>77</v>
      </c>
      <c r="D74" s="27" t="s">
        <v>204</v>
      </c>
      <c r="E74" s="27" t="s">
        <v>474</v>
      </c>
      <c r="F74" s="27"/>
      <c r="G74" s="41" t="s">
        <v>1943</v>
      </c>
      <c r="H74" s="27" t="s">
        <v>161</v>
      </c>
    </row>
    <row r="75" spans="1:8">
      <c r="A75" s="6" t="s">
        <v>476</v>
      </c>
      <c r="B75" s="6" t="s">
        <v>477</v>
      </c>
      <c r="C75" s="6" t="s">
        <v>77</v>
      </c>
      <c r="D75" s="6" t="s">
        <v>204</v>
      </c>
      <c r="E75" s="6" t="s">
        <v>479</v>
      </c>
      <c r="F75" s="6"/>
      <c r="G75" s="6" t="s">
        <v>1944</v>
      </c>
      <c r="H75" s="6" t="s">
        <v>161</v>
      </c>
    </row>
    <row r="76" spans="1:8" ht="15.6" customHeight="1">
      <c r="A76" s="27" t="s">
        <v>481</v>
      </c>
      <c r="B76" s="27" t="s">
        <v>482</v>
      </c>
      <c r="C76" s="27" t="s">
        <v>77</v>
      </c>
      <c r="D76" s="27" t="s">
        <v>204</v>
      </c>
      <c r="E76" s="27" t="s">
        <v>483</v>
      </c>
      <c r="F76" s="27"/>
      <c r="G76" s="41" t="s">
        <v>1945</v>
      </c>
      <c r="H76" s="27" t="s">
        <v>161</v>
      </c>
    </row>
    <row r="77" spans="1:8" ht="15.6" customHeight="1">
      <c r="A77" s="6" t="s">
        <v>486</v>
      </c>
      <c r="B77" s="6" t="s">
        <v>487</v>
      </c>
      <c r="C77" s="6" t="s">
        <v>77</v>
      </c>
      <c r="D77" s="6" t="s">
        <v>204</v>
      </c>
      <c r="E77" s="6" t="s">
        <v>488</v>
      </c>
      <c r="F77" s="6"/>
      <c r="G77" s="41" t="s">
        <v>1946</v>
      </c>
      <c r="H77" s="6" t="s">
        <v>161</v>
      </c>
    </row>
    <row r="78" spans="1:8">
      <c r="A78" s="27" t="s">
        <v>490</v>
      </c>
      <c r="B78" s="27" t="s">
        <v>491</v>
      </c>
      <c r="C78" s="27" t="s">
        <v>77</v>
      </c>
      <c r="D78" s="27" t="s">
        <v>204</v>
      </c>
      <c r="E78" s="27" t="s">
        <v>493</v>
      </c>
      <c r="F78" s="27"/>
      <c r="G78" s="27" t="s">
        <v>1947</v>
      </c>
      <c r="H78" s="27" t="s">
        <v>161</v>
      </c>
    </row>
    <row r="79" spans="1:8" ht="15.6" customHeight="1">
      <c r="A79" s="6" t="s">
        <v>495</v>
      </c>
      <c r="B79" s="6" t="s">
        <v>497</v>
      </c>
      <c r="C79" s="6" t="s">
        <v>77</v>
      </c>
      <c r="D79" s="6" t="s">
        <v>499</v>
      </c>
      <c r="E79" s="6" t="s">
        <v>500</v>
      </c>
      <c r="F79" s="6"/>
      <c r="G79" s="41" t="s">
        <v>1948</v>
      </c>
      <c r="H79" s="6" t="s">
        <v>161</v>
      </c>
    </row>
    <row r="80" spans="1:8" ht="15.6" customHeight="1">
      <c r="A80" s="27" t="s">
        <v>502</v>
      </c>
      <c r="B80" s="27" t="s">
        <v>503</v>
      </c>
      <c r="C80" s="27" t="s">
        <v>77</v>
      </c>
      <c r="D80" s="27" t="s">
        <v>499</v>
      </c>
      <c r="E80" s="27" t="s">
        <v>505</v>
      </c>
      <c r="F80" s="27"/>
      <c r="G80" s="41" t="s">
        <v>1949</v>
      </c>
      <c r="H80" s="27" t="s">
        <v>161</v>
      </c>
    </row>
    <row r="81" spans="1:8" ht="15.6" customHeight="1">
      <c r="A81" s="6" t="s">
        <v>507</v>
      </c>
      <c r="B81" s="6" t="s">
        <v>508</v>
      </c>
      <c r="C81" s="6" t="s">
        <v>77</v>
      </c>
      <c r="D81" s="6" t="s">
        <v>310</v>
      </c>
      <c r="E81" s="6" t="s">
        <v>1950</v>
      </c>
      <c r="F81" s="6" t="s">
        <v>1902</v>
      </c>
      <c r="G81" s="41" t="s">
        <v>1910</v>
      </c>
      <c r="H81" s="6" t="s">
        <v>1911</v>
      </c>
    </row>
    <row r="82" spans="1:8">
      <c r="A82" s="27" t="s">
        <v>511</v>
      </c>
      <c r="B82" s="27" t="s">
        <v>512</v>
      </c>
      <c r="C82" s="27" t="s">
        <v>77</v>
      </c>
      <c r="D82" s="27" t="s">
        <v>335</v>
      </c>
      <c r="E82" s="27" t="s">
        <v>513</v>
      </c>
      <c r="F82" s="27" t="s">
        <v>1902</v>
      </c>
      <c r="G82" s="27" t="s">
        <v>1951</v>
      </c>
      <c r="H82" s="27" t="s">
        <v>335</v>
      </c>
    </row>
    <row r="83" spans="1:8">
      <c r="A83" s="6" t="s">
        <v>515</v>
      </c>
      <c r="B83" s="6" t="s">
        <v>516</v>
      </c>
      <c r="C83" s="6" t="s">
        <v>77</v>
      </c>
      <c r="D83" s="6" t="s">
        <v>335</v>
      </c>
      <c r="E83" s="6" t="s">
        <v>517</v>
      </c>
      <c r="F83" s="6" t="s">
        <v>1902</v>
      </c>
      <c r="G83" s="6" t="s">
        <v>1952</v>
      </c>
      <c r="H83" s="6" t="s">
        <v>335</v>
      </c>
    </row>
    <row r="84" spans="1:8">
      <c r="A84" s="27" t="s">
        <v>519</v>
      </c>
      <c r="B84" s="27" t="s">
        <v>520</v>
      </c>
      <c r="C84" s="27" t="s">
        <v>77</v>
      </c>
      <c r="D84" s="27" t="s">
        <v>381</v>
      </c>
      <c r="E84" s="27" t="s">
        <v>521</v>
      </c>
      <c r="F84" s="27"/>
      <c r="G84" s="27" t="s">
        <v>1953</v>
      </c>
      <c r="H84" s="27" t="s">
        <v>383</v>
      </c>
    </row>
    <row r="85" spans="1:8" ht="15.6" customHeight="1">
      <c r="A85" s="6" t="s">
        <v>523</v>
      </c>
      <c r="B85" s="6" t="s">
        <v>524</v>
      </c>
      <c r="C85" s="6" t="s">
        <v>77</v>
      </c>
      <c r="D85" s="6" t="s">
        <v>204</v>
      </c>
      <c r="E85" s="6" t="s">
        <v>525</v>
      </c>
      <c r="F85" s="6"/>
      <c r="G85" s="41" t="s">
        <v>1954</v>
      </c>
      <c r="H85" s="6" t="s">
        <v>161</v>
      </c>
    </row>
    <row r="86" spans="1:8" ht="15.6" customHeight="1">
      <c r="A86" s="27" t="s">
        <v>527</v>
      </c>
      <c r="B86" s="27" t="s">
        <v>528</v>
      </c>
      <c r="C86" s="27" t="s">
        <v>77</v>
      </c>
      <c r="D86" s="27" t="s">
        <v>204</v>
      </c>
      <c r="E86" s="27" t="s">
        <v>529</v>
      </c>
      <c r="F86" s="27"/>
      <c r="G86" s="41" t="s">
        <v>1955</v>
      </c>
      <c r="H86" s="27" t="s">
        <v>161</v>
      </c>
    </row>
    <row r="87" spans="1:8" ht="15.6" customHeight="1">
      <c r="A87" s="6" t="s">
        <v>531</v>
      </c>
      <c r="B87" s="6" t="s">
        <v>532</v>
      </c>
      <c r="C87" s="6" t="s">
        <v>77</v>
      </c>
      <c r="D87" s="6" t="s">
        <v>204</v>
      </c>
      <c r="E87" s="6" t="s">
        <v>533</v>
      </c>
      <c r="F87" s="6"/>
      <c r="G87" s="41" t="s">
        <v>1956</v>
      </c>
      <c r="H87" s="6" t="s">
        <v>161</v>
      </c>
    </row>
    <row r="88" spans="1:8" ht="15.6" customHeight="1">
      <c r="A88" s="27" t="s">
        <v>536</v>
      </c>
      <c r="B88" s="27" t="s">
        <v>537</v>
      </c>
      <c r="C88" s="27" t="s">
        <v>77</v>
      </c>
      <c r="D88" s="27" t="s">
        <v>204</v>
      </c>
      <c r="E88" s="27" t="s">
        <v>538</v>
      </c>
      <c r="F88" s="27"/>
      <c r="G88" s="41" t="s">
        <v>1957</v>
      </c>
      <c r="H88" s="27" t="s">
        <v>161</v>
      </c>
    </row>
    <row r="89" spans="1:8">
      <c r="A89" s="6" t="s">
        <v>540</v>
      </c>
      <c r="B89" s="6" t="s">
        <v>541</v>
      </c>
      <c r="C89" s="6" t="s">
        <v>77</v>
      </c>
      <c r="D89" s="6" t="s">
        <v>204</v>
      </c>
      <c r="E89" s="6" t="s">
        <v>543</v>
      </c>
      <c r="F89" s="6"/>
      <c r="G89" s="6" t="s">
        <v>1958</v>
      </c>
      <c r="H89" s="6" t="s">
        <v>161</v>
      </c>
    </row>
    <row r="90" spans="1:8" ht="15.6" customHeight="1">
      <c r="A90" s="27" t="s">
        <v>545</v>
      </c>
      <c r="B90" s="27" t="s">
        <v>546</v>
      </c>
      <c r="C90" s="27" t="s">
        <v>78</v>
      </c>
      <c r="D90" s="27" t="s">
        <v>548</v>
      </c>
      <c r="E90" s="27" t="s">
        <v>549</v>
      </c>
      <c r="F90" s="27" t="s">
        <v>1902</v>
      </c>
      <c r="G90" s="41" t="s">
        <v>1959</v>
      </c>
      <c r="H90" s="27" t="s">
        <v>161</v>
      </c>
    </row>
    <row r="91" spans="1:8">
      <c r="A91" s="6" t="s">
        <v>552</v>
      </c>
      <c r="B91" s="6" t="s">
        <v>553</v>
      </c>
      <c r="C91" s="6" t="s">
        <v>78</v>
      </c>
      <c r="D91" s="6" t="s">
        <v>554</v>
      </c>
      <c r="E91" s="6" t="s">
        <v>555</v>
      </c>
      <c r="F91" s="6" t="s">
        <v>1902</v>
      </c>
      <c r="G91" s="6" t="s">
        <v>1960</v>
      </c>
      <c r="H91" s="6" t="s">
        <v>161</v>
      </c>
    </row>
    <row r="92" spans="1:8" ht="15.6" customHeight="1">
      <c r="A92" s="27" t="s">
        <v>558</v>
      </c>
      <c r="B92" s="27" t="s">
        <v>559</v>
      </c>
      <c r="C92" s="27" t="s">
        <v>78</v>
      </c>
      <c r="D92" s="27" t="s">
        <v>561</v>
      </c>
      <c r="E92" s="27" t="s">
        <v>562</v>
      </c>
      <c r="F92" s="27" t="s">
        <v>1902</v>
      </c>
      <c r="G92" s="41" t="s">
        <v>1961</v>
      </c>
      <c r="H92" s="27" t="s">
        <v>161</v>
      </c>
    </row>
    <row r="93" spans="1:8">
      <c r="A93" s="6" t="s">
        <v>564</v>
      </c>
      <c r="B93" s="6" t="s">
        <v>565</v>
      </c>
      <c r="C93" s="6" t="s">
        <v>78</v>
      </c>
      <c r="D93" s="6" t="s">
        <v>566</v>
      </c>
      <c r="E93" s="6" t="s">
        <v>567</v>
      </c>
      <c r="F93" s="6"/>
      <c r="G93" s="6" t="s">
        <v>1962</v>
      </c>
      <c r="H93" s="6" t="s">
        <v>161</v>
      </c>
    </row>
    <row r="94" spans="1:8">
      <c r="A94" s="27" t="s">
        <v>570</v>
      </c>
      <c r="B94" s="27" t="s">
        <v>571</v>
      </c>
      <c r="C94" s="27" t="s">
        <v>78</v>
      </c>
      <c r="D94" s="27" t="s">
        <v>572</v>
      </c>
      <c r="E94" s="27" t="s">
        <v>573</v>
      </c>
      <c r="F94" s="27"/>
      <c r="G94" s="27" t="s">
        <v>1963</v>
      </c>
      <c r="H94" s="27" t="s">
        <v>574</v>
      </c>
    </row>
    <row r="95" spans="1:8">
      <c r="A95" s="6" t="s">
        <v>577</v>
      </c>
      <c r="B95" s="6" t="s">
        <v>578</v>
      </c>
      <c r="C95" s="6" t="s">
        <v>78</v>
      </c>
      <c r="D95" s="6" t="s">
        <v>580</v>
      </c>
      <c r="E95" s="6" t="s">
        <v>581</v>
      </c>
      <c r="F95" s="6"/>
      <c r="G95" s="6" t="s">
        <v>1963</v>
      </c>
      <c r="H95" s="6" t="s">
        <v>574</v>
      </c>
    </row>
    <row r="96" spans="1:8">
      <c r="A96" s="27" t="s">
        <v>582</v>
      </c>
      <c r="B96" s="27" t="s">
        <v>584</v>
      </c>
      <c r="C96" s="27" t="s">
        <v>78</v>
      </c>
      <c r="D96" s="27" t="s">
        <v>586</v>
      </c>
      <c r="E96" s="27" t="s">
        <v>587</v>
      </c>
      <c r="F96" s="27" t="s">
        <v>1902</v>
      </c>
      <c r="G96" s="27" t="s">
        <v>1964</v>
      </c>
      <c r="H96" s="27" t="s">
        <v>588</v>
      </c>
    </row>
    <row r="97" spans="1:8">
      <c r="A97" s="6" t="s">
        <v>591</v>
      </c>
      <c r="B97" s="6" t="s">
        <v>592</v>
      </c>
      <c r="C97" s="6" t="s">
        <v>78</v>
      </c>
      <c r="D97" s="6" t="s">
        <v>593</v>
      </c>
      <c r="E97" s="6" t="s">
        <v>594</v>
      </c>
      <c r="F97" s="6"/>
      <c r="G97" s="6" t="s">
        <v>1965</v>
      </c>
      <c r="H97" s="6" t="s">
        <v>161</v>
      </c>
    </row>
    <row r="98" spans="1:8">
      <c r="A98" s="27" t="s">
        <v>596</v>
      </c>
      <c r="B98" s="27" t="s">
        <v>597</v>
      </c>
      <c r="C98" s="27" t="s">
        <v>78</v>
      </c>
      <c r="D98" s="27" t="s">
        <v>593</v>
      </c>
      <c r="E98" s="27" t="s">
        <v>598</v>
      </c>
      <c r="F98" s="27"/>
      <c r="G98" s="27" t="s">
        <v>1966</v>
      </c>
      <c r="H98" s="27" t="s">
        <v>161</v>
      </c>
    </row>
    <row r="99" spans="1:8">
      <c r="A99" s="6" t="s">
        <v>601</v>
      </c>
      <c r="B99" s="6" t="s">
        <v>602</v>
      </c>
      <c r="C99" s="6" t="s">
        <v>78</v>
      </c>
      <c r="D99" s="6" t="s">
        <v>603</v>
      </c>
      <c r="E99" s="6" t="s">
        <v>604</v>
      </c>
      <c r="F99" s="6"/>
      <c r="G99" s="6" t="s">
        <v>1963</v>
      </c>
      <c r="H99" s="6" t="s">
        <v>574</v>
      </c>
    </row>
    <row r="100" spans="1:8">
      <c r="A100" s="27" t="s">
        <v>606</v>
      </c>
      <c r="B100" s="27" t="s">
        <v>608</v>
      </c>
      <c r="C100" s="27" t="s">
        <v>78</v>
      </c>
      <c r="D100" s="27" t="s">
        <v>593</v>
      </c>
      <c r="E100" s="27" t="s">
        <v>609</v>
      </c>
      <c r="F100" s="27"/>
      <c r="G100" s="27" t="s">
        <v>1967</v>
      </c>
      <c r="H100" s="27" t="s">
        <v>161</v>
      </c>
    </row>
    <row r="101" spans="1:8">
      <c r="A101" s="6" t="s">
        <v>611</v>
      </c>
      <c r="B101" s="6" t="s">
        <v>613</v>
      </c>
      <c r="C101" s="6" t="s">
        <v>78</v>
      </c>
      <c r="D101" s="6" t="s">
        <v>593</v>
      </c>
      <c r="E101" s="6" t="s">
        <v>614</v>
      </c>
      <c r="F101" s="6"/>
      <c r="G101" s="6" t="s">
        <v>1968</v>
      </c>
      <c r="H101" s="6" t="s">
        <v>161</v>
      </c>
    </row>
    <row r="102" spans="1:8">
      <c r="A102" s="27" t="s">
        <v>616</v>
      </c>
      <c r="B102" s="27" t="s">
        <v>617</v>
      </c>
      <c r="C102" s="27" t="s">
        <v>78</v>
      </c>
      <c r="D102" s="27" t="s">
        <v>618</v>
      </c>
      <c r="E102" s="27" t="s">
        <v>619</v>
      </c>
      <c r="F102" s="27"/>
      <c r="G102" s="27" t="s">
        <v>1969</v>
      </c>
      <c r="H102" s="27" t="s">
        <v>161</v>
      </c>
    </row>
    <row r="103" spans="1:8">
      <c r="A103" s="6" t="s">
        <v>621</v>
      </c>
      <c r="B103" s="6" t="s">
        <v>622</v>
      </c>
      <c r="C103" s="6" t="s">
        <v>78</v>
      </c>
      <c r="D103" s="6" t="s">
        <v>586</v>
      </c>
      <c r="E103" s="6" t="s">
        <v>623</v>
      </c>
      <c r="F103" s="6" t="s">
        <v>1902</v>
      </c>
      <c r="G103" s="6" t="s">
        <v>1970</v>
      </c>
      <c r="H103" s="6" t="s">
        <v>588</v>
      </c>
    </row>
    <row r="104" spans="1:8">
      <c r="A104" s="27" t="s">
        <v>625</v>
      </c>
      <c r="B104" s="27" t="s">
        <v>626</v>
      </c>
      <c r="C104" s="27" t="s">
        <v>78</v>
      </c>
      <c r="D104" s="27" t="s">
        <v>593</v>
      </c>
      <c r="E104" s="27" t="s">
        <v>627</v>
      </c>
      <c r="F104" s="27"/>
      <c r="G104" s="27" t="s">
        <v>1971</v>
      </c>
      <c r="H104" s="27" t="s">
        <v>161</v>
      </c>
    </row>
    <row r="105" spans="1:8">
      <c r="A105" s="6" t="s">
        <v>630</v>
      </c>
      <c r="B105" s="6" t="s">
        <v>631</v>
      </c>
      <c r="C105" s="6" t="s">
        <v>78</v>
      </c>
      <c r="D105" s="6" t="s">
        <v>593</v>
      </c>
      <c r="E105" s="6" t="s">
        <v>632</v>
      </c>
      <c r="F105" s="6"/>
      <c r="G105" s="6" t="s">
        <v>1972</v>
      </c>
      <c r="H105" s="6" t="s">
        <v>161</v>
      </c>
    </row>
    <row r="106" spans="1:8">
      <c r="A106" s="27" t="s">
        <v>634</v>
      </c>
      <c r="B106" s="27" t="s">
        <v>635</v>
      </c>
      <c r="C106" s="27" t="s">
        <v>78</v>
      </c>
      <c r="D106" s="27" t="s">
        <v>593</v>
      </c>
      <c r="E106" s="27" t="s">
        <v>637</v>
      </c>
      <c r="F106" s="27"/>
      <c r="G106" s="27" t="s">
        <v>1973</v>
      </c>
      <c r="H106" s="27" t="s">
        <v>161</v>
      </c>
    </row>
    <row r="107" spans="1:8">
      <c r="A107" s="6" t="s">
        <v>639</v>
      </c>
      <c r="B107" s="6" t="s">
        <v>641</v>
      </c>
      <c r="C107" s="6" t="s">
        <v>78</v>
      </c>
      <c r="D107" s="6" t="s">
        <v>603</v>
      </c>
      <c r="E107" s="6" t="s">
        <v>642</v>
      </c>
      <c r="F107" s="6"/>
      <c r="G107" s="6" t="s">
        <v>1963</v>
      </c>
      <c r="H107" s="6" t="s">
        <v>574</v>
      </c>
    </row>
    <row r="108" spans="1:8">
      <c r="A108" s="27" t="s">
        <v>644</v>
      </c>
      <c r="B108" s="27" t="s">
        <v>645</v>
      </c>
      <c r="C108" s="27" t="s">
        <v>78</v>
      </c>
      <c r="D108" s="27" t="s">
        <v>603</v>
      </c>
      <c r="E108" s="27" t="s">
        <v>646</v>
      </c>
      <c r="F108" s="27"/>
      <c r="G108" s="27" t="s">
        <v>1963</v>
      </c>
      <c r="H108" s="27" t="s">
        <v>574</v>
      </c>
    </row>
    <row r="109" spans="1:8">
      <c r="A109" s="6" t="s">
        <v>648</v>
      </c>
      <c r="B109" s="6" t="s">
        <v>649</v>
      </c>
      <c r="C109" s="6" t="s">
        <v>78</v>
      </c>
      <c r="D109" s="6" t="s">
        <v>593</v>
      </c>
      <c r="E109" s="6" t="s">
        <v>650</v>
      </c>
      <c r="F109" s="6"/>
      <c r="G109" s="6" t="s">
        <v>1974</v>
      </c>
      <c r="H109" s="6" t="s">
        <v>161</v>
      </c>
    </row>
    <row r="110" spans="1:8">
      <c r="A110" s="27" t="s">
        <v>652</v>
      </c>
      <c r="B110" s="27" t="s">
        <v>653</v>
      </c>
      <c r="C110" s="27" t="s">
        <v>78</v>
      </c>
      <c r="D110" s="27" t="s">
        <v>593</v>
      </c>
      <c r="E110" s="27" t="s">
        <v>654</v>
      </c>
      <c r="F110" s="27"/>
      <c r="G110" s="27" t="s">
        <v>1975</v>
      </c>
      <c r="H110" s="27" t="s">
        <v>161</v>
      </c>
    </row>
    <row r="111" spans="1:8">
      <c r="A111" s="6" t="s">
        <v>656</v>
      </c>
      <c r="B111" s="6" t="s">
        <v>658</v>
      </c>
      <c r="C111" s="6" t="s">
        <v>78</v>
      </c>
      <c r="D111" s="6" t="s">
        <v>593</v>
      </c>
      <c r="E111" s="6" t="s">
        <v>659</v>
      </c>
      <c r="F111" s="6"/>
      <c r="G111" s="6" t="s">
        <v>1976</v>
      </c>
      <c r="H111" s="6" t="s">
        <v>161</v>
      </c>
    </row>
    <row r="112" spans="1:8">
      <c r="A112" s="27" t="s">
        <v>661</v>
      </c>
      <c r="B112" s="27" t="s">
        <v>663</v>
      </c>
      <c r="C112" s="27" t="s">
        <v>78</v>
      </c>
      <c r="D112" s="27" t="s">
        <v>593</v>
      </c>
      <c r="E112" s="27" t="s">
        <v>664</v>
      </c>
      <c r="F112" s="27"/>
      <c r="G112" s="27" t="s">
        <v>1977</v>
      </c>
      <c r="H112" s="27" t="s">
        <v>161</v>
      </c>
    </row>
    <row r="113" spans="1:8">
      <c r="A113" s="6" t="s">
        <v>666</v>
      </c>
      <c r="B113" s="6" t="s">
        <v>667</v>
      </c>
      <c r="C113" s="6" t="s">
        <v>78</v>
      </c>
      <c r="D113" s="6" t="s">
        <v>593</v>
      </c>
      <c r="E113" s="6" t="s">
        <v>669</v>
      </c>
      <c r="F113" s="6"/>
      <c r="G113" s="6" t="s">
        <v>1978</v>
      </c>
      <c r="H113" s="6" t="s">
        <v>161</v>
      </c>
    </row>
    <row r="114" spans="1:8">
      <c r="A114" s="27" t="s">
        <v>671</v>
      </c>
      <c r="B114" s="27" t="s">
        <v>673</v>
      </c>
      <c r="C114" s="27" t="s">
        <v>78</v>
      </c>
      <c r="D114" s="27" t="s">
        <v>675</v>
      </c>
      <c r="E114" s="27" t="s">
        <v>676</v>
      </c>
      <c r="F114" s="27"/>
      <c r="G114" s="27" t="s">
        <v>1979</v>
      </c>
      <c r="H114" s="27" t="s">
        <v>677</v>
      </c>
    </row>
    <row r="115" spans="1:8">
      <c r="A115" s="6" t="s">
        <v>679</v>
      </c>
      <c r="B115" s="6" t="s">
        <v>681</v>
      </c>
      <c r="C115" s="6" t="s">
        <v>78</v>
      </c>
      <c r="D115" s="6" t="s">
        <v>593</v>
      </c>
      <c r="E115" s="6" t="s">
        <v>683</v>
      </c>
      <c r="F115" s="6"/>
      <c r="G115" s="6" t="s">
        <v>1980</v>
      </c>
      <c r="H115" s="6" t="s">
        <v>161</v>
      </c>
    </row>
    <row r="116" spans="1:8">
      <c r="A116" s="27" t="s">
        <v>685</v>
      </c>
      <c r="B116" s="27" t="s">
        <v>686</v>
      </c>
      <c r="C116" s="27" t="s">
        <v>78</v>
      </c>
      <c r="D116" s="27" t="s">
        <v>593</v>
      </c>
      <c r="E116" s="27" t="s">
        <v>687</v>
      </c>
      <c r="F116" s="27"/>
      <c r="G116" s="27" t="s">
        <v>1981</v>
      </c>
      <c r="H116" s="27" t="s">
        <v>161</v>
      </c>
    </row>
    <row r="117" spans="1:8">
      <c r="A117" s="6" t="s">
        <v>689</v>
      </c>
      <c r="B117" s="6" t="s">
        <v>690</v>
      </c>
      <c r="C117" s="6" t="s">
        <v>78</v>
      </c>
      <c r="D117" s="6" t="s">
        <v>593</v>
      </c>
      <c r="E117" s="6" t="s">
        <v>691</v>
      </c>
      <c r="F117" s="6"/>
      <c r="G117" s="6" t="s">
        <v>1982</v>
      </c>
      <c r="H117" s="6" t="s">
        <v>129</v>
      </c>
    </row>
    <row r="118" spans="1:8">
      <c r="A118" s="27" t="s">
        <v>693</v>
      </c>
      <c r="B118" s="27" t="s">
        <v>694</v>
      </c>
      <c r="C118" s="27" t="s">
        <v>78</v>
      </c>
      <c r="D118" s="27" t="s">
        <v>127</v>
      </c>
      <c r="E118" s="27" t="s">
        <v>695</v>
      </c>
      <c r="F118" s="27"/>
      <c r="G118" s="27" t="s">
        <v>1983</v>
      </c>
      <c r="H118" s="27" t="s">
        <v>129</v>
      </c>
    </row>
    <row r="119" spans="1:8">
      <c r="A119" s="6" t="s">
        <v>697</v>
      </c>
      <c r="B119" s="6" t="s">
        <v>698</v>
      </c>
      <c r="C119" s="6" t="s">
        <v>78</v>
      </c>
      <c r="D119" s="6" t="s">
        <v>593</v>
      </c>
      <c r="E119" s="6" t="s">
        <v>699</v>
      </c>
      <c r="F119" s="6"/>
      <c r="G119" s="6" t="s">
        <v>1984</v>
      </c>
      <c r="H119" s="6" t="s">
        <v>161</v>
      </c>
    </row>
    <row r="120" spans="1:8" ht="15.6" customHeight="1">
      <c r="A120" s="27" t="s">
        <v>701</v>
      </c>
      <c r="B120" s="27" t="s">
        <v>703</v>
      </c>
      <c r="C120" s="27" t="s">
        <v>79</v>
      </c>
      <c r="D120" s="27" t="s">
        <v>704</v>
      </c>
      <c r="E120" s="27" t="s">
        <v>705</v>
      </c>
      <c r="F120" s="27" t="s">
        <v>1902</v>
      </c>
      <c r="G120" s="41" t="s">
        <v>1985</v>
      </c>
      <c r="H120" s="27" t="s">
        <v>161</v>
      </c>
    </row>
    <row r="121" spans="1:8">
      <c r="A121" s="6" t="s">
        <v>708</v>
      </c>
      <c r="B121" s="6" t="s">
        <v>709</v>
      </c>
      <c r="C121" s="6" t="s">
        <v>79</v>
      </c>
      <c r="D121" s="6" t="s">
        <v>710</v>
      </c>
      <c r="E121" s="6"/>
      <c r="F121" s="6" t="s">
        <v>1902</v>
      </c>
      <c r="G121" s="6"/>
      <c r="H121" s="6" t="s">
        <v>129</v>
      </c>
    </row>
    <row r="122" spans="1:8" ht="15.6" customHeight="1">
      <c r="A122" s="27" t="s">
        <v>712</v>
      </c>
      <c r="B122" s="27" t="s">
        <v>713</v>
      </c>
      <c r="C122" s="27" t="s">
        <v>79</v>
      </c>
      <c r="D122" s="27" t="s">
        <v>714</v>
      </c>
      <c r="E122" s="27" t="s">
        <v>715</v>
      </c>
      <c r="F122" s="27" t="s">
        <v>1902</v>
      </c>
      <c r="G122" s="41" t="s">
        <v>1986</v>
      </c>
      <c r="H122" s="27" t="s">
        <v>161</v>
      </c>
    </row>
    <row r="123" spans="1:8">
      <c r="A123" s="6" t="s">
        <v>717</v>
      </c>
      <c r="B123" s="6" t="s">
        <v>718</v>
      </c>
      <c r="C123" s="6" t="s">
        <v>79</v>
      </c>
      <c r="D123" s="6" t="s">
        <v>704</v>
      </c>
      <c r="E123" s="6" t="s">
        <v>719</v>
      </c>
      <c r="F123" s="6" t="s">
        <v>1902</v>
      </c>
      <c r="G123" s="6" t="s">
        <v>1987</v>
      </c>
      <c r="H123" s="6" t="s">
        <v>161</v>
      </c>
    </row>
    <row r="124" spans="1:8">
      <c r="A124" s="27" t="s">
        <v>721</v>
      </c>
      <c r="B124" s="27" t="s">
        <v>722</v>
      </c>
      <c r="C124" s="27" t="s">
        <v>79</v>
      </c>
      <c r="D124" s="27" t="s">
        <v>723</v>
      </c>
      <c r="E124" s="27"/>
      <c r="F124" s="27"/>
      <c r="G124" s="27"/>
      <c r="H124" s="27" t="s">
        <v>129</v>
      </c>
    </row>
    <row r="125" spans="1:8">
      <c r="A125" s="6" t="s">
        <v>725</v>
      </c>
      <c r="B125" s="6" t="s">
        <v>727</v>
      </c>
      <c r="C125" s="6" t="s">
        <v>79</v>
      </c>
      <c r="D125" s="6" t="s">
        <v>586</v>
      </c>
      <c r="E125" s="6" t="s">
        <v>728</v>
      </c>
      <c r="F125" s="6" t="s">
        <v>1902</v>
      </c>
      <c r="G125" s="6" t="s">
        <v>1988</v>
      </c>
      <c r="H125" s="6" t="s">
        <v>586</v>
      </c>
    </row>
    <row r="126" spans="1:8">
      <c r="A126" s="27" t="s">
        <v>730</v>
      </c>
      <c r="B126" s="27" t="s">
        <v>731</v>
      </c>
      <c r="C126" s="27" t="s">
        <v>79</v>
      </c>
      <c r="D126" s="27" t="s">
        <v>732</v>
      </c>
      <c r="E126" s="27" t="s">
        <v>733</v>
      </c>
      <c r="F126" s="27"/>
      <c r="G126" s="27" t="s">
        <v>1989</v>
      </c>
      <c r="H126" s="27" t="s">
        <v>161</v>
      </c>
    </row>
    <row r="127" spans="1:8">
      <c r="A127" s="6" t="s">
        <v>735</v>
      </c>
      <c r="B127" s="6" t="s">
        <v>736</v>
      </c>
      <c r="C127" s="6" t="s">
        <v>79</v>
      </c>
      <c r="D127" s="6" t="s">
        <v>737</v>
      </c>
      <c r="E127" s="6"/>
      <c r="F127" s="6"/>
      <c r="G127" s="6"/>
      <c r="H127" s="6" t="s">
        <v>129</v>
      </c>
    </row>
    <row r="128" spans="1:8">
      <c r="A128" s="27" t="s">
        <v>739</v>
      </c>
      <c r="B128" s="27" t="s">
        <v>741</v>
      </c>
      <c r="C128" s="27" t="s">
        <v>79</v>
      </c>
      <c r="D128" s="27" t="s">
        <v>743</v>
      </c>
      <c r="E128" s="27" t="s">
        <v>744</v>
      </c>
      <c r="F128" s="27"/>
      <c r="G128" s="27" t="s">
        <v>1990</v>
      </c>
      <c r="H128" s="27" t="s">
        <v>161</v>
      </c>
    </row>
    <row r="129" spans="1:8">
      <c r="A129" s="6" t="s">
        <v>746</v>
      </c>
      <c r="B129" s="6" t="s">
        <v>747</v>
      </c>
      <c r="C129" s="6" t="s">
        <v>79</v>
      </c>
      <c r="D129" s="6" t="s">
        <v>743</v>
      </c>
      <c r="E129" s="6" t="s">
        <v>748</v>
      </c>
      <c r="F129" s="6"/>
      <c r="G129" s="6" t="s">
        <v>1991</v>
      </c>
      <c r="H129" s="6" t="s">
        <v>161</v>
      </c>
    </row>
    <row r="130" spans="1:8">
      <c r="A130" s="27" t="s">
        <v>750</v>
      </c>
      <c r="B130" s="27" t="s">
        <v>752</v>
      </c>
      <c r="C130" s="27" t="s">
        <v>79</v>
      </c>
      <c r="D130" s="27" t="s">
        <v>204</v>
      </c>
      <c r="E130" s="27" t="s">
        <v>753</v>
      </c>
      <c r="F130" s="27"/>
      <c r="G130" s="27" t="s">
        <v>1992</v>
      </c>
      <c r="H130" s="27" t="s">
        <v>161</v>
      </c>
    </row>
    <row r="131" spans="1:8">
      <c r="A131" s="6" t="s">
        <v>755</v>
      </c>
      <c r="B131" s="6" t="s">
        <v>757</v>
      </c>
      <c r="C131" s="6" t="s">
        <v>79</v>
      </c>
      <c r="D131" s="6" t="s">
        <v>603</v>
      </c>
      <c r="E131" s="6" t="s">
        <v>758</v>
      </c>
      <c r="F131" s="6"/>
      <c r="G131" s="6" t="s">
        <v>1963</v>
      </c>
      <c r="H131" s="6" t="s">
        <v>574</v>
      </c>
    </row>
    <row r="132" spans="1:8">
      <c r="A132" s="27" t="s">
        <v>760</v>
      </c>
      <c r="B132" s="27" t="s">
        <v>761</v>
      </c>
      <c r="C132" s="27" t="s">
        <v>79</v>
      </c>
      <c r="D132" s="27" t="s">
        <v>603</v>
      </c>
      <c r="E132" s="27" t="s">
        <v>762</v>
      </c>
      <c r="F132" s="27"/>
      <c r="G132" s="27" t="s">
        <v>1963</v>
      </c>
      <c r="H132" s="27" t="s">
        <v>574</v>
      </c>
    </row>
    <row r="133" spans="1:8">
      <c r="A133" s="6" t="s">
        <v>764</v>
      </c>
      <c r="B133" s="6" t="s">
        <v>766</v>
      </c>
      <c r="C133" s="6" t="s">
        <v>79</v>
      </c>
      <c r="D133" s="6" t="s">
        <v>768</v>
      </c>
      <c r="E133" s="6" t="s">
        <v>769</v>
      </c>
      <c r="F133" s="6"/>
      <c r="G133" s="6" t="s">
        <v>1993</v>
      </c>
      <c r="H133" s="6" t="s">
        <v>161</v>
      </c>
    </row>
    <row r="134" spans="1:8">
      <c r="A134" s="27" t="s">
        <v>772</v>
      </c>
      <c r="B134" s="27" t="s">
        <v>773</v>
      </c>
      <c r="C134" s="27" t="s">
        <v>79</v>
      </c>
      <c r="D134" s="27" t="s">
        <v>768</v>
      </c>
      <c r="E134" s="27" t="s">
        <v>775</v>
      </c>
      <c r="F134" s="27"/>
      <c r="G134" s="27" t="s">
        <v>1994</v>
      </c>
      <c r="H134" s="27" t="s">
        <v>161</v>
      </c>
    </row>
    <row r="135" spans="1:8">
      <c r="A135" s="6" t="s">
        <v>777</v>
      </c>
      <c r="B135" s="6" t="s">
        <v>778</v>
      </c>
      <c r="C135" s="6" t="s">
        <v>79</v>
      </c>
      <c r="D135" s="6" t="s">
        <v>768</v>
      </c>
      <c r="E135" s="6" t="s">
        <v>779</v>
      </c>
      <c r="F135" s="6"/>
      <c r="G135" s="6" t="s">
        <v>1995</v>
      </c>
      <c r="H135" s="6" t="s">
        <v>161</v>
      </c>
    </row>
    <row r="136" spans="1:8">
      <c r="A136" s="27" t="s">
        <v>781</v>
      </c>
      <c r="B136" s="27" t="s">
        <v>782</v>
      </c>
      <c r="C136" s="27" t="s">
        <v>79</v>
      </c>
      <c r="D136" s="27" t="s">
        <v>783</v>
      </c>
      <c r="E136" s="27" t="s">
        <v>784</v>
      </c>
      <c r="F136" s="27"/>
      <c r="G136" s="27" t="s">
        <v>1996</v>
      </c>
      <c r="H136" s="27" t="s">
        <v>254</v>
      </c>
    </row>
    <row r="137" spans="1:8" ht="15.6" customHeight="1">
      <c r="A137" s="6" t="s">
        <v>786</v>
      </c>
      <c r="B137" s="6" t="s">
        <v>787</v>
      </c>
      <c r="C137" s="6" t="s">
        <v>79</v>
      </c>
      <c r="D137" s="6" t="s">
        <v>788</v>
      </c>
      <c r="E137" s="6" t="s">
        <v>789</v>
      </c>
      <c r="F137" s="6"/>
      <c r="G137" s="41" t="s">
        <v>1997</v>
      </c>
      <c r="H137" s="6" t="s">
        <v>161</v>
      </c>
    </row>
    <row r="138" spans="1:8">
      <c r="A138" s="27" t="s">
        <v>792</v>
      </c>
      <c r="B138" s="27" t="s">
        <v>793</v>
      </c>
      <c r="C138" s="27" t="s">
        <v>79</v>
      </c>
      <c r="D138" s="27" t="s">
        <v>732</v>
      </c>
      <c r="E138" s="27" t="s">
        <v>794</v>
      </c>
      <c r="F138" s="27"/>
      <c r="G138" s="27" t="s">
        <v>1998</v>
      </c>
      <c r="H138" s="27" t="s">
        <v>161</v>
      </c>
    </row>
    <row r="139" spans="1:8">
      <c r="A139" s="6" t="s">
        <v>796</v>
      </c>
      <c r="B139" s="6" t="s">
        <v>797</v>
      </c>
      <c r="C139" s="6" t="s">
        <v>79</v>
      </c>
      <c r="D139" s="6" t="s">
        <v>798</v>
      </c>
      <c r="E139" s="6" t="s">
        <v>799</v>
      </c>
      <c r="F139" s="6"/>
      <c r="G139" s="6" t="s">
        <v>1999</v>
      </c>
      <c r="H139" s="6" t="s">
        <v>161</v>
      </c>
    </row>
    <row r="140" spans="1:8">
      <c r="A140" s="27" t="s">
        <v>801</v>
      </c>
      <c r="B140" s="27" t="s">
        <v>802</v>
      </c>
      <c r="C140" s="27" t="s">
        <v>79</v>
      </c>
      <c r="D140" s="27" t="s">
        <v>803</v>
      </c>
      <c r="E140" s="27" t="s">
        <v>804</v>
      </c>
      <c r="F140" s="27"/>
      <c r="G140" s="27" t="s">
        <v>2000</v>
      </c>
      <c r="H140" s="27" t="s">
        <v>161</v>
      </c>
    </row>
    <row r="141" spans="1:8">
      <c r="A141" s="6" t="s">
        <v>807</v>
      </c>
      <c r="B141" s="6" t="s">
        <v>808</v>
      </c>
      <c r="C141" s="6" t="s">
        <v>79</v>
      </c>
      <c r="D141" s="6" t="s">
        <v>743</v>
      </c>
      <c r="E141" s="6" t="s">
        <v>809</v>
      </c>
      <c r="F141" s="6"/>
      <c r="G141" s="6" t="s">
        <v>2001</v>
      </c>
      <c r="H141" s="6" t="s">
        <v>161</v>
      </c>
    </row>
    <row r="142" spans="1:8">
      <c r="A142" s="27" t="s">
        <v>811</v>
      </c>
      <c r="B142" s="27" t="s">
        <v>812</v>
      </c>
      <c r="C142" s="27" t="s">
        <v>79</v>
      </c>
      <c r="D142" s="27" t="s">
        <v>603</v>
      </c>
      <c r="E142" s="27" t="s">
        <v>813</v>
      </c>
      <c r="F142" s="27"/>
      <c r="G142" s="27" t="s">
        <v>1963</v>
      </c>
      <c r="H142" s="27" t="s">
        <v>574</v>
      </c>
    </row>
    <row r="143" spans="1:8">
      <c r="A143" s="6" t="s">
        <v>815</v>
      </c>
      <c r="B143" s="6" t="s">
        <v>817</v>
      </c>
      <c r="C143" s="6" t="s">
        <v>79</v>
      </c>
      <c r="D143" s="6" t="s">
        <v>803</v>
      </c>
      <c r="E143" s="6" t="s">
        <v>818</v>
      </c>
      <c r="F143" s="6"/>
      <c r="G143" s="6" t="s">
        <v>2002</v>
      </c>
      <c r="H143" s="6" t="s">
        <v>161</v>
      </c>
    </row>
    <row r="144" spans="1:8">
      <c r="A144" s="27" t="s">
        <v>820</v>
      </c>
      <c r="B144" s="27" t="s">
        <v>822</v>
      </c>
      <c r="C144" s="27" t="s">
        <v>79</v>
      </c>
      <c r="D144" s="27" t="s">
        <v>732</v>
      </c>
      <c r="E144" s="27" t="s">
        <v>823</v>
      </c>
      <c r="F144" s="27"/>
      <c r="G144" s="27" t="s">
        <v>2003</v>
      </c>
      <c r="H144" s="27" t="s">
        <v>161</v>
      </c>
    </row>
    <row r="145" spans="1:8">
      <c r="A145" s="6" t="s">
        <v>825</v>
      </c>
      <c r="B145" s="6" t="s">
        <v>827</v>
      </c>
      <c r="C145" s="6" t="s">
        <v>79</v>
      </c>
      <c r="D145" s="6" t="s">
        <v>732</v>
      </c>
      <c r="E145" s="6" t="s">
        <v>828</v>
      </c>
      <c r="F145" s="6"/>
      <c r="G145" s="6" t="s">
        <v>2004</v>
      </c>
      <c r="H145" s="6" t="s">
        <v>161</v>
      </c>
    </row>
    <row r="146" spans="1:8">
      <c r="A146" s="27" t="s">
        <v>830</v>
      </c>
      <c r="B146" s="27" t="s">
        <v>831</v>
      </c>
      <c r="C146" s="27" t="s">
        <v>79</v>
      </c>
      <c r="D146" s="27" t="s">
        <v>732</v>
      </c>
      <c r="E146" s="27" t="s">
        <v>832</v>
      </c>
      <c r="F146" s="27"/>
      <c r="G146" s="27" t="s">
        <v>2005</v>
      </c>
      <c r="H146" s="27" t="s">
        <v>161</v>
      </c>
    </row>
    <row r="147" spans="1:8">
      <c r="A147" s="6" t="s">
        <v>834</v>
      </c>
      <c r="B147" s="6" t="s">
        <v>835</v>
      </c>
      <c r="C147" s="6" t="s">
        <v>79</v>
      </c>
      <c r="D147" s="6" t="s">
        <v>732</v>
      </c>
      <c r="E147" s="6" t="s">
        <v>836</v>
      </c>
      <c r="F147" s="6"/>
      <c r="G147" s="6" t="s">
        <v>2006</v>
      </c>
      <c r="H147" s="6" t="s">
        <v>161</v>
      </c>
    </row>
    <row r="148" spans="1:8">
      <c r="A148" s="27" t="s">
        <v>838</v>
      </c>
      <c r="B148" s="27" t="s">
        <v>839</v>
      </c>
      <c r="C148" s="27" t="s">
        <v>79</v>
      </c>
      <c r="D148" s="27" t="s">
        <v>788</v>
      </c>
      <c r="E148" s="27" t="s">
        <v>840</v>
      </c>
      <c r="F148" s="27"/>
      <c r="G148" s="27" t="s">
        <v>2007</v>
      </c>
      <c r="H148" s="27" t="s">
        <v>161</v>
      </c>
    </row>
    <row r="149" spans="1:8">
      <c r="A149" s="6" t="s">
        <v>843</v>
      </c>
      <c r="B149" s="6" t="s">
        <v>844</v>
      </c>
      <c r="C149" s="6" t="s">
        <v>79</v>
      </c>
      <c r="D149" s="6" t="s">
        <v>845</v>
      </c>
      <c r="E149" s="6" t="s">
        <v>846</v>
      </c>
      <c r="F149" s="6"/>
      <c r="G149" s="6" t="s">
        <v>2008</v>
      </c>
      <c r="H149" s="6" t="s">
        <v>161</v>
      </c>
    </row>
    <row r="150" spans="1:8" ht="15.6" customHeight="1">
      <c r="A150" s="27" t="s">
        <v>848</v>
      </c>
      <c r="B150" s="27" t="s">
        <v>850</v>
      </c>
      <c r="C150" s="27" t="s">
        <v>80</v>
      </c>
      <c r="D150" s="27" t="s">
        <v>851</v>
      </c>
      <c r="E150" s="27" t="s">
        <v>852</v>
      </c>
      <c r="F150" s="27" t="s">
        <v>1902</v>
      </c>
      <c r="G150" s="41" t="s">
        <v>2009</v>
      </c>
      <c r="H150" s="27" t="s">
        <v>161</v>
      </c>
    </row>
    <row r="151" spans="1:8" ht="15.6" customHeight="1">
      <c r="A151" s="6" t="s">
        <v>855</v>
      </c>
      <c r="B151" s="6" t="s">
        <v>856</v>
      </c>
      <c r="C151" s="6" t="s">
        <v>80</v>
      </c>
      <c r="D151" s="6" t="s">
        <v>851</v>
      </c>
      <c r="E151" s="6" t="s">
        <v>857</v>
      </c>
      <c r="F151" s="6" t="s">
        <v>1902</v>
      </c>
      <c r="G151" s="41" t="s">
        <v>2010</v>
      </c>
      <c r="H151" s="6" t="s">
        <v>161</v>
      </c>
    </row>
    <row r="152" spans="1:8">
      <c r="A152" s="27" t="s">
        <v>860</v>
      </c>
      <c r="B152" s="27" t="s">
        <v>861</v>
      </c>
      <c r="C152" s="27" t="s">
        <v>80</v>
      </c>
      <c r="D152" s="27" t="s">
        <v>862</v>
      </c>
      <c r="E152" s="27" t="s">
        <v>863</v>
      </c>
      <c r="F152" s="27"/>
      <c r="G152" s="27" t="s">
        <v>2011</v>
      </c>
      <c r="H152" s="27" t="s">
        <v>161</v>
      </c>
    </row>
    <row r="153" spans="1:8">
      <c r="A153" s="6" t="s">
        <v>866</v>
      </c>
      <c r="B153" s="6" t="s">
        <v>867</v>
      </c>
      <c r="C153" s="6" t="s">
        <v>80</v>
      </c>
      <c r="D153" s="6" t="s">
        <v>868</v>
      </c>
      <c r="E153" s="6"/>
      <c r="F153" s="6"/>
      <c r="G153" s="6"/>
      <c r="H153" s="6" t="s">
        <v>129</v>
      </c>
    </row>
    <row r="154" spans="1:8">
      <c r="A154" s="27" t="s">
        <v>869</v>
      </c>
      <c r="B154" s="27" t="s">
        <v>870</v>
      </c>
      <c r="C154" s="27" t="s">
        <v>80</v>
      </c>
      <c r="D154" s="27" t="s">
        <v>872</v>
      </c>
      <c r="E154" s="27" t="s">
        <v>873</v>
      </c>
      <c r="F154" s="27"/>
      <c r="G154" s="27" t="s">
        <v>2012</v>
      </c>
      <c r="H154" s="27" t="s">
        <v>129</v>
      </c>
    </row>
    <row r="155" spans="1:8">
      <c r="A155" s="6" t="s">
        <v>875</v>
      </c>
      <c r="B155" s="6" t="s">
        <v>877</v>
      </c>
      <c r="C155" s="6" t="s">
        <v>80</v>
      </c>
      <c r="D155" s="6" t="s">
        <v>878</v>
      </c>
      <c r="E155" s="6"/>
      <c r="F155" s="6" t="s">
        <v>1902</v>
      </c>
      <c r="G155" s="6" t="s">
        <v>1988</v>
      </c>
      <c r="H155" s="6" t="s">
        <v>879</v>
      </c>
    </row>
    <row r="156" spans="1:8">
      <c r="A156" s="27" t="s">
        <v>881</v>
      </c>
      <c r="B156" s="27" t="s">
        <v>883</v>
      </c>
      <c r="C156" s="27" t="s">
        <v>80</v>
      </c>
      <c r="D156" s="27" t="s">
        <v>586</v>
      </c>
      <c r="E156" s="27" t="s">
        <v>884</v>
      </c>
      <c r="F156" s="27" t="s">
        <v>1902</v>
      </c>
      <c r="G156" s="27" t="s">
        <v>2013</v>
      </c>
      <c r="H156" s="27" t="s">
        <v>588</v>
      </c>
    </row>
    <row r="157" spans="1:8">
      <c r="A157" s="6" t="s">
        <v>886</v>
      </c>
      <c r="B157" s="6" t="s">
        <v>888</v>
      </c>
      <c r="C157" s="6" t="s">
        <v>80</v>
      </c>
      <c r="D157" s="6" t="s">
        <v>586</v>
      </c>
      <c r="E157" s="6" t="s">
        <v>889</v>
      </c>
      <c r="F157" s="6" t="s">
        <v>1902</v>
      </c>
      <c r="G157" s="6" t="s">
        <v>2014</v>
      </c>
      <c r="H157" s="6" t="s">
        <v>588</v>
      </c>
    </row>
    <row r="158" spans="1:8" ht="15.6" customHeight="1">
      <c r="A158" s="27" t="s">
        <v>891</v>
      </c>
      <c r="B158" s="27" t="s">
        <v>892</v>
      </c>
      <c r="C158" s="27" t="s">
        <v>80</v>
      </c>
      <c r="D158" s="27" t="s">
        <v>868</v>
      </c>
      <c r="E158" s="27" t="s">
        <v>893</v>
      </c>
      <c r="F158" s="27"/>
      <c r="G158" s="41" t="s">
        <v>2015</v>
      </c>
      <c r="H158" s="27" t="s">
        <v>161</v>
      </c>
    </row>
    <row r="159" spans="1:8">
      <c r="A159" s="6" t="s">
        <v>896</v>
      </c>
      <c r="B159" s="6" t="s">
        <v>897</v>
      </c>
      <c r="C159" s="6" t="s">
        <v>80</v>
      </c>
      <c r="D159" s="6" t="s">
        <v>899</v>
      </c>
      <c r="E159" s="6" t="s">
        <v>900</v>
      </c>
      <c r="F159" s="6"/>
      <c r="G159" s="6" t="s">
        <v>2016</v>
      </c>
      <c r="H159" s="6" t="s">
        <v>161</v>
      </c>
    </row>
    <row r="160" spans="1:8">
      <c r="A160" s="27" t="s">
        <v>903</v>
      </c>
      <c r="B160" s="27" t="s">
        <v>904</v>
      </c>
      <c r="C160" s="27" t="s">
        <v>80</v>
      </c>
      <c r="D160" s="27" t="s">
        <v>905</v>
      </c>
      <c r="E160" s="27" t="s">
        <v>906</v>
      </c>
      <c r="F160" s="27"/>
      <c r="G160" s="27" t="s">
        <v>2017</v>
      </c>
      <c r="H160" s="27" t="s">
        <v>161</v>
      </c>
    </row>
    <row r="161" spans="1:8">
      <c r="A161" s="6" t="s">
        <v>909</v>
      </c>
      <c r="B161" s="6" t="s">
        <v>910</v>
      </c>
      <c r="C161" s="6" t="s">
        <v>80</v>
      </c>
      <c r="D161" s="6" t="s">
        <v>586</v>
      </c>
      <c r="E161" s="6" t="s">
        <v>911</v>
      </c>
      <c r="F161" s="6" t="s">
        <v>1902</v>
      </c>
      <c r="G161" s="6" t="s">
        <v>2018</v>
      </c>
      <c r="H161" s="6" t="s">
        <v>588</v>
      </c>
    </row>
    <row r="162" spans="1:8">
      <c r="A162" s="27" t="s">
        <v>914</v>
      </c>
      <c r="B162" s="27" t="s">
        <v>915</v>
      </c>
      <c r="C162" s="27" t="s">
        <v>80</v>
      </c>
      <c r="D162" s="27" t="s">
        <v>916</v>
      </c>
      <c r="E162" s="27" t="s">
        <v>917</v>
      </c>
      <c r="F162" s="27"/>
      <c r="G162" s="27" t="s">
        <v>2019</v>
      </c>
      <c r="H162" s="27" t="s">
        <v>161</v>
      </c>
    </row>
    <row r="163" spans="1:8">
      <c r="A163" s="6" t="s">
        <v>919</v>
      </c>
      <c r="B163" s="6" t="s">
        <v>920</v>
      </c>
      <c r="C163" s="6" t="s">
        <v>80</v>
      </c>
      <c r="D163" s="6" t="s">
        <v>916</v>
      </c>
      <c r="E163" s="6" t="s">
        <v>921</v>
      </c>
      <c r="F163" s="6"/>
      <c r="G163" s="6" t="s">
        <v>2020</v>
      </c>
      <c r="H163" s="6" t="s">
        <v>161</v>
      </c>
    </row>
    <row r="164" spans="1:8">
      <c r="A164" s="27" t="s">
        <v>923</v>
      </c>
      <c r="B164" s="27" t="s">
        <v>924</v>
      </c>
      <c r="C164" s="27" t="s">
        <v>80</v>
      </c>
      <c r="D164" s="27" t="s">
        <v>899</v>
      </c>
      <c r="E164" s="27" t="s">
        <v>925</v>
      </c>
      <c r="F164" s="27"/>
      <c r="G164" s="27" t="s">
        <v>2021</v>
      </c>
      <c r="H164" s="27" t="s">
        <v>161</v>
      </c>
    </row>
    <row r="165" spans="1:8">
      <c r="A165" s="6" t="s">
        <v>928</v>
      </c>
      <c r="B165" s="6" t="s">
        <v>929</v>
      </c>
      <c r="C165" s="6" t="s">
        <v>80</v>
      </c>
      <c r="D165" s="6" t="s">
        <v>931</v>
      </c>
      <c r="E165" s="6"/>
      <c r="F165" s="6"/>
      <c r="G165" s="6"/>
      <c r="H165" s="6" t="s">
        <v>129</v>
      </c>
    </row>
    <row r="166" spans="1:8">
      <c r="A166" s="27" t="s">
        <v>933</v>
      </c>
      <c r="B166" s="27" t="s">
        <v>934</v>
      </c>
      <c r="C166" s="27" t="s">
        <v>80</v>
      </c>
      <c r="D166" s="27" t="s">
        <v>204</v>
      </c>
      <c r="E166" s="27" t="s">
        <v>935</v>
      </c>
      <c r="F166" s="27"/>
      <c r="G166" s="27" t="s">
        <v>2022</v>
      </c>
      <c r="H166" s="27" t="s">
        <v>129</v>
      </c>
    </row>
    <row r="167" spans="1:8">
      <c r="A167" s="6" t="s">
        <v>937</v>
      </c>
      <c r="B167" s="6" t="s">
        <v>939</v>
      </c>
      <c r="C167" s="6" t="s">
        <v>80</v>
      </c>
      <c r="D167" s="6" t="s">
        <v>916</v>
      </c>
      <c r="E167" s="6" t="s">
        <v>941</v>
      </c>
      <c r="F167" s="6"/>
      <c r="G167" s="6" t="s">
        <v>2023</v>
      </c>
      <c r="H167" s="6" t="s">
        <v>161</v>
      </c>
    </row>
    <row r="168" spans="1:8">
      <c r="A168" s="27" t="s">
        <v>943</v>
      </c>
      <c r="B168" s="27" t="s">
        <v>944</v>
      </c>
      <c r="C168" s="27" t="s">
        <v>80</v>
      </c>
      <c r="D168" s="27" t="s">
        <v>916</v>
      </c>
      <c r="E168" s="27" t="s">
        <v>946</v>
      </c>
      <c r="F168" s="27"/>
      <c r="G168" s="27" t="s">
        <v>2024</v>
      </c>
      <c r="H168" s="27" t="s">
        <v>161</v>
      </c>
    </row>
    <row r="169" spans="1:8">
      <c r="A169" s="6" t="s">
        <v>949</v>
      </c>
      <c r="B169" s="6" t="s">
        <v>950</v>
      </c>
      <c r="C169" s="6" t="s">
        <v>80</v>
      </c>
      <c r="D169" s="6" t="s">
        <v>952</v>
      </c>
      <c r="E169" s="6" t="s">
        <v>953</v>
      </c>
      <c r="F169" s="6"/>
      <c r="G169" s="6" t="s">
        <v>2025</v>
      </c>
      <c r="H169" s="6" t="s">
        <v>161</v>
      </c>
    </row>
    <row r="170" spans="1:8">
      <c r="A170" s="27" t="s">
        <v>955</v>
      </c>
      <c r="B170" s="27" t="s">
        <v>956</v>
      </c>
      <c r="C170" s="27" t="s">
        <v>80</v>
      </c>
      <c r="D170" s="27" t="s">
        <v>952</v>
      </c>
      <c r="E170" s="27" t="s">
        <v>957</v>
      </c>
      <c r="F170" s="27"/>
      <c r="G170" s="27" t="s">
        <v>2026</v>
      </c>
      <c r="H170" s="27" t="s">
        <v>161</v>
      </c>
    </row>
    <row r="171" spans="1:8">
      <c r="A171" s="6" t="s">
        <v>959</v>
      </c>
      <c r="B171" s="6" t="s">
        <v>960</v>
      </c>
      <c r="C171" s="6" t="s">
        <v>80</v>
      </c>
      <c r="D171" s="6" t="s">
        <v>952</v>
      </c>
      <c r="E171" s="6" t="s">
        <v>961</v>
      </c>
      <c r="F171" s="6"/>
      <c r="G171" s="6" t="s">
        <v>2027</v>
      </c>
      <c r="H171" s="6" t="s">
        <v>161</v>
      </c>
    </row>
    <row r="172" spans="1:8">
      <c r="A172" s="27" t="s">
        <v>963</v>
      </c>
      <c r="B172" s="27" t="s">
        <v>964</v>
      </c>
      <c r="C172" s="27" t="s">
        <v>80</v>
      </c>
      <c r="D172" s="27" t="s">
        <v>952</v>
      </c>
      <c r="E172" s="27" t="s">
        <v>965</v>
      </c>
      <c r="F172" s="27"/>
      <c r="G172" s="27" t="s">
        <v>2028</v>
      </c>
      <c r="H172" s="27" t="s">
        <v>161</v>
      </c>
    </row>
    <row r="173" spans="1:8">
      <c r="A173" s="6" t="s">
        <v>967</v>
      </c>
      <c r="B173" s="6" t="s">
        <v>969</v>
      </c>
      <c r="C173" s="6" t="s">
        <v>80</v>
      </c>
      <c r="D173" s="6" t="s">
        <v>905</v>
      </c>
      <c r="E173" s="6" t="s">
        <v>970</v>
      </c>
      <c r="F173" s="6"/>
      <c r="G173" s="6" t="s">
        <v>2029</v>
      </c>
      <c r="H173" s="6" t="s">
        <v>161</v>
      </c>
    </row>
    <row r="174" spans="1:8">
      <c r="A174" s="27" t="s">
        <v>972</v>
      </c>
      <c r="B174" s="27" t="s">
        <v>973</v>
      </c>
      <c r="C174" s="27" t="s">
        <v>80</v>
      </c>
      <c r="D174" s="27" t="s">
        <v>905</v>
      </c>
      <c r="E174" s="27" t="s">
        <v>974</v>
      </c>
      <c r="F174" s="27"/>
      <c r="G174" s="27" t="s">
        <v>2030</v>
      </c>
      <c r="H174" s="27" t="s">
        <v>161</v>
      </c>
    </row>
    <row r="175" spans="1:8" ht="15.6" customHeight="1">
      <c r="A175" s="6" t="s">
        <v>976</v>
      </c>
      <c r="B175" s="6" t="s">
        <v>978</v>
      </c>
      <c r="C175" s="6" t="s">
        <v>80</v>
      </c>
      <c r="D175" s="6" t="s">
        <v>204</v>
      </c>
      <c r="E175" s="6" t="s">
        <v>980</v>
      </c>
      <c r="F175" s="6"/>
      <c r="G175" s="41" t="s">
        <v>2031</v>
      </c>
      <c r="H175" s="6" t="s">
        <v>161</v>
      </c>
    </row>
    <row r="176" spans="1:8">
      <c r="A176" s="27" t="s">
        <v>982</v>
      </c>
      <c r="B176" s="27" t="s">
        <v>983</v>
      </c>
      <c r="C176" s="27" t="s">
        <v>80</v>
      </c>
      <c r="D176" s="27" t="s">
        <v>985</v>
      </c>
      <c r="E176" s="27" t="s">
        <v>986</v>
      </c>
      <c r="F176" s="27"/>
      <c r="G176" s="27" t="s">
        <v>2032</v>
      </c>
      <c r="H176" s="27" t="s">
        <v>161</v>
      </c>
    </row>
    <row r="177" spans="1:8">
      <c r="A177" s="6" t="s">
        <v>988</v>
      </c>
      <c r="B177" s="6" t="s">
        <v>989</v>
      </c>
      <c r="C177" s="6" t="s">
        <v>80</v>
      </c>
      <c r="D177" s="6" t="s">
        <v>916</v>
      </c>
      <c r="E177" s="6" t="s">
        <v>990</v>
      </c>
      <c r="F177" s="6"/>
      <c r="G177" s="6" t="s">
        <v>2033</v>
      </c>
      <c r="H177" s="6" t="s">
        <v>161</v>
      </c>
    </row>
    <row r="178" spans="1:8">
      <c r="A178" s="27" t="s">
        <v>992</v>
      </c>
      <c r="B178" s="27" t="s">
        <v>993</v>
      </c>
      <c r="C178" s="27" t="s">
        <v>80</v>
      </c>
      <c r="D178" s="27" t="s">
        <v>204</v>
      </c>
      <c r="E178" s="27" t="s">
        <v>994</v>
      </c>
      <c r="F178" s="27"/>
      <c r="G178" s="27" t="s">
        <v>2034</v>
      </c>
      <c r="H178" s="27" t="s">
        <v>161</v>
      </c>
    </row>
    <row r="179" spans="1:8">
      <c r="A179" s="6" t="s">
        <v>996</v>
      </c>
      <c r="B179" s="6" t="s">
        <v>997</v>
      </c>
      <c r="C179" s="6" t="s">
        <v>80</v>
      </c>
      <c r="D179" s="6" t="s">
        <v>204</v>
      </c>
      <c r="E179" s="6" t="s">
        <v>999</v>
      </c>
      <c r="F179" s="6"/>
      <c r="G179" s="6" t="s">
        <v>2035</v>
      </c>
      <c r="H179" s="6" t="s">
        <v>161</v>
      </c>
    </row>
    <row r="180" spans="1:8" ht="15.6" customHeight="1">
      <c r="A180" s="27" t="s">
        <v>1001</v>
      </c>
      <c r="B180" s="27" t="s">
        <v>1003</v>
      </c>
      <c r="C180" s="27" t="s">
        <v>80</v>
      </c>
      <c r="D180" s="27" t="s">
        <v>1004</v>
      </c>
      <c r="E180" s="27" t="s">
        <v>1005</v>
      </c>
      <c r="F180" s="27"/>
      <c r="G180" s="41" t="s">
        <v>2036</v>
      </c>
      <c r="H180" s="27" t="s">
        <v>161</v>
      </c>
    </row>
    <row r="181" spans="1:8">
      <c r="A181" s="6" t="s">
        <v>1007</v>
      </c>
      <c r="B181" s="6" t="s">
        <v>1008</v>
      </c>
      <c r="C181" s="6" t="s">
        <v>80</v>
      </c>
      <c r="D181" s="6" t="s">
        <v>916</v>
      </c>
      <c r="E181" s="6" t="s">
        <v>1010</v>
      </c>
      <c r="F181" s="6"/>
      <c r="G181" s="6" t="s">
        <v>2037</v>
      </c>
      <c r="H181" s="6" t="s">
        <v>161</v>
      </c>
    </row>
    <row r="182" spans="1:8">
      <c r="A182" s="27" t="s">
        <v>1012</v>
      </c>
      <c r="B182" s="27" t="s">
        <v>1014</v>
      </c>
      <c r="C182" s="27" t="s">
        <v>80</v>
      </c>
      <c r="D182" s="27" t="s">
        <v>899</v>
      </c>
      <c r="E182" s="27" t="s">
        <v>1015</v>
      </c>
      <c r="F182" s="27"/>
      <c r="G182" s="27" t="s">
        <v>2038</v>
      </c>
      <c r="H182" s="27" t="s">
        <v>161</v>
      </c>
    </row>
    <row r="183" spans="1:8" ht="15.6" customHeight="1">
      <c r="A183" s="6" t="s">
        <v>1017</v>
      </c>
      <c r="B183" s="6" t="s">
        <v>1019</v>
      </c>
      <c r="C183" s="6" t="s">
        <v>81</v>
      </c>
      <c r="D183" s="6" t="s">
        <v>714</v>
      </c>
      <c r="E183" s="6" t="s">
        <v>1020</v>
      </c>
      <c r="F183" s="6" t="s">
        <v>1902</v>
      </c>
      <c r="G183" s="41" t="s">
        <v>2039</v>
      </c>
      <c r="H183" s="6" t="s">
        <v>161</v>
      </c>
    </row>
    <row r="184" spans="1:8" ht="15.6" customHeight="1">
      <c r="A184" s="27" t="s">
        <v>1022</v>
      </c>
      <c r="B184" s="27" t="s">
        <v>1023</v>
      </c>
      <c r="C184" s="27" t="s">
        <v>81</v>
      </c>
      <c r="D184" s="27" t="s">
        <v>714</v>
      </c>
      <c r="E184" s="27" t="s">
        <v>1024</v>
      </c>
      <c r="F184" s="27" t="s">
        <v>1902</v>
      </c>
      <c r="G184" s="41" t="s">
        <v>2040</v>
      </c>
      <c r="H184" s="27" t="s">
        <v>161</v>
      </c>
    </row>
    <row r="185" spans="1:8">
      <c r="A185" s="6" t="s">
        <v>1027</v>
      </c>
      <c r="B185" s="6" t="s">
        <v>1028</v>
      </c>
      <c r="C185" s="6" t="s">
        <v>81</v>
      </c>
      <c r="D185" s="6" t="s">
        <v>714</v>
      </c>
      <c r="E185" s="6" t="s">
        <v>1029</v>
      </c>
      <c r="F185" s="6" t="s">
        <v>1902</v>
      </c>
      <c r="G185" s="6" t="s">
        <v>2041</v>
      </c>
      <c r="H185" s="6" t="s">
        <v>161</v>
      </c>
    </row>
    <row r="186" spans="1:8">
      <c r="A186" s="27" t="s">
        <v>1032</v>
      </c>
      <c r="B186" s="27" t="s">
        <v>1033</v>
      </c>
      <c r="C186" s="27" t="s">
        <v>81</v>
      </c>
      <c r="D186" s="27" t="s">
        <v>714</v>
      </c>
      <c r="E186" s="27"/>
      <c r="F186" s="27" t="s">
        <v>1902</v>
      </c>
      <c r="G186" s="27" t="s">
        <v>1988</v>
      </c>
      <c r="H186" s="27" t="s">
        <v>129</v>
      </c>
    </row>
    <row r="187" spans="1:8">
      <c r="A187" s="6" t="s">
        <v>1035</v>
      </c>
      <c r="B187" s="6" t="s">
        <v>1036</v>
      </c>
      <c r="C187" s="6" t="s">
        <v>81</v>
      </c>
      <c r="D187" s="6" t="s">
        <v>710</v>
      </c>
      <c r="E187" s="6"/>
      <c r="F187" s="6" t="s">
        <v>1902</v>
      </c>
      <c r="G187" s="6"/>
      <c r="H187" s="6" t="s">
        <v>129</v>
      </c>
    </row>
    <row r="188" spans="1:8">
      <c r="A188" s="27" t="s">
        <v>1037</v>
      </c>
      <c r="B188" s="27" t="s">
        <v>1038</v>
      </c>
      <c r="C188" s="27" t="s">
        <v>81</v>
      </c>
      <c r="D188" s="27" t="s">
        <v>273</v>
      </c>
      <c r="E188" s="27"/>
      <c r="F188" s="27" t="s">
        <v>1902</v>
      </c>
      <c r="G188" s="27" t="s">
        <v>1988</v>
      </c>
      <c r="H188" s="27" t="s">
        <v>129</v>
      </c>
    </row>
    <row r="189" spans="1:8">
      <c r="A189" s="6" t="s">
        <v>1040</v>
      </c>
      <c r="B189" s="6" t="s">
        <v>1041</v>
      </c>
      <c r="C189" s="6" t="s">
        <v>81</v>
      </c>
      <c r="D189" s="6" t="s">
        <v>1043</v>
      </c>
      <c r="E189" s="6"/>
      <c r="F189" s="6" t="s">
        <v>1902</v>
      </c>
      <c r="G189" s="6" t="s">
        <v>1988</v>
      </c>
      <c r="H189" s="6" t="s">
        <v>129</v>
      </c>
    </row>
    <row r="190" spans="1:8">
      <c r="A190" s="27" t="s">
        <v>1045</v>
      </c>
      <c r="B190" s="27" t="s">
        <v>1047</v>
      </c>
      <c r="C190" s="27" t="s">
        <v>81</v>
      </c>
      <c r="D190" s="27" t="s">
        <v>1048</v>
      </c>
      <c r="E190" s="27"/>
      <c r="F190" s="27" t="s">
        <v>1902</v>
      </c>
      <c r="G190" s="27" t="s">
        <v>1988</v>
      </c>
      <c r="H190" s="27" t="s">
        <v>879</v>
      </c>
    </row>
    <row r="191" spans="1:8" ht="15.6" customHeight="1">
      <c r="A191" s="6" t="s">
        <v>1050</v>
      </c>
      <c r="B191" s="6" t="s">
        <v>787</v>
      </c>
      <c r="C191" s="6" t="s">
        <v>81</v>
      </c>
      <c r="D191" s="6" t="s">
        <v>788</v>
      </c>
      <c r="E191" s="6" t="s">
        <v>789</v>
      </c>
      <c r="F191" s="6"/>
      <c r="G191" s="41" t="s">
        <v>1997</v>
      </c>
      <c r="H191" s="6" t="s">
        <v>161</v>
      </c>
    </row>
    <row r="192" spans="1:8">
      <c r="A192" s="27" t="s">
        <v>1052</v>
      </c>
      <c r="B192" s="27" t="s">
        <v>1054</v>
      </c>
      <c r="C192" s="27" t="s">
        <v>81</v>
      </c>
      <c r="D192" s="27" t="s">
        <v>788</v>
      </c>
      <c r="E192" s="27" t="s">
        <v>840</v>
      </c>
      <c r="F192" s="27"/>
      <c r="G192" s="27" t="s">
        <v>2007</v>
      </c>
      <c r="H192" s="27" t="s">
        <v>161</v>
      </c>
    </row>
    <row r="193" spans="1:8" ht="15.6" customHeight="1">
      <c r="A193" s="6" t="s">
        <v>1056</v>
      </c>
      <c r="B193" s="6" t="s">
        <v>1058</v>
      </c>
      <c r="C193" s="6" t="s">
        <v>81</v>
      </c>
      <c r="D193" s="6" t="s">
        <v>788</v>
      </c>
      <c r="E193" s="6" t="s">
        <v>1059</v>
      </c>
      <c r="F193" s="6"/>
      <c r="G193" s="41" t="s">
        <v>2042</v>
      </c>
      <c r="H193" s="6" t="s">
        <v>161</v>
      </c>
    </row>
    <row r="194" spans="1:8">
      <c r="A194" s="27" t="s">
        <v>1061</v>
      </c>
      <c r="B194" s="27" t="s">
        <v>1063</v>
      </c>
      <c r="C194" s="27" t="s">
        <v>81</v>
      </c>
      <c r="D194" s="27" t="s">
        <v>1065</v>
      </c>
      <c r="E194" s="27" t="s">
        <v>1066</v>
      </c>
      <c r="F194" s="27"/>
      <c r="G194" s="27" t="s">
        <v>2043</v>
      </c>
      <c r="H194" s="27" t="s">
        <v>1067</v>
      </c>
    </row>
    <row r="195" spans="1:8">
      <c r="A195" s="6" t="s">
        <v>1069</v>
      </c>
      <c r="B195" s="6" t="s">
        <v>1070</v>
      </c>
      <c r="C195" s="6" t="s">
        <v>81</v>
      </c>
      <c r="D195" s="6" t="s">
        <v>788</v>
      </c>
      <c r="E195" s="6" t="s">
        <v>1071</v>
      </c>
      <c r="F195" s="6"/>
      <c r="G195" s="6" t="s">
        <v>2044</v>
      </c>
      <c r="H195" s="6" t="s">
        <v>161</v>
      </c>
    </row>
    <row r="196" spans="1:8">
      <c r="A196" s="27" t="s">
        <v>1074</v>
      </c>
      <c r="B196" s="27" t="s">
        <v>1075</v>
      </c>
      <c r="C196" s="27" t="s">
        <v>81</v>
      </c>
      <c r="D196" s="27" t="s">
        <v>788</v>
      </c>
      <c r="E196" s="27" t="s">
        <v>1076</v>
      </c>
      <c r="F196" s="27"/>
      <c r="G196" s="27" t="s">
        <v>2045</v>
      </c>
      <c r="H196" s="27" t="s">
        <v>161</v>
      </c>
    </row>
    <row r="197" spans="1:8">
      <c r="A197" s="6" t="s">
        <v>1079</v>
      </c>
      <c r="B197" s="6" t="s">
        <v>1080</v>
      </c>
      <c r="C197" s="6" t="s">
        <v>81</v>
      </c>
      <c r="D197" s="6" t="s">
        <v>788</v>
      </c>
      <c r="E197" s="6" t="s">
        <v>1082</v>
      </c>
      <c r="F197" s="6"/>
      <c r="G197" s="6" t="s">
        <v>2046</v>
      </c>
      <c r="H197" s="6" t="s">
        <v>161</v>
      </c>
    </row>
    <row r="198" spans="1:8">
      <c r="A198" s="27" t="s">
        <v>1085</v>
      </c>
      <c r="B198" s="27" t="s">
        <v>1086</v>
      </c>
      <c r="C198" s="27" t="s">
        <v>81</v>
      </c>
      <c r="D198" s="27" t="s">
        <v>788</v>
      </c>
      <c r="E198" s="27" t="s">
        <v>1088</v>
      </c>
      <c r="F198" s="27"/>
      <c r="G198" s="27" t="s">
        <v>2047</v>
      </c>
      <c r="H198" s="27" t="s">
        <v>161</v>
      </c>
    </row>
    <row r="199" spans="1:8">
      <c r="A199" s="6" t="s">
        <v>1090</v>
      </c>
      <c r="B199" s="6" t="s">
        <v>1091</v>
      </c>
      <c r="C199" s="6" t="s">
        <v>81</v>
      </c>
      <c r="D199" s="6" t="s">
        <v>788</v>
      </c>
      <c r="E199" s="6" t="s">
        <v>1092</v>
      </c>
      <c r="F199" s="6"/>
      <c r="G199" s="6" t="s">
        <v>2048</v>
      </c>
      <c r="H199" s="6" t="s">
        <v>161</v>
      </c>
    </row>
    <row r="200" spans="1:8">
      <c r="A200" s="27" t="s">
        <v>1094</v>
      </c>
      <c r="B200" s="27" t="s">
        <v>1096</v>
      </c>
      <c r="C200" s="27" t="s">
        <v>81</v>
      </c>
      <c r="D200" s="27" t="s">
        <v>788</v>
      </c>
      <c r="E200" s="27" t="s">
        <v>1097</v>
      </c>
      <c r="F200" s="27"/>
      <c r="G200" s="27" t="s">
        <v>2049</v>
      </c>
      <c r="H200" s="27" t="s">
        <v>161</v>
      </c>
    </row>
    <row r="201" spans="1:8">
      <c r="A201" s="6" t="s">
        <v>1099</v>
      </c>
      <c r="B201" s="6" t="s">
        <v>1100</v>
      </c>
      <c r="C201" s="6" t="s">
        <v>81</v>
      </c>
      <c r="D201" s="6" t="s">
        <v>788</v>
      </c>
      <c r="E201" s="6" t="s">
        <v>1101</v>
      </c>
      <c r="F201" s="6"/>
      <c r="G201" s="6" t="s">
        <v>2050</v>
      </c>
      <c r="H201" s="6" t="s">
        <v>161</v>
      </c>
    </row>
    <row r="202" spans="1:8">
      <c r="A202" s="27" t="s">
        <v>1103</v>
      </c>
      <c r="B202" s="27" t="s">
        <v>1104</v>
      </c>
      <c r="C202" s="27" t="s">
        <v>81</v>
      </c>
      <c r="D202" s="27" t="s">
        <v>788</v>
      </c>
      <c r="E202" s="27" t="s">
        <v>1105</v>
      </c>
      <c r="F202" s="27"/>
      <c r="G202" s="27" t="s">
        <v>2051</v>
      </c>
      <c r="H202" s="27" t="s">
        <v>161</v>
      </c>
    </row>
    <row r="203" spans="1:8">
      <c r="A203" s="6" t="s">
        <v>1107</v>
      </c>
      <c r="B203" s="6" t="s">
        <v>1108</v>
      </c>
      <c r="C203" s="6" t="s">
        <v>81</v>
      </c>
      <c r="D203" s="6" t="s">
        <v>788</v>
      </c>
      <c r="E203" s="6" t="s">
        <v>1109</v>
      </c>
      <c r="F203" s="6"/>
      <c r="G203" s="6" t="s">
        <v>2052</v>
      </c>
      <c r="H203" s="6" t="s">
        <v>161</v>
      </c>
    </row>
    <row r="204" spans="1:8">
      <c r="A204" s="27" t="s">
        <v>1112</v>
      </c>
      <c r="B204" s="27" t="s">
        <v>1113</v>
      </c>
      <c r="C204" s="27" t="s">
        <v>81</v>
      </c>
      <c r="D204" s="27" t="s">
        <v>788</v>
      </c>
      <c r="E204" s="27" t="s">
        <v>1114</v>
      </c>
      <c r="F204" s="27"/>
      <c r="G204" s="27" t="s">
        <v>2053</v>
      </c>
      <c r="H204" s="27" t="s">
        <v>161</v>
      </c>
    </row>
    <row r="205" spans="1:8">
      <c r="A205" s="6" t="s">
        <v>1116</v>
      </c>
      <c r="B205" s="6" t="s">
        <v>1118</v>
      </c>
      <c r="C205" s="6" t="s">
        <v>81</v>
      </c>
      <c r="D205" s="6" t="s">
        <v>788</v>
      </c>
      <c r="E205" s="6" t="s">
        <v>1119</v>
      </c>
      <c r="F205" s="6"/>
      <c r="G205" s="6" t="s">
        <v>2054</v>
      </c>
      <c r="H205" s="6" t="s">
        <v>161</v>
      </c>
    </row>
    <row r="206" spans="1:8">
      <c r="A206" s="27" t="s">
        <v>1121</v>
      </c>
      <c r="B206" s="27" t="s">
        <v>1122</v>
      </c>
      <c r="C206" s="27" t="s">
        <v>81</v>
      </c>
      <c r="D206" s="27" t="s">
        <v>788</v>
      </c>
      <c r="E206" s="27" t="s">
        <v>1123</v>
      </c>
      <c r="F206" s="27"/>
      <c r="G206" s="27" t="s">
        <v>2055</v>
      </c>
      <c r="H206" s="27" t="s">
        <v>161</v>
      </c>
    </row>
    <row r="207" spans="1:8">
      <c r="A207" s="6" t="s">
        <v>1125</v>
      </c>
      <c r="B207" s="6" t="s">
        <v>1127</v>
      </c>
      <c r="C207" s="6" t="s">
        <v>81</v>
      </c>
      <c r="D207" s="6" t="s">
        <v>788</v>
      </c>
      <c r="E207" s="6" t="s">
        <v>1129</v>
      </c>
      <c r="F207" s="6"/>
      <c r="G207" s="6" t="s">
        <v>2056</v>
      </c>
      <c r="H207" s="6" t="s">
        <v>161</v>
      </c>
    </row>
    <row r="208" spans="1:8">
      <c r="A208" s="27" t="s">
        <v>1131</v>
      </c>
      <c r="B208" s="27" t="s">
        <v>1132</v>
      </c>
      <c r="C208" s="27" t="s">
        <v>81</v>
      </c>
      <c r="D208" s="27" t="s">
        <v>788</v>
      </c>
      <c r="E208" s="27" t="s">
        <v>1133</v>
      </c>
      <c r="F208" s="27"/>
      <c r="G208" s="27" t="s">
        <v>2057</v>
      </c>
      <c r="H208" s="27" t="s">
        <v>161</v>
      </c>
    </row>
    <row r="209" spans="1:8">
      <c r="A209" s="6" t="s">
        <v>1135</v>
      </c>
      <c r="B209" s="6" t="s">
        <v>1137</v>
      </c>
      <c r="C209" s="6" t="s">
        <v>81</v>
      </c>
      <c r="D209" s="6" t="s">
        <v>329</v>
      </c>
      <c r="E209" s="6" t="s">
        <v>1138</v>
      </c>
      <c r="F209" s="6" t="s">
        <v>1902</v>
      </c>
      <c r="G209" s="6" t="s">
        <v>2058</v>
      </c>
      <c r="H209" s="6" t="s">
        <v>329</v>
      </c>
    </row>
    <row r="210" spans="1:8">
      <c r="A210" s="27" t="s">
        <v>1139</v>
      </c>
      <c r="B210" s="27" t="s">
        <v>1141</v>
      </c>
      <c r="C210" s="27" t="s">
        <v>82</v>
      </c>
      <c r="D210" s="27" t="s">
        <v>1142</v>
      </c>
      <c r="E210" s="27" t="s">
        <v>1143</v>
      </c>
      <c r="F210" s="27" t="s">
        <v>1902</v>
      </c>
      <c r="G210" s="27" t="s">
        <v>2059</v>
      </c>
      <c r="H210" s="27" t="s">
        <v>161</v>
      </c>
    </row>
    <row r="211" spans="1:8" ht="15.6" customHeight="1">
      <c r="A211" s="6" t="s">
        <v>1145</v>
      </c>
      <c r="B211" s="6" t="s">
        <v>1146</v>
      </c>
      <c r="C211" s="6" t="s">
        <v>82</v>
      </c>
      <c r="D211" s="6" t="s">
        <v>1148</v>
      </c>
      <c r="E211" s="6" t="s">
        <v>1149</v>
      </c>
      <c r="F211" s="6" t="s">
        <v>1902</v>
      </c>
      <c r="G211" s="41" t="s">
        <v>2060</v>
      </c>
      <c r="H211" s="6" t="s">
        <v>161</v>
      </c>
    </row>
    <row r="212" spans="1:8" ht="15.6" customHeight="1">
      <c r="A212" s="27" t="s">
        <v>1152</v>
      </c>
      <c r="B212" s="27" t="s">
        <v>1153</v>
      </c>
      <c r="C212" s="27" t="s">
        <v>82</v>
      </c>
      <c r="D212" s="27" t="s">
        <v>1154</v>
      </c>
      <c r="E212" s="27" t="s">
        <v>1155</v>
      </c>
      <c r="F212" s="27" t="s">
        <v>1902</v>
      </c>
      <c r="G212" s="41" t="s">
        <v>2061</v>
      </c>
      <c r="H212" s="27" t="s">
        <v>161</v>
      </c>
    </row>
    <row r="213" spans="1:8">
      <c r="A213" s="6" t="s">
        <v>1158</v>
      </c>
      <c r="B213" s="6" t="s">
        <v>1159</v>
      </c>
      <c r="C213" s="6" t="s">
        <v>82</v>
      </c>
      <c r="D213" s="6" t="s">
        <v>1161</v>
      </c>
      <c r="E213" s="6" t="s">
        <v>1162</v>
      </c>
      <c r="F213" s="6" t="s">
        <v>1902</v>
      </c>
      <c r="G213" s="6" t="s">
        <v>2062</v>
      </c>
      <c r="H213" s="6" t="s">
        <v>161</v>
      </c>
    </row>
    <row r="214" spans="1:8" ht="15.6" customHeight="1">
      <c r="A214" s="27" t="s">
        <v>1164</v>
      </c>
      <c r="B214" s="27" t="s">
        <v>1165</v>
      </c>
      <c r="C214" s="27" t="s">
        <v>82</v>
      </c>
      <c r="D214" s="27" t="s">
        <v>1148</v>
      </c>
      <c r="E214" s="27" t="s">
        <v>1166</v>
      </c>
      <c r="F214" s="27" t="s">
        <v>1902</v>
      </c>
      <c r="G214" s="41" t="s">
        <v>2063</v>
      </c>
      <c r="H214" s="27" t="s">
        <v>161</v>
      </c>
    </row>
    <row r="215" spans="1:8">
      <c r="A215" s="6" t="s">
        <v>1169</v>
      </c>
      <c r="B215" s="6" t="s">
        <v>1170</v>
      </c>
      <c r="C215" s="6" t="s">
        <v>82</v>
      </c>
      <c r="D215" s="6" t="s">
        <v>1171</v>
      </c>
      <c r="E215" s="6"/>
      <c r="F215" s="6"/>
      <c r="G215" s="6"/>
      <c r="H215" s="6" t="s">
        <v>129</v>
      </c>
    </row>
    <row r="216" spans="1:8">
      <c r="A216" s="27" t="s">
        <v>1172</v>
      </c>
      <c r="B216" s="27" t="s">
        <v>1174</v>
      </c>
      <c r="C216" s="27" t="s">
        <v>82</v>
      </c>
      <c r="D216" s="27" t="s">
        <v>1175</v>
      </c>
      <c r="E216" s="27"/>
      <c r="F216" s="27" t="s">
        <v>1902</v>
      </c>
      <c r="G216" s="27" t="s">
        <v>1988</v>
      </c>
      <c r="H216" s="27" t="s">
        <v>879</v>
      </c>
    </row>
    <row r="217" spans="1:8">
      <c r="A217" s="6" t="s">
        <v>1178</v>
      </c>
      <c r="B217" s="6" t="s">
        <v>1180</v>
      </c>
      <c r="C217" s="6" t="s">
        <v>82</v>
      </c>
      <c r="D217" s="6" t="s">
        <v>586</v>
      </c>
      <c r="E217" s="6" t="s">
        <v>1182</v>
      </c>
      <c r="F217" s="6" t="s">
        <v>1902</v>
      </c>
      <c r="G217" s="6" t="s">
        <v>2064</v>
      </c>
      <c r="H217" s="6" t="s">
        <v>588</v>
      </c>
    </row>
    <row r="218" spans="1:8">
      <c r="A218" s="27" t="s">
        <v>1184</v>
      </c>
      <c r="B218" s="27" t="s">
        <v>1186</v>
      </c>
      <c r="C218" s="27" t="s">
        <v>82</v>
      </c>
      <c r="D218" s="27" t="s">
        <v>1187</v>
      </c>
      <c r="E218" s="27" t="s">
        <v>1188</v>
      </c>
      <c r="F218" s="27"/>
      <c r="G218" s="27" t="s">
        <v>2065</v>
      </c>
      <c r="H218" s="27" t="s">
        <v>161</v>
      </c>
    </row>
    <row r="219" spans="1:8">
      <c r="A219" s="6" t="s">
        <v>1191</v>
      </c>
      <c r="B219" s="6" t="s">
        <v>1193</v>
      </c>
      <c r="C219" s="6" t="s">
        <v>82</v>
      </c>
      <c r="D219" s="6" t="s">
        <v>905</v>
      </c>
      <c r="E219" s="6" t="s">
        <v>1195</v>
      </c>
      <c r="F219" s="6"/>
      <c r="G219" s="6" t="s">
        <v>2066</v>
      </c>
      <c r="H219" s="6" t="s">
        <v>161</v>
      </c>
    </row>
    <row r="220" spans="1:8">
      <c r="A220" s="27" t="s">
        <v>1197</v>
      </c>
      <c r="B220" s="27" t="s">
        <v>1198</v>
      </c>
      <c r="C220" s="27" t="s">
        <v>82</v>
      </c>
      <c r="D220" s="27" t="s">
        <v>1187</v>
      </c>
      <c r="E220" s="27" t="s">
        <v>1199</v>
      </c>
      <c r="F220" s="27"/>
      <c r="G220" s="27" t="s">
        <v>2067</v>
      </c>
      <c r="H220" s="27" t="s">
        <v>161</v>
      </c>
    </row>
    <row r="221" spans="1:8">
      <c r="A221" s="6" t="s">
        <v>1201</v>
      </c>
      <c r="B221" s="6" t="s">
        <v>1203</v>
      </c>
      <c r="C221" s="6" t="s">
        <v>82</v>
      </c>
      <c r="D221" s="6" t="s">
        <v>905</v>
      </c>
      <c r="E221" s="6" t="s">
        <v>1205</v>
      </c>
      <c r="F221" s="6"/>
      <c r="G221" s="6" t="s">
        <v>2068</v>
      </c>
      <c r="H221" s="6" t="s">
        <v>161</v>
      </c>
    </row>
    <row r="222" spans="1:8">
      <c r="A222" s="27" t="s">
        <v>1208</v>
      </c>
      <c r="B222" s="27" t="s">
        <v>1209</v>
      </c>
      <c r="C222" s="27" t="s">
        <v>82</v>
      </c>
      <c r="D222" s="27" t="s">
        <v>675</v>
      </c>
      <c r="E222" s="27" t="s">
        <v>1210</v>
      </c>
      <c r="F222" s="27"/>
      <c r="G222" s="27" t="s">
        <v>1979</v>
      </c>
      <c r="H222" s="27" t="s">
        <v>677</v>
      </c>
    </row>
    <row r="223" spans="1:8">
      <c r="A223" s="6" t="s">
        <v>1212</v>
      </c>
      <c r="B223" s="6" t="s">
        <v>1213</v>
      </c>
      <c r="C223" s="6" t="s">
        <v>82</v>
      </c>
      <c r="D223" s="6" t="s">
        <v>905</v>
      </c>
      <c r="E223" s="6" t="s">
        <v>1215</v>
      </c>
      <c r="F223" s="6"/>
      <c r="G223" s="6" t="s">
        <v>2069</v>
      </c>
      <c r="H223" s="6" t="s">
        <v>161</v>
      </c>
    </row>
    <row r="224" spans="1:8">
      <c r="A224" s="27" t="s">
        <v>1217</v>
      </c>
      <c r="B224" s="27" t="s">
        <v>1218</v>
      </c>
      <c r="C224" s="27" t="s">
        <v>82</v>
      </c>
      <c r="D224" s="27" t="s">
        <v>803</v>
      </c>
      <c r="E224" s="27" t="s">
        <v>1219</v>
      </c>
      <c r="F224" s="27"/>
      <c r="G224" s="27" t="s">
        <v>2070</v>
      </c>
      <c r="H224" s="27" t="s">
        <v>161</v>
      </c>
    </row>
    <row r="225" spans="1:8">
      <c r="A225" s="6" t="s">
        <v>1221</v>
      </c>
      <c r="B225" s="6" t="s">
        <v>1222</v>
      </c>
      <c r="C225" s="6" t="s">
        <v>82</v>
      </c>
      <c r="D225" s="6" t="s">
        <v>1224</v>
      </c>
      <c r="E225" s="6" t="s">
        <v>1225</v>
      </c>
      <c r="F225" s="6"/>
      <c r="G225" s="6" t="s">
        <v>2071</v>
      </c>
      <c r="H225" s="6" t="s">
        <v>161</v>
      </c>
    </row>
    <row r="226" spans="1:8">
      <c r="A226" s="27" t="s">
        <v>1227</v>
      </c>
      <c r="B226" s="27" t="s">
        <v>1229</v>
      </c>
      <c r="C226" s="27" t="s">
        <v>82</v>
      </c>
      <c r="D226" s="27" t="s">
        <v>586</v>
      </c>
      <c r="E226" s="27" t="s">
        <v>1231</v>
      </c>
      <c r="F226" s="27" t="s">
        <v>1902</v>
      </c>
      <c r="G226" s="27" t="s">
        <v>2072</v>
      </c>
      <c r="H226" s="27" t="s">
        <v>588</v>
      </c>
    </row>
    <row r="227" spans="1:8">
      <c r="A227" s="6" t="s">
        <v>1234</v>
      </c>
      <c r="B227" s="6" t="s">
        <v>1235</v>
      </c>
      <c r="C227" s="6" t="s">
        <v>82</v>
      </c>
      <c r="D227" s="6" t="s">
        <v>1224</v>
      </c>
      <c r="E227" s="6" t="s">
        <v>1236</v>
      </c>
      <c r="F227" s="6"/>
      <c r="G227" s="6" t="s">
        <v>2073</v>
      </c>
      <c r="H227" s="6" t="s">
        <v>161</v>
      </c>
    </row>
    <row r="228" spans="1:8">
      <c r="A228" s="27" t="s">
        <v>1238</v>
      </c>
      <c r="B228" s="27" t="s">
        <v>1239</v>
      </c>
      <c r="C228" s="27" t="s">
        <v>82</v>
      </c>
      <c r="D228" s="27" t="s">
        <v>1224</v>
      </c>
      <c r="E228" s="27" t="s">
        <v>1240</v>
      </c>
      <c r="F228" s="27"/>
      <c r="G228" s="27" t="s">
        <v>2074</v>
      </c>
      <c r="H228" s="27" t="s">
        <v>161</v>
      </c>
    </row>
    <row r="229" spans="1:8">
      <c r="A229" s="6" t="s">
        <v>1242</v>
      </c>
      <c r="B229" s="6" t="s">
        <v>1243</v>
      </c>
      <c r="C229" s="6" t="s">
        <v>82</v>
      </c>
      <c r="D229" s="6" t="s">
        <v>905</v>
      </c>
      <c r="E229" s="6" t="s">
        <v>1244</v>
      </c>
      <c r="F229" s="6"/>
      <c r="G229" s="6" t="s">
        <v>2075</v>
      </c>
      <c r="H229" s="6" t="s">
        <v>161</v>
      </c>
    </row>
    <row r="230" spans="1:8">
      <c r="A230" s="27" t="s">
        <v>1246</v>
      </c>
      <c r="B230" s="27" t="s">
        <v>1247</v>
      </c>
      <c r="C230" s="27" t="s">
        <v>82</v>
      </c>
      <c r="D230" s="27" t="s">
        <v>1187</v>
      </c>
      <c r="E230" s="27" t="s">
        <v>1249</v>
      </c>
      <c r="F230" s="27"/>
      <c r="G230" s="27" t="s">
        <v>2076</v>
      </c>
      <c r="H230" s="27" t="s">
        <v>161</v>
      </c>
    </row>
    <row r="231" spans="1:8">
      <c r="A231" s="6" t="s">
        <v>1251</v>
      </c>
      <c r="B231" s="6" t="s">
        <v>1252</v>
      </c>
      <c r="C231" s="6" t="s">
        <v>82</v>
      </c>
      <c r="D231" s="6" t="s">
        <v>905</v>
      </c>
      <c r="E231" s="6" t="s">
        <v>1253</v>
      </c>
      <c r="F231" s="6"/>
      <c r="G231" s="6" t="s">
        <v>2077</v>
      </c>
      <c r="H231" s="6" t="s">
        <v>161</v>
      </c>
    </row>
    <row r="232" spans="1:8">
      <c r="A232" s="27" t="s">
        <v>1255</v>
      </c>
      <c r="B232" s="27" t="s">
        <v>1257</v>
      </c>
      <c r="C232" s="27" t="s">
        <v>82</v>
      </c>
      <c r="D232" s="27" t="s">
        <v>1224</v>
      </c>
      <c r="E232" s="27" t="s">
        <v>1259</v>
      </c>
      <c r="F232" s="27"/>
      <c r="G232" s="27" t="s">
        <v>2078</v>
      </c>
      <c r="H232" s="27" t="s">
        <v>161</v>
      </c>
    </row>
    <row r="233" spans="1:8">
      <c r="A233" s="6" t="s">
        <v>1261</v>
      </c>
      <c r="B233" s="6" t="s">
        <v>1262</v>
      </c>
      <c r="C233" s="6" t="s">
        <v>82</v>
      </c>
      <c r="D233" s="6" t="s">
        <v>905</v>
      </c>
      <c r="E233" s="6" t="s">
        <v>1263</v>
      </c>
      <c r="F233" s="6"/>
      <c r="G233" s="6" t="s">
        <v>2079</v>
      </c>
      <c r="H233" s="6" t="s">
        <v>161</v>
      </c>
    </row>
    <row r="234" spans="1:8">
      <c r="A234" s="27" t="s">
        <v>1265</v>
      </c>
      <c r="B234" s="27" t="s">
        <v>1266</v>
      </c>
      <c r="C234" s="27" t="s">
        <v>82</v>
      </c>
      <c r="D234" s="27" t="s">
        <v>905</v>
      </c>
      <c r="E234" s="27" t="s">
        <v>1267</v>
      </c>
      <c r="F234" s="27"/>
      <c r="G234" s="27" t="s">
        <v>2080</v>
      </c>
      <c r="H234" s="27" t="s">
        <v>161</v>
      </c>
    </row>
    <row r="235" spans="1:8">
      <c r="A235" s="6" t="s">
        <v>1269</v>
      </c>
      <c r="B235" s="6" t="s">
        <v>1270</v>
      </c>
      <c r="C235" s="6" t="s">
        <v>82</v>
      </c>
      <c r="D235" s="6" t="s">
        <v>1272</v>
      </c>
      <c r="E235" s="6" t="s">
        <v>1273</v>
      </c>
      <c r="F235" s="6"/>
      <c r="G235" s="6" t="s">
        <v>2081</v>
      </c>
      <c r="H235" s="6" t="s">
        <v>161</v>
      </c>
    </row>
    <row r="236" spans="1:8">
      <c r="A236" s="27" t="s">
        <v>1276</v>
      </c>
      <c r="B236" s="27" t="s">
        <v>1278</v>
      </c>
      <c r="C236" s="27" t="s">
        <v>82</v>
      </c>
      <c r="D236" s="27" t="s">
        <v>1187</v>
      </c>
      <c r="E236" s="27" t="s">
        <v>1280</v>
      </c>
      <c r="F236" s="27"/>
      <c r="G236" s="27" t="s">
        <v>2082</v>
      </c>
      <c r="H236" s="27" t="s">
        <v>161</v>
      </c>
    </row>
    <row r="237" spans="1:8">
      <c r="A237" s="6" t="s">
        <v>1283</v>
      </c>
      <c r="B237" s="6" t="s">
        <v>1284</v>
      </c>
      <c r="C237" s="6" t="s">
        <v>82</v>
      </c>
      <c r="D237" s="6" t="s">
        <v>1187</v>
      </c>
      <c r="E237" s="6" t="s">
        <v>1285</v>
      </c>
      <c r="F237" s="6"/>
      <c r="G237" s="6" t="s">
        <v>2083</v>
      </c>
      <c r="H237" s="6" t="s">
        <v>161</v>
      </c>
    </row>
    <row r="238" spans="1:8">
      <c r="A238" s="27" t="s">
        <v>1287</v>
      </c>
      <c r="B238" s="27" t="s">
        <v>1288</v>
      </c>
      <c r="C238" s="27" t="s">
        <v>82</v>
      </c>
      <c r="D238" s="27" t="s">
        <v>1272</v>
      </c>
      <c r="E238" s="27" t="s">
        <v>1290</v>
      </c>
      <c r="F238" s="27"/>
      <c r="G238" s="27" t="s">
        <v>2084</v>
      </c>
      <c r="H238" s="27" t="s">
        <v>161</v>
      </c>
    </row>
    <row r="239" spans="1:8">
      <c r="A239" s="6" t="s">
        <v>1292</v>
      </c>
      <c r="B239" s="6" t="s">
        <v>1294</v>
      </c>
      <c r="C239" s="6" t="s">
        <v>82</v>
      </c>
      <c r="D239" s="6" t="s">
        <v>1224</v>
      </c>
      <c r="E239" s="6" t="s">
        <v>1295</v>
      </c>
      <c r="F239" s="6"/>
      <c r="G239" s="6" t="s">
        <v>2085</v>
      </c>
      <c r="H239" s="6" t="s">
        <v>161</v>
      </c>
    </row>
    <row r="240" spans="1:8">
      <c r="A240" s="27" t="s">
        <v>1297</v>
      </c>
      <c r="B240" s="27" t="s">
        <v>1299</v>
      </c>
      <c r="C240" s="27" t="s">
        <v>82</v>
      </c>
      <c r="D240" s="27" t="s">
        <v>905</v>
      </c>
      <c r="E240" s="27" t="s">
        <v>1301</v>
      </c>
      <c r="F240" s="27"/>
      <c r="G240" s="27" t="s">
        <v>2086</v>
      </c>
      <c r="H240" s="27" t="s">
        <v>161</v>
      </c>
    </row>
    <row r="241" spans="1:8">
      <c r="A241" s="6" t="s">
        <v>1303</v>
      </c>
      <c r="B241" s="6" t="s">
        <v>1305</v>
      </c>
      <c r="C241" s="6" t="s">
        <v>82</v>
      </c>
      <c r="D241" s="6" t="s">
        <v>905</v>
      </c>
      <c r="E241" s="6" t="s">
        <v>1306</v>
      </c>
      <c r="F241" s="6"/>
      <c r="G241" s="6" t="s">
        <v>2087</v>
      </c>
      <c r="H241" s="6" t="s">
        <v>161</v>
      </c>
    </row>
    <row r="242" spans="1:8">
      <c r="A242" s="27" t="s">
        <v>1308</v>
      </c>
      <c r="B242" s="27" t="s">
        <v>1309</v>
      </c>
      <c r="C242" s="27" t="s">
        <v>82</v>
      </c>
      <c r="D242" s="27" t="s">
        <v>905</v>
      </c>
      <c r="E242" s="27" t="s">
        <v>1311</v>
      </c>
      <c r="F242" s="27"/>
      <c r="G242" s="27" t="s">
        <v>2088</v>
      </c>
      <c r="H242" s="27" t="s">
        <v>161</v>
      </c>
    </row>
    <row r="243" spans="1:8">
      <c r="A243" s="6" t="s">
        <v>1313</v>
      </c>
      <c r="B243" s="6" t="s">
        <v>1314</v>
      </c>
      <c r="C243" s="6" t="s">
        <v>82</v>
      </c>
      <c r="D243" s="6" t="s">
        <v>1187</v>
      </c>
      <c r="E243" s="6" t="s">
        <v>1315</v>
      </c>
      <c r="F243" s="6"/>
      <c r="G243" s="6" t="s">
        <v>2089</v>
      </c>
      <c r="H243" s="6" t="s">
        <v>161</v>
      </c>
    </row>
    <row r="244" spans="1:8" ht="15.6" customHeight="1">
      <c r="A244" s="27" t="s">
        <v>1317</v>
      </c>
      <c r="B244" s="27" t="s">
        <v>1318</v>
      </c>
      <c r="C244" s="27" t="s">
        <v>82</v>
      </c>
      <c r="D244" s="27" t="s">
        <v>905</v>
      </c>
      <c r="E244" s="27" t="s">
        <v>1319</v>
      </c>
      <c r="F244" s="27"/>
      <c r="G244" s="41" t="s">
        <v>2090</v>
      </c>
      <c r="H244" s="27" t="s">
        <v>129</v>
      </c>
    </row>
    <row r="245" spans="1:8">
      <c r="A245" s="6" t="s">
        <v>1321</v>
      </c>
      <c r="B245" s="6" t="s">
        <v>1323</v>
      </c>
      <c r="C245" s="6" t="s">
        <v>82</v>
      </c>
      <c r="D245" s="6" t="s">
        <v>675</v>
      </c>
      <c r="E245" s="6" t="s">
        <v>1324</v>
      </c>
      <c r="F245" s="6"/>
      <c r="G245" s="6" t="s">
        <v>1979</v>
      </c>
      <c r="H245" s="6" t="s">
        <v>677</v>
      </c>
    </row>
    <row r="246" spans="1:8">
      <c r="A246" s="27" t="s">
        <v>1326</v>
      </c>
      <c r="B246" s="27" t="s">
        <v>1327</v>
      </c>
      <c r="C246" s="27" t="s">
        <v>82</v>
      </c>
      <c r="D246" s="27" t="s">
        <v>905</v>
      </c>
      <c r="E246" s="27" t="s">
        <v>1328</v>
      </c>
      <c r="F246" s="27"/>
      <c r="G246" s="27" t="s">
        <v>2091</v>
      </c>
      <c r="H246" s="27" t="s">
        <v>161</v>
      </c>
    </row>
    <row r="247" spans="1:8" ht="15.6" customHeight="1">
      <c r="A247" s="6" t="s">
        <v>1330</v>
      </c>
      <c r="B247" s="6" t="s">
        <v>309</v>
      </c>
      <c r="C247" s="6" t="s">
        <v>83</v>
      </c>
      <c r="D247" s="6" t="s">
        <v>310</v>
      </c>
      <c r="E247" s="6" t="s">
        <v>311</v>
      </c>
      <c r="F247" s="6" t="s">
        <v>1902</v>
      </c>
      <c r="G247" s="41" t="s">
        <v>1910</v>
      </c>
      <c r="H247" s="6" t="s">
        <v>1911</v>
      </c>
    </row>
    <row r="248" spans="1:8">
      <c r="A248" s="27" t="s">
        <v>1333</v>
      </c>
      <c r="B248" s="27" t="s">
        <v>1335</v>
      </c>
      <c r="C248" s="27" t="s">
        <v>83</v>
      </c>
      <c r="D248" s="27" t="s">
        <v>1337</v>
      </c>
      <c r="E248" s="27" t="s">
        <v>1338</v>
      </c>
      <c r="F248" s="27"/>
      <c r="G248" s="27" t="s">
        <v>2092</v>
      </c>
      <c r="H248" s="27" t="s">
        <v>1339</v>
      </c>
    </row>
    <row r="249" spans="1:8">
      <c r="A249" s="6" t="s">
        <v>1341</v>
      </c>
      <c r="B249" s="6" t="s">
        <v>1342</v>
      </c>
      <c r="C249" s="6" t="s">
        <v>83</v>
      </c>
      <c r="D249" s="6" t="s">
        <v>1337</v>
      </c>
      <c r="E249" s="6" t="s">
        <v>1343</v>
      </c>
      <c r="F249" s="6"/>
      <c r="G249" s="6" t="s">
        <v>2092</v>
      </c>
      <c r="H249" s="6" t="s">
        <v>1339</v>
      </c>
    </row>
    <row r="250" spans="1:8">
      <c r="A250" s="27" t="s">
        <v>1344</v>
      </c>
      <c r="B250" s="27" t="s">
        <v>1345</v>
      </c>
      <c r="C250" s="27" t="s">
        <v>83</v>
      </c>
      <c r="D250" s="27" t="s">
        <v>1337</v>
      </c>
      <c r="E250" s="27" t="s">
        <v>1346</v>
      </c>
      <c r="F250" s="27"/>
      <c r="G250" s="27" t="s">
        <v>2092</v>
      </c>
      <c r="H250" s="27" t="s">
        <v>1339</v>
      </c>
    </row>
    <row r="251" spans="1:8">
      <c r="A251" s="6" t="s">
        <v>1347</v>
      </c>
      <c r="B251" s="6" t="s">
        <v>1349</v>
      </c>
      <c r="C251" s="6" t="s">
        <v>83</v>
      </c>
      <c r="D251" s="6" t="s">
        <v>204</v>
      </c>
      <c r="E251" s="6" t="s">
        <v>376</v>
      </c>
      <c r="F251" s="6"/>
      <c r="G251" s="6" t="s">
        <v>1921</v>
      </c>
      <c r="H251" s="6" t="s">
        <v>161</v>
      </c>
    </row>
    <row r="252" spans="1:8">
      <c r="A252" s="27" t="s">
        <v>1351</v>
      </c>
      <c r="B252" s="27" t="s">
        <v>1352</v>
      </c>
      <c r="C252" s="27" t="s">
        <v>83</v>
      </c>
      <c r="D252" s="27" t="s">
        <v>204</v>
      </c>
      <c r="E252" s="27" t="s">
        <v>1353</v>
      </c>
      <c r="F252" s="27"/>
      <c r="G252" s="27" t="s">
        <v>2093</v>
      </c>
      <c r="H252" s="27" t="s">
        <v>161</v>
      </c>
    </row>
    <row r="253" spans="1:8" ht="15.6" customHeight="1">
      <c r="A253" s="6" t="s">
        <v>1355</v>
      </c>
      <c r="B253" s="6" t="s">
        <v>1357</v>
      </c>
      <c r="C253" s="6" t="s">
        <v>83</v>
      </c>
      <c r="D253" s="6" t="s">
        <v>204</v>
      </c>
      <c r="E253" s="6" t="s">
        <v>1358</v>
      </c>
      <c r="F253" s="6"/>
      <c r="G253" s="41" t="s">
        <v>2094</v>
      </c>
      <c r="H253" s="6" t="s">
        <v>161</v>
      </c>
    </row>
    <row r="254" spans="1:8">
      <c r="A254" s="27" t="s">
        <v>1360</v>
      </c>
      <c r="B254" s="27" t="s">
        <v>1362</v>
      </c>
      <c r="C254" s="27" t="s">
        <v>83</v>
      </c>
      <c r="D254" s="27" t="s">
        <v>204</v>
      </c>
      <c r="E254" s="27" t="s">
        <v>1364</v>
      </c>
      <c r="F254" s="27"/>
      <c r="G254" s="27" t="s">
        <v>2095</v>
      </c>
      <c r="H254" s="27" t="s">
        <v>161</v>
      </c>
    </row>
    <row r="255" spans="1:8">
      <c r="A255" s="6" t="s">
        <v>1366</v>
      </c>
      <c r="B255" s="6" t="s">
        <v>1367</v>
      </c>
      <c r="C255" s="6" t="s">
        <v>83</v>
      </c>
      <c r="D255" s="6" t="s">
        <v>204</v>
      </c>
      <c r="E255" s="6" t="s">
        <v>1368</v>
      </c>
      <c r="F255" s="6"/>
      <c r="G255" s="6" t="s">
        <v>2096</v>
      </c>
      <c r="H255" s="6" t="s">
        <v>161</v>
      </c>
    </row>
    <row r="256" spans="1:8" ht="15.6" customHeight="1">
      <c r="A256" s="27" t="s">
        <v>1370</v>
      </c>
      <c r="B256" s="27" t="s">
        <v>1372</v>
      </c>
      <c r="C256" s="27" t="s">
        <v>83</v>
      </c>
      <c r="D256" s="27" t="s">
        <v>204</v>
      </c>
      <c r="E256" s="27" t="s">
        <v>1373</v>
      </c>
      <c r="F256" s="27"/>
      <c r="G256" s="41" t="s">
        <v>2097</v>
      </c>
      <c r="H256" s="27" t="s">
        <v>161</v>
      </c>
    </row>
    <row r="257" spans="1:8" ht="15.6" customHeight="1">
      <c r="A257" s="6" t="s">
        <v>1375</v>
      </c>
      <c r="B257" s="6" t="s">
        <v>1376</v>
      </c>
      <c r="C257" s="6" t="s">
        <v>83</v>
      </c>
      <c r="D257" s="6" t="s">
        <v>204</v>
      </c>
      <c r="E257" s="6" t="s">
        <v>372</v>
      </c>
      <c r="F257" s="6"/>
      <c r="G257" s="41" t="s">
        <v>1920</v>
      </c>
      <c r="H257" s="6" t="s">
        <v>161</v>
      </c>
    </row>
    <row r="258" spans="1:8" ht="15.6" customHeight="1">
      <c r="A258" s="27" t="s">
        <v>1378</v>
      </c>
      <c r="B258" s="27" t="s">
        <v>1379</v>
      </c>
      <c r="C258" s="27" t="s">
        <v>83</v>
      </c>
      <c r="D258" s="27" t="s">
        <v>204</v>
      </c>
      <c r="E258" s="27" t="s">
        <v>449</v>
      </c>
      <c r="F258" s="27"/>
      <c r="G258" s="41" t="s">
        <v>1937</v>
      </c>
      <c r="H258" s="27" t="s">
        <v>161</v>
      </c>
    </row>
    <row r="259" spans="1:8">
      <c r="A259" s="6" t="s">
        <v>1381</v>
      </c>
      <c r="B259" s="6" t="s">
        <v>1382</v>
      </c>
      <c r="C259" s="6" t="s">
        <v>83</v>
      </c>
      <c r="D259" s="6" t="s">
        <v>1337</v>
      </c>
      <c r="E259" s="6" t="s">
        <v>1383</v>
      </c>
      <c r="F259" s="6"/>
      <c r="G259" s="6" t="s">
        <v>2092</v>
      </c>
      <c r="H259" s="6" t="s">
        <v>1339</v>
      </c>
    </row>
    <row r="260" spans="1:8" ht="15.6" customHeight="1">
      <c r="A260" s="27" t="s">
        <v>1385</v>
      </c>
      <c r="B260" s="27" t="s">
        <v>1386</v>
      </c>
      <c r="C260" s="27" t="s">
        <v>83</v>
      </c>
      <c r="D260" s="27" t="s">
        <v>204</v>
      </c>
      <c r="E260" s="27" t="s">
        <v>1387</v>
      </c>
      <c r="F260" s="27"/>
      <c r="G260" s="41" t="s">
        <v>2098</v>
      </c>
      <c r="H260" s="27" t="s">
        <v>161</v>
      </c>
    </row>
    <row r="261" spans="1:8" ht="15.6" customHeight="1">
      <c r="A261" s="6" t="s">
        <v>1389</v>
      </c>
      <c r="B261" s="6" t="s">
        <v>1390</v>
      </c>
      <c r="C261" s="6" t="s">
        <v>83</v>
      </c>
      <c r="D261" s="6" t="s">
        <v>204</v>
      </c>
      <c r="E261" s="6" t="s">
        <v>1391</v>
      </c>
      <c r="F261" s="6"/>
      <c r="G261" s="41" t="s">
        <v>2099</v>
      </c>
      <c r="H261" s="6" t="s">
        <v>161</v>
      </c>
    </row>
    <row r="262" spans="1:8">
      <c r="A262" s="27" t="s">
        <v>1393</v>
      </c>
      <c r="B262" s="27" t="s">
        <v>1394</v>
      </c>
      <c r="C262" s="27" t="s">
        <v>83</v>
      </c>
      <c r="D262" s="27" t="s">
        <v>204</v>
      </c>
      <c r="E262" s="27" t="s">
        <v>1396</v>
      </c>
      <c r="F262" s="27"/>
      <c r="G262" s="27" t="s">
        <v>2100</v>
      </c>
      <c r="H262" s="27" t="s">
        <v>161</v>
      </c>
    </row>
    <row r="263" spans="1:8" ht="15.6" customHeight="1">
      <c r="A263" s="6" t="s">
        <v>1399</v>
      </c>
      <c r="B263" s="6" t="s">
        <v>1401</v>
      </c>
      <c r="C263" s="6" t="s">
        <v>83</v>
      </c>
      <c r="D263" s="6" t="s">
        <v>204</v>
      </c>
      <c r="E263" s="6" t="s">
        <v>1403</v>
      </c>
      <c r="F263" s="6"/>
      <c r="G263" s="41" t="s">
        <v>2101</v>
      </c>
      <c r="H263" s="6" t="s">
        <v>161</v>
      </c>
    </row>
    <row r="264" spans="1:8" ht="15.6" customHeight="1">
      <c r="A264" s="27" t="s">
        <v>1405</v>
      </c>
      <c r="B264" s="27" t="s">
        <v>1406</v>
      </c>
      <c r="C264" s="27" t="s">
        <v>83</v>
      </c>
      <c r="D264" s="27" t="s">
        <v>204</v>
      </c>
      <c r="E264" s="27" t="s">
        <v>1407</v>
      </c>
      <c r="F264" s="27"/>
      <c r="G264" s="41" t="s">
        <v>2102</v>
      </c>
      <c r="H264" s="27" t="s">
        <v>161</v>
      </c>
    </row>
    <row r="265" spans="1:8">
      <c r="A265" s="6" t="s">
        <v>1409</v>
      </c>
      <c r="B265" s="6" t="s">
        <v>1411</v>
      </c>
      <c r="C265" s="6" t="s">
        <v>83</v>
      </c>
      <c r="D265" s="6" t="s">
        <v>1413</v>
      </c>
      <c r="E265" s="6" t="s">
        <v>1414</v>
      </c>
      <c r="F265" s="6"/>
      <c r="G265" s="6" t="s">
        <v>2103</v>
      </c>
      <c r="H265" s="6" t="s">
        <v>161</v>
      </c>
    </row>
    <row r="266" spans="1:8">
      <c r="A266" s="27" t="s">
        <v>1416</v>
      </c>
      <c r="B266" s="27" t="s">
        <v>1417</v>
      </c>
      <c r="C266" s="27" t="s">
        <v>83</v>
      </c>
      <c r="D266" s="27" t="s">
        <v>204</v>
      </c>
      <c r="E266" s="27" t="s">
        <v>1418</v>
      </c>
      <c r="F266" s="27"/>
      <c r="G266" s="27" t="s">
        <v>2104</v>
      </c>
      <c r="H266" s="27" t="s">
        <v>161</v>
      </c>
    </row>
    <row r="267" spans="1:8">
      <c r="A267" s="6" t="s">
        <v>1420</v>
      </c>
      <c r="B267" s="6" t="s">
        <v>1422</v>
      </c>
      <c r="C267" s="6" t="s">
        <v>84</v>
      </c>
      <c r="D267" s="6" t="s">
        <v>1423</v>
      </c>
      <c r="E267" s="6" t="s">
        <v>1424</v>
      </c>
      <c r="F267" s="6"/>
      <c r="G267" s="6" t="s">
        <v>2105</v>
      </c>
      <c r="H267" s="6" t="s">
        <v>1423</v>
      </c>
    </row>
    <row r="268" spans="1:8">
      <c r="A268" s="27" t="s">
        <v>1427</v>
      </c>
      <c r="B268" s="27" t="s">
        <v>1428</v>
      </c>
      <c r="C268" s="27" t="s">
        <v>84</v>
      </c>
      <c r="D268" s="27" t="s">
        <v>1423</v>
      </c>
      <c r="E268" s="27" t="s">
        <v>1429</v>
      </c>
      <c r="F268" s="27"/>
      <c r="G268" s="27" t="s">
        <v>2105</v>
      </c>
      <c r="H268" s="27" t="s">
        <v>1423</v>
      </c>
    </row>
    <row r="269" spans="1:8" ht="15.6" customHeight="1">
      <c r="A269" s="6" t="s">
        <v>1431</v>
      </c>
      <c r="B269" s="6" t="s">
        <v>1433</v>
      </c>
      <c r="C269" s="6" t="s">
        <v>84</v>
      </c>
      <c r="D269" s="6" t="s">
        <v>204</v>
      </c>
      <c r="E269" s="6" t="s">
        <v>1435</v>
      </c>
      <c r="F269" s="6"/>
      <c r="G269" s="41" t="s">
        <v>2106</v>
      </c>
      <c r="H269" s="6" t="s">
        <v>161</v>
      </c>
    </row>
    <row r="270" spans="1:8">
      <c r="A270" s="27" t="s">
        <v>1437</v>
      </c>
      <c r="B270" s="27" t="s">
        <v>1439</v>
      </c>
      <c r="C270" s="27" t="s">
        <v>84</v>
      </c>
      <c r="D270" s="27" t="s">
        <v>204</v>
      </c>
      <c r="E270" s="27" t="s">
        <v>1441</v>
      </c>
      <c r="F270" s="27"/>
      <c r="G270" s="27" t="s">
        <v>2107</v>
      </c>
      <c r="H270" s="27" t="s">
        <v>161</v>
      </c>
    </row>
    <row r="271" spans="1:8">
      <c r="A271" s="6" t="s">
        <v>1444</v>
      </c>
      <c r="B271" s="6" t="s">
        <v>1446</v>
      </c>
      <c r="C271" s="6" t="s">
        <v>84</v>
      </c>
      <c r="D271" s="6" t="s">
        <v>204</v>
      </c>
      <c r="E271" s="6" t="s">
        <v>1447</v>
      </c>
      <c r="F271" s="6"/>
      <c r="G271" s="6" t="s">
        <v>2108</v>
      </c>
      <c r="H271" s="6" t="s">
        <v>161</v>
      </c>
    </row>
    <row r="272" spans="1:8">
      <c r="A272" s="27" t="s">
        <v>1449</v>
      </c>
      <c r="B272" s="27" t="s">
        <v>1450</v>
      </c>
      <c r="C272" s="27" t="s">
        <v>84</v>
      </c>
      <c r="D272" s="27" t="s">
        <v>204</v>
      </c>
      <c r="E272" s="27" t="s">
        <v>1451</v>
      </c>
      <c r="F272" s="27"/>
      <c r="G272" s="27" t="s">
        <v>2109</v>
      </c>
      <c r="H272" s="27" t="s">
        <v>161</v>
      </c>
    </row>
    <row r="273" spans="1:8">
      <c r="A273" s="6" t="s">
        <v>1454</v>
      </c>
      <c r="B273" s="6" t="s">
        <v>1456</v>
      </c>
      <c r="C273" s="6" t="s">
        <v>84</v>
      </c>
      <c r="D273" s="6" t="s">
        <v>1457</v>
      </c>
      <c r="E273" s="6" t="s">
        <v>1458</v>
      </c>
      <c r="F273" s="6"/>
      <c r="G273" s="6" t="s">
        <v>2110</v>
      </c>
      <c r="H273" s="6" t="s">
        <v>1457</v>
      </c>
    </row>
    <row r="274" spans="1:8">
      <c r="A274" s="27" t="s">
        <v>1460</v>
      </c>
      <c r="B274" s="27" t="s">
        <v>1462</v>
      </c>
      <c r="C274" s="27" t="s">
        <v>84</v>
      </c>
      <c r="D274" s="27" t="s">
        <v>204</v>
      </c>
      <c r="E274" s="27" t="s">
        <v>1464</v>
      </c>
      <c r="F274" s="27"/>
      <c r="G274" s="27" t="s">
        <v>2111</v>
      </c>
      <c r="H274" s="27" t="s">
        <v>161</v>
      </c>
    </row>
    <row r="275" spans="1:8">
      <c r="A275" s="6" t="s">
        <v>1467</v>
      </c>
      <c r="B275" s="6" t="s">
        <v>1468</v>
      </c>
      <c r="C275" s="6" t="s">
        <v>84</v>
      </c>
      <c r="D275" s="6" t="s">
        <v>204</v>
      </c>
      <c r="E275" s="6" t="s">
        <v>1469</v>
      </c>
      <c r="F275" s="6"/>
      <c r="G275" s="6" t="s">
        <v>2112</v>
      </c>
      <c r="H275" s="6" t="s">
        <v>161</v>
      </c>
    </row>
    <row r="276" spans="1:8">
      <c r="A276" s="27" t="s">
        <v>1471</v>
      </c>
      <c r="B276" s="27" t="s">
        <v>1473</v>
      </c>
      <c r="C276" s="27" t="s">
        <v>84</v>
      </c>
      <c r="D276" s="27" t="s">
        <v>204</v>
      </c>
      <c r="E276" s="27" t="s">
        <v>1475</v>
      </c>
      <c r="F276" s="27"/>
      <c r="G276" s="27" t="s">
        <v>2113</v>
      </c>
      <c r="H276" s="27" t="s">
        <v>161</v>
      </c>
    </row>
    <row r="277" spans="1:8">
      <c r="A277" s="6" t="s">
        <v>1477</v>
      </c>
      <c r="B277" s="6" t="s">
        <v>1479</v>
      </c>
      <c r="C277" s="6" t="s">
        <v>84</v>
      </c>
      <c r="D277" s="6" t="s">
        <v>204</v>
      </c>
      <c r="E277" s="6" t="s">
        <v>1481</v>
      </c>
      <c r="F277" s="6"/>
      <c r="G277" s="6" t="s">
        <v>2114</v>
      </c>
      <c r="H277" s="6" t="s">
        <v>161</v>
      </c>
    </row>
    <row r="278" spans="1:8">
      <c r="A278" s="27" t="s">
        <v>1483</v>
      </c>
      <c r="B278" s="27" t="s">
        <v>1484</v>
      </c>
      <c r="C278" s="27" t="s">
        <v>84</v>
      </c>
      <c r="D278" s="27" t="s">
        <v>204</v>
      </c>
      <c r="E278" s="27" t="s">
        <v>1486</v>
      </c>
      <c r="F278" s="27"/>
      <c r="G278" s="27" t="s">
        <v>2115</v>
      </c>
      <c r="H278" s="27" t="s">
        <v>161</v>
      </c>
    </row>
    <row r="279" spans="1:8">
      <c r="A279" s="6" t="s">
        <v>1489</v>
      </c>
      <c r="B279" s="6" t="s">
        <v>1490</v>
      </c>
      <c r="C279" s="6" t="s">
        <v>84</v>
      </c>
      <c r="D279" s="6" t="s">
        <v>204</v>
      </c>
      <c r="E279" s="6" t="s">
        <v>1491</v>
      </c>
      <c r="F279" s="6"/>
      <c r="G279" s="6" t="s">
        <v>2116</v>
      </c>
      <c r="H279" s="6" t="s">
        <v>161</v>
      </c>
    </row>
    <row r="280" spans="1:8">
      <c r="A280" s="27" t="s">
        <v>1493</v>
      </c>
      <c r="B280" s="27" t="s">
        <v>1495</v>
      </c>
      <c r="C280" s="27" t="s">
        <v>84</v>
      </c>
      <c r="D280" s="27" t="s">
        <v>204</v>
      </c>
      <c r="E280" s="27" t="s">
        <v>1497</v>
      </c>
      <c r="F280" s="27"/>
      <c r="G280" s="27" t="s">
        <v>2117</v>
      </c>
      <c r="H280" s="27" t="s">
        <v>161</v>
      </c>
    </row>
    <row r="281" spans="1:8">
      <c r="A281" s="6" t="s">
        <v>1499</v>
      </c>
      <c r="B281" s="6" t="s">
        <v>1501</v>
      </c>
      <c r="C281" s="6" t="s">
        <v>84</v>
      </c>
      <c r="D281" s="6" t="s">
        <v>204</v>
      </c>
      <c r="E281" s="6" t="s">
        <v>1502</v>
      </c>
      <c r="F281" s="6"/>
      <c r="G281" s="6" t="s">
        <v>2118</v>
      </c>
      <c r="H281" s="6" t="s">
        <v>161</v>
      </c>
    </row>
    <row r="282" spans="1:8">
      <c r="A282" s="27" t="s">
        <v>1504</v>
      </c>
      <c r="B282" s="27" t="s">
        <v>1505</v>
      </c>
      <c r="C282" s="27" t="s">
        <v>84</v>
      </c>
      <c r="D282" s="27" t="s">
        <v>1423</v>
      </c>
      <c r="E282" s="27" t="s">
        <v>1506</v>
      </c>
      <c r="F282" s="27"/>
      <c r="G282" s="27" t="s">
        <v>2119</v>
      </c>
      <c r="H282" s="27" t="s">
        <v>254</v>
      </c>
    </row>
    <row r="283" spans="1:8">
      <c r="A283" s="6" t="s">
        <v>1508</v>
      </c>
      <c r="B283" s="6" t="s">
        <v>1509</v>
      </c>
      <c r="C283" s="6" t="s">
        <v>84</v>
      </c>
      <c r="D283" s="6" t="s">
        <v>1511</v>
      </c>
      <c r="E283" s="6" t="s">
        <v>1512</v>
      </c>
      <c r="F283" s="6"/>
      <c r="G283" s="6" t="s">
        <v>2120</v>
      </c>
      <c r="H283" s="6" t="s">
        <v>161</v>
      </c>
    </row>
    <row r="284" spans="1:8">
      <c r="A284" s="27" t="s">
        <v>1514</v>
      </c>
      <c r="B284" s="27" t="s">
        <v>1515</v>
      </c>
      <c r="C284" s="27" t="s">
        <v>84</v>
      </c>
      <c r="D284" s="27" t="s">
        <v>952</v>
      </c>
      <c r="E284" s="27" t="s">
        <v>1516</v>
      </c>
      <c r="F284" s="27"/>
      <c r="G284" s="27" t="s">
        <v>2121</v>
      </c>
      <c r="H284" s="27" t="s">
        <v>161</v>
      </c>
    </row>
    <row r="285" spans="1:8">
      <c r="A285" s="6" t="s">
        <v>1518</v>
      </c>
      <c r="B285" s="6" t="s">
        <v>1519</v>
      </c>
      <c r="C285" s="6" t="s">
        <v>84</v>
      </c>
      <c r="D285" s="6" t="s">
        <v>204</v>
      </c>
      <c r="E285" s="6" t="s">
        <v>1521</v>
      </c>
      <c r="F285" s="6"/>
      <c r="G285" s="6" t="s">
        <v>2122</v>
      </c>
      <c r="H285" s="6" t="s">
        <v>161</v>
      </c>
    </row>
    <row r="286" spans="1:8">
      <c r="A286" s="27" t="s">
        <v>1523</v>
      </c>
      <c r="B286" s="27" t="s">
        <v>1524</v>
      </c>
      <c r="C286" s="27" t="s">
        <v>84</v>
      </c>
      <c r="D286" s="27" t="s">
        <v>204</v>
      </c>
      <c r="E286" s="27" t="s">
        <v>1526</v>
      </c>
      <c r="F286" s="27"/>
      <c r="G286" s="27" t="s">
        <v>2123</v>
      </c>
      <c r="H286" s="27" t="s">
        <v>161</v>
      </c>
    </row>
    <row r="287" spans="1:8">
      <c r="A287" s="6" t="s">
        <v>1528</v>
      </c>
      <c r="B287" s="6" t="s">
        <v>1484</v>
      </c>
      <c r="C287" s="6" t="s">
        <v>84</v>
      </c>
      <c r="D287" s="6" t="s">
        <v>1187</v>
      </c>
      <c r="E287" s="6" t="s">
        <v>1531</v>
      </c>
      <c r="F287" s="6"/>
      <c r="G287" s="6" t="s">
        <v>2124</v>
      </c>
      <c r="H287" s="6" t="s">
        <v>161</v>
      </c>
    </row>
    <row r="288" spans="1:8">
      <c r="A288" s="27" t="s">
        <v>1533</v>
      </c>
      <c r="B288" s="27" t="s">
        <v>1534</v>
      </c>
      <c r="C288" s="27" t="s">
        <v>84</v>
      </c>
      <c r="D288" s="27" t="s">
        <v>204</v>
      </c>
      <c r="E288" s="27" t="s">
        <v>1535</v>
      </c>
      <c r="F288" s="27"/>
      <c r="G288" s="27" t="s">
        <v>2125</v>
      </c>
      <c r="H288" s="27" t="s">
        <v>161</v>
      </c>
    </row>
    <row r="289" spans="1:8">
      <c r="A289" s="6" t="s">
        <v>1537</v>
      </c>
      <c r="B289" s="6" t="s">
        <v>1539</v>
      </c>
      <c r="C289" s="6" t="s">
        <v>84</v>
      </c>
      <c r="D289" s="6" t="s">
        <v>1187</v>
      </c>
      <c r="E289" s="6" t="s">
        <v>1540</v>
      </c>
      <c r="F289" s="6"/>
      <c r="G289" s="6" t="s">
        <v>2126</v>
      </c>
      <c r="H289" s="6" t="s">
        <v>161</v>
      </c>
    </row>
    <row r="290" spans="1:8">
      <c r="A290" s="27" t="s">
        <v>1542</v>
      </c>
      <c r="B290" s="27" t="s">
        <v>1544</v>
      </c>
      <c r="C290" s="27" t="s">
        <v>85</v>
      </c>
      <c r="D290" s="27" t="s">
        <v>1546</v>
      </c>
      <c r="E290" s="27" t="s">
        <v>1547</v>
      </c>
      <c r="F290" s="27" t="s">
        <v>1902</v>
      </c>
      <c r="G290" s="27" t="s">
        <v>1988</v>
      </c>
      <c r="H290" s="27" t="s">
        <v>1546</v>
      </c>
    </row>
    <row r="291" spans="1:8">
      <c r="A291" s="6" t="s">
        <v>1549</v>
      </c>
      <c r="B291" s="6" t="s">
        <v>1550</v>
      </c>
      <c r="C291" s="6" t="s">
        <v>85</v>
      </c>
      <c r="D291" s="6" t="s">
        <v>1551</v>
      </c>
      <c r="E291" s="6"/>
      <c r="F291" s="6" t="s">
        <v>1902</v>
      </c>
      <c r="G291" s="6" t="s">
        <v>1988</v>
      </c>
      <c r="H291" s="6" t="s">
        <v>879</v>
      </c>
    </row>
    <row r="292" spans="1:8">
      <c r="A292" s="27" t="s">
        <v>1553</v>
      </c>
      <c r="B292" s="27" t="s">
        <v>1555</v>
      </c>
      <c r="C292" s="27" t="s">
        <v>85</v>
      </c>
      <c r="D292" s="27" t="s">
        <v>1546</v>
      </c>
      <c r="E292" s="27" t="s">
        <v>1556</v>
      </c>
      <c r="F292" s="27" t="s">
        <v>1902</v>
      </c>
      <c r="G292" s="27" t="s">
        <v>2127</v>
      </c>
      <c r="H292" s="27" t="s">
        <v>1557</v>
      </c>
    </row>
    <row r="293" spans="1:8" ht="15.6" customHeight="1">
      <c r="A293" s="6" t="s">
        <v>1560</v>
      </c>
      <c r="B293" s="6" t="s">
        <v>1562</v>
      </c>
      <c r="C293" s="6" t="s">
        <v>85</v>
      </c>
      <c r="D293" s="6" t="s">
        <v>204</v>
      </c>
      <c r="E293" s="6" t="s">
        <v>1563</v>
      </c>
      <c r="F293" s="6"/>
      <c r="G293" s="41" t="s">
        <v>2128</v>
      </c>
      <c r="H293" s="6" t="s">
        <v>161</v>
      </c>
    </row>
    <row r="294" spans="1:8" ht="15.6" customHeight="1">
      <c r="A294" s="27" t="s">
        <v>1566</v>
      </c>
      <c r="B294" s="27" t="s">
        <v>1567</v>
      </c>
      <c r="C294" s="27" t="s">
        <v>85</v>
      </c>
      <c r="D294" s="27" t="s">
        <v>204</v>
      </c>
      <c r="E294" s="27" t="s">
        <v>1569</v>
      </c>
      <c r="F294" s="27"/>
      <c r="G294" s="41" t="s">
        <v>2129</v>
      </c>
      <c r="H294" s="27" t="s">
        <v>161</v>
      </c>
    </row>
    <row r="295" spans="1:8" ht="15.6" customHeight="1">
      <c r="A295" s="6" t="s">
        <v>1571</v>
      </c>
      <c r="B295" s="6" t="s">
        <v>1572</v>
      </c>
      <c r="C295" s="6" t="s">
        <v>85</v>
      </c>
      <c r="D295" s="6" t="s">
        <v>204</v>
      </c>
      <c r="E295" s="6" t="s">
        <v>1573</v>
      </c>
      <c r="F295" s="6"/>
      <c r="G295" s="41" t="s">
        <v>2130</v>
      </c>
      <c r="H295" s="6" t="s">
        <v>161</v>
      </c>
    </row>
    <row r="296" spans="1:8" ht="15.6" customHeight="1">
      <c r="A296" s="27" t="s">
        <v>1575</v>
      </c>
      <c r="B296" s="27" t="s">
        <v>1577</v>
      </c>
      <c r="C296" s="27" t="s">
        <v>85</v>
      </c>
      <c r="D296" s="27" t="s">
        <v>204</v>
      </c>
      <c r="E296" s="27" t="s">
        <v>1579</v>
      </c>
      <c r="F296" s="27"/>
      <c r="G296" s="41" t="s">
        <v>2131</v>
      </c>
      <c r="H296" s="27" t="s">
        <v>161</v>
      </c>
    </row>
    <row r="297" spans="1:8">
      <c r="A297" s="6" t="s">
        <v>1582</v>
      </c>
      <c r="B297" s="6" t="s">
        <v>1584</v>
      </c>
      <c r="C297" s="6" t="s">
        <v>85</v>
      </c>
      <c r="D297" s="6" t="s">
        <v>204</v>
      </c>
      <c r="E297" s="6" t="s">
        <v>1586</v>
      </c>
      <c r="F297" s="6"/>
      <c r="G297" s="6" t="s">
        <v>2132</v>
      </c>
      <c r="H297" s="6" t="s">
        <v>161</v>
      </c>
    </row>
    <row r="298" spans="1:8">
      <c r="A298" s="27" t="s">
        <v>1589</v>
      </c>
      <c r="B298" s="27" t="s">
        <v>1590</v>
      </c>
      <c r="C298" s="27" t="s">
        <v>85</v>
      </c>
      <c r="D298" s="27" t="s">
        <v>204</v>
      </c>
      <c r="E298" s="27" t="s">
        <v>1592</v>
      </c>
      <c r="F298" s="27"/>
      <c r="G298" s="27" t="s">
        <v>2133</v>
      </c>
      <c r="H298" s="27" t="s">
        <v>161</v>
      </c>
    </row>
    <row r="299" spans="1:8">
      <c r="A299" s="6" t="s">
        <v>1594</v>
      </c>
      <c r="B299" s="6" t="s">
        <v>1596</v>
      </c>
      <c r="C299" s="6" t="s">
        <v>85</v>
      </c>
      <c r="D299" s="6" t="s">
        <v>1597</v>
      </c>
      <c r="E299" s="6" t="s">
        <v>1598</v>
      </c>
      <c r="F299" s="6"/>
      <c r="G299" s="6" t="s">
        <v>2134</v>
      </c>
      <c r="H299" s="6" t="s">
        <v>161</v>
      </c>
    </row>
    <row r="300" spans="1:8">
      <c r="A300" s="27" t="s">
        <v>1600</v>
      </c>
      <c r="B300" s="27" t="s">
        <v>1602</v>
      </c>
      <c r="C300" s="27" t="s">
        <v>85</v>
      </c>
      <c r="D300" s="27" t="s">
        <v>1546</v>
      </c>
      <c r="E300" s="27" t="s">
        <v>1603</v>
      </c>
      <c r="F300" s="27" t="s">
        <v>1902</v>
      </c>
      <c r="G300" s="27" t="s">
        <v>1988</v>
      </c>
      <c r="H300" s="27" t="s">
        <v>1546</v>
      </c>
    </row>
    <row r="301" spans="1:8">
      <c r="A301" s="6" t="s">
        <v>1606</v>
      </c>
      <c r="B301" s="6" t="s">
        <v>1608</v>
      </c>
      <c r="C301" s="6" t="s">
        <v>85</v>
      </c>
      <c r="D301" s="6" t="s">
        <v>1546</v>
      </c>
      <c r="E301" s="6" t="s">
        <v>1609</v>
      </c>
      <c r="F301" s="6" t="s">
        <v>1902</v>
      </c>
      <c r="G301" s="6" t="s">
        <v>2135</v>
      </c>
      <c r="H301" s="6" t="s">
        <v>329</v>
      </c>
    </row>
    <row r="302" spans="1:8">
      <c r="A302" s="27" t="s">
        <v>1611</v>
      </c>
      <c r="B302" s="27" t="s">
        <v>1612</v>
      </c>
      <c r="C302" s="27" t="s">
        <v>85</v>
      </c>
      <c r="D302" s="27" t="s">
        <v>586</v>
      </c>
      <c r="E302" s="27" t="s">
        <v>1614</v>
      </c>
      <c r="F302" s="27" t="s">
        <v>1902</v>
      </c>
      <c r="G302" s="27" t="s">
        <v>2136</v>
      </c>
      <c r="H302" s="27" t="s">
        <v>588</v>
      </c>
    </row>
    <row r="303" spans="1:8" ht="15.6" customHeight="1">
      <c r="A303" s="6" t="s">
        <v>1616</v>
      </c>
      <c r="B303" s="6" t="s">
        <v>1617</v>
      </c>
      <c r="C303" s="6" t="s">
        <v>85</v>
      </c>
      <c r="D303" s="6" t="s">
        <v>204</v>
      </c>
      <c r="E303" s="6" t="s">
        <v>1618</v>
      </c>
      <c r="F303" s="6"/>
      <c r="G303" s="41" t="s">
        <v>2137</v>
      </c>
      <c r="H303" s="6" t="s">
        <v>161</v>
      </c>
    </row>
    <row r="304" spans="1:8">
      <c r="A304" s="27" t="s">
        <v>1620</v>
      </c>
      <c r="B304" s="27" t="s">
        <v>1622</v>
      </c>
      <c r="C304" s="27" t="s">
        <v>85</v>
      </c>
      <c r="D304" s="27" t="s">
        <v>204</v>
      </c>
      <c r="E304" s="27" t="s">
        <v>1624</v>
      </c>
      <c r="F304" s="27"/>
      <c r="G304" s="27" t="s">
        <v>2138</v>
      </c>
      <c r="H304" s="27" t="s">
        <v>161</v>
      </c>
    </row>
    <row r="305" spans="1:8" ht="15.6" customHeight="1">
      <c r="A305" s="6" t="s">
        <v>1626</v>
      </c>
      <c r="B305" s="6" t="s">
        <v>1627</v>
      </c>
      <c r="C305" s="6" t="s">
        <v>85</v>
      </c>
      <c r="D305" s="6" t="s">
        <v>204</v>
      </c>
      <c r="E305" s="6" t="s">
        <v>1628</v>
      </c>
      <c r="F305" s="6"/>
      <c r="G305" s="41" t="s">
        <v>2139</v>
      </c>
      <c r="H305" s="6" t="s">
        <v>161</v>
      </c>
    </row>
    <row r="306" spans="1:8">
      <c r="A306" s="27" t="s">
        <v>1630</v>
      </c>
      <c r="B306" s="27" t="s">
        <v>1632</v>
      </c>
      <c r="C306" s="27" t="s">
        <v>85</v>
      </c>
      <c r="D306" s="27" t="s">
        <v>204</v>
      </c>
      <c r="E306" s="27" t="s">
        <v>1633</v>
      </c>
      <c r="F306" s="27"/>
      <c r="G306" s="27" t="s">
        <v>2140</v>
      </c>
      <c r="H306" s="27" t="s">
        <v>161</v>
      </c>
    </row>
    <row r="307" spans="1:8" ht="15.6" customHeight="1">
      <c r="A307" s="6" t="s">
        <v>1635</v>
      </c>
      <c r="B307" s="6" t="s">
        <v>1636</v>
      </c>
      <c r="C307" s="6" t="s">
        <v>85</v>
      </c>
      <c r="D307" s="6" t="s">
        <v>204</v>
      </c>
      <c r="E307" s="6" t="s">
        <v>1637</v>
      </c>
      <c r="F307" s="6"/>
      <c r="G307" s="41" t="s">
        <v>2141</v>
      </c>
      <c r="H307" s="6" t="s">
        <v>161</v>
      </c>
    </row>
    <row r="308" spans="1:8" ht="15.6" customHeight="1">
      <c r="A308" s="27" t="s">
        <v>1639</v>
      </c>
      <c r="B308" s="27" t="s">
        <v>1640</v>
      </c>
      <c r="C308" s="27" t="s">
        <v>85</v>
      </c>
      <c r="D308" s="27" t="s">
        <v>204</v>
      </c>
      <c r="E308" s="27" t="s">
        <v>1641</v>
      </c>
      <c r="F308" s="27"/>
      <c r="G308" s="41" t="s">
        <v>2142</v>
      </c>
      <c r="H308" s="27" t="s">
        <v>161</v>
      </c>
    </row>
    <row r="309" spans="1:8" ht="15.6" customHeight="1">
      <c r="A309" s="6" t="s">
        <v>1643</v>
      </c>
      <c r="B309" s="6" t="s">
        <v>1644</v>
      </c>
      <c r="C309" s="6" t="s">
        <v>85</v>
      </c>
      <c r="D309" s="6" t="s">
        <v>1645</v>
      </c>
      <c r="E309" s="6" t="s">
        <v>1646</v>
      </c>
      <c r="F309" s="6"/>
      <c r="G309" s="41" t="s">
        <v>2143</v>
      </c>
      <c r="H309" s="6" t="s">
        <v>161</v>
      </c>
    </row>
    <row r="310" spans="1:8" ht="15.6" customHeight="1">
      <c r="A310" s="27" t="s">
        <v>1649</v>
      </c>
      <c r="B310" s="27" t="s">
        <v>1650</v>
      </c>
      <c r="C310" s="27" t="s">
        <v>85</v>
      </c>
      <c r="D310" s="27" t="s">
        <v>1645</v>
      </c>
      <c r="E310" s="27" t="s">
        <v>1651</v>
      </c>
      <c r="F310" s="27"/>
      <c r="G310" s="41" t="s">
        <v>2144</v>
      </c>
      <c r="H310" s="27" t="s">
        <v>161</v>
      </c>
    </row>
    <row r="311" spans="1:8">
      <c r="A311" s="6" t="s">
        <v>1653</v>
      </c>
      <c r="B311" s="6" t="s">
        <v>1655</v>
      </c>
      <c r="C311" s="6" t="s">
        <v>85</v>
      </c>
      <c r="D311" s="6" t="s">
        <v>204</v>
      </c>
      <c r="E311" s="6" t="s">
        <v>1657</v>
      </c>
      <c r="F311" s="6"/>
      <c r="G311" s="6" t="s">
        <v>2145</v>
      </c>
      <c r="H311" s="6" t="s">
        <v>161</v>
      </c>
    </row>
    <row r="312" spans="1:8">
      <c r="A312" s="27" t="s">
        <v>1659</v>
      </c>
      <c r="B312" s="27" t="s">
        <v>1660</v>
      </c>
      <c r="C312" s="27" t="s">
        <v>85</v>
      </c>
      <c r="D312" s="27" t="s">
        <v>204</v>
      </c>
      <c r="E312" s="27" t="s">
        <v>1661</v>
      </c>
      <c r="F312" s="27"/>
      <c r="G312" s="27" t="s">
        <v>2146</v>
      </c>
      <c r="H312" s="27" t="s">
        <v>161</v>
      </c>
    </row>
    <row r="313" spans="1:8">
      <c r="A313" s="6" t="s">
        <v>1663</v>
      </c>
      <c r="B313" s="6" t="s">
        <v>1665</v>
      </c>
      <c r="C313" s="6" t="s">
        <v>86</v>
      </c>
      <c r="D313" s="6" t="s">
        <v>899</v>
      </c>
      <c r="E313" s="6" t="s">
        <v>893</v>
      </c>
      <c r="F313" s="6"/>
      <c r="G313" s="6" t="s">
        <v>2015</v>
      </c>
      <c r="H313" s="6" t="s">
        <v>161</v>
      </c>
    </row>
    <row r="314" spans="1:8">
      <c r="A314" s="27" t="s">
        <v>1667</v>
      </c>
      <c r="B314" s="27" t="s">
        <v>1669</v>
      </c>
      <c r="C314" s="27" t="s">
        <v>86</v>
      </c>
      <c r="D314" s="27" t="s">
        <v>899</v>
      </c>
      <c r="E314" s="27" t="s">
        <v>900</v>
      </c>
      <c r="F314" s="27"/>
      <c r="G314" s="27" t="s">
        <v>2016</v>
      </c>
      <c r="H314" s="27" t="s">
        <v>161</v>
      </c>
    </row>
    <row r="315" spans="1:8">
      <c r="A315" s="6" t="s">
        <v>1672</v>
      </c>
      <c r="B315" s="6" t="s">
        <v>1673</v>
      </c>
      <c r="C315" s="6" t="s">
        <v>86</v>
      </c>
      <c r="D315" s="6" t="s">
        <v>899</v>
      </c>
      <c r="E315" s="6" t="s">
        <v>925</v>
      </c>
      <c r="F315" s="6"/>
      <c r="G315" s="6" t="s">
        <v>2021</v>
      </c>
      <c r="H315" s="6" t="s">
        <v>161</v>
      </c>
    </row>
    <row r="316" spans="1:8">
      <c r="A316" s="27" t="s">
        <v>1675</v>
      </c>
      <c r="B316" s="27" t="s">
        <v>1677</v>
      </c>
      <c r="C316" s="27" t="s">
        <v>86</v>
      </c>
      <c r="D316" s="27" t="s">
        <v>1679</v>
      </c>
      <c r="E316" s="27"/>
      <c r="F316" s="27" t="s">
        <v>1902</v>
      </c>
      <c r="G316" s="27" t="s">
        <v>1908</v>
      </c>
      <c r="H316" s="27" t="s">
        <v>879</v>
      </c>
    </row>
    <row r="317" spans="1:8">
      <c r="A317" s="6" t="s">
        <v>1681</v>
      </c>
      <c r="B317" s="6" t="s">
        <v>1683</v>
      </c>
      <c r="C317" s="6" t="s">
        <v>86</v>
      </c>
      <c r="D317" s="6" t="s">
        <v>1684</v>
      </c>
      <c r="E317" s="6" t="s">
        <v>1685</v>
      </c>
      <c r="F317" s="6"/>
      <c r="G317" s="6" t="s">
        <v>2147</v>
      </c>
      <c r="H317" s="6" t="s">
        <v>1684</v>
      </c>
    </row>
    <row r="318" spans="1:8">
      <c r="A318" s="27" t="s">
        <v>1687</v>
      </c>
      <c r="B318" s="27" t="s">
        <v>1689</v>
      </c>
      <c r="C318" s="27" t="s">
        <v>86</v>
      </c>
      <c r="D318" s="27" t="s">
        <v>1690</v>
      </c>
      <c r="E318" s="27" t="s">
        <v>1691</v>
      </c>
      <c r="F318" s="27"/>
      <c r="G318" s="27" t="s">
        <v>2148</v>
      </c>
      <c r="H318" s="27" t="s">
        <v>1690</v>
      </c>
    </row>
    <row r="319" spans="1:8">
      <c r="A319" s="6" t="s">
        <v>1693</v>
      </c>
      <c r="B319" s="6" t="s">
        <v>1694</v>
      </c>
      <c r="C319" s="6" t="s">
        <v>86</v>
      </c>
      <c r="D319" s="6" t="s">
        <v>899</v>
      </c>
      <c r="E319" s="6" t="s">
        <v>1696</v>
      </c>
      <c r="F319" s="6"/>
      <c r="G319" s="6" t="s">
        <v>2149</v>
      </c>
      <c r="H319" s="6" t="s">
        <v>161</v>
      </c>
    </row>
    <row r="320" spans="1:8">
      <c r="A320" s="27" t="s">
        <v>1698</v>
      </c>
      <c r="B320" s="27" t="s">
        <v>1700</v>
      </c>
      <c r="C320" s="27" t="s">
        <v>86</v>
      </c>
      <c r="D320" s="27" t="s">
        <v>768</v>
      </c>
      <c r="E320" s="27" t="s">
        <v>769</v>
      </c>
      <c r="F320" s="27"/>
      <c r="G320" s="27" t="s">
        <v>1993</v>
      </c>
      <c r="H320" s="27" t="s">
        <v>161</v>
      </c>
    </row>
    <row r="321" spans="1:8">
      <c r="A321" s="6" t="s">
        <v>1702</v>
      </c>
      <c r="B321" s="6" t="s">
        <v>778</v>
      </c>
      <c r="C321" s="6" t="s">
        <v>86</v>
      </c>
      <c r="D321" s="6" t="s">
        <v>768</v>
      </c>
      <c r="E321" s="6" t="s">
        <v>779</v>
      </c>
      <c r="F321" s="6"/>
      <c r="G321" s="6" t="s">
        <v>1995</v>
      </c>
      <c r="H321" s="6" t="s">
        <v>161</v>
      </c>
    </row>
    <row r="322" spans="1:8">
      <c r="A322" s="27" t="s">
        <v>1704</v>
      </c>
      <c r="B322" s="27" t="s">
        <v>1706</v>
      </c>
      <c r="C322" s="27" t="s">
        <v>86</v>
      </c>
      <c r="D322" s="27" t="s">
        <v>1337</v>
      </c>
      <c r="E322" s="27" t="s">
        <v>1707</v>
      </c>
      <c r="F322" s="27"/>
      <c r="G322" s="27" t="s">
        <v>2092</v>
      </c>
      <c r="H322" s="27" t="s">
        <v>1339</v>
      </c>
    </row>
    <row r="323" spans="1:8">
      <c r="A323" s="6" t="s">
        <v>1709</v>
      </c>
      <c r="B323" s="6" t="s">
        <v>1710</v>
      </c>
      <c r="C323" s="6" t="s">
        <v>86</v>
      </c>
      <c r="D323" s="6" t="s">
        <v>1712</v>
      </c>
      <c r="E323" s="6" t="s">
        <v>1713</v>
      </c>
      <c r="F323" s="6"/>
      <c r="G323" s="6" t="s">
        <v>2150</v>
      </c>
      <c r="H323" s="6" t="s">
        <v>1712</v>
      </c>
    </row>
    <row r="324" spans="1:8">
      <c r="A324" s="27" t="s">
        <v>1715</v>
      </c>
      <c r="B324" s="27" t="s">
        <v>1716</v>
      </c>
      <c r="C324" s="27" t="s">
        <v>86</v>
      </c>
      <c r="D324" s="27" t="s">
        <v>899</v>
      </c>
      <c r="E324" s="27" t="s">
        <v>1718</v>
      </c>
      <c r="F324" s="27"/>
      <c r="G324" s="27" t="s">
        <v>2151</v>
      </c>
      <c r="H324" s="27" t="s">
        <v>161</v>
      </c>
    </row>
    <row r="325" spans="1:8">
      <c r="A325" s="6" t="s">
        <v>1720</v>
      </c>
      <c r="B325" s="6" t="s">
        <v>1722</v>
      </c>
      <c r="C325" s="6" t="s">
        <v>86</v>
      </c>
      <c r="D325" s="6" t="s">
        <v>1724</v>
      </c>
      <c r="E325" s="6" t="s">
        <v>1725</v>
      </c>
      <c r="F325" s="6"/>
      <c r="G325" s="6" t="s">
        <v>2152</v>
      </c>
      <c r="H325" s="6" t="s">
        <v>161</v>
      </c>
    </row>
    <row r="326" spans="1:8">
      <c r="A326" s="27" t="s">
        <v>1727</v>
      </c>
      <c r="B326" s="27" t="s">
        <v>1728</v>
      </c>
      <c r="C326" s="27" t="s">
        <v>86</v>
      </c>
      <c r="D326" s="27" t="s">
        <v>768</v>
      </c>
      <c r="E326" s="27" t="s">
        <v>1730</v>
      </c>
      <c r="F326" s="27"/>
      <c r="G326" s="27" t="s">
        <v>2153</v>
      </c>
      <c r="H326" s="27" t="s">
        <v>161</v>
      </c>
    </row>
    <row r="327" spans="1:8" ht="15.6" customHeight="1">
      <c r="A327" s="6" t="s">
        <v>1732</v>
      </c>
      <c r="B327" s="6" t="s">
        <v>1734</v>
      </c>
      <c r="C327" s="6" t="s">
        <v>86</v>
      </c>
      <c r="D327" s="6" t="s">
        <v>204</v>
      </c>
      <c r="E327" s="6" t="s">
        <v>1736</v>
      </c>
      <c r="F327" s="6"/>
      <c r="G327" s="41" t="s">
        <v>2154</v>
      </c>
      <c r="H327" s="6" t="s">
        <v>161</v>
      </c>
    </row>
    <row r="328" spans="1:8">
      <c r="A328" s="27" t="s">
        <v>1738</v>
      </c>
      <c r="B328" s="27" t="s">
        <v>1740</v>
      </c>
      <c r="C328" s="27" t="s">
        <v>86</v>
      </c>
      <c r="D328" s="27" t="s">
        <v>593</v>
      </c>
      <c r="E328" s="27" t="s">
        <v>1741</v>
      </c>
      <c r="F328" s="27"/>
      <c r="G328" s="27" t="s">
        <v>2155</v>
      </c>
      <c r="H328" s="27" t="s">
        <v>161</v>
      </c>
    </row>
    <row r="329" spans="1:8">
      <c r="A329" s="6" t="s">
        <v>1743</v>
      </c>
      <c r="B329" s="6" t="s">
        <v>1744</v>
      </c>
      <c r="C329" s="6" t="s">
        <v>86</v>
      </c>
      <c r="D329" s="6" t="s">
        <v>593</v>
      </c>
      <c r="E329" s="6" t="s">
        <v>1746</v>
      </c>
      <c r="F329" s="6"/>
      <c r="G329" s="6" t="s">
        <v>2156</v>
      </c>
      <c r="H329" s="6" t="s">
        <v>161</v>
      </c>
    </row>
    <row r="330" spans="1:8">
      <c r="A330" s="27" t="s">
        <v>1748</v>
      </c>
      <c r="B330" s="27" t="s">
        <v>1749</v>
      </c>
      <c r="C330" s="27" t="s">
        <v>86</v>
      </c>
      <c r="D330" s="27" t="s">
        <v>1690</v>
      </c>
      <c r="E330" s="27" t="s">
        <v>1750</v>
      </c>
      <c r="F330" s="27"/>
      <c r="G330" s="27" t="s">
        <v>2157</v>
      </c>
      <c r="H330" s="27" t="s">
        <v>254</v>
      </c>
    </row>
    <row r="331" spans="1:8" ht="15.6" customHeight="1">
      <c r="A331" s="6" t="s">
        <v>1752</v>
      </c>
      <c r="B331" s="6" t="s">
        <v>1753</v>
      </c>
      <c r="C331" s="6" t="s">
        <v>86</v>
      </c>
      <c r="D331" s="6" t="s">
        <v>204</v>
      </c>
      <c r="E331" s="6" t="s">
        <v>1755</v>
      </c>
      <c r="F331" s="6"/>
      <c r="G331" s="41" t="s">
        <v>2158</v>
      </c>
      <c r="H331" s="6" t="s">
        <v>161</v>
      </c>
    </row>
    <row r="332" spans="1:8">
      <c r="A332" s="27" t="s">
        <v>1757</v>
      </c>
      <c r="B332" s="27" t="s">
        <v>1758</v>
      </c>
      <c r="C332" s="27" t="s">
        <v>86</v>
      </c>
      <c r="D332" s="27" t="s">
        <v>1759</v>
      </c>
      <c r="E332" s="27" t="s">
        <v>1760</v>
      </c>
      <c r="F332" s="27"/>
      <c r="G332" s="27" t="s">
        <v>2159</v>
      </c>
      <c r="H332" s="27" t="s">
        <v>161</v>
      </c>
    </row>
    <row r="333" spans="1:8">
      <c r="A333" s="6" t="s">
        <v>1762</v>
      </c>
      <c r="B333" s="6" t="s">
        <v>1763</v>
      </c>
      <c r="C333" s="6" t="s">
        <v>86</v>
      </c>
      <c r="D333" s="6" t="s">
        <v>1759</v>
      </c>
      <c r="E333" s="6" t="s">
        <v>1764</v>
      </c>
      <c r="F333" s="6"/>
      <c r="G333" s="6" t="s">
        <v>2160</v>
      </c>
      <c r="H333" s="6" t="s">
        <v>161</v>
      </c>
    </row>
    <row r="334" spans="1:8">
      <c r="A334" s="27" t="s">
        <v>1766</v>
      </c>
      <c r="B334" s="27" t="s">
        <v>1767</v>
      </c>
      <c r="C334" s="27" t="s">
        <v>86</v>
      </c>
      <c r="D334" s="27" t="s">
        <v>204</v>
      </c>
      <c r="E334" s="27" t="s">
        <v>1768</v>
      </c>
      <c r="F334" s="27"/>
      <c r="G334" s="27" t="s">
        <v>2161</v>
      </c>
      <c r="H334" s="27" t="s">
        <v>161</v>
      </c>
    </row>
    <row r="335" spans="1:8" ht="15.6" customHeight="1">
      <c r="A335" s="6" t="s">
        <v>1770</v>
      </c>
      <c r="B335" s="6" t="s">
        <v>1771</v>
      </c>
      <c r="C335" s="6" t="s">
        <v>86</v>
      </c>
      <c r="D335" s="6" t="s">
        <v>1772</v>
      </c>
      <c r="E335" s="6" t="s">
        <v>1773</v>
      </c>
      <c r="F335" s="6"/>
      <c r="G335" s="41" t="s">
        <v>2162</v>
      </c>
      <c r="H335" s="6" t="s">
        <v>161</v>
      </c>
    </row>
  </sheetData>
  <autoFilter ref="A4:H335" xr:uid="{00000000-0009-0000-0000-00000A000000}"/>
  <hyperlinks>
    <hyperlink ref="A1" location="'00_Painel'!A1" display="← Painel" xr:uid="{00000000-0004-0000-0A00-000000000000}"/>
    <hyperlink ref="G7" r:id="rId1" xr:uid="{00000000-0004-0000-0A00-000001000000}"/>
    <hyperlink ref="G33" r:id="rId2" xr:uid="{00000000-0004-0000-0A00-000002000000}"/>
    <hyperlink ref="G34" r:id="rId3" xr:uid="{00000000-0004-0000-0A00-000003000000}"/>
    <hyperlink ref="G35" r:id="rId4" xr:uid="{00000000-0004-0000-0A00-000004000000}"/>
    <hyperlink ref="G39" r:id="rId5" xr:uid="{00000000-0004-0000-0A00-000005000000}"/>
    <hyperlink ref="G40" r:id="rId6" xr:uid="{00000000-0004-0000-0A00-000006000000}"/>
    <hyperlink ref="G43" r:id="rId7" xr:uid="{00000000-0004-0000-0A00-000007000000}"/>
    <hyperlink ref="G49" r:id="rId8" xr:uid="{00000000-0004-0000-0A00-000008000000}"/>
    <hyperlink ref="G50" r:id="rId9" xr:uid="{00000000-0004-0000-0A00-000009000000}"/>
    <hyperlink ref="G51" r:id="rId10" xr:uid="{00000000-0004-0000-0A00-00000A000000}"/>
    <hyperlink ref="G55" r:id="rId11" xr:uid="{00000000-0004-0000-0A00-00000B000000}"/>
    <hyperlink ref="G67" r:id="rId12" xr:uid="{00000000-0004-0000-0A00-00000C000000}"/>
    <hyperlink ref="G68" r:id="rId13" xr:uid="{00000000-0004-0000-0A00-00000D000000}"/>
    <hyperlink ref="G73" r:id="rId14" xr:uid="{00000000-0004-0000-0A00-00000E000000}"/>
    <hyperlink ref="G74" r:id="rId15" xr:uid="{00000000-0004-0000-0A00-00000F000000}"/>
    <hyperlink ref="G76" r:id="rId16" xr:uid="{00000000-0004-0000-0A00-000010000000}"/>
    <hyperlink ref="G77" r:id="rId17" xr:uid="{00000000-0004-0000-0A00-000011000000}"/>
    <hyperlink ref="G79" r:id="rId18" xr:uid="{00000000-0004-0000-0A00-000012000000}"/>
    <hyperlink ref="G80" r:id="rId19" xr:uid="{00000000-0004-0000-0A00-000013000000}"/>
    <hyperlink ref="G81" r:id="rId20" xr:uid="{00000000-0004-0000-0A00-000014000000}"/>
    <hyperlink ref="G85" r:id="rId21" xr:uid="{00000000-0004-0000-0A00-000015000000}"/>
    <hyperlink ref="G86" r:id="rId22" xr:uid="{00000000-0004-0000-0A00-000016000000}"/>
    <hyperlink ref="G87" r:id="rId23" xr:uid="{00000000-0004-0000-0A00-000017000000}"/>
    <hyperlink ref="G88" r:id="rId24" xr:uid="{00000000-0004-0000-0A00-000018000000}"/>
    <hyperlink ref="G90" r:id="rId25" xr:uid="{00000000-0004-0000-0A00-000019000000}"/>
    <hyperlink ref="G92" r:id="rId26" xr:uid="{00000000-0004-0000-0A00-00001A000000}"/>
    <hyperlink ref="G120" r:id="rId27" xr:uid="{00000000-0004-0000-0A00-00001B000000}"/>
    <hyperlink ref="G122" r:id="rId28" xr:uid="{00000000-0004-0000-0A00-00001C000000}"/>
    <hyperlink ref="G137" r:id="rId29" xr:uid="{00000000-0004-0000-0A00-00001D000000}"/>
    <hyperlink ref="G150" r:id="rId30" xr:uid="{00000000-0004-0000-0A00-00001E000000}"/>
    <hyperlink ref="G151" r:id="rId31" xr:uid="{00000000-0004-0000-0A00-00001F000000}"/>
    <hyperlink ref="G158" r:id="rId32" xr:uid="{00000000-0004-0000-0A00-000020000000}"/>
    <hyperlink ref="G175" r:id="rId33" xr:uid="{00000000-0004-0000-0A00-000021000000}"/>
    <hyperlink ref="G180" r:id="rId34" xr:uid="{00000000-0004-0000-0A00-000022000000}"/>
    <hyperlink ref="G183" r:id="rId35" xr:uid="{00000000-0004-0000-0A00-000023000000}"/>
    <hyperlink ref="G184" r:id="rId36" xr:uid="{00000000-0004-0000-0A00-000024000000}"/>
    <hyperlink ref="G191" r:id="rId37" xr:uid="{00000000-0004-0000-0A00-000025000000}"/>
    <hyperlink ref="G193" r:id="rId38" xr:uid="{00000000-0004-0000-0A00-000026000000}"/>
    <hyperlink ref="G211" r:id="rId39" xr:uid="{00000000-0004-0000-0A00-000027000000}"/>
    <hyperlink ref="G212" r:id="rId40" xr:uid="{00000000-0004-0000-0A00-000028000000}"/>
    <hyperlink ref="G214" r:id="rId41" xr:uid="{00000000-0004-0000-0A00-000029000000}"/>
    <hyperlink ref="G244" r:id="rId42" xr:uid="{00000000-0004-0000-0A00-00002A000000}"/>
    <hyperlink ref="G247" r:id="rId43" xr:uid="{00000000-0004-0000-0A00-00002B000000}"/>
    <hyperlink ref="G253" r:id="rId44" xr:uid="{00000000-0004-0000-0A00-00002C000000}"/>
    <hyperlink ref="G256" r:id="rId45" xr:uid="{00000000-0004-0000-0A00-00002D000000}"/>
    <hyperlink ref="G257" r:id="rId46" xr:uid="{00000000-0004-0000-0A00-00002E000000}"/>
    <hyperlink ref="G258" r:id="rId47" xr:uid="{00000000-0004-0000-0A00-00002F000000}"/>
    <hyperlink ref="G260" r:id="rId48" xr:uid="{00000000-0004-0000-0A00-000030000000}"/>
    <hyperlink ref="G261" r:id="rId49" xr:uid="{00000000-0004-0000-0A00-000031000000}"/>
    <hyperlink ref="G263" r:id="rId50" xr:uid="{00000000-0004-0000-0A00-000032000000}"/>
    <hyperlink ref="G264" r:id="rId51" xr:uid="{00000000-0004-0000-0A00-000033000000}"/>
    <hyperlink ref="G269" r:id="rId52" xr:uid="{00000000-0004-0000-0A00-000034000000}"/>
    <hyperlink ref="G293" r:id="rId53" xr:uid="{00000000-0004-0000-0A00-000035000000}"/>
    <hyperlink ref="G294" r:id="rId54" xr:uid="{00000000-0004-0000-0A00-000036000000}"/>
    <hyperlink ref="G295" r:id="rId55" xr:uid="{00000000-0004-0000-0A00-000037000000}"/>
    <hyperlink ref="G296" r:id="rId56" xr:uid="{00000000-0004-0000-0A00-000038000000}"/>
    <hyperlink ref="G303" r:id="rId57" xr:uid="{00000000-0004-0000-0A00-000039000000}"/>
    <hyperlink ref="G305" r:id="rId58" xr:uid="{00000000-0004-0000-0A00-00003A000000}"/>
    <hyperlink ref="G307" r:id="rId59" xr:uid="{00000000-0004-0000-0A00-00003B000000}"/>
    <hyperlink ref="G308" r:id="rId60" xr:uid="{00000000-0004-0000-0A00-00003C000000}"/>
    <hyperlink ref="G309" r:id="rId61" xr:uid="{00000000-0004-0000-0A00-00003D000000}"/>
    <hyperlink ref="G310" r:id="rId62" xr:uid="{00000000-0004-0000-0A00-00003E000000}"/>
    <hyperlink ref="G327" r:id="rId63" xr:uid="{00000000-0004-0000-0A00-00003F000000}"/>
    <hyperlink ref="G331" r:id="rId64" xr:uid="{00000000-0004-0000-0A00-000040000000}"/>
    <hyperlink ref="G335" r:id="rId65" xr:uid="{00000000-0004-0000-0A00-000041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T130"/>
  <sheetViews>
    <sheetView workbookViewId="0"/>
  </sheetViews>
  <sheetFormatPr defaultRowHeight="14.45"/>
  <sheetData>
    <row r="1" spans="1:72">
      <c r="A1" s="4" t="s">
        <v>2163</v>
      </c>
    </row>
    <row r="3" spans="1:72">
      <c r="A3" t="s">
        <v>90</v>
      </c>
      <c r="B3" s="4" t="s">
        <v>2164</v>
      </c>
      <c r="C3" s="4" t="s">
        <v>2165</v>
      </c>
      <c r="D3" s="4" t="s">
        <v>2166</v>
      </c>
      <c r="E3" s="4" t="s">
        <v>2167</v>
      </c>
      <c r="F3" s="4" t="s">
        <v>2168</v>
      </c>
      <c r="G3" s="4" t="s">
        <v>2169</v>
      </c>
      <c r="H3" s="4" t="s">
        <v>2170</v>
      </c>
      <c r="I3" s="4" t="s">
        <v>2171</v>
      </c>
      <c r="J3" s="4" t="s">
        <v>2172</v>
      </c>
      <c r="K3" s="4" t="s">
        <v>2173</v>
      </c>
      <c r="L3" s="4" t="s">
        <v>2174</v>
      </c>
      <c r="N3" s="4" t="s">
        <v>2175</v>
      </c>
      <c r="O3" s="4" t="s">
        <v>2176</v>
      </c>
      <c r="P3" s="4" t="s">
        <v>2177</v>
      </c>
      <c r="Q3" s="4" t="s">
        <v>2178</v>
      </c>
      <c r="R3" s="4" t="s">
        <v>2179</v>
      </c>
      <c r="S3" s="4" t="s">
        <v>2180</v>
      </c>
      <c r="T3" s="4" t="s">
        <v>2181</v>
      </c>
      <c r="U3" s="4" t="s">
        <v>2182</v>
      </c>
      <c r="V3" s="4" t="s">
        <v>2183</v>
      </c>
      <c r="W3" s="4" t="s">
        <v>2184</v>
      </c>
      <c r="X3" s="4" t="s">
        <v>2185</v>
      </c>
      <c r="Z3" s="4" t="s">
        <v>2186</v>
      </c>
      <c r="AA3" s="4" t="s">
        <v>2187</v>
      </c>
      <c r="AB3" s="4" t="s">
        <v>2188</v>
      </c>
      <c r="AC3" s="4" t="s">
        <v>2189</v>
      </c>
      <c r="AD3" s="4" t="s">
        <v>2190</v>
      </c>
      <c r="AE3" s="4" t="s">
        <v>2191</v>
      </c>
      <c r="AF3" s="4" t="s">
        <v>2192</v>
      </c>
      <c r="AG3" s="4" t="s">
        <v>2193</v>
      </c>
      <c r="AH3" s="4" t="s">
        <v>2194</v>
      </c>
      <c r="AI3" s="4" t="s">
        <v>2195</v>
      </c>
      <c r="AJ3" s="4" t="s">
        <v>2196</v>
      </c>
      <c r="AL3" s="4" t="s">
        <v>2197</v>
      </c>
      <c r="AM3" s="4" t="s">
        <v>2198</v>
      </c>
      <c r="AN3" s="4" t="s">
        <v>2199</v>
      </c>
      <c r="AO3" s="4" t="s">
        <v>2200</v>
      </c>
      <c r="AP3" s="4" t="s">
        <v>2201</v>
      </c>
      <c r="AQ3" s="4" t="s">
        <v>2202</v>
      </c>
      <c r="AR3" s="4" t="s">
        <v>2203</v>
      </c>
      <c r="AS3" s="4" t="s">
        <v>2204</v>
      </c>
      <c r="AT3" s="4" t="s">
        <v>2205</v>
      </c>
      <c r="AU3" s="4" t="s">
        <v>2206</v>
      </c>
      <c r="AV3" s="4" t="s">
        <v>2207</v>
      </c>
      <c r="AX3" s="4" t="s">
        <v>2208</v>
      </c>
      <c r="AY3" s="4" t="s">
        <v>2209</v>
      </c>
      <c r="AZ3" s="4" t="s">
        <v>2210</v>
      </c>
      <c r="BA3" s="4" t="s">
        <v>2211</v>
      </c>
      <c r="BB3" s="4" t="s">
        <v>2212</v>
      </c>
      <c r="BC3" s="4" t="s">
        <v>2213</v>
      </c>
      <c r="BD3" s="4" t="s">
        <v>2214</v>
      </c>
      <c r="BE3" s="4" t="s">
        <v>2215</v>
      </c>
      <c r="BF3" s="4" t="s">
        <v>2216</v>
      </c>
      <c r="BG3" s="4" t="s">
        <v>2217</v>
      </c>
      <c r="BH3" s="4" t="s">
        <v>2218</v>
      </c>
      <c r="BJ3" s="4" t="s">
        <v>2219</v>
      </c>
      <c r="BK3" s="4" t="s">
        <v>2220</v>
      </c>
      <c r="BL3" s="4" t="s">
        <v>2221</v>
      </c>
      <c r="BM3" s="4" t="s">
        <v>2222</v>
      </c>
      <c r="BN3" s="4" t="s">
        <v>2223</v>
      </c>
      <c r="BO3" s="4" t="s">
        <v>2224</v>
      </c>
      <c r="BP3" s="4" t="s">
        <v>2225</v>
      </c>
      <c r="BQ3" s="4" t="s">
        <v>2226</v>
      </c>
      <c r="BR3" s="4" t="s">
        <v>2227</v>
      </c>
      <c r="BS3" s="4" t="s">
        <v>2228</v>
      </c>
      <c r="BT3" s="4" t="s">
        <v>2229</v>
      </c>
    </row>
    <row r="5" spans="1:72">
      <c r="A5" s="6" t="str">
        <f>'03_Base_Indice'!D5</f>
        <v>GOV01</v>
      </c>
      <c r="B5">
        <f>IFERROR(LOOKUP(2,1/ISNUMBER('03_Base_Indice'!$K5:K5),COLUMN('03_Base_Indice'!$K5:K5)-COLUMN('03_Base_Indice'!$K5)+1),"")</f>
        <v>1</v>
      </c>
      <c r="C5">
        <f>IFERROR(LOOKUP(2,1/ISNUMBER('03_Base_Indice'!$K5:L5),COLUMN('03_Base_Indice'!$K5:L5)-COLUMN('03_Base_Indice'!$K5)+1),"")</f>
        <v>2</v>
      </c>
      <c r="D5">
        <f>IFERROR(LOOKUP(2,1/ISNUMBER('03_Base_Indice'!$K5:M5),COLUMN('03_Base_Indice'!$K5:M5)-COLUMN('03_Base_Indice'!$K5)+1),"")</f>
        <v>3</v>
      </c>
      <c r="E5">
        <f>IFERROR(LOOKUP(2,1/ISNUMBER('03_Base_Indice'!$K5:N5),COLUMN('03_Base_Indice'!$K5:N5)-COLUMN('03_Base_Indice'!$K5)+1),"")</f>
        <v>4</v>
      </c>
      <c r="F5">
        <f>IFERROR(LOOKUP(2,1/ISNUMBER('03_Base_Indice'!$K5:O5),COLUMN('03_Base_Indice'!$K5:O5)-COLUMN('03_Base_Indice'!$K5)+1),"")</f>
        <v>5</v>
      </c>
      <c r="G5">
        <f>IFERROR(LOOKUP(2,1/ISNUMBER('03_Base_Indice'!$K5:P5),COLUMN('03_Base_Indice'!$K5:P5)-COLUMN('03_Base_Indice'!$K5)+1),"")</f>
        <v>6</v>
      </c>
      <c r="H5">
        <f>IFERROR(LOOKUP(2,1/ISNUMBER('03_Base_Indice'!$K5:Q5),COLUMN('03_Base_Indice'!$K5:Q5)-COLUMN('03_Base_Indice'!$K5)+1),"")</f>
        <v>7</v>
      </c>
      <c r="I5">
        <f>IFERROR(LOOKUP(2,1/ISNUMBER('03_Base_Indice'!$K5:R5),COLUMN('03_Base_Indice'!$K5:R5)-COLUMN('03_Base_Indice'!$K5)+1),"")</f>
        <v>8</v>
      </c>
      <c r="J5">
        <f>IFERROR(LOOKUP(2,1/ISNUMBER('03_Base_Indice'!$K5:S5),COLUMN('03_Base_Indice'!$K5:S5)-COLUMN('03_Base_Indice'!$K5)+1),"")</f>
        <v>9</v>
      </c>
      <c r="K5">
        <f>IFERROR(LOOKUP(2,1/ISNUMBER('03_Base_Indice'!$K5:T5),COLUMN('03_Base_Indice'!$K5:T5)-COLUMN('03_Base_Indice'!$K5)+1),"")</f>
        <v>10</v>
      </c>
      <c r="L5">
        <f>IFERROR(LOOKUP(2,1/ISNUMBER('03_Base_Indice'!$K5:U5),COLUMN('03_Base_Indice'!$K5:U5)-COLUMN('03_Base_Indice'!$K5)+1),"")</f>
        <v>11</v>
      </c>
      <c r="N5">
        <f>IFERROR(MATCH(TRUE,INDEX(ISNUMBER('03_Base_Indice'!K5:$U5),0),0)+0,"")</f>
        <v>1</v>
      </c>
      <c r="O5">
        <f>IFERROR(MATCH(TRUE,INDEX(ISNUMBER('03_Base_Indice'!L5:$U5),0),0)+1,"")</f>
        <v>2</v>
      </c>
      <c r="P5">
        <f>IFERROR(MATCH(TRUE,INDEX(ISNUMBER('03_Base_Indice'!M5:$U5),0),0)+2,"")</f>
        <v>3</v>
      </c>
      <c r="Q5">
        <f>IFERROR(MATCH(TRUE,INDEX(ISNUMBER('03_Base_Indice'!N5:$U5),0),0)+3,"")</f>
        <v>4</v>
      </c>
      <c r="R5">
        <f>IFERROR(MATCH(TRUE,INDEX(ISNUMBER('03_Base_Indice'!O5:$U5),0),0)+4,"")</f>
        <v>5</v>
      </c>
      <c r="S5">
        <f>IFERROR(MATCH(TRUE,INDEX(ISNUMBER('03_Base_Indice'!P5:$U5),0),0)+5,"")</f>
        <v>6</v>
      </c>
      <c r="T5">
        <f>IFERROR(MATCH(TRUE,INDEX(ISNUMBER('03_Base_Indice'!Q5:$U5),0),0)+6,"")</f>
        <v>7</v>
      </c>
      <c r="U5">
        <f>IFERROR(MATCH(TRUE,INDEX(ISNUMBER('03_Base_Indice'!R5:$U5),0),0)+7,"")</f>
        <v>8</v>
      </c>
      <c r="V5">
        <f>IFERROR(MATCH(TRUE,INDEX(ISNUMBER('03_Base_Indice'!S5:$U5),0),0)+8,"")</f>
        <v>9</v>
      </c>
      <c r="W5">
        <f>IFERROR(MATCH(TRUE,INDEX(ISNUMBER('03_Base_Indice'!T5:$U5),0),0)+9,"")</f>
        <v>10</v>
      </c>
      <c r="X5">
        <f>IFERROR(MATCH(TRUE,INDEX(ISNUMBER('03_Base_Indice'!U5:$U5),0),0)+10,"")</f>
        <v>11</v>
      </c>
      <c r="Z5">
        <f>IF(B5="","",INDEX('03_Base_Indice'!$K5:$U5,B5))</f>
        <v>15</v>
      </c>
      <c r="AA5">
        <f>IF(C5="","",INDEX('03_Base_Indice'!$K5:$U5,C5))</f>
        <v>18</v>
      </c>
      <c r="AB5">
        <f>IF(D5="","",INDEX('03_Base_Indice'!$K5:$U5,D5))</f>
        <v>19</v>
      </c>
      <c r="AC5">
        <f>IF(E5="","",INDEX('03_Base_Indice'!$K5:$U5,E5))</f>
        <v>19</v>
      </c>
      <c r="AD5">
        <f>IF(F5="","",INDEX('03_Base_Indice'!$K5:$U5,F5))</f>
        <v>26</v>
      </c>
      <c r="AE5">
        <f>IF(G5="","",INDEX('03_Base_Indice'!$K5:$U5,G5))</f>
        <v>27</v>
      </c>
      <c r="AF5">
        <f>IF(H5="","",INDEX('03_Base_Indice'!$K5:$U5,H5))</f>
        <v>29</v>
      </c>
      <c r="AG5">
        <f>IF(I5="","",INDEX('03_Base_Indice'!$K5:$U5,I5))</f>
        <v>33</v>
      </c>
      <c r="AH5">
        <f>IF(J5="","",INDEX('03_Base_Indice'!$K5:$U5,J5))</f>
        <v>33</v>
      </c>
      <c r="AI5">
        <f>IF(K5="","",INDEX('03_Base_Indice'!$K5:$U5,K5))</f>
        <v>32</v>
      </c>
      <c r="AJ5">
        <f>IF(L5="","",INDEX('03_Base_Indice'!$K5:$U5,L5))</f>
        <v>32</v>
      </c>
      <c r="AL5">
        <f>IF(N5="","",INDEX('03_Base_Indice'!$K5:$U5,N5))</f>
        <v>15</v>
      </c>
      <c r="AM5">
        <f>IF(O5="","",INDEX('03_Base_Indice'!$K5:$U5,O5))</f>
        <v>18</v>
      </c>
      <c r="AN5">
        <f>IF(P5="","",INDEX('03_Base_Indice'!$K5:$U5,P5))</f>
        <v>19</v>
      </c>
      <c r="AO5">
        <f>IF(Q5="","",INDEX('03_Base_Indice'!$K5:$U5,Q5))</f>
        <v>19</v>
      </c>
      <c r="AP5">
        <f>IF(R5="","",INDEX('03_Base_Indice'!$K5:$U5,R5))</f>
        <v>26</v>
      </c>
      <c r="AQ5">
        <f>IF(S5="","",INDEX('03_Base_Indice'!$K5:$U5,S5))</f>
        <v>27</v>
      </c>
      <c r="AR5">
        <f>IF(T5="","",INDEX('03_Base_Indice'!$K5:$U5,T5))</f>
        <v>29</v>
      </c>
      <c r="AS5">
        <f>IF(U5="","",INDEX('03_Base_Indice'!$K5:$U5,U5))</f>
        <v>33</v>
      </c>
      <c r="AT5">
        <f>IF(V5="","",INDEX('03_Base_Indice'!$K5:$U5,V5))</f>
        <v>33</v>
      </c>
      <c r="AU5">
        <f>IF(W5="","",INDEX('03_Base_Indice'!$K5:$U5,W5))</f>
        <v>32</v>
      </c>
      <c r="AV5">
        <f>IF(X5="","",INDEX('03_Base_Indice'!$K5:$U5,X5))</f>
        <v>32</v>
      </c>
      <c r="AX5">
        <f>IF('06_Normalizacao'!K5="",0,'06_Normalizacao'!K5)</f>
        <v>15</v>
      </c>
      <c r="AY5">
        <f>IF('06_Normalizacao'!L5="",0,'06_Normalizacao'!L5)</f>
        <v>18</v>
      </c>
      <c r="AZ5">
        <f>IF('06_Normalizacao'!M5="",0,'06_Normalizacao'!M5)</f>
        <v>19</v>
      </c>
      <c r="BA5">
        <f>IF('06_Normalizacao'!N5="",0,'06_Normalizacao'!N5)</f>
        <v>19</v>
      </c>
      <c r="BB5">
        <f>IF('06_Normalizacao'!O5="",0,'06_Normalizacao'!O5)</f>
        <v>26</v>
      </c>
      <c r="BC5">
        <f>IF('06_Normalizacao'!P5="",0,'06_Normalizacao'!P5)</f>
        <v>27</v>
      </c>
      <c r="BD5">
        <f>IF('06_Normalizacao'!Q5="",0,'06_Normalizacao'!Q5)</f>
        <v>29</v>
      </c>
      <c r="BE5">
        <f>IF('06_Normalizacao'!R5="",0,'06_Normalizacao'!R5)</f>
        <v>33</v>
      </c>
      <c r="BF5">
        <f>IF('06_Normalizacao'!S5="",0,'06_Normalizacao'!S5)</f>
        <v>33</v>
      </c>
      <c r="BG5">
        <f>IF('06_Normalizacao'!T5="",0,'06_Normalizacao'!T5)</f>
        <v>32</v>
      </c>
      <c r="BH5">
        <f>IF('06_Normalizacao'!U5="",0,'06_Normalizacao'!U5)</f>
        <v>32</v>
      </c>
      <c r="BJ5">
        <f>IF('06_Normalizacao'!K5="",0,1)</f>
        <v>1</v>
      </c>
      <c r="BK5">
        <f>IF('06_Normalizacao'!L5="",0,1)</f>
        <v>1</v>
      </c>
      <c r="BL5">
        <f>IF('06_Normalizacao'!M5="",0,1)</f>
        <v>1</v>
      </c>
      <c r="BM5">
        <f>IF('06_Normalizacao'!N5="",0,1)</f>
        <v>1</v>
      </c>
      <c r="BN5">
        <f>IF('06_Normalizacao'!O5="",0,1)</f>
        <v>1</v>
      </c>
      <c r="BO5">
        <f>IF('06_Normalizacao'!P5="",0,1)</f>
        <v>1</v>
      </c>
      <c r="BP5">
        <f>IF('06_Normalizacao'!Q5="",0,1)</f>
        <v>1</v>
      </c>
      <c r="BQ5">
        <f>IF('06_Normalizacao'!R5="",0,1)</f>
        <v>1</v>
      </c>
      <c r="BR5">
        <f>IF('06_Normalizacao'!S5="",0,1)</f>
        <v>1</v>
      </c>
      <c r="BS5">
        <f>IF('06_Normalizacao'!T5="",0,1)</f>
        <v>1</v>
      </c>
      <c r="BT5">
        <f>IF('06_Normalizacao'!U5="",0,1)</f>
        <v>1</v>
      </c>
    </row>
    <row r="6" spans="1:72">
      <c r="A6" s="6" t="str">
        <f>'03_Base_Indice'!D6</f>
        <v>GOV004</v>
      </c>
      <c r="B6">
        <f>IFERROR(LOOKUP(2,1/ISNUMBER('03_Base_Indice'!$K6:K6),COLUMN('03_Base_Indice'!$K6:K6)-COLUMN('03_Base_Indice'!$K6)+1),"")</f>
        <v>1</v>
      </c>
      <c r="C6">
        <f>IFERROR(LOOKUP(2,1/ISNUMBER('03_Base_Indice'!$K6:L6),COLUMN('03_Base_Indice'!$K6:L6)-COLUMN('03_Base_Indice'!$K6)+1),"")</f>
        <v>2</v>
      </c>
      <c r="D6">
        <f>IFERROR(LOOKUP(2,1/ISNUMBER('03_Base_Indice'!$K6:M6),COLUMN('03_Base_Indice'!$K6:M6)-COLUMN('03_Base_Indice'!$K6)+1),"")</f>
        <v>3</v>
      </c>
      <c r="E6">
        <f>IFERROR(LOOKUP(2,1/ISNUMBER('03_Base_Indice'!$K6:N6),COLUMN('03_Base_Indice'!$K6:N6)-COLUMN('03_Base_Indice'!$K6)+1),"")</f>
        <v>4</v>
      </c>
      <c r="F6">
        <f>IFERROR(LOOKUP(2,1/ISNUMBER('03_Base_Indice'!$K6:O6),COLUMN('03_Base_Indice'!$K6:O6)-COLUMN('03_Base_Indice'!$K6)+1),"")</f>
        <v>5</v>
      </c>
      <c r="G6">
        <f>IFERROR(LOOKUP(2,1/ISNUMBER('03_Base_Indice'!$K6:P6),COLUMN('03_Base_Indice'!$K6:P6)-COLUMN('03_Base_Indice'!$K6)+1),"")</f>
        <v>6</v>
      </c>
      <c r="H6">
        <f>IFERROR(LOOKUP(2,1/ISNUMBER('03_Base_Indice'!$K6:Q6),COLUMN('03_Base_Indice'!$K6:Q6)-COLUMN('03_Base_Indice'!$K6)+1),"")</f>
        <v>7</v>
      </c>
      <c r="I6">
        <f>IFERROR(LOOKUP(2,1/ISNUMBER('03_Base_Indice'!$K6:R6),COLUMN('03_Base_Indice'!$K6:R6)-COLUMN('03_Base_Indice'!$K6)+1),"")</f>
        <v>8</v>
      </c>
      <c r="J6">
        <f>IFERROR(LOOKUP(2,1/ISNUMBER('03_Base_Indice'!$K6:S6),COLUMN('03_Base_Indice'!$K6:S6)-COLUMN('03_Base_Indice'!$K6)+1),"")</f>
        <v>9</v>
      </c>
      <c r="K6">
        <f>IFERROR(LOOKUP(2,1/ISNUMBER('03_Base_Indice'!$K6:T6),COLUMN('03_Base_Indice'!$K6:T6)-COLUMN('03_Base_Indice'!$K6)+1),"")</f>
        <v>10</v>
      </c>
      <c r="L6">
        <f>IFERROR(LOOKUP(2,1/ISNUMBER('03_Base_Indice'!$K6:U6),COLUMN('03_Base_Indice'!$K6:U6)-COLUMN('03_Base_Indice'!$K6)+1),"")</f>
        <v>10</v>
      </c>
      <c r="N6">
        <f>IFERROR(MATCH(TRUE,INDEX(ISNUMBER('03_Base_Indice'!K6:$U6),0),0)+0,"")</f>
        <v>1</v>
      </c>
      <c r="O6">
        <f>IFERROR(MATCH(TRUE,INDEX(ISNUMBER('03_Base_Indice'!L6:$U6),0),0)+1,"")</f>
        <v>2</v>
      </c>
      <c r="P6">
        <f>IFERROR(MATCH(TRUE,INDEX(ISNUMBER('03_Base_Indice'!M6:$U6),0),0)+2,"")</f>
        <v>3</v>
      </c>
      <c r="Q6">
        <f>IFERROR(MATCH(TRUE,INDEX(ISNUMBER('03_Base_Indice'!N6:$U6),0),0)+3,"")</f>
        <v>4</v>
      </c>
      <c r="R6">
        <f>IFERROR(MATCH(TRUE,INDEX(ISNUMBER('03_Base_Indice'!O6:$U6),0),0)+4,"")</f>
        <v>5</v>
      </c>
      <c r="S6">
        <f>IFERROR(MATCH(TRUE,INDEX(ISNUMBER('03_Base_Indice'!P6:$U6),0),0)+5,"")</f>
        <v>6</v>
      </c>
      <c r="T6">
        <f>IFERROR(MATCH(TRUE,INDEX(ISNUMBER('03_Base_Indice'!Q6:$U6),0),0)+6,"")</f>
        <v>7</v>
      </c>
      <c r="U6">
        <f>IFERROR(MATCH(TRUE,INDEX(ISNUMBER('03_Base_Indice'!R6:$U6),0),0)+7,"")</f>
        <v>8</v>
      </c>
      <c r="V6">
        <f>IFERROR(MATCH(TRUE,INDEX(ISNUMBER('03_Base_Indice'!S6:$U6),0),0)+8,"")</f>
        <v>9</v>
      </c>
      <c r="W6">
        <f>IFERROR(MATCH(TRUE,INDEX(ISNUMBER('03_Base_Indice'!T6:$U6),0),0)+9,"")</f>
        <v>10</v>
      </c>
      <c r="X6" t="str">
        <f>IFERROR(MATCH(TRUE,INDEX(ISNUMBER('03_Base_Indice'!U6:$U6),0),0)+10,"")</f>
        <v/>
      </c>
      <c r="Z6">
        <f>IF(B6="","",INDEX('03_Base_Indice'!$K6:$U6,B6))</f>
        <v>-0.55910260000000001</v>
      </c>
      <c r="AA6">
        <f>IF(C6="","",INDEX('03_Base_Indice'!$K6:$U6,C6))</f>
        <v>-0.43462800000000001</v>
      </c>
      <c r="AB6">
        <f>IF(D6="","",INDEX('03_Base_Indice'!$K6:$U6,D6))</f>
        <v>-0.53721450000000004</v>
      </c>
      <c r="AC6">
        <f>IF(E6="","",INDEX('03_Base_Indice'!$K6:$U6,E6))</f>
        <v>-0.4058117</v>
      </c>
      <c r="AD6">
        <f>IF(F6="","",INDEX('03_Base_Indice'!$K6:$U6,F6))</f>
        <v>-0.42070390000000002</v>
      </c>
      <c r="AE6">
        <f>IF(G6="","",INDEX('03_Base_Indice'!$K6:$U6,G6))</f>
        <v>-0.64276339999999998</v>
      </c>
      <c r="AF6">
        <f>IF(H6="","",INDEX('03_Base_Indice'!$K6:$U6,H6))</f>
        <v>-0.79360679999999995</v>
      </c>
      <c r="AG6">
        <f>IF(I6="","",INDEX('03_Base_Indice'!$K6:$U6,I6))</f>
        <v>-0.54140679999999997</v>
      </c>
      <c r="AH6">
        <f>IF(J6="","",INDEX('03_Base_Indice'!$K6:$U6,J6))</f>
        <v>-0.31316539999999998</v>
      </c>
      <c r="AI6">
        <f>IF(K6="","",INDEX('03_Base_Indice'!$K6:$U6,K6))</f>
        <v>-0.57359640000000001</v>
      </c>
      <c r="AJ6">
        <f>IF(L6="","",INDEX('03_Base_Indice'!$K6:$U6,L6))</f>
        <v>-0.57359640000000001</v>
      </c>
      <c r="AL6">
        <f>IF(N6="","",INDEX('03_Base_Indice'!$K6:$U6,N6))</f>
        <v>-0.55910260000000001</v>
      </c>
      <c r="AM6">
        <f>IF(O6="","",INDEX('03_Base_Indice'!$K6:$U6,O6))</f>
        <v>-0.43462800000000001</v>
      </c>
      <c r="AN6">
        <f>IF(P6="","",INDEX('03_Base_Indice'!$K6:$U6,P6))</f>
        <v>-0.53721450000000004</v>
      </c>
      <c r="AO6">
        <f>IF(Q6="","",INDEX('03_Base_Indice'!$K6:$U6,Q6))</f>
        <v>-0.4058117</v>
      </c>
      <c r="AP6">
        <f>IF(R6="","",INDEX('03_Base_Indice'!$K6:$U6,R6))</f>
        <v>-0.42070390000000002</v>
      </c>
      <c r="AQ6">
        <f>IF(S6="","",INDEX('03_Base_Indice'!$K6:$U6,S6))</f>
        <v>-0.64276339999999998</v>
      </c>
      <c r="AR6">
        <f>IF(T6="","",INDEX('03_Base_Indice'!$K6:$U6,T6))</f>
        <v>-0.79360679999999995</v>
      </c>
      <c r="AS6">
        <f>IF(U6="","",INDEX('03_Base_Indice'!$K6:$U6,U6))</f>
        <v>-0.54140679999999997</v>
      </c>
      <c r="AT6">
        <f>IF(V6="","",INDEX('03_Base_Indice'!$K6:$U6,V6))</f>
        <v>-0.31316539999999998</v>
      </c>
      <c r="AU6">
        <f>IF(W6="","",INDEX('03_Base_Indice'!$K6:$U6,W6))</f>
        <v>-0.57359640000000001</v>
      </c>
      <c r="AV6" t="str">
        <f>IF(X6="","",INDEX('03_Base_Indice'!$K6:$U6,X6))</f>
        <v/>
      </c>
      <c r="AX6">
        <f>IF('06_Normalizacao'!K6="",0,'06_Normalizacao'!K6)</f>
        <v>38.817947999999994</v>
      </c>
      <c r="AY6">
        <f>IF('06_Normalizacao'!L6="",0,'06_Normalizacao'!L6)</f>
        <v>41.30744</v>
      </c>
      <c r="AZ6">
        <f>IF('06_Normalizacao'!M6="",0,'06_Normalizacao'!M6)</f>
        <v>39.255710000000001</v>
      </c>
      <c r="BA6">
        <f>IF('06_Normalizacao'!N6="",0,'06_Normalizacao'!N6)</f>
        <v>41.883765999999994</v>
      </c>
      <c r="BB6">
        <f>IF('06_Normalizacao'!O6="",0,'06_Normalizacao'!O6)</f>
        <v>41.585921999999997</v>
      </c>
      <c r="BC6">
        <f>IF('06_Normalizacao'!P6="",0,'06_Normalizacao'!P6)</f>
        <v>37.144731999999998</v>
      </c>
      <c r="BD6">
        <f>IF('06_Normalizacao'!Q6="",0,'06_Normalizacao'!Q6)</f>
        <v>34.127864000000002</v>
      </c>
      <c r="BE6">
        <f>IF('06_Normalizacao'!R6="",0,'06_Normalizacao'!R6)</f>
        <v>39.171864000000006</v>
      </c>
      <c r="BF6">
        <f>IF('06_Normalizacao'!S6="",0,'06_Normalizacao'!S6)</f>
        <v>43.736691999999998</v>
      </c>
      <c r="BG6">
        <f>IF('06_Normalizacao'!T6="",0,'06_Normalizacao'!T6)</f>
        <v>38.528071999999995</v>
      </c>
      <c r="BH6">
        <f>IF('06_Normalizacao'!U6="",0,'06_Normalizacao'!U6)</f>
        <v>38.528071999999995</v>
      </c>
      <c r="BJ6">
        <f>IF('06_Normalizacao'!K6="",0,1)</f>
        <v>1</v>
      </c>
      <c r="BK6">
        <f>IF('06_Normalizacao'!L6="",0,1)</f>
        <v>1</v>
      </c>
      <c r="BL6">
        <f>IF('06_Normalizacao'!M6="",0,1)</f>
        <v>1</v>
      </c>
      <c r="BM6">
        <f>IF('06_Normalizacao'!N6="",0,1)</f>
        <v>1</v>
      </c>
      <c r="BN6">
        <f>IF('06_Normalizacao'!O6="",0,1)</f>
        <v>1</v>
      </c>
      <c r="BO6">
        <f>IF('06_Normalizacao'!P6="",0,1)</f>
        <v>1</v>
      </c>
      <c r="BP6">
        <f>IF('06_Normalizacao'!Q6="",0,1)</f>
        <v>1</v>
      </c>
      <c r="BQ6">
        <f>IF('06_Normalizacao'!R6="",0,1)</f>
        <v>1</v>
      </c>
      <c r="BR6">
        <f>IF('06_Normalizacao'!S6="",0,1)</f>
        <v>1</v>
      </c>
      <c r="BS6">
        <f>IF('06_Normalizacao'!T6="",0,1)</f>
        <v>1</v>
      </c>
      <c r="BT6">
        <f>IF('06_Normalizacao'!U6="",0,1)</f>
        <v>1</v>
      </c>
    </row>
    <row r="7" spans="1:72">
      <c r="A7" s="6" t="str">
        <f>'03_Base_Indice'!D7</f>
        <v>GOV02</v>
      </c>
      <c r="B7">
        <f>IFERROR(LOOKUP(2,1/ISNUMBER('03_Base_Indice'!$K7:K7),COLUMN('03_Base_Indice'!$K7:K7)-COLUMN('03_Base_Indice'!$K7)+1),"")</f>
        <v>1</v>
      </c>
      <c r="C7">
        <f>IFERROR(LOOKUP(2,1/ISNUMBER('03_Base_Indice'!$K7:L7),COLUMN('03_Base_Indice'!$K7:L7)-COLUMN('03_Base_Indice'!$K7)+1),"")</f>
        <v>2</v>
      </c>
      <c r="D7">
        <f>IFERROR(LOOKUP(2,1/ISNUMBER('03_Base_Indice'!$K7:M7),COLUMN('03_Base_Indice'!$K7:M7)-COLUMN('03_Base_Indice'!$K7)+1),"")</f>
        <v>3</v>
      </c>
      <c r="E7">
        <f>IFERROR(LOOKUP(2,1/ISNUMBER('03_Base_Indice'!$K7:N7),COLUMN('03_Base_Indice'!$K7:N7)-COLUMN('03_Base_Indice'!$K7)+1),"")</f>
        <v>4</v>
      </c>
      <c r="F7">
        <f>IFERROR(LOOKUP(2,1/ISNUMBER('03_Base_Indice'!$K7:O7),COLUMN('03_Base_Indice'!$K7:O7)-COLUMN('03_Base_Indice'!$K7)+1),"")</f>
        <v>5</v>
      </c>
      <c r="G7">
        <f>IFERROR(LOOKUP(2,1/ISNUMBER('03_Base_Indice'!$K7:P7),COLUMN('03_Base_Indice'!$K7:P7)-COLUMN('03_Base_Indice'!$K7)+1),"")</f>
        <v>6</v>
      </c>
      <c r="H7">
        <f>IFERROR(LOOKUP(2,1/ISNUMBER('03_Base_Indice'!$K7:Q7),COLUMN('03_Base_Indice'!$K7:Q7)-COLUMN('03_Base_Indice'!$K7)+1),"")</f>
        <v>7</v>
      </c>
      <c r="I7">
        <f>IFERROR(LOOKUP(2,1/ISNUMBER('03_Base_Indice'!$K7:R7),COLUMN('03_Base_Indice'!$K7:R7)-COLUMN('03_Base_Indice'!$K7)+1),"")</f>
        <v>8</v>
      </c>
      <c r="J7">
        <f>IFERROR(LOOKUP(2,1/ISNUMBER('03_Base_Indice'!$K7:S7),COLUMN('03_Base_Indice'!$K7:S7)-COLUMN('03_Base_Indice'!$K7)+1),"")</f>
        <v>9</v>
      </c>
      <c r="K7">
        <f>IFERROR(LOOKUP(2,1/ISNUMBER('03_Base_Indice'!$K7:T7),COLUMN('03_Base_Indice'!$K7:T7)-COLUMN('03_Base_Indice'!$K7)+1),"")</f>
        <v>10</v>
      </c>
      <c r="L7">
        <f>IFERROR(LOOKUP(2,1/ISNUMBER('03_Base_Indice'!$K7:U7),COLUMN('03_Base_Indice'!$K7:U7)-COLUMN('03_Base_Indice'!$K7)+1),"")</f>
        <v>10</v>
      </c>
      <c r="N7">
        <f>IFERROR(MATCH(TRUE,INDEX(ISNUMBER('03_Base_Indice'!K7:$U7),0),0)+0,"")</f>
        <v>1</v>
      </c>
      <c r="O7">
        <f>IFERROR(MATCH(TRUE,INDEX(ISNUMBER('03_Base_Indice'!L7:$U7),0),0)+1,"")</f>
        <v>2</v>
      </c>
      <c r="P7">
        <f>IFERROR(MATCH(TRUE,INDEX(ISNUMBER('03_Base_Indice'!M7:$U7),0),0)+2,"")</f>
        <v>3</v>
      </c>
      <c r="Q7">
        <f>IFERROR(MATCH(TRUE,INDEX(ISNUMBER('03_Base_Indice'!N7:$U7),0),0)+3,"")</f>
        <v>4</v>
      </c>
      <c r="R7">
        <f>IFERROR(MATCH(TRUE,INDEX(ISNUMBER('03_Base_Indice'!O7:$U7),0),0)+4,"")</f>
        <v>5</v>
      </c>
      <c r="S7">
        <f>IFERROR(MATCH(TRUE,INDEX(ISNUMBER('03_Base_Indice'!P7:$U7),0),0)+5,"")</f>
        <v>6</v>
      </c>
      <c r="T7">
        <f>IFERROR(MATCH(TRUE,INDEX(ISNUMBER('03_Base_Indice'!Q7:$U7),0),0)+6,"")</f>
        <v>7</v>
      </c>
      <c r="U7">
        <f>IFERROR(MATCH(TRUE,INDEX(ISNUMBER('03_Base_Indice'!R7:$U7),0),0)+7,"")</f>
        <v>8</v>
      </c>
      <c r="V7">
        <f>IFERROR(MATCH(TRUE,INDEX(ISNUMBER('03_Base_Indice'!S7:$U7),0),0)+8,"")</f>
        <v>9</v>
      </c>
      <c r="W7">
        <f>IFERROR(MATCH(TRUE,INDEX(ISNUMBER('03_Base_Indice'!T7:$U7),0),0)+9,"")</f>
        <v>10</v>
      </c>
      <c r="X7" t="str">
        <f>IFERROR(MATCH(TRUE,INDEX(ISNUMBER('03_Base_Indice'!U7:$U7),0),0)+10,"")</f>
        <v/>
      </c>
      <c r="Z7">
        <f>IF(B7="","",INDEX('03_Base_Indice'!$K7:$U7,B7))</f>
        <v>-1.3086297</v>
      </c>
      <c r="AA7">
        <f>IF(C7="","",INDEX('03_Base_Indice'!$K7:$U7,C7))</f>
        <v>-1.3287764</v>
      </c>
      <c r="AB7">
        <f>IF(D7="","",INDEX('03_Base_Indice'!$K7:$U7,D7))</f>
        <v>-1.3317055</v>
      </c>
      <c r="AC7">
        <f>IF(E7="","",INDEX('03_Base_Indice'!$K7:$U7,E7))</f>
        <v>-1.1105522000000001</v>
      </c>
      <c r="AD7">
        <f>IF(F7="","",INDEX('03_Base_Indice'!$K7:$U7,F7))</f>
        <v>-1.0519681999999999</v>
      </c>
      <c r="AE7">
        <f>IF(G7="","",INDEX('03_Base_Indice'!$K7:$U7,G7))</f>
        <v>-0.94750380000000001</v>
      </c>
      <c r="AF7">
        <f>IF(H7="","",INDEX('03_Base_Indice'!$K7:$U7,H7))</f>
        <v>-1.0980135</v>
      </c>
      <c r="AG7">
        <f>IF(I7="","",INDEX('03_Base_Indice'!$K7:$U7,I7))</f>
        <v>-1.1625439</v>
      </c>
      <c r="AH7">
        <f>IF(J7="","",INDEX('03_Base_Indice'!$K7:$U7,J7))</f>
        <v>-1.1944432</v>
      </c>
      <c r="AI7">
        <f>IF(K7="","",INDEX('03_Base_Indice'!$K7:$U7,K7))</f>
        <v>-1.1697408</v>
      </c>
      <c r="AJ7">
        <f>IF(L7="","",INDEX('03_Base_Indice'!$K7:$U7,L7))</f>
        <v>-1.1697408</v>
      </c>
      <c r="AL7">
        <f>IF(N7="","",INDEX('03_Base_Indice'!$K7:$U7,N7))</f>
        <v>-1.3086297</v>
      </c>
      <c r="AM7">
        <f>IF(O7="","",INDEX('03_Base_Indice'!$K7:$U7,O7))</f>
        <v>-1.3287764</v>
      </c>
      <c r="AN7">
        <f>IF(P7="","",INDEX('03_Base_Indice'!$K7:$U7,P7))</f>
        <v>-1.3317055</v>
      </c>
      <c r="AO7">
        <f>IF(Q7="","",INDEX('03_Base_Indice'!$K7:$U7,Q7))</f>
        <v>-1.1105522000000001</v>
      </c>
      <c r="AP7">
        <f>IF(R7="","",INDEX('03_Base_Indice'!$K7:$U7,R7))</f>
        <v>-1.0519681999999999</v>
      </c>
      <c r="AQ7">
        <f>IF(S7="","",INDEX('03_Base_Indice'!$K7:$U7,S7))</f>
        <v>-0.94750380000000001</v>
      </c>
      <c r="AR7">
        <f>IF(T7="","",INDEX('03_Base_Indice'!$K7:$U7,T7))</f>
        <v>-1.0980135</v>
      </c>
      <c r="AS7">
        <f>IF(U7="","",INDEX('03_Base_Indice'!$K7:$U7,U7))</f>
        <v>-1.1625439</v>
      </c>
      <c r="AT7">
        <f>IF(V7="","",INDEX('03_Base_Indice'!$K7:$U7,V7))</f>
        <v>-1.1944432</v>
      </c>
      <c r="AU7">
        <f>IF(W7="","",INDEX('03_Base_Indice'!$K7:$U7,W7))</f>
        <v>-1.1697408</v>
      </c>
      <c r="AV7" t="str">
        <f>IF(X7="","",INDEX('03_Base_Indice'!$K7:$U7,X7))</f>
        <v/>
      </c>
      <c r="AX7">
        <f>IF('06_Normalizacao'!K7="",0,'06_Normalizacao'!K7)</f>
        <v>23.827406</v>
      </c>
      <c r="AY7">
        <f>IF('06_Normalizacao'!L7="",0,'06_Normalizacao'!L7)</f>
        <v>23.424472000000002</v>
      </c>
      <c r="AZ7">
        <f>IF('06_Normalizacao'!M7="",0,'06_Normalizacao'!M7)</f>
        <v>23.36589</v>
      </c>
      <c r="BA7">
        <f>IF('06_Normalizacao'!N7="",0,'06_Normalizacao'!N7)</f>
        <v>27.788955999999995</v>
      </c>
      <c r="BB7">
        <f>IF('06_Normalizacao'!O7="",0,'06_Normalizacao'!O7)</f>
        <v>28.960636000000001</v>
      </c>
      <c r="BC7">
        <f>IF('06_Normalizacao'!P7="",0,'06_Normalizacao'!P7)</f>
        <v>31.049923999999997</v>
      </c>
      <c r="BD7">
        <f>IF('06_Normalizacao'!Q7="",0,'06_Normalizacao'!Q7)</f>
        <v>28.039730000000002</v>
      </c>
      <c r="BE7">
        <f>IF('06_Normalizacao'!R7="",0,'06_Normalizacao'!R7)</f>
        <v>26.749122</v>
      </c>
      <c r="BF7">
        <f>IF('06_Normalizacao'!S7="",0,'06_Normalizacao'!S7)</f>
        <v>26.111135999999998</v>
      </c>
      <c r="BG7">
        <f>IF('06_Normalizacao'!T7="",0,'06_Normalizacao'!T7)</f>
        <v>26.605183999999998</v>
      </c>
      <c r="BH7">
        <f>IF('06_Normalizacao'!U7="",0,'06_Normalizacao'!U7)</f>
        <v>26.605183999999998</v>
      </c>
      <c r="BJ7">
        <f>IF('06_Normalizacao'!K7="",0,1)</f>
        <v>1</v>
      </c>
      <c r="BK7">
        <f>IF('06_Normalizacao'!L7="",0,1)</f>
        <v>1</v>
      </c>
      <c r="BL7">
        <f>IF('06_Normalizacao'!M7="",0,1)</f>
        <v>1</v>
      </c>
      <c r="BM7">
        <f>IF('06_Normalizacao'!N7="",0,1)</f>
        <v>1</v>
      </c>
      <c r="BN7">
        <f>IF('06_Normalizacao'!O7="",0,1)</f>
        <v>1</v>
      </c>
      <c r="BO7">
        <f>IF('06_Normalizacao'!P7="",0,1)</f>
        <v>1</v>
      </c>
      <c r="BP7">
        <f>IF('06_Normalizacao'!Q7="",0,1)</f>
        <v>1</v>
      </c>
      <c r="BQ7">
        <f>IF('06_Normalizacao'!R7="",0,1)</f>
        <v>1</v>
      </c>
      <c r="BR7">
        <f>IF('06_Normalizacao'!S7="",0,1)</f>
        <v>1</v>
      </c>
      <c r="BS7">
        <f>IF('06_Normalizacao'!T7="",0,1)</f>
        <v>1</v>
      </c>
      <c r="BT7">
        <f>IF('06_Normalizacao'!U7="",0,1)</f>
        <v>1</v>
      </c>
    </row>
    <row r="8" spans="1:72">
      <c r="A8" s="6" t="str">
        <f>'03_Base_Indice'!D8</f>
        <v>GOV03</v>
      </c>
      <c r="B8">
        <f>IFERROR(LOOKUP(2,1/ISNUMBER('03_Base_Indice'!$K8:K8),COLUMN('03_Base_Indice'!$K8:K8)-COLUMN('03_Base_Indice'!$K8)+1),"")</f>
        <v>1</v>
      </c>
      <c r="C8">
        <f>IFERROR(LOOKUP(2,1/ISNUMBER('03_Base_Indice'!$K8:L8),COLUMN('03_Base_Indice'!$K8:L8)-COLUMN('03_Base_Indice'!$K8)+1),"")</f>
        <v>2</v>
      </c>
      <c r="D8">
        <f>IFERROR(LOOKUP(2,1/ISNUMBER('03_Base_Indice'!$K8:M8),COLUMN('03_Base_Indice'!$K8:M8)-COLUMN('03_Base_Indice'!$K8)+1),"")</f>
        <v>3</v>
      </c>
      <c r="E8">
        <f>IFERROR(LOOKUP(2,1/ISNUMBER('03_Base_Indice'!$K8:N8),COLUMN('03_Base_Indice'!$K8:N8)-COLUMN('03_Base_Indice'!$K8)+1),"")</f>
        <v>4</v>
      </c>
      <c r="F8">
        <f>IFERROR(LOOKUP(2,1/ISNUMBER('03_Base_Indice'!$K8:O8),COLUMN('03_Base_Indice'!$K8:O8)-COLUMN('03_Base_Indice'!$K8)+1),"")</f>
        <v>5</v>
      </c>
      <c r="G8">
        <f>IFERROR(LOOKUP(2,1/ISNUMBER('03_Base_Indice'!$K8:P8),COLUMN('03_Base_Indice'!$K8:P8)-COLUMN('03_Base_Indice'!$K8)+1),"")</f>
        <v>6</v>
      </c>
      <c r="H8">
        <f>IFERROR(LOOKUP(2,1/ISNUMBER('03_Base_Indice'!$K8:Q8),COLUMN('03_Base_Indice'!$K8:Q8)-COLUMN('03_Base_Indice'!$K8)+1),"")</f>
        <v>7</v>
      </c>
      <c r="I8">
        <f>IFERROR(LOOKUP(2,1/ISNUMBER('03_Base_Indice'!$K8:R8),COLUMN('03_Base_Indice'!$K8:R8)-COLUMN('03_Base_Indice'!$K8)+1),"")</f>
        <v>8</v>
      </c>
      <c r="J8">
        <f>IFERROR(LOOKUP(2,1/ISNUMBER('03_Base_Indice'!$K8:S8),COLUMN('03_Base_Indice'!$K8:S8)-COLUMN('03_Base_Indice'!$K8)+1),"")</f>
        <v>9</v>
      </c>
      <c r="K8">
        <f>IFERROR(LOOKUP(2,1/ISNUMBER('03_Base_Indice'!$K8:T8),COLUMN('03_Base_Indice'!$K8:T8)-COLUMN('03_Base_Indice'!$K8)+1),"")</f>
        <v>10</v>
      </c>
      <c r="L8">
        <f>IFERROR(LOOKUP(2,1/ISNUMBER('03_Base_Indice'!$K8:U8),COLUMN('03_Base_Indice'!$K8:U8)-COLUMN('03_Base_Indice'!$K8)+1),"")</f>
        <v>10</v>
      </c>
      <c r="N8">
        <f>IFERROR(MATCH(TRUE,INDEX(ISNUMBER('03_Base_Indice'!K8:$U8),0),0)+0,"")</f>
        <v>1</v>
      </c>
      <c r="O8">
        <f>IFERROR(MATCH(TRUE,INDEX(ISNUMBER('03_Base_Indice'!L8:$U8),0),0)+1,"")</f>
        <v>2</v>
      </c>
      <c r="P8">
        <f>IFERROR(MATCH(TRUE,INDEX(ISNUMBER('03_Base_Indice'!M8:$U8),0),0)+2,"")</f>
        <v>3</v>
      </c>
      <c r="Q8">
        <f>IFERROR(MATCH(TRUE,INDEX(ISNUMBER('03_Base_Indice'!N8:$U8),0),0)+3,"")</f>
        <v>4</v>
      </c>
      <c r="R8">
        <f>IFERROR(MATCH(TRUE,INDEX(ISNUMBER('03_Base_Indice'!O8:$U8),0),0)+4,"")</f>
        <v>5</v>
      </c>
      <c r="S8">
        <f>IFERROR(MATCH(TRUE,INDEX(ISNUMBER('03_Base_Indice'!P8:$U8),0),0)+5,"")</f>
        <v>6</v>
      </c>
      <c r="T8">
        <f>IFERROR(MATCH(TRUE,INDEX(ISNUMBER('03_Base_Indice'!Q8:$U8),0),0)+6,"")</f>
        <v>7</v>
      </c>
      <c r="U8">
        <f>IFERROR(MATCH(TRUE,INDEX(ISNUMBER('03_Base_Indice'!R8:$U8),0),0)+7,"")</f>
        <v>8</v>
      </c>
      <c r="V8">
        <f>IFERROR(MATCH(TRUE,INDEX(ISNUMBER('03_Base_Indice'!S8:$U8),0),0)+8,"")</f>
        <v>9</v>
      </c>
      <c r="W8">
        <f>IFERROR(MATCH(TRUE,INDEX(ISNUMBER('03_Base_Indice'!T8:$U8),0),0)+9,"")</f>
        <v>10</v>
      </c>
      <c r="X8" t="str">
        <f>IFERROR(MATCH(TRUE,INDEX(ISNUMBER('03_Base_Indice'!U8:$U8),0),0)+10,"")</f>
        <v/>
      </c>
      <c r="Z8">
        <f>IF(B8="","",INDEX('03_Base_Indice'!$K8:$U8,B8))</f>
        <v>-0.93782370000000004</v>
      </c>
      <c r="AA8">
        <f>IF(C8="","",INDEX('03_Base_Indice'!$K8:$U8,C8))</f>
        <v>-0.94938469999999997</v>
      </c>
      <c r="AB8">
        <f>IF(D8="","",INDEX('03_Base_Indice'!$K8:$U8,D8))</f>
        <v>-0.96811570000000002</v>
      </c>
      <c r="AC8">
        <f>IF(E8="","",INDEX('03_Base_Indice'!$K8:$U8,E8))</f>
        <v>-0.9784602</v>
      </c>
      <c r="AD8">
        <f>IF(F8="","",INDEX('03_Base_Indice'!$K8:$U8,F8))</f>
        <v>-0.91169650000000002</v>
      </c>
      <c r="AE8">
        <f>IF(G8="","",INDEX('03_Base_Indice'!$K8:$U8,G8))</f>
        <v>-1.0163603999999999</v>
      </c>
      <c r="AF8">
        <f>IF(H8="","",INDEX('03_Base_Indice'!$K8:$U8,H8))</f>
        <v>-0.9347008</v>
      </c>
      <c r="AG8">
        <f>IF(I8="","",INDEX('03_Base_Indice'!$K8:$U8,I8))</f>
        <v>-0.83257179999999997</v>
      </c>
      <c r="AH8">
        <f>IF(J8="","",INDEX('03_Base_Indice'!$K8:$U8,J8))</f>
        <v>-0.82870259999999996</v>
      </c>
      <c r="AI8">
        <f>IF(K8="","",INDEX('03_Base_Indice'!$K8:$U8,K8))</f>
        <v>-0.78519090000000002</v>
      </c>
      <c r="AJ8">
        <f>IF(L8="","",INDEX('03_Base_Indice'!$K8:$U8,L8))</f>
        <v>-0.78519090000000002</v>
      </c>
      <c r="AL8">
        <f>IF(N8="","",INDEX('03_Base_Indice'!$K8:$U8,N8))</f>
        <v>-0.93782370000000004</v>
      </c>
      <c r="AM8">
        <f>IF(O8="","",INDEX('03_Base_Indice'!$K8:$U8,O8))</f>
        <v>-0.94938469999999997</v>
      </c>
      <c r="AN8">
        <f>IF(P8="","",INDEX('03_Base_Indice'!$K8:$U8,P8))</f>
        <v>-0.96811570000000002</v>
      </c>
      <c r="AO8">
        <f>IF(Q8="","",INDEX('03_Base_Indice'!$K8:$U8,Q8))</f>
        <v>-0.9784602</v>
      </c>
      <c r="AP8">
        <f>IF(R8="","",INDEX('03_Base_Indice'!$K8:$U8,R8))</f>
        <v>-0.91169650000000002</v>
      </c>
      <c r="AQ8">
        <f>IF(S8="","",INDEX('03_Base_Indice'!$K8:$U8,S8))</f>
        <v>-1.0163603999999999</v>
      </c>
      <c r="AR8">
        <f>IF(T8="","",INDEX('03_Base_Indice'!$K8:$U8,T8))</f>
        <v>-0.9347008</v>
      </c>
      <c r="AS8">
        <f>IF(U8="","",INDEX('03_Base_Indice'!$K8:$U8,U8))</f>
        <v>-0.83257179999999997</v>
      </c>
      <c r="AT8">
        <f>IF(V8="","",INDEX('03_Base_Indice'!$K8:$U8,V8))</f>
        <v>-0.82870259999999996</v>
      </c>
      <c r="AU8">
        <f>IF(W8="","",INDEX('03_Base_Indice'!$K8:$U8,W8))</f>
        <v>-0.78519090000000002</v>
      </c>
      <c r="AV8" t="str">
        <f>IF(X8="","",INDEX('03_Base_Indice'!$K8:$U8,X8))</f>
        <v/>
      </c>
      <c r="AX8">
        <f>IF('06_Normalizacao'!K8="",0,'06_Normalizacao'!K8)</f>
        <v>31.243525999999996</v>
      </c>
      <c r="AY8">
        <f>IF('06_Normalizacao'!L8="",0,'06_Normalizacao'!L8)</f>
        <v>31.012306000000002</v>
      </c>
      <c r="AZ8">
        <f>IF('06_Normalizacao'!M8="",0,'06_Normalizacao'!M8)</f>
        <v>30.637686000000002</v>
      </c>
      <c r="BA8">
        <f>IF('06_Normalizacao'!N8="",0,'06_Normalizacao'!N8)</f>
        <v>30.430795999999997</v>
      </c>
      <c r="BB8">
        <f>IF('06_Normalizacao'!O8="",0,'06_Normalizacao'!O8)</f>
        <v>31.766069999999996</v>
      </c>
      <c r="BC8">
        <f>IF('06_Normalizacao'!P8="",0,'06_Normalizacao'!P8)</f>
        <v>29.672792000000005</v>
      </c>
      <c r="BD8">
        <f>IF('06_Normalizacao'!Q8="",0,'06_Normalizacao'!Q8)</f>
        <v>31.305984000000002</v>
      </c>
      <c r="BE8">
        <f>IF('06_Normalizacao'!R8="",0,'06_Normalizacao'!R8)</f>
        <v>33.348563999999996</v>
      </c>
      <c r="BF8">
        <f>IF('06_Normalizacao'!S8="",0,'06_Normalizacao'!S8)</f>
        <v>33.425947999999998</v>
      </c>
      <c r="BG8">
        <f>IF('06_Normalizacao'!T8="",0,'06_Normalizacao'!T8)</f>
        <v>34.296182000000002</v>
      </c>
      <c r="BH8">
        <f>IF('06_Normalizacao'!U8="",0,'06_Normalizacao'!U8)</f>
        <v>34.296182000000002</v>
      </c>
      <c r="BJ8">
        <f>IF('06_Normalizacao'!K8="",0,1)</f>
        <v>1</v>
      </c>
      <c r="BK8">
        <f>IF('06_Normalizacao'!L8="",0,1)</f>
        <v>1</v>
      </c>
      <c r="BL8">
        <f>IF('06_Normalizacao'!M8="",0,1)</f>
        <v>1</v>
      </c>
      <c r="BM8">
        <f>IF('06_Normalizacao'!N8="",0,1)</f>
        <v>1</v>
      </c>
      <c r="BN8">
        <f>IF('06_Normalizacao'!O8="",0,1)</f>
        <v>1</v>
      </c>
      <c r="BO8">
        <f>IF('06_Normalizacao'!P8="",0,1)</f>
        <v>1</v>
      </c>
      <c r="BP8">
        <f>IF('06_Normalizacao'!Q8="",0,1)</f>
        <v>1</v>
      </c>
      <c r="BQ8">
        <f>IF('06_Normalizacao'!R8="",0,1)</f>
        <v>1</v>
      </c>
      <c r="BR8">
        <f>IF('06_Normalizacao'!S8="",0,1)</f>
        <v>1</v>
      </c>
      <c r="BS8">
        <f>IF('06_Normalizacao'!T8="",0,1)</f>
        <v>1</v>
      </c>
      <c r="BT8">
        <f>IF('06_Normalizacao'!U8="",0,1)</f>
        <v>1</v>
      </c>
    </row>
    <row r="9" spans="1:72">
      <c r="A9" s="6" t="str">
        <f>'03_Base_Indice'!D9</f>
        <v>GOV05</v>
      </c>
      <c r="B9">
        <f>IFERROR(LOOKUP(2,1/ISNUMBER('03_Base_Indice'!$K9:K9),COLUMN('03_Base_Indice'!$K9:K9)-COLUMN('03_Base_Indice'!$K9)+1),"")</f>
        <v>1</v>
      </c>
      <c r="C9">
        <f>IFERROR(LOOKUP(2,1/ISNUMBER('03_Base_Indice'!$K9:L9),COLUMN('03_Base_Indice'!$K9:L9)-COLUMN('03_Base_Indice'!$K9)+1),"")</f>
        <v>2</v>
      </c>
      <c r="D9">
        <f>IFERROR(LOOKUP(2,1/ISNUMBER('03_Base_Indice'!$K9:M9),COLUMN('03_Base_Indice'!$K9:M9)-COLUMN('03_Base_Indice'!$K9)+1),"")</f>
        <v>3</v>
      </c>
      <c r="E9">
        <f>IFERROR(LOOKUP(2,1/ISNUMBER('03_Base_Indice'!$K9:N9),COLUMN('03_Base_Indice'!$K9:N9)-COLUMN('03_Base_Indice'!$K9)+1),"")</f>
        <v>4</v>
      </c>
      <c r="F9">
        <f>IFERROR(LOOKUP(2,1/ISNUMBER('03_Base_Indice'!$K9:O9),COLUMN('03_Base_Indice'!$K9:O9)-COLUMN('03_Base_Indice'!$K9)+1),"")</f>
        <v>5</v>
      </c>
      <c r="G9">
        <f>IFERROR(LOOKUP(2,1/ISNUMBER('03_Base_Indice'!$K9:P9),COLUMN('03_Base_Indice'!$K9:P9)-COLUMN('03_Base_Indice'!$K9)+1),"")</f>
        <v>6</v>
      </c>
      <c r="H9">
        <f>IFERROR(LOOKUP(2,1/ISNUMBER('03_Base_Indice'!$K9:Q9),COLUMN('03_Base_Indice'!$K9:Q9)-COLUMN('03_Base_Indice'!$K9)+1),"")</f>
        <v>7</v>
      </c>
      <c r="I9">
        <f>IFERROR(LOOKUP(2,1/ISNUMBER('03_Base_Indice'!$K9:R9),COLUMN('03_Base_Indice'!$K9:R9)-COLUMN('03_Base_Indice'!$K9)+1),"")</f>
        <v>8</v>
      </c>
      <c r="J9">
        <f>IFERROR(LOOKUP(2,1/ISNUMBER('03_Base_Indice'!$K9:S9),COLUMN('03_Base_Indice'!$K9:S9)-COLUMN('03_Base_Indice'!$K9)+1),"")</f>
        <v>9</v>
      </c>
      <c r="K9">
        <f>IFERROR(LOOKUP(2,1/ISNUMBER('03_Base_Indice'!$K9:T9),COLUMN('03_Base_Indice'!$K9:T9)-COLUMN('03_Base_Indice'!$K9)+1),"")</f>
        <v>10</v>
      </c>
      <c r="L9">
        <f>IFERROR(LOOKUP(2,1/ISNUMBER('03_Base_Indice'!$K9:U9),COLUMN('03_Base_Indice'!$K9:U9)-COLUMN('03_Base_Indice'!$K9)+1),"")</f>
        <v>10</v>
      </c>
      <c r="N9">
        <f>IFERROR(MATCH(TRUE,INDEX(ISNUMBER('03_Base_Indice'!K9:$U9),0),0)+0,"")</f>
        <v>1</v>
      </c>
      <c r="O9">
        <f>IFERROR(MATCH(TRUE,INDEX(ISNUMBER('03_Base_Indice'!L9:$U9),0),0)+1,"")</f>
        <v>2</v>
      </c>
      <c r="P9">
        <f>IFERROR(MATCH(TRUE,INDEX(ISNUMBER('03_Base_Indice'!M9:$U9),0),0)+2,"")</f>
        <v>3</v>
      </c>
      <c r="Q9">
        <f>IFERROR(MATCH(TRUE,INDEX(ISNUMBER('03_Base_Indice'!N9:$U9),0),0)+3,"")</f>
        <v>4</v>
      </c>
      <c r="R9">
        <f>IFERROR(MATCH(TRUE,INDEX(ISNUMBER('03_Base_Indice'!O9:$U9),0),0)+4,"")</f>
        <v>5</v>
      </c>
      <c r="S9">
        <f>IFERROR(MATCH(TRUE,INDEX(ISNUMBER('03_Base_Indice'!P9:$U9),0),0)+5,"")</f>
        <v>6</v>
      </c>
      <c r="T9">
        <f>IFERROR(MATCH(TRUE,INDEX(ISNUMBER('03_Base_Indice'!Q9:$U9),0),0)+6,"")</f>
        <v>7</v>
      </c>
      <c r="U9">
        <f>IFERROR(MATCH(TRUE,INDEX(ISNUMBER('03_Base_Indice'!R9:$U9),0),0)+7,"")</f>
        <v>8</v>
      </c>
      <c r="V9">
        <f>IFERROR(MATCH(TRUE,INDEX(ISNUMBER('03_Base_Indice'!S9:$U9),0),0)+8,"")</f>
        <v>9</v>
      </c>
      <c r="W9">
        <f>IFERROR(MATCH(TRUE,INDEX(ISNUMBER('03_Base_Indice'!T9:$U9),0),0)+9,"")</f>
        <v>10</v>
      </c>
      <c r="X9" t="str">
        <f>IFERROR(MATCH(TRUE,INDEX(ISNUMBER('03_Base_Indice'!U9:$U9),0),0)+10,"")</f>
        <v/>
      </c>
      <c r="Z9">
        <f>IF(B9="","",INDEX('03_Base_Indice'!$K9:$U9,B9))</f>
        <v>-1.0904944999999999</v>
      </c>
      <c r="AA9">
        <f>IF(C9="","",INDEX('03_Base_Indice'!$K9:$U9,C9))</f>
        <v>-1.1804235000000001</v>
      </c>
      <c r="AB9">
        <f>IF(D9="","",INDEX('03_Base_Indice'!$K9:$U9,D9))</f>
        <v>-1.1799885000000001</v>
      </c>
      <c r="AC9">
        <f>IF(E9="","",INDEX('03_Base_Indice'!$K9:$U9,E9))</f>
        <v>-1.0624393000000001</v>
      </c>
      <c r="AD9">
        <f>IF(F9="","",INDEX('03_Base_Indice'!$K9:$U9,F9))</f>
        <v>-0.99608540000000001</v>
      </c>
      <c r="AE9">
        <f>IF(G9="","",INDEX('03_Base_Indice'!$K9:$U9,G9))</f>
        <v>-1.0388818</v>
      </c>
      <c r="AF9">
        <f>IF(H9="","",INDEX('03_Base_Indice'!$K9:$U9,H9))</f>
        <v>-0.84861839999999999</v>
      </c>
      <c r="AG9">
        <f>IF(I9="","",INDEX('03_Base_Indice'!$K9:$U9,I9))</f>
        <v>-0.86188209999999998</v>
      </c>
      <c r="AH9">
        <f>IF(J9="","",INDEX('03_Base_Indice'!$K9:$U9,J9))</f>
        <v>-0.90434199999999998</v>
      </c>
      <c r="AI9">
        <f>IF(K9="","",INDEX('03_Base_Indice'!$K9:$U9,K9))</f>
        <v>-0.77301999999999993</v>
      </c>
      <c r="AJ9">
        <f>IF(L9="","",INDEX('03_Base_Indice'!$K9:$U9,L9))</f>
        <v>-0.77301999999999993</v>
      </c>
      <c r="AL9">
        <f>IF(N9="","",INDEX('03_Base_Indice'!$K9:$U9,N9))</f>
        <v>-1.0904944999999999</v>
      </c>
      <c r="AM9">
        <f>IF(O9="","",INDEX('03_Base_Indice'!$K9:$U9,O9))</f>
        <v>-1.1804235000000001</v>
      </c>
      <c r="AN9">
        <f>IF(P9="","",INDEX('03_Base_Indice'!$K9:$U9,P9))</f>
        <v>-1.1799885000000001</v>
      </c>
      <c r="AO9">
        <f>IF(Q9="","",INDEX('03_Base_Indice'!$K9:$U9,Q9))</f>
        <v>-1.0624393000000001</v>
      </c>
      <c r="AP9">
        <f>IF(R9="","",INDEX('03_Base_Indice'!$K9:$U9,R9))</f>
        <v>-0.99608540000000001</v>
      </c>
      <c r="AQ9">
        <f>IF(S9="","",INDEX('03_Base_Indice'!$K9:$U9,S9))</f>
        <v>-1.0388818</v>
      </c>
      <c r="AR9">
        <f>IF(T9="","",INDEX('03_Base_Indice'!$K9:$U9,T9))</f>
        <v>-0.84861839999999999</v>
      </c>
      <c r="AS9">
        <f>IF(U9="","",INDEX('03_Base_Indice'!$K9:$U9,U9))</f>
        <v>-0.86188209999999998</v>
      </c>
      <c r="AT9">
        <f>IF(V9="","",INDEX('03_Base_Indice'!$K9:$U9,V9))</f>
        <v>-0.90434199999999998</v>
      </c>
      <c r="AU9">
        <f>IF(W9="","",INDEX('03_Base_Indice'!$K9:$U9,W9))</f>
        <v>-0.77301999999999993</v>
      </c>
      <c r="AV9" t="str">
        <f>IF(X9="","",INDEX('03_Base_Indice'!$K9:$U9,X9))</f>
        <v/>
      </c>
      <c r="AX9">
        <f>IF('06_Normalizacao'!K9="",0,'06_Normalizacao'!K9)</f>
        <v>28.190110000000004</v>
      </c>
      <c r="AY9">
        <f>IF('06_Normalizacao'!L9="",0,'06_Normalizacao'!L9)</f>
        <v>26.391529999999999</v>
      </c>
      <c r="AZ9">
        <f>IF('06_Normalizacao'!M9="",0,'06_Normalizacao'!M9)</f>
        <v>26.400230000000001</v>
      </c>
      <c r="BA9">
        <f>IF('06_Normalizacao'!N9="",0,'06_Normalizacao'!N9)</f>
        <v>28.751213999999997</v>
      </c>
      <c r="BB9">
        <f>IF('06_Normalizacao'!O9="",0,'06_Normalizacao'!O9)</f>
        <v>30.078291999999998</v>
      </c>
      <c r="BC9">
        <f>IF('06_Normalizacao'!P9="",0,'06_Normalizacao'!P9)</f>
        <v>29.222363999999999</v>
      </c>
      <c r="BD9">
        <f>IF('06_Normalizacao'!Q9="",0,'06_Normalizacao'!Q9)</f>
        <v>33.027631999999997</v>
      </c>
      <c r="BE9">
        <f>IF('06_Normalizacao'!R9="",0,'06_Normalizacao'!R9)</f>
        <v>32.762357999999999</v>
      </c>
      <c r="BF9">
        <f>IF('06_Normalizacao'!S9="",0,'06_Normalizacao'!S9)</f>
        <v>31.913159999999998</v>
      </c>
      <c r="BG9">
        <f>IF('06_Normalizacao'!T9="",0,'06_Normalizacao'!T9)</f>
        <v>34.5396</v>
      </c>
      <c r="BH9">
        <f>IF('06_Normalizacao'!U9="",0,'06_Normalizacao'!U9)</f>
        <v>34.5396</v>
      </c>
      <c r="BJ9">
        <f>IF('06_Normalizacao'!K9="",0,1)</f>
        <v>1</v>
      </c>
      <c r="BK9">
        <f>IF('06_Normalizacao'!L9="",0,1)</f>
        <v>1</v>
      </c>
      <c r="BL9">
        <f>IF('06_Normalizacao'!M9="",0,1)</f>
        <v>1</v>
      </c>
      <c r="BM9">
        <f>IF('06_Normalizacao'!N9="",0,1)</f>
        <v>1</v>
      </c>
      <c r="BN9">
        <f>IF('06_Normalizacao'!O9="",0,1)</f>
        <v>1</v>
      </c>
      <c r="BO9">
        <f>IF('06_Normalizacao'!P9="",0,1)</f>
        <v>1</v>
      </c>
      <c r="BP9">
        <f>IF('06_Normalizacao'!Q9="",0,1)</f>
        <v>1</v>
      </c>
      <c r="BQ9">
        <f>IF('06_Normalizacao'!R9="",0,1)</f>
        <v>1</v>
      </c>
      <c r="BR9">
        <f>IF('06_Normalizacao'!S9="",0,1)</f>
        <v>1</v>
      </c>
      <c r="BS9">
        <f>IF('06_Normalizacao'!T9="",0,1)</f>
        <v>1</v>
      </c>
      <c r="BT9">
        <f>IF('06_Normalizacao'!U9="",0,1)</f>
        <v>1</v>
      </c>
    </row>
    <row r="10" spans="1:72">
      <c r="A10" s="6" t="str">
        <f>'03_Base_Indice'!D10</f>
        <v/>
      </c>
      <c r="B10" t="str">
        <f>IFERROR(LOOKUP(2,1/ISNUMBER('03_Base_Indice'!$K10:K10),COLUMN('03_Base_Indice'!$K10:K10)-COLUMN('03_Base_Indice'!$K10)+1),"")</f>
        <v/>
      </c>
      <c r="C10" t="str">
        <f>IFERROR(LOOKUP(2,1/ISNUMBER('03_Base_Indice'!$K10:L10),COLUMN('03_Base_Indice'!$K10:L10)-COLUMN('03_Base_Indice'!$K10)+1),"")</f>
        <v/>
      </c>
      <c r="D10" t="str">
        <f>IFERROR(LOOKUP(2,1/ISNUMBER('03_Base_Indice'!$K10:M10),COLUMN('03_Base_Indice'!$K10:M10)-COLUMN('03_Base_Indice'!$K10)+1),"")</f>
        <v/>
      </c>
      <c r="E10" t="str">
        <f>IFERROR(LOOKUP(2,1/ISNUMBER('03_Base_Indice'!$K10:N10),COLUMN('03_Base_Indice'!$K10:N10)-COLUMN('03_Base_Indice'!$K10)+1),"")</f>
        <v/>
      </c>
      <c r="F10" t="str">
        <f>IFERROR(LOOKUP(2,1/ISNUMBER('03_Base_Indice'!$K10:O10),COLUMN('03_Base_Indice'!$K10:O10)-COLUMN('03_Base_Indice'!$K10)+1),"")</f>
        <v/>
      </c>
      <c r="G10" t="str">
        <f>IFERROR(LOOKUP(2,1/ISNUMBER('03_Base_Indice'!$K10:P10),COLUMN('03_Base_Indice'!$K10:P10)-COLUMN('03_Base_Indice'!$K10)+1),"")</f>
        <v/>
      </c>
      <c r="H10" t="str">
        <f>IFERROR(LOOKUP(2,1/ISNUMBER('03_Base_Indice'!$K10:Q10),COLUMN('03_Base_Indice'!$K10:Q10)-COLUMN('03_Base_Indice'!$K10)+1),"")</f>
        <v/>
      </c>
      <c r="I10" t="str">
        <f>IFERROR(LOOKUP(2,1/ISNUMBER('03_Base_Indice'!$K10:R10),COLUMN('03_Base_Indice'!$K10:R10)-COLUMN('03_Base_Indice'!$K10)+1),"")</f>
        <v/>
      </c>
      <c r="J10" t="str">
        <f>IFERROR(LOOKUP(2,1/ISNUMBER('03_Base_Indice'!$K10:S10),COLUMN('03_Base_Indice'!$K10:S10)-COLUMN('03_Base_Indice'!$K10)+1),"")</f>
        <v/>
      </c>
      <c r="K10" t="str">
        <f>IFERROR(LOOKUP(2,1/ISNUMBER('03_Base_Indice'!$K10:T10),COLUMN('03_Base_Indice'!$K10:T10)-COLUMN('03_Base_Indice'!$K10)+1),"")</f>
        <v/>
      </c>
      <c r="L10" t="str">
        <f>IFERROR(LOOKUP(2,1/ISNUMBER('03_Base_Indice'!$K10:U10),COLUMN('03_Base_Indice'!$K10:U10)-COLUMN('03_Base_Indice'!$K10)+1),"")</f>
        <v/>
      </c>
      <c r="N10" t="str">
        <f>IFERROR(MATCH(TRUE,INDEX(ISNUMBER('03_Base_Indice'!K10:$U10),0),0)+0,"")</f>
        <v/>
      </c>
      <c r="O10" t="str">
        <f>IFERROR(MATCH(TRUE,INDEX(ISNUMBER('03_Base_Indice'!L10:$U10),0),0)+1,"")</f>
        <v/>
      </c>
      <c r="P10" t="str">
        <f>IFERROR(MATCH(TRUE,INDEX(ISNUMBER('03_Base_Indice'!M10:$U10),0),0)+2,"")</f>
        <v/>
      </c>
      <c r="Q10" t="str">
        <f>IFERROR(MATCH(TRUE,INDEX(ISNUMBER('03_Base_Indice'!N10:$U10),0),0)+3,"")</f>
        <v/>
      </c>
      <c r="R10" t="str">
        <f>IFERROR(MATCH(TRUE,INDEX(ISNUMBER('03_Base_Indice'!O10:$U10),0),0)+4,"")</f>
        <v/>
      </c>
      <c r="S10" t="str">
        <f>IFERROR(MATCH(TRUE,INDEX(ISNUMBER('03_Base_Indice'!P10:$U10),0),0)+5,"")</f>
        <v/>
      </c>
      <c r="T10" t="str">
        <f>IFERROR(MATCH(TRUE,INDEX(ISNUMBER('03_Base_Indice'!Q10:$U10),0),0)+6,"")</f>
        <v/>
      </c>
      <c r="U10" t="str">
        <f>IFERROR(MATCH(TRUE,INDEX(ISNUMBER('03_Base_Indice'!R10:$U10),0),0)+7,"")</f>
        <v/>
      </c>
      <c r="V10" t="str">
        <f>IFERROR(MATCH(TRUE,INDEX(ISNUMBER('03_Base_Indice'!S10:$U10),0),0)+8,"")</f>
        <v/>
      </c>
      <c r="W10" t="str">
        <f>IFERROR(MATCH(TRUE,INDEX(ISNUMBER('03_Base_Indice'!T10:$U10),0),0)+9,"")</f>
        <v/>
      </c>
      <c r="X10" t="str">
        <f>IFERROR(MATCH(TRUE,INDEX(ISNUMBER('03_Base_Indice'!U10:$U10),0),0)+10,"")</f>
        <v/>
      </c>
      <c r="Z10" t="str">
        <f>IF(B10="","",INDEX('03_Base_Indice'!$K10:$U10,B10))</f>
        <v/>
      </c>
      <c r="AA10" t="str">
        <f>IF(C10="","",INDEX('03_Base_Indice'!$K10:$U10,C10))</f>
        <v/>
      </c>
      <c r="AB10" t="str">
        <f>IF(D10="","",INDEX('03_Base_Indice'!$K10:$U10,D10))</f>
        <v/>
      </c>
      <c r="AC10" t="str">
        <f>IF(E10="","",INDEX('03_Base_Indice'!$K10:$U10,E10))</f>
        <v/>
      </c>
      <c r="AD10" t="str">
        <f>IF(F10="","",INDEX('03_Base_Indice'!$K10:$U10,F10))</f>
        <v/>
      </c>
      <c r="AE10" t="str">
        <f>IF(G10="","",INDEX('03_Base_Indice'!$K10:$U10,G10))</f>
        <v/>
      </c>
      <c r="AF10" t="str">
        <f>IF(H10="","",INDEX('03_Base_Indice'!$K10:$U10,H10))</f>
        <v/>
      </c>
      <c r="AG10" t="str">
        <f>IF(I10="","",INDEX('03_Base_Indice'!$K10:$U10,I10))</f>
        <v/>
      </c>
      <c r="AH10" t="str">
        <f>IF(J10="","",INDEX('03_Base_Indice'!$K10:$U10,J10))</f>
        <v/>
      </c>
      <c r="AI10" t="str">
        <f>IF(K10="","",INDEX('03_Base_Indice'!$K10:$U10,K10))</f>
        <v/>
      </c>
      <c r="AJ10" t="str">
        <f>IF(L10="","",INDEX('03_Base_Indice'!$K10:$U10,L10))</f>
        <v/>
      </c>
      <c r="AL10" t="str">
        <f>IF(N10="","",INDEX('03_Base_Indice'!$K10:$U10,N10))</f>
        <v/>
      </c>
      <c r="AM10" t="str">
        <f>IF(O10="","",INDEX('03_Base_Indice'!$K10:$U10,O10))</f>
        <v/>
      </c>
      <c r="AN10" t="str">
        <f>IF(P10="","",INDEX('03_Base_Indice'!$K10:$U10,P10))</f>
        <v/>
      </c>
      <c r="AO10" t="str">
        <f>IF(Q10="","",INDEX('03_Base_Indice'!$K10:$U10,Q10))</f>
        <v/>
      </c>
      <c r="AP10" t="str">
        <f>IF(R10="","",INDEX('03_Base_Indice'!$K10:$U10,R10))</f>
        <v/>
      </c>
      <c r="AQ10" t="str">
        <f>IF(S10="","",INDEX('03_Base_Indice'!$K10:$U10,S10))</f>
        <v/>
      </c>
      <c r="AR10" t="str">
        <f>IF(T10="","",INDEX('03_Base_Indice'!$K10:$U10,T10))</f>
        <v/>
      </c>
      <c r="AS10" t="str">
        <f>IF(U10="","",INDEX('03_Base_Indice'!$K10:$U10,U10))</f>
        <v/>
      </c>
      <c r="AT10" t="str">
        <f>IF(V10="","",INDEX('03_Base_Indice'!$K10:$U10,V10))</f>
        <v/>
      </c>
      <c r="AU10" t="str">
        <f>IF(W10="","",INDEX('03_Base_Indice'!$K10:$U10,W10))</f>
        <v/>
      </c>
      <c r="AV10" t="str">
        <f>IF(X10="","",INDEX('03_Base_Indice'!$K10:$U10,X10))</f>
        <v/>
      </c>
      <c r="AX10">
        <f>IF('06_Normalizacao'!K10="",0,'06_Normalizacao'!K10)</f>
        <v>0</v>
      </c>
      <c r="AY10">
        <f>IF('06_Normalizacao'!L10="",0,'06_Normalizacao'!L10)</f>
        <v>0</v>
      </c>
      <c r="AZ10">
        <f>IF('06_Normalizacao'!M10="",0,'06_Normalizacao'!M10)</f>
        <v>0</v>
      </c>
      <c r="BA10">
        <f>IF('06_Normalizacao'!N10="",0,'06_Normalizacao'!N10)</f>
        <v>0</v>
      </c>
      <c r="BB10">
        <f>IF('06_Normalizacao'!O10="",0,'06_Normalizacao'!O10)</f>
        <v>0</v>
      </c>
      <c r="BC10">
        <f>IF('06_Normalizacao'!P10="",0,'06_Normalizacao'!P10)</f>
        <v>0</v>
      </c>
      <c r="BD10">
        <f>IF('06_Normalizacao'!Q10="",0,'06_Normalizacao'!Q10)</f>
        <v>0</v>
      </c>
      <c r="BE10">
        <f>IF('06_Normalizacao'!R10="",0,'06_Normalizacao'!R10)</f>
        <v>0</v>
      </c>
      <c r="BF10">
        <f>IF('06_Normalizacao'!S10="",0,'06_Normalizacao'!S10)</f>
        <v>0</v>
      </c>
      <c r="BG10">
        <f>IF('06_Normalizacao'!T10="",0,'06_Normalizacao'!T10)</f>
        <v>0</v>
      </c>
      <c r="BH10">
        <f>IF('06_Normalizacao'!U10="",0,'06_Normalizacao'!U10)</f>
        <v>0</v>
      </c>
      <c r="BJ10">
        <f>IF('06_Normalizacao'!K10="",0,1)</f>
        <v>0</v>
      </c>
      <c r="BK10">
        <f>IF('06_Normalizacao'!L10="",0,1)</f>
        <v>0</v>
      </c>
      <c r="BL10">
        <f>IF('06_Normalizacao'!M10="",0,1)</f>
        <v>0</v>
      </c>
      <c r="BM10">
        <f>IF('06_Normalizacao'!N10="",0,1)</f>
        <v>0</v>
      </c>
      <c r="BN10">
        <f>IF('06_Normalizacao'!O10="",0,1)</f>
        <v>0</v>
      </c>
      <c r="BO10">
        <f>IF('06_Normalizacao'!P10="",0,1)</f>
        <v>0</v>
      </c>
      <c r="BP10">
        <f>IF('06_Normalizacao'!Q10="",0,1)</f>
        <v>0</v>
      </c>
      <c r="BQ10">
        <f>IF('06_Normalizacao'!R10="",0,1)</f>
        <v>0</v>
      </c>
      <c r="BR10">
        <f>IF('06_Normalizacao'!S10="",0,1)</f>
        <v>0</v>
      </c>
      <c r="BS10">
        <f>IF('06_Normalizacao'!T10="",0,1)</f>
        <v>0</v>
      </c>
      <c r="BT10">
        <f>IF('06_Normalizacao'!U10="",0,1)</f>
        <v>0</v>
      </c>
    </row>
    <row r="11" spans="1:72">
      <c r="A11" s="6" t="str">
        <f>'03_Base_Indice'!D11</f>
        <v/>
      </c>
      <c r="B11" t="str">
        <f>IFERROR(LOOKUP(2,1/ISNUMBER('03_Base_Indice'!$K11:K11),COLUMN('03_Base_Indice'!$K11:K11)-COLUMN('03_Base_Indice'!$K11)+1),"")</f>
        <v/>
      </c>
      <c r="C11" t="str">
        <f>IFERROR(LOOKUP(2,1/ISNUMBER('03_Base_Indice'!$K11:L11),COLUMN('03_Base_Indice'!$K11:L11)-COLUMN('03_Base_Indice'!$K11)+1),"")</f>
        <v/>
      </c>
      <c r="D11" t="str">
        <f>IFERROR(LOOKUP(2,1/ISNUMBER('03_Base_Indice'!$K11:M11),COLUMN('03_Base_Indice'!$K11:M11)-COLUMN('03_Base_Indice'!$K11)+1),"")</f>
        <v/>
      </c>
      <c r="E11" t="str">
        <f>IFERROR(LOOKUP(2,1/ISNUMBER('03_Base_Indice'!$K11:N11),COLUMN('03_Base_Indice'!$K11:N11)-COLUMN('03_Base_Indice'!$K11)+1),"")</f>
        <v/>
      </c>
      <c r="F11" t="str">
        <f>IFERROR(LOOKUP(2,1/ISNUMBER('03_Base_Indice'!$K11:O11),COLUMN('03_Base_Indice'!$K11:O11)-COLUMN('03_Base_Indice'!$K11)+1),"")</f>
        <v/>
      </c>
      <c r="G11" t="str">
        <f>IFERROR(LOOKUP(2,1/ISNUMBER('03_Base_Indice'!$K11:P11),COLUMN('03_Base_Indice'!$K11:P11)-COLUMN('03_Base_Indice'!$K11)+1),"")</f>
        <v/>
      </c>
      <c r="H11" t="str">
        <f>IFERROR(LOOKUP(2,1/ISNUMBER('03_Base_Indice'!$K11:Q11),COLUMN('03_Base_Indice'!$K11:Q11)-COLUMN('03_Base_Indice'!$K11)+1),"")</f>
        <v/>
      </c>
      <c r="I11" t="str">
        <f>IFERROR(LOOKUP(2,1/ISNUMBER('03_Base_Indice'!$K11:R11),COLUMN('03_Base_Indice'!$K11:R11)-COLUMN('03_Base_Indice'!$K11)+1),"")</f>
        <v/>
      </c>
      <c r="J11" t="str">
        <f>IFERROR(LOOKUP(2,1/ISNUMBER('03_Base_Indice'!$K11:S11),COLUMN('03_Base_Indice'!$K11:S11)-COLUMN('03_Base_Indice'!$K11)+1),"")</f>
        <v/>
      </c>
      <c r="K11" t="str">
        <f>IFERROR(LOOKUP(2,1/ISNUMBER('03_Base_Indice'!$K11:T11),COLUMN('03_Base_Indice'!$K11:T11)-COLUMN('03_Base_Indice'!$K11)+1),"")</f>
        <v/>
      </c>
      <c r="L11" t="str">
        <f>IFERROR(LOOKUP(2,1/ISNUMBER('03_Base_Indice'!$K11:U11),COLUMN('03_Base_Indice'!$K11:U11)-COLUMN('03_Base_Indice'!$K11)+1),"")</f>
        <v/>
      </c>
      <c r="N11" t="str">
        <f>IFERROR(MATCH(TRUE,INDEX(ISNUMBER('03_Base_Indice'!K11:$U11),0),0)+0,"")</f>
        <v/>
      </c>
      <c r="O11" t="str">
        <f>IFERROR(MATCH(TRUE,INDEX(ISNUMBER('03_Base_Indice'!L11:$U11),0),0)+1,"")</f>
        <v/>
      </c>
      <c r="P11" t="str">
        <f>IFERROR(MATCH(TRUE,INDEX(ISNUMBER('03_Base_Indice'!M11:$U11),0),0)+2,"")</f>
        <v/>
      </c>
      <c r="Q11" t="str">
        <f>IFERROR(MATCH(TRUE,INDEX(ISNUMBER('03_Base_Indice'!N11:$U11),0),0)+3,"")</f>
        <v/>
      </c>
      <c r="R11" t="str">
        <f>IFERROR(MATCH(TRUE,INDEX(ISNUMBER('03_Base_Indice'!O11:$U11),0),0)+4,"")</f>
        <v/>
      </c>
      <c r="S11" t="str">
        <f>IFERROR(MATCH(TRUE,INDEX(ISNUMBER('03_Base_Indice'!P11:$U11),0),0)+5,"")</f>
        <v/>
      </c>
      <c r="T11" t="str">
        <f>IFERROR(MATCH(TRUE,INDEX(ISNUMBER('03_Base_Indice'!Q11:$U11),0),0)+6,"")</f>
        <v/>
      </c>
      <c r="U11" t="str">
        <f>IFERROR(MATCH(TRUE,INDEX(ISNUMBER('03_Base_Indice'!R11:$U11),0),0)+7,"")</f>
        <v/>
      </c>
      <c r="V11" t="str">
        <f>IFERROR(MATCH(TRUE,INDEX(ISNUMBER('03_Base_Indice'!S11:$U11),0),0)+8,"")</f>
        <v/>
      </c>
      <c r="W11" t="str">
        <f>IFERROR(MATCH(TRUE,INDEX(ISNUMBER('03_Base_Indice'!T11:$U11),0),0)+9,"")</f>
        <v/>
      </c>
      <c r="X11" t="str">
        <f>IFERROR(MATCH(TRUE,INDEX(ISNUMBER('03_Base_Indice'!U11:$U11),0),0)+10,"")</f>
        <v/>
      </c>
      <c r="Z11" t="str">
        <f>IF(B11="","",INDEX('03_Base_Indice'!$K11:$U11,B11))</f>
        <v/>
      </c>
      <c r="AA11" t="str">
        <f>IF(C11="","",INDEX('03_Base_Indice'!$K11:$U11,C11))</f>
        <v/>
      </c>
      <c r="AB11" t="str">
        <f>IF(D11="","",INDEX('03_Base_Indice'!$K11:$U11,D11))</f>
        <v/>
      </c>
      <c r="AC11" t="str">
        <f>IF(E11="","",INDEX('03_Base_Indice'!$K11:$U11,E11))</f>
        <v/>
      </c>
      <c r="AD11" t="str">
        <f>IF(F11="","",INDEX('03_Base_Indice'!$K11:$U11,F11))</f>
        <v/>
      </c>
      <c r="AE11" t="str">
        <f>IF(G11="","",INDEX('03_Base_Indice'!$K11:$U11,G11))</f>
        <v/>
      </c>
      <c r="AF11" t="str">
        <f>IF(H11="","",INDEX('03_Base_Indice'!$K11:$U11,H11))</f>
        <v/>
      </c>
      <c r="AG11" t="str">
        <f>IF(I11="","",INDEX('03_Base_Indice'!$K11:$U11,I11))</f>
        <v/>
      </c>
      <c r="AH11" t="str">
        <f>IF(J11="","",INDEX('03_Base_Indice'!$K11:$U11,J11))</f>
        <v/>
      </c>
      <c r="AI11" t="str">
        <f>IF(K11="","",INDEX('03_Base_Indice'!$K11:$U11,K11))</f>
        <v/>
      </c>
      <c r="AJ11" t="str">
        <f>IF(L11="","",INDEX('03_Base_Indice'!$K11:$U11,L11))</f>
        <v/>
      </c>
      <c r="AL11" t="str">
        <f>IF(N11="","",INDEX('03_Base_Indice'!$K11:$U11,N11))</f>
        <v/>
      </c>
      <c r="AM11" t="str">
        <f>IF(O11="","",INDEX('03_Base_Indice'!$K11:$U11,O11))</f>
        <v/>
      </c>
      <c r="AN11" t="str">
        <f>IF(P11="","",INDEX('03_Base_Indice'!$K11:$U11,P11))</f>
        <v/>
      </c>
      <c r="AO11" t="str">
        <f>IF(Q11="","",INDEX('03_Base_Indice'!$K11:$U11,Q11))</f>
        <v/>
      </c>
      <c r="AP11" t="str">
        <f>IF(R11="","",INDEX('03_Base_Indice'!$K11:$U11,R11))</f>
        <v/>
      </c>
      <c r="AQ11" t="str">
        <f>IF(S11="","",INDEX('03_Base_Indice'!$K11:$U11,S11))</f>
        <v/>
      </c>
      <c r="AR11" t="str">
        <f>IF(T11="","",INDEX('03_Base_Indice'!$K11:$U11,T11))</f>
        <v/>
      </c>
      <c r="AS11" t="str">
        <f>IF(U11="","",INDEX('03_Base_Indice'!$K11:$U11,U11))</f>
        <v/>
      </c>
      <c r="AT11" t="str">
        <f>IF(V11="","",INDEX('03_Base_Indice'!$K11:$U11,V11))</f>
        <v/>
      </c>
      <c r="AU11" t="str">
        <f>IF(W11="","",INDEX('03_Base_Indice'!$K11:$U11,W11))</f>
        <v/>
      </c>
      <c r="AV11" t="str">
        <f>IF(X11="","",INDEX('03_Base_Indice'!$K11:$U11,X11))</f>
        <v/>
      </c>
      <c r="AX11">
        <f>IF('06_Normalizacao'!K11="",0,'06_Normalizacao'!K11)</f>
        <v>0</v>
      </c>
      <c r="AY11">
        <f>IF('06_Normalizacao'!L11="",0,'06_Normalizacao'!L11)</f>
        <v>0</v>
      </c>
      <c r="AZ11">
        <f>IF('06_Normalizacao'!M11="",0,'06_Normalizacao'!M11)</f>
        <v>0</v>
      </c>
      <c r="BA11">
        <f>IF('06_Normalizacao'!N11="",0,'06_Normalizacao'!N11)</f>
        <v>0</v>
      </c>
      <c r="BB11">
        <f>IF('06_Normalizacao'!O11="",0,'06_Normalizacao'!O11)</f>
        <v>0</v>
      </c>
      <c r="BC11">
        <f>IF('06_Normalizacao'!P11="",0,'06_Normalizacao'!P11)</f>
        <v>0</v>
      </c>
      <c r="BD11">
        <f>IF('06_Normalizacao'!Q11="",0,'06_Normalizacao'!Q11)</f>
        <v>0</v>
      </c>
      <c r="BE11">
        <f>IF('06_Normalizacao'!R11="",0,'06_Normalizacao'!R11)</f>
        <v>0</v>
      </c>
      <c r="BF11">
        <f>IF('06_Normalizacao'!S11="",0,'06_Normalizacao'!S11)</f>
        <v>0</v>
      </c>
      <c r="BG11">
        <f>IF('06_Normalizacao'!T11="",0,'06_Normalizacao'!T11)</f>
        <v>0</v>
      </c>
      <c r="BH11">
        <f>IF('06_Normalizacao'!U11="",0,'06_Normalizacao'!U11)</f>
        <v>0</v>
      </c>
      <c r="BJ11">
        <f>IF('06_Normalizacao'!K11="",0,1)</f>
        <v>0</v>
      </c>
      <c r="BK11">
        <f>IF('06_Normalizacao'!L11="",0,1)</f>
        <v>0</v>
      </c>
      <c r="BL11">
        <f>IF('06_Normalizacao'!M11="",0,1)</f>
        <v>0</v>
      </c>
      <c r="BM11">
        <f>IF('06_Normalizacao'!N11="",0,1)</f>
        <v>0</v>
      </c>
      <c r="BN11">
        <f>IF('06_Normalizacao'!O11="",0,1)</f>
        <v>0</v>
      </c>
      <c r="BO11">
        <f>IF('06_Normalizacao'!P11="",0,1)</f>
        <v>0</v>
      </c>
      <c r="BP11">
        <f>IF('06_Normalizacao'!Q11="",0,1)</f>
        <v>0</v>
      </c>
      <c r="BQ11">
        <f>IF('06_Normalizacao'!R11="",0,1)</f>
        <v>0</v>
      </c>
      <c r="BR11">
        <f>IF('06_Normalizacao'!S11="",0,1)</f>
        <v>0</v>
      </c>
      <c r="BS11">
        <f>IF('06_Normalizacao'!T11="",0,1)</f>
        <v>0</v>
      </c>
      <c r="BT11">
        <f>IF('06_Normalizacao'!U11="",0,1)</f>
        <v>0</v>
      </c>
    </row>
    <row r="12" spans="1:72">
      <c r="A12" s="6" t="str">
        <f>'03_Base_Indice'!D12</f>
        <v/>
      </c>
      <c r="B12" t="str">
        <f>IFERROR(LOOKUP(2,1/ISNUMBER('03_Base_Indice'!$K12:K12),COLUMN('03_Base_Indice'!$K12:K12)-COLUMN('03_Base_Indice'!$K12)+1),"")</f>
        <v/>
      </c>
      <c r="C12" t="str">
        <f>IFERROR(LOOKUP(2,1/ISNUMBER('03_Base_Indice'!$K12:L12),COLUMN('03_Base_Indice'!$K12:L12)-COLUMN('03_Base_Indice'!$K12)+1),"")</f>
        <v/>
      </c>
      <c r="D12" t="str">
        <f>IFERROR(LOOKUP(2,1/ISNUMBER('03_Base_Indice'!$K12:M12),COLUMN('03_Base_Indice'!$K12:M12)-COLUMN('03_Base_Indice'!$K12)+1),"")</f>
        <v/>
      </c>
      <c r="E12" t="str">
        <f>IFERROR(LOOKUP(2,1/ISNUMBER('03_Base_Indice'!$K12:N12),COLUMN('03_Base_Indice'!$K12:N12)-COLUMN('03_Base_Indice'!$K12)+1),"")</f>
        <v/>
      </c>
      <c r="F12" t="str">
        <f>IFERROR(LOOKUP(2,1/ISNUMBER('03_Base_Indice'!$K12:O12),COLUMN('03_Base_Indice'!$K12:O12)-COLUMN('03_Base_Indice'!$K12)+1),"")</f>
        <v/>
      </c>
      <c r="G12" t="str">
        <f>IFERROR(LOOKUP(2,1/ISNUMBER('03_Base_Indice'!$K12:P12),COLUMN('03_Base_Indice'!$K12:P12)-COLUMN('03_Base_Indice'!$K12)+1),"")</f>
        <v/>
      </c>
      <c r="H12" t="str">
        <f>IFERROR(LOOKUP(2,1/ISNUMBER('03_Base_Indice'!$K12:Q12),COLUMN('03_Base_Indice'!$K12:Q12)-COLUMN('03_Base_Indice'!$K12)+1),"")</f>
        <v/>
      </c>
      <c r="I12" t="str">
        <f>IFERROR(LOOKUP(2,1/ISNUMBER('03_Base_Indice'!$K12:R12),COLUMN('03_Base_Indice'!$K12:R12)-COLUMN('03_Base_Indice'!$K12)+1),"")</f>
        <v/>
      </c>
      <c r="J12" t="str">
        <f>IFERROR(LOOKUP(2,1/ISNUMBER('03_Base_Indice'!$K12:S12),COLUMN('03_Base_Indice'!$K12:S12)-COLUMN('03_Base_Indice'!$K12)+1),"")</f>
        <v/>
      </c>
      <c r="K12" t="str">
        <f>IFERROR(LOOKUP(2,1/ISNUMBER('03_Base_Indice'!$K12:T12),COLUMN('03_Base_Indice'!$K12:T12)-COLUMN('03_Base_Indice'!$K12)+1),"")</f>
        <v/>
      </c>
      <c r="L12" t="str">
        <f>IFERROR(LOOKUP(2,1/ISNUMBER('03_Base_Indice'!$K12:U12),COLUMN('03_Base_Indice'!$K12:U12)-COLUMN('03_Base_Indice'!$K12)+1),"")</f>
        <v/>
      </c>
      <c r="N12" t="str">
        <f>IFERROR(MATCH(TRUE,INDEX(ISNUMBER('03_Base_Indice'!K12:$U12),0),0)+0,"")</f>
        <v/>
      </c>
      <c r="O12" t="str">
        <f>IFERROR(MATCH(TRUE,INDEX(ISNUMBER('03_Base_Indice'!L12:$U12),0),0)+1,"")</f>
        <v/>
      </c>
      <c r="P12" t="str">
        <f>IFERROR(MATCH(TRUE,INDEX(ISNUMBER('03_Base_Indice'!M12:$U12),0),0)+2,"")</f>
        <v/>
      </c>
      <c r="Q12" t="str">
        <f>IFERROR(MATCH(TRUE,INDEX(ISNUMBER('03_Base_Indice'!N12:$U12),0),0)+3,"")</f>
        <v/>
      </c>
      <c r="R12" t="str">
        <f>IFERROR(MATCH(TRUE,INDEX(ISNUMBER('03_Base_Indice'!O12:$U12),0),0)+4,"")</f>
        <v/>
      </c>
      <c r="S12" t="str">
        <f>IFERROR(MATCH(TRUE,INDEX(ISNUMBER('03_Base_Indice'!P12:$U12),0),0)+5,"")</f>
        <v/>
      </c>
      <c r="T12" t="str">
        <f>IFERROR(MATCH(TRUE,INDEX(ISNUMBER('03_Base_Indice'!Q12:$U12),0),0)+6,"")</f>
        <v/>
      </c>
      <c r="U12" t="str">
        <f>IFERROR(MATCH(TRUE,INDEX(ISNUMBER('03_Base_Indice'!R12:$U12),0),0)+7,"")</f>
        <v/>
      </c>
      <c r="V12" t="str">
        <f>IFERROR(MATCH(TRUE,INDEX(ISNUMBER('03_Base_Indice'!S12:$U12),0),0)+8,"")</f>
        <v/>
      </c>
      <c r="W12" t="str">
        <f>IFERROR(MATCH(TRUE,INDEX(ISNUMBER('03_Base_Indice'!T12:$U12),0),0)+9,"")</f>
        <v/>
      </c>
      <c r="X12" t="str">
        <f>IFERROR(MATCH(TRUE,INDEX(ISNUMBER('03_Base_Indice'!U12:$U12),0),0)+10,"")</f>
        <v/>
      </c>
      <c r="Z12" t="str">
        <f>IF(B12="","",INDEX('03_Base_Indice'!$K12:$U12,B12))</f>
        <v/>
      </c>
      <c r="AA12" t="str">
        <f>IF(C12="","",INDEX('03_Base_Indice'!$K12:$U12,C12))</f>
        <v/>
      </c>
      <c r="AB12" t="str">
        <f>IF(D12="","",INDEX('03_Base_Indice'!$K12:$U12,D12))</f>
        <v/>
      </c>
      <c r="AC12" t="str">
        <f>IF(E12="","",INDEX('03_Base_Indice'!$K12:$U12,E12))</f>
        <v/>
      </c>
      <c r="AD12" t="str">
        <f>IF(F12="","",INDEX('03_Base_Indice'!$K12:$U12,F12))</f>
        <v/>
      </c>
      <c r="AE12" t="str">
        <f>IF(G12="","",INDEX('03_Base_Indice'!$K12:$U12,G12))</f>
        <v/>
      </c>
      <c r="AF12" t="str">
        <f>IF(H12="","",INDEX('03_Base_Indice'!$K12:$U12,H12))</f>
        <v/>
      </c>
      <c r="AG12" t="str">
        <f>IF(I12="","",INDEX('03_Base_Indice'!$K12:$U12,I12))</f>
        <v/>
      </c>
      <c r="AH12" t="str">
        <f>IF(J12="","",INDEX('03_Base_Indice'!$K12:$U12,J12))</f>
        <v/>
      </c>
      <c r="AI12" t="str">
        <f>IF(K12="","",INDEX('03_Base_Indice'!$K12:$U12,K12))</f>
        <v/>
      </c>
      <c r="AJ12" t="str">
        <f>IF(L12="","",INDEX('03_Base_Indice'!$K12:$U12,L12))</f>
        <v/>
      </c>
      <c r="AL12" t="str">
        <f>IF(N12="","",INDEX('03_Base_Indice'!$K12:$U12,N12))</f>
        <v/>
      </c>
      <c r="AM12" t="str">
        <f>IF(O12="","",INDEX('03_Base_Indice'!$K12:$U12,O12))</f>
        <v/>
      </c>
      <c r="AN12" t="str">
        <f>IF(P12="","",INDEX('03_Base_Indice'!$K12:$U12,P12))</f>
        <v/>
      </c>
      <c r="AO12" t="str">
        <f>IF(Q12="","",INDEX('03_Base_Indice'!$K12:$U12,Q12))</f>
        <v/>
      </c>
      <c r="AP12" t="str">
        <f>IF(R12="","",INDEX('03_Base_Indice'!$K12:$U12,R12))</f>
        <v/>
      </c>
      <c r="AQ12" t="str">
        <f>IF(S12="","",INDEX('03_Base_Indice'!$K12:$U12,S12))</f>
        <v/>
      </c>
      <c r="AR12" t="str">
        <f>IF(T12="","",INDEX('03_Base_Indice'!$K12:$U12,T12))</f>
        <v/>
      </c>
      <c r="AS12" t="str">
        <f>IF(U12="","",INDEX('03_Base_Indice'!$K12:$U12,U12))</f>
        <v/>
      </c>
      <c r="AT12" t="str">
        <f>IF(V12="","",INDEX('03_Base_Indice'!$K12:$U12,V12))</f>
        <v/>
      </c>
      <c r="AU12" t="str">
        <f>IF(W12="","",INDEX('03_Base_Indice'!$K12:$U12,W12))</f>
        <v/>
      </c>
      <c r="AV12" t="str">
        <f>IF(X12="","",INDEX('03_Base_Indice'!$K12:$U12,X12))</f>
        <v/>
      </c>
      <c r="AX12">
        <f>IF('06_Normalizacao'!K12="",0,'06_Normalizacao'!K12)</f>
        <v>0</v>
      </c>
      <c r="AY12">
        <f>IF('06_Normalizacao'!L12="",0,'06_Normalizacao'!L12)</f>
        <v>0</v>
      </c>
      <c r="AZ12">
        <f>IF('06_Normalizacao'!M12="",0,'06_Normalizacao'!M12)</f>
        <v>0</v>
      </c>
      <c r="BA12">
        <f>IF('06_Normalizacao'!N12="",0,'06_Normalizacao'!N12)</f>
        <v>0</v>
      </c>
      <c r="BB12">
        <f>IF('06_Normalizacao'!O12="",0,'06_Normalizacao'!O12)</f>
        <v>0</v>
      </c>
      <c r="BC12">
        <f>IF('06_Normalizacao'!P12="",0,'06_Normalizacao'!P12)</f>
        <v>0</v>
      </c>
      <c r="BD12">
        <f>IF('06_Normalizacao'!Q12="",0,'06_Normalizacao'!Q12)</f>
        <v>0</v>
      </c>
      <c r="BE12">
        <f>IF('06_Normalizacao'!R12="",0,'06_Normalizacao'!R12)</f>
        <v>0</v>
      </c>
      <c r="BF12">
        <f>IF('06_Normalizacao'!S12="",0,'06_Normalizacao'!S12)</f>
        <v>0</v>
      </c>
      <c r="BG12">
        <f>IF('06_Normalizacao'!T12="",0,'06_Normalizacao'!T12)</f>
        <v>0</v>
      </c>
      <c r="BH12">
        <f>IF('06_Normalizacao'!U12="",0,'06_Normalizacao'!U12)</f>
        <v>0</v>
      </c>
      <c r="BJ12">
        <f>IF('06_Normalizacao'!K12="",0,1)</f>
        <v>0</v>
      </c>
      <c r="BK12">
        <f>IF('06_Normalizacao'!L12="",0,1)</f>
        <v>0</v>
      </c>
      <c r="BL12">
        <f>IF('06_Normalizacao'!M12="",0,1)</f>
        <v>0</v>
      </c>
      <c r="BM12">
        <f>IF('06_Normalizacao'!N12="",0,1)</f>
        <v>0</v>
      </c>
      <c r="BN12">
        <f>IF('06_Normalizacao'!O12="",0,1)</f>
        <v>0</v>
      </c>
      <c r="BO12">
        <f>IF('06_Normalizacao'!P12="",0,1)</f>
        <v>0</v>
      </c>
      <c r="BP12">
        <f>IF('06_Normalizacao'!Q12="",0,1)</f>
        <v>0</v>
      </c>
      <c r="BQ12">
        <f>IF('06_Normalizacao'!R12="",0,1)</f>
        <v>0</v>
      </c>
      <c r="BR12">
        <f>IF('06_Normalizacao'!S12="",0,1)</f>
        <v>0</v>
      </c>
      <c r="BS12">
        <f>IF('06_Normalizacao'!T12="",0,1)</f>
        <v>0</v>
      </c>
      <c r="BT12">
        <f>IF('06_Normalizacao'!U12="",0,1)</f>
        <v>0</v>
      </c>
    </row>
    <row r="13" spans="1:72">
      <c r="A13" s="6" t="str">
        <f>'03_Base_Indice'!D13</f>
        <v/>
      </c>
      <c r="B13" t="str">
        <f>IFERROR(LOOKUP(2,1/ISNUMBER('03_Base_Indice'!$K13:K13),COLUMN('03_Base_Indice'!$K13:K13)-COLUMN('03_Base_Indice'!$K13)+1),"")</f>
        <v/>
      </c>
      <c r="C13" t="str">
        <f>IFERROR(LOOKUP(2,1/ISNUMBER('03_Base_Indice'!$K13:L13),COLUMN('03_Base_Indice'!$K13:L13)-COLUMN('03_Base_Indice'!$K13)+1),"")</f>
        <v/>
      </c>
      <c r="D13" t="str">
        <f>IFERROR(LOOKUP(2,1/ISNUMBER('03_Base_Indice'!$K13:M13),COLUMN('03_Base_Indice'!$K13:M13)-COLUMN('03_Base_Indice'!$K13)+1),"")</f>
        <v/>
      </c>
      <c r="E13" t="str">
        <f>IFERROR(LOOKUP(2,1/ISNUMBER('03_Base_Indice'!$K13:N13),COLUMN('03_Base_Indice'!$K13:N13)-COLUMN('03_Base_Indice'!$K13)+1),"")</f>
        <v/>
      </c>
      <c r="F13" t="str">
        <f>IFERROR(LOOKUP(2,1/ISNUMBER('03_Base_Indice'!$K13:O13),COLUMN('03_Base_Indice'!$K13:O13)-COLUMN('03_Base_Indice'!$K13)+1),"")</f>
        <v/>
      </c>
      <c r="G13" t="str">
        <f>IFERROR(LOOKUP(2,1/ISNUMBER('03_Base_Indice'!$K13:P13),COLUMN('03_Base_Indice'!$K13:P13)-COLUMN('03_Base_Indice'!$K13)+1),"")</f>
        <v/>
      </c>
      <c r="H13" t="str">
        <f>IFERROR(LOOKUP(2,1/ISNUMBER('03_Base_Indice'!$K13:Q13),COLUMN('03_Base_Indice'!$K13:Q13)-COLUMN('03_Base_Indice'!$K13)+1),"")</f>
        <v/>
      </c>
      <c r="I13" t="str">
        <f>IFERROR(LOOKUP(2,1/ISNUMBER('03_Base_Indice'!$K13:R13),COLUMN('03_Base_Indice'!$K13:R13)-COLUMN('03_Base_Indice'!$K13)+1),"")</f>
        <v/>
      </c>
      <c r="J13" t="str">
        <f>IFERROR(LOOKUP(2,1/ISNUMBER('03_Base_Indice'!$K13:S13),COLUMN('03_Base_Indice'!$K13:S13)-COLUMN('03_Base_Indice'!$K13)+1),"")</f>
        <v/>
      </c>
      <c r="K13" t="str">
        <f>IFERROR(LOOKUP(2,1/ISNUMBER('03_Base_Indice'!$K13:T13),COLUMN('03_Base_Indice'!$K13:T13)-COLUMN('03_Base_Indice'!$K13)+1),"")</f>
        <v/>
      </c>
      <c r="L13" t="str">
        <f>IFERROR(LOOKUP(2,1/ISNUMBER('03_Base_Indice'!$K13:U13),COLUMN('03_Base_Indice'!$K13:U13)-COLUMN('03_Base_Indice'!$K13)+1),"")</f>
        <v/>
      </c>
      <c r="N13" t="str">
        <f>IFERROR(MATCH(TRUE,INDEX(ISNUMBER('03_Base_Indice'!K13:$U13),0),0)+0,"")</f>
        <v/>
      </c>
      <c r="O13" t="str">
        <f>IFERROR(MATCH(TRUE,INDEX(ISNUMBER('03_Base_Indice'!L13:$U13),0),0)+1,"")</f>
        <v/>
      </c>
      <c r="P13" t="str">
        <f>IFERROR(MATCH(TRUE,INDEX(ISNUMBER('03_Base_Indice'!M13:$U13),0),0)+2,"")</f>
        <v/>
      </c>
      <c r="Q13" t="str">
        <f>IFERROR(MATCH(TRUE,INDEX(ISNUMBER('03_Base_Indice'!N13:$U13),0),0)+3,"")</f>
        <v/>
      </c>
      <c r="R13" t="str">
        <f>IFERROR(MATCH(TRUE,INDEX(ISNUMBER('03_Base_Indice'!O13:$U13),0),0)+4,"")</f>
        <v/>
      </c>
      <c r="S13" t="str">
        <f>IFERROR(MATCH(TRUE,INDEX(ISNUMBER('03_Base_Indice'!P13:$U13),0),0)+5,"")</f>
        <v/>
      </c>
      <c r="T13" t="str">
        <f>IFERROR(MATCH(TRUE,INDEX(ISNUMBER('03_Base_Indice'!Q13:$U13),0),0)+6,"")</f>
        <v/>
      </c>
      <c r="U13" t="str">
        <f>IFERROR(MATCH(TRUE,INDEX(ISNUMBER('03_Base_Indice'!R13:$U13),0),0)+7,"")</f>
        <v/>
      </c>
      <c r="V13" t="str">
        <f>IFERROR(MATCH(TRUE,INDEX(ISNUMBER('03_Base_Indice'!S13:$U13),0),0)+8,"")</f>
        <v/>
      </c>
      <c r="W13" t="str">
        <f>IFERROR(MATCH(TRUE,INDEX(ISNUMBER('03_Base_Indice'!T13:$U13),0),0)+9,"")</f>
        <v/>
      </c>
      <c r="X13" t="str">
        <f>IFERROR(MATCH(TRUE,INDEX(ISNUMBER('03_Base_Indice'!U13:$U13),0),0)+10,"")</f>
        <v/>
      </c>
      <c r="Z13" t="str">
        <f>IF(B13="","",INDEX('03_Base_Indice'!$K13:$U13,B13))</f>
        <v/>
      </c>
      <c r="AA13" t="str">
        <f>IF(C13="","",INDEX('03_Base_Indice'!$K13:$U13,C13))</f>
        <v/>
      </c>
      <c r="AB13" t="str">
        <f>IF(D13="","",INDEX('03_Base_Indice'!$K13:$U13,D13))</f>
        <v/>
      </c>
      <c r="AC13" t="str">
        <f>IF(E13="","",INDEX('03_Base_Indice'!$K13:$U13,E13))</f>
        <v/>
      </c>
      <c r="AD13" t="str">
        <f>IF(F13="","",INDEX('03_Base_Indice'!$K13:$U13,F13))</f>
        <v/>
      </c>
      <c r="AE13" t="str">
        <f>IF(G13="","",INDEX('03_Base_Indice'!$K13:$U13,G13))</f>
        <v/>
      </c>
      <c r="AF13" t="str">
        <f>IF(H13="","",INDEX('03_Base_Indice'!$K13:$U13,H13))</f>
        <v/>
      </c>
      <c r="AG13" t="str">
        <f>IF(I13="","",INDEX('03_Base_Indice'!$K13:$U13,I13))</f>
        <v/>
      </c>
      <c r="AH13" t="str">
        <f>IF(J13="","",INDEX('03_Base_Indice'!$K13:$U13,J13))</f>
        <v/>
      </c>
      <c r="AI13" t="str">
        <f>IF(K13="","",INDEX('03_Base_Indice'!$K13:$U13,K13))</f>
        <v/>
      </c>
      <c r="AJ13" t="str">
        <f>IF(L13="","",INDEX('03_Base_Indice'!$K13:$U13,L13))</f>
        <v/>
      </c>
      <c r="AL13" t="str">
        <f>IF(N13="","",INDEX('03_Base_Indice'!$K13:$U13,N13))</f>
        <v/>
      </c>
      <c r="AM13" t="str">
        <f>IF(O13="","",INDEX('03_Base_Indice'!$K13:$U13,O13))</f>
        <v/>
      </c>
      <c r="AN13" t="str">
        <f>IF(P13="","",INDEX('03_Base_Indice'!$K13:$U13,P13))</f>
        <v/>
      </c>
      <c r="AO13" t="str">
        <f>IF(Q13="","",INDEX('03_Base_Indice'!$K13:$U13,Q13))</f>
        <v/>
      </c>
      <c r="AP13" t="str">
        <f>IF(R13="","",INDEX('03_Base_Indice'!$K13:$U13,R13))</f>
        <v/>
      </c>
      <c r="AQ13" t="str">
        <f>IF(S13="","",INDEX('03_Base_Indice'!$K13:$U13,S13))</f>
        <v/>
      </c>
      <c r="AR13" t="str">
        <f>IF(T13="","",INDEX('03_Base_Indice'!$K13:$U13,T13))</f>
        <v/>
      </c>
      <c r="AS13" t="str">
        <f>IF(U13="","",INDEX('03_Base_Indice'!$K13:$U13,U13))</f>
        <v/>
      </c>
      <c r="AT13" t="str">
        <f>IF(V13="","",INDEX('03_Base_Indice'!$K13:$U13,V13))</f>
        <v/>
      </c>
      <c r="AU13" t="str">
        <f>IF(W13="","",INDEX('03_Base_Indice'!$K13:$U13,W13))</f>
        <v/>
      </c>
      <c r="AV13" t="str">
        <f>IF(X13="","",INDEX('03_Base_Indice'!$K13:$U13,X13))</f>
        <v/>
      </c>
      <c r="AX13">
        <f>IF('06_Normalizacao'!K13="",0,'06_Normalizacao'!K13)</f>
        <v>0</v>
      </c>
      <c r="AY13">
        <f>IF('06_Normalizacao'!L13="",0,'06_Normalizacao'!L13)</f>
        <v>0</v>
      </c>
      <c r="AZ13">
        <f>IF('06_Normalizacao'!M13="",0,'06_Normalizacao'!M13)</f>
        <v>0</v>
      </c>
      <c r="BA13">
        <f>IF('06_Normalizacao'!N13="",0,'06_Normalizacao'!N13)</f>
        <v>0</v>
      </c>
      <c r="BB13">
        <f>IF('06_Normalizacao'!O13="",0,'06_Normalizacao'!O13)</f>
        <v>0</v>
      </c>
      <c r="BC13">
        <f>IF('06_Normalizacao'!P13="",0,'06_Normalizacao'!P13)</f>
        <v>0</v>
      </c>
      <c r="BD13">
        <f>IF('06_Normalizacao'!Q13="",0,'06_Normalizacao'!Q13)</f>
        <v>0</v>
      </c>
      <c r="BE13">
        <f>IF('06_Normalizacao'!R13="",0,'06_Normalizacao'!R13)</f>
        <v>0</v>
      </c>
      <c r="BF13">
        <f>IF('06_Normalizacao'!S13="",0,'06_Normalizacao'!S13)</f>
        <v>0</v>
      </c>
      <c r="BG13">
        <f>IF('06_Normalizacao'!T13="",0,'06_Normalizacao'!T13)</f>
        <v>0</v>
      </c>
      <c r="BH13">
        <f>IF('06_Normalizacao'!U13="",0,'06_Normalizacao'!U13)</f>
        <v>0</v>
      </c>
      <c r="BJ13">
        <f>IF('06_Normalizacao'!K13="",0,1)</f>
        <v>0</v>
      </c>
      <c r="BK13">
        <f>IF('06_Normalizacao'!L13="",0,1)</f>
        <v>0</v>
      </c>
      <c r="BL13">
        <f>IF('06_Normalizacao'!M13="",0,1)</f>
        <v>0</v>
      </c>
      <c r="BM13">
        <f>IF('06_Normalizacao'!N13="",0,1)</f>
        <v>0</v>
      </c>
      <c r="BN13">
        <f>IF('06_Normalizacao'!O13="",0,1)</f>
        <v>0</v>
      </c>
      <c r="BO13">
        <f>IF('06_Normalizacao'!P13="",0,1)</f>
        <v>0</v>
      </c>
      <c r="BP13">
        <f>IF('06_Normalizacao'!Q13="",0,1)</f>
        <v>0</v>
      </c>
      <c r="BQ13">
        <f>IF('06_Normalizacao'!R13="",0,1)</f>
        <v>0</v>
      </c>
      <c r="BR13">
        <f>IF('06_Normalizacao'!S13="",0,1)</f>
        <v>0</v>
      </c>
      <c r="BS13">
        <f>IF('06_Normalizacao'!T13="",0,1)</f>
        <v>0</v>
      </c>
      <c r="BT13">
        <f>IF('06_Normalizacao'!U13="",0,1)</f>
        <v>0</v>
      </c>
    </row>
    <row r="14" spans="1:72">
      <c r="A14" s="6" t="str">
        <f>'03_Base_Indice'!D14</f>
        <v/>
      </c>
      <c r="B14" t="str">
        <f>IFERROR(LOOKUP(2,1/ISNUMBER('03_Base_Indice'!$K14:K14),COLUMN('03_Base_Indice'!$K14:K14)-COLUMN('03_Base_Indice'!$K14)+1),"")</f>
        <v/>
      </c>
      <c r="C14" t="str">
        <f>IFERROR(LOOKUP(2,1/ISNUMBER('03_Base_Indice'!$K14:L14),COLUMN('03_Base_Indice'!$K14:L14)-COLUMN('03_Base_Indice'!$K14)+1),"")</f>
        <v/>
      </c>
      <c r="D14" t="str">
        <f>IFERROR(LOOKUP(2,1/ISNUMBER('03_Base_Indice'!$K14:M14),COLUMN('03_Base_Indice'!$K14:M14)-COLUMN('03_Base_Indice'!$K14)+1),"")</f>
        <v/>
      </c>
      <c r="E14" t="str">
        <f>IFERROR(LOOKUP(2,1/ISNUMBER('03_Base_Indice'!$K14:N14),COLUMN('03_Base_Indice'!$K14:N14)-COLUMN('03_Base_Indice'!$K14)+1),"")</f>
        <v/>
      </c>
      <c r="F14" t="str">
        <f>IFERROR(LOOKUP(2,1/ISNUMBER('03_Base_Indice'!$K14:O14),COLUMN('03_Base_Indice'!$K14:O14)-COLUMN('03_Base_Indice'!$K14)+1),"")</f>
        <v/>
      </c>
      <c r="G14" t="str">
        <f>IFERROR(LOOKUP(2,1/ISNUMBER('03_Base_Indice'!$K14:P14),COLUMN('03_Base_Indice'!$K14:P14)-COLUMN('03_Base_Indice'!$K14)+1),"")</f>
        <v/>
      </c>
      <c r="H14" t="str">
        <f>IFERROR(LOOKUP(2,1/ISNUMBER('03_Base_Indice'!$K14:Q14),COLUMN('03_Base_Indice'!$K14:Q14)-COLUMN('03_Base_Indice'!$K14)+1),"")</f>
        <v/>
      </c>
      <c r="I14" t="str">
        <f>IFERROR(LOOKUP(2,1/ISNUMBER('03_Base_Indice'!$K14:R14),COLUMN('03_Base_Indice'!$K14:R14)-COLUMN('03_Base_Indice'!$K14)+1),"")</f>
        <v/>
      </c>
      <c r="J14" t="str">
        <f>IFERROR(LOOKUP(2,1/ISNUMBER('03_Base_Indice'!$K14:S14),COLUMN('03_Base_Indice'!$K14:S14)-COLUMN('03_Base_Indice'!$K14)+1),"")</f>
        <v/>
      </c>
      <c r="K14" t="str">
        <f>IFERROR(LOOKUP(2,1/ISNUMBER('03_Base_Indice'!$K14:T14),COLUMN('03_Base_Indice'!$K14:T14)-COLUMN('03_Base_Indice'!$K14)+1),"")</f>
        <v/>
      </c>
      <c r="L14" t="str">
        <f>IFERROR(LOOKUP(2,1/ISNUMBER('03_Base_Indice'!$K14:U14),COLUMN('03_Base_Indice'!$K14:U14)-COLUMN('03_Base_Indice'!$K14)+1),"")</f>
        <v/>
      </c>
      <c r="N14" t="str">
        <f>IFERROR(MATCH(TRUE,INDEX(ISNUMBER('03_Base_Indice'!K14:$U14),0),0)+0,"")</f>
        <v/>
      </c>
      <c r="O14" t="str">
        <f>IFERROR(MATCH(TRUE,INDEX(ISNUMBER('03_Base_Indice'!L14:$U14),0),0)+1,"")</f>
        <v/>
      </c>
      <c r="P14" t="str">
        <f>IFERROR(MATCH(TRUE,INDEX(ISNUMBER('03_Base_Indice'!M14:$U14),0),0)+2,"")</f>
        <v/>
      </c>
      <c r="Q14" t="str">
        <f>IFERROR(MATCH(TRUE,INDEX(ISNUMBER('03_Base_Indice'!N14:$U14),0),0)+3,"")</f>
        <v/>
      </c>
      <c r="R14" t="str">
        <f>IFERROR(MATCH(TRUE,INDEX(ISNUMBER('03_Base_Indice'!O14:$U14),0),0)+4,"")</f>
        <v/>
      </c>
      <c r="S14" t="str">
        <f>IFERROR(MATCH(TRUE,INDEX(ISNUMBER('03_Base_Indice'!P14:$U14),0),0)+5,"")</f>
        <v/>
      </c>
      <c r="T14" t="str">
        <f>IFERROR(MATCH(TRUE,INDEX(ISNUMBER('03_Base_Indice'!Q14:$U14),0),0)+6,"")</f>
        <v/>
      </c>
      <c r="U14" t="str">
        <f>IFERROR(MATCH(TRUE,INDEX(ISNUMBER('03_Base_Indice'!R14:$U14),0),0)+7,"")</f>
        <v/>
      </c>
      <c r="V14" t="str">
        <f>IFERROR(MATCH(TRUE,INDEX(ISNUMBER('03_Base_Indice'!S14:$U14),0),0)+8,"")</f>
        <v/>
      </c>
      <c r="W14" t="str">
        <f>IFERROR(MATCH(TRUE,INDEX(ISNUMBER('03_Base_Indice'!T14:$U14),0),0)+9,"")</f>
        <v/>
      </c>
      <c r="X14" t="str">
        <f>IFERROR(MATCH(TRUE,INDEX(ISNUMBER('03_Base_Indice'!U14:$U14),0),0)+10,"")</f>
        <v/>
      </c>
      <c r="Z14" t="str">
        <f>IF(B14="","",INDEX('03_Base_Indice'!$K14:$U14,B14))</f>
        <v/>
      </c>
      <c r="AA14" t="str">
        <f>IF(C14="","",INDEX('03_Base_Indice'!$K14:$U14,C14))</f>
        <v/>
      </c>
      <c r="AB14" t="str">
        <f>IF(D14="","",INDEX('03_Base_Indice'!$K14:$U14,D14))</f>
        <v/>
      </c>
      <c r="AC14" t="str">
        <f>IF(E14="","",INDEX('03_Base_Indice'!$K14:$U14,E14))</f>
        <v/>
      </c>
      <c r="AD14" t="str">
        <f>IF(F14="","",INDEX('03_Base_Indice'!$K14:$U14,F14))</f>
        <v/>
      </c>
      <c r="AE14" t="str">
        <f>IF(G14="","",INDEX('03_Base_Indice'!$K14:$U14,G14))</f>
        <v/>
      </c>
      <c r="AF14" t="str">
        <f>IF(H14="","",INDEX('03_Base_Indice'!$K14:$U14,H14))</f>
        <v/>
      </c>
      <c r="AG14" t="str">
        <f>IF(I14="","",INDEX('03_Base_Indice'!$K14:$U14,I14))</f>
        <v/>
      </c>
      <c r="AH14" t="str">
        <f>IF(J14="","",INDEX('03_Base_Indice'!$K14:$U14,J14))</f>
        <v/>
      </c>
      <c r="AI14" t="str">
        <f>IF(K14="","",INDEX('03_Base_Indice'!$K14:$U14,K14))</f>
        <v/>
      </c>
      <c r="AJ14" t="str">
        <f>IF(L14="","",INDEX('03_Base_Indice'!$K14:$U14,L14))</f>
        <v/>
      </c>
      <c r="AL14" t="str">
        <f>IF(N14="","",INDEX('03_Base_Indice'!$K14:$U14,N14))</f>
        <v/>
      </c>
      <c r="AM14" t="str">
        <f>IF(O14="","",INDEX('03_Base_Indice'!$K14:$U14,O14))</f>
        <v/>
      </c>
      <c r="AN14" t="str">
        <f>IF(P14="","",INDEX('03_Base_Indice'!$K14:$U14,P14))</f>
        <v/>
      </c>
      <c r="AO14" t="str">
        <f>IF(Q14="","",INDEX('03_Base_Indice'!$K14:$U14,Q14))</f>
        <v/>
      </c>
      <c r="AP14" t="str">
        <f>IF(R14="","",INDEX('03_Base_Indice'!$K14:$U14,R14))</f>
        <v/>
      </c>
      <c r="AQ14" t="str">
        <f>IF(S14="","",INDEX('03_Base_Indice'!$K14:$U14,S14))</f>
        <v/>
      </c>
      <c r="AR14" t="str">
        <f>IF(T14="","",INDEX('03_Base_Indice'!$K14:$U14,T14))</f>
        <v/>
      </c>
      <c r="AS14" t="str">
        <f>IF(U14="","",INDEX('03_Base_Indice'!$K14:$U14,U14))</f>
        <v/>
      </c>
      <c r="AT14" t="str">
        <f>IF(V14="","",INDEX('03_Base_Indice'!$K14:$U14,V14))</f>
        <v/>
      </c>
      <c r="AU14" t="str">
        <f>IF(W14="","",INDEX('03_Base_Indice'!$K14:$U14,W14))</f>
        <v/>
      </c>
      <c r="AV14" t="str">
        <f>IF(X14="","",INDEX('03_Base_Indice'!$K14:$U14,X14))</f>
        <v/>
      </c>
      <c r="AX14">
        <f>IF('06_Normalizacao'!K14="",0,'06_Normalizacao'!K14)</f>
        <v>0</v>
      </c>
      <c r="AY14">
        <f>IF('06_Normalizacao'!L14="",0,'06_Normalizacao'!L14)</f>
        <v>0</v>
      </c>
      <c r="AZ14">
        <f>IF('06_Normalizacao'!M14="",0,'06_Normalizacao'!M14)</f>
        <v>0</v>
      </c>
      <c r="BA14">
        <f>IF('06_Normalizacao'!N14="",0,'06_Normalizacao'!N14)</f>
        <v>0</v>
      </c>
      <c r="BB14">
        <f>IF('06_Normalizacao'!O14="",0,'06_Normalizacao'!O14)</f>
        <v>0</v>
      </c>
      <c r="BC14">
        <f>IF('06_Normalizacao'!P14="",0,'06_Normalizacao'!P14)</f>
        <v>0</v>
      </c>
      <c r="BD14">
        <f>IF('06_Normalizacao'!Q14="",0,'06_Normalizacao'!Q14)</f>
        <v>0</v>
      </c>
      <c r="BE14">
        <f>IF('06_Normalizacao'!R14="",0,'06_Normalizacao'!R14)</f>
        <v>0</v>
      </c>
      <c r="BF14">
        <f>IF('06_Normalizacao'!S14="",0,'06_Normalizacao'!S14)</f>
        <v>0</v>
      </c>
      <c r="BG14">
        <f>IF('06_Normalizacao'!T14="",0,'06_Normalizacao'!T14)</f>
        <v>0</v>
      </c>
      <c r="BH14">
        <f>IF('06_Normalizacao'!U14="",0,'06_Normalizacao'!U14)</f>
        <v>0</v>
      </c>
      <c r="BJ14">
        <f>IF('06_Normalizacao'!K14="",0,1)</f>
        <v>0</v>
      </c>
      <c r="BK14">
        <f>IF('06_Normalizacao'!L14="",0,1)</f>
        <v>0</v>
      </c>
      <c r="BL14">
        <f>IF('06_Normalizacao'!M14="",0,1)</f>
        <v>0</v>
      </c>
      <c r="BM14">
        <f>IF('06_Normalizacao'!N14="",0,1)</f>
        <v>0</v>
      </c>
      <c r="BN14">
        <f>IF('06_Normalizacao'!O14="",0,1)</f>
        <v>0</v>
      </c>
      <c r="BO14">
        <f>IF('06_Normalizacao'!P14="",0,1)</f>
        <v>0</v>
      </c>
      <c r="BP14">
        <f>IF('06_Normalizacao'!Q14="",0,1)</f>
        <v>0</v>
      </c>
      <c r="BQ14">
        <f>IF('06_Normalizacao'!R14="",0,1)</f>
        <v>0</v>
      </c>
      <c r="BR14">
        <f>IF('06_Normalizacao'!S14="",0,1)</f>
        <v>0</v>
      </c>
      <c r="BS14">
        <f>IF('06_Normalizacao'!T14="",0,1)</f>
        <v>0</v>
      </c>
      <c r="BT14">
        <f>IF('06_Normalizacao'!U14="",0,1)</f>
        <v>0</v>
      </c>
    </row>
    <row r="15" spans="1:72">
      <c r="A15" s="6" t="str">
        <f>'03_Base_Indice'!D15</f>
        <v>MAC001</v>
      </c>
      <c r="B15">
        <f>IFERROR(LOOKUP(2,1/ISNUMBER('03_Base_Indice'!$K15:K15),COLUMN('03_Base_Indice'!$K15:K15)-COLUMN('03_Base_Indice'!$K15)+1),"")</f>
        <v>1</v>
      </c>
      <c r="C15">
        <f>IFERROR(LOOKUP(2,1/ISNUMBER('03_Base_Indice'!$K15:L15),COLUMN('03_Base_Indice'!$K15:L15)-COLUMN('03_Base_Indice'!$K15)+1),"")</f>
        <v>2</v>
      </c>
      <c r="D15">
        <f>IFERROR(LOOKUP(2,1/ISNUMBER('03_Base_Indice'!$K15:M15),COLUMN('03_Base_Indice'!$K15:M15)-COLUMN('03_Base_Indice'!$K15)+1),"")</f>
        <v>3</v>
      </c>
      <c r="E15">
        <f>IFERROR(LOOKUP(2,1/ISNUMBER('03_Base_Indice'!$K15:N15),COLUMN('03_Base_Indice'!$K15:N15)-COLUMN('03_Base_Indice'!$K15)+1),"")</f>
        <v>4</v>
      </c>
      <c r="F15">
        <f>IFERROR(LOOKUP(2,1/ISNUMBER('03_Base_Indice'!$K15:O15),COLUMN('03_Base_Indice'!$K15:O15)-COLUMN('03_Base_Indice'!$K15)+1),"")</f>
        <v>5</v>
      </c>
      <c r="G15">
        <f>IFERROR(LOOKUP(2,1/ISNUMBER('03_Base_Indice'!$K15:P15),COLUMN('03_Base_Indice'!$K15:P15)-COLUMN('03_Base_Indice'!$K15)+1),"")</f>
        <v>6</v>
      </c>
      <c r="H15">
        <f>IFERROR(LOOKUP(2,1/ISNUMBER('03_Base_Indice'!$K15:Q15),COLUMN('03_Base_Indice'!$K15:Q15)-COLUMN('03_Base_Indice'!$K15)+1),"")</f>
        <v>7</v>
      </c>
      <c r="I15">
        <f>IFERROR(LOOKUP(2,1/ISNUMBER('03_Base_Indice'!$K15:R15),COLUMN('03_Base_Indice'!$K15:R15)-COLUMN('03_Base_Indice'!$K15)+1),"")</f>
        <v>8</v>
      </c>
      <c r="J15">
        <f>IFERROR(LOOKUP(2,1/ISNUMBER('03_Base_Indice'!$K15:S15),COLUMN('03_Base_Indice'!$K15:S15)-COLUMN('03_Base_Indice'!$K15)+1),"")</f>
        <v>9</v>
      </c>
      <c r="K15">
        <f>IFERROR(LOOKUP(2,1/ISNUMBER('03_Base_Indice'!$K15:T15),COLUMN('03_Base_Indice'!$K15:T15)-COLUMN('03_Base_Indice'!$K15)+1),"")</f>
        <v>10</v>
      </c>
      <c r="L15">
        <f>IFERROR(LOOKUP(2,1/ISNUMBER('03_Base_Indice'!$K15:U15),COLUMN('03_Base_Indice'!$K15:U15)-COLUMN('03_Base_Indice'!$K15)+1),"")</f>
        <v>11</v>
      </c>
      <c r="N15">
        <f>IFERROR(MATCH(TRUE,INDEX(ISNUMBER('03_Base_Indice'!K15:$U15),0),0)+0,"")</f>
        <v>1</v>
      </c>
      <c r="O15">
        <f>IFERROR(MATCH(TRUE,INDEX(ISNUMBER('03_Base_Indice'!L15:$U15),0),0)+1,"")</f>
        <v>2</v>
      </c>
      <c r="P15">
        <f>IFERROR(MATCH(TRUE,INDEX(ISNUMBER('03_Base_Indice'!M15:$U15),0),0)+2,"")</f>
        <v>3</v>
      </c>
      <c r="Q15">
        <f>IFERROR(MATCH(TRUE,INDEX(ISNUMBER('03_Base_Indice'!N15:$U15),0),0)+3,"")</f>
        <v>4</v>
      </c>
      <c r="R15">
        <f>IFERROR(MATCH(TRUE,INDEX(ISNUMBER('03_Base_Indice'!O15:$U15),0),0)+4,"")</f>
        <v>5</v>
      </c>
      <c r="S15">
        <f>IFERROR(MATCH(TRUE,INDEX(ISNUMBER('03_Base_Indice'!P15:$U15),0),0)+5,"")</f>
        <v>6</v>
      </c>
      <c r="T15">
        <f>IFERROR(MATCH(TRUE,INDEX(ISNUMBER('03_Base_Indice'!Q15:$U15),0),0)+6,"")</f>
        <v>7</v>
      </c>
      <c r="U15">
        <f>IFERROR(MATCH(TRUE,INDEX(ISNUMBER('03_Base_Indice'!R15:$U15),0),0)+7,"")</f>
        <v>8</v>
      </c>
      <c r="V15">
        <f>IFERROR(MATCH(TRUE,INDEX(ISNUMBER('03_Base_Indice'!S15:$U15),0),0)+8,"")</f>
        <v>9</v>
      </c>
      <c r="W15">
        <f>IFERROR(MATCH(TRUE,INDEX(ISNUMBER('03_Base_Indice'!T15:$U15),0),0)+9,"")</f>
        <v>10</v>
      </c>
      <c r="X15">
        <f>IFERROR(MATCH(TRUE,INDEX(ISNUMBER('03_Base_Indice'!U15:$U15),0),0)+10,"")</f>
        <v>11</v>
      </c>
      <c r="Z15">
        <f>IF(B15="","",INDEX('03_Base_Indice'!$K15:$U15,B15))</f>
        <v>0.76317771091500197</v>
      </c>
      <c r="AA15">
        <f>IF(C15="","",INDEX('03_Base_Indice'!$K15:$U15,C15))</f>
        <v>-0.2330769548052842</v>
      </c>
      <c r="AB15">
        <f>IF(D15="","",INDEX('03_Base_Indice'!$K15:$U15,D15))</f>
        <v>-0.16468865696107571</v>
      </c>
      <c r="AC15">
        <f>IF(E15="","",INDEX('03_Base_Indice'!$K15:$U15,E15))</f>
        <v>-0.5066975436161556</v>
      </c>
      <c r="AD15">
        <f>IF(F15="","",INDEX('03_Base_Indice'!$K15:$U15,F15))</f>
        <v>-1.05523414494337</v>
      </c>
      <c r="AE15">
        <f>IF(G15="","",INDEX('03_Base_Indice'!$K15:$U15,G15))</f>
        <v>-5.2734912830000704</v>
      </c>
      <c r="AF15">
        <f>IF(H15="","",INDEX('03_Base_Indice'!$K15:$U15,H15))</f>
        <v>1.0905836994481459</v>
      </c>
      <c r="AG15">
        <f>IF(I15="","",INDEX('03_Base_Indice'!$K15:$U15,I15))</f>
        <v>3.5574920667566658</v>
      </c>
      <c r="AH15">
        <f>IF(J15="","",INDEX('03_Base_Indice'!$K15:$U15,J15))</f>
        <v>1.3201658708103139</v>
      </c>
      <c r="AI15">
        <f>IF(K15="","",INDEX('03_Base_Indice'!$K15:$U15,K15))</f>
        <v>4.9526786042595603</v>
      </c>
      <c r="AJ15">
        <f>IF(L15="","",INDEX('03_Base_Indice'!$K15:$U15,L15))</f>
        <v>3.133535424500081</v>
      </c>
      <c r="AL15">
        <f>IF(N15="","",INDEX('03_Base_Indice'!$K15:$U15,N15))</f>
        <v>0.76317771091500197</v>
      </c>
      <c r="AM15">
        <f>IF(O15="","",INDEX('03_Base_Indice'!$K15:$U15,O15))</f>
        <v>-0.2330769548052842</v>
      </c>
      <c r="AN15">
        <f>IF(P15="","",INDEX('03_Base_Indice'!$K15:$U15,P15))</f>
        <v>-0.16468865696107571</v>
      </c>
      <c r="AO15">
        <f>IF(Q15="","",INDEX('03_Base_Indice'!$K15:$U15,Q15))</f>
        <v>-0.5066975436161556</v>
      </c>
      <c r="AP15">
        <f>IF(R15="","",INDEX('03_Base_Indice'!$K15:$U15,R15))</f>
        <v>-1.05523414494337</v>
      </c>
      <c r="AQ15">
        <f>IF(S15="","",INDEX('03_Base_Indice'!$K15:$U15,S15))</f>
        <v>-5.2734912830000704</v>
      </c>
      <c r="AR15">
        <f>IF(T15="","",INDEX('03_Base_Indice'!$K15:$U15,T15))</f>
        <v>1.0905836994481459</v>
      </c>
      <c r="AS15">
        <f>IF(U15="","",INDEX('03_Base_Indice'!$K15:$U15,U15))</f>
        <v>3.5574920667566658</v>
      </c>
      <c r="AT15">
        <f>IF(V15="","",INDEX('03_Base_Indice'!$K15:$U15,V15))</f>
        <v>1.3201658708103139</v>
      </c>
      <c r="AU15">
        <f>IF(W15="","",INDEX('03_Base_Indice'!$K15:$U15,W15))</f>
        <v>4.9526786042595603</v>
      </c>
      <c r="AV15">
        <f>IF(X15="","",INDEX('03_Base_Indice'!$K15:$U15,X15))</f>
        <v>3.133535424500081</v>
      </c>
      <c r="AX15">
        <f>IF('06_Normalizacao'!K15="",0,'06_Normalizacao'!K15)</f>
        <v>43.052710843660009</v>
      </c>
      <c r="AY15">
        <f>IF('06_Normalizacao'!L15="",0,'06_Normalizacao'!L15)</f>
        <v>39.067692180778863</v>
      </c>
      <c r="AZ15">
        <f>IF('06_Normalizacao'!M15="",0,'06_Normalizacao'!M15)</f>
        <v>39.341245372155697</v>
      </c>
      <c r="BA15">
        <f>IF('06_Normalizacao'!N15="",0,'06_Normalizacao'!N15)</f>
        <v>37.973209825535378</v>
      </c>
      <c r="BB15">
        <f>IF('06_Normalizacao'!O15="",0,'06_Normalizacao'!O15)</f>
        <v>35.779063420226521</v>
      </c>
      <c r="BC15">
        <f>IF('06_Normalizacao'!P15="",0,'06_Normalizacao'!P15)</f>
        <v>18.906034867999718</v>
      </c>
      <c r="BD15">
        <f>IF('06_Normalizacao'!Q15="",0,'06_Normalizacao'!Q15)</f>
        <v>44.362334797792585</v>
      </c>
      <c r="BE15">
        <f>IF('06_Normalizacao'!R15="",0,'06_Normalizacao'!R15)</f>
        <v>54.229968267026663</v>
      </c>
      <c r="BF15">
        <f>IF('06_Normalizacao'!S15="",0,'06_Normalizacao'!S15)</f>
        <v>45.280663483241263</v>
      </c>
      <c r="BG15">
        <f>IF('06_Normalizacao'!T15="",0,'06_Normalizacao'!T15)</f>
        <v>59.810714417038241</v>
      </c>
      <c r="BH15">
        <f>IF('06_Normalizacao'!U15="",0,'06_Normalizacao'!U15)</f>
        <v>52.534141698000333</v>
      </c>
      <c r="BJ15">
        <f>IF('06_Normalizacao'!K15="",0,1)</f>
        <v>1</v>
      </c>
      <c r="BK15">
        <f>IF('06_Normalizacao'!L15="",0,1)</f>
        <v>1</v>
      </c>
      <c r="BL15">
        <f>IF('06_Normalizacao'!M15="",0,1)</f>
        <v>1</v>
      </c>
      <c r="BM15">
        <f>IF('06_Normalizacao'!N15="",0,1)</f>
        <v>1</v>
      </c>
      <c r="BN15">
        <f>IF('06_Normalizacao'!O15="",0,1)</f>
        <v>1</v>
      </c>
      <c r="BO15">
        <f>IF('06_Normalizacao'!P15="",0,1)</f>
        <v>1</v>
      </c>
      <c r="BP15">
        <f>IF('06_Normalizacao'!Q15="",0,1)</f>
        <v>1</v>
      </c>
      <c r="BQ15">
        <f>IF('06_Normalizacao'!R15="",0,1)</f>
        <v>1</v>
      </c>
      <c r="BR15">
        <f>IF('06_Normalizacao'!S15="",0,1)</f>
        <v>1</v>
      </c>
      <c r="BS15">
        <f>IF('06_Normalizacao'!T15="",0,1)</f>
        <v>1</v>
      </c>
      <c r="BT15">
        <f>IF('06_Normalizacao'!U15="",0,1)</f>
        <v>1</v>
      </c>
    </row>
    <row r="16" spans="1:72">
      <c r="A16" s="6" t="str">
        <f>'03_Base_Indice'!D16</f>
        <v>MAC002</v>
      </c>
      <c r="B16">
        <f>IFERROR(LOOKUP(2,1/ISNUMBER('03_Base_Indice'!$K16:K16),COLUMN('03_Base_Indice'!$K16:K16)-COLUMN('03_Base_Indice'!$K16)+1),"")</f>
        <v>1</v>
      </c>
      <c r="C16">
        <f>IFERROR(LOOKUP(2,1/ISNUMBER('03_Base_Indice'!$K16:L16),COLUMN('03_Base_Indice'!$K16:L16)-COLUMN('03_Base_Indice'!$K16)+1),"")</f>
        <v>2</v>
      </c>
      <c r="D16">
        <f>IFERROR(LOOKUP(2,1/ISNUMBER('03_Base_Indice'!$K16:M16),COLUMN('03_Base_Indice'!$K16:M16)-COLUMN('03_Base_Indice'!$K16)+1),"")</f>
        <v>3</v>
      </c>
      <c r="E16">
        <f>IFERROR(LOOKUP(2,1/ISNUMBER('03_Base_Indice'!$K16:N16),COLUMN('03_Base_Indice'!$K16:N16)-COLUMN('03_Base_Indice'!$K16)+1),"")</f>
        <v>4</v>
      </c>
      <c r="F16">
        <f>IFERROR(LOOKUP(2,1/ISNUMBER('03_Base_Indice'!$K16:O16),COLUMN('03_Base_Indice'!$K16:O16)-COLUMN('03_Base_Indice'!$K16)+1),"")</f>
        <v>5</v>
      </c>
      <c r="G16">
        <f>IFERROR(LOOKUP(2,1/ISNUMBER('03_Base_Indice'!$K16:P16),COLUMN('03_Base_Indice'!$K16:P16)-COLUMN('03_Base_Indice'!$K16)+1),"")</f>
        <v>6</v>
      </c>
      <c r="H16">
        <f>IFERROR(LOOKUP(2,1/ISNUMBER('03_Base_Indice'!$K16:Q16),COLUMN('03_Base_Indice'!$K16:Q16)-COLUMN('03_Base_Indice'!$K16)+1),"")</f>
        <v>7</v>
      </c>
      <c r="I16">
        <f>IFERROR(LOOKUP(2,1/ISNUMBER('03_Base_Indice'!$K16:R16),COLUMN('03_Base_Indice'!$K16:R16)-COLUMN('03_Base_Indice'!$K16)+1),"")</f>
        <v>8</v>
      </c>
      <c r="J16">
        <f>IFERROR(LOOKUP(2,1/ISNUMBER('03_Base_Indice'!$K16:S16),COLUMN('03_Base_Indice'!$K16:S16)-COLUMN('03_Base_Indice'!$K16)+1),"")</f>
        <v>9</v>
      </c>
      <c r="K16">
        <f>IFERROR(LOOKUP(2,1/ISNUMBER('03_Base_Indice'!$K16:T16),COLUMN('03_Base_Indice'!$K16:T16)-COLUMN('03_Base_Indice'!$K16)+1),"")</f>
        <v>10</v>
      </c>
      <c r="L16">
        <f>IFERROR(LOOKUP(2,1/ISNUMBER('03_Base_Indice'!$K16:U16),COLUMN('03_Base_Indice'!$K16:U16)-COLUMN('03_Base_Indice'!$K16)+1),"")</f>
        <v>11</v>
      </c>
      <c r="N16">
        <f>IFERROR(MATCH(TRUE,INDEX(ISNUMBER('03_Base_Indice'!K16:$U16),0),0)+0,"")</f>
        <v>1</v>
      </c>
      <c r="O16">
        <f>IFERROR(MATCH(TRUE,INDEX(ISNUMBER('03_Base_Indice'!L16:$U16),0),0)+1,"")</f>
        <v>2</v>
      </c>
      <c r="P16">
        <f>IFERROR(MATCH(TRUE,INDEX(ISNUMBER('03_Base_Indice'!M16:$U16),0),0)+2,"")</f>
        <v>3</v>
      </c>
      <c r="Q16">
        <f>IFERROR(MATCH(TRUE,INDEX(ISNUMBER('03_Base_Indice'!N16:$U16),0),0)+3,"")</f>
        <v>4</v>
      </c>
      <c r="R16">
        <f>IFERROR(MATCH(TRUE,INDEX(ISNUMBER('03_Base_Indice'!O16:$U16),0),0)+4,"")</f>
        <v>5</v>
      </c>
      <c r="S16">
        <f>IFERROR(MATCH(TRUE,INDEX(ISNUMBER('03_Base_Indice'!P16:$U16),0),0)+5,"")</f>
        <v>6</v>
      </c>
      <c r="T16">
        <f>IFERROR(MATCH(TRUE,INDEX(ISNUMBER('03_Base_Indice'!Q16:$U16),0),0)+6,"")</f>
        <v>7</v>
      </c>
      <c r="U16">
        <f>IFERROR(MATCH(TRUE,INDEX(ISNUMBER('03_Base_Indice'!R16:$U16),0),0)+7,"")</f>
        <v>8</v>
      </c>
      <c r="V16">
        <f>IFERROR(MATCH(TRUE,INDEX(ISNUMBER('03_Base_Indice'!S16:$U16),0),0)+8,"")</f>
        <v>9</v>
      </c>
      <c r="W16">
        <f>IFERROR(MATCH(TRUE,INDEX(ISNUMBER('03_Base_Indice'!T16:$U16),0),0)+9,"")</f>
        <v>10</v>
      </c>
      <c r="X16">
        <f>IFERROR(MATCH(TRUE,INDEX(ISNUMBER('03_Base_Indice'!U16:$U16),0),0)+10,"")</f>
        <v>11</v>
      </c>
      <c r="Z16">
        <f>IF(B16="","",INDEX('03_Base_Indice'!$K16:$U16,B16))</f>
        <v>3641.7289392025282</v>
      </c>
      <c r="AA16">
        <f>IF(C16="","",INDEX('03_Base_Indice'!$K16:$U16,C16))</f>
        <v>2082.3734359470459</v>
      </c>
      <c r="AB16">
        <f>IF(D16="","",INDEX('03_Base_Indice'!$K16:$U16,D16))</f>
        <v>2832.1499795051191</v>
      </c>
      <c r="AC16">
        <f>IF(E16="","",INDEX('03_Base_Indice'!$K16:$U16,E16))</f>
        <v>2891.8303237874661</v>
      </c>
      <c r="AD16">
        <f>IF(F16="","",INDEX('03_Base_Indice'!$K16:$U16,F16))</f>
        <v>2507.8680721364221</v>
      </c>
      <c r="AE16">
        <f>IF(G16="","",INDEX('03_Base_Indice'!$K16:$U16,G16))</f>
        <v>1749.179483848204</v>
      </c>
      <c r="AF16">
        <f>IF(H16="","",INDEX('03_Base_Indice'!$K16:$U16,H16))</f>
        <v>2266.9683486158378</v>
      </c>
      <c r="AG16">
        <f>IF(I16="","",INDEX('03_Base_Indice'!$K16:$U16,I16))</f>
        <v>3598.5366907734119</v>
      </c>
      <c r="AH16">
        <f>IF(J16="","",INDEX('03_Base_Indice'!$K16:$U16,J16))</f>
        <v>2885.5134913080642</v>
      </c>
      <c r="AI16">
        <f>IF(K16="","",INDEX('03_Base_Indice'!$K16:$U16,K16))</f>
        <v>2720.8190066971538</v>
      </c>
      <c r="AJ16">
        <f>IF(L16="","",INDEX('03_Base_Indice'!$K16:$U16,L16))</f>
        <v>3129.4766233106252</v>
      </c>
      <c r="AL16">
        <f>IF(N16="","",INDEX('03_Base_Indice'!$K16:$U16,N16))</f>
        <v>3641.7289392025282</v>
      </c>
      <c r="AM16">
        <f>IF(O16="","",INDEX('03_Base_Indice'!$K16:$U16,O16))</f>
        <v>2082.3734359470459</v>
      </c>
      <c r="AN16">
        <f>IF(P16="","",INDEX('03_Base_Indice'!$K16:$U16,P16))</f>
        <v>2832.1499795051191</v>
      </c>
      <c r="AO16">
        <f>IF(Q16="","",INDEX('03_Base_Indice'!$K16:$U16,Q16))</f>
        <v>2891.8303237874661</v>
      </c>
      <c r="AP16">
        <f>IF(R16="","",INDEX('03_Base_Indice'!$K16:$U16,R16))</f>
        <v>2507.8680721364221</v>
      </c>
      <c r="AQ16">
        <f>IF(S16="","",INDEX('03_Base_Indice'!$K16:$U16,S16))</f>
        <v>1749.179483848204</v>
      </c>
      <c r="AR16">
        <f>IF(T16="","",INDEX('03_Base_Indice'!$K16:$U16,T16))</f>
        <v>2266.9683486158378</v>
      </c>
      <c r="AS16">
        <f>IF(U16="","",INDEX('03_Base_Indice'!$K16:$U16,U16))</f>
        <v>3598.5366907734119</v>
      </c>
      <c r="AT16">
        <f>IF(V16="","",INDEX('03_Base_Indice'!$K16:$U16,V16))</f>
        <v>2885.5134913080642</v>
      </c>
      <c r="AU16">
        <f>IF(W16="","",INDEX('03_Base_Indice'!$K16:$U16,W16))</f>
        <v>2720.8190066971538</v>
      </c>
      <c r="AV16">
        <f>IF(X16="","",INDEX('03_Base_Indice'!$K16:$U16,X16))</f>
        <v>3129.4766233106252</v>
      </c>
      <c r="AX16">
        <f>IF('06_Normalizacao'!K16="",0,'06_Normalizacao'!K16)</f>
        <v>21.667096132431226</v>
      </c>
      <c r="AY16">
        <f>IF('06_Normalizacao'!L16="",0,'06_Normalizacao'!L16)</f>
        <v>10.912920247910661</v>
      </c>
      <c r="AZ16">
        <f>IF('06_Normalizacao'!M16="",0,'06_Normalizacao'!M16)</f>
        <v>16.083792962104269</v>
      </c>
      <c r="BA16">
        <f>IF('06_Normalizacao'!N16="",0,'06_Normalizacao'!N16)</f>
        <v>16.495381543361834</v>
      </c>
      <c r="BB16">
        <f>IF('06_Normalizacao'!O16="",0,'06_Normalizacao'!O16)</f>
        <v>13.847366014733947</v>
      </c>
      <c r="BC16">
        <f>IF('06_Normalizacao'!P16="",0,'06_Normalizacao'!P16)</f>
        <v>8.6150309230910622</v>
      </c>
      <c r="BD16">
        <f>IF('06_Normalizacao'!Q16="",0,'06_Normalizacao'!Q16)</f>
        <v>12.185988611143708</v>
      </c>
      <c r="BE16">
        <f>IF('06_Normalizacao'!R16="",0,'06_Normalizacao'!R16)</f>
        <v>21.369218557058016</v>
      </c>
      <c r="BF16">
        <f>IF('06_Normalizacao'!S16="",0,'06_Normalizacao'!S16)</f>
        <v>16.451817181434926</v>
      </c>
      <c r="BG16">
        <f>IF('06_Normalizacao'!T16="",0,'06_Normalizacao'!T16)</f>
        <v>15.315993149635542</v>
      </c>
      <c r="BH16">
        <f>IF('06_Normalizacao'!U16="",0,'06_Normalizacao'!U16)</f>
        <v>18.13432154007328</v>
      </c>
      <c r="BJ16">
        <f>IF('06_Normalizacao'!K16="",0,1)</f>
        <v>1</v>
      </c>
      <c r="BK16">
        <f>IF('06_Normalizacao'!L16="",0,1)</f>
        <v>1</v>
      </c>
      <c r="BL16">
        <f>IF('06_Normalizacao'!M16="",0,1)</f>
        <v>1</v>
      </c>
      <c r="BM16">
        <f>IF('06_Normalizacao'!N16="",0,1)</f>
        <v>1</v>
      </c>
      <c r="BN16">
        <f>IF('06_Normalizacao'!O16="",0,1)</f>
        <v>1</v>
      </c>
      <c r="BO16">
        <f>IF('06_Normalizacao'!P16="",0,1)</f>
        <v>1</v>
      </c>
      <c r="BP16">
        <f>IF('06_Normalizacao'!Q16="",0,1)</f>
        <v>1</v>
      </c>
      <c r="BQ16">
        <f>IF('06_Normalizacao'!R16="",0,1)</f>
        <v>1</v>
      </c>
      <c r="BR16">
        <f>IF('06_Normalizacao'!S16="",0,1)</f>
        <v>1</v>
      </c>
      <c r="BS16">
        <f>IF('06_Normalizacao'!T16="",0,1)</f>
        <v>1</v>
      </c>
      <c r="BT16">
        <f>IF('06_Normalizacao'!U16="",0,1)</f>
        <v>1</v>
      </c>
    </row>
    <row r="17" spans="1:72">
      <c r="A17" s="6" t="str">
        <f>'03_Base_Indice'!D17</f>
        <v>MAC003</v>
      </c>
      <c r="B17">
        <f>IFERROR(LOOKUP(2,1/ISNUMBER('03_Base_Indice'!$K17:K17),COLUMN('03_Base_Indice'!$K17:K17)-COLUMN('03_Base_Indice'!$K17)+1),"")</f>
        <v>1</v>
      </c>
      <c r="C17">
        <f>IFERROR(LOOKUP(2,1/ISNUMBER('03_Base_Indice'!$K17:L17),COLUMN('03_Base_Indice'!$K17:L17)-COLUMN('03_Base_Indice'!$K17)+1),"")</f>
        <v>2</v>
      </c>
      <c r="D17">
        <f>IFERROR(LOOKUP(2,1/ISNUMBER('03_Base_Indice'!$K17:M17),COLUMN('03_Base_Indice'!$K17:M17)-COLUMN('03_Base_Indice'!$K17)+1),"")</f>
        <v>3</v>
      </c>
      <c r="E17">
        <f>IFERROR(LOOKUP(2,1/ISNUMBER('03_Base_Indice'!$K17:N17),COLUMN('03_Base_Indice'!$K17:N17)-COLUMN('03_Base_Indice'!$K17)+1),"")</f>
        <v>4</v>
      </c>
      <c r="F17">
        <f>IFERROR(LOOKUP(2,1/ISNUMBER('03_Base_Indice'!$K17:O17),COLUMN('03_Base_Indice'!$K17:O17)-COLUMN('03_Base_Indice'!$K17)+1),"")</f>
        <v>5</v>
      </c>
      <c r="G17">
        <f>IFERROR(LOOKUP(2,1/ISNUMBER('03_Base_Indice'!$K17:P17),COLUMN('03_Base_Indice'!$K17:P17)-COLUMN('03_Base_Indice'!$K17)+1),"")</f>
        <v>6</v>
      </c>
      <c r="H17">
        <f>IFERROR(LOOKUP(2,1/ISNUMBER('03_Base_Indice'!$K17:Q17),COLUMN('03_Base_Indice'!$K17:Q17)-COLUMN('03_Base_Indice'!$K17)+1),"")</f>
        <v>7</v>
      </c>
      <c r="I17">
        <f>IFERROR(LOOKUP(2,1/ISNUMBER('03_Base_Indice'!$K17:R17),COLUMN('03_Base_Indice'!$K17:R17)-COLUMN('03_Base_Indice'!$K17)+1),"")</f>
        <v>8</v>
      </c>
      <c r="J17">
        <f>IFERROR(LOOKUP(2,1/ISNUMBER('03_Base_Indice'!$K17:S17),COLUMN('03_Base_Indice'!$K17:S17)-COLUMN('03_Base_Indice'!$K17)+1),"")</f>
        <v>9</v>
      </c>
      <c r="K17">
        <f>IFERROR(LOOKUP(2,1/ISNUMBER('03_Base_Indice'!$K17:T17),COLUMN('03_Base_Indice'!$K17:T17)-COLUMN('03_Base_Indice'!$K17)+1),"")</f>
        <v>10</v>
      </c>
      <c r="L17">
        <f>IFERROR(LOOKUP(2,1/ISNUMBER('03_Base_Indice'!$K17:U17),COLUMN('03_Base_Indice'!$K17:U17)-COLUMN('03_Base_Indice'!$K17)+1),"")</f>
        <v>11</v>
      </c>
      <c r="N17">
        <f>IFERROR(MATCH(TRUE,INDEX(ISNUMBER('03_Base_Indice'!K17:$U17),0),0)+0,"")</f>
        <v>1</v>
      </c>
      <c r="O17">
        <f>IFERROR(MATCH(TRUE,INDEX(ISNUMBER('03_Base_Indice'!L17:$U17),0),0)+1,"")</f>
        <v>2</v>
      </c>
      <c r="P17">
        <f>IFERROR(MATCH(TRUE,INDEX(ISNUMBER('03_Base_Indice'!M17:$U17),0),0)+2,"")</f>
        <v>3</v>
      </c>
      <c r="Q17">
        <f>IFERROR(MATCH(TRUE,INDEX(ISNUMBER('03_Base_Indice'!N17:$U17),0),0)+3,"")</f>
        <v>4</v>
      </c>
      <c r="R17">
        <f>IFERROR(MATCH(TRUE,INDEX(ISNUMBER('03_Base_Indice'!O17:$U17),0),0)+4,"")</f>
        <v>5</v>
      </c>
      <c r="S17">
        <f>IFERROR(MATCH(TRUE,INDEX(ISNUMBER('03_Base_Indice'!P17:$U17),0),0)+5,"")</f>
        <v>6</v>
      </c>
      <c r="T17">
        <f>IFERROR(MATCH(TRUE,INDEX(ISNUMBER('03_Base_Indice'!Q17:$U17),0),0)+6,"")</f>
        <v>7</v>
      </c>
      <c r="U17">
        <f>IFERROR(MATCH(TRUE,INDEX(ISNUMBER('03_Base_Indice'!R17:$U17),0),0)+7,"")</f>
        <v>8</v>
      </c>
      <c r="V17">
        <f>IFERROR(MATCH(TRUE,INDEX(ISNUMBER('03_Base_Indice'!S17:$U17),0),0)+8,"")</f>
        <v>9</v>
      </c>
      <c r="W17">
        <f>IFERROR(MATCH(TRUE,INDEX(ISNUMBER('03_Base_Indice'!T17:$U17),0),0)+9,"")</f>
        <v>10</v>
      </c>
      <c r="X17">
        <f>IFERROR(MATCH(TRUE,INDEX(ISNUMBER('03_Base_Indice'!U17:$U17),0),0)+10,"")</f>
        <v>11</v>
      </c>
      <c r="Z17">
        <f>IF(B17="","",INDEX('03_Base_Indice'!$K17:$U17,B17))</f>
        <v>9.3559721553378399</v>
      </c>
      <c r="AA17">
        <f>IF(C17="","",INDEX('03_Base_Indice'!$K17:$U17,C17))</f>
        <v>30.694415080671909</v>
      </c>
      <c r="AB17">
        <f>IF(D17="","",INDEX('03_Base_Indice'!$K17:$U17,D17))</f>
        <v>29.844479901567929</v>
      </c>
      <c r="AC17">
        <f>IF(E17="","",INDEX('03_Base_Indice'!$K17:$U17,E17))</f>
        <v>19.62893797015208</v>
      </c>
      <c r="AD17">
        <f>IF(F17="","",INDEX('03_Base_Indice'!$K17:$U17,F17))</f>
        <v>17.080954143438031</v>
      </c>
      <c r="AE17">
        <f>IF(G17="","",INDEX('03_Base_Indice'!$K17:$U17,G17))</f>
        <v>22.271539247050971</v>
      </c>
      <c r="AF17">
        <f>IF(H17="","",INDEX('03_Base_Indice'!$K17:$U17,H17))</f>
        <v>25.754294884189061</v>
      </c>
      <c r="AG17">
        <f>IF(I17="","",INDEX('03_Base_Indice'!$K17:$U17,I17))</f>
        <v>21.355290132082221</v>
      </c>
      <c r="AH17">
        <f>IF(J17="","",INDEX('03_Base_Indice'!$K17:$U17,J17))</f>
        <v>13.64410177677148</v>
      </c>
      <c r="AI17">
        <f>IF(K17="","",INDEX('03_Base_Indice'!$K17:$U17,K17))</f>
        <v>28.240494891577239</v>
      </c>
      <c r="AJ17">
        <f>IF(L17="","",INDEX('03_Base_Indice'!$K17:$U17,L17))</f>
        <v>20.162019757233121</v>
      </c>
      <c r="AL17">
        <f>IF(N17="","",INDEX('03_Base_Indice'!$K17:$U17,N17))</f>
        <v>9.3559721553378399</v>
      </c>
      <c r="AM17">
        <f>IF(O17="","",INDEX('03_Base_Indice'!$K17:$U17,O17))</f>
        <v>30.694415080671909</v>
      </c>
      <c r="AN17">
        <f>IF(P17="","",INDEX('03_Base_Indice'!$K17:$U17,P17))</f>
        <v>29.844479901567929</v>
      </c>
      <c r="AO17">
        <f>IF(Q17="","",INDEX('03_Base_Indice'!$K17:$U17,Q17))</f>
        <v>19.62893797015208</v>
      </c>
      <c r="AP17">
        <f>IF(R17="","",INDEX('03_Base_Indice'!$K17:$U17,R17))</f>
        <v>17.080954143438031</v>
      </c>
      <c r="AQ17">
        <f>IF(S17="","",INDEX('03_Base_Indice'!$K17:$U17,S17))</f>
        <v>22.271539247050971</v>
      </c>
      <c r="AR17">
        <f>IF(T17="","",INDEX('03_Base_Indice'!$K17:$U17,T17))</f>
        <v>25.754294884189061</v>
      </c>
      <c r="AS17">
        <f>IF(U17="","",INDEX('03_Base_Indice'!$K17:$U17,U17))</f>
        <v>21.355290132082221</v>
      </c>
      <c r="AT17">
        <f>IF(V17="","",INDEX('03_Base_Indice'!$K17:$U17,V17))</f>
        <v>13.64410177677148</v>
      </c>
      <c r="AU17">
        <f>IF(W17="","",INDEX('03_Base_Indice'!$K17:$U17,W17))</f>
        <v>28.240494891577239</v>
      </c>
      <c r="AV17">
        <f>IF(X17="","",INDEX('03_Base_Indice'!$K17:$U17,X17))</f>
        <v>20.162019757233121</v>
      </c>
      <c r="AX17">
        <f>IF('06_Normalizacao'!K17="",0,'06_Normalizacao'!K17)</f>
        <v>81.288055689324324</v>
      </c>
      <c r="AY17">
        <f>IF('06_Normalizacao'!L17="",0,'06_Normalizacao'!L17)</f>
        <v>38.611169838656181</v>
      </c>
      <c r="AZ17">
        <f>IF('06_Normalizacao'!M17="",0,'06_Normalizacao'!M17)</f>
        <v>40.311040196864141</v>
      </c>
      <c r="BA17">
        <f>IF('06_Normalizacao'!N17="",0,'06_Normalizacao'!N17)</f>
        <v>60.74212405969584</v>
      </c>
      <c r="BB17">
        <f>IF('06_Normalizacao'!O17="",0,'06_Normalizacao'!O17)</f>
        <v>65.83809171312393</v>
      </c>
      <c r="BC17">
        <f>IF('06_Normalizacao'!P17="",0,'06_Normalizacao'!P17)</f>
        <v>55.456921505898066</v>
      </c>
      <c r="BD17">
        <f>IF('06_Normalizacao'!Q17="",0,'06_Normalizacao'!Q17)</f>
        <v>48.491410231621877</v>
      </c>
      <c r="BE17">
        <f>IF('06_Normalizacao'!R17="",0,'06_Normalizacao'!R17)</f>
        <v>57.289419735835551</v>
      </c>
      <c r="BF17">
        <f>IF('06_Normalizacao'!S17="",0,'06_Normalizacao'!S17)</f>
        <v>72.711796446457043</v>
      </c>
      <c r="BG17">
        <f>IF('06_Normalizacao'!T17="",0,'06_Normalizacao'!T17)</f>
        <v>43.51901021684553</v>
      </c>
      <c r="BH17">
        <f>IF('06_Normalizacao'!U17="",0,'06_Normalizacao'!U17)</f>
        <v>59.675960485533757</v>
      </c>
      <c r="BJ17">
        <f>IF('06_Normalizacao'!K17="",0,1)</f>
        <v>1</v>
      </c>
      <c r="BK17">
        <f>IF('06_Normalizacao'!L17="",0,1)</f>
        <v>1</v>
      </c>
      <c r="BL17">
        <f>IF('06_Normalizacao'!M17="",0,1)</f>
        <v>1</v>
      </c>
      <c r="BM17">
        <f>IF('06_Normalizacao'!N17="",0,1)</f>
        <v>1</v>
      </c>
      <c r="BN17">
        <f>IF('06_Normalizacao'!O17="",0,1)</f>
        <v>1</v>
      </c>
      <c r="BO17">
        <f>IF('06_Normalizacao'!P17="",0,1)</f>
        <v>1</v>
      </c>
      <c r="BP17">
        <f>IF('06_Normalizacao'!Q17="",0,1)</f>
        <v>1</v>
      </c>
      <c r="BQ17">
        <f>IF('06_Normalizacao'!R17="",0,1)</f>
        <v>1</v>
      </c>
      <c r="BR17">
        <f>IF('06_Normalizacao'!S17="",0,1)</f>
        <v>1</v>
      </c>
      <c r="BS17">
        <f>IF('06_Normalizacao'!T17="",0,1)</f>
        <v>1</v>
      </c>
      <c r="BT17">
        <f>IF('06_Normalizacao'!U17="",0,1)</f>
        <v>1</v>
      </c>
    </row>
    <row r="18" spans="1:72">
      <c r="A18" s="6" t="str">
        <f>'03_Base_Indice'!D18</f>
        <v>MAC004</v>
      </c>
      <c r="B18">
        <f>IFERROR(LOOKUP(2,1/ISNUMBER('03_Base_Indice'!$K18:K18),COLUMN('03_Base_Indice'!$K18:K18)-COLUMN('03_Base_Indice'!$K18)+1),"")</f>
        <v>1</v>
      </c>
      <c r="C18">
        <f>IFERROR(LOOKUP(2,1/ISNUMBER('03_Base_Indice'!$K18:L18),COLUMN('03_Base_Indice'!$K18:L18)-COLUMN('03_Base_Indice'!$K18)+1),"")</f>
        <v>2</v>
      </c>
      <c r="D18">
        <f>IFERROR(LOOKUP(2,1/ISNUMBER('03_Base_Indice'!$K18:M18),COLUMN('03_Base_Indice'!$K18:M18)-COLUMN('03_Base_Indice'!$K18)+1),"")</f>
        <v>3</v>
      </c>
      <c r="E18">
        <f>IFERROR(LOOKUP(2,1/ISNUMBER('03_Base_Indice'!$K18:N18),COLUMN('03_Base_Indice'!$K18:N18)-COLUMN('03_Base_Indice'!$K18)+1),"")</f>
        <v>4</v>
      </c>
      <c r="F18">
        <f>IFERROR(LOOKUP(2,1/ISNUMBER('03_Base_Indice'!$K18:O18),COLUMN('03_Base_Indice'!$K18:O18)-COLUMN('03_Base_Indice'!$K18)+1),"")</f>
        <v>5</v>
      </c>
      <c r="G18">
        <f>IFERROR(LOOKUP(2,1/ISNUMBER('03_Base_Indice'!$K18:P18),COLUMN('03_Base_Indice'!$K18:P18)-COLUMN('03_Base_Indice'!$K18)+1),"")</f>
        <v>6</v>
      </c>
      <c r="H18">
        <f>IFERROR(LOOKUP(2,1/ISNUMBER('03_Base_Indice'!$K18:Q18),COLUMN('03_Base_Indice'!$K18:Q18)-COLUMN('03_Base_Indice'!$K18)+1),"")</f>
        <v>7</v>
      </c>
      <c r="I18">
        <f>IFERROR(LOOKUP(2,1/ISNUMBER('03_Base_Indice'!$K18:R18),COLUMN('03_Base_Indice'!$K18:R18)-COLUMN('03_Base_Indice'!$K18)+1),"")</f>
        <v>8</v>
      </c>
      <c r="J18">
        <f>IFERROR(LOOKUP(2,1/ISNUMBER('03_Base_Indice'!$K18:S18),COLUMN('03_Base_Indice'!$K18:S18)-COLUMN('03_Base_Indice'!$K18)+1),"")</f>
        <v>9</v>
      </c>
      <c r="K18">
        <f>IFERROR(LOOKUP(2,1/ISNUMBER('03_Base_Indice'!$K18:T18),COLUMN('03_Base_Indice'!$K18:T18)-COLUMN('03_Base_Indice'!$K18)+1),"")</f>
        <v>10</v>
      </c>
      <c r="L18">
        <f>IFERROR(LOOKUP(2,1/ISNUMBER('03_Base_Indice'!$K18:U18),COLUMN('03_Base_Indice'!$K18:U18)-COLUMN('03_Base_Indice'!$K18)+1),"")</f>
        <v>11</v>
      </c>
      <c r="N18">
        <f>IFERROR(MATCH(TRUE,INDEX(ISNUMBER('03_Base_Indice'!K18:$U18),0),0)+0,"")</f>
        <v>1</v>
      </c>
      <c r="O18">
        <f>IFERROR(MATCH(TRUE,INDEX(ISNUMBER('03_Base_Indice'!L18:$U18),0),0)+1,"")</f>
        <v>2</v>
      </c>
      <c r="P18">
        <f>IFERROR(MATCH(TRUE,INDEX(ISNUMBER('03_Base_Indice'!M18:$U18),0),0)+2,"")</f>
        <v>3</v>
      </c>
      <c r="Q18">
        <f>IFERROR(MATCH(TRUE,INDEX(ISNUMBER('03_Base_Indice'!N18:$U18),0),0)+3,"")</f>
        <v>4</v>
      </c>
      <c r="R18">
        <f>IFERROR(MATCH(TRUE,INDEX(ISNUMBER('03_Base_Indice'!O18:$U18),0),0)+4,"")</f>
        <v>5</v>
      </c>
      <c r="S18">
        <f>IFERROR(MATCH(TRUE,INDEX(ISNUMBER('03_Base_Indice'!P18:$U18),0),0)+5,"")</f>
        <v>6</v>
      </c>
      <c r="T18">
        <f>IFERROR(MATCH(TRUE,INDEX(ISNUMBER('03_Base_Indice'!Q18:$U18),0),0)+6,"")</f>
        <v>7</v>
      </c>
      <c r="U18">
        <f>IFERROR(MATCH(TRUE,INDEX(ISNUMBER('03_Base_Indice'!R18:$U18),0),0)+7,"")</f>
        <v>8</v>
      </c>
      <c r="V18">
        <f>IFERROR(MATCH(TRUE,INDEX(ISNUMBER('03_Base_Indice'!S18:$U18),0),0)+8,"")</f>
        <v>9</v>
      </c>
      <c r="W18">
        <f>IFERROR(MATCH(TRUE,INDEX(ISNUMBER('03_Base_Indice'!T18:$U18),0),0)+9,"")</f>
        <v>10</v>
      </c>
      <c r="X18">
        <f>IFERROR(MATCH(TRUE,INDEX(ISNUMBER('03_Base_Indice'!U18:$U18),0),0)+10,"")</f>
        <v>11</v>
      </c>
      <c r="Z18">
        <f>IF(B18="","",INDEX('03_Base_Indice'!$K18:$U18,B18))</f>
        <v>50</v>
      </c>
      <c r="AA18">
        <f>IF(C18="","",INDEX('03_Base_Indice'!$K18:$U18,C18))</f>
        <v>67</v>
      </c>
      <c r="AB18">
        <f>IF(D18="","",INDEX('03_Base_Indice'!$K18:$U18,D18))</f>
        <v>60</v>
      </c>
      <c r="AC18">
        <f>IF(E18="","",INDEX('03_Base_Indice'!$K18:$U18,E18))</f>
        <v>83</v>
      </c>
      <c r="AD18">
        <f>IF(F18="","",INDEX('03_Base_Indice'!$K18:$U18,F18))</f>
        <v>101</v>
      </c>
      <c r="AE18">
        <f>IF(G18="","",INDEX('03_Base_Indice'!$K18:$U18,G18))</f>
        <v>119</v>
      </c>
      <c r="AF18">
        <f>IF(H18="","",INDEX('03_Base_Indice'!$K18:$U18,H18))</f>
        <v>74</v>
      </c>
      <c r="AG18">
        <f>IF(I18="","",INDEX('03_Base_Indice'!$K18:$U18,I18))</f>
        <v>56</v>
      </c>
      <c r="AH18">
        <f>IF(J18="","",INDEX('03_Base_Indice'!$K18:$U18,J18))</f>
        <v>72</v>
      </c>
      <c r="AI18">
        <f>IF(K18="","",INDEX('03_Base_Indice'!$K18:$U18,K18))</f>
        <v>60</v>
      </c>
      <c r="AJ18">
        <f>IF(L18="","",INDEX('03_Base_Indice'!$K18:$U18,L18))</f>
        <v>63</v>
      </c>
      <c r="AL18">
        <f>IF(N18="","",INDEX('03_Base_Indice'!$K18:$U18,N18))</f>
        <v>50</v>
      </c>
      <c r="AM18">
        <f>IF(O18="","",INDEX('03_Base_Indice'!$K18:$U18,O18))</f>
        <v>67</v>
      </c>
      <c r="AN18">
        <f>IF(P18="","",INDEX('03_Base_Indice'!$K18:$U18,P18))</f>
        <v>60</v>
      </c>
      <c r="AO18">
        <f>IF(Q18="","",INDEX('03_Base_Indice'!$K18:$U18,Q18))</f>
        <v>83</v>
      </c>
      <c r="AP18">
        <f>IF(R18="","",INDEX('03_Base_Indice'!$K18:$U18,R18))</f>
        <v>101</v>
      </c>
      <c r="AQ18">
        <f>IF(S18="","",INDEX('03_Base_Indice'!$K18:$U18,S18))</f>
        <v>119</v>
      </c>
      <c r="AR18">
        <f>IF(T18="","",INDEX('03_Base_Indice'!$K18:$U18,T18))</f>
        <v>74</v>
      </c>
      <c r="AS18">
        <f>IF(U18="","",INDEX('03_Base_Indice'!$K18:$U18,U18))</f>
        <v>56</v>
      </c>
      <c r="AT18">
        <f>IF(V18="","",INDEX('03_Base_Indice'!$K18:$U18,V18))</f>
        <v>72</v>
      </c>
      <c r="AU18">
        <f>IF(W18="","",INDEX('03_Base_Indice'!$K18:$U18,W18))</f>
        <v>60</v>
      </c>
      <c r="AV18">
        <f>IF(X18="","",INDEX('03_Base_Indice'!$K18:$U18,X18))</f>
        <v>63</v>
      </c>
      <c r="AX18">
        <f>IF('06_Normalizacao'!K18="",0,'06_Normalizacao'!K18)</f>
        <v>66.666666666666671</v>
      </c>
      <c r="AY18">
        <f>IF('06_Normalizacao'!L18="",0,'06_Normalizacao'!L18)</f>
        <v>55.333333333333336</v>
      </c>
      <c r="AZ18">
        <f>IF('06_Normalizacao'!M18="",0,'06_Normalizacao'!M18)</f>
        <v>60</v>
      </c>
      <c r="BA18">
        <f>IF('06_Normalizacao'!N18="",0,'06_Normalizacao'!N18)</f>
        <v>44.666666666666664</v>
      </c>
      <c r="BB18">
        <f>IF('06_Normalizacao'!O18="",0,'06_Normalizacao'!O18)</f>
        <v>32.666666666666664</v>
      </c>
      <c r="BC18">
        <f>IF('06_Normalizacao'!P18="",0,'06_Normalizacao'!P18)</f>
        <v>20.666666666666668</v>
      </c>
      <c r="BD18">
        <f>IF('06_Normalizacao'!Q18="",0,'06_Normalizacao'!Q18)</f>
        <v>50.666666666666664</v>
      </c>
      <c r="BE18">
        <f>IF('06_Normalizacao'!R18="",0,'06_Normalizacao'!R18)</f>
        <v>62.666666666666664</v>
      </c>
      <c r="BF18">
        <f>IF('06_Normalizacao'!S18="",0,'06_Normalizacao'!S18)</f>
        <v>52</v>
      </c>
      <c r="BG18">
        <f>IF('06_Normalizacao'!T18="",0,'06_Normalizacao'!T18)</f>
        <v>60</v>
      </c>
      <c r="BH18">
        <f>IF('06_Normalizacao'!U18="",0,'06_Normalizacao'!U18)</f>
        <v>58</v>
      </c>
      <c r="BJ18">
        <f>IF('06_Normalizacao'!K18="",0,1)</f>
        <v>1</v>
      </c>
      <c r="BK18">
        <f>IF('06_Normalizacao'!L18="",0,1)</f>
        <v>1</v>
      </c>
      <c r="BL18">
        <f>IF('06_Normalizacao'!M18="",0,1)</f>
        <v>1</v>
      </c>
      <c r="BM18">
        <f>IF('06_Normalizacao'!N18="",0,1)</f>
        <v>1</v>
      </c>
      <c r="BN18">
        <f>IF('06_Normalizacao'!O18="",0,1)</f>
        <v>1</v>
      </c>
      <c r="BO18">
        <f>IF('06_Normalizacao'!P18="",0,1)</f>
        <v>1</v>
      </c>
      <c r="BP18">
        <f>IF('06_Normalizacao'!Q18="",0,1)</f>
        <v>1</v>
      </c>
      <c r="BQ18">
        <f>IF('06_Normalizacao'!R18="",0,1)</f>
        <v>1</v>
      </c>
      <c r="BR18">
        <f>IF('06_Normalizacao'!S18="",0,1)</f>
        <v>1</v>
      </c>
      <c r="BS18">
        <f>IF('06_Normalizacao'!T18="",0,1)</f>
        <v>1</v>
      </c>
      <c r="BT18">
        <f>IF('06_Normalizacao'!U18="",0,1)</f>
        <v>1</v>
      </c>
    </row>
    <row r="19" spans="1:72">
      <c r="A19" s="6" t="str">
        <f>'03_Base_Indice'!D19</f>
        <v>MAC005</v>
      </c>
      <c r="B19">
        <f>IFERROR(LOOKUP(2,1/ISNUMBER('03_Base_Indice'!$K19:K19),COLUMN('03_Base_Indice'!$K19:K19)-COLUMN('03_Base_Indice'!$K19)+1),"")</f>
        <v>1</v>
      </c>
      <c r="C19">
        <f>IFERROR(LOOKUP(2,1/ISNUMBER('03_Base_Indice'!$K19:L19),COLUMN('03_Base_Indice'!$K19:L19)-COLUMN('03_Base_Indice'!$K19)+1),"")</f>
        <v>2</v>
      </c>
      <c r="D19">
        <f>IFERROR(LOOKUP(2,1/ISNUMBER('03_Base_Indice'!$K19:M19),COLUMN('03_Base_Indice'!$K19:M19)-COLUMN('03_Base_Indice'!$K19)+1),"")</f>
        <v>3</v>
      </c>
      <c r="E19">
        <f>IFERROR(LOOKUP(2,1/ISNUMBER('03_Base_Indice'!$K19:N19),COLUMN('03_Base_Indice'!$K19:N19)-COLUMN('03_Base_Indice'!$K19)+1),"")</f>
        <v>4</v>
      </c>
      <c r="F19">
        <f>IFERROR(LOOKUP(2,1/ISNUMBER('03_Base_Indice'!$K19:O19),COLUMN('03_Base_Indice'!$K19:O19)-COLUMN('03_Base_Indice'!$K19)+1),"")</f>
        <v>5</v>
      </c>
      <c r="G19">
        <f>IFERROR(LOOKUP(2,1/ISNUMBER('03_Base_Indice'!$K19:P19),COLUMN('03_Base_Indice'!$K19:P19)-COLUMN('03_Base_Indice'!$K19)+1),"")</f>
        <v>6</v>
      </c>
      <c r="H19">
        <f>IFERROR(LOOKUP(2,1/ISNUMBER('03_Base_Indice'!$K19:Q19),COLUMN('03_Base_Indice'!$K19:Q19)-COLUMN('03_Base_Indice'!$K19)+1),"")</f>
        <v>7</v>
      </c>
      <c r="I19">
        <f>IFERROR(LOOKUP(2,1/ISNUMBER('03_Base_Indice'!$K19:R19),COLUMN('03_Base_Indice'!$K19:R19)-COLUMN('03_Base_Indice'!$K19)+1),"")</f>
        <v>8</v>
      </c>
      <c r="J19">
        <f>IFERROR(LOOKUP(2,1/ISNUMBER('03_Base_Indice'!$K19:S19),COLUMN('03_Base_Indice'!$K19:S19)-COLUMN('03_Base_Indice'!$K19)+1),"")</f>
        <v>9</v>
      </c>
      <c r="K19">
        <f>IFERROR(LOOKUP(2,1/ISNUMBER('03_Base_Indice'!$K19:T19),COLUMN('03_Base_Indice'!$K19:T19)-COLUMN('03_Base_Indice'!$K19)+1),"")</f>
        <v>10</v>
      </c>
      <c r="L19">
        <f>IFERROR(LOOKUP(2,1/ISNUMBER('03_Base_Indice'!$K19:U19),COLUMN('03_Base_Indice'!$K19:U19)-COLUMN('03_Base_Indice'!$K19)+1),"")</f>
        <v>11</v>
      </c>
      <c r="N19">
        <f>IFERROR(MATCH(TRUE,INDEX(ISNUMBER('03_Base_Indice'!K19:$U19),0),0)+0,"")</f>
        <v>1</v>
      </c>
      <c r="O19">
        <f>IFERROR(MATCH(TRUE,INDEX(ISNUMBER('03_Base_Indice'!L19:$U19),0),0)+1,"")</f>
        <v>2</v>
      </c>
      <c r="P19">
        <f>IFERROR(MATCH(TRUE,INDEX(ISNUMBER('03_Base_Indice'!M19:$U19),0),0)+2,"")</f>
        <v>3</v>
      </c>
      <c r="Q19">
        <f>IFERROR(MATCH(TRUE,INDEX(ISNUMBER('03_Base_Indice'!N19:$U19),0),0)+3,"")</f>
        <v>4</v>
      </c>
      <c r="R19">
        <f>IFERROR(MATCH(TRUE,INDEX(ISNUMBER('03_Base_Indice'!O19:$U19),0),0)+4,"")</f>
        <v>5</v>
      </c>
      <c r="S19">
        <f>IFERROR(MATCH(TRUE,INDEX(ISNUMBER('03_Base_Indice'!P19:$U19),0),0)+5,"")</f>
        <v>6</v>
      </c>
      <c r="T19">
        <f>IFERROR(MATCH(TRUE,INDEX(ISNUMBER('03_Base_Indice'!Q19:$U19),0),0)+6,"")</f>
        <v>7</v>
      </c>
      <c r="U19">
        <f>IFERROR(MATCH(TRUE,INDEX(ISNUMBER('03_Base_Indice'!R19:$U19),0),0)+7,"")</f>
        <v>8</v>
      </c>
      <c r="V19">
        <f>IFERROR(MATCH(TRUE,INDEX(ISNUMBER('03_Base_Indice'!S19:$U19),0),0)+8,"")</f>
        <v>9</v>
      </c>
      <c r="W19">
        <f>IFERROR(MATCH(TRUE,INDEX(ISNUMBER('03_Base_Indice'!T19:$U19),0),0)+9,"")</f>
        <v>10</v>
      </c>
      <c r="X19">
        <f>IFERROR(MATCH(TRUE,INDEX(ISNUMBER('03_Base_Indice'!U19:$U19),0),0)+10,"")</f>
        <v>11</v>
      </c>
      <c r="Z19">
        <f>IF(B19="","",INDEX('03_Base_Indice'!$K19:$U19,B19))</f>
        <v>-2</v>
      </c>
      <c r="AA19">
        <f>IF(C19="","",INDEX('03_Base_Indice'!$K19:$U19,C19))</f>
        <v>-3</v>
      </c>
      <c r="AB19">
        <f>IF(D19="","",INDEX('03_Base_Indice'!$K19:$U19,D19))</f>
        <v>1.5</v>
      </c>
      <c r="AC19">
        <f>IF(E19="","",INDEX('03_Base_Indice'!$K19:$U19,E19))</f>
        <v>-0.5</v>
      </c>
      <c r="AD19">
        <f>IF(F19="","",INDEX('03_Base_Indice'!$K19:$U19,F19))</f>
        <v>0.5</v>
      </c>
      <c r="AE19">
        <f>IF(G19="","",INDEX('03_Base_Indice'!$K19:$U19,G19))</f>
        <v>-5</v>
      </c>
      <c r="AF19">
        <f>IF(H19="","",INDEX('03_Base_Indice'!$K19:$U19,H19))</f>
        <v>1.5</v>
      </c>
      <c r="AG19">
        <f>IF(I19="","",INDEX('03_Base_Indice'!$K19:$U19,I19))</f>
        <v>0.7</v>
      </c>
      <c r="AH19">
        <f>IF(J19="","",INDEX('03_Base_Indice'!$K19:$U19,J19))</f>
        <v>-1.9</v>
      </c>
      <c r="AI19">
        <f>IF(K19="","",INDEX('03_Base_Indice'!$K19:$U19,K19))</f>
        <v>-1.5</v>
      </c>
      <c r="AJ19">
        <f>IF(L19="","",INDEX('03_Base_Indice'!$K19:$U19,L19))</f>
        <v>-1.65</v>
      </c>
      <c r="AL19">
        <f>IF(N19="","",INDEX('03_Base_Indice'!$K19:$U19,N19))</f>
        <v>-2</v>
      </c>
      <c r="AM19">
        <f>IF(O19="","",INDEX('03_Base_Indice'!$K19:$U19,O19))</f>
        <v>-3</v>
      </c>
      <c r="AN19">
        <f>IF(P19="","",INDEX('03_Base_Indice'!$K19:$U19,P19))</f>
        <v>1.5</v>
      </c>
      <c r="AO19">
        <f>IF(Q19="","",INDEX('03_Base_Indice'!$K19:$U19,Q19))</f>
        <v>-0.5</v>
      </c>
      <c r="AP19">
        <f>IF(R19="","",INDEX('03_Base_Indice'!$K19:$U19,R19))</f>
        <v>0.5</v>
      </c>
      <c r="AQ19">
        <f>IF(S19="","",INDEX('03_Base_Indice'!$K19:$U19,S19))</f>
        <v>-5</v>
      </c>
      <c r="AR19">
        <f>IF(T19="","",INDEX('03_Base_Indice'!$K19:$U19,T19))</f>
        <v>1.5</v>
      </c>
      <c r="AS19">
        <f>IF(U19="","",INDEX('03_Base_Indice'!$K19:$U19,U19))</f>
        <v>0.7</v>
      </c>
      <c r="AT19">
        <f>IF(V19="","",INDEX('03_Base_Indice'!$K19:$U19,V19))</f>
        <v>-1.9</v>
      </c>
      <c r="AU19">
        <f>IF(W19="","",INDEX('03_Base_Indice'!$K19:$U19,W19))</f>
        <v>-1.5</v>
      </c>
      <c r="AV19">
        <f>IF(X19="","",INDEX('03_Base_Indice'!$K19:$U19,X19))</f>
        <v>-1.65</v>
      </c>
      <c r="AX19">
        <f>IF('06_Normalizacao'!K19="",0,'06_Normalizacao'!K19)</f>
        <v>52</v>
      </c>
      <c r="AY19">
        <f>IF('06_Normalizacao'!L19="",0,'06_Normalizacao'!L19)</f>
        <v>48</v>
      </c>
      <c r="AZ19">
        <f>IF('06_Normalizacao'!M19="",0,'06_Normalizacao'!M19)</f>
        <v>66</v>
      </c>
      <c r="BA19">
        <f>IF('06_Normalizacao'!N19="",0,'06_Normalizacao'!N19)</f>
        <v>58</v>
      </c>
      <c r="BB19">
        <f>IF('06_Normalizacao'!O19="",0,'06_Normalizacao'!O19)</f>
        <v>62</v>
      </c>
      <c r="BC19">
        <f>IF('06_Normalizacao'!P19="",0,'06_Normalizacao'!P19)</f>
        <v>40</v>
      </c>
      <c r="BD19">
        <f>IF('06_Normalizacao'!Q19="",0,'06_Normalizacao'!Q19)</f>
        <v>66</v>
      </c>
      <c r="BE19">
        <f>IF('06_Normalizacao'!R19="",0,'06_Normalizacao'!R19)</f>
        <v>62.8</v>
      </c>
      <c r="BF19">
        <f>IF('06_Normalizacao'!S19="",0,'06_Normalizacao'!S19)</f>
        <v>52.4</v>
      </c>
      <c r="BG19">
        <f>IF('06_Normalizacao'!T19="",0,'06_Normalizacao'!T19)</f>
        <v>54</v>
      </c>
      <c r="BH19">
        <f>IF('06_Normalizacao'!U19="",0,'06_Normalizacao'!U19)</f>
        <v>53.4</v>
      </c>
      <c r="BJ19">
        <f>IF('06_Normalizacao'!K19="",0,1)</f>
        <v>1</v>
      </c>
      <c r="BK19">
        <f>IF('06_Normalizacao'!L19="",0,1)</f>
        <v>1</v>
      </c>
      <c r="BL19">
        <f>IF('06_Normalizacao'!M19="",0,1)</f>
        <v>1</v>
      </c>
      <c r="BM19">
        <f>IF('06_Normalizacao'!N19="",0,1)</f>
        <v>1</v>
      </c>
      <c r="BN19">
        <f>IF('06_Normalizacao'!O19="",0,1)</f>
        <v>1</v>
      </c>
      <c r="BO19">
        <f>IF('06_Normalizacao'!P19="",0,1)</f>
        <v>1</v>
      </c>
      <c r="BP19">
        <f>IF('06_Normalizacao'!Q19="",0,1)</f>
        <v>1</v>
      </c>
      <c r="BQ19">
        <f>IF('06_Normalizacao'!R19="",0,1)</f>
        <v>1</v>
      </c>
      <c r="BR19">
        <f>IF('06_Normalizacao'!S19="",0,1)</f>
        <v>1</v>
      </c>
      <c r="BS19">
        <f>IF('06_Normalizacao'!T19="",0,1)</f>
        <v>1</v>
      </c>
      <c r="BT19">
        <f>IF('06_Normalizacao'!U19="",0,1)</f>
        <v>1</v>
      </c>
    </row>
    <row r="20" spans="1:72">
      <c r="A20" s="6" t="str">
        <f>'03_Base_Indice'!D20</f>
        <v>MAC007</v>
      </c>
      <c r="B20">
        <f>IFERROR(LOOKUP(2,1/ISNUMBER('03_Base_Indice'!$K20:K20),COLUMN('03_Base_Indice'!$K20:K20)-COLUMN('03_Base_Indice'!$K20)+1),"")</f>
        <v>1</v>
      </c>
      <c r="C20">
        <f>IFERROR(LOOKUP(2,1/ISNUMBER('03_Base_Indice'!$K20:L20),COLUMN('03_Base_Indice'!$K20:L20)-COLUMN('03_Base_Indice'!$K20)+1),"")</f>
        <v>2</v>
      </c>
      <c r="D20">
        <f>IFERROR(LOOKUP(2,1/ISNUMBER('03_Base_Indice'!$K20:M20),COLUMN('03_Base_Indice'!$K20:M20)-COLUMN('03_Base_Indice'!$K20)+1),"")</f>
        <v>3</v>
      </c>
      <c r="E20">
        <f>IFERROR(LOOKUP(2,1/ISNUMBER('03_Base_Indice'!$K20:N20),COLUMN('03_Base_Indice'!$K20:N20)-COLUMN('03_Base_Indice'!$K20)+1),"")</f>
        <v>4</v>
      </c>
      <c r="F20">
        <f>IFERROR(LOOKUP(2,1/ISNUMBER('03_Base_Indice'!$K20:O20),COLUMN('03_Base_Indice'!$K20:O20)-COLUMN('03_Base_Indice'!$K20)+1),"")</f>
        <v>5</v>
      </c>
      <c r="G20">
        <f>IFERROR(LOOKUP(2,1/ISNUMBER('03_Base_Indice'!$K20:P20),COLUMN('03_Base_Indice'!$K20:P20)-COLUMN('03_Base_Indice'!$K20)+1),"")</f>
        <v>6</v>
      </c>
      <c r="H20">
        <f>IFERROR(LOOKUP(2,1/ISNUMBER('03_Base_Indice'!$K20:Q20),COLUMN('03_Base_Indice'!$K20:Q20)-COLUMN('03_Base_Indice'!$K20)+1),"")</f>
        <v>7</v>
      </c>
      <c r="I20">
        <f>IFERROR(LOOKUP(2,1/ISNUMBER('03_Base_Indice'!$K20:R20),COLUMN('03_Base_Indice'!$K20:R20)-COLUMN('03_Base_Indice'!$K20)+1),"")</f>
        <v>8</v>
      </c>
      <c r="J20">
        <f>IFERROR(LOOKUP(2,1/ISNUMBER('03_Base_Indice'!$K20:S20),COLUMN('03_Base_Indice'!$K20:S20)-COLUMN('03_Base_Indice'!$K20)+1),"")</f>
        <v>9</v>
      </c>
      <c r="K20">
        <f>IFERROR(LOOKUP(2,1/ISNUMBER('03_Base_Indice'!$K20:T20),COLUMN('03_Base_Indice'!$K20:T20)-COLUMN('03_Base_Indice'!$K20)+1),"")</f>
        <v>10</v>
      </c>
      <c r="L20">
        <f>IFERROR(LOOKUP(2,1/ISNUMBER('03_Base_Indice'!$K20:U20),COLUMN('03_Base_Indice'!$K20:U20)-COLUMN('03_Base_Indice'!$K20)+1),"")</f>
        <v>11</v>
      </c>
      <c r="N20">
        <f>IFERROR(MATCH(TRUE,INDEX(ISNUMBER('03_Base_Indice'!K20:$U20),0),0)+0,"")</f>
        <v>1</v>
      </c>
      <c r="O20">
        <f>IFERROR(MATCH(TRUE,INDEX(ISNUMBER('03_Base_Indice'!L20:$U20),0),0)+1,"")</f>
        <v>2</v>
      </c>
      <c r="P20">
        <f>IFERROR(MATCH(TRUE,INDEX(ISNUMBER('03_Base_Indice'!M20:$U20),0),0)+2,"")</f>
        <v>3</v>
      </c>
      <c r="Q20">
        <f>IFERROR(MATCH(TRUE,INDEX(ISNUMBER('03_Base_Indice'!N20:$U20),0),0)+3,"")</f>
        <v>4</v>
      </c>
      <c r="R20">
        <f>IFERROR(MATCH(TRUE,INDEX(ISNUMBER('03_Base_Indice'!O20:$U20),0),0)+4,"")</f>
        <v>5</v>
      </c>
      <c r="S20">
        <f>IFERROR(MATCH(TRUE,INDEX(ISNUMBER('03_Base_Indice'!P20:$U20),0),0)+5,"")</f>
        <v>6</v>
      </c>
      <c r="T20">
        <f>IFERROR(MATCH(TRUE,INDEX(ISNUMBER('03_Base_Indice'!Q20:$U20),0),0)+6,"")</f>
        <v>7</v>
      </c>
      <c r="U20">
        <f>IFERROR(MATCH(TRUE,INDEX(ISNUMBER('03_Base_Indice'!R20:$U20),0),0)+7,"")</f>
        <v>8</v>
      </c>
      <c r="V20">
        <f>IFERROR(MATCH(TRUE,INDEX(ISNUMBER('03_Base_Indice'!S20:$U20),0),0)+8,"")</f>
        <v>9</v>
      </c>
      <c r="W20">
        <f>IFERROR(MATCH(TRUE,INDEX(ISNUMBER('03_Base_Indice'!T20:$U20),0),0)+9,"")</f>
        <v>10</v>
      </c>
      <c r="X20">
        <f>IFERROR(MATCH(TRUE,INDEX(ISNUMBER('03_Base_Indice'!U20:$U20),0),0)+10,"")</f>
        <v>11</v>
      </c>
      <c r="Z20">
        <f>IF(B20="","",INDEX('03_Base_Indice'!$K20:$U20,B20))</f>
        <v>6.4820456906484099</v>
      </c>
      <c r="AA20">
        <f>IF(C20="","",INDEX('03_Base_Indice'!$K20:$U20,C20))</f>
        <v>9.0838712049007402</v>
      </c>
      <c r="AB20">
        <f>IF(D20="","",INDEX('03_Base_Indice'!$K20:$U20,D20))</f>
        <v>5.8181869184485802</v>
      </c>
      <c r="AC20">
        <f>IF(E20="","",INDEX('03_Base_Indice'!$K20:$U20,E20))</f>
        <v>5.4126401540864002</v>
      </c>
      <c r="AD20">
        <f>IF(F20="","",INDEX('03_Base_Indice'!$K20:$U20,F20))</f>
        <v>6.4250942899666397</v>
      </c>
      <c r="AE20">
        <f>IF(G20="","",INDEX('03_Base_Indice'!$K20:$U20,G20))</f>
        <v>8.0261477231075897</v>
      </c>
      <c r="AF20">
        <f>IF(H20="","",INDEX('03_Base_Indice'!$K20:$U20,H20))</f>
        <v>6.9491541464897404</v>
      </c>
      <c r="AG20">
        <f>IF(I20="","",INDEX('03_Base_Indice'!$K20:$U20,I20))</f>
        <v>4.3768328674862804</v>
      </c>
      <c r="AH20">
        <f>IF(J20="","",INDEX('03_Base_Indice'!$K20:$U20,J20))</f>
        <v>5.0892711356043199</v>
      </c>
      <c r="AI20">
        <f>IF(K20="","",INDEX('03_Base_Indice'!$K20:$U20,K20))</f>
        <v>5.5137491057931198</v>
      </c>
      <c r="AJ20">
        <f>IF(L20="","",INDEX('03_Base_Indice'!$K20:$U20,L20))</f>
        <v>5.3228022877449641</v>
      </c>
      <c r="AL20">
        <f>IF(N20="","",INDEX('03_Base_Indice'!$K20:$U20,N20))</f>
        <v>6.4820456906484099</v>
      </c>
      <c r="AM20">
        <f>IF(O20="","",INDEX('03_Base_Indice'!$K20:$U20,O20))</f>
        <v>9.0838712049007402</v>
      </c>
      <c r="AN20">
        <f>IF(P20="","",INDEX('03_Base_Indice'!$K20:$U20,P20))</f>
        <v>5.8181869184485802</v>
      </c>
      <c r="AO20">
        <f>IF(Q20="","",INDEX('03_Base_Indice'!$K20:$U20,Q20))</f>
        <v>5.4126401540864002</v>
      </c>
      <c r="AP20">
        <f>IF(R20="","",INDEX('03_Base_Indice'!$K20:$U20,R20))</f>
        <v>6.4250942899666397</v>
      </c>
      <c r="AQ20">
        <f>IF(S20="","",INDEX('03_Base_Indice'!$K20:$U20,S20))</f>
        <v>8.0261477231075897</v>
      </c>
      <c r="AR20">
        <f>IF(T20="","",INDEX('03_Base_Indice'!$K20:$U20,T20))</f>
        <v>6.9491541464897404</v>
      </c>
      <c r="AS20">
        <f>IF(U20="","",INDEX('03_Base_Indice'!$K20:$U20,U20))</f>
        <v>4.3768328674862804</v>
      </c>
      <c r="AT20">
        <f>IF(V20="","",INDEX('03_Base_Indice'!$K20:$U20,V20))</f>
        <v>5.0892711356043199</v>
      </c>
      <c r="AU20">
        <f>IF(W20="","",INDEX('03_Base_Indice'!$K20:$U20,W20))</f>
        <v>5.5137491057931198</v>
      </c>
      <c r="AV20">
        <f>IF(X20="","",INDEX('03_Base_Indice'!$K20:$U20,X20))</f>
        <v>5.3228022877449641</v>
      </c>
      <c r="AX20">
        <f>IF('06_Normalizacao'!K20="",0,'06_Normalizacao'!K20)</f>
        <v>54.017047422070078</v>
      </c>
      <c r="AY20">
        <f>IF('06_Normalizacao'!L20="",0,'06_Normalizacao'!L20)</f>
        <v>75.698926707506175</v>
      </c>
      <c r="AZ20">
        <f>IF('06_Normalizacao'!M20="",0,'06_Normalizacao'!M20)</f>
        <v>48.484890987071502</v>
      </c>
      <c r="BA20">
        <f>IF('06_Normalizacao'!N20="",0,'06_Normalizacao'!N20)</f>
        <v>45.105334617386667</v>
      </c>
      <c r="BB20">
        <f>IF('06_Normalizacao'!O20="",0,'06_Normalizacao'!O20)</f>
        <v>53.542452416388663</v>
      </c>
      <c r="BC20">
        <f>IF('06_Normalizacao'!P20="",0,'06_Normalizacao'!P20)</f>
        <v>66.884564359229913</v>
      </c>
      <c r="BD20">
        <f>IF('06_Normalizacao'!Q20="",0,'06_Normalizacao'!Q20)</f>
        <v>57.909617887414505</v>
      </c>
      <c r="BE20">
        <f>IF('06_Normalizacao'!R20="",0,'06_Normalizacao'!R20)</f>
        <v>36.473607229052341</v>
      </c>
      <c r="BF20">
        <f>IF('06_Normalizacao'!S20="",0,'06_Normalizacao'!S20)</f>
        <v>42.410592796702666</v>
      </c>
      <c r="BG20">
        <f>IF('06_Normalizacao'!T20="",0,'06_Normalizacao'!T20)</f>
        <v>45.947909214942662</v>
      </c>
      <c r="BH20">
        <f>IF('06_Normalizacao'!U20="",0,'06_Normalizacao'!U20)</f>
        <v>44.356685731208039</v>
      </c>
      <c r="BJ20">
        <f>IF('06_Normalizacao'!K20="",0,1)</f>
        <v>1</v>
      </c>
      <c r="BK20">
        <f>IF('06_Normalizacao'!L20="",0,1)</f>
        <v>1</v>
      </c>
      <c r="BL20">
        <f>IF('06_Normalizacao'!M20="",0,1)</f>
        <v>1</v>
      </c>
      <c r="BM20">
        <f>IF('06_Normalizacao'!N20="",0,1)</f>
        <v>1</v>
      </c>
      <c r="BN20">
        <f>IF('06_Normalizacao'!O20="",0,1)</f>
        <v>1</v>
      </c>
      <c r="BO20">
        <f>IF('06_Normalizacao'!P20="",0,1)</f>
        <v>1</v>
      </c>
      <c r="BP20">
        <f>IF('06_Normalizacao'!Q20="",0,1)</f>
        <v>1</v>
      </c>
      <c r="BQ20">
        <f>IF('06_Normalizacao'!R20="",0,1)</f>
        <v>1</v>
      </c>
      <c r="BR20">
        <f>IF('06_Normalizacao'!S20="",0,1)</f>
        <v>1</v>
      </c>
      <c r="BS20">
        <f>IF('06_Normalizacao'!T20="",0,1)</f>
        <v>1</v>
      </c>
      <c r="BT20">
        <f>IF('06_Normalizacao'!U20="",0,1)</f>
        <v>1</v>
      </c>
    </row>
    <row r="21" spans="1:72">
      <c r="A21" s="6" t="str">
        <f>'03_Base_Indice'!D21</f>
        <v>MAC014</v>
      </c>
      <c r="B21">
        <f>IFERROR(LOOKUP(2,1/ISNUMBER('03_Base_Indice'!$K21:K21),COLUMN('03_Base_Indice'!$K21:K21)-COLUMN('03_Base_Indice'!$K21)+1),"")</f>
        <v>1</v>
      </c>
      <c r="C21">
        <f>IFERROR(LOOKUP(2,1/ISNUMBER('03_Base_Indice'!$K21:L21),COLUMN('03_Base_Indice'!$K21:L21)-COLUMN('03_Base_Indice'!$K21)+1),"")</f>
        <v>2</v>
      </c>
      <c r="D21">
        <f>IFERROR(LOOKUP(2,1/ISNUMBER('03_Base_Indice'!$K21:M21),COLUMN('03_Base_Indice'!$K21:M21)-COLUMN('03_Base_Indice'!$K21)+1),"")</f>
        <v>3</v>
      </c>
      <c r="E21">
        <f>IFERROR(LOOKUP(2,1/ISNUMBER('03_Base_Indice'!$K21:N21),COLUMN('03_Base_Indice'!$K21:N21)-COLUMN('03_Base_Indice'!$K21)+1),"")</f>
        <v>4</v>
      </c>
      <c r="F21">
        <f>IFERROR(LOOKUP(2,1/ISNUMBER('03_Base_Indice'!$K21:O21),COLUMN('03_Base_Indice'!$K21:O21)-COLUMN('03_Base_Indice'!$K21)+1),"")</f>
        <v>5</v>
      </c>
      <c r="G21">
        <f>IFERROR(LOOKUP(2,1/ISNUMBER('03_Base_Indice'!$K21:P21),COLUMN('03_Base_Indice'!$K21:P21)-COLUMN('03_Base_Indice'!$K21)+1),"")</f>
        <v>6</v>
      </c>
      <c r="H21">
        <f>IFERROR(LOOKUP(2,1/ISNUMBER('03_Base_Indice'!$K21:Q21),COLUMN('03_Base_Indice'!$K21:Q21)-COLUMN('03_Base_Indice'!$K21)+1),"")</f>
        <v>7</v>
      </c>
      <c r="I21">
        <f>IFERROR(LOOKUP(2,1/ISNUMBER('03_Base_Indice'!$K21:R21),COLUMN('03_Base_Indice'!$K21:R21)-COLUMN('03_Base_Indice'!$K21)+1),"")</f>
        <v>8</v>
      </c>
      <c r="J21">
        <f>IFERROR(LOOKUP(2,1/ISNUMBER('03_Base_Indice'!$K21:S21),COLUMN('03_Base_Indice'!$K21:S21)-COLUMN('03_Base_Indice'!$K21)+1),"")</f>
        <v>9</v>
      </c>
      <c r="K21">
        <f>IFERROR(LOOKUP(2,1/ISNUMBER('03_Base_Indice'!$K21:T21),COLUMN('03_Base_Indice'!$K21:T21)-COLUMN('03_Base_Indice'!$K21)+1),"")</f>
        <v>10</v>
      </c>
      <c r="L21">
        <f>IFERROR(LOOKUP(2,1/ISNUMBER('03_Base_Indice'!$K21:U21),COLUMN('03_Base_Indice'!$K21:U21)-COLUMN('03_Base_Indice'!$K21)+1),"")</f>
        <v>11</v>
      </c>
      <c r="N21">
        <f>IFERROR(MATCH(TRUE,INDEX(ISNUMBER('03_Base_Indice'!K21:$U21),0),0)+0,"")</f>
        <v>1</v>
      </c>
      <c r="O21">
        <f>IFERROR(MATCH(TRUE,INDEX(ISNUMBER('03_Base_Indice'!L21:$U21),0),0)+1,"")</f>
        <v>2</v>
      </c>
      <c r="P21">
        <f>IFERROR(MATCH(TRUE,INDEX(ISNUMBER('03_Base_Indice'!M21:$U21),0),0)+2,"")</f>
        <v>3</v>
      </c>
      <c r="Q21">
        <f>IFERROR(MATCH(TRUE,INDEX(ISNUMBER('03_Base_Indice'!N21:$U21),0),0)+3,"")</f>
        <v>4</v>
      </c>
      <c r="R21">
        <f>IFERROR(MATCH(TRUE,INDEX(ISNUMBER('03_Base_Indice'!O21:$U21),0),0)+4,"")</f>
        <v>5</v>
      </c>
      <c r="S21">
        <f>IFERROR(MATCH(TRUE,INDEX(ISNUMBER('03_Base_Indice'!P21:$U21),0),0)+5,"")</f>
        <v>6</v>
      </c>
      <c r="T21">
        <f>IFERROR(MATCH(TRUE,INDEX(ISNUMBER('03_Base_Indice'!Q21:$U21),0),0)+6,"")</f>
        <v>7</v>
      </c>
      <c r="U21">
        <f>IFERROR(MATCH(TRUE,INDEX(ISNUMBER('03_Base_Indice'!R21:$U21),0),0)+7,"")</f>
        <v>8</v>
      </c>
      <c r="V21">
        <f>IFERROR(MATCH(TRUE,INDEX(ISNUMBER('03_Base_Indice'!S21:$U21),0),0)+8,"")</f>
        <v>9</v>
      </c>
      <c r="W21">
        <f>IFERROR(MATCH(TRUE,INDEX(ISNUMBER('03_Base_Indice'!T21:$U21),0),0)+9,"")</f>
        <v>10</v>
      </c>
      <c r="X21">
        <f>IFERROR(MATCH(TRUE,INDEX(ISNUMBER('03_Base_Indice'!U21:$U21),0),0)+10,"")</f>
        <v>11</v>
      </c>
      <c r="Z21">
        <f>IF(B21="","",INDEX('03_Base_Indice'!$K21:$U21,B21))</f>
        <v>-3.6888000000000001</v>
      </c>
      <c r="AA21">
        <f>IF(C21="","",INDEX('03_Base_Indice'!$K21:$U21,C21))</f>
        <v>0.92749999999999999</v>
      </c>
      <c r="AB21">
        <f>IF(D21="","",INDEX('03_Base_Indice'!$K21:$U21,D21))</f>
        <v>3.9201000000000001</v>
      </c>
      <c r="AC21">
        <f>IF(E21="","",INDEX('03_Base_Indice'!$K21:$U21,E21))</f>
        <v>3.1939000000000002</v>
      </c>
      <c r="AD21">
        <f>IF(F21="","",INDEX('03_Base_Indice'!$K21:$U21,F21))</f>
        <v>1.2479</v>
      </c>
      <c r="AE21">
        <f>IF(G21="","",INDEX('03_Base_Indice'!$K21:$U21,G21))</f>
        <v>-4.7728000000000002</v>
      </c>
      <c r="AF21">
        <f>IF(H21="","",INDEX('03_Base_Indice'!$K21:$U21,H21))</f>
        <v>5.3132999999999999</v>
      </c>
      <c r="AG21">
        <f>IF(I21="","",INDEX('03_Base_Indice'!$K21:$U21,I21))</f>
        <v>3.1457000000000002</v>
      </c>
      <c r="AH21">
        <f>IF(J21="","",INDEX('03_Base_Indice'!$K21:$U21,J21))</f>
        <v>2.3972000000000002</v>
      </c>
      <c r="AI21">
        <f>IF(K21="","",INDEX('03_Base_Indice'!$K21:$U21,K21))</f>
        <v>5.3951000000000002</v>
      </c>
      <c r="AJ21">
        <f>IF(L21="","",INDEX('03_Base_Indice'!$K21:$U21,L21))</f>
        <v>5.3792999999999997</v>
      </c>
      <c r="AL21">
        <f>IF(N21="","",INDEX('03_Base_Indice'!$K21:$U21,N21))</f>
        <v>-3.6888000000000001</v>
      </c>
      <c r="AM21">
        <f>IF(O21="","",INDEX('03_Base_Indice'!$K21:$U21,O21))</f>
        <v>0.92749999999999999</v>
      </c>
      <c r="AN21">
        <f>IF(P21="","",INDEX('03_Base_Indice'!$K21:$U21,P21))</f>
        <v>3.9201000000000001</v>
      </c>
      <c r="AO21">
        <f>IF(Q21="","",INDEX('03_Base_Indice'!$K21:$U21,Q21))</f>
        <v>3.1939000000000002</v>
      </c>
      <c r="AP21">
        <f>IF(R21="","",INDEX('03_Base_Indice'!$K21:$U21,R21))</f>
        <v>1.2479</v>
      </c>
      <c r="AQ21">
        <f>IF(S21="","",INDEX('03_Base_Indice'!$K21:$U21,S21))</f>
        <v>-4.7728000000000002</v>
      </c>
      <c r="AR21">
        <f>IF(T21="","",INDEX('03_Base_Indice'!$K21:$U21,T21))</f>
        <v>5.3132999999999999</v>
      </c>
      <c r="AS21">
        <f>IF(U21="","",INDEX('03_Base_Indice'!$K21:$U21,U21))</f>
        <v>3.1457000000000002</v>
      </c>
      <c r="AT21">
        <f>IF(V21="","",INDEX('03_Base_Indice'!$K21:$U21,V21))</f>
        <v>2.3972000000000002</v>
      </c>
      <c r="AU21">
        <f>IF(W21="","",INDEX('03_Base_Indice'!$K21:$U21,W21))</f>
        <v>5.3951000000000002</v>
      </c>
      <c r="AV21">
        <f>IF(X21="","",INDEX('03_Base_Indice'!$K21:$U21,X21))</f>
        <v>5.3792999999999997</v>
      </c>
      <c r="AX21">
        <f>IF('06_Normalizacao'!K21="",0,'06_Normalizacao'!K21)</f>
        <v>25.244799999999994</v>
      </c>
      <c r="AY21">
        <f>IF('06_Normalizacao'!L21="",0,'06_Normalizacao'!L21)</f>
        <v>43.71</v>
      </c>
      <c r="AZ21">
        <f>IF('06_Normalizacao'!M21="",0,'06_Normalizacao'!M21)</f>
        <v>55.680399999999999</v>
      </c>
      <c r="BA21">
        <f>IF('06_Normalizacao'!N21="",0,'06_Normalizacao'!N21)</f>
        <v>52.775599999999997</v>
      </c>
      <c r="BB21">
        <f>IF('06_Normalizacao'!O21="",0,'06_Normalizacao'!O21)</f>
        <v>44.991599999999998</v>
      </c>
      <c r="BC21">
        <f>IF('06_Normalizacao'!P21="",0,'06_Normalizacao'!P21)</f>
        <v>20.908799999999999</v>
      </c>
      <c r="BD21">
        <f>IF('06_Normalizacao'!Q21="",0,'06_Normalizacao'!Q21)</f>
        <v>61.2532</v>
      </c>
      <c r="BE21">
        <f>IF('06_Normalizacao'!R21="",0,'06_Normalizacao'!R21)</f>
        <v>52.582799999999999</v>
      </c>
      <c r="BF21">
        <f>IF('06_Normalizacao'!S21="",0,'06_Normalizacao'!S21)</f>
        <v>49.588799999999999</v>
      </c>
      <c r="BG21">
        <f>IF('06_Normalizacao'!T21="",0,'06_Normalizacao'!T21)</f>
        <v>61.580399999999997</v>
      </c>
      <c r="BH21">
        <f>IF('06_Normalizacao'!U21="",0,'06_Normalizacao'!U21)</f>
        <v>61.517200000000003</v>
      </c>
      <c r="BJ21">
        <f>IF('06_Normalizacao'!K21="",0,1)</f>
        <v>1</v>
      </c>
      <c r="BK21">
        <f>IF('06_Normalizacao'!L21="",0,1)</f>
        <v>1</v>
      </c>
      <c r="BL21">
        <f>IF('06_Normalizacao'!M21="",0,1)</f>
        <v>1</v>
      </c>
      <c r="BM21">
        <f>IF('06_Normalizacao'!N21="",0,1)</f>
        <v>1</v>
      </c>
      <c r="BN21">
        <f>IF('06_Normalizacao'!O21="",0,1)</f>
        <v>1</v>
      </c>
      <c r="BO21">
        <f>IF('06_Normalizacao'!P21="",0,1)</f>
        <v>1</v>
      </c>
      <c r="BP21">
        <f>IF('06_Normalizacao'!Q21="",0,1)</f>
        <v>1</v>
      </c>
      <c r="BQ21">
        <f>IF('06_Normalizacao'!R21="",0,1)</f>
        <v>1</v>
      </c>
      <c r="BR21">
        <f>IF('06_Normalizacao'!S21="",0,1)</f>
        <v>1</v>
      </c>
      <c r="BS21">
        <f>IF('06_Normalizacao'!T21="",0,1)</f>
        <v>1</v>
      </c>
      <c r="BT21">
        <f>IF('06_Normalizacao'!U21="",0,1)</f>
        <v>1</v>
      </c>
    </row>
    <row r="22" spans="1:72">
      <c r="A22" s="6" t="str">
        <f>'03_Base_Indice'!D22</f>
        <v/>
      </c>
      <c r="B22" t="str">
        <f>IFERROR(LOOKUP(2,1/ISNUMBER('03_Base_Indice'!$K22:K22),COLUMN('03_Base_Indice'!$K22:K22)-COLUMN('03_Base_Indice'!$K22)+1),"")</f>
        <v/>
      </c>
      <c r="C22" t="str">
        <f>IFERROR(LOOKUP(2,1/ISNUMBER('03_Base_Indice'!$K22:L22),COLUMN('03_Base_Indice'!$K22:L22)-COLUMN('03_Base_Indice'!$K22)+1),"")</f>
        <v/>
      </c>
      <c r="D22" t="str">
        <f>IFERROR(LOOKUP(2,1/ISNUMBER('03_Base_Indice'!$K22:M22),COLUMN('03_Base_Indice'!$K22:M22)-COLUMN('03_Base_Indice'!$K22)+1),"")</f>
        <v/>
      </c>
      <c r="E22" t="str">
        <f>IFERROR(LOOKUP(2,1/ISNUMBER('03_Base_Indice'!$K22:N22),COLUMN('03_Base_Indice'!$K22:N22)-COLUMN('03_Base_Indice'!$K22)+1),"")</f>
        <v/>
      </c>
      <c r="F22" t="str">
        <f>IFERROR(LOOKUP(2,1/ISNUMBER('03_Base_Indice'!$K22:O22),COLUMN('03_Base_Indice'!$K22:O22)-COLUMN('03_Base_Indice'!$K22)+1),"")</f>
        <v/>
      </c>
      <c r="G22" t="str">
        <f>IFERROR(LOOKUP(2,1/ISNUMBER('03_Base_Indice'!$K22:P22),COLUMN('03_Base_Indice'!$K22:P22)-COLUMN('03_Base_Indice'!$K22)+1),"")</f>
        <v/>
      </c>
      <c r="H22" t="str">
        <f>IFERROR(LOOKUP(2,1/ISNUMBER('03_Base_Indice'!$K22:Q22),COLUMN('03_Base_Indice'!$K22:Q22)-COLUMN('03_Base_Indice'!$K22)+1),"")</f>
        <v/>
      </c>
      <c r="I22" t="str">
        <f>IFERROR(LOOKUP(2,1/ISNUMBER('03_Base_Indice'!$K22:R22),COLUMN('03_Base_Indice'!$K22:R22)-COLUMN('03_Base_Indice'!$K22)+1),"")</f>
        <v/>
      </c>
      <c r="J22" t="str">
        <f>IFERROR(LOOKUP(2,1/ISNUMBER('03_Base_Indice'!$K22:S22),COLUMN('03_Base_Indice'!$K22:S22)-COLUMN('03_Base_Indice'!$K22)+1),"")</f>
        <v/>
      </c>
      <c r="K22" t="str">
        <f>IFERROR(LOOKUP(2,1/ISNUMBER('03_Base_Indice'!$K22:T22),COLUMN('03_Base_Indice'!$K22:T22)-COLUMN('03_Base_Indice'!$K22)+1),"")</f>
        <v/>
      </c>
      <c r="L22" t="str">
        <f>IFERROR(LOOKUP(2,1/ISNUMBER('03_Base_Indice'!$K22:U22),COLUMN('03_Base_Indice'!$K22:U22)-COLUMN('03_Base_Indice'!$K22)+1),"")</f>
        <v/>
      </c>
      <c r="N22" t="str">
        <f>IFERROR(MATCH(TRUE,INDEX(ISNUMBER('03_Base_Indice'!K22:$U22),0),0)+0,"")</f>
        <v/>
      </c>
      <c r="O22" t="str">
        <f>IFERROR(MATCH(TRUE,INDEX(ISNUMBER('03_Base_Indice'!L22:$U22),0),0)+1,"")</f>
        <v/>
      </c>
      <c r="P22" t="str">
        <f>IFERROR(MATCH(TRUE,INDEX(ISNUMBER('03_Base_Indice'!M22:$U22),0),0)+2,"")</f>
        <v/>
      </c>
      <c r="Q22" t="str">
        <f>IFERROR(MATCH(TRUE,INDEX(ISNUMBER('03_Base_Indice'!N22:$U22),0),0)+3,"")</f>
        <v/>
      </c>
      <c r="R22" t="str">
        <f>IFERROR(MATCH(TRUE,INDEX(ISNUMBER('03_Base_Indice'!O22:$U22),0),0)+4,"")</f>
        <v/>
      </c>
      <c r="S22" t="str">
        <f>IFERROR(MATCH(TRUE,INDEX(ISNUMBER('03_Base_Indice'!P22:$U22),0),0)+5,"")</f>
        <v/>
      </c>
      <c r="T22" t="str">
        <f>IFERROR(MATCH(TRUE,INDEX(ISNUMBER('03_Base_Indice'!Q22:$U22),0),0)+6,"")</f>
        <v/>
      </c>
      <c r="U22" t="str">
        <f>IFERROR(MATCH(TRUE,INDEX(ISNUMBER('03_Base_Indice'!R22:$U22),0),0)+7,"")</f>
        <v/>
      </c>
      <c r="V22" t="str">
        <f>IFERROR(MATCH(TRUE,INDEX(ISNUMBER('03_Base_Indice'!S22:$U22),0),0)+8,"")</f>
        <v/>
      </c>
      <c r="W22" t="str">
        <f>IFERROR(MATCH(TRUE,INDEX(ISNUMBER('03_Base_Indice'!T22:$U22),0),0)+9,"")</f>
        <v/>
      </c>
      <c r="X22" t="str">
        <f>IFERROR(MATCH(TRUE,INDEX(ISNUMBER('03_Base_Indice'!U22:$U22),0),0)+10,"")</f>
        <v/>
      </c>
      <c r="Z22" t="str">
        <f>IF(B22="","",INDEX('03_Base_Indice'!$K22:$U22,B22))</f>
        <v/>
      </c>
      <c r="AA22" t="str">
        <f>IF(C22="","",INDEX('03_Base_Indice'!$K22:$U22,C22))</f>
        <v/>
      </c>
      <c r="AB22" t="str">
        <f>IF(D22="","",INDEX('03_Base_Indice'!$K22:$U22,D22))</f>
        <v/>
      </c>
      <c r="AC22" t="str">
        <f>IF(E22="","",INDEX('03_Base_Indice'!$K22:$U22,E22))</f>
        <v/>
      </c>
      <c r="AD22" t="str">
        <f>IF(F22="","",INDEX('03_Base_Indice'!$K22:$U22,F22))</f>
        <v/>
      </c>
      <c r="AE22" t="str">
        <f>IF(G22="","",INDEX('03_Base_Indice'!$K22:$U22,G22))</f>
        <v/>
      </c>
      <c r="AF22" t="str">
        <f>IF(H22="","",INDEX('03_Base_Indice'!$K22:$U22,H22))</f>
        <v/>
      </c>
      <c r="AG22" t="str">
        <f>IF(I22="","",INDEX('03_Base_Indice'!$K22:$U22,I22))</f>
        <v/>
      </c>
      <c r="AH22" t="str">
        <f>IF(J22="","",INDEX('03_Base_Indice'!$K22:$U22,J22))</f>
        <v/>
      </c>
      <c r="AI22" t="str">
        <f>IF(K22="","",INDEX('03_Base_Indice'!$K22:$U22,K22))</f>
        <v/>
      </c>
      <c r="AJ22" t="str">
        <f>IF(L22="","",INDEX('03_Base_Indice'!$K22:$U22,L22))</f>
        <v/>
      </c>
      <c r="AL22" t="str">
        <f>IF(N22="","",INDEX('03_Base_Indice'!$K22:$U22,N22))</f>
        <v/>
      </c>
      <c r="AM22" t="str">
        <f>IF(O22="","",INDEX('03_Base_Indice'!$K22:$U22,O22))</f>
        <v/>
      </c>
      <c r="AN22" t="str">
        <f>IF(P22="","",INDEX('03_Base_Indice'!$K22:$U22,P22))</f>
        <v/>
      </c>
      <c r="AO22" t="str">
        <f>IF(Q22="","",INDEX('03_Base_Indice'!$K22:$U22,Q22))</f>
        <v/>
      </c>
      <c r="AP22" t="str">
        <f>IF(R22="","",INDEX('03_Base_Indice'!$K22:$U22,R22))</f>
        <v/>
      </c>
      <c r="AQ22" t="str">
        <f>IF(S22="","",INDEX('03_Base_Indice'!$K22:$U22,S22))</f>
        <v/>
      </c>
      <c r="AR22" t="str">
        <f>IF(T22="","",INDEX('03_Base_Indice'!$K22:$U22,T22))</f>
        <v/>
      </c>
      <c r="AS22" t="str">
        <f>IF(U22="","",INDEX('03_Base_Indice'!$K22:$U22,U22))</f>
        <v/>
      </c>
      <c r="AT22" t="str">
        <f>IF(V22="","",INDEX('03_Base_Indice'!$K22:$U22,V22))</f>
        <v/>
      </c>
      <c r="AU22" t="str">
        <f>IF(W22="","",INDEX('03_Base_Indice'!$K22:$U22,W22))</f>
        <v/>
      </c>
      <c r="AV22" t="str">
        <f>IF(X22="","",INDEX('03_Base_Indice'!$K22:$U22,X22))</f>
        <v/>
      </c>
      <c r="AX22">
        <f>IF('06_Normalizacao'!K22="",0,'06_Normalizacao'!K22)</f>
        <v>0</v>
      </c>
      <c r="AY22">
        <f>IF('06_Normalizacao'!L22="",0,'06_Normalizacao'!L22)</f>
        <v>0</v>
      </c>
      <c r="AZ22">
        <f>IF('06_Normalizacao'!M22="",0,'06_Normalizacao'!M22)</f>
        <v>0</v>
      </c>
      <c r="BA22">
        <f>IF('06_Normalizacao'!N22="",0,'06_Normalizacao'!N22)</f>
        <v>0</v>
      </c>
      <c r="BB22">
        <f>IF('06_Normalizacao'!O22="",0,'06_Normalizacao'!O22)</f>
        <v>0</v>
      </c>
      <c r="BC22">
        <f>IF('06_Normalizacao'!P22="",0,'06_Normalizacao'!P22)</f>
        <v>0</v>
      </c>
      <c r="BD22">
        <f>IF('06_Normalizacao'!Q22="",0,'06_Normalizacao'!Q22)</f>
        <v>0</v>
      </c>
      <c r="BE22">
        <f>IF('06_Normalizacao'!R22="",0,'06_Normalizacao'!R22)</f>
        <v>0</v>
      </c>
      <c r="BF22">
        <f>IF('06_Normalizacao'!S22="",0,'06_Normalizacao'!S22)</f>
        <v>0</v>
      </c>
      <c r="BG22">
        <f>IF('06_Normalizacao'!T22="",0,'06_Normalizacao'!T22)</f>
        <v>0</v>
      </c>
      <c r="BH22">
        <f>IF('06_Normalizacao'!U22="",0,'06_Normalizacao'!U22)</f>
        <v>0</v>
      </c>
      <c r="BJ22">
        <f>IF('06_Normalizacao'!K22="",0,1)</f>
        <v>0</v>
      </c>
      <c r="BK22">
        <f>IF('06_Normalizacao'!L22="",0,1)</f>
        <v>0</v>
      </c>
      <c r="BL22">
        <f>IF('06_Normalizacao'!M22="",0,1)</f>
        <v>0</v>
      </c>
      <c r="BM22">
        <f>IF('06_Normalizacao'!N22="",0,1)</f>
        <v>0</v>
      </c>
      <c r="BN22">
        <f>IF('06_Normalizacao'!O22="",0,1)</f>
        <v>0</v>
      </c>
      <c r="BO22">
        <f>IF('06_Normalizacao'!P22="",0,1)</f>
        <v>0</v>
      </c>
      <c r="BP22">
        <f>IF('06_Normalizacao'!Q22="",0,1)</f>
        <v>0</v>
      </c>
      <c r="BQ22">
        <f>IF('06_Normalizacao'!R22="",0,1)</f>
        <v>0</v>
      </c>
      <c r="BR22">
        <f>IF('06_Normalizacao'!S22="",0,1)</f>
        <v>0</v>
      </c>
      <c r="BS22">
        <f>IF('06_Normalizacao'!T22="",0,1)</f>
        <v>0</v>
      </c>
      <c r="BT22">
        <f>IF('06_Normalizacao'!U22="",0,1)</f>
        <v>0</v>
      </c>
    </row>
    <row r="23" spans="1:72">
      <c r="A23" s="6" t="str">
        <f>'03_Base_Indice'!D23</f>
        <v/>
      </c>
      <c r="B23" t="str">
        <f>IFERROR(LOOKUP(2,1/ISNUMBER('03_Base_Indice'!$K23:K23),COLUMN('03_Base_Indice'!$K23:K23)-COLUMN('03_Base_Indice'!$K23)+1),"")</f>
        <v/>
      </c>
      <c r="C23" t="str">
        <f>IFERROR(LOOKUP(2,1/ISNUMBER('03_Base_Indice'!$K23:L23),COLUMN('03_Base_Indice'!$K23:L23)-COLUMN('03_Base_Indice'!$K23)+1),"")</f>
        <v/>
      </c>
      <c r="D23" t="str">
        <f>IFERROR(LOOKUP(2,1/ISNUMBER('03_Base_Indice'!$K23:M23),COLUMN('03_Base_Indice'!$K23:M23)-COLUMN('03_Base_Indice'!$K23)+1),"")</f>
        <v/>
      </c>
      <c r="E23" t="str">
        <f>IFERROR(LOOKUP(2,1/ISNUMBER('03_Base_Indice'!$K23:N23),COLUMN('03_Base_Indice'!$K23:N23)-COLUMN('03_Base_Indice'!$K23)+1),"")</f>
        <v/>
      </c>
      <c r="F23" t="str">
        <f>IFERROR(LOOKUP(2,1/ISNUMBER('03_Base_Indice'!$K23:O23),COLUMN('03_Base_Indice'!$K23:O23)-COLUMN('03_Base_Indice'!$K23)+1),"")</f>
        <v/>
      </c>
      <c r="G23" t="str">
        <f>IFERROR(LOOKUP(2,1/ISNUMBER('03_Base_Indice'!$K23:P23),COLUMN('03_Base_Indice'!$K23:P23)-COLUMN('03_Base_Indice'!$K23)+1),"")</f>
        <v/>
      </c>
      <c r="H23" t="str">
        <f>IFERROR(LOOKUP(2,1/ISNUMBER('03_Base_Indice'!$K23:Q23),COLUMN('03_Base_Indice'!$K23:Q23)-COLUMN('03_Base_Indice'!$K23)+1),"")</f>
        <v/>
      </c>
      <c r="I23" t="str">
        <f>IFERROR(LOOKUP(2,1/ISNUMBER('03_Base_Indice'!$K23:R23),COLUMN('03_Base_Indice'!$K23:R23)-COLUMN('03_Base_Indice'!$K23)+1),"")</f>
        <v/>
      </c>
      <c r="J23" t="str">
        <f>IFERROR(LOOKUP(2,1/ISNUMBER('03_Base_Indice'!$K23:S23),COLUMN('03_Base_Indice'!$K23:S23)-COLUMN('03_Base_Indice'!$K23)+1),"")</f>
        <v/>
      </c>
      <c r="K23" t="str">
        <f>IFERROR(LOOKUP(2,1/ISNUMBER('03_Base_Indice'!$K23:T23),COLUMN('03_Base_Indice'!$K23:T23)-COLUMN('03_Base_Indice'!$K23)+1),"")</f>
        <v/>
      </c>
      <c r="L23" t="str">
        <f>IFERROR(LOOKUP(2,1/ISNUMBER('03_Base_Indice'!$K23:U23),COLUMN('03_Base_Indice'!$K23:U23)-COLUMN('03_Base_Indice'!$K23)+1),"")</f>
        <v/>
      </c>
      <c r="N23" t="str">
        <f>IFERROR(MATCH(TRUE,INDEX(ISNUMBER('03_Base_Indice'!K23:$U23),0),0)+0,"")</f>
        <v/>
      </c>
      <c r="O23" t="str">
        <f>IFERROR(MATCH(TRUE,INDEX(ISNUMBER('03_Base_Indice'!L23:$U23),0),0)+1,"")</f>
        <v/>
      </c>
      <c r="P23" t="str">
        <f>IFERROR(MATCH(TRUE,INDEX(ISNUMBER('03_Base_Indice'!M23:$U23),0),0)+2,"")</f>
        <v/>
      </c>
      <c r="Q23" t="str">
        <f>IFERROR(MATCH(TRUE,INDEX(ISNUMBER('03_Base_Indice'!N23:$U23),0),0)+3,"")</f>
        <v/>
      </c>
      <c r="R23" t="str">
        <f>IFERROR(MATCH(TRUE,INDEX(ISNUMBER('03_Base_Indice'!O23:$U23),0),0)+4,"")</f>
        <v/>
      </c>
      <c r="S23" t="str">
        <f>IFERROR(MATCH(TRUE,INDEX(ISNUMBER('03_Base_Indice'!P23:$U23),0),0)+5,"")</f>
        <v/>
      </c>
      <c r="T23" t="str">
        <f>IFERROR(MATCH(TRUE,INDEX(ISNUMBER('03_Base_Indice'!Q23:$U23),0),0)+6,"")</f>
        <v/>
      </c>
      <c r="U23" t="str">
        <f>IFERROR(MATCH(TRUE,INDEX(ISNUMBER('03_Base_Indice'!R23:$U23),0),0)+7,"")</f>
        <v/>
      </c>
      <c r="V23" t="str">
        <f>IFERROR(MATCH(TRUE,INDEX(ISNUMBER('03_Base_Indice'!S23:$U23),0),0)+8,"")</f>
        <v/>
      </c>
      <c r="W23" t="str">
        <f>IFERROR(MATCH(TRUE,INDEX(ISNUMBER('03_Base_Indice'!T23:$U23),0),0)+9,"")</f>
        <v/>
      </c>
      <c r="X23" t="str">
        <f>IFERROR(MATCH(TRUE,INDEX(ISNUMBER('03_Base_Indice'!U23:$U23),0),0)+10,"")</f>
        <v/>
      </c>
      <c r="Z23" t="str">
        <f>IF(B23="","",INDEX('03_Base_Indice'!$K23:$U23,B23))</f>
        <v/>
      </c>
      <c r="AA23" t="str">
        <f>IF(C23="","",INDEX('03_Base_Indice'!$K23:$U23,C23))</f>
        <v/>
      </c>
      <c r="AB23" t="str">
        <f>IF(D23="","",INDEX('03_Base_Indice'!$K23:$U23,D23))</f>
        <v/>
      </c>
      <c r="AC23" t="str">
        <f>IF(E23="","",INDEX('03_Base_Indice'!$K23:$U23,E23))</f>
        <v/>
      </c>
      <c r="AD23" t="str">
        <f>IF(F23="","",INDEX('03_Base_Indice'!$K23:$U23,F23))</f>
        <v/>
      </c>
      <c r="AE23" t="str">
        <f>IF(G23="","",INDEX('03_Base_Indice'!$K23:$U23,G23))</f>
        <v/>
      </c>
      <c r="AF23" t="str">
        <f>IF(H23="","",INDEX('03_Base_Indice'!$K23:$U23,H23))</f>
        <v/>
      </c>
      <c r="AG23" t="str">
        <f>IF(I23="","",INDEX('03_Base_Indice'!$K23:$U23,I23))</f>
        <v/>
      </c>
      <c r="AH23" t="str">
        <f>IF(J23="","",INDEX('03_Base_Indice'!$K23:$U23,J23))</f>
        <v/>
      </c>
      <c r="AI23" t="str">
        <f>IF(K23="","",INDEX('03_Base_Indice'!$K23:$U23,K23))</f>
        <v/>
      </c>
      <c r="AJ23" t="str">
        <f>IF(L23="","",INDEX('03_Base_Indice'!$K23:$U23,L23))</f>
        <v/>
      </c>
      <c r="AL23" t="str">
        <f>IF(N23="","",INDEX('03_Base_Indice'!$K23:$U23,N23))</f>
        <v/>
      </c>
      <c r="AM23" t="str">
        <f>IF(O23="","",INDEX('03_Base_Indice'!$K23:$U23,O23))</f>
        <v/>
      </c>
      <c r="AN23" t="str">
        <f>IF(P23="","",INDEX('03_Base_Indice'!$K23:$U23,P23))</f>
        <v/>
      </c>
      <c r="AO23" t="str">
        <f>IF(Q23="","",INDEX('03_Base_Indice'!$K23:$U23,Q23))</f>
        <v/>
      </c>
      <c r="AP23" t="str">
        <f>IF(R23="","",INDEX('03_Base_Indice'!$K23:$U23,R23))</f>
        <v/>
      </c>
      <c r="AQ23" t="str">
        <f>IF(S23="","",INDEX('03_Base_Indice'!$K23:$U23,S23))</f>
        <v/>
      </c>
      <c r="AR23" t="str">
        <f>IF(T23="","",INDEX('03_Base_Indice'!$K23:$U23,T23))</f>
        <v/>
      </c>
      <c r="AS23" t="str">
        <f>IF(U23="","",INDEX('03_Base_Indice'!$K23:$U23,U23))</f>
        <v/>
      </c>
      <c r="AT23" t="str">
        <f>IF(V23="","",INDEX('03_Base_Indice'!$K23:$U23,V23))</f>
        <v/>
      </c>
      <c r="AU23" t="str">
        <f>IF(W23="","",INDEX('03_Base_Indice'!$K23:$U23,W23))</f>
        <v/>
      </c>
      <c r="AV23" t="str">
        <f>IF(X23="","",INDEX('03_Base_Indice'!$K23:$U23,X23))</f>
        <v/>
      </c>
      <c r="AX23">
        <f>IF('06_Normalizacao'!K23="",0,'06_Normalizacao'!K23)</f>
        <v>0</v>
      </c>
      <c r="AY23">
        <f>IF('06_Normalizacao'!L23="",0,'06_Normalizacao'!L23)</f>
        <v>0</v>
      </c>
      <c r="AZ23">
        <f>IF('06_Normalizacao'!M23="",0,'06_Normalizacao'!M23)</f>
        <v>0</v>
      </c>
      <c r="BA23">
        <f>IF('06_Normalizacao'!N23="",0,'06_Normalizacao'!N23)</f>
        <v>0</v>
      </c>
      <c r="BB23">
        <f>IF('06_Normalizacao'!O23="",0,'06_Normalizacao'!O23)</f>
        <v>0</v>
      </c>
      <c r="BC23">
        <f>IF('06_Normalizacao'!P23="",0,'06_Normalizacao'!P23)</f>
        <v>0</v>
      </c>
      <c r="BD23">
        <f>IF('06_Normalizacao'!Q23="",0,'06_Normalizacao'!Q23)</f>
        <v>0</v>
      </c>
      <c r="BE23">
        <f>IF('06_Normalizacao'!R23="",0,'06_Normalizacao'!R23)</f>
        <v>0</v>
      </c>
      <c r="BF23">
        <f>IF('06_Normalizacao'!S23="",0,'06_Normalizacao'!S23)</f>
        <v>0</v>
      </c>
      <c r="BG23">
        <f>IF('06_Normalizacao'!T23="",0,'06_Normalizacao'!T23)</f>
        <v>0</v>
      </c>
      <c r="BH23">
        <f>IF('06_Normalizacao'!U23="",0,'06_Normalizacao'!U23)</f>
        <v>0</v>
      </c>
      <c r="BJ23">
        <f>IF('06_Normalizacao'!K23="",0,1)</f>
        <v>0</v>
      </c>
      <c r="BK23">
        <f>IF('06_Normalizacao'!L23="",0,1)</f>
        <v>0</v>
      </c>
      <c r="BL23">
        <f>IF('06_Normalizacao'!M23="",0,1)</f>
        <v>0</v>
      </c>
      <c r="BM23">
        <f>IF('06_Normalizacao'!N23="",0,1)</f>
        <v>0</v>
      </c>
      <c r="BN23">
        <f>IF('06_Normalizacao'!O23="",0,1)</f>
        <v>0</v>
      </c>
      <c r="BO23">
        <f>IF('06_Normalizacao'!P23="",0,1)</f>
        <v>0</v>
      </c>
      <c r="BP23">
        <f>IF('06_Normalizacao'!Q23="",0,1)</f>
        <v>0</v>
      </c>
      <c r="BQ23">
        <f>IF('06_Normalizacao'!R23="",0,1)</f>
        <v>0</v>
      </c>
      <c r="BR23">
        <f>IF('06_Normalizacao'!S23="",0,1)</f>
        <v>0</v>
      </c>
      <c r="BS23">
        <f>IF('06_Normalizacao'!T23="",0,1)</f>
        <v>0</v>
      </c>
      <c r="BT23">
        <f>IF('06_Normalizacao'!U23="",0,1)</f>
        <v>0</v>
      </c>
    </row>
    <row r="24" spans="1:72">
      <c r="A24" s="6" t="str">
        <f>'03_Base_Indice'!D24</f>
        <v/>
      </c>
      <c r="B24" t="str">
        <f>IFERROR(LOOKUP(2,1/ISNUMBER('03_Base_Indice'!$K24:K24),COLUMN('03_Base_Indice'!$K24:K24)-COLUMN('03_Base_Indice'!$K24)+1),"")</f>
        <v/>
      </c>
      <c r="C24" t="str">
        <f>IFERROR(LOOKUP(2,1/ISNUMBER('03_Base_Indice'!$K24:L24),COLUMN('03_Base_Indice'!$K24:L24)-COLUMN('03_Base_Indice'!$K24)+1),"")</f>
        <v/>
      </c>
      <c r="D24" t="str">
        <f>IFERROR(LOOKUP(2,1/ISNUMBER('03_Base_Indice'!$K24:M24),COLUMN('03_Base_Indice'!$K24:M24)-COLUMN('03_Base_Indice'!$K24)+1),"")</f>
        <v/>
      </c>
      <c r="E24" t="str">
        <f>IFERROR(LOOKUP(2,1/ISNUMBER('03_Base_Indice'!$K24:N24),COLUMN('03_Base_Indice'!$K24:N24)-COLUMN('03_Base_Indice'!$K24)+1),"")</f>
        <v/>
      </c>
      <c r="F24" t="str">
        <f>IFERROR(LOOKUP(2,1/ISNUMBER('03_Base_Indice'!$K24:O24),COLUMN('03_Base_Indice'!$K24:O24)-COLUMN('03_Base_Indice'!$K24)+1),"")</f>
        <v/>
      </c>
      <c r="G24" t="str">
        <f>IFERROR(LOOKUP(2,1/ISNUMBER('03_Base_Indice'!$K24:P24),COLUMN('03_Base_Indice'!$K24:P24)-COLUMN('03_Base_Indice'!$K24)+1),"")</f>
        <v/>
      </c>
      <c r="H24" t="str">
        <f>IFERROR(LOOKUP(2,1/ISNUMBER('03_Base_Indice'!$K24:Q24),COLUMN('03_Base_Indice'!$K24:Q24)-COLUMN('03_Base_Indice'!$K24)+1),"")</f>
        <v/>
      </c>
      <c r="I24" t="str">
        <f>IFERROR(LOOKUP(2,1/ISNUMBER('03_Base_Indice'!$K24:R24),COLUMN('03_Base_Indice'!$K24:R24)-COLUMN('03_Base_Indice'!$K24)+1),"")</f>
        <v/>
      </c>
      <c r="J24" t="str">
        <f>IFERROR(LOOKUP(2,1/ISNUMBER('03_Base_Indice'!$K24:S24),COLUMN('03_Base_Indice'!$K24:S24)-COLUMN('03_Base_Indice'!$K24)+1),"")</f>
        <v/>
      </c>
      <c r="K24" t="str">
        <f>IFERROR(LOOKUP(2,1/ISNUMBER('03_Base_Indice'!$K24:T24),COLUMN('03_Base_Indice'!$K24:T24)-COLUMN('03_Base_Indice'!$K24)+1),"")</f>
        <v/>
      </c>
      <c r="L24" t="str">
        <f>IFERROR(LOOKUP(2,1/ISNUMBER('03_Base_Indice'!$K24:U24),COLUMN('03_Base_Indice'!$K24:U24)-COLUMN('03_Base_Indice'!$K24)+1),"")</f>
        <v/>
      </c>
      <c r="N24" t="str">
        <f>IFERROR(MATCH(TRUE,INDEX(ISNUMBER('03_Base_Indice'!K24:$U24),0),0)+0,"")</f>
        <v/>
      </c>
      <c r="O24" t="str">
        <f>IFERROR(MATCH(TRUE,INDEX(ISNUMBER('03_Base_Indice'!L24:$U24),0),0)+1,"")</f>
        <v/>
      </c>
      <c r="P24" t="str">
        <f>IFERROR(MATCH(TRUE,INDEX(ISNUMBER('03_Base_Indice'!M24:$U24),0),0)+2,"")</f>
        <v/>
      </c>
      <c r="Q24" t="str">
        <f>IFERROR(MATCH(TRUE,INDEX(ISNUMBER('03_Base_Indice'!N24:$U24),0),0)+3,"")</f>
        <v/>
      </c>
      <c r="R24" t="str">
        <f>IFERROR(MATCH(TRUE,INDEX(ISNUMBER('03_Base_Indice'!O24:$U24),0),0)+4,"")</f>
        <v/>
      </c>
      <c r="S24" t="str">
        <f>IFERROR(MATCH(TRUE,INDEX(ISNUMBER('03_Base_Indice'!P24:$U24),0),0)+5,"")</f>
        <v/>
      </c>
      <c r="T24" t="str">
        <f>IFERROR(MATCH(TRUE,INDEX(ISNUMBER('03_Base_Indice'!Q24:$U24),0),0)+6,"")</f>
        <v/>
      </c>
      <c r="U24" t="str">
        <f>IFERROR(MATCH(TRUE,INDEX(ISNUMBER('03_Base_Indice'!R24:$U24),0),0)+7,"")</f>
        <v/>
      </c>
      <c r="V24" t="str">
        <f>IFERROR(MATCH(TRUE,INDEX(ISNUMBER('03_Base_Indice'!S24:$U24),0),0)+8,"")</f>
        <v/>
      </c>
      <c r="W24" t="str">
        <f>IFERROR(MATCH(TRUE,INDEX(ISNUMBER('03_Base_Indice'!T24:$U24),0),0)+9,"")</f>
        <v/>
      </c>
      <c r="X24" t="str">
        <f>IFERROR(MATCH(TRUE,INDEX(ISNUMBER('03_Base_Indice'!U24:$U24),0),0)+10,"")</f>
        <v/>
      </c>
      <c r="Z24" t="str">
        <f>IF(B24="","",INDEX('03_Base_Indice'!$K24:$U24,B24))</f>
        <v/>
      </c>
      <c r="AA24" t="str">
        <f>IF(C24="","",INDEX('03_Base_Indice'!$K24:$U24,C24))</f>
        <v/>
      </c>
      <c r="AB24" t="str">
        <f>IF(D24="","",INDEX('03_Base_Indice'!$K24:$U24,D24))</f>
        <v/>
      </c>
      <c r="AC24" t="str">
        <f>IF(E24="","",INDEX('03_Base_Indice'!$K24:$U24,E24))</f>
        <v/>
      </c>
      <c r="AD24" t="str">
        <f>IF(F24="","",INDEX('03_Base_Indice'!$K24:$U24,F24))</f>
        <v/>
      </c>
      <c r="AE24" t="str">
        <f>IF(G24="","",INDEX('03_Base_Indice'!$K24:$U24,G24))</f>
        <v/>
      </c>
      <c r="AF24" t="str">
        <f>IF(H24="","",INDEX('03_Base_Indice'!$K24:$U24,H24))</f>
        <v/>
      </c>
      <c r="AG24" t="str">
        <f>IF(I24="","",INDEX('03_Base_Indice'!$K24:$U24,I24))</f>
        <v/>
      </c>
      <c r="AH24" t="str">
        <f>IF(J24="","",INDEX('03_Base_Indice'!$K24:$U24,J24))</f>
        <v/>
      </c>
      <c r="AI24" t="str">
        <f>IF(K24="","",INDEX('03_Base_Indice'!$K24:$U24,K24))</f>
        <v/>
      </c>
      <c r="AJ24" t="str">
        <f>IF(L24="","",INDEX('03_Base_Indice'!$K24:$U24,L24))</f>
        <v/>
      </c>
      <c r="AL24" t="str">
        <f>IF(N24="","",INDEX('03_Base_Indice'!$K24:$U24,N24))</f>
        <v/>
      </c>
      <c r="AM24" t="str">
        <f>IF(O24="","",INDEX('03_Base_Indice'!$K24:$U24,O24))</f>
        <v/>
      </c>
      <c r="AN24" t="str">
        <f>IF(P24="","",INDEX('03_Base_Indice'!$K24:$U24,P24))</f>
        <v/>
      </c>
      <c r="AO24" t="str">
        <f>IF(Q24="","",INDEX('03_Base_Indice'!$K24:$U24,Q24))</f>
        <v/>
      </c>
      <c r="AP24" t="str">
        <f>IF(R24="","",INDEX('03_Base_Indice'!$K24:$U24,R24))</f>
        <v/>
      </c>
      <c r="AQ24" t="str">
        <f>IF(S24="","",INDEX('03_Base_Indice'!$K24:$U24,S24))</f>
        <v/>
      </c>
      <c r="AR24" t="str">
        <f>IF(T24="","",INDEX('03_Base_Indice'!$K24:$U24,T24))</f>
        <v/>
      </c>
      <c r="AS24" t="str">
        <f>IF(U24="","",INDEX('03_Base_Indice'!$K24:$U24,U24))</f>
        <v/>
      </c>
      <c r="AT24" t="str">
        <f>IF(V24="","",INDEX('03_Base_Indice'!$K24:$U24,V24))</f>
        <v/>
      </c>
      <c r="AU24" t="str">
        <f>IF(W24="","",INDEX('03_Base_Indice'!$K24:$U24,W24))</f>
        <v/>
      </c>
      <c r="AV24" t="str">
        <f>IF(X24="","",INDEX('03_Base_Indice'!$K24:$U24,X24))</f>
        <v/>
      </c>
      <c r="AX24">
        <f>IF('06_Normalizacao'!K24="",0,'06_Normalizacao'!K24)</f>
        <v>0</v>
      </c>
      <c r="AY24">
        <f>IF('06_Normalizacao'!L24="",0,'06_Normalizacao'!L24)</f>
        <v>0</v>
      </c>
      <c r="AZ24">
        <f>IF('06_Normalizacao'!M24="",0,'06_Normalizacao'!M24)</f>
        <v>0</v>
      </c>
      <c r="BA24">
        <f>IF('06_Normalizacao'!N24="",0,'06_Normalizacao'!N24)</f>
        <v>0</v>
      </c>
      <c r="BB24">
        <f>IF('06_Normalizacao'!O24="",0,'06_Normalizacao'!O24)</f>
        <v>0</v>
      </c>
      <c r="BC24">
        <f>IF('06_Normalizacao'!P24="",0,'06_Normalizacao'!P24)</f>
        <v>0</v>
      </c>
      <c r="BD24">
        <f>IF('06_Normalizacao'!Q24="",0,'06_Normalizacao'!Q24)</f>
        <v>0</v>
      </c>
      <c r="BE24">
        <f>IF('06_Normalizacao'!R24="",0,'06_Normalizacao'!R24)</f>
        <v>0</v>
      </c>
      <c r="BF24">
        <f>IF('06_Normalizacao'!S24="",0,'06_Normalizacao'!S24)</f>
        <v>0</v>
      </c>
      <c r="BG24">
        <f>IF('06_Normalizacao'!T24="",0,'06_Normalizacao'!T24)</f>
        <v>0</v>
      </c>
      <c r="BH24">
        <f>IF('06_Normalizacao'!U24="",0,'06_Normalizacao'!U24)</f>
        <v>0</v>
      </c>
      <c r="BJ24">
        <f>IF('06_Normalizacao'!K24="",0,1)</f>
        <v>0</v>
      </c>
      <c r="BK24">
        <f>IF('06_Normalizacao'!L24="",0,1)</f>
        <v>0</v>
      </c>
      <c r="BL24">
        <f>IF('06_Normalizacao'!M24="",0,1)</f>
        <v>0</v>
      </c>
      <c r="BM24">
        <f>IF('06_Normalizacao'!N24="",0,1)</f>
        <v>0</v>
      </c>
      <c r="BN24">
        <f>IF('06_Normalizacao'!O24="",0,1)</f>
        <v>0</v>
      </c>
      <c r="BO24">
        <f>IF('06_Normalizacao'!P24="",0,1)</f>
        <v>0</v>
      </c>
      <c r="BP24">
        <f>IF('06_Normalizacao'!Q24="",0,1)</f>
        <v>0</v>
      </c>
      <c r="BQ24">
        <f>IF('06_Normalizacao'!R24="",0,1)</f>
        <v>0</v>
      </c>
      <c r="BR24">
        <f>IF('06_Normalizacao'!S24="",0,1)</f>
        <v>0</v>
      </c>
      <c r="BS24">
        <f>IF('06_Normalizacao'!T24="",0,1)</f>
        <v>0</v>
      </c>
      <c r="BT24">
        <f>IF('06_Normalizacao'!U24="",0,1)</f>
        <v>0</v>
      </c>
    </row>
    <row r="25" spans="1:72">
      <c r="A25" s="6" t="str">
        <f>'03_Base_Indice'!D25</f>
        <v>HUM002</v>
      </c>
      <c r="B25">
        <f>IFERROR(LOOKUP(2,1/ISNUMBER('03_Base_Indice'!$K25:K25),COLUMN('03_Base_Indice'!$K25:K25)-COLUMN('03_Base_Indice'!$K25)+1),"")</f>
        <v>1</v>
      </c>
      <c r="C25">
        <f>IFERROR(LOOKUP(2,1/ISNUMBER('03_Base_Indice'!$K25:L25),COLUMN('03_Base_Indice'!$K25:L25)-COLUMN('03_Base_Indice'!$K25)+1),"")</f>
        <v>2</v>
      </c>
      <c r="D25">
        <f>IFERROR(LOOKUP(2,1/ISNUMBER('03_Base_Indice'!$K25:M25),COLUMN('03_Base_Indice'!$K25:M25)-COLUMN('03_Base_Indice'!$K25)+1),"")</f>
        <v>3</v>
      </c>
      <c r="E25">
        <f>IFERROR(LOOKUP(2,1/ISNUMBER('03_Base_Indice'!$K25:N25),COLUMN('03_Base_Indice'!$K25:N25)-COLUMN('03_Base_Indice'!$K25)+1),"")</f>
        <v>4</v>
      </c>
      <c r="F25">
        <f>IFERROR(LOOKUP(2,1/ISNUMBER('03_Base_Indice'!$K25:O25),COLUMN('03_Base_Indice'!$K25:O25)-COLUMN('03_Base_Indice'!$K25)+1),"")</f>
        <v>5</v>
      </c>
      <c r="G25">
        <f>IFERROR(LOOKUP(2,1/ISNUMBER('03_Base_Indice'!$K25:P25),COLUMN('03_Base_Indice'!$K25:P25)-COLUMN('03_Base_Indice'!$K25)+1),"")</f>
        <v>6</v>
      </c>
      <c r="H25">
        <f>IFERROR(LOOKUP(2,1/ISNUMBER('03_Base_Indice'!$K25:Q25),COLUMN('03_Base_Indice'!$K25:Q25)-COLUMN('03_Base_Indice'!$K25)+1),"")</f>
        <v>7</v>
      </c>
      <c r="I25">
        <f>IFERROR(LOOKUP(2,1/ISNUMBER('03_Base_Indice'!$K25:R25),COLUMN('03_Base_Indice'!$K25:R25)-COLUMN('03_Base_Indice'!$K25)+1),"")</f>
        <v>8</v>
      </c>
      <c r="J25">
        <f>IFERROR(LOOKUP(2,1/ISNUMBER('03_Base_Indice'!$K25:S25),COLUMN('03_Base_Indice'!$K25:S25)-COLUMN('03_Base_Indice'!$K25)+1),"")</f>
        <v>9</v>
      </c>
      <c r="K25">
        <f>IFERROR(LOOKUP(2,1/ISNUMBER('03_Base_Indice'!$K25:T25),COLUMN('03_Base_Indice'!$K25:T25)-COLUMN('03_Base_Indice'!$K25)+1),"")</f>
        <v>10</v>
      </c>
      <c r="L25">
        <f>IFERROR(LOOKUP(2,1/ISNUMBER('03_Base_Indice'!$K25:U25),COLUMN('03_Base_Indice'!$K25:U25)-COLUMN('03_Base_Indice'!$K25)+1),"")</f>
        <v>11</v>
      </c>
      <c r="N25">
        <f>IFERROR(MATCH(TRUE,INDEX(ISNUMBER('03_Base_Indice'!K25:$U25),0),0)+0,"")</f>
        <v>1</v>
      </c>
      <c r="O25">
        <f>IFERROR(MATCH(TRUE,INDEX(ISNUMBER('03_Base_Indice'!L25:$U25),0),0)+1,"")</f>
        <v>2</v>
      </c>
      <c r="P25">
        <f>IFERROR(MATCH(TRUE,INDEX(ISNUMBER('03_Base_Indice'!M25:$U25),0),0)+2,"")</f>
        <v>3</v>
      </c>
      <c r="Q25">
        <f>IFERROR(MATCH(TRUE,INDEX(ISNUMBER('03_Base_Indice'!N25:$U25),0),0)+3,"")</f>
        <v>4</v>
      </c>
      <c r="R25">
        <f>IFERROR(MATCH(TRUE,INDEX(ISNUMBER('03_Base_Indice'!O25:$U25),0),0)+4,"")</f>
        <v>5</v>
      </c>
      <c r="S25">
        <f>IFERROR(MATCH(TRUE,INDEX(ISNUMBER('03_Base_Indice'!P25:$U25),0),0)+5,"")</f>
        <v>6</v>
      </c>
      <c r="T25">
        <f>IFERROR(MATCH(TRUE,INDEX(ISNUMBER('03_Base_Indice'!Q25:$U25),0),0)+6,"")</f>
        <v>7</v>
      </c>
      <c r="U25">
        <f>IFERROR(MATCH(TRUE,INDEX(ISNUMBER('03_Base_Indice'!R25:$U25),0),0)+7,"")</f>
        <v>8</v>
      </c>
      <c r="V25">
        <f>IFERROR(MATCH(TRUE,INDEX(ISNUMBER('03_Base_Indice'!S25:$U25),0),0)+8,"")</f>
        <v>9</v>
      </c>
      <c r="W25">
        <f>IFERROR(MATCH(TRUE,INDEX(ISNUMBER('03_Base_Indice'!T25:$U25),0),0)+9,"")</f>
        <v>10</v>
      </c>
      <c r="X25">
        <f>IFERROR(MATCH(TRUE,INDEX(ISNUMBER('03_Base_Indice'!U25:$U25),0),0)+10,"")</f>
        <v>11</v>
      </c>
      <c r="Z25">
        <f>IF(B25="","",INDEX('03_Base_Indice'!$K25:$U25,B25))</f>
        <v>61.042000000000002</v>
      </c>
      <c r="AA25">
        <f>IF(C25="","",INDEX('03_Base_Indice'!$K25:$U25,C25))</f>
        <v>61.619</v>
      </c>
      <c r="AB25">
        <f>IF(D25="","",INDEX('03_Base_Indice'!$K25:$U25,D25))</f>
        <v>62.122</v>
      </c>
      <c r="AC25">
        <f>IF(E25="","",INDEX('03_Base_Indice'!$K25:$U25,E25))</f>
        <v>62.622</v>
      </c>
      <c r="AD25">
        <f>IF(F25="","",INDEX('03_Base_Indice'!$K25:$U25,F25))</f>
        <v>63.051000000000002</v>
      </c>
      <c r="AE25">
        <f>IF(G25="","",INDEX('03_Base_Indice'!$K25:$U25,G25))</f>
        <v>63.116</v>
      </c>
      <c r="AF25">
        <f>IF(H25="","",INDEX('03_Base_Indice'!$K25:$U25,H25))</f>
        <v>62.957999999999998</v>
      </c>
      <c r="AG25">
        <f>IF(I25="","",INDEX('03_Base_Indice'!$K25:$U25,I25))</f>
        <v>64.245999999999995</v>
      </c>
      <c r="AH25">
        <f>IF(J25="","",INDEX('03_Base_Indice'!$K25:$U25,J25))</f>
        <v>64.617000000000004</v>
      </c>
      <c r="AI25">
        <f>IF(K25="","",INDEX('03_Base_Indice'!$K25:$U25,K25))</f>
        <v>64.805000000000007</v>
      </c>
      <c r="AJ25">
        <f>IF(L25="","",INDEX('03_Base_Indice'!$K25:$U25,L25))</f>
        <v>65</v>
      </c>
      <c r="AL25">
        <f>IF(N25="","",INDEX('03_Base_Indice'!$K25:$U25,N25))</f>
        <v>61.042000000000002</v>
      </c>
      <c r="AM25">
        <f>IF(O25="","",INDEX('03_Base_Indice'!$K25:$U25,O25))</f>
        <v>61.619</v>
      </c>
      <c r="AN25">
        <f>IF(P25="","",INDEX('03_Base_Indice'!$K25:$U25,P25))</f>
        <v>62.122</v>
      </c>
      <c r="AO25">
        <f>IF(Q25="","",INDEX('03_Base_Indice'!$K25:$U25,Q25))</f>
        <v>62.622</v>
      </c>
      <c r="AP25">
        <f>IF(R25="","",INDEX('03_Base_Indice'!$K25:$U25,R25))</f>
        <v>63.051000000000002</v>
      </c>
      <c r="AQ25">
        <f>IF(S25="","",INDEX('03_Base_Indice'!$K25:$U25,S25))</f>
        <v>63.116</v>
      </c>
      <c r="AR25">
        <f>IF(T25="","",INDEX('03_Base_Indice'!$K25:$U25,T25))</f>
        <v>62.957999999999998</v>
      </c>
      <c r="AS25">
        <f>IF(U25="","",INDEX('03_Base_Indice'!$K25:$U25,U25))</f>
        <v>64.245999999999995</v>
      </c>
      <c r="AT25">
        <f>IF(V25="","",INDEX('03_Base_Indice'!$K25:$U25,V25))</f>
        <v>64.617000000000004</v>
      </c>
      <c r="AU25">
        <f>IF(W25="","",INDEX('03_Base_Indice'!$K25:$U25,W25))</f>
        <v>64.805000000000007</v>
      </c>
      <c r="AV25">
        <f>IF(X25="","",INDEX('03_Base_Indice'!$K25:$U25,X25))</f>
        <v>65</v>
      </c>
      <c r="AX25">
        <f>IF('06_Normalizacao'!K25="",0,'06_Normalizacao'!K25)</f>
        <v>46.760000000000005</v>
      </c>
      <c r="AY25">
        <f>IF('06_Normalizacao'!L25="",0,'06_Normalizacao'!L25)</f>
        <v>48.042222222222222</v>
      </c>
      <c r="AZ25">
        <f>IF('06_Normalizacao'!M25="",0,'06_Normalizacao'!M25)</f>
        <v>49.16</v>
      </c>
      <c r="BA25">
        <f>IF('06_Normalizacao'!N25="",0,'06_Normalizacao'!N25)</f>
        <v>50.271111111111104</v>
      </c>
      <c r="BB25">
        <f>IF('06_Normalizacao'!O25="",0,'06_Normalizacao'!O25)</f>
        <v>51.224444444444451</v>
      </c>
      <c r="BC25">
        <f>IF('06_Normalizacao'!P25="",0,'06_Normalizacao'!P25)</f>
        <v>51.36888888888889</v>
      </c>
      <c r="BD25">
        <f>IF('06_Normalizacao'!Q25="",0,'06_Normalizacao'!Q25)</f>
        <v>51.017777777777773</v>
      </c>
      <c r="BE25">
        <f>IF('06_Normalizacao'!R25="",0,'06_Normalizacao'!R25)</f>
        <v>53.879999999999988</v>
      </c>
      <c r="BF25">
        <f>IF('06_Normalizacao'!S25="",0,'06_Normalizacao'!S25)</f>
        <v>54.704444444444448</v>
      </c>
      <c r="BG25">
        <f>IF('06_Normalizacao'!T25="",0,'06_Normalizacao'!T25)</f>
        <v>55.122222222222241</v>
      </c>
      <c r="BH25">
        <f>IF('06_Normalizacao'!U25="",0,'06_Normalizacao'!U25)</f>
        <v>55.555555555555557</v>
      </c>
      <c r="BJ25">
        <f>IF('06_Normalizacao'!K25="",0,1)</f>
        <v>1</v>
      </c>
      <c r="BK25">
        <f>IF('06_Normalizacao'!L25="",0,1)</f>
        <v>1</v>
      </c>
      <c r="BL25">
        <f>IF('06_Normalizacao'!M25="",0,1)</f>
        <v>1</v>
      </c>
      <c r="BM25">
        <f>IF('06_Normalizacao'!N25="",0,1)</f>
        <v>1</v>
      </c>
      <c r="BN25">
        <f>IF('06_Normalizacao'!O25="",0,1)</f>
        <v>1</v>
      </c>
      <c r="BO25">
        <f>IF('06_Normalizacao'!P25="",0,1)</f>
        <v>1</v>
      </c>
      <c r="BP25">
        <f>IF('06_Normalizacao'!Q25="",0,1)</f>
        <v>1</v>
      </c>
      <c r="BQ25">
        <f>IF('06_Normalizacao'!R25="",0,1)</f>
        <v>1</v>
      </c>
      <c r="BR25">
        <f>IF('06_Normalizacao'!S25="",0,1)</f>
        <v>1</v>
      </c>
      <c r="BS25">
        <f>IF('06_Normalizacao'!T25="",0,1)</f>
        <v>1</v>
      </c>
      <c r="BT25">
        <f>IF('06_Normalizacao'!U25="",0,1)</f>
        <v>1</v>
      </c>
    </row>
    <row r="26" spans="1:72">
      <c r="A26" s="6" t="str">
        <f>'03_Base_Indice'!D26</f>
        <v>HUM006</v>
      </c>
      <c r="B26">
        <f>IFERROR(LOOKUP(2,1/ISNUMBER('03_Base_Indice'!$K26:K26),COLUMN('03_Base_Indice'!$K26:K26)-COLUMN('03_Base_Indice'!$K26)+1),"")</f>
        <v>1</v>
      </c>
      <c r="C26">
        <f>IFERROR(LOOKUP(2,1/ISNUMBER('03_Base_Indice'!$K26:L26),COLUMN('03_Base_Indice'!$K26:L26)-COLUMN('03_Base_Indice'!$K26)+1),"")</f>
        <v>2</v>
      </c>
      <c r="D26">
        <f>IFERROR(LOOKUP(2,1/ISNUMBER('03_Base_Indice'!$K26:M26),COLUMN('03_Base_Indice'!$K26:M26)-COLUMN('03_Base_Indice'!$K26)+1),"")</f>
        <v>3</v>
      </c>
      <c r="E26">
        <f>IFERROR(LOOKUP(2,1/ISNUMBER('03_Base_Indice'!$K26:N26),COLUMN('03_Base_Indice'!$K26:N26)-COLUMN('03_Base_Indice'!$K26)+1),"")</f>
        <v>4</v>
      </c>
      <c r="F26">
        <f>IFERROR(LOOKUP(2,1/ISNUMBER('03_Base_Indice'!$K26:O26),COLUMN('03_Base_Indice'!$K26:O26)-COLUMN('03_Base_Indice'!$K26)+1),"")</f>
        <v>5</v>
      </c>
      <c r="G26">
        <f>IFERROR(LOOKUP(2,1/ISNUMBER('03_Base_Indice'!$K26:P26),COLUMN('03_Base_Indice'!$K26:P26)-COLUMN('03_Base_Indice'!$K26)+1),"")</f>
        <v>6</v>
      </c>
      <c r="H26">
        <f>IFERROR(LOOKUP(2,1/ISNUMBER('03_Base_Indice'!$K26:Q26),COLUMN('03_Base_Indice'!$K26:Q26)-COLUMN('03_Base_Indice'!$K26)+1),"")</f>
        <v>7</v>
      </c>
      <c r="I26">
        <f>IFERROR(LOOKUP(2,1/ISNUMBER('03_Base_Indice'!$K26:R26),COLUMN('03_Base_Indice'!$K26:R26)-COLUMN('03_Base_Indice'!$K26)+1),"")</f>
        <v>8</v>
      </c>
      <c r="J26">
        <f>IFERROR(LOOKUP(2,1/ISNUMBER('03_Base_Indice'!$K26:S26),COLUMN('03_Base_Indice'!$K26:S26)-COLUMN('03_Base_Indice'!$K26)+1),"")</f>
        <v>9</v>
      </c>
      <c r="K26">
        <f>IFERROR(LOOKUP(2,1/ISNUMBER('03_Base_Indice'!$K26:T26),COLUMN('03_Base_Indice'!$K26:T26)-COLUMN('03_Base_Indice'!$K26)+1),"")</f>
        <v>10</v>
      </c>
      <c r="L26">
        <f>IFERROR(LOOKUP(2,1/ISNUMBER('03_Base_Indice'!$K26:U26),COLUMN('03_Base_Indice'!$K26:U26)-COLUMN('03_Base_Indice'!$K26)+1),"")</f>
        <v>10</v>
      </c>
      <c r="N26">
        <f>IFERROR(MATCH(TRUE,INDEX(ISNUMBER('03_Base_Indice'!K26:$U26),0),0)+0,"")</f>
        <v>1</v>
      </c>
      <c r="O26">
        <f>IFERROR(MATCH(TRUE,INDEX(ISNUMBER('03_Base_Indice'!L26:$U26),0),0)+1,"")</f>
        <v>2</v>
      </c>
      <c r="P26">
        <f>IFERROR(MATCH(TRUE,INDEX(ISNUMBER('03_Base_Indice'!M26:$U26),0),0)+2,"")</f>
        <v>3</v>
      </c>
      <c r="Q26">
        <f>IFERROR(MATCH(TRUE,INDEX(ISNUMBER('03_Base_Indice'!N26:$U26),0),0)+3,"")</f>
        <v>4</v>
      </c>
      <c r="R26">
        <f>IFERROR(MATCH(TRUE,INDEX(ISNUMBER('03_Base_Indice'!O26:$U26),0),0)+4,"")</f>
        <v>5</v>
      </c>
      <c r="S26">
        <f>IFERROR(MATCH(TRUE,INDEX(ISNUMBER('03_Base_Indice'!P26:$U26),0),0)+5,"")</f>
        <v>6</v>
      </c>
      <c r="T26">
        <f>IFERROR(MATCH(TRUE,INDEX(ISNUMBER('03_Base_Indice'!Q26:$U26),0),0)+6,"")</f>
        <v>7</v>
      </c>
      <c r="U26">
        <f>IFERROR(MATCH(TRUE,INDEX(ISNUMBER('03_Base_Indice'!R26:$U26),0),0)+7,"")</f>
        <v>8</v>
      </c>
      <c r="V26">
        <f>IFERROR(MATCH(TRUE,INDEX(ISNUMBER('03_Base_Indice'!S26:$U26),0),0)+8,"")</f>
        <v>9</v>
      </c>
      <c r="W26">
        <f>IFERROR(MATCH(TRUE,INDEX(ISNUMBER('03_Base_Indice'!T26:$U26),0),0)+9,"")</f>
        <v>10</v>
      </c>
      <c r="X26" t="str">
        <f>IFERROR(MATCH(TRUE,INDEX(ISNUMBER('03_Base_Indice'!U26:$U26),0),0)+10,"")</f>
        <v/>
      </c>
      <c r="Z26">
        <f>IF(B26="","",INDEX('03_Base_Indice'!$K26:$U26,B26))</f>
        <v>38.799999999999997</v>
      </c>
      <c r="AA26">
        <f>IF(C26="","",INDEX('03_Base_Indice'!$K26:$U26,C26))</f>
        <v>37.6</v>
      </c>
      <c r="AB26">
        <f>IF(D26="","",INDEX('03_Base_Indice'!$K26:$U26,D26))</f>
        <v>36.700000000000003</v>
      </c>
      <c r="AC26">
        <f>IF(E26="","",INDEX('03_Base_Indice'!$K26:$U26,E26))</f>
        <v>36</v>
      </c>
      <c r="AD26">
        <f>IF(F26="","",INDEX('03_Base_Indice'!$K26:$U26,F26))</f>
        <v>35.5</v>
      </c>
      <c r="AE26">
        <f>IF(G26="","",INDEX('03_Base_Indice'!$K26:$U26,G26))</f>
        <v>34.9</v>
      </c>
      <c r="AF26">
        <f>IF(H26="","",INDEX('03_Base_Indice'!$K26:$U26,H26))</f>
        <v>34.4</v>
      </c>
      <c r="AG26">
        <f>IF(I26="","",INDEX('03_Base_Indice'!$K26:$U26,I26))</f>
        <v>33.700000000000003</v>
      </c>
      <c r="AH26">
        <f>IF(J26="","",INDEX('03_Base_Indice'!$K26:$U26,J26))</f>
        <v>33</v>
      </c>
      <c r="AI26">
        <f>IF(K26="","",INDEX('03_Base_Indice'!$K26:$U26,K26))</f>
        <v>32.1</v>
      </c>
      <c r="AJ26">
        <f>IF(L26="","",INDEX('03_Base_Indice'!$K26:$U26,L26))</f>
        <v>32.1</v>
      </c>
      <c r="AL26">
        <f>IF(N26="","",INDEX('03_Base_Indice'!$K26:$U26,N26))</f>
        <v>38.799999999999997</v>
      </c>
      <c r="AM26">
        <f>IF(O26="","",INDEX('03_Base_Indice'!$K26:$U26,O26))</f>
        <v>37.6</v>
      </c>
      <c r="AN26">
        <f>IF(P26="","",INDEX('03_Base_Indice'!$K26:$U26,P26))</f>
        <v>36.700000000000003</v>
      </c>
      <c r="AO26">
        <f>IF(Q26="","",INDEX('03_Base_Indice'!$K26:$U26,Q26))</f>
        <v>36</v>
      </c>
      <c r="AP26">
        <f>IF(R26="","",INDEX('03_Base_Indice'!$K26:$U26,R26))</f>
        <v>35.5</v>
      </c>
      <c r="AQ26">
        <f>IF(S26="","",INDEX('03_Base_Indice'!$K26:$U26,S26))</f>
        <v>34.9</v>
      </c>
      <c r="AR26">
        <f>IF(T26="","",INDEX('03_Base_Indice'!$K26:$U26,T26))</f>
        <v>34.4</v>
      </c>
      <c r="AS26">
        <f>IF(U26="","",INDEX('03_Base_Indice'!$K26:$U26,U26))</f>
        <v>33.700000000000003</v>
      </c>
      <c r="AT26">
        <f>IF(V26="","",INDEX('03_Base_Indice'!$K26:$U26,V26))</f>
        <v>33</v>
      </c>
      <c r="AU26">
        <f>IF(W26="","",INDEX('03_Base_Indice'!$K26:$U26,W26))</f>
        <v>32.1</v>
      </c>
      <c r="AV26" t="str">
        <f>IF(X26="","",INDEX('03_Base_Indice'!$K26:$U26,X26))</f>
        <v/>
      </c>
      <c r="AX26">
        <f>IF('06_Normalizacao'!K26="",0,'06_Normalizacao'!K26)</f>
        <v>74.13333333333334</v>
      </c>
      <c r="AY26">
        <f>IF('06_Normalizacao'!L26="",0,'06_Normalizacao'!L26)</f>
        <v>74.933333333333337</v>
      </c>
      <c r="AZ26">
        <f>IF('06_Normalizacao'!M26="",0,'06_Normalizacao'!M26)</f>
        <v>75.533333333333331</v>
      </c>
      <c r="BA26">
        <f>IF('06_Normalizacao'!N26="",0,'06_Normalizacao'!N26)</f>
        <v>76</v>
      </c>
      <c r="BB26">
        <f>IF('06_Normalizacao'!O26="",0,'06_Normalizacao'!O26)</f>
        <v>76.333333333333329</v>
      </c>
      <c r="BC26">
        <f>IF('06_Normalizacao'!P26="",0,'06_Normalizacao'!P26)</f>
        <v>76.733333333333334</v>
      </c>
      <c r="BD26">
        <f>IF('06_Normalizacao'!Q26="",0,'06_Normalizacao'!Q26)</f>
        <v>77.066666666666663</v>
      </c>
      <c r="BE26">
        <f>IF('06_Normalizacao'!R26="",0,'06_Normalizacao'!R26)</f>
        <v>77.533333333333331</v>
      </c>
      <c r="BF26">
        <f>IF('06_Normalizacao'!S26="",0,'06_Normalizacao'!S26)</f>
        <v>78</v>
      </c>
      <c r="BG26">
        <f>IF('06_Normalizacao'!T26="",0,'06_Normalizacao'!T26)</f>
        <v>78.599999999999994</v>
      </c>
      <c r="BH26">
        <f>IF('06_Normalizacao'!U26="",0,'06_Normalizacao'!U26)</f>
        <v>78.599999999999994</v>
      </c>
      <c r="BJ26">
        <f>IF('06_Normalizacao'!K26="",0,1)</f>
        <v>1</v>
      </c>
      <c r="BK26">
        <f>IF('06_Normalizacao'!L26="",0,1)</f>
        <v>1</v>
      </c>
      <c r="BL26">
        <f>IF('06_Normalizacao'!M26="",0,1)</f>
        <v>1</v>
      </c>
      <c r="BM26">
        <f>IF('06_Normalizacao'!N26="",0,1)</f>
        <v>1</v>
      </c>
      <c r="BN26">
        <f>IF('06_Normalizacao'!O26="",0,1)</f>
        <v>1</v>
      </c>
      <c r="BO26">
        <f>IF('06_Normalizacao'!P26="",0,1)</f>
        <v>1</v>
      </c>
      <c r="BP26">
        <f>IF('06_Normalizacao'!Q26="",0,1)</f>
        <v>1</v>
      </c>
      <c r="BQ26">
        <f>IF('06_Normalizacao'!R26="",0,1)</f>
        <v>1</v>
      </c>
      <c r="BR26">
        <f>IF('06_Normalizacao'!S26="",0,1)</f>
        <v>1</v>
      </c>
      <c r="BS26">
        <f>IF('06_Normalizacao'!T26="",0,1)</f>
        <v>1</v>
      </c>
      <c r="BT26">
        <f>IF('06_Normalizacao'!U26="",0,1)</f>
        <v>1</v>
      </c>
    </row>
    <row r="27" spans="1:72">
      <c r="A27" s="6" t="str">
        <f>'03_Base_Indice'!D27</f>
        <v>HUM030</v>
      </c>
      <c r="B27">
        <f>IFERROR(LOOKUP(2,1/ISNUMBER('03_Base_Indice'!$K27:K27),COLUMN('03_Base_Indice'!$K27:K27)-COLUMN('03_Base_Indice'!$K27)+1),"")</f>
        <v>1</v>
      </c>
      <c r="C27">
        <f>IFERROR(LOOKUP(2,1/ISNUMBER('03_Base_Indice'!$K27:L27),COLUMN('03_Base_Indice'!$K27:L27)-COLUMN('03_Base_Indice'!$K27)+1),"")</f>
        <v>2</v>
      </c>
      <c r="D27">
        <f>IFERROR(LOOKUP(2,1/ISNUMBER('03_Base_Indice'!$K27:M27),COLUMN('03_Base_Indice'!$K27:M27)-COLUMN('03_Base_Indice'!$K27)+1),"")</f>
        <v>3</v>
      </c>
      <c r="E27">
        <f>IFERROR(LOOKUP(2,1/ISNUMBER('03_Base_Indice'!$K27:N27),COLUMN('03_Base_Indice'!$K27:N27)-COLUMN('03_Base_Indice'!$K27)+1),"")</f>
        <v>4</v>
      </c>
      <c r="F27">
        <f>IFERROR(LOOKUP(2,1/ISNUMBER('03_Base_Indice'!$K27:O27),COLUMN('03_Base_Indice'!$K27:O27)-COLUMN('03_Base_Indice'!$K27)+1),"")</f>
        <v>5</v>
      </c>
      <c r="G27">
        <f>IFERROR(LOOKUP(2,1/ISNUMBER('03_Base_Indice'!$K27:P27),COLUMN('03_Base_Indice'!$K27:P27)-COLUMN('03_Base_Indice'!$K27)+1),"")</f>
        <v>6</v>
      </c>
      <c r="H27">
        <f>IFERROR(LOOKUP(2,1/ISNUMBER('03_Base_Indice'!$K27:Q27),COLUMN('03_Base_Indice'!$K27:Q27)-COLUMN('03_Base_Indice'!$K27)+1),"")</f>
        <v>7</v>
      </c>
      <c r="I27">
        <f>IFERROR(LOOKUP(2,1/ISNUMBER('03_Base_Indice'!$K27:R27),COLUMN('03_Base_Indice'!$K27:R27)-COLUMN('03_Base_Indice'!$K27)+1),"")</f>
        <v>8</v>
      </c>
      <c r="J27">
        <f>IFERROR(LOOKUP(2,1/ISNUMBER('03_Base_Indice'!$K27:S27),COLUMN('03_Base_Indice'!$K27:S27)-COLUMN('03_Base_Indice'!$K27)+1),"")</f>
        <v>9</v>
      </c>
      <c r="K27">
        <f>IFERROR(LOOKUP(2,1/ISNUMBER('03_Base_Indice'!$K27:T27),COLUMN('03_Base_Indice'!$K27:T27)-COLUMN('03_Base_Indice'!$K27)+1),"")</f>
        <v>10</v>
      </c>
      <c r="L27">
        <f>IFERROR(LOOKUP(2,1/ISNUMBER('03_Base_Indice'!$K27:U27),COLUMN('03_Base_Indice'!$K27:U27)-COLUMN('03_Base_Indice'!$K27)+1),"")</f>
        <v>11</v>
      </c>
      <c r="N27">
        <f>IFERROR(MATCH(TRUE,INDEX(ISNUMBER('03_Base_Indice'!K27:$U27),0),0)+0,"")</f>
        <v>1</v>
      </c>
      <c r="O27">
        <f>IFERROR(MATCH(TRUE,INDEX(ISNUMBER('03_Base_Indice'!L27:$U27),0),0)+1,"")</f>
        <v>2</v>
      </c>
      <c r="P27">
        <f>IFERROR(MATCH(TRUE,INDEX(ISNUMBER('03_Base_Indice'!M27:$U27),0),0)+2,"")</f>
        <v>3</v>
      </c>
      <c r="Q27">
        <f>IFERROR(MATCH(TRUE,INDEX(ISNUMBER('03_Base_Indice'!N27:$U27),0),0)+3,"")</f>
        <v>4</v>
      </c>
      <c r="R27">
        <f>IFERROR(MATCH(TRUE,INDEX(ISNUMBER('03_Base_Indice'!O27:$U27),0),0)+4,"")</f>
        <v>5</v>
      </c>
      <c r="S27">
        <f>IFERROR(MATCH(TRUE,INDEX(ISNUMBER('03_Base_Indice'!P27:$U27),0),0)+5,"")</f>
        <v>6</v>
      </c>
      <c r="T27">
        <f>IFERROR(MATCH(TRUE,INDEX(ISNUMBER('03_Base_Indice'!Q27:$U27),0),0)+6,"")</f>
        <v>7</v>
      </c>
      <c r="U27">
        <f>IFERROR(MATCH(TRUE,INDEX(ISNUMBER('03_Base_Indice'!R27:$U27),0),0)+7,"")</f>
        <v>8</v>
      </c>
      <c r="V27">
        <f>IFERROR(MATCH(TRUE,INDEX(ISNUMBER('03_Base_Indice'!S27:$U27),0),0)+8,"")</f>
        <v>9</v>
      </c>
      <c r="W27">
        <f>IFERROR(MATCH(TRUE,INDEX(ISNUMBER('03_Base_Indice'!T27:$U27),0),0)+9,"")</f>
        <v>10</v>
      </c>
      <c r="X27">
        <f>IFERROR(MATCH(TRUE,INDEX(ISNUMBER('03_Base_Indice'!U27:$U27),0),0)+10,"")</f>
        <v>11</v>
      </c>
      <c r="Z27">
        <f>IF(B27="","",INDEX('03_Base_Indice'!$K27:$U27,B27))</f>
        <v>6</v>
      </c>
      <c r="AA27">
        <f>IF(C27="","",INDEX('03_Base_Indice'!$K27:$U27,C27))</f>
        <v>10</v>
      </c>
      <c r="AB27">
        <f>IF(D27="","",INDEX('03_Base_Indice'!$K27:$U27,D27))</f>
        <v>10</v>
      </c>
      <c r="AC27">
        <f>IF(E27="","",INDEX('03_Base_Indice'!$K27:$U27,E27))</f>
        <v>10</v>
      </c>
      <c r="AD27">
        <f>IF(F27="","",INDEX('03_Base_Indice'!$K27:$U27,F27))</f>
        <v>10</v>
      </c>
      <c r="AE27">
        <f>IF(G27="","",INDEX('03_Base_Indice'!$K27:$U27,G27))</f>
        <v>10</v>
      </c>
      <c r="AF27">
        <f>IF(H27="","",INDEX('03_Base_Indice'!$K27:$U27,H27))</f>
        <v>10</v>
      </c>
      <c r="AG27">
        <f>IF(I27="","",INDEX('03_Base_Indice'!$K27:$U27,I27))</f>
        <v>10</v>
      </c>
      <c r="AH27">
        <f>IF(J27="","",INDEX('03_Base_Indice'!$K27:$U27,J27))</f>
        <v>10</v>
      </c>
      <c r="AI27">
        <f>IF(K27="","",INDEX('03_Base_Indice'!$K27:$U27,K27))</f>
        <v>10</v>
      </c>
      <c r="AJ27">
        <f>IF(L27="","",INDEX('03_Base_Indice'!$K27:$U27,L27))</f>
        <v>10</v>
      </c>
      <c r="AL27">
        <f>IF(N27="","",INDEX('03_Base_Indice'!$K27:$U27,N27))</f>
        <v>6</v>
      </c>
      <c r="AM27">
        <f>IF(O27="","",INDEX('03_Base_Indice'!$K27:$U27,O27))</f>
        <v>10</v>
      </c>
      <c r="AN27">
        <f>IF(P27="","",INDEX('03_Base_Indice'!$K27:$U27,P27))</f>
        <v>10</v>
      </c>
      <c r="AO27">
        <f>IF(Q27="","",INDEX('03_Base_Indice'!$K27:$U27,Q27))</f>
        <v>10</v>
      </c>
      <c r="AP27">
        <f>IF(R27="","",INDEX('03_Base_Indice'!$K27:$U27,R27))</f>
        <v>10</v>
      </c>
      <c r="AQ27">
        <f>IF(S27="","",INDEX('03_Base_Indice'!$K27:$U27,S27))</f>
        <v>10</v>
      </c>
      <c r="AR27">
        <f>IF(T27="","",INDEX('03_Base_Indice'!$K27:$U27,T27))</f>
        <v>10</v>
      </c>
      <c r="AS27">
        <f>IF(U27="","",INDEX('03_Base_Indice'!$K27:$U27,U27))</f>
        <v>10</v>
      </c>
      <c r="AT27">
        <f>IF(V27="","",INDEX('03_Base_Indice'!$K27:$U27,V27))</f>
        <v>10</v>
      </c>
      <c r="AU27">
        <f>IF(W27="","",INDEX('03_Base_Indice'!$K27:$U27,W27))</f>
        <v>10</v>
      </c>
      <c r="AV27">
        <f>IF(X27="","",INDEX('03_Base_Indice'!$K27:$U27,X27))</f>
        <v>10</v>
      </c>
      <c r="AX27">
        <f>IF('06_Normalizacao'!K27="",0,'06_Normalizacao'!K27)</f>
        <v>46.153846153846153</v>
      </c>
      <c r="AY27">
        <f>IF('06_Normalizacao'!L27="",0,'06_Normalizacao'!L27)</f>
        <v>76.92307692307692</v>
      </c>
      <c r="AZ27">
        <f>IF('06_Normalizacao'!M27="",0,'06_Normalizacao'!M27)</f>
        <v>76.92307692307692</v>
      </c>
      <c r="BA27">
        <f>IF('06_Normalizacao'!N27="",0,'06_Normalizacao'!N27)</f>
        <v>76.92307692307692</v>
      </c>
      <c r="BB27">
        <f>IF('06_Normalizacao'!O27="",0,'06_Normalizacao'!O27)</f>
        <v>76.92307692307692</v>
      </c>
      <c r="BC27">
        <f>IF('06_Normalizacao'!P27="",0,'06_Normalizacao'!P27)</f>
        <v>76.92307692307692</v>
      </c>
      <c r="BD27">
        <f>IF('06_Normalizacao'!Q27="",0,'06_Normalizacao'!Q27)</f>
        <v>76.92307692307692</v>
      </c>
      <c r="BE27">
        <f>IF('06_Normalizacao'!R27="",0,'06_Normalizacao'!R27)</f>
        <v>76.92307692307692</v>
      </c>
      <c r="BF27">
        <f>IF('06_Normalizacao'!S27="",0,'06_Normalizacao'!S27)</f>
        <v>76.92307692307692</v>
      </c>
      <c r="BG27">
        <f>IF('06_Normalizacao'!T27="",0,'06_Normalizacao'!T27)</f>
        <v>76.92307692307692</v>
      </c>
      <c r="BH27">
        <f>IF('06_Normalizacao'!U27="",0,'06_Normalizacao'!U27)</f>
        <v>76.92307692307692</v>
      </c>
      <c r="BJ27">
        <f>IF('06_Normalizacao'!K27="",0,1)</f>
        <v>1</v>
      </c>
      <c r="BK27">
        <f>IF('06_Normalizacao'!L27="",0,1)</f>
        <v>1</v>
      </c>
      <c r="BL27">
        <f>IF('06_Normalizacao'!M27="",0,1)</f>
        <v>1</v>
      </c>
      <c r="BM27">
        <f>IF('06_Normalizacao'!N27="",0,1)</f>
        <v>1</v>
      </c>
      <c r="BN27">
        <f>IF('06_Normalizacao'!O27="",0,1)</f>
        <v>1</v>
      </c>
      <c r="BO27">
        <f>IF('06_Normalizacao'!P27="",0,1)</f>
        <v>1</v>
      </c>
      <c r="BP27">
        <f>IF('06_Normalizacao'!Q27="",0,1)</f>
        <v>1</v>
      </c>
      <c r="BQ27">
        <f>IF('06_Normalizacao'!R27="",0,1)</f>
        <v>1</v>
      </c>
      <c r="BR27">
        <f>IF('06_Normalizacao'!S27="",0,1)</f>
        <v>1</v>
      </c>
      <c r="BS27">
        <f>IF('06_Normalizacao'!T27="",0,1)</f>
        <v>1</v>
      </c>
      <c r="BT27">
        <f>IF('06_Normalizacao'!U27="",0,1)</f>
        <v>1</v>
      </c>
    </row>
    <row r="28" spans="1:72">
      <c r="A28" s="6" t="str">
        <f>'03_Base_Indice'!D28</f>
        <v>HUM010</v>
      </c>
      <c r="B28">
        <f>IFERROR(LOOKUP(2,1/ISNUMBER('03_Base_Indice'!$K28:K28),COLUMN('03_Base_Indice'!$K28:K28)-COLUMN('03_Base_Indice'!$K28)+1),"")</f>
        <v>1</v>
      </c>
      <c r="C28">
        <f>IFERROR(LOOKUP(2,1/ISNUMBER('03_Base_Indice'!$K28:L28),COLUMN('03_Base_Indice'!$K28:L28)-COLUMN('03_Base_Indice'!$K28)+1),"")</f>
        <v>2</v>
      </c>
      <c r="D28">
        <f>IFERROR(LOOKUP(2,1/ISNUMBER('03_Base_Indice'!$K28:M28),COLUMN('03_Base_Indice'!$K28:M28)-COLUMN('03_Base_Indice'!$K28)+1),"")</f>
        <v>3</v>
      </c>
      <c r="E28">
        <f>IFERROR(LOOKUP(2,1/ISNUMBER('03_Base_Indice'!$K28:N28),COLUMN('03_Base_Indice'!$K28:N28)-COLUMN('03_Base_Indice'!$K28)+1),"")</f>
        <v>4</v>
      </c>
      <c r="F28">
        <f>IFERROR(LOOKUP(2,1/ISNUMBER('03_Base_Indice'!$K28:O28),COLUMN('03_Base_Indice'!$K28:O28)-COLUMN('03_Base_Indice'!$K28)+1),"")</f>
        <v>5</v>
      </c>
      <c r="G28">
        <f>IFERROR(LOOKUP(2,1/ISNUMBER('03_Base_Indice'!$K28:P28),COLUMN('03_Base_Indice'!$K28:P28)-COLUMN('03_Base_Indice'!$K28)+1),"")</f>
        <v>6</v>
      </c>
      <c r="H28">
        <f>IFERROR(LOOKUP(2,1/ISNUMBER('03_Base_Indice'!$K28:Q28),COLUMN('03_Base_Indice'!$K28:Q28)-COLUMN('03_Base_Indice'!$K28)+1),"")</f>
        <v>7</v>
      </c>
      <c r="I28">
        <f>IFERROR(LOOKUP(2,1/ISNUMBER('03_Base_Indice'!$K28:R28),COLUMN('03_Base_Indice'!$K28:R28)-COLUMN('03_Base_Indice'!$K28)+1),"")</f>
        <v>8</v>
      </c>
      <c r="J28">
        <f>IFERROR(LOOKUP(2,1/ISNUMBER('03_Base_Indice'!$K28:S28),COLUMN('03_Base_Indice'!$K28:S28)-COLUMN('03_Base_Indice'!$K28)+1),"")</f>
        <v>9</v>
      </c>
      <c r="K28">
        <f>IFERROR(LOOKUP(2,1/ISNUMBER('03_Base_Indice'!$K28:T28),COLUMN('03_Base_Indice'!$K28:T28)-COLUMN('03_Base_Indice'!$K28)+1),"")</f>
        <v>9</v>
      </c>
      <c r="L28">
        <f>IFERROR(LOOKUP(2,1/ISNUMBER('03_Base_Indice'!$K28:U28),COLUMN('03_Base_Indice'!$K28:U28)-COLUMN('03_Base_Indice'!$K28)+1),"")</f>
        <v>9</v>
      </c>
      <c r="N28">
        <f>IFERROR(MATCH(TRUE,INDEX(ISNUMBER('03_Base_Indice'!K28:$U28),0),0)+0,"")</f>
        <v>1</v>
      </c>
      <c r="O28">
        <f>IFERROR(MATCH(TRUE,INDEX(ISNUMBER('03_Base_Indice'!L28:$U28),0),0)+1,"")</f>
        <v>2</v>
      </c>
      <c r="P28">
        <f>IFERROR(MATCH(TRUE,INDEX(ISNUMBER('03_Base_Indice'!M28:$U28),0),0)+2,"")</f>
        <v>3</v>
      </c>
      <c r="Q28">
        <f>IFERROR(MATCH(TRUE,INDEX(ISNUMBER('03_Base_Indice'!N28:$U28),0),0)+3,"")</f>
        <v>4</v>
      </c>
      <c r="R28">
        <f>IFERROR(MATCH(TRUE,INDEX(ISNUMBER('03_Base_Indice'!O28:$U28),0),0)+4,"")</f>
        <v>5</v>
      </c>
      <c r="S28">
        <f>IFERROR(MATCH(TRUE,INDEX(ISNUMBER('03_Base_Indice'!P28:$U28),0),0)+5,"")</f>
        <v>6</v>
      </c>
      <c r="T28">
        <f>IFERROR(MATCH(TRUE,INDEX(ISNUMBER('03_Base_Indice'!Q28:$U28),0),0)+6,"")</f>
        <v>7</v>
      </c>
      <c r="U28">
        <f>IFERROR(MATCH(TRUE,INDEX(ISNUMBER('03_Base_Indice'!R28:$U28),0),0)+7,"")</f>
        <v>8</v>
      </c>
      <c r="V28">
        <f>IFERROR(MATCH(TRUE,INDEX(ISNUMBER('03_Base_Indice'!S28:$U28),0),0)+8,"")</f>
        <v>9</v>
      </c>
      <c r="W28" t="str">
        <f>IFERROR(MATCH(TRUE,INDEX(ISNUMBER('03_Base_Indice'!T28:$U28),0),0)+9,"")</f>
        <v/>
      </c>
      <c r="X28" t="str">
        <f>IFERROR(MATCH(TRUE,INDEX(ISNUMBER('03_Base_Indice'!U28:$U28),0),0)+10,"")</f>
        <v/>
      </c>
      <c r="Z28">
        <f>IF(B28="","",INDEX('03_Base_Indice'!$K28:$U28,B28))</f>
        <v>3.48689580393413</v>
      </c>
      <c r="AA28">
        <f>IF(C28="","",INDEX('03_Base_Indice'!$K28:$U28,C28))</f>
        <v>2.7549366458272502</v>
      </c>
      <c r="AB28">
        <f>IF(D28="","",INDEX('03_Base_Indice'!$K28:$U28,D28))</f>
        <v>2.46687881104886</v>
      </c>
      <c r="AC28">
        <f>IF(E28="","",INDEX('03_Base_Indice'!$K28:$U28,E28))</f>
        <v>2.1835129894627499</v>
      </c>
      <c r="AD28">
        <f>IF(F28="","",INDEX('03_Base_Indice'!$K28:$U28,F28))</f>
        <v>2.0730643818160299</v>
      </c>
      <c r="AE28">
        <f>IF(G28="","",INDEX('03_Base_Indice'!$K28:$U28,G28))</f>
        <v>2.6674473368928502</v>
      </c>
      <c r="AF28">
        <f>IF(H28="","",INDEX('03_Base_Indice'!$K28:$U28,H28))</f>
        <v>2.29719689513241</v>
      </c>
      <c r="AG28">
        <f>IF(I28="","",INDEX('03_Base_Indice'!$K28:$U28,I28))</f>
        <v>2.3853589841663299</v>
      </c>
      <c r="AH28">
        <f>IF(J28="","",INDEX('03_Base_Indice'!$K28:$U28,J28))</f>
        <v>2.51273663315785</v>
      </c>
      <c r="AI28">
        <f>IF(K28="","",INDEX('03_Base_Indice'!$K28:$U28,K28))</f>
        <v>2.51273663315785</v>
      </c>
      <c r="AJ28">
        <f>IF(L28="","",INDEX('03_Base_Indice'!$K28:$U28,L28))</f>
        <v>2.51273663315785</v>
      </c>
      <c r="AL28">
        <f>IF(N28="","",INDEX('03_Base_Indice'!$K28:$U28,N28))</f>
        <v>3.48689580393413</v>
      </c>
      <c r="AM28">
        <f>IF(O28="","",INDEX('03_Base_Indice'!$K28:$U28,O28))</f>
        <v>2.7549366458272502</v>
      </c>
      <c r="AN28">
        <f>IF(P28="","",INDEX('03_Base_Indice'!$K28:$U28,P28))</f>
        <v>2.46687881104886</v>
      </c>
      <c r="AO28">
        <f>IF(Q28="","",INDEX('03_Base_Indice'!$K28:$U28,Q28))</f>
        <v>2.1835129894627499</v>
      </c>
      <c r="AP28">
        <f>IF(R28="","",INDEX('03_Base_Indice'!$K28:$U28,R28))</f>
        <v>2.0730643818160299</v>
      </c>
      <c r="AQ28">
        <f>IF(S28="","",INDEX('03_Base_Indice'!$K28:$U28,S28))</f>
        <v>2.6674473368928502</v>
      </c>
      <c r="AR28">
        <f>IF(T28="","",INDEX('03_Base_Indice'!$K28:$U28,T28))</f>
        <v>2.29719689513241</v>
      </c>
      <c r="AS28">
        <f>IF(U28="","",INDEX('03_Base_Indice'!$K28:$U28,U28))</f>
        <v>2.3853589841663299</v>
      </c>
      <c r="AT28">
        <f>IF(V28="","",INDEX('03_Base_Indice'!$K28:$U28,V28))</f>
        <v>2.51273663315785</v>
      </c>
      <c r="AU28" t="str">
        <f>IF(W28="","",INDEX('03_Base_Indice'!$K28:$U28,W28))</f>
        <v/>
      </c>
      <c r="AV28" t="str">
        <f>IF(X28="","",INDEX('03_Base_Indice'!$K28:$U28,X28))</f>
        <v/>
      </c>
      <c r="AX28">
        <f>IF('06_Normalizacao'!K28="",0,'06_Normalizacao'!K28)</f>
        <v>34.868958039341301</v>
      </c>
      <c r="AY28">
        <f>IF('06_Normalizacao'!L28="",0,'06_Normalizacao'!L28)</f>
        <v>27.549366458272505</v>
      </c>
      <c r="AZ28">
        <f>IF('06_Normalizacao'!M28="",0,'06_Normalizacao'!M28)</f>
        <v>24.668788110488599</v>
      </c>
      <c r="BA28">
        <f>IF('06_Normalizacao'!N28="",0,'06_Normalizacao'!N28)</f>
        <v>21.835129894627499</v>
      </c>
      <c r="BB28">
        <f>IF('06_Normalizacao'!O28="",0,'06_Normalizacao'!O28)</f>
        <v>20.730643818160299</v>
      </c>
      <c r="BC28">
        <f>IF('06_Normalizacao'!P28="",0,'06_Normalizacao'!P28)</f>
        <v>26.674473368928499</v>
      </c>
      <c r="BD28">
        <f>IF('06_Normalizacao'!Q28="",0,'06_Normalizacao'!Q28)</f>
        <v>22.971968951324101</v>
      </c>
      <c r="BE28">
        <f>IF('06_Normalizacao'!R28="",0,'06_Normalizacao'!R28)</f>
        <v>23.8535898416633</v>
      </c>
      <c r="BF28">
        <f>IF('06_Normalizacao'!S28="",0,'06_Normalizacao'!S28)</f>
        <v>25.1273663315785</v>
      </c>
      <c r="BG28">
        <f>IF('06_Normalizacao'!T28="",0,'06_Normalizacao'!T28)</f>
        <v>25.1273663315785</v>
      </c>
      <c r="BH28">
        <f>IF('06_Normalizacao'!U28="",0,'06_Normalizacao'!U28)</f>
        <v>25.1273663315785</v>
      </c>
      <c r="BJ28">
        <f>IF('06_Normalizacao'!K28="",0,1)</f>
        <v>1</v>
      </c>
      <c r="BK28">
        <f>IF('06_Normalizacao'!L28="",0,1)</f>
        <v>1</v>
      </c>
      <c r="BL28">
        <f>IF('06_Normalizacao'!M28="",0,1)</f>
        <v>1</v>
      </c>
      <c r="BM28">
        <f>IF('06_Normalizacao'!N28="",0,1)</f>
        <v>1</v>
      </c>
      <c r="BN28">
        <f>IF('06_Normalizacao'!O28="",0,1)</f>
        <v>1</v>
      </c>
      <c r="BO28">
        <f>IF('06_Normalizacao'!P28="",0,1)</f>
        <v>1</v>
      </c>
      <c r="BP28">
        <f>IF('06_Normalizacao'!Q28="",0,1)</f>
        <v>1</v>
      </c>
      <c r="BQ28">
        <f>IF('06_Normalizacao'!R28="",0,1)</f>
        <v>1</v>
      </c>
      <c r="BR28">
        <f>IF('06_Normalizacao'!S28="",0,1)</f>
        <v>1</v>
      </c>
      <c r="BS28">
        <f>IF('06_Normalizacao'!T28="",0,1)</f>
        <v>1</v>
      </c>
      <c r="BT28">
        <f>IF('06_Normalizacao'!U28="",0,1)</f>
        <v>1</v>
      </c>
    </row>
    <row r="29" spans="1:72">
      <c r="A29" s="6" t="str">
        <f>'03_Base_Indice'!D29</f>
        <v/>
      </c>
      <c r="B29" t="str">
        <f>IFERROR(LOOKUP(2,1/ISNUMBER('03_Base_Indice'!$K29:K29),COLUMN('03_Base_Indice'!$K29:K29)-COLUMN('03_Base_Indice'!$K29)+1),"")</f>
        <v/>
      </c>
      <c r="C29" t="str">
        <f>IFERROR(LOOKUP(2,1/ISNUMBER('03_Base_Indice'!$K29:L29),COLUMN('03_Base_Indice'!$K29:L29)-COLUMN('03_Base_Indice'!$K29)+1),"")</f>
        <v/>
      </c>
      <c r="D29" t="str">
        <f>IFERROR(LOOKUP(2,1/ISNUMBER('03_Base_Indice'!$K29:M29),COLUMN('03_Base_Indice'!$K29:M29)-COLUMN('03_Base_Indice'!$K29)+1),"")</f>
        <v/>
      </c>
      <c r="E29" t="str">
        <f>IFERROR(LOOKUP(2,1/ISNUMBER('03_Base_Indice'!$K29:N29),COLUMN('03_Base_Indice'!$K29:N29)-COLUMN('03_Base_Indice'!$K29)+1),"")</f>
        <v/>
      </c>
      <c r="F29" t="str">
        <f>IFERROR(LOOKUP(2,1/ISNUMBER('03_Base_Indice'!$K29:O29),COLUMN('03_Base_Indice'!$K29:O29)-COLUMN('03_Base_Indice'!$K29)+1),"")</f>
        <v/>
      </c>
      <c r="G29" t="str">
        <f>IFERROR(LOOKUP(2,1/ISNUMBER('03_Base_Indice'!$K29:P29),COLUMN('03_Base_Indice'!$K29:P29)-COLUMN('03_Base_Indice'!$K29)+1),"")</f>
        <v/>
      </c>
      <c r="H29" t="str">
        <f>IFERROR(LOOKUP(2,1/ISNUMBER('03_Base_Indice'!$K29:Q29),COLUMN('03_Base_Indice'!$K29:Q29)-COLUMN('03_Base_Indice'!$K29)+1),"")</f>
        <v/>
      </c>
      <c r="I29" t="str">
        <f>IFERROR(LOOKUP(2,1/ISNUMBER('03_Base_Indice'!$K29:R29),COLUMN('03_Base_Indice'!$K29:R29)-COLUMN('03_Base_Indice'!$K29)+1),"")</f>
        <v/>
      </c>
      <c r="J29" t="str">
        <f>IFERROR(LOOKUP(2,1/ISNUMBER('03_Base_Indice'!$K29:S29),COLUMN('03_Base_Indice'!$K29:S29)-COLUMN('03_Base_Indice'!$K29)+1),"")</f>
        <v/>
      </c>
      <c r="K29" t="str">
        <f>IFERROR(LOOKUP(2,1/ISNUMBER('03_Base_Indice'!$K29:T29),COLUMN('03_Base_Indice'!$K29:T29)-COLUMN('03_Base_Indice'!$K29)+1),"")</f>
        <v/>
      </c>
      <c r="L29" t="str">
        <f>IFERROR(LOOKUP(2,1/ISNUMBER('03_Base_Indice'!$K29:U29),COLUMN('03_Base_Indice'!$K29:U29)-COLUMN('03_Base_Indice'!$K29)+1),"")</f>
        <v/>
      </c>
      <c r="N29" t="str">
        <f>IFERROR(MATCH(TRUE,INDEX(ISNUMBER('03_Base_Indice'!K29:$U29),0),0)+0,"")</f>
        <v/>
      </c>
      <c r="O29" t="str">
        <f>IFERROR(MATCH(TRUE,INDEX(ISNUMBER('03_Base_Indice'!L29:$U29),0),0)+1,"")</f>
        <v/>
      </c>
      <c r="P29" t="str">
        <f>IFERROR(MATCH(TRUE,INDEX(ISNUMBER('03_Base_Indice'!M29:$U29),0),0)+2,"")</f>
        <v/>
      </c>
      <c r="Q29" t="str">
        <f>IFERROR(MATCH(TRUE,INDEX(ISNUMBER('03_Base_Indice'!N29:$U29),0),0)+3,"")</f>
        <v/>
      </c>
      <c r="R29" t="str">
        <f>IFERROR(MATCH(TRUE,INDEX(ISNUMBER('03_Base_Indice'!O29:$U29),0),0)+4,"")</f>
        <v/>
      </c>
      <c r="S29" t="str">
        <f>IFERROR(MATCH(TRUE,INDEX(ISNUMBER('03_Base_Indice'!P29:$U29),0),0)+5,"")</f>
        <v/>
      </c>
      <c r="T29" t="str">
        <f>IFERROR(MATCH(TRUE,INDEX(ISNUMBER('03_Base_Indice'!Q29:$U29),0),0)+6,"")</f>
        <v/>
      </c>
      <c r="U29" t="str">
        <f>IFERROR(MATCH(TRUE,INDEX(ISNUMBER('03_Base_Indice'!R29:$U29),0),0)+7,"")</f>
        <v/>
      </c>
      <c r="V29" t="str">
        <f>IFERROR(MATCH(TRUE,INDEX(ISNUMBER('03_Base_Indice'!S29:$U29),0),0)+8,"")</f>
        <v/>
      </c>
      <c r="W29" t="str">
        <f>IFERROR(MATCH(TRUE,INDEX(ISNUMBER('03_Base_Indice'!T29:$U29),0),0)+9,"")</f>
        <v/>
      </c>
      <c r="X29" t="str">
        <f>IFERROR(MATCH(TRUE,INDEX(ISNUMBER('03_Base_Indice'!U29:$U29),0),0)+10,"")</f>
        <v/>
      </c>
      <c r="Z29" t="str">
        <f>IF(B29="","",INDEX('03_Base_Indice'!$K29:$U29,B29))</f>
        <v/>
      </c>
      <c r="AA29" t="str">
        <f>IF(C29="","",INDEX('03_Base_Indice'!$K29:$U29,C29))</f>
        <v/>
      </c>
      <c r="AB29" t="str">
        <f>IF(D29="","",INDEX('03_Base_Indice'!$K29:$U29,D29))</f>
        <v/>
      </c>
      <c r="AC29" t="str">
        <f>IF(E29="","",INDEX('03_Base_Indice'!$K29:$U29,E29))</f>
        <v/>
      </c>
      <c r="AD29" t="str">
        <f>IF(F29="","",INDEX('03_Base_Indice'!$K29:$U29,F29))</f>
        <v/>
      </c>
      <c r="AE29" t="str">
        <f>IF(G29="","",INDEX('03_Base_Indice'!$K29:$U29,G29))</f>
        <v/>
      </c>
      <c r="AF29" t="str">
        <f>IF(H29="","",INDEX('03_Base_Indice'!$K29:$U29,H29))</f>
        <v/>
      </c>
      <c r="AG29" t="str">
        <f>IF(I29="","",INDEX('03_Base_Indice'!$K29:$U29,I29))</f>
        <v/>
      </c>
      <c r="AH29" t="str">
        <f>IF(J29="","",INDEX('03_Base_Indice'!$K29:$U29,J29))</f>
        <v/>
      </c>
      <c r="AI29" t="str">
        <f>IF(K29="","",INDEX('03_Base_Indice'!$K29:$U29,K29))</f>
        <v/>
      </c>
      <c r="AJ29" t="str">
        <f>IF(L29="","",INDEX('03_Base_Indice'!$K29:$U29,L29))</f>
        <v/>
      </c>
      <c r="AL29" t="str">
        <f>IF(N29="","",INDEX('03_Base_Indice'!$K29:$U29,N29))</f>
        <v/>
      </c>
      <c r="AM29" t="str">
        <f>IF(O29="","",INDEX('03_Base_Indice'!$K29:$U29,O29))</f>
        <v/>
      </c>
      <c r="AN29" t="str">
        <f>IF(P29="","",INDEX('03_Base_Indice'!$K29:$U29,P29))</f>
        <v/>
      </c>
      <c r="AO29" t="str">
        <f>IF(Q29="","",INDEX('03_Base_Indice'!$K29:$U29,Q29))</f>
        <v/>
      </c>
      <c r="AP29" t="str">
        <f>IF(R29="","",INDEX('03_Base_Indice'!$K29:$U29,R29))</f>
        <v/>
      </c>
      <c r="AQ29" t="str">
        <f>IF(S29="","",INDEX('03_Base_Indice'!$K29:$U29,S29))</f>
        <v/>
      </c>
      <c r="AR29" t="str">
        <f>IF(T29="","",INDEX('03_Base_Indice'!$K29:$U29,T29))</f>
        <v/>
      </c>
      <c r="AS29" t="str">
        <f>IF(U29="","",INDEX('03_Base_Indice'!$K29:$U29,U29))</f>
        <v/>
      </c>
      <c r="AT29" t="str">
        <f>IF(V29="","",INDEX('03_Base_Indice'!$K29:$U29,V29))</f>
        <v/>
      </c>
      <c r="AU29" t="str">
        <f>IF(W29="","",INDEX('03_Base_Indice'!$K29:$U29,W29))</f>
        <v/>
      </c>
      <c r="AV29" t="str">
        <f>IF(X29="","",INDEX('03_Base_Indice'!$K29:$U29,X29))</f>
        <v/>
      </c>
      <c r="AX29">
        <f>IF('06_Normalizacao'!K29="",0,'06_Normalizacao'!K29)</f>
        <v>0</v>
      </c>
      <c r="AY29">
        <f>IF('06_Normalizacao'!L29="",0,'06_Normalizacao'!L29)</f>
        <v>0</v>
      </c>
      <c r="AZ29">
        <f>IF('06_Normalizacao'!M29="",0,'06_Normalizacao'!M29)</f>
        <v>0</v>
      </c>
      <c r="BA29">
        <f>IF('06_Normalizacao'!N29="",0,'06_Normalizacao'!N29)</f>
        <v>0</v>
      </c>
      <c r="BB29">
        <f>IF('06_Normalizacao'!O29="",0,'06_Normalizacao'!O29)</f>
        <v>0</v>
      </c>
      <c r="BC29">
        <f>IF('06_Normalizacao'!P29="",0,'06_Normalizacao'!P29)</f>
        <v>0</v>
      </c>
      <c r="BD29">
        <f>IF('06_Normalizacao'!Q29="",0,'06_Normalizacao'!Q29)</f>
        <v>0</v>
      </c>
      <c r="BE29">
        <f>IF('06_Normalizacao'!R29="",0,'06_Normalizacao'!R29)</f>
        <v>0</v>
      </c>
      <c r="BF29">
        <f>IF('06_Normalizacao'!S29="",0,'06_Normalizacao'!S29)</f>
        <v>0</v>
      </c>
      <c r="BG29">
        <f>IF('06_Normalizacao'!T29="",0,'06_Normalizacao'!T29)</f>
        <v>0</v>
      </c>
      <c r="BH29">
        <f>IF('06_Normalizacao'!U29="",0,'06_Normalizacao'!U29)</f>
        <v>0</v>
      </c>
      <c r="BJ29">
        <f>IF('06_Normalizacao'!K29="",0,1)</f>
        <v>0</v>
      </c>
      <c r="BK29">
        <f>IF('06_Normalizacao'!L29="",0,1)</f>
        <v>0</v>
      </c>
      <c r="BL29">
        <f>IF('06_Normalizacao'!M29="",0,1)</f>
        <v>0</v>
      </c>
      <c r="BM29">
        <f>IF('06_Normalizacao'!N29="",0,1)</f>
        <v>0</v>
      </c>
      <c r="BN29">
        <f>IF('06_Normalizacao'!O29="",0,1)</f>
        <v>0</v>
      </c>
      <c r="BO29">
        <f>IF('06_Normalizacao'!P29="",0,1)</f>
        <v>0</v>
      </c>
      <c r="BP29">
        <f>IF('06_Normalizacao'!Q29="",0,1)</f>
        <v>0</v>
      </c>
      <c r="BQ29">
        <f>IF('06_Normalizacao'!R29="",0,1)</f>
        <v>0</v>
      </c>
      <c r="BR29">
        <f>IF('06_Normalizacao'!S29="",0,1)</f>
        <v>0</v>
      </c>
      <c r="BS29">
        <f>IF('06_Normalizacao'!T29="",0,1)</f>
        <v>0</v>
      </c>
      <c r="BT29">
        <f>IF('06_Normalizacao'!U29="",0,1)</f>
        <v>0</v>
      </c>
    </row>
    <row r="30" spans="1:72">
      <c r="A30" s="6" t="str">
        <f>'03_Base_Indice'!D30</f>
        <v/>
      </c>
      <c r="B30" t="str">
        <f>IFERROR(LOOKUP(2,1/ISNUMBER('03_Base_Indice'!$K30:K30),COLUMN('03_Base_Indice'!$K30:K30)-COLUMN('03_Base_Indice'!$K30)+1),"")</f>
        <v/>
      </c>
      <c r="C30" t="str">
        <f>IFERROR(LOOKUP(2,1/ISNUMBER('03_Base_Indice'!$K30:L30),COLUMN('03_Base_Indice'!$K30:L30)-COLUMN('03_Base_Indice'!$K30)+1),"")</f>
        <v/>
      </c>
      <c r="D30" t="str">
        <f>IFERROR(LOOKUP(2,1/ISNUMBER('03_Base_Indice'!$K30:M30),COLUMN('03_Base_Indice'!$K30:M30)-COLUMN('03_Base_Indice'!$K30)+1),"")</f>
        <v/>
      </c>
      <c r="E30" t="str">
        <f>IFERROR(LOOKUP(2,1/ISNUMBER('03_Base_Indice'!$K30:N30),COLUMN('03_Base_Indice'!$K30:N30)-COLUMN('03_Base_Indice'!$K30)+1),"")</f>
        <v/>
      </c>
      <c r="F30" t="str">
        <f>IFERROR(LOOKUP(2,1/ISNUMBER('03_Base_Indice'!$K30:O30),COLUMN('03_Base_Indice'!$K30:O30)-COLUMN('03_Base_Indice'!$K30)+1),"")</f>
        <v/>
      </c>
      <c r="G30" t="str">
        <f>IFERROR(LOOKUP(2,1/ISNUMBER('03_Base_Indice'!$K30:P30),COLUMN('03_Base_Indice'!$K30:P30)-COLUMN('03_Base_Indice'!$K30)+1),"")</f>
        <v/>
      </c>
      <c r="H30" t="str">
        <f>IFERROR(LOOKUP(2,1/ISNUMBER('03_Base_Indice'!$K30:Q30),COLUMN('03_Base_Indice'!$K30:Q30)-COLUMN('03_Base_Indice'!$K30)+1),"")</f>
        <v/>
      </c>
      <c r="I30" t="str">
        <f>IFERROR(LOOKUP(2,1/ISNUMBER('03_Base_Indice'!$K30:R30),COLUMN('03_Base_Indice'!$K30:R30)-COLUMN('03_Base_Indice'!$K30)+1),"")</f>
        <v/>
      </c>
      <c r="J30" t="str">
        <f>IFERROR(LOOKUP(2,1/ISNUMBER('03_Base_Indice'!$K30:S30),COLUMN('03_Base_Indice'!$K30:S30)-COLUMN('03_Base_Indice'!$K30)+1),"")</f>
        <v/>
      </c>
      <c r="K30" t="str">
        <f>IFERROR(LOOKUP(2,1/ISNUMBER('03_Base_Indice'!$K30:T30),COLUMN('03_Base_Indice'!$K30:T30)-COLUMN('03_Base_Indice'!$K30)+1),"")</f>
        <v/>
      </c>
      <c r="L30" t="str">
        <f>IFERROR(LOOKUP(2,1/ISNUMBER('03_Base_Indice'!$K30:U30),COLUMN('03_Base_Indice'!$K30:U30)-COLUMN('03_Base_Indice'!$K30)+1),"")</f>
        <v/>
      </c>
      <c r="N30" t="str">
        <f>IFERROR(MATCH(TRUE,INDEX(ISNUMBER('03_Base_Indice'!K30:$U30),0),0)+0,"")</f>
        <v/>
      </c>
      <c r="O30" t="str">
        <f>IFERROR(MATCH(TRUE,INDEX(ISNUMBER('03_Base_Indice'!L30:$U30),0),0)+1,"")</f>
        <v/>
      </c>
      <c r="P30" t="str">
        <f>IFERROR(MATCH(TRUE,INDEX(ISNUMBER('03_Base_Indice'!M30:$U30),0),0)+2,"")</f>
        <v/>
      </c>
      <c r="Q30" t="str">
        <f>IFERROR(MATCH(TRUE,INDEX(ISNUMBER('03_Base_Indice'!N30:$U30),0),0)+3,"")</f>
        <v/>
      </c>
      <c r="R30" t="str">
        <f>IFERROR(MATCH(TRUE,INDEX(ISNUMBER('03_Base_Indice'!O30:$U30),0),0)+4,"")</f>
        <v/>
      </c>
      <c r="S30" t="str">
        <f>IFERROR(MATCH(TRUE,INDEX(ISNUMBER('03_Base_Indice'!P30:$U30),0),0)+5,"")</f>
        <v/>
      </c>
      <c r="T30" t="str">
        <f>IFERROR(MATCH(TRUE,INDEX(ISNUMBER('03_Base_Indice'!Q30:$U30),0),0)+6,"")</f>
        <v/>
      </c>
      <c r="U30" t="str">
        <f>IFERROR(MATCH(TRUE,INDEX(ISNUMBER('03_Base_Indice'!R30:$U30),0),0)+7,"")</f>
        <v/>
      </c>
      <c r="V30" t="str">
        <f>IFERROR(MATCH(TRUE,INDEX(ISNUMBER('03_Base_Indice'!S30:$U30),0),0)+8,"")</f>
        <v/>
      </c>
      <c r="W30" t="str">
        <f>IFERROR(MATCH(TRUE,INDEX(ISNUMBER('03_Base_Indice'!T30:$U30),0),0)+9,"")</f>
        <v/>
      </c>
      <c r="X30" t="str">
        <f>IFERROR(MATCH(TRUE,INDEX(ISNUMBER('03_Base_Indice'!U30:$U30),0),0)+10,"")</f>
        <v/>
      </c>
      <c r="Z30" t="str">
        <f>IF(B30="","",INDEX('03_Base_Indice'!$K30:$U30,B30))</f>
        <v/>
      </c>
      <c r="AA30" t="str">
        <f>IF(C30="","",INDEX('03_Base_Indice'!$K30:$U30,C30))</f>
        <v/>
      </c>
      <c r="AB30" t="str">
        <f>IF(D30="","",INDEX('03_Base_Indice'!$K30:$U30,D30))</f>
        <v/>
      </c>
      <c r="AC30" t="str">
        <f>IF(E30="","",INDEX('03_Base_Indice'!$K30:$U30,E30))</f>
        <v/>
      </c>
      <c r="AD30" t="str">
        <f>IF(F30="","",INDEX('03_Base_Indice'!$K30:$U30,F30))</f>
        <v/>
      </c>
      <c r="AE30" t="str">
        <f>IF(G30="","",INDEX('03_Base_Indice'!$K30:$U30,G30))</f>
        <v/>
      </c>
      <c r="AF30" t="str">
        <f>IF(H30="","",INDEX('03_Base_Indice'!$K30:$U30,H30))</f>
        <v/>
      </c>
      <c r="AG30" t="str">
        <f>IF(I30="","",INDEX('03_Base_Indice'!$K30:$U30,I30))</f>
        <v/>
      </c>
      <c r="AH30" t="str">
        <f>IF(J30="","",INDEX('03_Base_Indice'!$K30:$U30,J30))</f>
        <v/>
      </c>
      <c r="AI30" t="str">
        <f>IF(K30="","",INDEX('03_Base_Indice'!$K30:$U30,K30))</f>
        <v/>
      </c>
      <c r="AJ30" t="str">
        <f>IF(L30="","",INDEX('03_Base_Indice'!$K30:$U30,L30))</f>
        <v/>
      </c>
      <c r="AL30" t="str">
        <f>IF(N30="","",INDEX('03_Base_Indice'!$K30:$U30,N30))</f>
        <v/>
      </c>
      <c r="AM30" t="str">
        <f>IF(O30="","",INDEX('03_Base_Indice'!$K30:$U30,O30))</f>
        <v/>
      </c>
      <c r="AN30" t="str">
        <f>IF(P30="","",INDEX('03_Base_Indice'!$K30:$U30,P30))</f>
        <v/>
      </c>
      <c r="AO30" t="str">
        <f>IF(Q30="","",INDEX('03_Base_Indice'!$K30:$U30,Q30))</f>
        <v/>
      </c>
      <c r="AP30" t="str">
        <f>IF(R30="","",INDEX('03_Base_Indice'!$K30:$U30,R30))</f>
        <v/>
      </c>
      <c r="AQ30" t="str">
        <f>IF(S30="","",INDEX('03_Base_Indice'!$K30:$U30,S30))</f>
        <v/>
      </c>
      <c r="AR30" t="str">
        <f>IF(T30="","",INDEX('03_Base_Indice'!$K30:$U30,T30))</f>
        <v/>
      </c>
      <c r="AS30" t="str">
        <f>IF(U30="","",INDEX('03_Base_Indice'!$K30:$U30,U30))</f>
        <v/>
      </c>
      <c r="AT30" t="str">
        <f>IF(V30="","",INDEX('03_Base_Indice'!$K30:$U30,V30))</f>
        <v/>
      </c>
      <c r="AU30" t="str">
        <f>IF(W30="","",INDEX('03_Base_Indice'!$K30:$U30,W30))</f>
        <v/>
      </c>
      <c r="AV30" t="str">
        <f>IF(X30="","",INDEX('03_Base_Indice'!$K30:$U30,X30))</f>
        <v/>
      </c>
      <c r="AX30">
        <f>IF('06_Normalizacao'!K30="",0,'06_Normalizacao'!K30)</f>
        <v>0</v>
      </c>
      <c r="AY30">
        <f>IF('06_Normalizacao'!L30="",0,'06_Normalizacao'!L30)</f>
        <v>0</v>
      </c>
      <c r="AZ30">
        <f>IF('06_Normalizacao'!M30="",0,'06_Normalizacao'!M30)</f>
        <v>0</v>
      </c>
      <c r="BA30">
        <f>IF('06_Normalizacao'!N30="",0,'06_Normalizacao'!N30)</f>
        <v>0</v>
      </c>
      <c r="BB30">
        <f>IF('06_Normalizacao'!O30="",0,'06_Normalizacao'!O30)</f>
        <v>0</v>
      </c>
      <c r="BC30">
        <f>IF('06_Normalizacao'!P30="",0,'06_Normalizacao'!P30)</f>
        <v>0</v>
      </c>
      <c r="BD30">
        <f>IF('06_Normalizacao'!Q30="",0,'06_Normalizacao'!Q30)</f>
        <v>0</v>
      </c>
      <c r="BE30">
        <f>IF('06_Normalizacao'!R30="",0,'06_Normalizacao'!R30)</f>
        <v>0</v>
      </c>
      <c r="BF30">
        <f>IF('06_Normalizacao'!S30="",0,'06_Normalizacao'!S30)</f>
        <v>0</v>
      </c>
      <c r="BG30">
        <f>IF('06_Normalizacao'!T30="",0,'06_Normalizacao'!T30)</f>
        <v>0</v>
      </c>
      <c r="BH30">
        <f>IF('06_Normalizacao'!U30="",0,'06_Normalizacao'!U30)</f>
        <v>0</v>
      </c>
      <c r="BJ30">
        <f>IF('06_Normalizacao'!K30="",0,1)</f>
        <v>0</v>
      </c>
      <c r="BK30">
        <f>IF('06_Normalizacao'!L30="",0,1)</f>
        <v>0</v>
      </c>
      <c r="BL30">
        <f>IF('06_Normalizacao'!M30="",0,1)</f>
        <v>0</v>
      </c>
      <c r="BM30">
        <f>IF('06_Normalizacao'!N30="",0,1)</f>
        <v>0</v>
      </c>
      <c r="BN30">
        <f>IF('06_Normalizacao'!O30="",0,1)</f>
        <v>0</v>
      </c>
      <c r="BO30">
        <f>IF('06_Normalizacao'!P30="",0,1)</f>
        <v>0</v>
      </c>
      <c r="BP30">
        <f>IF('06_Normalizacao'!Q30="",0,1)</f>
        <v>0</v>
      </c>
      <c r="BQ30">
        <f>IF('06_Normalizacao'!R30="",0,1)</f>
        <v>0</v>
      </c>
      <c r="BR30">
        <f>IF('06_Normalizacao'!S30="",0,1)</f>
        <v>0</v>
      </c>
      <c r="BS30">
        <f>IF('06_Normalizacao'!T30="",0,1)</f>
        <v>0</v>
      </c>
      <c r="BT30">
        <f>IF('06_Normalizacao'!U30="",0,1)</f>
        <v>0</v>
      </c>
    </row>
    <row r="31" spans="1:72">
      <c r="A31" s="6" t="str">
        <f>'03_Base_Indice'!D31</f>
        <v/>
      </c>
      <c r="B31" t="str">
        <f>IFERROR(LOOKUP(2,1/ISNUMBER('03_Base_Indice'!$K31:K31),COLUMN('03_Base_Indice'!$K31:K31)-COLUMN('03_Base_Indice'!$K31)+1),"")</f>
        <v/>
      </c>
      <c r="C31" t="str">
        <f>IFERROR(LOOKUP(2,1/ISNUMBER('03_Base_Indice'!$K31:L31),COLUMN('03_Base_Indice'!$K31:L31)-COLUMN('03_Base_Indice'!$K31)+1),"")</f>
        <v/>
      </c>
      <c r="D31" t="str">
        <f>IFERROR(LOOKUP(2,1/ISNUMBER('03_Base_Indice'!$K31:M31),COLUMN('03_Base_Indice'!$K31:M31)-COLUMN('03_Base_Indice'!$K31)+1),"")</f>
        <v/>
      </c>
      <c r="E31" t="str">
        <f>IFERROR(LOOKUP(2,1/ISNUMBER('03_Base_Indice'!$K31:N31),COLUMN('03_Base_Indice'!$K31:N31)-COLUMN('03_Base_Indice'!$K31)+1),"")</f>
        <v/>
      </c>
      <c r="F31" t="str">
        <f>IFERROR(LOOKUP(2,1/ISNUMBER('03_Base_Indice'!$K31:O31),COLUMN('03_Base_Indice'!$K31:O31)-COLUMN('03_Base_Indice'!$K31)+1),"")</f>
        <v/>
      </c>
      <c r="G31" t="str">
        <f>IFERROR(LOOKUP(2,1/ISNUMBER('03_Base_Indice'!$K31:P31),COLUMN('03_Base_Indice'!$K31:P31)-COLUMN('03_Base_Indice'!$K31)+1),"")</f>
        <v/>
      </c>
      <c r="H31" t="str">
        <f>IFERROR(LOOKUP(2,1/ISNUMBER('03_Base_Indice'!$K31:Q31),COLUMN('03_Base_Indice'!$K31:Q31)-COLUMN('03_Base_Indice'!$K31)+1),"")</f>
        <v/>
      </c>
      <c r="I31" t="str">
        <f>IFERROR(LOOKUP(2,1/ISNUMBER('03_Base_Indice'!$K31:R31),COLUMN('03_Base_Indice'!$K31:R31)-COLUMN('03_Base_Indice'!$K31)+1),"")</f>
        <v/>
      </c>
      <c r="J31" t="str">
        <f>IFERROR(LOOKUP(2,1/ISNUMBER('03_Base_Indice'!$K31:S31),COLUMN('03_Base_Indice'!$K31:S31)-COLUMN('03_Base_Indice'!$K31)+1),"")</f>
        <v/>
      </c>
      <c r="K31" t="str">
        <f>IFERROR(LOOKUP(2,1/ISNUMBER('03_Base_Indice'!$K31:T31),COLUMN('03_Base_Indice'!$K31:T31)-COLUMN('03_Base_Indice'!$K31)+1),"")</f>
        <v/>
      </c>
      <c r="L31" t="str">
        <f>IFERROR(LOOKUP(2,1/ISNUMBER('03_Base_Indice'!$K31:U31),COLUMN('03_Base_Indice'!$K31:U31)-COLUMN('03_Base_Indice'!$K31)+1),"")</f>
        <v/>
      </c>
      <c r="N31" t="str">
        <f>IFERROR(MATCH(TRUE,INDEX(ISNUMBER('03_Base_Indice'!K31:$U31),0),0)+0,"")</f>
        <v/>
      </c>
      <c r="O31" t="str">
        <f>IFERROR(MATCH(TRUE,INDEX(ISNUMBER('03_Base_Indice'!L31:$U31),0),0)+1,"")</f>
        <v/>
      </c>
      <c r="P31" t="str">
        <f>IFERROR(MATCH(TRUE,INDEX(ISNUMBER('03_Base_Indice'!M31:$U31),0),0)+2,"")</f>
        <v/>
      </c>
      <c r="Q31" t="str">
        <f>IFERROR(MATCH(TRUE,INDEX(ISNUMBER('03_Base_Indice'!N31:$U31),0),0)+3,"")</f>
        <v/>
      </c>
      <c r="R31" t="str">
        <f>IFERROR(MATCH(TRUE,INDEX(ISNUMBER('03_Base_Indice'!O31:$U31),0),0)+4,"")</f>
        <v/>
      </c>
      <c r="S31" t="str">
        <f>IFERROR(MATCH(TRUE,INDEX(ISNUMBER('03_Base_Indice'!P31:$U31),0),0)+5,"")</f>
        <v/>
      </c>
      <c r="T31" t="str">
        <f>IFERROR(MATCH(TRUE,INDEX(ISNUMBER('03_Base_Indice'!Q31:$U31),0),0)+6,"")</f>
        <v/>
      </c>
      <c r="U31" t="str">
        <f>IFERROR(MATCH(TRUE,INDEX(ISNUMBER('03_Base_Indice'!R31:$U31),0),0)+7,"")</f>
        <v/>
      </c>
      <c r="V31" t="str">
        <f>IFERROR(MATCH(TRUE,INDEX(ISNUMBER('03_Base_Indice'!S31:$U31),0),0)+8,"")</f>
        <v/>
      </c>
      <c r="W31" t="str">
        <f>IFERROR(MATCH(TRUE,INDEX(ISNUMBER('03_Base_Indice'!T31:$U31),0),0)+9,"")</f>
        <v/>
      </c>
      <c r="X31" t="str">
        <f>IFERROR(MATCH(TRUE,INDEX(ISNUMBER('03_Base_Indice'!U31:$U31),0),0)+10,"")</f>
        <v/>
      </c>
      <c r="Z31" t="str">
        <f>IF(B31="","",INDEX('03_Base_Indice'!$K31:$U31,B31))</f>
        <v/>
      </c>
      <c r="AA31" t="str">
        <f>IF(C31="","",INDEX('03_Base_Indice'!$K31:$U31,C31))</f>
        <v/>
      </c>
      <c r="AB31" t="str">
        <f>IF(D31="","",INDEX('03_Base_Indice'!$K31:$U31,D31))</f>
        <v/>
      </c>
      <c r="AC31" t="str">
        <f>IF(E31="","",INDEX('03_Base_Indice'!$K31:$U31,E31))</f>
        <v/>
      </c>
      <c r="AD31" t="str">
        <f>IF(F31="","",INDEX('03_Base_Indice'!$K31:$U31,F31))</f>
        <v/>
      </c>
      <c r="AE31" t="str">
        <f>IF(G31="","",INDEX('03_Base_Indice'!$K31:$U31,G31))</f>
        <v/>
      </c>
      <c r="AF31" t="str">
        <f>IF(H31="","",INDEX('03_Base_Indice'!$K31:$U31,H31))</f>
        <v/>
      </c>
      <c r="AG31" t="str">
        <f>IF(I31="","",INDEX('03_Base_Indice'!$K31:$U31,I31))</f>
        <v/>
      </c>
      <c r="AH31" t="str">
        <f>IF(J31="","",INDEX('03_Base_Indice'!$K31:$U31,J31))</f>
        <v/>
      </c>
      <c r="AI31" t="str">
        <f>IF(K31="","",INDEX('03_Base_Indice'!$K31:$U31,K31))</f>
        <v/>
      </c>
      <c r="AJ31" t="str">
        <f>IF(L31="","",INDEX('03_Base_Indice'!$K31:$U31,L31))</f>
        <v/>
      </c>
      <c r="AL31" t="str">
        <f>IF(N31="","",INDEX('03_Base_Indice'!$K31:$U31,N31))</f>
        <v/>
      </c>
      <c r="AM31" t="str">
        <f>IF(O31="","",INDEX('03_Base_Indice'!$K31:$U31,O31))</f>
        <v/>
      </c>
      <c r="AN31" t="str">
        <f>IF(P31="","",INDEX('03_Base_Indice'!$K31:$U31,P31))</f>
        <v/>
      </c>
      <c r="AO31" t="str">
        <f>IF(Q31="","",INDEX('03_Base_Indice'!$K31:$U31,Q31))</f>
        <v/>
      </c>
      <c r="AP31" t="str">
        <f>IF(R31="","",INDEX('03_Base_Indice'!$K31:$U31,R31))</f>
        <v/>
      </c>
      <c r="AQ31" t="str">
        <f>IF(S31="","",INDEX('03_Base_Indice'!$K31:$U31,S31))</f>
        <v/>
      </c>
      <c r="AR31" t="str">
        <f>IF(T31="","",INDEX('03_Base_Indice'!$K31:$U31,T31))</f>
        <v/>
      </c>
      <c r="AS31" t="str">
        <f>IF(U31="","",INDEX('03_Base_Indice'!$K31:$U31,U31))</f>
        <v/>
      </c>
      <c r="AT31" t="str">
        <f>IF(V31="","",INDEX('03_Base_Indice'!$K31:$U31,V31))</f>
        <v/>
      </c>
      <c r="AU31" t="str">
        <f>IF(W31="","",INDEX('03_Base_Indice'!$K31:$U31,W31))</f>
        <v/>
      </c>
      <c r="AV31" t="str">
        <f>IF(X31="","",INDEX('03_Base_Indice'!$K31:$U31,X31))</f>
        <v/>
      </c>
      <c r="AX31">
        <f>IF('06_Normalizacao'!K31="",0,'06_Normalizacao'!K31)</f>
        <v>0</v>
      </c>
      <c r="AY31">
        <f>IF('06_Normalizacao'!L31="",0,'06_Normalizacao'!L31)</f>
        <v>0</v>
      </c>
      <c r="AZ31">
        <f>IF('06_Normalizacao'!M31="",0,'06_Normalizacao'!M31)</f>
        <v>0</v>
      </c>
      <c r="BA31">
        <f>IF('06_Normalizacao'!N31="",0,'06_Normalizacao'!N31)</f>
        <v>0</v>
      </c>
      <c r="BB31">
        <f>IF('06_Normalizacao'!O31="",0,'06_Normalizacao'!O31)</f>
        <v>0</v>
      </c>
      <c r="BC31">
        <f>IF('06_Normalizacao'!P31="",0,'06_Normalizacao'!P31)</f>
        <v>0</v>
      </c>
      <c r="BD31">
        <f>IF('06_Normalizacao'!Q31="",0,'06_Normalizacao'!Q31)</f>
        <v>0</v>
      </c>
      <c r="BE31">
        <f>IF('06_Normalizacao'!R31="",0,'06_Normalizacao'!R31)</f>
        <v>0</v>
      </c>
      <c r="BF31">
        <f>IF('06_Normalizacao'!S31="",0,'06_Normalizacao'!S31)</f>
        <v>0</v>
      </c>
      <c r="BG31">
        <f>IF('06_Normalizacao'!T31="",0,'06_Normalizacao'!T31)</f>
        <v>0</v>
      </c>
      <c r="BH31">
        <f>IF('06_Normalizacao'!U31="",0,'06_Normalizacao'!U31)</f>
        <v>0</v>
      </c>
      <c r="BJ31">
        <f>IF('06_Normalizacao'!K31="",0,1)</f>
        <v>0</v>
      </c>
      <c r="BK31">
        <f>IF('06_Normalizacao'!L31="",0,1)</f>
        <v>0</v>
      </c>
      <c r="BL31">
        <f>IF('06_Normalizacao'!M31="",0,1)</f>
        <v>0</v>
      </c>
      <c r="BM31">
        <f>IF('06_Normalizacao'!N31="",0,1)</f>
        <v>0</v>
      </c>
      <c r="BN31">
        <f>IF('06_Normalizacao'!O31="",0,1)</f>
        <v>0</v>
      </c>
      <c r="BO31">
        <f>IF('06_Normalizacao'!P31="",0,1)</f>
        <v>0</v>
      </c>
      <c r="BP31">
        <f>IF('06_Normalizacao'!Q31="",0,1)</f>
        <v>0</v>
      </c>
      <c r="BQ31">
        <f>IF('06_Normalizacao'!R31="",0,1)</f>
        <v>0</v>
      </c>
      <c r="BR31">
        <f>IF('06_Normalizacao'!S31="",0,1)</f>
        <v>0</v>
      </c>
      <c r="BS31">
        <f>IF('06_Normalizacao'!T31="",0,1)</f>
        <v>0</v>
      </c>
      <c r="BT31">
        <f>IF('06_Normalizacao'!U31="",0,1)</f>
        <v>0</v>
      </c>
    </row>
    <row r="32" spans="1:72">
      <c r="A32" s="6" t="str">
        <f>'03_Base_Indice'!D32</f>
        <v/>
      </c>
      <c r="B32" t="str">
        <f>IFERROR(LOOKUP(2,1/ISNUMBER('03_Base_Indice'!$K32:K32),COLUMN('03_Base_Indice'!$K32:K32)-COLUMN('03_Base_Indice'!$K32)+1),"")</f>
        <v/>
      </c>
      <c r="C32" t="str">
        <f>IFERROR(LOOKUP(2,1/ISNUMBER('03_Base_Indice'!$K32:L32),COLUMN('03_Base_Indice'!$K32:L32)-COLUMN('03_Base_Indice'!$K32)+1),"")</f>
        <v/>
      </c>
      <c r="D32" t="str">
        <f>IFERROR(LOOKUP(2,1/ISNUMBER('03_Base_Indice'!$K32:M32),COLUMN('03_Base_Indice'!$K32:M32)-COLUMN('03_Base_Indice'!$K32)+1),"")</f>
        <v/>
      </c>
      <c r="E32" t="str">
        <f>IFERROR(LOOKUP(2,1/ISNUMBER('03_Base_Indice'!$K32:N32),COLUMN('03_Base_Indice'!$K32:N32)-COLUMN('03_Base_Indice'!$K32)+1),"")</f>
        <v/>
      </c>
      <c r="F32" t="str">
        <f>IFERROR(LOOKUP(2,1/ISNUMBER('03_Base_Indice'!$K32:O32),COLUMN('03_Base_Indice'!$K32:O32)-COLUMN('03_Base_Indice'!$K32)+1),"")</f>
        <v/>
      </c>
      <c r="G32" t="str">
        <f>IFERROR(LOOKUP(2,1/ISNUMBER('03_Base_Indice'!$K32:P32),COLUMN('03_Base_Indice'!$K32:P32)-COLUMN('03_Base_Indice'!$K32)+1),"")</f>
        <v/>
      </c>
      <c r="H32" t="str">
        <f>IFERROR(LOOKUP(2,1/ISNUMBER('03_Base_Indice'!$K32:Q32),COLUMN('03_Base_Indice'!$K32:Q32)-COLUMN('03_Base_Indice'!$K32)+1),"")</f>
        <v/>
      </c>
      <c r="I32" t="str">
        <f>IFERROR(LOOKUP(2,1/ISNUMBER('03_Base_Indice'!$K32:R32),COLUMN('03_Base_Indice'!$K32:R32)-COLUMN('03_Base_Indice'!$K32)+1),"")</f>
        <v/>
      </c>
      <c r="J32" t="str">
        <f>IFERROR(LOOKUP(2,1/ISNUMBER('03_Base_Indice'!$K32:S32),COLUMN('03_Base_Indice'!$K32:S32)-COLUMN('03_Base_Indice'!$K32)+1),"")</f>
        <v/>
      </c>
      <c r="K32" t="str">
        <f>IFERROR(LOOKUP(2,1/ISNUMBER('03_Base_Indice'!$K32:T32),COLUMN('03_Base_Indice'!$K32:T32)-COLUMN('03_Base_Indice'!$K32)+1),"")</f>
        <v/>
      </c>
      <c r="L32" t="str">
        <f>IFERROR(LOOKUP(2,1/ISNUMBER('03_Base_Indice'!$K32:U32),COLUMN('03_Base_Indice'!$K32:U32)-COLUMN('03_Base_Indice'!$K32)+1),"")</f>
        <v/>
      </c>
      <c r="N32" t="str">
        <f>IFERROR(MATCH(TRUE,INDEX(ISNUMBER('03_Base_Indice'!K32:$U32),0),0)+0,"")</f>
        <v/>
      </c>
      <c r="O32" t="str">
        <f>IFERROR(MATCH(TRUE,INDEX(ISNUMBER('03_Base_Indice'!L32:$U32),0),0)+1,"")</f>
        <v/>
      </c>
      <c r="P32" t="str">
        <f>IFERROR(MATCH(TRUE,INDEX(ISNUMBER('03_Base_Indice'!M32:$U32),0),0)+2,"")</f>
        <v/>
      </c>
      <c r="Q32" t="str">
        <f>IFERROR(MATCH(TRUE,INDEX(ISNUMBER('03_Base_Indice'!N32:$U32),0),0)+3,"")</f>
        <v/>
      </c>
      <c r="R32" t="str">
        <f>IFERROR(MATCH(TRUE,INDEX(ISNUMBER('03_Base_Indice'!O32:$U32),0),0)+4,"")</f>
        <v/>
      </c>
      <c r="S32" t="str">
        <f>IFERROR(MATCH(TRUE,INDEX(ISNUMBER('03_Base_Indice'!P32:$U32),0),0)+5,"")</f>
        <v/>
      </c>
      <c r="T32" t="str">
        <f>IFERROR(MATCH(TRUE,INDEX(ISNUMBER('03_Base_Indice'!Q32:$U32),0),0)+6,"")</f>
        <v/>
      </c>
      <c r="U32" t="str">
        <f>IFERROR(MATCH(TRUE,INDEX(ISNUMBER('03_Base_Indice'!R32:$U32),0),0)+7,"")</f>
        <v/>
      </c>
      <c r="V32" t="str">
        <f>IFERROR(MATCH(TRUE,INDEX(ISNUMBER('03_Base_Indice'!S32:$U32),0),0)+8,"")</f>
        <v/>
      </c>
      <c r="W32" t="str">
        <f>IFERROR(MATCH(TRUE,INDEX(ISNUMBER('03_Base_Indice'!T32:$U32),0),0)+9,"")</f>
        <v/>
      </c>
      <c r="X32" t="str">
        <f>IFERROR(MATCH(TRUE,INDEX(ISNUMBER('03_Base_Indice'!U32:$U32),0),0)+10,"")</f>
        <v/>
      </c>
      <c r="Z32" t="str">
        <f>IF(B32="","",INDEX('03_Base_Indice'!$K32:$U32,B32))</f>
        <v/>
      </c>
      <c r="AA32" t="str">
        <f>IF(C32="","",INDEX('03_Base_Indice'!$K32:$U32,C32))</f>
        <v/>
      </c>
      <c r="AB32" t="str">
        <f>IF(D32="","",INDEX('03_Base_Indice'!$K32:$U32,D32))</f>
        <v/>
      </c>
      <c r="AC32" t="str">
        <f>IF(E32="","",INDEX('03_Base_Indice'!$K32:$U32,E32))</f>
        <v/>
      </c>
      <c r="AD32" t="str">
        <f>IF(F32="","",INDEX('03_Base_Indice'!$K32:$U32,F32))</f>
        <v/>
      </c>
      <c r="AE32" t="str">
        <f>IF(G32="","",INDEX('03_Base_Indice'!$K32:$U32,G32))</f>
        <v/>
      </c>
      <c r="AF32" t="str">
        <f>IF(H32="","",INDEX('03_Base_Indice'!$K32:$U32,H32))</f>
        <v/>
      </c>
      <c r="AG32" t="str">
        <f>IF(I32="","",INDEX('03_Base_Indice'!$K32:$U32,I32))</f>
        <v/>
      </c>
      <c r="AH32" t="str">
        <f>IF(J32="","",INDEX('03_Base_Indice'!$K32:$U32,J32))</f>
        <v/>
      </c>
      <c r="AI32" t="str">
        <f>IF(K32="","",INDEX('03_Base_Indice'!$K32:$U32,K32))</f>
        <v/>
      </c>
      <c r="AJ32" t="str">
        <f>IF(L32="","",INDEX('03_Base_Indice'!$K32:$U32,L32))</f>
        <v/>
      </c>
      <c r="AL32" t="str">
        <f>IF(N32="","",INDEX('03_Base_Indice'!$K32:$U32,N32))</f>
        <v/>
      </c>
      <c r="AM32" t="str">
        <f>IF(O32="","",INDEX('03_Base_Indice'!$K32:$U32,O32))</f>
        <v/>
      </c>
      <c r="AN32" t="str">
        <f>IF(P32="","",INDEX('03_Base_Indice'!$K32:$U32,P32))</f>
        <v/>
      </c>
      <c r="AO32" t="str">
        <f>IF(Q32="","",INDEX('03_Base_Indice'!$K32:$U32,Q32))</f>
        <v/>
      </c>
      <c r="AP32" t="str">
        <f>IF(R32="","",INDEX('03_Base_Indice'!$K32:$U32,R32))</f>
        <v/>
      </c>
      <c r="AQ32" t="str">
        <f>IF(S32="","",INDEX('03_Base_Indice'!$K32:$U32,S32))</f>
        <v/>
      </c>
      <c r="AR32" t="str">
        <f>IF(T32="","",INDEX('03_Base_Indice'!$K32:$U32,T32))</f>
        <v/>
      </c>
      <c r="AS32" t="str">
        <f>IF(U32="","",INDEX('03_Base_Indice'!$K32:$U32,U32))</f>
        <v/>
      </c>
      <c r="AT32" t="str">
        <f>IF(V32="","",INDEX('03_Base_Indice'!$K32:$U32,V32))</f>
        <v/>
      </c>
      <c r="AU32" t="str">
        <f>IF(W32="","",INDEX('03_Base_Indice'!$K32:$U32,W32))</f>
        <v/>
      </c>
      <c r="AV32" t="str">
        <f>IF(X32="","",INDEX('03_Base_Indice'!$K32:$U32,X32))</f>
        <v/>
      </c>
      <c r="AX32">
        <f>IF('06_Normalizacao'!K32="",0,'06_Normalizacao'!K32)</f>
        <v>0</v>
      </c>
      <c r="AY32">
        <f>IF('06_Normalizacao'!L32="",0,'06_Normalizacao'!L32)</f>
        <v>0</v>
      </c>
      <c r="AZ32">
        <f>IF('06_Normalizacao'!M32="",0,'06_Normalizacao'!M32)</f>
        <v>0</v>
      </c>
      <c r="BA32">
        <f>IF('06_Normalizacao'!N32="",0,'06_Normalizacao'!N32)</f>
        <v>0</v>
      </c>
      <c r="BB32">
        <f>IF('06_Normalizacao'!O32="",0,'06_Normalizacao'!O32)</f>
        <v>0</v>
      </c>
      <c r="BC32">
        <f>IF('06_Normalizacao'!P32="",0,'06_Normalizacao'!P32)</f>
        <v>0</v>
      </c>
      <c r="BD32">
        <f>IF('06_Normalizacao'!Q32="",0,'06_Normalizacao'!Q32)</f>
        <v>0</v>
      </c>
      <c r="BE32">
        <f>IF('06_Normalizacao'!R32="",0,'06_Normalizacao'!R32)</f>
        <v>0</v>
      </c>
      <c r="BF32">
        <f>IF('06_Normalizacao'!S32="",0,'06_Normalizacao'!S32)</f>
        <v>0</v>
      </c>
      <c r="BG32">
        <f>IF('06_Normalizacao'!T32="",0,'06_Normalizacao'!T32)</f>
        <v>0</v>
      </c>
      <c r="BH32">
        <f>IF('06_Normalizacao'!U32="",0,'06_Normalizacao'!U32)</f>
        <v>0</v>
      </c>
      <c r="BJ32">
        <f>IF('06_Normalizacao'!K32="",0,1)</f>
        <v>0</v>
      </c>
      <c r="BK32">
        <f>IF('06_Normalizacao'!L32="",0,1)</f>
        <v>0</v>
      </c>
      <c r="BL32">
        <f>IF('06_Normalizacao'!M32="",0,1)</f>
        <v>0</v>
      </c>
      <c r="BM32">
        <f>IF('06_Normalizacao'!N32="",0,1)</f>
        <v>0</v>
      </c>
      <c r="BN32">
        <f>IF('06_Normalizacao'!O32="",0,1)</f>
        <v>0</v>
      </c>
      <c r="BO32">
        <f>IF('06_Normalizacao'!P32="",0,1)</f>
        <v>0</v>
      </c>
      <c r="BP32">
        <f>IF('06_Normalizacao'!Q32="",0,1)</f>
        <v>0</v>
      </c>
      <c r="BQ32">
        <f>IF('06_Normalizacao'!R32="",0,1)</f>
        <v>0</v>
      </c>
      <c r="BR32">
        <f>IF('06_Normalizacao'!S32="",0,1)</f>
        <v>0</v>
      </c>
      <c r="BS32">
        <f>IF('06_Normalizacao'!T32="",0,1)</f>
        <v>0</v>
      </c>
      <c r="BT32">
        <f>IF('06_Normalizacao'!U32="",0,1)</f>
        <v>0</v>
      </c>
    </row>
    <row r="33" spans="1:72">
      <c r="A33" s="6" t="str">
        <f>'03_Base_Indice'!D33</f>
        <v/>
      </c>
      <c r="B33" t="str">
        <f>IFERROR(LOOKUP(2,1/ISNUMBER('03_Base_Indice'!$K33:K33),COLUMN('03_Base_Indice'!$K33:K33)-COLUMN('03_Base_Indice'!$K33)+1),"")</f>
        <v/>
      </c>
      <c r="C33" t="str">
        <f>IFERROR(LOOKUP(2,1/ISNUMBER('03_Base_Indice'!$K33:L33),COLUMN('03_Base_Indice'!$K33:L33)-COLUMN('03_Base_Indice'!$K33)+1),"")</f>
        <v/>
      </c>
      <c r="D33" t="str">
        <f>IFERROR(LOOKUP(2,1/ISNUMBER('03_Base_Indice'!$K33:M33),COLUMN('03_Base_Indice'!$K33:M33)-COLUMN('03_Base_Indice'!$K33)+1),"")</f>
        <v/>
      </c>
      <c r="E33" t="str">
        <f>IFERROR(LOOKUP(2,1/ISNUMBER('03_Base_Indice'!$K33:N33),COLUMN('03_Base_Indice'!$K33:N33)-COLUMN('03_Base_Indice'!$K33)+1),"")</f>
        <v/>
      </c>
      <c r="F33" t="str">
        <f>IFERROR(LOOKUP(2,1/ISNUMBER('03_Base_Indice'!$K33:O33),COLUMN('03_Base_Indice'!$K33:O33)-COLUMN('03_Base_Indice'!$K33)+1),"")</f>
        <v/>
      </c>
      <c r="G33" t="str">
        <f>IFERROR(LOOKUP(2,1/ISNUMBER('03_Base_Indice'!$K33:P33),COLUMN('03_Base_Indice'!$K33:P33)-COLUMN('03_Base_Indice'!$K33)+1),"")</f>
        <v/>
      </c>
      <c r="H33" t="str">
        <f>IFERROR(LOOKUP(2,1/ISNUMBER('03_Base_Indice'!$K33:Q33),COLUMN('03_Base_Indice'!$K33:Q33)-COLUMN('03_Base_Indice'!$K33)+1),"")</f>
        <v/>
      </c>
      <c r="I33" t="str">
        <f>IFERROR(LOOKUP(2,1/ISNUMBER('03_Base_Indice'!$K33:R33),COLUMN('03_Base_Indice'!$K33:R33)-COLUMN('03_Base_Indice'!$K33)+1),"")</f>
        <v/>
      </c>
      <c r="J33" t="str">
        <f>IFERROR(LOOKUP(2,1/ISNUMBER('03_Base_Indice'!$K33:S33),COLUMN('03_Base_Indice'!$K33:S33)-COLUMN('03_Base_Indice'!$K33)+1),"")</f>
        <v/>
      </c>
      <c r="K33" t="str">
        <f>IFERROR(LOOKUP(2,1/ISNUMBER('03_Base_Indice'!$K33:T33),COLUMN('03_Base_Indice'!$K33:T33)-COLUMN('03_Base_Indice'!$K33)+1),"")</f>
        <v/>
      </c>
      <c r="L33" t="str">
        <f>IFERROR(LOOKUP(2,1/ISNUMBER('03_Base_Indice'!$K33:U33),COLUMN('03_Base_Indice'!$K33:U33)-COLUMN('03_Base_Indice'!$K33)+1),"")</f>
        <v/>
      </c>
      <c r="N33" t="str">
        <f>IFERROR(MATCH(TRUE,INDEX(ISNUMBER('03_Base_Indice'!K33:$U33),0),0)+0,"")</f>
        <v/>
      </c>
      <c r="O33" t="str">
        <f>IFERROR(MATCH(TRUE,INDEX(ISNUMBER('03_Base_Indice'!L33:$U33),0),0)+1,"")</f>
        <v/>
      </c>
      <c r="P33" t="str">
        <f>IFERROR(MATCH(TRUE,INDEX(ISNUMBER('03_Base_Indice'!M33:$U33),0),0)+2,"")</f>
        <v/>
      </c>
      <c r="Q33" t="str">
        <f>IFERROR(MATCH(TRUE,INDEX(ISNUMBER('03_Base_Indice'!N33:$U33),0),0)+3,"")</f>
        <v/>
      </c>
      <c r="R33" t="str">
        <f>IFERROR(MATCH(TRUE,INDEX(ISNUMBER('03_Base_Indice'!O33:$U33),0),0)+4,"")</f>
        <v/>
      </c>
      <c r="S33" t="str">
        <f>IFERROR(MATCH(TRUE,INDEX(ISNUMBER('03_Base_Indice'!P33:$U33),0),0)+5,"")</f>
        <v/>
      </c>
      <c r="T33" t="str">
        <f>IFERROR(MATCH(TRUE,INDEX(ISNUMBER('03_Base_Indice'!Q33:$U33),0),0)+6,"")</f>
        <v/>
      </c>
      <c r="U33" t="str">
        <f>IFERROR(MATCH(TRUE,INDEX(ISNUMBER('03_Base_Indice'!R33:$U33),0),0)+7,"")</f>
        <v/>
      </c>
      <c r="V33" t="str">
        <f>IFERROR(MATCH(TRUE,INDEX(ISNUMBER('03_Base_Indice'!S33:$U33),0),0)+8,"")</f>
        <v/>
      </c>
      <c r="W33" t="str">
        <f>IFERROR(MATCH(TRUE,INDEX(ISNUMBER('03_Base_Indice'!T33:$U33),0),0)+9,"")</f>
        <v/>
      </c>
      <c r="X33" t="str">
        <f>IFERROR(MATCH(TRUE,INDEX(ISNUMBER('03_Base_Indice'!U33:$U33),0),0)+10,"")</f>
        <v/>
      </c>
      <c r="Z33" t="str">
        <f>IF(B33="","",INDEX('03_Base_Indice'!$K33:$U33,B33))</f>
        <v/>
      </c>
      <c r="AA33" t="str">
        <f>IF(C33="","",INDEX('03_Base_Indice'!$K33:$U33,C33))</f>
        <v/>
      </c>
      <c r="AB33" t="str">
        <f>IF(D33="","",INDEX('03_Base_Indice'!$K33:$U33,D33))</f>
        <v/>
      </c>
      <c r="AC33" t="str">
        <f>IF(E33="","",INDEX('03_Base_Indice'!$K33:$U33,E33))</f>
        <v/>
      </c>
      <c r="AD33" t="str">
        <f>IF(F33="","",INDEX('03_Base_Indice'!$K33:$U33,F33))</f>
        <v/>
      </c>
      <c r="AE33" t="str">
        <f>IF(G33="","",INDEX('03_Base_Indice'!$K33:$U33,G33))</f>
        <v/>
      </c>
      <c r="AF33" t="str">
        <f>IF(H33="","",INDEX('03_Base_Indice'!$K33:$U33,H33))</f>
        <v/>
      </c>
      <c r="AG33" t="str">
        <f>IF(I33="","",INDEX('03_Base_Indice'!$K33:$U33,I33))</f>
        <v/>
      </c>
      <c r="AH33" t="str">
        <f>IF(J33="","",INDEX('03_Base_Indice'!$K33:$U33,J33))</f>
        <v/>
      </c>
      <c r="AI33" t="str">
        <f>IF(K33="","",INDEX('03_Base_Indice'!$K33:$U33,K33))</f>
        <v/>
      </c>
      <c r="AJ33" t="str">
        <f>IF(L33="","",INDEX('03_Base_Indice'!$K33:$U33,L33))</f>
        <v/>
      </c>
      <c r="AL33" t="str">
        <f>IF(N33="","",INDEX('03_Base_Indice'!$K33:$U33,N33))</f>
        <v/>
      </c>
      <c r="AM33" t="str">
        <f>IF(O33="","",INDEX('03_Base_Indice'!$K33:$U33,O33))</f>
        <v/>
      </c>
      <c r="AN33" t="str">
        <f>IF(P33="","",INDEX('03_Base_Indice'!$K33:$U33,P33))</f>
        <v/>
      </c>
      <c r="AO33" t="str">
        <f>IF(Q33="","",INDEX('03_Base_Indice'!$K33:$U33,Q33))</f>
        <v/>
      </c>
      <c r="AP33" t="str">
        <f>IF(R33="","",INDEX('03_Base_Indice'!$K33:$U33,R33))</f>
        <v/>
      </c>
      <c r="AQ33" t="str">
        <f>IF(S33="","",INDEX('03_Base_Indice'!$K33:$U33,S33))</f>
        <v/>
      </c>
      <c r="AR33" t="str">
        <f>IF(T33="","",INDEX('03_Base_Indice'!$K33:$U33,T33))</f>
        <v/>
      </c>
      <c r="AS33" t="str">
        <f>IF(U33="","",INDEX('03_Base_Indice'!$K33:$U33,U33))</f>
        <v/>
      </c>
      <c r="AT33" t="str">
        <f>IF(V33="","",INDEX('03_Base_Indice'!$K33:$U33,V33))</f>
        <v/>
      </c>
      <c r="AU33" t="str">
        <f>IF(W33="","",INDEX('03_Base_Indice'!$K33:$U33,W33))</f>
        <v/>
      </c>
      <c r="AV33" t="str">
        <f>IF(X33="","",INDEX('03_Base_Indice'!$K33:$U33,X33))</f>
        <v/>
      </c>
      <c r="AX33">
        <f>IF('06_Normalizacao'!K33="",0,'06_Normalizacao'!K33)</f>
        <v>0</v>
      </c>
      <c r="AY33">
        <f>IF('06_Normalizacao'!L33="",0,'06_Normalizacao'!L33)</f>
        <v>0</v>
      </c>
      <c r="AZ33">
        <f>IF('06_Normalizacao'!M33="",0,'06_Normalizacao'!M33)</f>
        <v>0</v>
      </c>
      <c r="BA33">
        <f>IF('06_Normalizacao'!N33="",0,'06_Normalizacao'!N33)</f>
        <v>0</v>
      </c>
      <c r="BB33">
        <f>IF('06_Normalizacao'!O33="",0,'06_Normalizacao'!O33)</f>
        <v>0</v>
      </c>
      <c r="BC33">
        <f>IF('06_Normalizacao'!P33="",0,'06_Normalizacao'!P33)</f>
        <v>0</v>
      </c>
      <c r="BD33">
        <f>IF('06_Normalizacao'!Q33="",0,'06_Normalizacao'!Q33)</f>
        <v>0</v>
      </c>
      <c r="BE33">
        <f>IF('06_Normalizacao'!R33="",0,'06_Normalizacao'!R33)</f>
        <v>0</v>
      </c>
      <c r="BF33">
        <f>IF('06_Normalizacao'!S33="",0,'06_Normalizacao'!S33)</f>
        <v>0</v>
      </c>
      <c r="BG33">
        <f>IF('06_Normalizacao'!T33="",0,'06_Normalizacao'!T33)</f>
        <v>0</v>
      </c>
      <c r="BH33">
        <f>IF('06_Normalizacao'!U33="",0,'06_Normalizacao'!U33)</f>
        <v>0</v>
      </c>
      <c r="BJ33">
        <f>IF('06_Normalizacao'!K33="",0,1)</f>
        <v>0</v>
      </c>
      <c r="BK33">
        <f>IF('06_Normalizacao'!L33="",0,1)</f>
        <v>0</v>
      </c>
      <c r="BL33">
        <f>IF('06_Normalizacao'!M33="",0,1)</f>
        <v>0</v>
      </c>
      <c r="BM33">
        <f>IF('06_Normalizacao'!N33="",0,1)</f>
        <v>0</v>
      </c>
      <c r="BN33">
        <f>IF('06_Normalizacao'!O33="",0,1)</f>
        <v>0</v>
      </c>
      <c r="BO33">
        <f>IF('06_Normalizacao'!P33="",0,1)</f>
        <v>0</v>
      </c>
      <c r="BP33">
        <f>IF('06_Normalizacao'!Q33="",0,1)</f>
        <v>0</v>
      </c>
      <c r="BQ33">
        <f>IF('06_Normalizacao'!R33="",0,1)</f>
        <v>0</v>
      </c>
      <c r="BR33">
        <f>IF('06_Normalizacao'!S33="",0,1)</f>
        <v>0</v>
      </c>
      <c r="BS33">
        <f>IF('06_Normalizacao'!T33="",0,1)</f>
        <v>0</v>
      </c>
      <c r="BT33">
        <f>IF('06_Normalizacao'!U33="",0,1)</f>
        <v>0</v>
      </c>
    </row>
    <row r="34" spans="1:72">
      <c r="A34" s="6" t="str">
        <f>'03_Base_Indice'!D34</f>
        <v/>
      </c>
      <c r="B34" t="str">
        <f>IFERROR(LOOKUP(2,1/ISNUMBER('03_Base_Indice'!$K34:K34),COLUMN('03_Base_Indice'!$K34:K34)-COLUMN('03_Base_Indice'!$K34)+1),"")</f>
        <v/>
      </c>
      <c r="C34" t="str">
        <f>IFERROR(LOOKUP(2,1/ISNUMBER('03_Base_Indice'!$K34:L34),COLUMN('03_Base_Indice'!$K34:L34)-COLUMN('03_Base_Indice'!$K34)+1),"")</f>
        <v/>
      </c>
      <c r="D34" t="str">
        <f>IFERROR(LOOKUP(2,1/ISNUMBER('03_Base_Indice'!$K34:M34),COLUMN('03_Base_Indice'!$K34:M34)-COLUMN('03_Base_Indice'!$K34)+1),"")</f>
        <v/>
      </c>
      <c r="E34" t="str">
        <f>IFERROR(LOOKUP(2,1/ISNUMBER('03_Base_Indice'!$K34:N34),COLUMN('03_Base_Indice'!$K34:N34)-COLUMN('03_Base_Indice'!$K34)+1),"")</f>
        <v/>
      </c>
      <c r="F34" t="str">
        <f>IFERROR(LOOKUP(2,1/ISNUMBER('03_Base_Indice'!$K34:O34),COLUMN('03_Base_Indice'!$K34:O34)-COLUMN('03_Base_Indice'!$K34)+1),"")</f>
        <v/>
      </c>
      <c r="G34" t="str">
        <f>IFERROR(LOOKUP(2,1/ISNUMBER('03_Base_Indice'!$K34:P34),COLUMN('03_Base_Indice'!$K34:P34)-COLUMN('03_Base_Indice'!$K34)+1),"")</f>
        <v/>
      </c>
      <c r="H34" t="str">
        <f>IFERROR(LOOKUP(2,1/ISNUMBER('03_Base_Indice'!$K34:Q34),COLUMN('03_Base_Indice'!$K34:Q34)-COLUMN('03_Base_Indice'!$K34)+1),"")</f>
        <v/>
      </c>
      <c r="I34" t="str">
        <f>IFERROR(LOOKUP(2,1/ISNUMBER('03_Base_Indice'!$K34:R34),COLUMN('03_Base_Indice'!$K34:R34)-COLUMN('03_Base_Indice'!$K34)+1),"")</f>
        <v/>
      </c>
      <c r="J34" t="str">
        <f>IFERROR(LOOKUP(2,1/ISNUMBER('03_Base_Indice'!$K34:S34),COLUMN('03_Base_Indice'!$K34:S34)-COLUMN('03_Base_Indice'!$K34)+1),"")</f>
        <v/>
      </c>
      <c r="K34" t="str">
        <f>IFERROR(LOOKUP(2,1/ISNUMBER('03_Base_Indice'!$K34:T34),COLUMN('03_Base_Indice'!$K34:T34)-COLUMN('03_Base_Indice'!$K34)+1),"")</f>
        <v/>
      </c>
      <c r="L34" t="str">
        <f>IFERROR(LOOKUP(2,1/ISNUMBER('03_Base_Indice'!$K34:U34),COLUMN('03_Base_Indice'!$K34:U34)-COLUMN('03_Base_Indice'!$K34)+1),"")</f>
        <v/>
      </c>
      <c r="N34" t="str">
        <f>IFERROR(MATCH(TRUE,INDEX(ISNUMBER('03_Base_Indice'!K34:$U34),0),0)+0,"")</f>
        <v/>
      </c>
      <c r="O34" t="str">
        <f>IFERROR(MATCH(TRUE,INDEX(ISNUMBER('03_Base_Indice'!L34:$U34),0),0)+1,"")</f>
        <v/>
      </c>
      <c r="P34" t="str">
        <f>IFERROR(MATCH(TRUE,INDEX(ISNUMBER('03_Base_Indice'!M34:$U34),0),0)+2,"")</f>
        <v/>
      </c>
      <c r="Q34" t="str">
        <f>IFERROR(MATCH(TRUE,INDEX(ISNUMBER('03_Base_Indice'!N34:$U34),0),0)+3,"")</f>
        <v/>
      </c>
      <c r="R34" t="str">
        <f>IFERROR(MATCH(TRUE,INDEX(ISNUMBER('03_Base_Indice'!O34:$U34),0),0)+4,"")</f>
        <v/>
      </c>
      <c r="S34" t="str">
        <f>IFERROR(MATCH(TRUE,INDEX(ISNUMBER('03_Base_Indice'!P34:$U34),0),0)+5,"")</f>
        <v/>
      </c>
      <c r="T34" t="str">
        <f>IFERROR(MATCH(TRUE,INDEX(ISNUMBER('03_Base_Indice'!Q34:$U34),0),0)+6,"")</f>
        <v/>
      </c>
      <c r="U34" t="str">
        <f>IFERROR(MATCH(TRUE,INDEX(ISNUMBER('03_Base_Indice'!R34:$U34),0),0)+7,"")</f>
        <v/>
      </c>
      <c r="V34" t="str">
        <f>IFERROR(MATCH(TRUE,INDEX(ISNUMBER('03_Base_Indice'!S34:$U34),0),0)+8,"")</f>
        <v/>
      </c>
      <c r="W34" t="str">
        <f>IFERROR(MATCH(TRUE,INDEX(ISNUMBER('03_Base_Indice'!T34:$U34),0),0)+9,"")</f>
        <v/>
      </c>
      <c r="X34" t="str">
        <f>IFERROR(MATCH(TRUE,INDEX(ISNUMBER('03_Base_Indice'!U34:$U34),0),0)+10,"")</f>
        <v/>
      </c>
      <c r="Z34" t="str">
        <f>IF(B34="","",INDEX('03_Base_Indice'!$K34:$U34,B34))</f>
        <v/>
      </c>
      <c r="AA34" t="str">
        <f>IF(C34="","",INDEX('03_Base_Indice'!$K34:$U34,C34))</f>
        <v/>
      </c>
      <c r="AB34" t="str">
        <f>IF(D34="","",INDEX('03_Base_Indice'!$K34:$U34,D34))</f>
        <v/>
      </c>
      <c r="AC34" t="str">
        <f>IF(E34="","",INDEX('03_Base_Indice'!$K34:$U34,E34))</f>
        <v/>
      </c>
      <c r="AD34" t="str">
        <f>IF(F34="","",INDEX('03_Base_Indice'!$K34:$U34,F34))</f>
        <v/>
      </c>
      <c r="AE34" t="str">
        <f>IF(G34="","",INDEX('03_Base_Indice'!$K34:$U34,G34))</f>
        <v/>
      </c>
      <c r="AF34" t="str">
        <f>IF(H34="","",INDEX('03_Base_Indice'!$K34:$U34,H34))</f>
        <v/>
      </c>
      <c r="AG34" t="str">
        <f>IF(I34="","",INDEX('03_Base_Indice'!$K34:$U34,I34))</f>
        <v/>
      </c>
      <c r="AH34" t="str">
        <f>IF(J34="","",INDEX('03_Base_Indice'!$K34:$U34,J34))</f>
        <v/>
      </c>
      <c r="AI34" t="str">
        <f>IF(K34="","",INDEX('03_Base_Indice'!$K34:$U34,K34))</f>
        <v/>
      </c>
      <c r="AJ34" t="str">
        <f>IF(L34="","",INDEX('03_Base_Indice'!$K34:$U34,L34))</f>
        <v/>
      </c>
      <c r="AL34" t="str">
        <f>IF(N34="","",INDEX('03_Base_Indice'!$K34:$U34,N34))</f>
        <v/>
      </c>
      <c r="AM34" t="str">
        <f>IF(O34="","",INDEX('03_Base_Indice'!$K34:$U34,O34))</f>
        <v/>
      </c>
      <c r="AN34" t="str">
        <f>IF(P34="","",INDEX('03_Base_Indice'!$K34:$U34,P34))</f>
        <v/>
      </c>
      <c r="AO34" t="str">
        <f>IF(Q34="","",INDEX('03_Base_Indice'!$K34:$U34,Q34))</f>
        <v/>
      </c>
      <c r="AP34" t="str">
        <f>IF(R34="","",INDEX('03_Base_Indice'!$K34:$U34,R34))</f>
        <v/>
      </c>
      <c r="AQ34" t="str">
        <f>IF(S34="","",INDEX('03_Base_Indice'!$K34:$U34,S34))</f>
        <v/>
      </c>
      <c r="AR34" t="str">
        <f>IF(T34="","",INDEX('03_Base_Indice'!$K34:$U34,T34))</f>
        <v/>
      </c>
      <c r="AS34" t="str">
        <f>IF(U34="","",INDEX('03_Base_Indice'!$K34:$U34,U34))</f>
        <v/>
      </c>
      <c r="AT34" t="str">
        <f>IF(V34="","",INDEX('03_Base_Indice'!$K34:$U34,V34))</f>
        <v/>
      </c>
      <c r="AU34" t="str">
        <f>IF(W34="","",INDEX('03_Base_Indice'!$K34:$U34,W34))</f>
        <v/>
      </c>
      <c r="AV34" t="str">
        <f>IF(X34="","",INDEX('03_Base_Indice'!$K34:$U34,X34))</f>
        <v/>
      </c>
      <c r="AX34">
        <f>IF('06_Normalizacao'!K34="",0,'06_Normalizacao'!K34)</f>
        <v>0</v>
      </c>
      <c r="AY34">
        <f>IF('06_Normalizacao'!L34="",0,'06_Normalizacao'!L34)</f>
        <v>0</v>
      </c>
      <c r="AZ34">
        <f>IF('06_Normalizacao'!M34="",0,'06_Normalizacao'!M34)</f>
        <v>0</v>
      </c>
      <c r="BA34">
        <f>IF('06_Normalizacao'!N34="",0,'06_Normalizacao'!N34)</f>
        <v>0</v>
      </c>
      <c r="BB34">
        <f>IF('06_Normalizacao'!O34="",0,'06_Normalizacao'!O34)</f>
        <v>0</v>
      </c>
      <c r="BC34">
        <f>IF('06_Normalizacao'!P34="",0,'06_Normalizacao'!P34)</f>
        <v>0</v>
      </c>
      <c r="BD34">
        <f>IF('06_Normalizacao'!Q34="",0,'06_Normalizacao'!Q34)</f>
        <v>0</v>
      </c>
      <c r="BE34">
        <f>IF('06_Normalizacao'!R34="",0,'06_Normalizacao'!R34)</f>
        <v>0</v>
      </c>
      <c r="BF34">
        <f>IF('06_Normalizacao'!S34="",0,'06_Normalizacao'!S34)</f>
        <v>0</v>
      </c>
      <c r="BG34">
        <f>IF('06_Normalizacao'!T34="",0,'06_Normalizacao'!T34)</f>
        <v>0</v>
      </c>
      <c r="BH34">
        <f>IF('06_Normalizacao'!U34="",0,'06_Normalizacao'!U34)</f>
        <v>0</v>
      </c>
      <c r="BJ34">
        <f>IF('06_Normalizacao'!K34="",0,1)</f>
        <v>0</v>
      </c>
      <c r="BK34">
        <f>IF('06_Normalizacao'!L34="",0,1)</f>
        <v>0</v>
      </c>
      <c r="BL34">
        <f>IF('06_Normalizacao'!M34="",0,1)</f>
        <v>0</v>
      </c>
      <c r="BM34">
        <f>IF('06_Normalizacao'!N34="",0,1)</f>
        <v>0</v>
      </c>
      <c r="BN34">
        <f>IF('06_Normalizacao'!O34="",0,1)</f>
        <v>0</v>
      </c>
      <c r="BO34">
        <f>IF('06_Normalizacao'!P34="",0,1)</f>
        <v>0</v>
      </c>
      <c r="BP34">
        <f>IF('06_Normalizacao'!Q34="",0,1)</f>
        <v>0</v>
      </c>
      <c r="BQ34">
        <f>IF('06_Normalizacao'!R34="",0,1)</f>
        <v>0</v>
      </c>
      <c r="BR34">
        <f>IF('06_Normalizacao'!S34="",0,1)</f>
        <v>0</v>
      </c>
      <c r="BS34">
        <f>IF('06_Normalizacao'!T34="",0,1)</f>
        <v>0</v>
      </c>
      <c r="BT34">
        <f>IF('06_Normalizacao'!U34="",0,1)</f>
        <v>0</v>
      </c>
    </row>
    <row r="35" spans="1:72">
      <c r="A35" s="6" t="str">
        <f>'03_Base_Indice'!D35</f>
        <v>INC005</v>
      </c>
      <c r="B35">
        <f>IFERROR(LOOKUP(2,1/ISNUMBER('03_Base_Indice'!$K35:K35),COLUMN('03_Base_Indice'!$K35:K35)-COLUMN('03_Base_Indice'!$K35)+1),"")</f>
        <v>1</v>
      </c>
      <c r="C35">
        <f>IFERROR(LOOKUP(2,1/ISNUMBER('03_Base_Indice'!$K35:L35),COLUMN('03_Base_Indice'!$K35:L35)-COLUMN('03_Base_Indice'!$K35)+1),"")</f>
        <v>2</v>
      </c>
      <c r="D35">
        <f>IFERROR(LOOKUP(2,1/ISNUMBER('03_Base_Indice'!$K35:M35),COLUMN('03_Base_Indice'!$K35:M35)-COLUMN('03_Base_Indice'!$K35)+1),"")</f>
        <v>3</v>
      </c>
      <c r="E35">
        <f>IFERROR(LOOKUP(2,1/ISNUMBER('03_Base_Indice'!$K35:N35),COLUMN('03_Base_Indice'!$K35:N35)-COLUMN('03_Base_Indice'!$K35)+1),"")</f>
        <v>4</v>
      </c>
      <c r="F35">
        <f>IFERROR(LOOKUP(2,1/ISNUMBER('03_Base_Indice'!$K35:O35),COLUMN('03_Base_Indice'!$K35:O35)-COLUMN('03_Base_Indice'!$K35)+1),"")</f>
        <v>5</v>
      </c>
      <c r="G35">
        <f>IFERROR(LOOKUP(2,1/ISNUMBER('03_Base_Indice'!$K35:P35),COLUMN('03_Base_Indice'!$K35:P35)-COLUMN('03_Base_Indice'!$K35)+1),"")</f>
        <v>6</v>
      </c>
      <c r="H35">
        <f>IFERROR(LOOKUP(2,1/ISNUMBER('03_Base_Indice'!$K35:Q35),COLUMN('03_Base_Indice'!$K35:Q35)-COLUMN('03_Base_Indice'!$K35)+1),"")</f>
        <v>7</v>
      </c>
      <c r="I35">
        <f>IFERROR(LOOKUP(2,1/ISNUMBER('03_Base_Indice'!$K35:R35),COLUMN('03_Base_Indice'!$K35:R35)-COLUMN('03_Base_Indice'!$K35)+1),"")</f>
        <v>8</v>
      </c>
      <c r="J35">
        <f>IFERROR(LOOKUP(2,1/ISNUMBER('03_Base_Indice'!$K35:S35),COLUMN('03_Base_Indice'!$K35:S35)-COLUMN('03_Base_Indice'!$K35)+1),"")</f>
        <v>9</v>
      </c>
      <c r="K35">
        <f>IFERROR(LOOKUP(2,1/ISNUMBER('03_Base_Indice'!$K35:T35),COLUMN('03_Base_Indice'!$K35:T35)-COLUMN('03_Base_Indice'!$K35)+1),"")</f>
        <v>10</v>
      </c>
      <c r="L35">
        <f>IFERROR(LOOKUP(2,1/ISNUMBER('03_Base_Indice'!$K35:U35),COLUMN('03_Base_Indice'!$K35:U35)-COLUMN('03_Base_Indice'!$K35)+1),"")</f>
        <v>11</v>
      </c>
      <c r="N35">
        <f>IFERROR(MATCH(TRUE,INDEX(ISNUMBER('03_Base_Indice'!K35:$U35),0),0)+0,"")</f>
        <v>1</v>
      </c>
      <c r="O35">
        <f>IFERROR(MATCH(TRUE,INDEX(ISNUMBER('03_Base_Indice'!L35:$U35),0),0)+1,"")</f>
        <v>2</v>
      </c>
      <c r="P35">
        <f>IFERROR(MATCH(TRUE,INDEX(ISNUMBER('03_Base_Indice'!M35:$U35),0),0)+2,"")</f>
        <v>3</v>
      </c>
      <c r="Q35">
        <f>IFERROR(MATCH(TRUE,INDEX(ISNUMBER('03_Base_Indice'!N35:$U35),0),0)+3,"")</f>
        <v>4</v>
      </c>
      <c r="R35">
        <f>IFERROR(MATCH(TRUE,INDEX(ISNUMBER('03_Base_Indice'!O35:$U35),0),0)+4,"")</f>
        <v>5</v>
      </c>
      <c r="S35">
        <f>IFERROR(MATCH(TRUE,INDEX(ISNUMBER('03_Base_Indice'!P35:$U35),0),0)+5,"")</f>
        <v>6</v>
      </c>
      <c r="T35">
        <f>IFERROR(MATCH(TRUE,INDEX(ISNUMBER('03_Base_Indice'!Q35:$U35),0),0)+6,"")</f>
        <v>7</v>
      </c>
      <c r="U35">
        <f>IFERROR(MATCH(TRUE,INDEX(ISNUMBER('03_Base_Indice'!R35:$U35),0),0)+7,"")</f>
        <v>8</v>
      </c>
      <c r="V35">
        <f>IFERROR(MATCH(TRUE,INDEX(ISNUMBER('03_Base_Indice'!S35:$U35),0),0)+8,"")</f>
        <v>9</v>
      </c>
      <c r="W35">
        <f>IFERROR(MATCH(TRUE,INDEX(ISNUMBER('03_Base_Indice'!T35:$U35),0),0)+9,"")</f>
        <v>10</v>
      </c>
      <c r="X35">
        <f>IFERROR(MATCH(TRUE,INDEX(ISNUMBER('03_Base_Indice'!U35:$U35),0),0)+10,"")</f>
        <v>11</v>
      </c>
      <c r="Z35">
        <f>IF(B35="","",INDEX('03_Base_Indice'!$K35:$U35,B35))</f>
        <v>4450</v>
      </c>
      <c r="AA35">
        <f>IF(C35="","",INDEX('03_Base_Indice'!$K35:$U35,C35))</f>
        <v>2960</v>
      </c>
      <c r="AB35">
        <f>IF(D35="","",INDEX('03_Base_Indice'!$K35:$U35,D35))</f>
        <v>2440</v>
      </c>
      <c r="AC35">
        <f>IF(E35="","",INDEX('03_Base_Indice'!$K35:$U35,E35))</f>
        <v>2300</v>
      </c>
      <c r="AD35">
        <f>IF(F35="","",INDEX('03_Base_Indice'!$K35:$U35,F35))</f>
        <v>2460</v>
      </c>
      <c r="AE35">
        <f>IF(G35="","",INDEX('03_Base_Indice'!$K35:$U35,G35))</f>
        <v>2000</v>
      </c>
      <c r="AF35">
        <f>IF(H35="","",INDEX('03_Base_Indice'!$K35:$U35,H35))</f>
        <v>1960</v>
      </c>
      <c r="AG35">
        <f>IF(I35="","",INDEX('03_Base_Indice'!$K35:$U35,I35))</f>
        <v>2290</v>
      </c>
      <c r="AH35">
        <f>IF(J35="","",INDEX('03_Base_Indice'!$K35:$U35,J35))</f>
        <v>2650</v>
      </c>
      <c r="AI35">
        <f>IF(K35="","",INDEX('03_Base_Indice'!$K35:$U35,K35))</f>
        <v>2850</v>
      </c>
      <c r="AJ35">
        <f>IF(L35="","",INDEX('03_Base_Indice'!$K35:$U35,L35))</f>
        <v>2860</v>
      </c>
      <c r="AL35">
        <f>IF(N35="","",INDEX('03_Base_Indice'!$K35:$U35,N35))</f>
        <v>4450</v>
      </c>
      <c r="AM35">
        <f>IF(O35="","",INDEX('03_Base_Indice'!$K35:$U35,O35))</f>
        <v>2960</v>
      </c>
      <c r="AN35">
        <f>IF(P35="","",INDEX('03_Base_Indice'!$K35:$U35,P35))</f>
        <v>2440</v>
      </c>
      <c r="AO35">
        <f>IF(Q35="","",INDEX('03_Base_Indice'!$K35:$U35,Q35))</f>
        <v>2300</v>
      </c>
      <c r="AP35">
        <f>IF(R35="","",INDEX('03_Base_Indice'!$K35:$U35,R35))</f>
        <v>2460</v>
      </c>
      <c r="AQ35">
        <f>IF(S35="","",INDEX('03_Base_Indice'!$K35:$U35,S35))</f>
        <v>2000</v>
      </c>
      <c r="AR35">
        <f>IF(T35="","",INDEX('03_Base_Indice'!$K35:$U35,T35))</f>
        <v>1960</v>
      </c>
      <c r="AS35">
        <f>IF(U35="","",INDEX('03_Base_Indice'!$K35:$U35,U35))</f>
        <v>2290</v>
      </c>
      <c r="AT35">
        <f>IF(V35="","",INDEX('03_Base_Indice'!$K35:$U35,V35))</f>
        <v>2650</v>
      </c>
      <c r="AU35">
        <f>IF(W35="","",INDEX('03_Base_Indice'!$K35:$U35,W35))</f>
        <v>2850</v>
      </c>
      <c r="AV35">
        <f>IF(X35="","",INDEX('03_Base_Indice'!$K35:$U35,X35))</f>
        <v>2860</v>
      </c>
      <c r="AX35">
        <f>IF('06_Normalizacao'!K35="",0,'06_Normalizacao'!K35)</f>
        <v>27.241379310344829</v>
      </c>
      <c r="AY35">
        <f>IF('06_Normalizacao'!L35="",0,'06_Normalizacao'!L35)</f>
        <v>16.96551724137931</v>
      </c>
      <c r="AZ35">
        <f>IF('06_Normalizacao'!M35="",0,'06_Normalizacao'!M35)</f>
        <v>13.379310344827585</v>
      </c>
      <c r="BA35">
        <f>IF('06_Normalizacao'!N35="",0,'06_Normalizacao'!N35)</f>
        <v>12.413793103448276</v>
      </c>
      <c r="BB35">
        <f>IF('06_Normalizacao'!O35="",0,'06_Normalizacao'!O35)</f>
        <v>13.517241379310345</v>
      </c>
      <c r="BC35">
        <f>IF('06_Normalizacao'!P35="",0,'06_Normalizacao'!P35)</f>
        <v>10.344827586206897</v>
      </c>
      <c r="BD35">
        <f>IF('06_Normalizacao'!Q35="",0,'06_Normalizacao'!Q35)</f>
        <v>10.068965517241379</v>
      </c>
      <c r="BE35">
        <f>IF('06_Normalizacao'!R35="",0,'06_Normalizacao'!R35)</f>
        <v>12.344827586206897</v>
      </c>
      <c r="BF35">
        <f>IF('06_Normalizacao'!S35="",0,'06_Normalizacao'!S35)</f>
        <v>14.827586206896552</v>
      </c>
      <c r="BG35">
        <f>IF('06_Normalizacao'!T35="",0,'06_Normalizacao'!T35)</f>
        <v>16.206896551724139</v>
      </c>
      <c r="BH35">
        <f>IF('06_Normalizacao'!U35="",0,'06_Normalizacao'!U35)</f>
        <v>16.275862068965516</v>
      </c>
      <c r="BJ35">
        <f>IF('06_Normalizacao'!K35="",0,1)</f>
        <v>1</v>
      </c>
      <c r="BK35">
        <f>IF('06_Normalizacao'!L35="",0,1)</f>
        <v>1</v>
      </c>
      <c r="BL35">
        <f>IF('06_Normalizacao'!M35="",0,1)</f>
        <v>1</v>
      </c>
      <c r="BM35">
        <f>IF('06_Normalizacao'!N35="",0,1)</f>
        <v>1</v>
      </c>
      <c r="BN35">
        <f>IF('06_Normalizacao'!O35="",0,1)</f>
        <v>1</v>
      </c>
      <c r="BO35">
        <f>IF('06_Normalizacao'!P35="",0,1)</f>
        <v>1</v>
      </c>
      <c r="BP35">
        <f>IF('06_Normalizacao'!Q35="",0,1)</f>
        <v>1</v>
      </c>
      <c r="BQ35">
        <f>IF('06_Normalizacao'!R35="",0,1)</f>
        <v>1</v>
      </c>
      <c r="BR35">
        <f>IF('06_Normalizacao'!S35="",0,1)</f>
        <v>1</v>
      </c>
      <c r="BS35">
        <f>IF('06_Normalizacao'!T35="",0,1)</f>
        <v>1</v>
      </c>
      <c r="BT35">
        <f>IF('06_Normalizacao'!U35="",0,1)</f>
        <v>1</v>
      </c>
    </row>
    <row r="36" spans="1:72">
      <c r="A36" s="6" t="str">
        <f>'03_Base_Indice'!D36</f>
        <v>INC04</v>
      </c>
      <c r="B36">
        <f>IFERROR(LOOKUP(2,1/ISNUMBER('03_Base_Indice'!$K36:K36),COLUMN('03_Base_Indice'!$K36:K36)-COLUMN('03_Base_Indice'!$K36)+1),"")</f>
        <v>1</v>
      </c>
      <c r="C36">
        <f>IFERROR(LOOKUP(2,1/ISNUMBER('03_Base_Indice'!$K36:L36),COLUMN('03_Base_Indice'!$K36:L36)-COLUMN('03_Base_Indice'!$K36)+1),"")</f>
        <v>2</v>
      </c>
      <c r="D36">
        <f>IFERROR(LOOKUP(2,1/ISNUMBER('03_Base_Indice'!$K36:M36),COLUMN('03_Base_Indice'!$K36:M36)-COLUMN('03_Base_Indice'!$K36)+1),"")</f>
        <v>3</v>
      </c>
      <c r="E36">
        <f>IFERROR(LOOKUP(2,1/ISNUMBER('03_Base_Indice'!$K36:N36),COLUMN('03_Base_Indice'!$K36:N36)-COLUMN('03_Base_Indice'!$K36)+1),"")</f>
        <v>4</v>
      </c>
      <c r="F36">
        <f>IFERROR(LOOKUP(2,1/ISNUMBER('03_Base_Indice'!$K36:O36),COLUMN('03_Base_Indice'!$K36:O36)-COLUMN('03_Base_Indice'!$K36)+1),"")</f>
        <v>4</v>
      </c>
      <c r="G36">
        <f>IFERROR(LOOKUP(2,1/ISNUMBER('03_Base_Indice'!$K36:P36),COLUMN('03_Base_Indice'!$K36:P36)-COLUMN('03_Base_Indice'!$K36)+1),"")</f>
        <v>6</v>
      </c>
      <c r="H36">
        <f>IFERROR(LOOKUP(2,1/ISNUMBER('03_Base_Indice'!$K36:Q36),COLUMN('03_Base_Indice'!$K36:Q36)-COLUMN('03_Base_Indice'!$K36)+1),"")</f>
        <v>7</v>
      </c>
      <c r="I36">
        <f>IFERROR(LOOKUP(2,1/ISNUMBER('03_Base_Indice'!$K36:R36),COLUMN('03_Base_Indice'!$K36:R36)-COLUMN('03_Base_Indice'!$K36)+1),"")</f>
        <v>8</v>
      </c>
      <c r="J36">
        <f>IFERROR(LOOKUP(2,1/ISNUMBER('03_Base_Indice'!$K36:S36),COLUMN('03_Base_Indice'!$K36:S36)-COLUMN('03_Base_Indice'!$K36)+1),"")</f>
        <v>9</v>
      </c>
      <c r="K36">
        <f>IFERROR(LOOKUP(2,1/ISNUMBER('03_Base_Indice'!$K36:T36),COLUMN('03_Base_Indice'!$K36:T36)-COLUMN('03_Base_Indice'!$K36)+1),"")</f>
        <v>10</v>
      </c>
      <c r="L36">
        <f>IFERROR(LOOKUP(2,1/ISNUMBER('03_Base_Indice'!$K36:U36),COLUMN('03_Base_Indice'!$K36:U36)-COLUMN('03_Base_Indice'!$K36)+1),"")</f>
        <v>11</v>
      </c>
      <c r="N36">
        <f>IFERROR(MATCH(TRUE,INDEX(ISNUMBER('03_Base_Indice'!K36:$U36),0),0)+0,"")</f>
        <v>1</v>
      </c>
      <c r="O36">
        <f>IFERROR(MATCH(TRUE,INDEX(ISNUMBER('03_Base_Indice'!L36:$U36),0),0)+1,"")</f>
        <v>2</v>
      </c>
      <c r="P36">
        <f>IFERROR(MATCH(TRUE,INDEX(ISNUMBER('03_Base_Indice'!M36:$U36),0),0)+2,"")</f>
        <v>3</v>
      </c>
      <c r="Q36">
        <f>IFERROR(MATCH(TRUE,INDEX(ISNUMBER('03_Base_Indice'!N36:$U36),0),0)+3,"")</f>
        <v>4</v>
      </c>
      <c r="R36">
        <f>IFERROR(MATCH(TRUE,INDEX(ISNUMBER('03_Base_Indice'!O36:$U36),0),0)+4,"")</f>
        <v>6</v>
      </c>
      <c r="S36">
        <f>IFERROR(MATCH(TRUE,INDEX(ISNUMBER('03_Base_Indice'!P36:$U36),0),0)+5,"")</f>
        <v>6</v>
      </c>
      <c r="T36">
        <f>IFERROR(MATCH(TRUE,INDEX(ISNUMBER('03_Base_Indice'!Q36:$U36),0),0)+6,"")</f>
        <v>7</v>
      </c>
      <c r="U36">
        <f>IFERROR(MATCH(TRUE,INDEX(ISNUMBER('03_Base_Indice'!R36:$U36),0),0)+7,"")</f>
        <v>8</v>
      </c>
      <c r="V36">
        <f>IFERROR(MATCH(TRUE,INDEX(ISNUMBER('03_Base_Indice'!S36:$U36),0),0)+8,"")</f>
        <v>9</v>
      </c>
      <c r="W36">
        <f>IFERROR(MATCH(TRUE,INDEX(ISNUMBER('03_Base_Indice'!T36:$U36),0),0)+9,"")</f>
        <v>10</v>
      </c>
      <c r="X36">
        <f>IFERROR(MATCH(TRUE,INDEX(ISNUMBER('03_Base_Indice'!U36:$U36),0),0)+10,"")</f>
        <v>11</v>
      </c>
      <c r="Z36">
        <f>IF(B36="","",INDEX('03_Base_Indice'!$K36:$U36,B36))</f>
        <v>0.63700000000000001</v>
      </c>
      <c r="AA36">
        <f>IF(C36="","",INDEX('03_Base_Indice'!$K36:$U36,C36))</f>
        <v>0.64300000000000002</v>
      </c>
      <c r="AB36">
        <f>IF(D36="","",INDEX('03_Base_Indice'!$K36:$U36,D36))</f>
        <v>0.64</v>
      </c>
      <c r="AC36">
        <f>IF(E36="","",INDEX('03_Base_Indice'!$K36:$U36,E36))</f>
        <v>0.63300000000000001</v>
      </c>
      <c r="AD36">
        <f>IF(F36="","",INDEX('03_Base_Indice'!$K36:$U36,F36))</f>
        <v>0.63300000000000001</v>
      </c>
      <c r="AE36">
        <f>IF(G36="","",INDEX('03_Base_Indice'!$K36:$U36,G36))</f>
        <v>0.66</v>
      </c>
      <c r="AF36">
        <f>IF(H36="","",INDEX('03_Base_Indice'!$K36:$U36,H36))</f>
        <v>0.65700000000000003</v>
      </c>
      <c r="AG36">
        <f>IF(I36="","",INDEX('03_Base_Indice'!$K36:$U36,I36))</f>
        <v>0.63800000000000001</v>
      </c>
      <c r="AH36">
        <f>IF(J36="","",INDEX('03_Base_Indice'!$K36:$U36,J36))</f>
        <v>0.65600000000000003</v>
      </c>
      <c r="AI36">
        <f>IF(K36="","",INDEX('03_Base_Indice'!$K36:$U36,K36))</f>
        <v>0.66800000000000004</v>
      </c>
      <c r="AJ36">
        <f>IF(L36="","",INDEX('03_Base_Indice'!$K36:$U36,L36))</f>
        <v>0.66800000000000004</v>
      </c>
      <c r="AL36">
        <f>IF(N36="","",INDEX('03_Base_Indice'!$K36:$U36,N36))</f>
        <v>0.63700000000000001</v>
      </c>
      <c r="AM36">
        <f>IF(O36="","",INDEX('03_Base_Indice'!$K36:$U36,O36))</f>
        <v>0.64300000000000002</v>
      </c>
      <c r="AN36">
        <f>IF(P36="","",INDEX('03_Base_Indice'!$K36:$U36,P36))</f>
        <v>0.64</v>
      </c>
      <c r="AO36">
        <f>IF(Q36="","",INDEX('03_Base_Indice'!$K36:$U36,Q36))</f>
        <v>0.63300000000000001</v>
      </c>
      <c r="AP36">
        <f>IF(R36="","",INDEX('03_Base_Indice'!$K36:$U36,R36))</f>
        <v>0.66</v>
      </c>
      <c r="AQ36">
        <f>IF(S36="","",INDEX('03_Base_Indice'!$K36:$U36,S36))</f>
        <v>0.66</v>
      </c>
      <c r="AR36">
        <f>IF(T36="","",INDEX('03_Base_Indice'!$K36:$U36,T36))</f>
        <v>0.65700000000000003</v>
      </c>
      <c r="AS36">
        <f>IF(U36="","",INDEX('03_Base_Indice'!$K36:$U36,U36))</f>
        <v>0.63800000000000001</v>
      </c>
      <c r="AT36">
        <f>IF(V36="","",INDEX('03_Base_Indice'!$K36:$U36,V36))</f>
        <v>0.65600000000000003</v>
      </c>
      <c r="AU36">
        <f>IF(W36="","",INDEX('03_Base_Indice'!$K36:$U36,W36))</f>
        <v>0.66800000000000004</v>
      </c>
      <c r="AV36">
        <f>IF(X36="","",INDEX('03_Base_Indice'!$K36:$U36,X36))</f>
        <v>0.66800000000000004</v>
      </c>
      <c r="AX36">
        <f>IF('06_Normalizacao'!K36="",0,'06_Normalizacao'!K36)</f>
        <v>63.7</v>
      </c>
      <c r="AY36">
        <f>IF('06_Normalizacao'!L36="",0,'06_Normalizacao'!L36)</f>
        <v>64.3</v>
      </c>
      <c r="AZ36">
        <f>IF('06_Normalizacao'!M36="",0,'06_Normalizacao'!M36)</f>
        <v>64</v>
      </c>
      <c r="BA36">
        <f>IF('06_Normalizacao'!N36="",0,'06_Normalizacao'!N36)</f>
        <v>63.3</v>
      </c>
      <c r="BB36">
        <f>IF('06_Normalizacao'!O36="",0,'06_Normalizacao'!O36)</f>
        <v>64.650000000000006</v>
      </c>
      <c r="BC36">
        <f>IF('06_Normalizacao'!P36="",0,'06_Normalizacao'!P36)</f>
        <v>66</v>
      </c>
      <c r="BD36">
        <f>IF('06_Normalizacao'!Q36="",0,'06_Normalizacao'!Q36)</f>
        <v>65.7</v>
      </c>
      <c r="BE36">
        <f>IF('06_Normalizacao'!R36="",0,'06_Normalizacao'!R36)</f>
        <v>63.800000000000004</v>
      </c>
      <c r="BF36">
        <f>IF('06_Normalizacao'!S36="",0,'06_Normalizacao'!S36)</f>
        <v>65.600000000000009</v>
      </c>
      <c r="BG36">
        <f>IF('06_Normalizacao'!T36="",0,'06_Normalizacao'!T36)</f>
        <v>66.8</v>
      </c>
      <c r="BH36">
        <f>IF('06_Normalizacao'!U36="",0,'06_Normalizacao'!U36)</f>
        <v>66.8</v>
      </c>
      <c r="BJ36">
        <f>IF('06_Normalizacao'!K36="",0,1)</f>
        <v>1</v>
      </c>
      <c r="BK36">
        <f>IF('06_Normalizacao'!L36="",0,1)</f>
        <v>1</v>
      </c>
      <c r="BL36">
        <f>IF('06_Normalizacao'!M36="",0,1)</f>
        <v>1</v>
      </c>
      <c r="BM36">
        <f>IF('06_Normalizacao'!N36="",0,1)</f>
        <v>1</v>
      </c>
      <c r="BN36">
        <f>IF('06_Normalizacao'!O36="",0,1)</f>
        <v>1</v>
      </c>
      <c r="BO36">
        <f>IF('06_Normalizacao'!P36="",0,1)</f>
        <v>1</v>
      </c>
      <c r="BP36">
        <f>IF('06_Normalizacao'!Q36="",0,1)</f>
        <v>1</v>
      </c>
      <c r="BQ36">
        <f>IF('06_Normalizacao'!R36="",0,1)</f>
        <v>1</v>
      </c>
      <c r="BR36">
        <f>IF('06_Normalizacao'!S36="",0,1)</f>
        <v>1</v>
      </c>
      <c r="BS36">
        <f>IF('06_Normalizacao'!T36="",0,1)</f>
        <v>1</v>
      </c>
      <c r="BT36">
        <f>IF('06_Normalizacao'!U36="",0,1)</f>
        <v>1</v>
      </c>
    </row>
    <row r="37" spans="1:72">
      <c r="A37" s="6" t="str">
        <f>'03_Base_Indice'!D37</f>
        <v>INC06</v>
      </c>
      <c r="B37">
        <f>IFERROR(LOOKUP(2,1/ISNUMBER('03_Base_Indice'!$K37:K37),COLUMN('03_Base_Indice'!$K37:K37)-COLUMN('03_Base_Indice'!$K37)+1),"")</f>
        <v>1</v>
      </c>
      <c r="C37">
        <f>IFERROR(LOOKUP(2,1/ISNUMBER('03_Base_Indice'!$K37:L37),COLUMN('03_Base_Indice'!$K37:L37)-COLUMN('03_Base_Indice'!$K37)+1),"")</f>
        <v>2</v>
      </c>
      <c r="D37">
        <f>IFERROR(LOOKUP(2,1/ISNUMBER('03_Base_Indice'!$K37:M37),COLUMN('03_Base_Indice'!$K37:M37)-COLUMN('03_Base_Indice'!$K37)+1),"")</f>
        <v>3</v>
      </c>
      <c r="E37">
        <f>IFERROR(LOOKUP(2,1/ISNUMBER('03_Base_Indice'!$K37:N37),COLUMN('03_Base_Indice'!$K37:N37)-COLUMN('03_Base_Indice'!$K37)+1),"")</f>
        <v>4</v>
      </c>
      <c r="F37">
        <f>IFERROR(LOOKUP(2,1/ISNUMBER('03_Base_Indice'!$K37:O37),COLUMN('03_Base_Indice'!$K37:O37)-COLUMN('03_Base_Indice'!$K37)+1),"")</f>
        <v>5</v>
      </c>
      <c r="G37">
        <f>IFERROR(LOOKUP(2,1/ISNUMBER('03_Base_Indice'!$K37:P37),COLUMN('03_Base_Indice'!$K37:P37)-COLUMN('03_Base_Indice'!$K37)+1),"")</f>
        <v>6</v>
      </c>
      <c r="H37">
        <f>IFERROR(LOOKUP(2,1/ISNUMBER('03_Base_Indice'!$K37:Q37),COLUMN('03_Base_Indice'!$K37:Q37)-COLUMN('03_Base_Indice'!$K37)+1),"")</f>
        <v>7</v>
      </c>
      <c r="I37">
        <f>IFERROR(LOOKUP(2,1/ISNUMBER('03_Base_Indice'!$K37:R37),COLUMN('03_Base_Indice'!$K37:R37)-COLUMN('03_Base_Indice'!$K37)+1),"")</f>
        <v>8</v>
      </c>
      <c r="J37">
        <f>IFERROR(LOOKUP(2,1/ISNUMBER('03_Base_Indice'!$K37:S37),COLUMN('03_Base_Indice'!$K37:S37)-COLUMN('03_Base_Indice'!$K37)+1),"")</f>
        <v>9</v>
      </c>
      <c r="K37">
        <f>IFERROR(LOOKUP(2,1/ISNUMBER('03_Base_Indice'!$K37:T37),COLUMN('03_Base_Indice'!$K37:T37)-COLUMN('03_Base_Indice'!$K37)+1),"")</f>
        <v>10</v>
      </c>
      <c r="L37">
        <f>IFERROR(LOOKUP(2,1/ISNUMBER('03_Base_Indice'!$K37:U37),COLUMN('03_Base_Indice'!$K37:U37)-COLUMN('03_Base_Indice'!$K37)+1),"")</f>
        <v>11</v>
      </c>
      <c r="N37">
        <f>IFERROR(MATCH(TRUE,INDEX(ISNUMBER('03_Base_Indice'!K37:$U37),0),0)+0,"")</f>
        <v>1</v>
      </c>
      <c r="O37">
        <f>IFERROR(MATCH(TRUE,INDEX(ISNUMBER('03_Base_Indice'!L37:$U37),0),0)+1,"")</f>
        <v>2</v>
      </c>
      <c r="P37">
        <f>IFERROR(MATCH(TRUE,INDEX(ISNUMBER('03_Base_Indice'!M37:$U37),0),0)+2,"")</f>
        <v>3</v>
      </c>
      <c r="Q37">
        <f>IFERROR(MATCH(TRUE,INDEX(ISNUMBER('03_Base_Indice'!N37:$U37),0),0)+3,"")</f>
        <v>4</v>
      </c>
      <c r="R37">
        <f>IFERROR(MATCH(TRUE,INDEX(ISNUMBER('03_Base_Indice'!O37:$U37),0),0)+4,"")</f>
        <v>5</v>
      </c>
      <c r="S37">
        <f>IFERROR(MATCH(TRUE,INDEX(ISNUMBER('03_Base_Indice'!P37:$U37),0),0)+5,"")</f>
        <v>6</v>
      </c>
      <c r="T37">
        <f>IFERROR(MATCH(TRUE,INDEX(ISNUMBER('03_Base_Indice'!Q37:$U37),0),0)+6,"")</f>
        <v>7</v>
      </c>
      <c r="U37">
        <f>IFERROR(MATCH(TRUE,INDEX(ISNUMBER('03_Base_Indice'!R37:$U37),0),0)+7,"")</f>
        <v>8</v>
      </c>
      <c r="V37">
        <f>IFERROR(MATCH(TRUE,INDEX(ISNUMBER('03_Base_Indice'!S37:$U37),0),0)+8,"")</f>
        <v>9</v>
      </c>
      <c r="W37">
        <f>IFERROR(MATCH(TRUE,INDEX(ISNUMBER('03_Base_Indice'!T37:$U37),0),0)+9,"")</f>
        <v>10</v>
      </c>
      <c r="X37">
        <f>IFERROR(MATCH(TRUE,INDEX(ISNUMBER('03_Base_Indice'!U37:$U37),0),0)+10,"")</f>
        <v>11</v>
      </c>
      <c r="Z37">
        <f>IF(B37="","",INDEX('03_Base_Indice'!$K37:$U37,B37))</f>
        <v>36.818181818181799</v>
      </c>
      <c r="AA37">
        <f>IF(C37="","",INDEX('03_Base_Indice'!$K37:$U37,C37))</f>
        <v>36.818181818181799</v>
      </c>
      <c r="AB37">
        <f>IF(D37="","",INDEX('03_Base_Indice'!$K37:$U37,D37))</f>
        <v>30.454545454545499</v>
      </c>
      <c r="AC37">
        <f>IF(E37="","",INDEX('03_Base_Indice'!$K37:$U37,E37))</f>
        <v>30.454545454545499</v>
      </c>
      <c r="AD37">
        <f>IF(F37="","",INDEX('03_Base_Indice'!$K37:$U37,F37))</f>
        <v>30</v>
      </c>
      <c r="AE37">
        <f>IF(G37="","",INDEX('03_Base_Indice'!$K37:$U37,G37))</f>
        <v>30</v>
      </c>
      <c r="AF37">
        <f>IF(H37="","",INDEX('03_Base_Indice'!$K37:$U37,H37))</f>
        <v>29.545454545454501</v>
      </c>
      <c r="AG37">
        <f>IF(I37="","",INDEX('03_Base_Indice'!$K37:$U37,I37))</f>
        <v>33.636363636363598</v>
      </c>
      <c r="AH37">
        <f>IF(J37="","",INDEX('03_Base_Indice'!$K37:$U37,J37))</f>
        <v>33.636363636363598</v>
      </c>
      <c r="AI37">
        <f>IF(K37="","",INDEX('03_Base_Indice'!$K37:$U37,K37))</f>
        <v>39.545454545454497</v>
      </c>
      <c r="AJ37">
        <f>IF(L37="","",INDEX('03_Base_Indice'!$K37:$U37,L37))</f>
        <v>39.090909090909101</v>
      </c>
      <c r="AL37">
        <f>IF(N37="","",INDEX('03_Base_Indice'!$K37:$U37,N37))</f>
        <v>36.818181818181799</v>
      </c>
      <c r="AM37">
        <f>IF(O37="","",INDEX('03_Base_Indice'!$K37:$U37,O37))</f>
        <v>36.818181818181799</v>
      </c>
      <c r="AN37">
        <f>IF(P37="","",INDEX('03_Base_Indice'!$K37:$U37,P37))</f>
        <v>30.454545454545499</v>
      </c>
      <c r="AO37">
        <f>IF(Q37="","",INDEX('03_Base_Indice'!$K37:$U37,Q37))</f>
        <v>30.454545454545499</v>
      </c>
      <c r="AP37">
        <f>IF(R37="","",INDEX('03_Base_Indice'!$K37:$U37,R37))</f>
        <v>30</v>
      </c>
      <c r="AQ37">
        <f>IF(S37="","",INDEX('03_Base_Indice'!$K37:$U37,S37))</f>
        <v>30</v>
      </c>
      <c r="AR37">
        <f>IF(T37="","",INDEX('03_Base_Indice'!$K37:$U37,T37))</f>
        <v>29.545454545454501</v>
      </c>
      <c r="AS37">
        <f>IF(U37="","",INDEX('03_Base_Indice'!$K37:$U37,U37))</f>
        <v>33.636363636363598</v>
      </c>
      <c r="AT37">
        <f>IF(V37="","",INDEX('03_Base_Indice'!$K37:$U37,V37))</f>
        <v>33.636363636363598</v>
      </c>
      <c r="AU37">
        <f>IF(W37="","",INDEX('03_Base_Indice'!$K37:$U37,W37))</f>
        <v>39.545454545454497</v>
      </c>
      <c r="AV37">
        <f>IF(X37="","",INDEX('03_Base_Indice'!$K37:$U37,X37))</f>
        <v>39.090909090909101</v>
      </c>
      <c r="AX37">
        <f>IF('06_Normalizacao'!K37="",0,'06_Normalizacao'!K37)</f>
        <v>61.363636363636331</v>
      </c>
      <c r="AY37">
        <f>IF('06_Normalizacao'!L37="",0,'06_Normalizacao'!L37)</f>
        <v>61.363636363636331</v>
      </c>
      <c r="AZ37">
        <f>IF('06_Normalizacao'!M37="",0,'06_Normalizacao'!M37)</f>
        <v>50.757575757575836</v>
      </c>
      <c r="BA37">
        <f>IF('06_Normalizacao'!N37="",0,'06_Normalizacao'!N37)</f>
        <v>50.757575757575836</v>
      </c>
      <c r="BB37">
        <f>IF('06_Normalizacao'!O37="",0,'06_Normalizacao'!O37)</f>
        <v>50</v>
      </c>
      <c r="BC37">
        <f>IF('06_Normalizacao'!P37="",0,'06_Normalizacao'!P37)</f>
        <v>50</v>
      </c>
      <c r="BD37">
        <f>IF('06_Normalizacao'!Q37="",0,'06_Normalizacao'!Q37)</f>
        <v>49.242424242424164</v>
      </c>
      <c r="BE37">
        <f>IF('06_Normalizacao'!R37="",0,'06_Normalizacao'!R37)</f>
        <v>56.060606060605998</v>
      </c>
      <c r="BF37">
        <f>IF('06_Normalizacao'!S37="",0,'06_Normalizacao'!S37)</f>
        <v>56.060606060605998</v>
      </c>
      <c r="BG37">
        <f>IF('06_Normalizacao'!T37="",0,'06_Normalizacao'!T37)</f>
        <v>65.909090909090821</v>
      </c>
      <c r="BH37">
        <f>IF('06_Normalizacao'!U37="",0,'06_Normalizacao'!U37)</f>
        <v>65.15151515151517</v>
      </c>
      <c r="BJ37">
        <f>IF('06_Normalizacao'!K37="",0,1)</f>
        <v>1</v>
      </c>
      <c r="BK37">
        <f>IF('06_Normalizacao'!L37="",0,1)</f>
        <v>1</v>
      </c>
      <c r="BL37">
        <f>IF('06_Normalizacao'!M37="",0,1)</f>
        <v>1</v>
      </c>
      <c r="BM37">
        <f>IF('06_Normalizacao'!N37="",0,1)</f>
        <v>1</v>
      </c>
      <c r="BN37">
        <f>IF('06_Normalizacao'!O37="",0,1)</f>
        <v>1</v>
      </c>
      <c r="BO37">
        <f>IF('06_Normalizacao'!P37="",0,1)</f>
        <v>1</v>
      </c>
      <c r="BP37">
        <f>IF('06_Normalizacao'!Q37="",0,1)</f>
        <v>1</v>
      </c>
      <c r="BQ37">
        <f>IF('06_Normalizacao'!R37="",0,1)</f>
        <v>1</v>
      </c>
      <c r="BR37">
        <f>IF('06_Normalizacao'!S37="",0,1)</f>
        <v>1</v>
      </c>
      <c r="BS37">
        <f>IF('06_Normalizacao'!T37="",0,1)</f>
        <v>1</v>
      </c>
      <c r="BT37">
        <f>IF('06_Normalizacao'!U37="",0,1)</f>
        <v>1</v>
      </c>
    </row>
    <row r="38" spans="1:72">
      <c r="A38" s="6" t="str">
        <f>'03_Base_Indice'!D38</f>
        <v/>
      </c>
      <c r="B38" t="str">
        <f>IFERROR(LOOKUP(2,1/ISNUMBER('03_Base_Indice'!$K38:K38),COLUMN('03_Base_Indice'!$K38:K38)-COLUMN('03_Base_Indice'!$K38)+1),"")</f>
        <v/>
      </c>
      <c r="C38" t="str">
        <f>IFERROR(LOOKUP(2,1/ISNUMBER('03_Base_Indice'!$K38:L38),COLUMN('03_Base_Indice'!$K38:L38)-COLUMN('03_Base_Indice'!$K38)+1),"")</f>
        <v/>
      </c>
      <c r="D38" t="str">
        <f>IFERROR(LOOKUP(2,1/ISNUMBER('03_Base_Indice'!$K38:M38),COLUMN('03_Base_Indice'!$K38:M38)-COLUMN('03_Base_Indice'!$K38)+1),"")</f>
        <v/>
      </c>
      <c r="E38" t="str">
        <f>IFERROR(LOOKUP(2,1/ISNUMBER('03_Base_Indice'!$K38:N38),COLUMN('03_Base_Indice'!$K38:N38)-COLUMN('03_Base_Indice'!$K38)+1),"")</f>
        <v/>
      </c>
      <c r="F38" t="str">
        <f>IFERROR(LOOKUP(2,1/ISNUMBER('03_Base_Indice'!$K38:O38),COLUMN('03_Base_Indice'!$K38:O38)-COLUMN('03_Base_Indice'!$K38)+1),"")</f>
        <v/>
      </c>
      <c r="G38" t="str">
        <f>IFERROR(LOOKUP(2,1/ISNUMBER('03_Base_Indice'!$K38:P38),COLUMN('03_Base_Indice'!$K38:P38)-COLUMN('03_Base_Indice'!$K38)+1),"")</f>
        <v/>
      </c>
      <c r="H38" t="str">
        <f>IFERROR(LOOKUP(2,1/ISNUMBER('03_Base_Indice'!$K38:Q38),COLUMN('03_Base_Indice'!$K38:Q38)-COLUMN('03_Base_Indice'!$K38)+1),"")</f>
        <v/>
      </c>
      <c r="I38" t="str">
        <f>IFERROR(LOOKUP(2,1/ISNUMBER('03_Base_Indice'!$K38:R38),COLUMN('03_Base_Indice'!$K38:R38)-COLUMN('03_Base_Indice'!$K38)+1),"")</f>
        <v/>
      </c>
      <c r="J38" t="str">
        <f>IFERROR(LOOKUP(2,1/ISNUMBER('03_Base_Indice'!$K38:S38),COLUMN('03_Base_Indice'!$K38:S38)-COLUMN('03_Base_Indice'!$K38)+1),"")</f>
        <v/>
      </c>
      <c r="K38" t="str">
        <f>IFERROR(LOOKUP(2,1/ISNUMBER('03_Base_Indice'!$K38:T38),COLUMN('03_Base_Indice'!$K38:T38)-COLUMN('03_Base_Indice'!$K38)+1),"")</f>
        <v/>
      </c>
      <c r="L38" t="str">
        <f>IFERROR(LOOKUP(2,1/ISNUMBER('03_Base_Indice'!$K38:U38),COLUMN('03_Base_Indice'!$K38:U38)-COLUMN('03_Base_Indice'!$K38)+1),"")</f>
        <v/>
      </c>
      <c r="N38" t="str">
        <f>IFERROR(MATCH(TRUE,INDEX(ISNUMBER('03_Base_Indice'!K38:$U38),0),0)+0,"")</f>
        <v/>
      </c>
      <c r="O38" t="str">
        <f>IFERROR(MATCH(TRUE,INDEX(ISNUMBER('03_Base_Indice'!L38:$U38),0),0)+1,"")</f>
        <v/>
      </c>
      <c r="P38" t="str">
        <f>IFERROR(MATCH(TRUE,INDEX(ISNUMBER('03_Base_Indice'!M38:$U38),0),0)+2,"")</f>
        <v/>
      </c>
      <c r="Q38" t="str">
        <f>IFERROR(MATCH(TRUE,INDEX(ISNUMBER('03_Base_Indice'!N38:$U38),0),0)+3,"")</f>
        <v/>
      </c>
      <c r="R38" t="str">
        <f>IFERROR(MATCH(TRUE,INDEX(ISNUMBER('03_Base_Indice'!O38:$U38),0),0)+4,"")</f>
        <v/>
      </c>
      <c r="S38" t="str">
        <f>IFERROR(MATCH(TRUE,INDEX(ISNUMBER('03_Base_Indice'!P38:$U38),0),0)+5,"")</f>
        <v/>
      </c>
      <c r="T38" t="str">
        <f>IFERROR(MATCH(TRUE,INDEX(ISNUMBER('03_Base_Indice'!Q38:$U38),0),0)+6,"")</f>
        <v/>
      </c>
      <c r="U38" t="str">
        <f>IFERROR(MATCH(TRUE,INDEX(ISNUMBER('03_Base_Indice'!R38:$U38),0),0)+7,"")</f>
        <v/>
      </c>
      <c r="V38" t="str">
        <f>IFERROR(MATCH(TRUE,INDEX(ISNUMBER('03_Base_Indice'!S38:$U38),0),0)+8,"")</f>
        <v/>
      </c>
      <c r="W38" t="str">
        <f>IFERROR(MATCH(TRUE,INDEX(ISNUMBER('03_Base_Indice'!T38:$U38),0),0)+9,"")</f>
        <v/>
      </c>
      <c r="X38" t="str">
        <f>IFERROR(MATCH(TRUE,INDEX(ISNUMBER('03_Base_Indice'!U38:$U38),0),0)+10,"")</f>
        <v/>
      </c>
      <c r="Z38" t="str">
        <f>IF(B38="","",INDEX('03_Base_Indice'!$K38:$U38,B38))</f>
        <v/>
      </c>
      <c r="AA38" t="str">
        <f>IF(C38="","",INDEX('03_Base_Indice'!$K38:$U38,C38))</f>
        <v/>
      </c>
      <c r="AB38" t="str">
        <f>IF(D38="","",INDEX('03_Base_Indice'!$K38:$U38,D38))</f>
        <v/>
      </c>
      <c r="AC38" t="str">
        <f>IF(E38="","",INDEX('03_Base_Indice'!$K38:$U38,E38))</f>
        <v/>
      </c>
      <c r="AD38" t="str">
        <f>IF(F38="","",INDEX('03_Base_Indice'!$K38:$U38,F38))</f>
        <v/>
      </c>
      <c r="AE38" t="str">
        <f>IF(G38="","",INDEX('03_Base_Indice'!$K38:$U38,G38))</f>
        <v/>
      </c>
      <c r="AF38" t="str">
        <f>IF(H38="","",INDEX('03_Base_Indice'!$K38:$U38,H38))</f>
        <v/>
      </c>
      <c r="AG38" t="str">
        <f>IF(I38="","",INDEX('03_Base_Indice'!$K38:$U38,I38))</f>
        <v/>
      </c>
      <c r="AH38" t="str">
        <f>IF(J38="","",INDEX('03_Base_Indice'!$K38:$U38,J38))</f>
        <v/>
      </c>
      <c r="AI38" t="str">
        <f>IF(K38="","",INDEX('03_Base_Indice'!$K38:$U38,K38))</f>
        <v/>
      </c>
      <c r="AJ38" t="str">
        <f>IF(L38="","",INDEX('03_Base_Indice'!$K38:$U38,L38))</f>
        <v/>
      </c>
      <c r="AL38" t="str">
        <f>IF(N38="","",INDEX('03_Base_Indice'!$K38:$U38,N38))</f>
        <v/>
      </c>
      <c r="AM38" t="str">
        <f>IF(O38="","",INDEX('03_Base_Indice'!$K38:$U38,O38))</f>
        <v/>
      </c>
      <c r="AN38" t="str">
        <f>IF(P38="","",INDEX('03_Base_Indice'!$K38:$U38,P38))</f>
        <v/>
      </c>
      <c r="AO38" t="str">
        <f>IF(Q38="","",INDEX('03_Base_Indice'!$K38:$U38,Q38))</f>
        <v/>
      </c>
      <c r="AP38" t="str">
        <f>IF(R38="","",INDEX('03_Base_Indice'!$K38:$U38,R38))</f>
        <v/>
      </c>
      <c r="AQ38" t="str">
        <f>IF(S38="","",INDEX('03_Base_Indice'!$K38:$U38,S38))</f>
        <v/>
      </c>
      <c r="AR38" t="str">
        <f>IF(T38="","",INDEX('03_Base_Indice'!$K38:$U38,T38))</f>
        <v/>
      </c>
      <c r="AS38" t="str">
        <f>IF(U38="","",INDEX('03_Base_Indice'!$K38:$U38,U38))</f>
        <v/>
      </c>
      <c r="AT38" t="str">
        <f>IF(V38="","",INDEX('03_Base_Indice'!$K38:$U38,V38))</f>
        <v/>
      </c>
      <c r="AU38" t="str">
        <f>IF(W38="","",INDEX('03_Base_Indice'!$K38:$U38,W38))</f>
        <v/>
      </c>
      <c r="AV38" t="str">
        <f>IF(X38="","",INDEX('03_Base_Indice'!$K38:$U38,X38))</f>
        <v/>
      </c>
      <c r="AX38">
        <f>IF('06_Normalizacao'!K38="",0,'06_Normalizacao'!K38)</f>
        <v>0</v>
      </c>
      <c r="AY38">
        <f>IF('06_Normalizacao'!L38="",0,'06_Normalizacao'!L38)</f>
        <v>0</v>
      </c>
      <c r="AZ38">
        <f>IF('06_Normalizacao'!M38="",0,'06_Normalizacao'!M38)</f>
        <v>0</v>
      </c>
      <c r="BA38">
        <f>IF('06_Normalizacao'!N38="",0,'06_Normalizacao'!N38)</f>
        <v>0</v>
      </c>
      <c r="BB38">
        <f>IF('06_Normalizacao'!O38="",0,'06_Normalizacao'!O38)</f>
        <v>0</v>
      </c>
      <c r="BC38">
        <f>IF('06_Normalizacao'!P38="",0,'06_Normalizacao'!P38)</f>
        <v>0</v>
      </c>
      <c r="BD38">
        <f>IF('06_Normalizacao'!Q38="",0,'06_Normalizacao'!Q38)</f>
        <v>0</v>
      </c>
      <c r="BE38">
        <f>IF('06_Normalizacao'!R38="",0,'06_Normalizacao'!R38)</f>
        <v>0</v>
      </c>
      <c r="BF38">
        <f>IF('06_Normalizacao'!S38="",0,'06_Normalizacao'!S38)</f>
        <v>0</v>
      </c>
      <c r="BG38">
        <f>IF('06_Normalizacao'!T38="",0,'06_Normalizacao'!T38)</f>
        <v>0</v>
      </c>
      <c r="BH38">
        <f>IF('06_Normalizacao'!U38="",0,'06_Normalizacao'!U38)</f>
        <v>0</v>
      </c>
      <c r="BJ38">
        <f>IF('06_Normalizacao'!K38="",0,1)</f>
        <v>0</v>
      </c>
      <c r="BK38">
        <f>IF('06_Normalizacao'!L38="",0,1)</f>
        <v>0</v>
      </c>
      <c r="BL38">
        <f>IF('06_Normalizacao'!M38="",0,1)</f>
        <v>0</v>
      </c>
      <c r="BM38">
        <f>IF('06_Normalizacao'!N38="",0,1)</f>
        <v>0</v>
      </c>
      <c r="BN38">
        <f>IF('06_Normalizacao'!O38="",0,1)</f>
        <v>0</v>
      </c>
      <c r="BO38">
        <f>IF('06_Normalizacao'!P38="",0,1)</f>
        <v>0</v>
      </c>
      <c r="BP38">
        <f>IF('06_Normalizacao'!Q38="",0,1)</f>
        <v>0</v>
      </c>
      <c r="BQ38">
        <f>IF('06_Normalizacao'!R38="",0,1)</f>
        <v>0</v>
      </c>
      <c r="BR38">
        <f>IF('06_Normalizacao'!S38="",0,1)</f>
        <v>0</v>
      </c>
      <c r="BS38">
        <f>IF('06_Normalizacao'!T38="",0,1)</f>
        <v>0</v>
      </c>
      <c r="BT38">
        <f>IF('06_Normalizacao'!U38="",0,1)</f>
        <v>0</v>
      </c>
    </row>
    <row r="39" spans="1:72">
      <c r="A39" s="6" t="str">
        <f>'03_Base_Indice'!D39</f>
        <v/>
      </c>
      <c r="B39" t="str">
        <f>IFERROR(LOOKUP(2,1/ISNUMBER('03_Base_Indice'!$K39:K39),COLUMN('03_Base_Indice'!$K39:K39)-COLUMN('03_Base_Indice'!$K39)+1),"")</f>
        <v/>
      </c>
      <c r="C39" t="str">
        <f>IFERROR(LOOKUP(2,1/ISNUMBER('03_Base_Indice'!$K39:L39),COLUMN('03_Base_Indice'!$K39:L39)-COLUMN('03_Base_Indice'!$K39)+1),"")</f>
        <v/>
      </c>
      <c r="D39" t="str">
        <f>IFERROR(LOOKUP(2,1/ISNUMBER('03_Base_Indice'!$K39:M39),COLUMN('03_Base_Indice'!$K39:M39)-COLUMN('03_Base_Indice'!$K39)+1),"")</f>
        <v/>
      </c>
      <c r="E39" t="str">
        <f>IFERROR(LOOKUP(2,1/ISNUMBER('03_Base_Indice'!$K39:N39),COLUMN('03_Base_Indice'!$K39:N39)-COLUMN('03_Base_Indice'!$K39)+1),"")</f>
        <v/>
      </c>
      <c r="F39" t="str">
        <f>IFERROR(LOOKUP(2,1/ISNUMBER('03_Base_Indice'!$K39:O39),COLUMN('03_Base_Indice'!$K39:O39)-COLUMN('03_Base_Indice'!$K39)+1),"")</f>
        <v/>
      </c>
      <c r="G39" t="str">
        <f>IFERROR(LOOKUP(2,1/ISNUMBER('03_Base_Indice'!$K39:P39),COLUMN('03_Base_Indice'!$K39:P39)-COLUMN('03_Base_Indice'!$K39)+1),"")</f>
        <v/>
      </c>
      <c r="H39" t="str">
        <f>IFERROR(LOOKUP(2,1/ISNUMBER('03_Base_Indice'!$K39:Q39),COLUMN('03_Base_Indice'!$K39:Q39)-COLUMN('03_Base_Indice'!$K39)+1),"")</f>
        <v/>
      </c>
      <c r="I39" t="str">
        <f>IFERROR(LOOKUP(2,1/ISNUMBER('03_Base_Indice'!$K39:R39),COLUMN('03_Base_Indice'!$K39:R39)-COLUMN('03_Base_Indice'!$K39)+1),"")</f>
        <v/>
      </c>
      <c r="J39" t="str">
        <f>IFERROR(LOOKUP(2,1/ISNUMBER('03_Base_Indice'!$K39:S39),COLUMN('03_Base_Indice'!$K39:S39)-COLUMN('03_Base_Indice'!$K39)+1),"")</f>
        <v/>
      </c>
      <c r="K39" t="str">
        <f>IFERROR(LOOKUP(2,1/ISNUMBER('03_Base_Indice'!$K39:T39),COLUMN('03_Base_Indice'!$K39:T39)-COLUMN('03_Base_Indice'!$K39)+1),"")</f>
        <v/>
      </c>
      <c r="L39" t="str">
        <f>IFERROR(LOOKUP(2,1/ISNUMBER('03_Base_Indice'!$K39:U39),COLUMN('03_Base_Indice'!$K39:U39)-COLUMN('03_Base_Indice'!$K39)+1),"")</f>
        <v/>
      </c>
      <c r="N39" t="str">
        <f>IFERROR(MATCH(TRUE,INDEX(ISNUMBER('03_Base_Indice'!K39:$U39),0),0)+0,"")</f>
        <v/>
      </c>
      <c r="O39" t="str">
        <f>IFERROR(MATCH(TRUE,INDEX(ISNUMBER('03_Base_Indice'!L39:$U39),0),0)+1,"")</f>
        <v/>
      </c>
      <c r="P39" t="str">
        <f>IFERROR(MATCH(TRUE,INDEX(ISNUMBER('03_Base_Indice'!M39:$U39),0),0)+2,"")</f>
        <v/>
      </c>
      <c r="Q39" t="str">
        <f>IFERROR(MATCH(TRUE,INDEX(ISNUMBER('03_Base_Indice'!N39:$U39),0),0)+3,"")</f>
        <v/>
      </c>
      <c r="R39" t="str">
        <f>IFERROR(MATCH(TRUE,INDEX(ISNUMBER('03_Base_Indice'!O39:$U39),0),0)+4,"")</f>
        <v/>
      </c>
      <c r="S39" t="str">
        <f>IFERROR(MATCH(TRUE,INDEX(ISNUMBER('03_Base_Indice'!P39:$U39),0),0)+5,"")</f>
        <v/>
      </c>
      <c r="T39" t="str">
        <f>IFERROR(MATCH(TRUE,INDEX(ISNUMBER('03_Base_Indice'!Q39:$U39),0),0)+6,"")</f>
        <v/>
      </c>
      <c r="U39" t="str">
        <f>IFERROR(MATCH(TRUE,INDEX(ISNUMBER('03_Base_Indice'!R39:$U39),0),0)+7,"")</f>
        <v/>
      </c>
      <c r="V39" t="str">
        <f>IFERROR(MATCH(TRUE,INDEX(ISNUMBER('03_Base_Indice'!S39:$U39),0),0)+8,"")</f>
        <v/>
      </c>
      <c r="W39" t="str">
        <f>IFERROR(MATCH(TRUE,INDEX(ISNUMBER('03_Base_Indice'!T39:$U39),0),0)+9,"")</f>
        <v/>
      </c>
      <c r="X39" t="str">
        <f>IFERROR(MATCH(TRUE,INDEX(ISNUMBER('03_Base_Indice'!U39:$U39),0),0)+10,"")</f>
        <v/>
      </c>
      <c r="Z39" t="str">
        <f>IF(B39="","",INDEX('03_Base_Indice'!$K39:$U39,B39))</f>
        <v/>
      </c>
      <c r="AA39" t="str">
        <f>IF(C39="","",INDEX('03_Base_Indice'!$K39:$U39,C39))</f>
        <v/>
      </c>
      <c r="AB39" t="str">
        <f>IF(D39="","",INDEX('03_Base_Indice'!$K39:$U39,D39))</f>
        <v/>
      </c>
      <c r="AC39" t="str">
        <f>IF(E39="","",INDEX('03_Base_Indice'!$K39:$U39,E39))</f>
        <v/>
      </c>
      <c r="AD39" t="str">
        <f>IF(F39="","",INDEX('03_Base_Indice'!$K39:$U39,F39))</f>
        <v/>
      </c>
      <c r="AE39" t="str">
        <f>IF(G39="","",INDEX('03_Base_Indice'!$K39:$U39,G39))</f>
        <v/>
      </c>
      <c r="AF39" t="str">
        <f>IF(H39="","",INDEX('03_Base_Indice'!$K39:$U39,H39))</f>
        <v/>
      </c>
      <c r="AG39" t="str">
        <f>IF(I39="","",INDEX('03_Base_Indice'!$K39:$U39,I39))</f>
        <v/>
      </c>
      <c r="AH39" t="str">
        <f>IF(J39="","",INDEX('03_Base_Indice'!$K39:$U39,J39))</f>
        <v/>
      </c>
      <c r="AI39" t="str">
        <f>IF(K39="","",INDEX('03_Base_Indice'!$K39:$U39,K39))</f>
        <v/>
      </c>
      <c r="AJ39" t="str">
        <f>IF(L39="","",INDEX('03_Base_Indice'!$K39:$U39,L39))</f>
        <v/>
      </c>
      <c r="AL39" t="str">
        <f>IF(N39="","",INDEX('03_Base_Indice'!$K39:$U39,N39))</f>
        <v/>
      </c>
      <c r="AM39" t="str">
        <f>IF(O39="","",INDEX('03_Base_Indice'!$K39:$U39,O39))</f>
        <v/>
      </c>
      <c r="AN39" t="str">
        <f>IF(P39="","",INDEX('03_Base_Indice'!$K39:$U39,P39))</f>
        <v/>
      </c>
      <c r="AO39" t="str">
        <f>IF(Q39="","",INDEX('03_Base_Indice'!$K39:$U39,Q39))</f>
        <v/>
      </c>
      <c r="AP39" t="str">
        <f>IF(R39="","",INDEX('03_Base_Indice'!$K39:$U39,R39))</f>
        <v/>
      </c>
      <c r="AQ39" t="str">
        <f>IF(S39="","",INDEX('03_Base_Indice'!$K39:$U39,S39))</f>
        <v/>
      </c>
      <c r="AR39" t="str">
        <f>IF(T39="","",INDEX('03_Base_Indice'!$K39:$U39,T39))</f>
        <v/>
      </c>
      <c r="AS39" t="str">
        <f>IF(U39="","",INDEX('03_Base_Indice'!$K39:$U39,U39))</f>
        <v/>
      </c>
      <c r="AT39" t="str">
        <f>IF(V39="","",INDEX('03_Base_Indice'!$K39:$U39,V39))</f>
        <v/>
      </c>
      <c r="AU39" t="str">
        <f>IF(W39="","",INDEX('03_Base_Indice'!$K39:$U39,W39))</f>
        <v/>
      </c>
      <c r="AV39" t="str">
        <f>IF(X39="","",INDEX('03_Base_Indice'!$K39:$U39,X39))</f>
        <v/>
      </c>
      <c r="AX39">
        <f>IF('06_Normalizacao'!K39="",0,'06_Normalizacao'!K39)</f>
        <v>0</v>
      </c>
      <c r="AY39">
        <f>IF('06_Normalizacao'!L39="",0,'06_Normalizacao'!L39)</f>
        <v>0</v>
      </c>
      <c r="AZ39">
        <f>IF('06_Normalizacao'!M39="",0,'06_Normalizacao'!M39)</f>
        <v>0</v>
      </c>
      <c r="BA39">
        <f>IF('06_Normalizacao'!N39="",0,'06_Normalizacao'!N39)</f>
        <v>0</v>
      </c>
      <c r="BB39">
        <f>IF('06_Normalizacao'!O39="",0,'06_Normalizacao'!O39)</f>
        <v>0</v>
      </c>
      <c r="BC39">
        <f>IF('06_Normalizacao'!P39="",0,'06_Normalizacao'!P39)</f>
        <v>0</v>
      </c>
      <c r="BD39">
        <f>IF('06_Normalizacao'!Q39="",0,'06_Normalizacao'!Q39)</f>
        <v>0</v>
      </c>
      <c r="BE39">
        <f>IF('06_Normalizacao'!R39="",0,'06_Normalizacao'!R39)</f>
        <v>0</v>
      </c>
      <c r="BF39">
        <f>IF('06_Normalizacao'!S39="",0,'06_Normalizacao'!S39)</f>
        <v>0</v>
      </c>
      <c r="BG39">
        <f>IF('06_Normalizacao'!T39="",0,'06_Normalizacao'!T39)</f>
        <v>0</v>
      </c>
      <c r="BH39">
        <f>IF('06_Normalizacao'!U39="",0,'06_Normalizacao'!U39)</f>
        <v>0</v>
      </c>
      <c r="BJ39">
        <f>IF('06_Normalizacao'!K39="",0,1)</f>
        <v>0</v>
      </c>
      <c r="BK39">
        <f>IF('06_Normalizacao'!L39="",0,1)</f>
        <v>0</v>
      </c>
      <c r="BL39">
        <f>IF('06_Normalizacao'!M39="",0,1)</f>
        <v>0</v>
      </c>
      <c r="BM39">
        <f>IF('06_Normalizacao'!N39="",0,1)</f>
        <v>0</v>
      </c>
      <c r="BN39">
        <f>IF('06_Normalizacao'!O39="",0,1)</f>
        <v>0</v>
      </c>
      <c r="BO39">
        <f>IF('06_Normalizacao'!P39="",0,1)</f>
        <v>0</v>
      </c>
      <c r="BP39">
        <f>IF('06_Normalizacao'!Q39="",0,1)</f>
        <v>0</v>
      </c>
      <c r="BQ39">
        <f>IF('06_Normalizacao'!R39="",0,1)</f>
        <v>0</v>
      </c>
      <c r="BR39">
        <f>IF('06_Normalizacao'!S39="",0,1)</f>
        <v>0</v>
      </c>
      <c r="BS39">
        <f>IF('06_Normalizacao'!T39="",0,1)</f>
        <v>0</v>
      </c>
      <c r="BT39">
        <f>IF('06_Normalizacao'!U39="",0,1)</f>
        <v>0</v>
      </c>
    </row>
    <row r="40" spans="1:72">
      <c r="A40" s="6" t="str">
        <f>'03_Base_Indice'!D40</f>
        <v/>
      </c>
      <c r="B40" t="str">
        <f>IFERROR(LOOKUP(2,1/ISNUMBER('03_Base_Indice'!$K40:K40),COLUMN('03_Base_Indice'!$K40:K40)-COLUMN('03_Base_Indice'!$K40)+1),"")</f>
        <v/>
      </c>
      <c r="C40" t="str">
        <f>IFERROR(LOOKUP(2,1/ISNUMBER('03_Base_Indice'!$K40:L40),COLUMN('03_Base_Indice'!$K40:L40)-COLUMN('03_Base_Indice'!$K40)+1),"")</f>
        <v/>
      </c>
      <c r="D40" t="str">
        <f>IFERROR(LOOKUP(2,1/ISNUMBER('03_Base_Indice'!$K40:M40),COLUMN('03_Base_Indice'!$K40:M40)-COLUMN('03_Base_Indice'!$K40)+1),"")</f>
        <v/>
      </c>
      <c r="E40" t="str">
        <f>IFERROR(LOOKUP(2,1/ISNUMBER('03_Base_Indice'!$K40:N40),COLUMN('03_Base_Indice'!$K40:N40)-COLUMN('03_Base_Indice'!$K40)+1),"")</f>
        <v/>
      </c>
      <c r="F40" t="str">
        <f>IFERROR(LOOKUP(2,1/ISNUMBER('03_Base_Indice'!$K40:O40),COLUMN('03_Base_Indice'!$K40:O40)-COLUMN('03_Base_Indice'!$K40)+1),"")</f>
        <v/>
      </c>
      <c r="G40" t="str">
        <f>IFERROR(LOOKUP(2,1/ISNUMBER('03_Base_Indice'!$K40:P40),COLUMN('03_Base_Indice'!$K40:P40)-COLUMN('03_Base_Indice'!$K40)+1),"")</f>
        <v/>
      </c>
      <c r="H40" t="str">
        <f>IFERROR(LOOKUP(2,1/ISNUMBER('03_Base_Indice'!$K40:Q40),COLUMN('03_Base_Indice'!$K40:Q40)-COLUMN('03_Base_Indice'!$K40)+1),"")</f>
        <v/>
      </c>
      <c r="I40" t="str">
        <f>IFERROR(LOOKUP(2,1/ISNUMBER('03_Base_Indice'!$K40:R40),COLUMN('03_Base_Indice'!$K40:R40)-COLUMN('03_Base_Indice'!$K40)+1),"")</f>
        <v/>
      </c>
      <c r="J40" t="str">
        <f>IFERROR(LOOKUP(2,1/ISNUMBER('03_Base_Indice'!$K40:S40),COLUMN('03_Base_Indice'!$K40:S40)-COLUMN('03_Base_Indice'!$K40)+1),"")</f>
        <v/>
      </c>
      <c r="K40" t="str">
        <f>IFERROR(LOOKUP(2,1/ISNUMBER('03_Base_Indice'!$K40:T40),COLUMN('03_Base_Indice'!$K40:T40)-COLUMN('03_Base_Indice'!$K40)+1),"")</f>
        <v/>
      </c>
      <c r="L40" t="str">
        <f>IFERROR(LOOKUP(2,1/ISNUMBER('03_Base_Indice'!$K40:U40),COLUMN('03_Base_Indice'!$K40:U40)-COLUMN('03_Base_Indice'!$K40)+1),"")</f>
        <v/>
      </c>
      <c r="N40" t="str">
        <f>IFERROR(MATCH(TRUE,INDEX(ISNUMBER('03_Base_Indice'!K40:$U40),0),0)+0,"")</f>
        <v/>
      </c>
      <c r="O40" t="str">
        <f>IFERROR(MATCH(TRUE,INDEX(ISNUMBER('03_Base_Indice'!L40:$U40),0),0)+1,"")</f>
        <v/>
      </c>
      <c r="P40" t="str">
        <f>IFERROR(MATCH(TRUE,INDEX(ISNUMBER('03_Base_Indice'!M40:$U40),0),0)+2,"")</f>
        <v/>
      </c>
      <c r="Q40" t="str">
        <f>IFERROR(MATCH(TRUE,INDEX(ISNUMBER('03_Base_Indice'!N40:$U40),0),0)+3,"")</f>
        <v/>
      </c>
      <c r="R40" t="str">
        <f>IFERROR(MATCH(TRUE,INDEX(ISNUMBER('03_Base_Indice'!O40:$U40),0),0)+4,"")</f>
        <v/>
      </c>
      <c r="S40" t="str">
        <f>IFERROR(MATCH(TRUE,INDEX(ISNUMBER('03_Base_Indice'!P40:$U40),0),0)+5,"")</f>
        <v/>
      </c>
      <c r="T40" t="str">
        <f>IFERROR(MATCH(TRUE,INDEX(ISNUMBER('03_Base_Indice'!Q40:$U40),0),0)+6,"")</f>
        <v/>
      </c>
      <c r="U40" t="str">
        <f>IFERROR(MATCH(TRUE,INDEX(ISNUMBER('03_Base_Indice'!R40:$U40),0),0)+7,"")</f>
        <v/>
      </c>
      <c r="V40" t="str">
        <f>IFERROR(MATCH(TRUE,INDEX(ISNUMBER('03_Base_Indice'!S40:$U40),0),0)+8,"")</f>
        <v/>
      </c>
      <c r="W40" t="str">
        <f>IFERROR(MATCH(TRUE,INDEX(ISNUMBER('03_Base_Indice'!T40:$U40),0),0)+9,"")</f>
        <v/>
      </c>
      <c r="X40" t="str">
        <f>IFERROR(MATCH(TRUE,INDEX(ISNUMBER('03_Base_Indice'!U40:$U40),0),0)+10,"")</f>
        <v/>
      </c>
      <c r="Z40" t="str">
        <f>IF(B40="","",INDEX('03_Base_Indice'!$K40:$U40,B40))</f>
        <v/>
      </c>
      <c r="AA40" t="str">
        <f>IF(C40="","",INDEX('03_Base_Indice'!$K40:$U40,C40))</f>
        <v/>
      </c>
      <c r="AB40" t="str">
        <f>IF(D40="","",INDEX('03_Base_Indice'!$K40:$U40,D40))</f>
        <v/>
      </c>
      <c r="AC40" t="str">
        <f>IF(E40="","",INDEX('03_Base_Indice'!$K40:$U40,E40))</f>
        <v/>
      </c>
      <c r="AD40" t="str">
        <f>IF(F40="","",INDEX('03_Base_Indice'!$K40:$U40,F40))</f>
        <v/>
      </c>
      <c r="AE40" t="str">
        <f>IF(G40="","",INDEX('03_Base_Indice'!$K40:$U40,G40))</f>
        <v/>
      </c>
      <c r="AF40" t="str">
        <f>IF(H40="","",INDEX('03_Base_Indice'!$K40:$U40,H40))</f>
        <v/>
      </c>
      <c r="AG40" t="str">
        <f>IF(I40="","",INDEX('03_Base_Indice'!$K40:$U40,I40))</f>
        <v/>
      </c>
      <c r="AH40" t="str">
        <f>IF(J40="","",INDEX('03_Base_Indice'!$K40:$U40,J40))</f>
        <v/>
      </c>
      <c r="AI40" t="str">
        <f>IF(K40="","",INDEX('03_Base_Indice'!$K40:$U40,K40))</f>
        <v/>
      </c>
      <c r="AJ40" t="str">
        <f>IF(L40="","",INDEX('03_Base_Indice'!$K40:$U40,L40))</f>
        <v/>
      </c>
      <c r="AL40" t="str">
        <f>IF(N40="","",INDEX('03_Base_Indice'!$K40:$U40,N40))</f>
        <v/>
      </c>
      <c r="AM40" t="str">
        <f>IF(O40="","",INDEX('03_Base_Indice'!$K40:$U40,O40))</f>
        <v/>
      </c>
      <c r="AN40" t="str">
        <f>IF(P40="","",INDEX('03_Base_Indice'!$K40:$U40,P40))</f>
        <v/>
      </c>
      <c r="AO40" t="str">
        <f>IF(Q40="","",INDEX('03_Base_Indice'!$K40:$U40,Q40))</f>
        <v/>
      </c>
      <c r="AP40" t="str">
        <f>IF(R40="","",INDEX('03_Base_Indice'!$K40:$U40,R40))</f>
        <v/>
      </c>
      <c r="AQ40" t="str">
        <f>IF(S40="","",INDEX('03_Base_Indice'!$K40:$U40,S40))</f>
        <v/>
      </c>
      <c r="AR40" t="str">
        <f>IF(T40="","",INDEX('03_Base_Indice'!$K40:$U40,T40))</f>
        <v/>
      </c>
      <c r="AS40" t="str">
        <f>IF(U40="","",INDEX('03_Base_Indice'!$K40:$U40,U40))</f>
        <v/>
      </c>
      <c r="AT40" t="str">
        <f>IF(V40="","",INDEX('03_Base_Indice'!$K40:$U40,V40))</f>
        <v/>
      </c>
      <c r="AU40" t="str">
        <f>IF(W40="","",INDEX('03_Base_Indice'!$K40:$U40,W40))</f>
        <v/>
      </c>
      <c r="AV40" t="str">
        <f>IF(X40="","",INDEX('03_Base_Indice'!$K40:$U40,X40))</f>
        <v/>
      </c>
      <c r="AX40">
        <f>IF('06_Normalizacao'!K40="",0,'06_Normalizacao'!K40)</f>
        <v>0</v>
      </c>
      <c r="AY40">
        <f>IF('06_Normalizacao'!L40="",0,'06_Normalizacao'!L40)</f>
        <v>0</v>
      </c>
      <c r="AZ40">
        <f>IF('06_Normalizacao'!M40="",0,'06_Normalizacao'!M40)</f>
        <v>0</v>
      </c>
      <c r="BA40">
        <f>IF('06_Normalizacao'!N40="",0,'06_Normalizacao'!N40)</f>
        <v>0</v>
      </c>
      <c r="BB40">
        <f>IF('06_Normalizacao'!O40="",0,'06_Normalizacao'!O40)</f>
        <v>0</v>
      </c>
      <c r="BC40">
        <f>IF('06_Normalizacao'!P40="",0,'06_Normalizacao'!P40)</f>
        <v>0</v>
      </c>
      <c r="BD40">
        <f>IF('06_Normalizacao'!Q40="",0,'06_Normalizacao'!Q40)</f>
        <v>0</v>
      </c>
      <c r="BE40">
        <f>IF('06_Normalizacao'!R40="",0,'06_Normalizacao'!R40)</f>
        <v>0</v>
      </c>
      <c r="BF40">
        <f>IF('06_Normalizacao'!S40="",0,'06_Normalizacao'!S40)</f>
        <v>0</v>
      </c>
      <c r="BG40">
        <f>IF('06_Normalizacao'!T40="",0,'06_Normalizacao'!T40)</f>
        <v>0</v>
      </c>
      <c r="BH40">
        <f>IF('06_Normalizacao'!U40="",0,'06_Normalizacao'!U40)</f>
        <v>0</v>
      </c>
      <c r="BJ40">
        <f>IF('06_Normalizacao'!K40="",0,1)</f>
        <v>0</v>
      </c>
      <c r="BK40">
        <f>IF('06_Normalizacao'!L40="",0,1)</f>
        <v>0</v>
      </c>
      <c r="BL40">
        <f>IF('06_Normalizacao'!M40="",0,1)</f>
        <v>0</v>
      </c>
      <c r="BM40">
        <f>IF('06_Normalizacao'!N40="",0,1)</f>
        <v>0</v>
      </c>
      <c r="BN40">
        <f>IF('06_Normalizacao'!O40="",0,1)</f>
        <v>0</v>
      </c>
      <c r="BO40">
        <f>IF('06_Normalizacao'!P40="",0,1)</f>
        <v>0</v>
      </c>
      <c r="BP40">
        <f>IF('06_Normalizacao'!Q40="",0,1)</f>
        <v>0</v>
      </c>
      <c r="BQ40">
        <f>IF('06_Normalizacao'!R40="",0,1)</f>
        <v>0</v>
      </c>
      <c r="BR40">
        <f>IF('06_Normalizacao'!S40="",0,1)</f>
        <v>0</v>
      </c>
      <c r="BS40">
        <f>IF('06_Normalizacao'!T40="",0,1)</f>
        <v>0</v>
      </c>
      <c r="BT40">
        <f>IF('06_Normalizacao'!U40="",0,1)</f>
        <v>0</v>
      </c>
    </row>
    <row r="41" spans="1:72">
      <c r="A41" s="6" t="str">
        <f>'03_Base_Indice'!D41</f>
        <v/>
      </c>
      <c r="B41" t="str">
        <f>IFERROR(LOOKUP(2,1/ISNUMBER('03_Base_Indice'!$K41:K41),COLUMN('03_Base_Indice'!$K41:K41)-COLUMN('03_Base_Indice'!$K41)+1),"")</f>
        <v/>
      </c>
      <c r="C41" t="str">
        <f>IFERROR(LOOKUP(2,1/ISNUMBER('03_Base_Indice'!$K41:L41),COLUMN('03_Base_Indice'!$K41:L41)-COLUMN('03_Base_Indice'!$K41)+1),"")</f>
        <v/>
      </c>
      <c r="D41" t="str">
        <f>IFERROR(LOOKUP(2,1/ISNUMBER('03_Base_Indice'!$K41:M41),COLUMN('03_Base_Indice'!$K41:M41)-COLUMN('03_Base_Indice'!$K41)+1),"")</f>
        <v/>
      </c>
      <c r="E41" t="str">
        <f>IFERROR(LOOKUP(2,1/ISNUMBER('03_Base_Indice'!$K41:N41),COLUMN('03_Base_Indice'!$K41:N41)-COLUMN('03_Base_Indice'!$K41)+1),"")</f>
        <v/>
      </c>
      <c r="F41" t="str">
        <f>IFERROR(LOOKUP(2,1/ISNUMBER('03_Base_Indice'!$K41:O41),COLUMN('03_Base_Indice'!$K41:O41)-COLUMN('03_Base_Indice'!$K41)+1),"")</f>
        <v/>
      </c>
      <c r="G41" t="str">
        <f>IFERROR(LOOKUP(2,1/ISNUMBER('03_Base_Indice'!$K41:P41),COLUMN('03_Base_Indice'!$K41:P41)-COLUMN('03_Base_Indice'!$K41)+1),"")</f>
        <v/>
      </c>
      <c r="H41" t="str">
        <f>IFERROR(LOOKUP(2,1/ISNUMBER('03_Base_Indice'!$K41:Q41),COLUMN('03_Base_Indice'!$K41:Q41)-COLUMN('03_Base_Indice'!$K41)+1),"")</f>
        <v/>
      </c>
      <c r="I41" t="str">
        <f>IFERROR(LOOKUP(2,1/ISNUMBER('03_Base_Indice'!$K41:R41),COLUMN('03_Base_Indice'!$K41:R41)-COLUMN('03_Base_Indice'!$K41)+1),"")</f>
        <v/>
      </c>
      <c r="J41" t="str">
        <f>IFERROR(LOOKUP(2,1/ISNUMBER('03_Base_Indice'!$K41:S41),COLUMN('03_Base_Indice'!$K41:S41)-COLUMN('03_Base_Indice'!$K41)+1),"")</f>
        <v/>
      </c>
      <c r="K41" t="str">
        <f>IFERROR(LOOKUP(2,1/ISNUMBER('03_Base_Indice'!$K41:T41),COLUMN('03_Base_Indice'!$K41:T41)-COLUMN('03_Base_Indice'!$K41)+1),"")</f>
        <v/>
      </c>
      <c r="L41" t="str">
        <f>IFERROR(LOOKUP(2,1/ISNUMBER('03_Base_Indice'!$K41:U41),COLUMN('03_Base_Indice'!$K41:U41)-COLUMN('03_Base_Indice'!$K41)+1),"")</f>
        <v/>
      </c>
      <c r="N41" t="str">
        <f>IFERROR(MATCH(TRUE,INDEX(ISNUMBER('03_Base_Indice'!K41:$U41),0),0)+0,"")</f>
        <v/>
      </c>
      <c r="O41" t="str">
        <f>IFERROR(MATCH(TRUE,INDEX(ISNUMBER('03_Base_Indice'!L41:$U41),0),0)+1,"")</f>
        <v/>
      </c>
      <c r="P41" t="str">
        <f>IFERROR(MATCH(TRUE,INDEX(ISNUMBER('03_Base_Indice'!M41:$U41),0),0)+2,"")</f>
        <v/>
      </c>
      <c r="Q41" t="str">
        <f>IFERROR(MATCH(TRUE,INDEX(ISNUMBER('03_Base_Indice'!N41:$U41),0),0)+3,"")</f>
        <v/>
      </c>
      <c r="R41" t="str">
        <f>IFERROR(MATCH(TRUE,INDEX(ISNUMBER('03_Base_Indice'!O41:$U41),0),0)+4,"")</f>
        <v/>
      </c>
      <c r="S41" t="str">
        <f>IFERROR(MATCH(TRUE,INDEX(ISNUMBER('03_Base_Indice'!P41:$U41),0),0)+5,"")</f>
        <v/>
      </c>
      <c r="T41" t="str">
        <f>IFERROR(MATCH(TRUE,INDEX(ISNUMBER('03_Base_Indice'!Q41:$U41),0),0)+6,"")</f>
        <v/>
      </c>
      <c r="U41" t="str">
        <f>IFERROR(MATCH(TRUE,INDEX(ISNUMBER('03_Base_Indice'!R41:$U41),0),0)+7,"")</f>
        <v/>
      </c>
      <c r="V41" t="str">
        <f>IFERROR(MATCH(TRUE,INDEX(ISNUMBER('03_Base_Indice'!S41:$U41),0),0)+8,"")</f>
        <v/>
      </c>
      <c r="W41" t="str">
        <f>IFERROR(MATCH(TRUE,INDEX(ISNUMBER('03_Base_Indice'!T41:$U41),0),0)+9,"")</f>
        <v/>
      </c>
      <c r="X41" t="str">
        <f>IFERROR(MATCH(TRUE,INDEX(ISNUMBER('03_Base_Indice'!U41:$U41),0),0)+10,"")</f>
        <v/>
      </c>
      <c r="Z41" t="str">
        <f>IF(B41="","",INDEX('03_Base_Indice'!$K41:$U41,B41))</f>
        <v/>
      </c>
      <c r="AA41" t="str">
        <f>IF(C41="","",INDEX('03_Base_Indice'!$K41:$U41,C41))</f>
        <v/>
      </c>
      <c r="AB41" t="str">
        <f>IF(D41="","",INDEX('03_Base_Indice'!$K41:$U41,D41))</f>
        <v/>
      </c>
      <c r="AC41" t="str">
        <f>IF(E41="","",INDEX('03_Base_Indice'!$K41:$U41,E41))</f>
        <v/>
      </c>
      <c r="AD41" t="str">
        <f>IF(F41="","",INDEX('03_Base_Indice'!$K41:$U41,F41))</f>
        <v/>
      </c>
      <c r="AE41" t="str">
        <f>IF(G41="","",INDEX('03_Base_Indice'!$K41:$U41,G41))</f>
        <v/>
      </c>
      <c r="AF41" t="str">
        <f>IF(H41="","",INDEX('03_Base_Indice'!$K41:$U41,H41))</f>
        <v/>
      </c>
      <c r="AG41" t="str">
        <f>IF(I41="","",INDEX('03_Base_Indice'!$K41:$U41,I41))</f>
        <v/>
      </c>
      <c r="AH41" t="str">
        <f>IF(J41="","",INDEX('03_Base_Indice'!$K41:$U41,J41))</f>
        <v/>
      </c>
      <c r="AI41" t="str">
        <f>IF(K41="","",INDEX('03_Base_Indice'!$K41:$U41,K41))</f>
        <v/>
      </c>
      <c r="AJ41" t="str">
        <f>IF(L41="","",INDEX('03_Base_Indice'!$K41:$U41,L41))</f>
        <v/>
      </c>
      <c r="AL41" t="str">
        <f>IF(N41="","",INDEX('03_Base_Indice'!$K41:$U41,N41))</f>
        <v/>
      </c>
      <c r="AM41" t="str">
        <f>IF(O41="","",INDEX('03_Base_Indice'!$K41:$U41,O41))</f>
        <v/>
      </c>
      <c r="AN41" t="str">
        <f>IF(P41="","",INDEX('03_Base_Indice'!$K41:$U41,P41))</f>
        <v/>
      </c>
      <c r="AO41" t="str">
        <f>IF(Q41="","",INDEX('03_Base_Indice'!$K41:$U41,Q41))</f>
        <v/>
      </c>
      <c r="AP41" t="str">
        <f>IF(R41="","",INDEX('03_Base_Indice'!$K41:$U41,R41))</f>
        <v/>
      </c>
      <c r="AQ41" t="str">
        <f>IF(S41="","",INDEX('03_Base_Indice'!$K41:$U41,S41))</f>
        <v/>
      </c>
      <c r="AR41" t="str">
        <f>IF(T41="","",INDEX('03_Base_Indice'!$K41:$U41,T41))</f>
        <v/>
      </c>
      <c r="AS41" t="str">
        <f>IF(U41="","",INDEX('03_Base_Indice'!$K41:$U41,U41))</f>
        <v/>
      </c>
      <c r="AT41" t="str">
        <f>IF(V41="","",INDEX('03_Base_Indice'!$K41:$U41,V41))</f>
        <v/>
      </c>
      <c r="AU41" t="str">
        <f>IF(W41="","",INDEX('03_Base_Indice'!$K41:$U41,W41))</f>
        <v/>
      </c>
      <c r="AV41" t="str">
        <f>IF(X41="","",INDEX('03_Base_Indice'!$K41:$U41,X41))</f>
        <v/>
      </c>
      <c r="AX41">
        <f>IF('06_Normalizacao'!K41="",0,'06_Normalizacao'!K41)</f>
        <v>0</v>
      </c>
      <c r="AY41">
        <f>IF('06_Normalizacao'!L41="",0,'06_Normalizacao'!L41)</f>
        <v>0</v>
      </c>
      <c r="AZ41">
        <f>IF('06_Normalizacao'!M41="",0,'06_Normalizacao'!M41)</f>
        <v>0</v>
      </c>
      <c r="BA41">
        <f>IF('06_Normalizacao'!N41="",0,'06_Normalizacao'!N41)</f>
        <v>0</v>
      </c>
      <c r="BB41">
        <f>IF('06_Normalizacao'!O41="",0,'06_Normalizacao'!O41)</f>
        <v>0</v>
      </c>
      <c r="BC41">
        <f>IF('06_Normalizacao'!P41="",0,'06_Normalizacao'!P41)</f>
        <v>0</v>
      </c>
      <c r="BD41">
        <f>IF('06_Normalizacao'!Q41="",0,'06_Normalizacao'!Q41)</f>
        <v>0</v>
      </c>
      <c r="BE41">
        <f>IF('06_Normalizacao'!R41="",0,'06_Normalizacao'!R41)</f>
        <v>0</v>
      </c>
      <c r="BF41">
        <f>IF('06_Normalizacao'!S41="",0,'06_Normalizacao'!S41)</f>
        <v>0</v>
      </c>
      <c r="BG41">
        <f>IF('06_Normalizacao'!T41="",0,'06_Normalizacao'!T41)</f>
        <v>0</v>
      </c>
      <c r="BH41">
        <f>IF('06_Normalizacao'!U41="",0,'06_Normalizacao'!U41)</f>
        <v>0</v>
      </c>
      <c r="BJ41">
        <f>IF('06_Normalizacao'!K41="",0,1)</f>
        <v>0</v>
      </c>
      <c r="BK41">
        <f>IF('06_Normalizacao'!L41="",0,1)</f>
        <v>0</v>
      </c>
      <c r="BL41">
        <f>IF('06_Normalizacao'!M41="",0,1)</f>
        <v>0</v>
      </c>
      <c r="BM41">
        <f>IF('06_Normalizacao'!N41="",0,1)</f>
        <v>0</v>
      </c>
      <c r="BN41">
        <f>IF('06_Normalizacao'!O41="",0,1)</f>
        <v>0</v>
      </c>
      <c r="BO41">
        <f>IF('06_Normalizacao'!P41="",0,1)</f>
        <v>0</v>
      </c>
      <c r="BP41">
        <f>IF('06_Normalizacao'!Q41="",0,1)</f>
        <v>0</v>
      </c>
      <c r="BQ41">
        <f>IF('06_Normalizacao'!R41="",0,1)</f>
        <v>0</v>
      </c>
      <c r="BR41">
        <f>IF('06_Normalizacao'!S41="",0,1)</f>
        <v>0</v>
      </c>
      <c r="BS41">
        <f>IF('06_Normalizacao'!T41="",0,1)</f>
        <v>0</v>
      </c>
      <c r="BT41">
        <f>IF('06_Normalizacao'!U41="",0,1)</f>
        <v>0</v>
      </c>
    </row>
    <row r="42" spans="1:72">
      <c r="A42" s="6" t="str">
        <f>'03_Base_Indice'!D42</f>
        <v/>
      </c>
      <c r="B42" t="str">
        <f>IFERROR(LOOKUP(2,1/ISNUMBER('03_Base_Indice'!$K42:K42),COLUMN('03_Base_Indice'!$K42:K42)-COLUMN('03_Base_Indice'!$K42)+1),"")</f>
        <v/>
      </c>
      <c r="C42" t="str">
        <f>IFERROR(LOOKUP(2,1/ISNUMBER('03_Base_Indice'!$K42:L42),COLUMN('03_Base_Indice'!$K42:L42)-COLUMN('03_Base_Indice'!$K42)+1),"")</f>
        <v/>
      </c>
      <c r="D42" t="str">
        <f>IFERROR(LOOKUP(2,1/ISNUMBER('03_Base_Indice'!$K42:M42),COLUMN('03_Base_Indice'!$K42:M42)-COLUMN('03_Base_Indice'!$K42)+1),"")</f>
        <v/>
      </c>
      <c r="E42" t="str">
        <f>IFERROR(LOOKUP(2,1/ISNUMBER('03_Base_Indice'!$K42:N42),COLUMN('03_Base_Indice'!$K42:N42)-COLUMN('03_Base_Indice'!$K42)+1),"")</f>
        <v/>
      </c>
      <c r="F42" t="str">
        <f>IFERROR(LOOKUP(2,1/ISNUMBER('03_Base_Indice'!$K42:O42),COLUMN('03_Base_Indice'!$K42:O42)-COLUMN('03_Base_Indice'!$K42)+1),"")</f>
        <v/>
      </c>
      <c r="G42" t="str">
        <f>IFERROR(LOOKUP(2,1/ISNUMBER('03_Base_Indice'!$K42:P42),COLUMN('03_Base_Indice'!$K42:P42)-COLUMN('03_Base_Indice'!$K42)+1),"")</f>
        <v/>
      </c>
      <c r="H42" t="str">
        <f>IFERROR(LOOKUP(2,1/ISNUMBER('03_Base_Indice'!$K42:Q42),COLUMN('03_Base_Indice'!$K42:Q42)-COLUMN('03_Base_Indice'!$K42)+1),"")</f>
        <v/>
      </c>
      <c r="I42" t="str">
        <f>IFERROR(LOOKUP(2,1/ISNUMBER('03_Base_Indice'!$K42:R42),COLUMN('03_Base_Indice'!$K42:R42)-COLUMN('03_Base_Indice'!$K42)+1),"")</f>
        <v/>
      </c>
      <c r="J42" t="str">
        <f>IFERROR(LOOKUP(2,1/ISNUMBER('03_Base_Indice'!$K42:S42),COLUMN('03_Base_Indice'!$K42:S42)-COLUMN('03_Base_Indice'!$K42)+1),"")</f>
        <v/>
      </c>
      <c r="K42" t="str">
        <f>IFERROR(LOOKUP(2,1/ISNUMBER('03_Base_Indice'!$K42:T42),COLUMN('03_Base_Indice'!$K42:T42)-COLUMN('03_Base_Indice'!$K42)+1),"")</f>
        <v/>
      </c>
      <c r="L42" t="str">
        <f>IFERROR(LOOKUP(2,1/ISNUMBER('03_Base_Indice'!$K42:U42),COLUMN('03_Base_Indice'!$K42:U42)-COLUMN('03_Base_Indice'!$K42)+1),"")</f>
        <v/>
      </c>
      <c r="N42" t="str">
        <f>IFERROR(MATCH(TRUE,INDEX(ISNUMBER('03_Base_Indice'!K42:$U42),0),0)+0,"")</f>
        <v/>
      </c>
      <c r="O42" t="str">
        <f>IFERROR(MATCH(TRUE,INDEX(ISNUMBER('03_Base_Indice'!L42:$U42),0),0)+1,"")</f>
        <v/>
      </c>
      <c r="P42" t="str">
        <f>IFERROR(MATCH(TRUE,INDEX(ISNUMBER('03_Base_Indice'!M42:$U42),0),0)+2,"")</f>
        <v/>
      </c>
      <c r="Q42" t="str">
        <f>IFERROR(MATCH(TRUE,INDEX(ISNUMBER('03_Base_Indice'!N42:$U42),0),0)+3,"")</f>
        <v/>
      </c>
      <c r="R42" t="str">
        <f>IFERROR(MATCH(TRUE,INDEX(ISNUMBER('03_Base_Indice'!O42:$U42),0),0)+4,"")</f>
        <v/>
      </c>
      <c r="S42" t="str">
        <f>IFERROR(MATCH(TRUE,INDEX(ISNUMBER('03_Base_Indice'!P42:$U42),0),0)+5,"")</f>
        <v/>
      </c>
      <c r="T42" t="str">
        <f>IFERROR(MATCH(TRUE,INDEX(ISNUMBER('03_Base_Indice'!Q42:$U42),0),0)+6,"")</f>
        <v/>
      </c>
      <c r="U42" t="str">
        <f>IFERROR(MATCH(TRUE,INDEX(ISNUMBER('03_Base_Indice'!R42:$U42),0),0)+7,"")</f>
        <v/>
      </c>
      <c r="V42" t="str">
        <f>IFERROR(MATCH(TRUE,INDEX(ISNUMBER('03_Base_Indice'!S42:$U42),0),0)+8,"")</f>
        <v/>
      </c>
      <c r="W42" t="str">
        <f>IFERROR(MATCH(TRUE,INDEX(ISNUMBER('03_Base_Indice'!T42:$U42),0),0)+9,"")</f>
        <v/>
      </c>
      <c r="X42" t="str">
        <f>IFERROR(MATCH(TRUE,INDEX(ISNUMBER('03_Base_Indice'!U42:$U42),0),0)+10,"")</f>
        <v/>
      </c>
      <c r="Z42" t="str">
        <f>IF(B42="","",INDEX('03_Base_Indice'!$K42:$U42,B42))</f>
        <v/>
      </c>
      <c r="AA42" t="str">
        <f>IF(C42="","",INDEX('03_Base_Indice'!$K42:$U42,C42))</f>
        <v/>
      </c>
      <c r="AB42" t="str">
        <f>IF(D42="","",INDEX('03_Base_Indice'!$K42:$U42,D42))</f>
        <v/>
      </c>
      <c r="AC42" t="str">
        <f>IF(E42="","",INDEX('03_Base_Indice'!$K42:$U42,E42))</f>
        <v/>
      </c>
      <c r="AD42" t="str">
        <f>IF(F42="","",INDEX('03_Base_Indice'!$K42:$U42,F42))</f>
        <v/>
      </c>
      <c r="AE42" t="str">
        <f>IF(G42="","",INDEX('03_Base_Indice'!$K42:$U42,G42))</f>
        <v/>
      </c>
      <c r="AF42" t="str">
        <f>IF(H42="","",INDEX('03_Base_Indice'!$K42:$U42,H42))</f>
        <v/>
      </c>
      <c r="AG42" t="str">
        <f>IF(I42="","",INDEX('03_Base_Indice'!$K42:$U42,I42))</f>
        <v/>
      </c>
      <c r="AH42" t="str">
        <f>IF(J42="","",INDEX('03_Base_Indice'!$K42:$U42,J42))</f>
        <v/>
      </c>
      <c r="AI42" t="str">
        <f>IF(K42="","",INDEX('03_Base_Indice'!$K42:$U42,K42))</f>
        <v/>
      </c>
      <c r="AJ42" t="str">
        <f>IF(L42="","",INDEX('03_Base_Indice'!$K42:$U42,L42))</f>
        <v/>
      </c>
      <c r="AL42" t="str">
        <f>IF(N42="","",INDEX('03_Base_Indice'!$K42:$U42,N42))</f>
        <v/>
      </c>
      <c r="AM42" t="str">
        <f>IF(O42="","",INDEX('03_Base_Indice'!$K42:$U42,O42))</f>
        <v/>
      </c>
      <c r="AN42" t="str">
        <f>IF(P42="","",INDEX('03_Base_Indice'!$K42:$U42,P42))</f>
        <v/>
      </c>
      <c r="AO42" t="str">
        <f>IF(Q42="","",INDEX('03_Base_Indice'!$K42:$U42,Q42))</f>
        <v/>
      </c>
      <c r="AP42" t="str">
        <f>IF(R42="","",INDEX('03_Base_Indice'!$K42:$U42,R42))</f>
        <v/>
      </c>
      <c r="AQ42" t="str">
        <f>IF(S42="","",INDEX('03_Base_Indice'!$K42:$U42,S42))</f>
        <v/>
      </c>
      <c r="AR42" t="str">
        <f>IF(T42="","",INDEX('03_Base_Indice'!$K42:$U42,T42))</f>
        <v/>
      </c>
      <c r="AS42" t="str">
        <f>IF(U42="","",INDEX('03_Base_Indice'!$K42:$U42,U42))</f>
        <v/>
      </c>
      <c r="AT42" t="str">
        <f>IF(V42="","",INDEX('03_Base_Indice'!$K42:$U42,V42))</f>
        <v/>
      </c>
      <c r="AU42" t="str">
        <f>IF(W42="","",INDEX('03_Base_Indice'!$K42:$U42,W42))</f>
        <v/>
      </c>
      <c r="AV42" t="str">
        <f>IF(X42="","",INDEX('03_Base_Indice'!$K42:$U42,X42))</f>
        <v/>
      </c>
      <c r="AX42">
        <f>IF('06_Normalizacao'!K42="",0,'06_Normalizacao'!K42)</f>
        <v>0</v>
      </c>
      <c r="AY42">
        <f>IF('06_Normalizacao'!L42="",0,'06_Normalizacao'!L42)</f>
        <v>0</v>
      </c>
      <c r="AZ42">
        <f>IF('06_Normalizacao'!M42="",0,'06_Normalizacao'!M42)</f>
        <v>0</v>
      </c>
      <c r="BA42">
        <f>IF('06_Normalizacao'!N42="",0,'06_Normalizacao'!N42)</f>
        <v>0</v>
      </c>
      <c r="BB42">
        <f>IF('06_Normalizacao'!O42="",0,'06_Normalizacao'!O42)</f>
        <v>0</v>
      </c>
      <c r="BC42">
        <f>IF('06_Normalizacao'!P42="",0,'06_Normalizacao'!P42)</f>
        <v>0</v>
      </c>
      <c r="BD42">
        <f>IF('06_Normalizacao'!Q42="",0,'06_Normalizacao'!Q42)</f>
        <v>0</v>
      </c>
      <c r="BE42">
        <f>IF('06_Normalizacao'!R42="",0,'06_Normalizacao'!R42)</f>
        <v>0</v>
      </c>
      <c r="BF42">
        <f>IF('06_Normalizacao'!S42="",0,'06_Normalizacao'!S42)</f>
        <v>0</v>
      </c>
      <c r="BG42">
        <f>IF('06_Normalizacao'!T42="",0,'06_Normalizacao'!T42)</f>
        <v>0</v>
      </c>
      <c r="BH42">
        <f>IF('06_Normalizacao'!U42="",0,'06_Normalizacao'!U42)</f>
        <v>0</v>
      </c>
      <c r="BJ42">
        <f>IF('06_Normalizacao'!K42="",0,1)</f>
        <v>0</v>
      </c>
      <c r="BK42">
        <f>IF('06_Normalizacao'!L42="",0,1)</f>
        <v>0</v>
      </c>
      <c r="BL42">
        <f>IF('06_Normalizacao'!M42="",0,1)</f>
        <v>0</v>
      </c>
      <c r="BM42">
        <f>IF('06_Normalizacao'!N42="",0,1)</f>
        <v>0</v>
      </c>
      <c r="BN42">
        <f>IF('06_Normalizacao'!O42="",0,1)</f>
        <v>0</v>
      </c>
      <c r="BO42">
        <f>IF('06_Normalizacao'!P42="",0,1)</f>
        <v>0</v>
      </c>
      <c r="BP42">
        <f>IF('06_Normalizacao'!Q42="",0,1)</f>
        <v>0</v>
      </c>
      <c r="BQ42">
        <f>IF('06_Normalizacao'!R42="",0,1)</f>
        <v>0</v>
      </c>
      <c r="BR42">
        <f>IF('06_Normalizacao'!S42="",0,1)</f>
        <v>0</v>
      </c>
      <c r="BS42">
        <f>IF('06_Normalizacao'!T42="",0,1)</f>
        <v>0</v>
      </c>
      <c r="BT42">
        <f>IF('06_Normalizacao'!U42="",0,1)</f>
        <v>0</v>
      </c>
    </row>
    <row r="43" spans="1:72">
      <c r="A43" s="6" t="str">
        <f>'03_Base_Indice'!D43</f>
        <v/>
      </c>
      <c r="B43" t="str">
        <f>IFERROR(LOOKUP(2,1/ISNUMBER('03_Base_Indice'!$K43:K43),COLUMN('03_Base_Indice'!$K43:K43)-COLUMN('03_Base_Indice'!$K43)+1),"")</f>
        <v/>
      </c>
      <c r="C43" t="str">
        <f>IFERROR(LOOKUP(2,1/ISNUMBER('03_Base_Indice'!$K43:L43),COLUMN('03_Base_Indice'!$K43:L43)-COLUMN('03_Base_Indice'!$K43)+1),"")</f>
        <v/>
      </c>
      <c r="D43" t="str">
        <f>IFERROR(LOOKUP(2,1/ISNUMBER('03_Base_Indice'!$K43:M43),COLUMN('03_Base_Indice'!$K43:M43)-COLUMN('03_Base_Indice'!$K43)+1),"")</f>
        <v/>
      </c>
      <c r="E43" t="str">
        <f>IFERROR(LOOKUP(2,1/ISNUMBER('03_Base_Indice'!$K43:N43),COLUMN('03_Base_Indice'!$K43:N43)-COLUMN('03_Base_Indice'!$K43)+1),"")</f>
        <v/>
      </c>
      <c r="F43" t="str">
        <f>IFERROR(LOOKUP(2,1/ISNUMBER('03_Base_Indice'!$K43:O43),COLUMN('03_Base_Indice'!$K43:O43)-COLUMN('03_Base_Indice'!$K43)+1),"")</f>
        <v/>
      </c>
      <c r="G43" t="str">
        <f>IFERROR(LOOKUP(2,1/ISNUMBER('03_Base_Indice'!$K43:P43),COLUMN('03_Base_Indice'!$K43:P43)-COLUMN('03_Base_Indice'!$K43)+1),"")</f>
        <v/>
      </c>
      <c r="H43" t="str">
        <f>IFERROR(LOOKUP(2,1/ISNUMBER('03_Base_Indice'!$K43:Q43),COLUMN('03_Base_Indice'!$K43:Q43)-COLUMN('03_Base_Indice'!$K43)+1),"")</f>
        <v/>
      </c>
      <c r="I43" t="str">
        <f>IFERROR(LOOKUP(2,1/ISNUMBER('03_Base_Indice'!$K43:R43),COLUMN('03_Base_Indice'!$K43:R43)-COLUMN('03_Base_Indice'!$K43)+1),"")</f>
        <v/>
      </c>
      <c r="J43" t="str">
        <f>IFERROR(LOOKUP(2,1/ISNUMBER('03_Base_Indice'!$K43:S43),COLUMN('03_Base_Indice'!$K43:S43)-COLUMN('03_Base_Indice'!$K43)+1),"")</f>
        <v/>
      </c>
      <c r="K43" t="str">
        <f>IFERROR(LOOKUP(2,1/ISNUMBER('03_Base_Indice'!$K43:T43),COLUMN('03_Base_Indice'!$K43:T43)-COLUMN('03_Base_Indice'!$K43)+1),"")</f>
        <v/>
      </c>
      <c r="L43" t="str">
        <f>IFERROR(LOOKUP(2,1/ISNUMBER('03_Base_Indice'!$K43:U43),COLUMN('03_Base_Indice'!$K43:U43)-COLUMN('03_Base_Indice'!$K43)+1),"")</f>
        <v/>
      </c>
      <c r="N43" t="str">
        <f>IFERROR(MATCH(TRUE,INDEX(ISNUMBER('03_Base_Indice'!K43:$U43),0),0)+0,"")</f>
        <v/>
      </c>
      <c r="O43" t="str">
        <f>IFERROR(MATCH(TRUE,INDEX(ISNUMBER('03_Base_Indice'!L43:$U43),0),0)+1,"")</f>
        <v/>
      </c>
      <c r="P43" t="str">
        <f>IFERROR(MATCH(TRUE,INDEX(ISNUMBER('03_Base_Indice'!M43:$U43),0),0)+2,"")</f>
        <v/>
      </c>
      <c r="Q43" t="str">
        <f>IFERROR(MATCH(TRUE,INDEX(ISNUMBER('03_Base_Indice'!N43:$U43),0),0)+3,"")</f>
        <v/>
      </c>
      <c r="R43" t="str">
        <f>IFERROR(MATCH(TRUE,INDEX(ISNUMBER('03_Base_Indice'!O43:$U43),0),0)+4,"")</f>
        <v/>
      </c>
      <c r="S43" t="str">
        <f>IFERROR(MATCH(TRUE,INDEX(ISNUMBER('03_Base_Indice'!P43:$U43),0),0)+5,"")</f>
        <v/>
      </c>
      <c r="T43" t="str">
        <f>IFERROR(MATCH(TRUE,INDEX(ISNUMBER('03_Base_Indice'!Q43:$U43),0),0)+6,"")</f>
        <v/>
      </c>
      <c r="U43" t="str">
        <f>IFERROR(MATCH(TRUE,INDEX(ISNUMBER('03_Base_Indice'!R43:$U43),0),0)+7,"")</f>
        <v/>
      </c>
      <c r="V43" t="str">
        <f>IFERROR(MATCH(TRUE,INDEX(ISNUMBER('03_Base_Indice'!S43:$U43),0),0)+8,"")</f>
        <v/>
      </c>
      <c r="W43" t="str">
        <f>IFERROR(MATCH(TRUE,INDEX(ISNUMBER('03_Base_Indice'!T43:$U43),0),0)+9,"")</f>
        <v/>
      </c>
      <c r="X43" t="str">
        <f>IFERROR(MATCH(TRUE,INDEX(ISNUMBER('03_Base_Indice'!U43:$U43),0),0)+10,"")</f>
        <v/>
      </c>
      <c r="Z43" t="str">
        <f>IF(B43="","",INDEX('03_Base_Indice'!$K43:$U43,B43))</f>
        <v/>
      </c>
      <c r="AA43" t="str">
        <f>IF(C43="","",INDEX('03_Base_Indice'!$K43:$U43,C43))</f>
        <v/>
      </c>
      <c r="AB43" t="str">
        <f>IF(D43="","",INDEX('03_Base_Indice'!$K43:$U43,D43))</f>
        <v/>
      </c>
      <c r="AC43" t="str">
        <f>IF(E43="","",INDEX('03_Base_Indice'!$K43:$U43,E43))</f>
        <v/>
      </c>
      <c r="AD43" t="str">
        <f>IF(F43="","",INDEX('03_Base_Indice'!$K43:$U43,F43))</f>
        <v/>
      </c>
      <c r="AE43" t="str">
        <f>IF(G43="","",INDEX('03_Base_Indice'!$K43:$U43,G43))</f>
        <v/>
      </c>
      <c r="AF43" t="str">
        <f>IF(H43="","",INDEX('03_Base_Indice'!$K43:$U43,H43))</f>
        <v/>
      </c>
      <c r="AG43" t="str">
        <f>IF(I43="","",INDEX('03_Base_Indice'!$K43:$U43,I43))</f>
        <v/>
      </c>
      <c r="AH43" t="str">
        <f>IF(J43="","",INDEX('03_Base_Indice'!$K43:$U43,J43))</f>
        <v/>
      </c>
      <c r="AI43" t="str">
        <f>IF(K43="","",INDEX('03_Base_Indice'!$K43:$U43,K43))</f>
        <v/>
      </c>
      <c r="AJ43" t="str">
        <f>IF(L43="","",INDEX('03_Base_Indice'!$K43:$U43,L43))</f>
        <v/>
      </c>
      <c r="AL43" t="str">
        <f>IF(N43="","",INDEX('03_Base_Indice'!$K43:$U43,N43))</f>
        <v/>
      </c>
      <c r="AM43" t="str">
        <f>IF(O43="","",INDEX('03_Base_Indice'!$K43:$U43,O43))</f>
        <v/>
      </c>
      <c r="AN43" t="str">
        <f>IF(P43="","",INDEX('03_Base_Indice'!$K43:$U43,P43))</f>
        <v/>
      </c>
      <c r="AO43" t="str">
        <f>IF(Q43="","",INDEX('03_Base_Indice'!$K43:$U43,Q43))</f>
        <v/>
      </c>
      <c r="AP43" t="str">
        <f>IF(R43="","",INDEX('03_Base_Indice'!$K43:$U43,R43))</f>
        <v/>
      </c>
      <c r="AQ43" t="str">
        <f>IF(S43="","",INDEX('03_Base_Indice'!$K43:$U43,S43))</f>
        <v/>
      </c>
      <c r="AR43" t="str">
        <f>IF(T43="","",INDEX('03_Base_Indice'!$K43:$U43,T43))</f>
        <v/>
      </c>
      <c r="AS43" t="str">
        <f>IF(U43="","",INDEX('03_Base_Indice'!$K43:$U43,U43))</f>
        <v/>
      </c>
      <c r="AT43" t="str">
        <f>IF(V43="","",INDEX('03_Base_Indice'!$K43:$U43,V43))</f>
        <v/>
      </c>
      <c r="AU43" t="str">
        <f>IF(W43="","",INDEX('03_Base_Indice'!$K43:$U43,W43))</f>
        <v/>
      </c>
      <c r="AV43" t="str">
        <f>IF(X43="","",INDEX('03_Base_Indice'!$K43:$U43,X43))</f>
        <v/>
      </c>
      <c r="AX43">
        <f>IF('06_Normalizacao'!K43="",0,'06_Normalizacao'!K43)</f>
        <v>0</v>
      </c>
      <c r="AY43">
        <f>IF('06_Normalizacao'!L43="",0,'06_Normalizacao'!L43)</f>
        <v>0</v>
      </c>
      <c r="AZ43">
        <f>IF('06_Normalizacao'!M43="",0,'06_Normalizacao'!M43)</f>
        <v>0</v>
      </c>
      <c r="BA43">
        <f>IF('06_Normalizacao'!N43="",0,'06_Normalizacao'!N43)</f>
        <v>0</v>
      </c>
      <c r="BB43">
        <f>IF('06_Normalizacao'!O43="",0,'06_Normalizacao'!O43)</f>
        <v>0</v>
      </c>
      <c r="BC43">
        <f>IF('06_Normalizacao'!P43="",0,'06_Normalizacao'!P43)</f>
        <v>0</v>
      </c>
      <c r="BD43">
        <f>IF('06_Normalizacao'!Q43="",0,'06_Normalizacao'!Q43)</f>
        <v>0</v>
      </c>
      <c r="BE43">
        <f>IF('06_Normalizacao'!R43="",0,'06_Normalizacao'!R43)</f>
        <v>0</v>
      </c>
      <c r="BF43">
        <f>IF('06_Normalizacao'!S43="",0,'06_Normalizacao'!S43)</f>
        <v>0</v>
      </c>
      <c r="BG43">
        <f>IF('06_Normalizacao'!T43="",0,'06_Normalizacao'!T43)</f>
        <v>0</v>
      </c>
      <c r="BH43">
        <f>IF('06_Normalizacao'!U43="",0,'06_Normalizacao'!U43)</f>
        <v>0</v>
      </c>
      <c r="BJ43">
        <f>IF('06_Normalizacao'!K43="",0,1)</f>
        <v>0</v>
      </c>
      <c r="BK43">
        <f>IF('06_Normalizacao'!L43="",0,1)</f>
        <v>0</v>
      </c>
      <c r="BL43">
        <f>IF('06_Normalizacao'!M43="",0,1)</f>
        <v>0</v>
      </c>
      <c r="BM43">
        <f>IF('06_Normalizacao'!N43="",0,1)</f>
        <v>0</v>
      </c>
      <c r="BN43">
        <f>IF('06_Normalizacao'!O43="",0,1)</f>
        <v>0</v>
      </c>
      <c r="BO43">
        <f>IF('06_Normalizacao'!P43="",0,1)</f>
        <v>0</v>
      </c>
      <c r="BP43">
        <f>IF('06_Normalizacao'!Q43="",0,1)</f>
        <v>0</v>
      </c>
      <c r="BQ43">
        <f>IF('06_Normalizacao'!R43="",0,1)</f>
        <v>0</v>
      </c>
      <c r="BR43">
        <f>IF('06_Normalizacao'!S43="",0,1)</f>
        <v>0</v>
      </c>
      <c r="BS43">
        <f>IF('06_Normalizacao'!T43="",0,1)</f>
        <v>0</v>
      </c>
      <c r="BT43">
        <f>IF('06_Normalizacao'!U43="",0,1)</f>
        <v>0</v>
      </c>
    </row>
    <row r="44" spans="1:72">
      <c r="A44" s="6" t="str">
        <f>'03_Base_Indice'!D44</f>
        <v/>
      </c>
      <c r="B44" t="str">
        <f>IFERROR(LOOKUP(2,1/ISNUMBER('03_Base_Indice'!$K44:K44),COLUMN('03_Base_Indice'!$K44:K44)-COLUMN('03_Base_Indice'!$K44)+1),"")</f>
        <v/>
      </c>
      <c r="C44" t="str">
        <f>IFERROR(LOOKUP(2,1/ISNUMBER('03_Base_Indice'!$K44:L44),COLUMN('03_Base_Indice'!$K44:L44)-COLUMN('03_Base_Indice'!$K44)+1),"")</f>
        <v/>
      </c>
      <c r="D44" t="str">
        <f>IFERROR(LOOKUP(2,1/ISNUMBER('03_Base_Indice'!$K44:M44),COLUMN('03_Base_Indice'!$K44:M44)-COLUMN('03_Base_Indice'!$K44)+1),"")</f>
        <v/>
      </c>
      <c r="E44" t="str">
        <f>IFERROR(LOOKUP(2,1/ISNUMBER('03_Base_Indice'!$K44:N44),COLUMN('03_Base_Indice'!$K44:N44)-COLUMN('03_Base_Indice'!$K44)+1),"")</f>
        <v/>
      </c>
      <c r="F44" t="str">
        <f>IFERROR(LOOKUP(2,1/ISNUMBER('03_Base_Indice'!$K44:O44),COLUMN('03_Base_Indice'!$K44:O44)-COLUMN('03_Base_Indice'!$K44)+1),"")</f>
        <v/>
      </c>
      <c r="G44" t="str">
        <f>IFERROR(LOOKUP(2,1/ISNUMBER('03_Base_Indice'!$K44:P44),COLUMN('03_Base_Indice'!$K44:P44)-COLUMN('03_Base_Indice'!$K44)+1),"")</f>
        <v/>
      </c>
      <c r="H44" t="str">
        <f>IFERROR(LOOKUP(2,1/ISNUMBER('03_Base_Indice'!$K44:Q44),COLUMN('03_Base_Indice'!$K44:Q44)-COLUMN('03_Base_Indice'!$K44)+1),"")</f>
        <v/>
      </c>
      <c r="I44" t="str">
        <f>IFERROR(LOOKUP(2,1/ISNUMBER('03_Base_Indice'!$K44:R44),COLUMN('03_Base_Indice'!$K44:R44)-COLUMN('03_Base_Indice'!$K44)+1),"")</f>
        <v/>
      </c>
      <c r="J44" t="str">
        <f>IFERROR(LOOKUP(2,1/ISNUMBER('03_Base_Indice'!$K44:S44),COLUMN('03_Base_Indice'!$K44:S44)-COLUMN('03_Base_Indice'!$K44)+1),"")</f>
        <v/>
      </c>
      <c r="K44" t="str">
        <f>IFERROR(LOOKUP(2,1/ISNUMBER('03_Base_Indice'!$K44:T44),COLUMN('03_Base_Indice'!$K44:T44)-COLUMN('03_Base_Indice'!$K44)+1),"")</f>
        <v/>
      </c>
      <c r="L44" t="str">
        <f>IFERROR(LOOKUP(2,1/ISNUMBER('03_Base_Indice'!$K44:U44),COLUMN('03_Base_Indice'!$K44:U44)-COLUMN('03_Base_Indice'!$K44)+1),"")</f>
        <v/>
      </c>
      <c r="N44" t="str">
        <f>IFERROR(MATCH(TRUE,INDEX(ISNUMBER('03_Base_Indice'!K44:$U44),0),0)+0,"")</f>
        <v/>
      </c>
      <c r="O44" t="str">
        <f>IFERROR(MATCH(TRUE,INDEX(ISNUMBER('03_Base_Indice'!L44:$U44),0),0)+1,"")</f>
        <v/>
      </c>
      <c r="P44" t="str">
        <f>IFERROR(MATCH(TRUE,INDEX(ISNUMBER('03_Base_Indice'!M44:$U44),0),0)+2,"")</f>
        <v/>
      </c>
      <c r="Q44" t="str">
        <f>IFERROR(MATCH(TRUE,INDEX(ISNUMBER('03_Base_Indice'!N44:$U44),0),0)+3,"")</f>
        <v/>
      </c>
      <c r="R44" t="str">
        <f>IFERROR(MATCH(TRUE,INDEX(ISNUMBER('03_Base_Indice'!O44:$U44),0),0)+4,"")</f>
        <v/>
      </c>
      <c r="S44" t="str">
        <f>IFERROR(MATCH(TRUE,INDEX(ISNUMBER('03_Base_Indice'!P44:$U44),0),0)+5,"")</f>
        <v/>
      </c>
      <c r="T44" t="str">
        <f>IFERROR(MATCH(TRUE,INDEX(ISNUMBER('03_Base_Indice'!Q44:$U44),0),0)+6,"")</f>
        <v/>
      </c>
      <c r="U44" t="str">
        <f>IFERROR(MATCH(TRUE,INDEX(ISNUMBER('03_Base_Indice'!R44:$U44),0),0)+7,"")</f>
        <v/>
      </c>
      <c r="V44" t="str">
        <f>IFERROR(MATCH(TRUE,INDEX(ISNUMBER('03_Base_Indice'!S44:$U44),0),0)+8,"")</f>
        <v/>
      </c>
      <c r="W44" t="str">
        <f>IFERROR(MATCH(TRUE,INDEX(ISNUMBER('03_Base_Indice'!T44:$U44),0),0)+9,"")</f>
        <v/>
      </c>
      <c r="X44" t="str">
        <f>IFERROR(MATCH(TRUE,INDEX(ISNUMBER('03_Base_Indice'!U44:$U44),0),0)+10,"")</f>
        <v/>
      </c>
      <c r="Z44" t="str">
        <f>IF(B44="","",INDEX('03_Base_Indice'!$K44:$U44,B44))</f>
        <v/>
      </c>
      <c r="AA44" t="str">
        <f>IF(C44="","",INDEX('03_Base_Indice'!$K44:$U44,C44))</f>
        <v/>
      </c>
      <c r="AB44" t="str">
        <f>IF(D44="","",INDEX('03_Base_Indice'!$K44:$U44,D44))</f>
        <v/>
      </c>
      <c r="AC44" t="str">
        <f>IF(E44="","",INDEX('03_Base_Indice'!$K44:$U44,E44))</f>
        <v/>
      </c>
      <c r="AD44" t="str">
        <f>IF(F44="","",INDEX('03_Base_Indice'!$K44:$U44,F44))</f>
        <v/>
      </c>
      <c r="AE44" t="str">
        <f>IF(G44="","",INDEX('03_Base_Indice'!$K44:$U44,G44))</f>
        <v/>
      </c>
      <c r="AF44" t="str">
        <f>IF(H44="","",INDEX('03_Base_Indice'!$K44:$U44,H44))</f>
        <v/>
      </c>
      <c r="AG44" t="str">
        <f>IF(I44="","",INDEX('03_Base_Indice'!$K44:$U44,I44))</f>
        <v/>
      </c>
      <c r="AH44" t="str">
        <f>IF(J44="","",INDEX('03_Base_Indice'!$K44:$U44,J44))</f>
        <v/>
      </c>
      <c r="AI44" t="str">
        <f>IF(K44="","",INDEX('03_Base_Indice'!$K44:$U44,K44))</f>
        <v/>
      </c>
      <c r="AJ44" t="str">
        <f>IF(L44="","",INDEX('03_Base_Indice'!$K44:$U44,L44))</f>
        <v/>
      </c>
      <c r="AL44" t="str">
        <f>IF(N44="","",INDEX('03_Base_Indice'!$K44:$U44,N44))</f>
        <v/>
      </c>
      <c r="AM44" t="str">
        <f>IF(O44="","",INDEX('03_Base_Indice'!$K44:$U44,O44))</f>
        <v/>
      </c>
      <c r="AN44" t="str">
        <f>IF(P44="","",INDEX('03_Base_Indice'!$K44:$U44,P44))</f>
        <v/>
      </c>
      <c r="AO44" t="str">
        <f>IF(Q44="","",INDEX('03_Base_Indice'!$K44:$U44,Q44))</f>
        <v/>
      </c>
      <c r="AP44" t="str">
        <f>IF(R44="","",INDEX('03_Base_Indice'!$K44:$U44,R44))</f>
        <v/>
      </c>
      <c r="AQ44" t="str">
        <f>IF(S44="","",INDEX('03_Base_Indice'!$K44:$U44,S44))</f>
        <v/>
      </c>
      <c r="AR44" t="str">
        <f>IF(T44="","",INDEX('03_Base_Indice'!$K44:$U44,T44))</f>
        <v/>
      </c>
      <c r="AS44" t="str">
        <f>IF(U44="","",INDEX('03_Base_Indice'!$K44:$U44,U44))</f>
        <v/>
      </c>
      <c r="AT44" t="str">
        <f>IF(V44="","",INDEX('03_Base_Indice'!$K44:$U44,V44))</f>
        <v/>
      </c>
      <c r="AU44" t="str">
        <f>IF(W44="","",INDEX('03_Base_Indice'!$K44:$U44,W44))</f>
        <v/>
      </c>
      <c r="AV44" t="str">
        <f>IF(X44="","",INDEX('03_Base_Indice'!$K44:$U44,X44))</f>
        <v/>
      </c>
      <c r="AX44">
        <f>IF('06_Normalizacao'!K44="",0,'06_Normalizacao'!K44)</f>
        <v>0</v>
      </c>
      <c r="AY44">
        <f>IF('06_Normalizacao'!L44="",0,'06_Normalizacao'!L44)</f>
        <v>0</v>
      </c>
      <c r="AZ44">
        <f>IF('06_Normalizacao'!M44="",0,'06_Normalizacao'!M44)</f>
        <v>0</v>
      </c>
      <c r="BA44">
        <f>IF('06_Normalizacao'!N44="",0,'06_Normalizacao'!N44)</f>
        <v>0</v>
      </c>
      <c r="BB44">
        <f>IF('06_Normalizacao'!O44="",0,'06_Normalizacao'!O44)</f>
        <v>0</v>
      </c>
      <c r="BC44">
        <f>IF('06_Normalizacao'!P44="",0,'06_Normalizacao'!P44)</f>
        <v>0</v>
      </c>
      <c r="BD44">
        <f>IF('06_Normalizacao'!Q44="",0,'06_Normalizacao'!Q44)</f>
        <v>0</v>
      </c>
      <c r="BE44">
        <f>IF('06_Normalizacao'!R44="",0,'06_Normalizacao'!R44)</f>
        <v>0</v>
      </c>
      <c r="BF44">
        <f>IF('06_Normalizacao'!S44="",0,'06_Normalizacao'!S44)</f>
        <v>0</v>
      </c>
      <c r="BG44">
        <f>IF('06_Normalizacao'!T44="",0,'06_Normalizacao'!T44)</f>
        <v>0</v>
      </c>
      <c r="BH44">
        <f>IF('06_Normalizacao'!U44="",0,'06_Normalizacao'!U44)</f>
        <v>0</v>
      </c>
      <c r="BJ44">
        <f>IF('06_Normalizacao'!K44="",0,1)</f>
        <v>0</v>
      </c>
      <c r="BK44">
        <f>IF('06_Normalizacao'!L44="",0,1)</f>
        <v>0</v>
      </c>
      <c r="BL44">
        <f>IF('06_Normalizacao'!M44="",0,1)</f>
        <v>0</v>
      </c>
      <c r="BM44">
        <f>IF('06_Normalizacao'!N44="",0,1)</f>
        <v>0</v>
      </c>
      <c r="BN44">
        <f>IF('06_Normalizacao'!O44="",0,1)</f>
        <v>0</v>
      </c>
      <c r="BO44">
        <f>IF('06_Normalizacao'!P44="",0,1)</f>
        <v>0</v>
      </c>
      <c r="BP44">
        <f>IF('06_Normalizacao'!Q44="",0,1)</f>
        <v>0</v>
      </c>
      <c r="BQ44">
        <f>IF('06_Normalizacao'!R44="",0,1)</f>
        <v>0</v>
      </c>
      <c r="BR44">
        <f>IF('06_Normalizacao'!S44="",0,1)</f>
        <v>0</v>
      </c>
      <c r="BS44">
        <f>IF('06_Normalizacao'!T44="",0,1)</f>
        <v>0</v>
      </c>
      <c r="BT44">
        <f>IF('06_Normalizacao'!U44="",0,1)</f>
        <v>0</v>
      </c>
    </row>
    <row r="45" spans="1:72">
      <c r="A45" s="6" t="str">
        <f>'03_Base_Indice'!D45</f>
        <v>INF002</v>
      </c>
      <c r="B45">
        <f>IFERROR(LOOKUP(2,1/ISNUMBER('03_Base_Indice'!$K45:K45),COLUMN('03_Base_Indice'!$K45:K45)-COLUMN('03_Base_Indice'!$K45)+1),"")</f>
        <v>1</v>
      </c>
      <c r="C45">
        <f>IFERROR(LOOKUP(2,1/ISNUMBER('03_Base_Indice'!$K45:L45),COLUMN('03_Base_Indice'!$K45:L45)-COLUMN('03_Base_Indice'!$K45)+1),"")</f>
        <v>2</v>
      </c>
      <c r="D45">
        <f>IFERROR(LOOKUP(2,1/ISNUMBER('03_Base_Indice'!$K45:M45),COLUMN('03_Base_Indice'!$K45:M45)-COLUMN('03_Base_Indice'!$K45)+1),"")</f>
        <v>3</v>
      </c>
      <c r="E45">
        <f>IFERROR(LOOKUP(2,1/ISNUMBER('03_Base_Indice'!$K45:N45),COLUMN('03_Base_Indice'!$K45:N45)-COLUMN('03_Base_Indice'!$K45)+1),"")</f>
        <v>4</v>
      </c>
      <c r="F45">
        <f>IFERROR(LOOKUP(2,1/ISNUMBER('03_Base_Indice'!$K45:O45),COLUMN('03_Base_Indice'!$K45:O45)-COLUMN('03_Base_Indice'!$K45)+1),"")</f>
        <v>5</v>
      </c>
      <c r="G45">
        <f>IFERROR(LOOKUP(2,1/ISNUMBER('03_Base_Indice'!$K45:P45),COLUMN('03_Base_Indice'!$K45:P45)-COLUMN('03_Base_Indice'!$K45)+1),"")</f>
        <v>6</v>
      </c>
      <c r="H45">
        <f>IFERROR(LOOKUP(2,1/ISNUMBER('03_Base_Indice'!$K45:Q45),COLUMN('03_Base_Indice'!$K45:Q45)-COLUMN('03_Base_Indice'!$K45)+1),"")</f>
        <v>7</v>
      </c>
      <c r="I45">
        <f>IFERROR(LOOKUP(2,1/ISNUMBER('03_Base_Indice'!$K45:R45),COLUMN('03_Base_Indice'!$K45:R45)-COLUMN('03_Base_Indice'!$K45)+1),"")</f>
        <v>8</v>
      </c>
      <c r="J45">
        <f>IFERROR(LOOKUP(2,1/ISNUMBER('03_Base_Indice'!$K45:S45),COLUMN('03_Base_Indice'!$K45:S45)-COLUMN('03_Base_Indice'!$K45)+1),"")</f>
        <v>9</v>
      </c>
      <c r="K45">
        <f>IFERROR(LOOKUP(2,1/ISNUMBER('03_Base_Indice'!$K45:T45),COLUMN('03_Base_Indice'!$K45:T45)-COLUMN('03_Base_Indice'!$K45)+1),"")</f>
        <v>10</v>
      </c>
      <c r="L45">
        <f>IFERROR(LOOKUP(2,1/ISNUMBER('03_Base_Indice'!$K45:U45),COLUMN('03_Base_Indice'!$K45:U45)-COLUMN('03_Base_Indice'!$K45)+1),"")</f>
        <v>10</v>
      </c>
      <c r="N45">
        <f>IFERROR(MATCH(TRUE,INDEX(ISNUMBER('03_Base_Indice'!K45:$U45),0),0)+0,"")</f>
        <v>1</v>
      </c>
      <c r="O45">
        <f>IFERROR(MATCH(TRUE,INDEX(ISNUMBER('03_Base_Indice'!L45:$U45),0),0)+1,"")</f>
        <v>2</v>
      </c>
      <c r="P45">
        <f>IFERROR(MATCH(TRUE,INDEX(ISNUMBER('03_Base_Indice'!M45:$U45),0),0)+2,"")</f>
        <v>3</v>
      </c>
      <c r="Q45">
        <f>IFERROR(MATCH(TRUE,INDEX(ISNUMBER('03_Base_Indice'!N45:$U45),0),0)+3,"")</f>
        <v>4</v>
      </c>
      <c r="R45">
        <f>IFERROR(MATCH(TRUE,INDEX(ISNUMBER('03_Base_Indice'!O45:$U45),0),0)+4,"")</f>
        <v>5</v>
      </c>
      <c r="S45">
        <f>IFERROR(MATCH(TRUE,INDEX(ISNUMBER('03_Base_Indice'!P45:$U45),0),0)+5,"")</f>
        <v>6</v>
      </c>
      <c r="T45">
        <f>IFERROR(MATCH(TRUE,INDEX(ISNUMBER('03_Base_Indice'!Q45:$U45),0),0)+6,"")</f>
        <v>7</v>
      </c>
      <c r="U45">
        <f>IFERROR(MATCH(TRUE,INDEX(ISNUMBER('03_Base_Indice'!R45:$U45),0),0)+7,"")</f>
        <v>8</v>
      </c>
      <c r="V45">
        <f>IFERROR(MATCH(TRUE,INDEX(ISNUMBER('03_Base_Indice'!S45:$U45),0),0)+8,"")</f>
        <v>9</v>
      </c>
      <c r="W45">
        <f>IFERROR(MATCH(TRUE,INDEX(ISNUMBER('03_Base_Indice'!T45:$U45),0),0)+9,"")</f>
        <v>10</v>
      </c>
      <c r="X45" t="str">
        <f>IFERROR(MATCH(TRUE,INDEX(ISNUMBER('03_Base_Indice'!U45:$U45),0),0)+10,"")</f>
        <v/>
      </c>
      <c r="Z45">
        <f>IF(B45="","",INDEX('03_Base_Indice'!$K45:$U45,B45))</f>
        <v>58.619631200767699</v>
      </c>
      <c r="AA45">
        <f>IF(C45="","",INDEX('03_Base_Indice'!$K45:$U45,C45))</f>
        <v>60.192062018551901</v>
      </c>
      <c r="AB45">
        <f>IF(D45="","",INDEX('03_Base_Indice'!$K45:$U45,D45))</f>
        <v>61.773512210454101</v>
      </c>
      <c r="AC45">
        <f>IF(E45="","",INDEX('03_Base_Indice'!$K45:$U45,E45))</f>
        <v>63.362790738802097</v>
      </c>
      <c r="AD45">
        <f>IF(F45="","",INDEX('03_Base_Indice'!$K45:$U45,F45))</f>
        <v>64.159911037306699</v>
      </c>
      <c r="AE45">
        <f>IF(G45="","",INDEX('03_Base_Indice'!$K45:$U45,G45))</f>
        <v>64.944030543653795</v>
      </c>
      <c r="AF45">
        <f>IF(H45="","",INDEX('03_Base_Indice'!$K45:$U45,H45))</f>
        <v>65.716257719435006</v>
      </c>
      <c r="AG45">
        <f>IF(I45="","",INDEX('03_Base_Indice'!$K45:$U45,I45))</f>
        <v>66.476327319779998</v>
      </c>
      <c r="AH45">
        <f>IF(J45="","",INDEX('03_Base_Indice'!$K45:$U45,J45))</f>
        <v>67.224425258849706</v>
      </c>
      <c r="AI45">
        <f>IF(K45="","",INDEX('03_Base_Indice'!$K45:$U45,K45))</f>
        <v>67.960742224211202</v>
      </c>
      <c r="AJ45">
        <f>IF(L45="","",INDEX('03_Base_Indice'!$K45:$U45,L45))</f>
        <v>67.960742224211202</v>
      </c>
      <c r="AL45">
        <f>IF(N45="","",INDEX('03_Base_Indice'!$K45:$U45,N45))</f>
        <v>58.619631200767699</v>
      </c>
      <c r="AM45">
        <f>IF(O45="","",INDEX('03_Base_Indice'!$K45:$U45,O45))</f>
        <v>60.192062018551901</v>
      </c>
      <c r="AN45">
        <f>IF(P45="","",INDEX('03_Base_Indice'!$K45:$U45,P45))</f>
        <v>61.773512210454101</v>
      </c>
      <c r="AO45">
        <f>IF(Q45="","",INDEX('03_Base_Indice'!$K45:$U45,Q45))</f>
        <v>63.362790738802097</v>
      </c>
      <c r="AP45">
        <f>IF(R45="","",INDEX('03_Base_Indice'!$K45:$U45,R45))</f>
        <v>64.159911037306699</v>
      </c>
      <c r="AQ45">
        <f>IF(S45="","",INDEX('03_Base_Indice'!$K45:$U45,S45))</f>
        <v>64.944030543653795</v>
      </c>
      <c r="AR45">
        <f>IF(T45="","",INDEX('03_Base_Indice'!$K45:$U45,T45))</f>
        <v>65.716257719435006</v>
      </c>
      <c r="AS45">
        <f>IF(U45="","",INDEX('03_Base_Indice'!$K45:$U45,U45))</f>
        <v>66.476327319779998</v>
      </c>
      <c r="AT45">
        <f>IF(V45="","",INDEX('03_Base_Indice'!$K45:$U45,V45))</f>
        <v>67.224425258849706</v>
      </c>
      <c r="AU45">
        <f>IF(W45="","",INDEX('03_Base_Indice'!$K45:$U45,W45))</f>
        <v>67.960742224211202</v>
      </c>
      <c r="AV45" t="str">
        <f>IF(X45="","",INDEX('03_Base_Indice'!$K45:$U45,X45))</f>
        <v/>
      </c>
      <c r="AX45">
        <f>IF('06_Normalizacao'!K45="",0,'06_Normalizacao'!K45)</f>
        <v>58.619631200767699</v>
      </c>
      <c r="AY45">
        <f>IF('06_Normalizacao'!L45="",0,'06_Normalizacao'!L45)</f>
        <v>60.192062018551908</v>
      </c>
      <c r="AZ45">
        <f>IF('06_Normalizacao'!M45="",0,'06_Normalizacao'!M45)</f>
        <v>61.773512210454101</v>
      </c>
      <c r="BA45">
        <f>IF('06_Normalizacao'!N45="",0,'06_Normalizacao'!N45)</f>
        <v>63.362790738802097</v>
      </c>
      <c r="BB45">
        <f>IF('06_Normalizacao'!O45="",0,'06_Normalizacao'!O45)</f>
        <v>64.159911037306699</v>
      </c>
      <c r="BC45">
        <f>IF('06_Normalizacao'!P45="",0,'06_Normalizacao'!P45)</f>
        <v>64.944030543653795</v>
      </c>
      <c r="BD45">
        <f>IF('06_Normalizacao'!Q45="",0,'06_Normalizacao'!Q45)</f>
        <v>65.716257719435006</v>
      </c>
      <c r="BE45">
        <f>IF('06_Normalizacao'!R45="",0,'06_Normalizacao'!R45)</f>
        <v>66.476327319779998</v>
      </c>
      <c r="BF45">
        <f>IF('06_Normalizacao'!S45="",0,'06_Normalizacao'!S45)</f>
        <v>67.224425258849706</v>
      </c>
      <c r="BG45">
        <f>IF('06_Normalizacao'!T45="",0,'06_Normalizacao'!T45)</f>
        <v>67.960742224211202</v>
      </c>
      <c r="BH45">
        <f>IF('06_Normalizacao'!U45="",0,'06_Normalizacao'!U45)</f>
        <v>67.960742224211202</v>
      </c>
      <c r="BJ45">
        <f>IF('06_Normalizacao'!K45="",0,1)</f>
        <v>1</v>
      </c>
      <c r="BK45">
        <f>IF('06_Normalizacao'!L45="",0,1)</f>
        <v>1</v>
      </c>
      <c r="BL45">
        <f>IF('06_Normalizacao'!M45="",0,1)</f>
        <v>1</v>
      </c>
      <c r="BM45">
        <f>IF('06_Normalizacao'!N45="",0,1)</f>
        <v>1</v>
      </c>
      <c r="BN45">
        <f>IF('06_Normalizacao'!O45="",0,1)</f>
        <v>1</v>
      </c>
      <c r="BO45">
        <f>IF('06_Normalizacao'!P45="",0,1)</f>
        <v>1</v>
      </c>
      <c r="BP45">
        <f>IF('06_Normalizacao'!Q45="",0,1)</f>
        <v>1</v>
      </c>
      <c r="BQ45">
        <f>IF('06_Normalizacao'!R45="",0,1)</f>
        <v>1</v>
      </c>
      <c r="BR45">
        <f>IF('06_Normalizacao'!S45="",0,1)</f>
        <v>1</v>
      </c>
      <c r="BS45">
        <f>IF('06_Normalizacao'!T45="",0,1)</f>
        <v>1</v>
      </c>
      <c r="BT45">
        <f>IF('06_Normalizacao'!U45="",0,1)</f>
        <v>1</v>
      </c>
    </row>
    <row r="46" spans="1:72">
      <c r="A46" s="6" t="str">
        <f>'03_Base_Indice'!D46</f>
        <v>INF006</v>
      </c>
      <c r="B46">
        <f>IFERROR(LOOKUP(2,1/ISNUMBER('03_Base_Indice'!$K46:K46),COLUMN('03_Base_Indice'!$K46:K46)-COLUMN('03_Base_Indice'!$K46)+1),"")</f>
        <v>1</v>
      </c>
      <c r="C46">
        <f>IFERROR(LOOKUP(2,1/ISNUMBER('03_Base_Indice'!$K46:L46),COLUMN('03_Base_Indice'!$K46:L46)-COLUMN('03_Base_Indice'!$K46)+1),"")</f>
        <v>2</v>
      </c>
      <c r="D46">
        <f>IFERROR(LOOKUP(2,1/ISNUMBER('03_Base_Indice'!$K46:M46),COLUMN('03_Base_Indice'!$K46:M46)-COLUMN('03_Base_Indice'!$K46)+1),"")</f>
        <v>3</v>
      </c>
      <c r="E46">
        <f>IFERROR(LOOKUP(2,1/ISNUMBER('03_Base_Indice'!$K46:N46),COLUMN('03_Base_Indice'!$K46:N46)-COLUMN('03_Base_Indice'!$K46)+1),"")</f>
        <v>4</v>
      </c>
      <c r="F46">
        <f>IFERROR(LOOKUP(2,1/ISNUMBER('03_Base_Indice'!$K46:O46),COLUMN('03_Base_Indice'!$K46:O46)-COLUMN('03_Base_Indice'!$K46)+1),"")</f>
        <v>5</v>
      </c>
      <c r="G46">
        <f>IFERROR(LOOKUP(2,1/ISNUMBER('03_Base_Indice'!$K46:P46),COLUMN('03_Base_Indice'!$K46:P46)-COLUMN('03_Base_Indice'!$K46)+1),"")</f>
        <v>6</v>
      </c>
      <c r="H46">
        <f>IFERROR(LOOKUP(2,1/ISNUMBER('03_Base_Indice'!$K46:Q46),COLUMN('03_Base_Indice'!$K46:Q46)-COLUMN('03_Base_Indice'!$K46)+1),"")</f>
        <v>7</v>
      </c>
      <c r="I46">
        <f>IFERROR(LOOKUP(2,1/ISNUMBER('03_Base_Indice'!$K46:R46),COLUMN('03_Base_Indice'!$K46:R46)-COLUMN('03_Base_Indice'!$K46)+1),"")</f>
        <v>8</v>
      </c>
      <c r="J46">
        <f>IFERROR(LOOKUP(2,1/ISNUMBER('03_Base_Indice'!$K46:S46),COLUMN('03_Base_Indice'!$K46:S46)-COLUMN('03_Base_Indice'!$K46)+1),"")</f>
        <v>9</v>
      </c>
      <c r="K46">
        <f>IFERROR(LOOKUP(2,1/ISNUMBER('03_Base_Indice'!$K46:T46),COLUMN('03_Base_Indice'!$K46:T46)-COLUMN('03_Base_Indice'!$K46)+1),"")</f>
        <v>10</v>
      </c>
      <c r="L46">
        <f>IFERROR(LOOKUP(2,1/ISNUMBER('03_Base_Indice'!$K46:U46),COLUMN('03_Base_Indice'!$K46:U46)-COLUMN('03_Base_Indice'!$K46)+1),"")</f>
        <v>10</v>
      </c>
      <c r="N46">
        <f>IFERROR(MATCH(TRUE,INDEX(ISNUMBER('03_Base_Indice'!K46:$U46),0),0)+0,"")</f>
        <v>1</v>
      </c>
      <c r="O46">
        <f>IFERROR(MATCH(TRUE,INDEX(ISNUMBER('03_Base_Indice'!L46:$U46),0),0)+1,"")</f>
        <v>2</v>
      </c>
      <c r="P46">
        <f>IFERROR(MATCH(TRUE,INDEX(ISNUMBER('03_Base_Indice'!M46:$U46),0),0)+2,"")</f>
        <v>3</v>
      </c>
      <c r="Q46">
        <f>IFERROR(MATCH(TRUE,INDEX(ISNUMBER('03_Base_Indice'!N46:$U46),0),0)+3,"")</f>
        <v>4</v>
      </c>
      <c r="R46">
        <f>IFERROR(MATCH(TRUE,INDEX(ISNUMBER('03_Base_Indice'!O46:$U46),0),0)+4,"")</f>
        <v>5</v>
      </c>
      <c r="S46">
        <f>IFERROR(MATCH(TRUE,INDEX(ISNUMBER('03_Base_Indice'!P46:$U46),0),0)+5,"")</f>
        <v>6</v>
      </c>
      <c r="T46">
        <f>IFERROR(MATCH(TRUE,INDEX(ISNUMBER('03_Base_Indice'!Q46:$U46),0),0)+6,"")</f>
        <v>7</v>
      </c>
      <c r="U46">
        <f>IFERROR(MATCH(TRUE,INDEX(ISNUMBER('03_Base_Indice'!R46:$U46),0),0)+7,"")</f>
        <v>8</v>
      </c>
      <c r="V46">
        <f>IFERROR(MATCH(TRUE,INDEX(ISNUMBER('03_Base_Indice'!S46:$U46),0),0)+8,"")</f>
        <v>9</v>
      </c>
      <c r="W46">
        <f>IFERROR(MATCH(TRUE,INDEX(ISNUMBER('03_Base_Indice'!T46:$U46),0),0)+9,"")</f>
        <v>10</v>
      </c>
      <c r="X46" t="str">
        <f>IFERROR(MATCH(TRUE,INDEX(ISNUMBER('03_Base_Indice'!U46:$U46),0),0)+10,"")</f>
        <v/>
      </c>
      <c r="Z46">
        <f>IF(B46="","",INDEX('03_Base_Indice'!$K46:$U46,B46))</f>
        <v>29</v>
      </c>
      <c r="AA46">
        <f>IF(C46="","",INDEX('03_Base_Indice'!$K46:$U46,C46))</f>
        <v>29</v>
      </c>
      <c r="AB46">
        <f>IF(D46="","",INDEX('03_Base_Indice'!$K46:$U46,D46))</f>
        <v>29</v>
      </c>
      <c r="AC46">
        <f>IF(E46="","",INDEX('03_Base_Indice'!$K46:$U46,E46))</f>
        <v>29</v>
      </c>
      <c r="AD46">
        <f>IF(F46="","",INDEX('03_Base_Indice'!$K46:$U46,F46))</f>
        <v>29</v>
      </c>
      <c r="AE46">
        <f>IF(G46="","",INDEX('03_Base_Indice'!$K46:$U46,G46))</f>
        <v>30</v>
      </c>
      <c r="AF46">
        <f>IF(H46="","",INDEX('03_Base_Indice'!$K46:$U46,H46))</f>
        <v>31</v>
      </c>
      <c r="AG46">
        <f>IF(I46="","",INDEX('03_Base_Indice'!$K46:$U46,I46))</f>
        <v>31</v>
      </c>
      <c r="AH46">
        <f>IF(J46="","",INDEX('03_Base_Indice'!$K46:$U46,J46))</f>
        <v>32</v>
      </c>
      <c r="AI46">
        <f>IF(K46="","",INDEX('03_Base_Indice'!$K46:$U46,K46))</f>
        <v>33</v>
      </c>
      <c r="AJ46">
        <f>IF(L46="","",INDEX('03_Base_Indice'!$K46:$U46,L46))</f>
        <v>33</v>
      </c>
      <c r="AL46">
        <f>IF(N46="","",INDEX('03_Base_Indice'!$K46:$U46,N46))</f>
        <v>29</v>
      </c>
      <c r="AM46">
        <f>IF(O46="","",INDEX('03_Base_Indice'!$K46:$U46,O46))</f>
        <v>29</v>
      </c>
      <c r="AN46">
        <f>IF(P46="","",INDEX('03_Base_Indice'!$K46:$U46,P46))</f>
        <v>29</v>
      </c>
      <c r="AO46">
        <f>IF(Q46="","",INDEX('03_Base_Indice'!$K46:$U46,Q46))</f>
        <v>29</v>
      </c>
      <c r="AP46">
        <f>IF(R46="","",INDEX('03_Base_Indice'!$K46:$U46,R46))</f>
        <v>29</v>
      </c>
      <c r="AQ46">
        <f>IF(S46="","",INDEX('03_Base_Indice'!$K46:$U46,S46))</f>
        <v>30</v>
      </c>
      <c r="AR46">
        <f>IF(T46="","",INDEX('03_Base_Indice'!$K46:$U46,T46))</f>
        <v>31</v>
      </c>
      <c r="AS46">
        <f>IF(U46="","",INDEX('03_Base_Indice'!$K46:$U46,U46))</f>
        <v>31</v>
      </c>
      <c r="AT46">
        <f>IF(V46="","",INDEX('03_Base_Indice'!$K46:$U46,V46))</f>
        <v>32</v>
      </c>
      <c r="AU46">
        <f>IF(W46="","",INDEX('03_Base_Indice'!$K46:$U46,W46))</f>
        <v>33</v>
      </c>
      <c r="AV46" t="str">
        <f>IF(X46="","",INDEX('03_Base_Indice'!$K46:$U46,X46))</f>
        <v/>
      </c>
      <c r="AX46">
        <f>IF('06_Normalizacao'!K46="",0,'06_Normalizacao'!K46)</f>
        <v>29</v>
      </c>
      <c r="AY46">
        <f>IF('06_Normalizacao'!L46="",0,'06_Normalizacao'!L46)</f>
        <v>29</v>
      </c>
      <c r="AZ46">
        <f>IF('06_Normalizacao'!M46="",0,'06_Normalizacao'!M46)</f>
        <v>29</v>
      </c>
      <c r="BA46">
        <f>IF('06_Normalizacao'!N46="",0,'06_Normalizacao'!N46)</f>
        <v>29</v>
      </c>
      <c r="BB46">
        <f>IF('06_Normalizacao'!O46="",0,'06_Normalizacao'!O46)</f>
        <v>29</v>
      </c>
      <c r="BC46">
        <f>IF('06_Normalizacao'!P46="",0,'06_Normalizacao'!P46)</f>
        <v>30</v>
      </c>
      <c r="BD46">
        <f>IF('06_Normalizacao'!Q46="",0,'06_Normalizacao'!Q46)</f>
        <v>31</v>
      </c>
      <c r="BE46">
        <f>IF('06_Normalizacao'!R46="",0,'06_Normalizacao'!R46)</f>
        <v>31</v>
      </c>
      <c r="BF46">
        <f>IF('06_Normalizacao'!S46="",0,'06_Normalizacao'!S46)</f>
        <v>32</v>
      </c>
      <c r="BG46">
        <f>IF('06_Normalizacao'!T46="",0,'06_Normalizacao'!T46)</f>
        <v>33</v>
      </c>
      <c r="BH46">
        <f>IF('06_Normalizacao'!U46="",0,'06_Normalizacao'!U46)</f>
        <v>33</v>
      </c>
      <c r="BJ46">
        <f>IF('06_Normalizacao'!K46="",0,1)</f>
        <v>1</v>
      </c>
      <c r="BK46">
        <f>IF('06_Normalizacao'!L46="",0,1)</f>
        <v>1</v>
      </c>
      <c r="BL46">
        <f>IF('06_Normalizacao'!M46="",0,1)</f>
        <v>1</v>
      </c>
      <c r="BM46">
        <f>IF('06_Normalizacao'!N46="",0,1)</f>
        <v>1</v>
      </c>
      <c r="BN46">
        <f>IF('06_Normalizacao'!O46="",0,1)</f>
        <v>1</v>
      </c>
      <c r="BO46">
        <f>IF('06_Normalizacao'!P46="",0,1)</f>
        <v>1</v>
      </c>
      <c r="BP46">
        <f>IF('06_Normalizacao'!Q46="",0,1)</f>
        <v>1</v>
      </c>
      <c r="BQ46">
        <f>IF('06_Normalizacao'!R46="",0,1)</f>
        <v>1</v>
      </c>
      <c r="BR46">
        <f>IF('06_Normalizacao'!S46="",0,1)</f>
        <v>1</v>
      </c>
      <c r="BS46">
        <f>IF('06_Normalizacao'!T46="",0,1)</f>
        <v>1</v>
      </c>
      <c r="BT46">
        <f>IF('06_Normalizacao'!U46="",0,1)</f>
        <v>1</v>
      </c>
    </row>
    <row r="47" spans="1:72">
      <c r="A47" s="6" t="str">
        <f>'03_Base_Indice'!D47</f>
        <v>INF001</v>
      </c>
      <c r="B47">
        <f>IFERROR(LOOKUP(2,1/ISNUMBER('03_Base_Indice'!$K47:K47),COLUMN('03_Base_Indice'!$K47:K47)-COLUMN('03_Base_Indice'!$K47)+1),"")</f>
        <v>1</v>
      </c>
      <c r="C47">
        <f>IFERROR(LOOKUP(2,1/ISNUMBER('03_Base_Indice'!$K47:L47),COLUMN('03_Base_Indice'!$K47:L47)-COLUMN('03_Base_Indice'!$K47)+1),"")</f>
        <v>2</v>
      </c>
      <c r="D47">
        <f>IFERROR(LOOKUP(2,1/ISNUMBER('03_Base_Indice'!$K47:M47),COLUMN('03_Base_Indice'!$K47:M47)-COLUMN('03_Base_Indice'!$K47)+1),"")</f>
        <v>3</v>
      </c>
      <c r="E47">
        <f>IFERROR(LOOKUP(2,1/ISNUMBER('03_Base_Indice'!$K47:N47),COLUMN('03_Base_Indice'!$K47:N47)-COLUMN('03_Base_Indice'!$K47)+1),"")</f>
        <v>4</v>
      </c>
      <c r="F47">
        <f>IFERROR(LOOKUP(2,1/ISNUMBER('03_Base_Indice'!$K47:O47),COLUMN('03_Base_Indice'!$K47:O47)-COLUMN('03_Base_Indice'!$K47)+1),"")</f>
        <v>5</v>
      </c>
      <c r="G47">
        <f>IFERROR(LOOKUP(2,1/ISNUMBER('03_Base_Indice'!$K47:P47),COLUMN('03_Base_Indice'!$K47:P47)-COLUMN('03_Base_Indice'!$K47)+1),"")</f>
        <v>6</v>
      </c>
      <c r="H47">
        <f>IFERROR(LOOKUP(2,1/ISNUMBER('03_Base_Indice'!$K47:Q47),COLUMN('03_Base_Indice'!$K47:Q47)-COLUMN('03_Base_Indice'!$K47)+1),"")</f>
        <v>7</v>
      </c>
      <c r="I47">
        <f>IFERROR(LOOKUP(2,1/ISNUMBER('03_Base_Indice'!$K47:R47),COLUMN('03_Base_Indice'!$K47:R47)-COLUMN('03_Base_Indice'!$K47)+1),"")</f>
        <v>8</v>
      </c>
      <c r="J47">
        <f>IFERROR(LOOKUP(2,1/ISNUMBER('03_Base_Indice'!$K47:S47),COLUMN('03_Base_Indice'!$K47:S47)-COLUMN('03_Base_Indice'!$K47)+1),"")</f>
        <v>9</v>
      </c>
      <c r="K47">
        <f>IFERROR(LOOKUP(2,1/ISNUMBER('03_Base_Indice'!$K47:T47),COLUMN('03_Base_Indice'!$K47:T47)-COLUMN('03_Base_Indice'!$K47)+1),"")</f>
        <v>9</v>
      </c>
      <c r="L47">
        <f>IFERROR(LOOKUP(2,1/ISNUMBER('03_Base_Indice'!$K47:U47),COLUMN('03_Base_Indice'!$K47:U47)-COLUMN('03_Base_Indice'!$K47)+1),"")</f>
        <v>9</v>
      </c>
      <c r="N47">
        <f>IFERROR(MATCH(TRUE,INDEX(ISNUMBER('03_Base_Indice'!K47:$U47),0),0)+0,"")</f>
        <v>1</v>
      </c>
      <c r="O47">
        <f>IFERROR(MATCH(TRUE,INDEX(ISNUMBER('03_Base_Indice'!L47:$U47),0),0)+1,"")</f>
        <v>2</v>
      </c>
      <c r="P47">
        <f>IFERROR(MATCH(TRUE,INDEX(ISNUMBER('03_Base_Indice'!M47:$U47),0),0)+2,"")</f>
        <v>3</v>
      </c>
      <c r="Q47">
        <f>IFERROR(MATCH(TRUE,INDEX(ISNUMBER('03_Base_Indice'!N47:$U47),0),0)+3,"")</f>
        <v>4</v>
      </c>
      <c r="R47">
        <f>IFERROR(MATCH(TRUE,INDEX(ISNUMBER('03_Base_Indice'!O47:$U47),0),0)+4,"")</f>
        <v>5</v>
      </c>
      <c r="S47">
        <f>IFERROR(MATCH(TRUE,INDEX(ISNUMBER('03_Base_Indice'!P47:$U47),0),0)+5,"")</f>
        <v>6</v>
      </c>
      <c r="T47">
        <f>IFERROR(MATCH(TRUE,INDEX(ISNUMBER('03_Base_Indice'!Q47:$U47),0),0)+6,"")</f>
        <v>7</v>
      </c>
      <c r="U47">
        <f>IFERROR(MATCH(TRUE,INDEX(ISNUMBER('03_Base_Indice'!R47:$U47),0),0)+7,"")</f>
        <v>8</v>
      </c>
      <c r="V47">
        <f>IFERROR(MATCH(TRUE,INDEX(ISNUMBER('03_Base_Indice'!S47:$U47),0),0)+8,"")</f>
        <v>9</v>
      </c>
      <c r="W47" t="str">
        <f>IFERROR(MATCH(TRUE,INDEX(ISNUMBER('03_Base_Indice'!T47:$U47),0),0)+9,"")</f>
        <v/>
      </c>
      <c r="X47" t="str">
        <f>IFERROR(MATCH(TRUE,INDEX(ISNUMBER('03_Base_Indice'!U47:$U47),0),0)+10,"")</f>
        <v/>
      </c>
      <c r="Z47">
        <f>IF(B47="","",INDEX('03_Base_Indice'!$K47:$U47,B47))</f>
        <v>42</v>
      </c>
      <c r="AA47">
        <f>IF(C47="","",INDEX('03_Base_Indice'!$K47:$U47,C47))</f>
        <v>41.8</v>
      </c>
      <c r="AB47">
        <f>IF(D47="","",INDEX('03_Base_Indice'!$K47:$U47,D47))</f>
        <v>42.9</v>
      </c>
      <c r="AC47">
        <f>IF(E47="","",INDEX('03_Base_Indice'!$K47:$U47,E47))</f>
        <v>45.3</v>
      </c>
      <c r="AD47">
        <f>IF(F47="","",INDEX('03_Base_Indice'!$K47:$U47,F47))</f>
        <v>45.6</v>
      </c>
      <c r="AE47">
        <f>IF(G47="","",INDEX('03_Base_Indice'!$K47:$U47,G47))</f>
        <v>47</v>
      </c>
      <c r="AF47">
        <f>IF(H47="","",INDEX('03_Base_Indice'!$K47:$U47,H47))</f>
        <v>48.2</v>
      </c>
      <c r="AG47">
        <f>IF(I47="","",INDEX('03_Base_Indice'!$K47:$U47,I47))</f>
        <v>48.5</v>
      </c>
      <c r="AH47">
        <f>IF(J47="","",INDEX('03_Base_Indice'!$K47:$U47,J47))</f>
        <v>51.1</v>
      </c>
      <c r="AI47">
        <f>IF(K47="","",INDEX('03_Base_Indice'!$K47:$U47,K47))</f>
        <v>51.1</v>
      </c>
      <c r="AJ47">
        <f>IF(L47="","",INDEX('03_Base_Indice'!$K47:$U47,L47))</f>
        <v>51.1</v>
      </c>
      <c r="AL47">
        <f>IF(N47="","",INDEX('03_Base_Indice'!$K47:$U47,N47))</f>
        <v>42</v>
      </c>
      <c r="AM47">
        <f>IF(O47="","",INDEX('03_Base_Indice'!$K47:$U47,O47))</f>
        <v>41.8</v>
      </c>
      <c r="AN47">
        <f>IF(P47="","",INDEX('03_Base_Indice'!$K47:$U47,P47))</f>
        <v>42.9</v>
      </c>
      <c r="AO47">
        <f>IF(Q47="","",INDEX('03_Base_Indice'!$K47:$U47,Q47))</f>
        <v>45.3</v>
      </c>
      <c r="AP47">
        <f>IF(R47="","",INDEX('03_Base_Indice'!$K47:$U47,R47))</f>
        <v>45.6</v>
      </c>
      <c r="AQ47">
        <f>IF(S47="","",INDEX('03_Base_Indice'!$K47:$U47,S47))</f>
        <v>47</v>
      </c>
      <c r="AR47">
        <f>IF(T47="","",INDEX('03_Base_Indice'!$K47:$U47,T47))</f>
        <v>48.2</v>
      </c>
      <c r="AS47">
        <f>IF(U47="","",INDEX('03_Base_Indice'!$K47:$U47,U47))</f>
        <v>48.5</v>
      </c>
      <c r="AT47">
        <f>IF(V47="","",INDEX('03_Base_Indice'!$K47:$U47,V47))</f>
        <v>51.1</v>
      </c>
      <c r="AU47" t="str">
        <f>IF(W47="","",INDEX('03_Base_Indice'!$K47:$U47,W47))</f>
        <v/>
      </c>
      <c r="AV47" t="str">
        <f>IF(X47="","",INDEX('03_Base_Indice'!$K47:$U47,X47))</f>
        <v/>
      </c>
      <c r="AX47">
        <f>IF('06_Normalizacao'!K47="",0,'06_Normalizacao'!K47)</f>
        <v>42</v>
      </c>
      <c r="AY47">
        <f>IF('06_Normalizacao'!L47="",0,'06_Normalizacao'!L47)</f>
        <v>41.8</v>
      </c>
      <c r="AZ47">
        <f>IF('06_Normalizacao'!M47="",0,'06_Normalizacao'!M47)</f>
        <v>42.9</v>
      </c>
      <c r="BA47">
        <f>IF('06_Normalizacao'!N47="",0,'06_Normalizacao'!N47)</f>
        <v>45.3</v>
      </c>
      <c r="BB47">
        <f>IF('06_Normalizacao'!O47="",0,'06_Normalizacao'!O47)</f>
        <v>45.6</v>
      </c>
      <c r="BC47">
        <f>IF('06_Normalizacao'!P47="",0,'06_Normalizacao'!P47)</f>
        <v>47</v>
      </c>
      <c r="BD47">
        <f>IF('06_Normalizacao'!Q47="",0,'06_Normalizacao'!Q47)</f>
        <v>48.2</v>
      </c>
      <c r="BE47">
        <f>IF('06_Normalizacao'!R47="",0,'06_Normalizacao'!R47)</f>
        <v>48.5</v>
      </c>
      <c r="BF47">
        <f>IF('06_Normalizacao'!S47="",0,'06_Normalizacao'!S47)</f>
        <v>51.1</v>
      </c>
      <c r="BG47">
        <f>IF('06_Normalizacao'!T47="",0,'06_Normalizacao'!T47)</f>
        <v>51.1</v>
      </c>
      <c r="BH47">
        <f>IF('06_Normalizacao'!U47="",0,'06_Normalizacao'!U47)</f>
        <v>51.1</v>
      </c>
      <c r="BJ47">
        <f>IF('06_Normalizacao'!K47="",0,1)</f>
        <v>1</v>
      </c>
      <c r="BK47">
        <f>IF('06_Normalizacao'!L47="",0,1)</f>
        <v>1</v>
      </c>
      <c r="BL47">
        <f>IF('06_Normalizacao'!M47="",0,1)</f>
        <v>1</v>
      </c>
      <c r="BM47">
        <f>IF('06_Normalizacao'!N47="",0,1)</f>
        <v>1</v>
      </c>
      <c r="BN47">
        <f>IF('06_Normalizacao'!O47="",0,1)</f>
        <v>1</v>
      </c>
      <c r="BO47">
        <f>IF('06_Normalizacao'!P47="",0,1)</f>
        <v>1</v>
      </c>
      <c r="BP47">
        <f>IF('06_Normalizacao'!Q47="",0,1)</f>
        <v>1</v>
      </c>
      <c r="BQ47">
        <f>IF('06_Normalizacao'!R47="",0,1)</f>
        <v>1</v>
      </c>
      <c r="BR47">
        <f>IF('06_Normalizacao'!S47="",0,1)</f>
        <v>1</v>
      </c>
      <c r="BS47">
        <f>IF('06_Normalizacao'!T47="",0,1)</f>
        <v>1</v>
      </c>
      <c r="BT47">
        <f>IF('06_Normalizacao'!U47="",0,1)</f>
        <v>1</v>
      </c>
    </row>
    <row r="48" spans="1:72">
      <c r="A48" s="6" t="str">
        <f>'03_Base_Indice'!D48</f>
        <v>INF05</v>
      </c>
      <c r="B48">
        <f>IFERROR(LOOKUP(2,1/ISNUMBER('03_Base_Indice'!$K48:K48),COLUMN('03_Base_Indice'!$K48:K48)-COLUMN('03_Base_Indice'!$K48)+1),"")</f>
        <v>1</v>
      </c>
      <c r="C48">
        <f>IFERROR(LOOKUP(2,1/ISNUMBER('03_Base_Indice'!$K48:L48),COLUMN('03_Base_Indice'!$K48:L48)-COLUMN('03_Base_Indice'!$K48)+1),"")</f>
        <v>2</v>
      </c>
      <c r="D48">
        <f>IFERROR(LOOKUP(2,1/ISNUMBER('03_Base_Indice'!$K48:M48),COLUMN('03_Base_Indice'!$K48:M48)-COLUMN('03_Base_Indice'!$K48)+1),"")</f>
        <v>3</v>
      </c>
      <c r="E48">
        <f>IFERROR(LOOKUP(2,1/ISNUMBER('03_Base_Indice'!$K48:N48),COLUMN('03_Base_Indice'!$K48:N48)-COLUMN('03_Base_Indice'!$K48)+1),"")</f>
        <v>4</v>
      </c>
      <c r="F48">
        <f>IFERROR(LOOKUP(2,1/ISNUMBER('03_Base_Indice'!$K48:O48),COLUMN('03_Base_Indice'!$K48:O48)-COLUMN('03_Base_Indice'!$K48)+1),"")</f>
        <v>5</v>
      </c>
      <c r="G48">
        <f>IFERROR(LOOKUP(2,1/ISNUMBER('03_Base_Indice'!$K48:P48),COLUMN('03_Base_Indice'!$K48:P48)-COLUMN('03_Base_Indice'!$K48)+1),"")</f>
        <v>6</v>
      </c>
      <c r="H48">
        <f>IFERROR(LOOKUP(2,1/ISNUMBER('03_Base_Indice'!$K48:Q48),COLUMN('03_Base_Indice'!$K48:Q48)-COLUMN('03_Base_Indice'!$K48)+1),"")</f>
        <v>7</v>
      </c>
      <c r="I48">
        <f>IFERROR(LOOKUP(2,1/ISNUMBER('03_Base_Indice'!$K48:R48),COLUMN('03_Base_Indice'!$K48:R48)-COLUMN('03_Base_Indice'!$K48)+1),"")</f>
        <v>8</v>
      </c>
      <c r="J48">
        <f>IFERROR(LOOKUP(2,1/ISNUMBER('03_Base_Indice'!$K48:S48),COLUMN('03_Base_Indice'!$K48:S48)-COLUMN('03_Base_Indice'!$K48)+1),"")</f>
        <v>9</v>
      </c>
      <c r="K48">
        <f>IFERROR(LOOKUP(2,1/ISNUMBER('03_Base_Indice'!$K48:T48),COLUMN('03_Base_Indice'!$K48:T48)-COLUMN('03_Base_Indice'!$K48)+1),"")</f>
        <v>9</v>
      </c>
      <c r="L48">
        <f>IFERROR(LOOKUP(2,1/ISNUMBER('03_Base_Indice'!$K48:U48),COLUMN('03_Base_Indice'!$K48:U48)-COLUMN('03_Base_Indice'!$K48)+1),"")</f>
        <v>9</v>
      </c>
      <c r="N48">
        <f>IFERROR(MATCH(TRUE,INDEX(ISNUMBER('03_Base_Indice'!K48:$U48),0),0)+0,"")</f>
        <v>1</v>
      </c>
      <c r="O48">
        <f>IFERROR(MATCH(TRUE,INDEX(ISNUMBER('03_Base_Indice'!L48:$U48),0),0)+1,"")</f>
        <v>2</v>
      </c>
      <c r="P48">
        <f>IFERROR(MATCH(TRUE,INDEX(ISNUMBER('03_Base_Indice'!M48:$U48),0),0)+2,"")</f>
        <v>3</v>
      </c>
      <c r="Q48">
        <f>IFERROR(MATCH(TRUE,INDEX(ISNUMBER('03_Base_Indice'!N48:$U48),0),0)+3,"")</f>
        <v>4</v>
      </c>
      <c r="R48">
        <f>IFERROR(MATCH(TRUE,INDEX(ISNUMBER('03_Base_Indice'!O48:$U48),0),0)+4,"")</f>
        <v>5</v>
      </c>
      <c r="S48">
        <f>IFERROR(MATCH(TRUE,INDEX(ISNUMBER('03_Base_Indice'!P48:$U48),0),0)+5,"")</f>
        <v>6</v>
      </c>
      <c r="T48">
        <f>IFERROR(MATCH(TRUE,INDEX(ISNUMBER('03_Base_Indice'!Q48:$U48),0),0)+6,"")</f>
        <v>7</v>
      </c>
      <c r="U48">
        <f>IFERROR(MATCH(TRUE,INDEX(ISNUMBER('03_Base_Indice'!R48:$U48),0),0)+7,"")</f>
        <v>8</v>
      </c>
      <c r="V48">
        <f>IFERROR(MATCH(TRUE,INDEX(ISNUMBER('03_Base_Indice'!S48:$U48),0),0)+8,"")</f>
        <v>9</v>
      </c>
      <c r="W48" t="str">
        <f>IFERROR(MATCH(TRUE,INDEX(ISNUMBER('03_Base_Indice'!T48:$U48),0),0)+9,"")</f>
        <v/>
      </c>
      <c r="X48" t="str">
        <f>IFERROR(MATCH(TRUE,INDEX(ISNUMBER('03_Base_Indice'!U48:$U48),0),0)+10,"")</f>
        <v/>
      </c>
      <c r="Z48">
        <f>IF(B48="","",INDEX('03_Base_Indice'!$K48:$U48,B48))</f>
        <v>47</v>
      </c>
      <c r="AA48">
        <f>IF(C48="","",INDEX('03_Base_Indice'!$K48:$U48,C48))</f>
        <v>48</v>
      </c>
      <c r="AB48">
        <f>IF(D48="","",INDEX('03_Base_Indice'!$K48:$U48,D48))</f>
        <v>48.2</v>
      </c>
      <c r="AC48">
        <f>IF(E48="","",INDEX('03_Base_Indice'!$K48:$U48,E48))</f>
        <v>48.8</v>
      </c>
      <c r="AD48">
        <f>IF(F48="","",INDEX('03_Base_Indice'!$K48:$U48,F48))</f>
        <v>49.2</v>
      </c>
      <c r="AE48">
        <f>IF(G48="","",INDEX('03_Base_Indice'!$K48:$U48,G48))</f>
        <v>49.4</v>
      </c>
      <c r="AF48">
        <f>IF(H48="","",INDEX('03_Base_Indice'!$K48:$U48,H48))</f>
        <v>49.8</v>
      </c>
      <c r="AG48">
        <f>IF(I48="","",INDEX('03_Base_Indice'!$K48:$U48,I48))</f>
        <v>50</v>
      </c>
      <c r="AH48">
        <f>IF(J48="","",INDEX('03_Base_Indice'!$K48:$U48,J48))</f>
        <v>50.2</v>
      </c>
      <c r="AI48">
        <f>IF(K48="","",INDEX('03_Base_Indice'!$K48:$U48,K48))</f>
        <v>50.2</v>
      </c>
      <c r="AJ48">
        <f>IF(L48="","",INDEX('03_Base_Indice'!$K48:$U48,L48))</f>
        <v>50.2</v>
      </c>
      <c r="AL48">
        <f>IF(N48="","",INDEX('03_Base_Indice'!$K48:$U48,N48))</f>
        <v>47</v>
      </c>
      <c r="AM48">
        <f>IF(O48="","",INDEX('03_Base_Indice'!$K48:$U48,O48))</f>
        <v>48</v>
      </c>
      <c r="AN48">
        <f>IF(P48="","",INDEX('03_Base_Indice'!$K48:$U48,P48))</f>
        <v>48.2</v>
      </c>
      <c r="AO48">
        <f>IF(Q48="","",INDEX('03_Base_Indice'!$K48:$U48,Q48))</f>
        <v>48.8</v>
      </c>
      <c r="AP48">
        <f>IF(R48="","",INDEX('03_Base_Indice'!$K48:$U48,R48))</f>
        <v>49.2</v>
      </c>
      <c r="AQ48">
        <f>IF(S48="","",INDEX('03_Base_Indice'!$K48:$U48,S48))</f>
        <v>49.4</v>
      </c>
      <c r="AR48">
        <f>IF(T48="","",INDEX('03_Base_Indice'!$K48:$U48,T48))</f>
        <v>49.8</v>
      </c>
      <c r="AS48">
        <f>IF(U48="","",INDEX('03_Base_Indice'!$K48:$U48,U48))</f>
        <v>50</v>
      </c>
      <c r="AT48">
        <f>IF(V48="","",INDEX('03_Base_Indice'!$K48:$U48,V48))</f>
        <v>50.2</v>
      </c>
      <c r="AU48" t="str">
        <f>IF(W48="","",INDEX('03_Base_Indice'!$K48:$U48,W48))</f>
        <v/>
      </c>
      <c r="AV48" t="str">
        <f>IF(X48="","",INDEX('03_Base_Indice'!$K48:$U48,X48))</f>
        <v/>
      </c>
      <c r="AX48">
        <f>IF('06_Normalizacao'!K48="",0,'06_Normalizacao'!K48)</f>
        <v>47</v>
      </c>
      <c r="AY48">
        <f>IF('06_Normalizacao'!L48="",0,'06_Normalizacao'!L48)</f>
        <v>48</v>
      </c>
      <c r="AZ48">
        <f>IF('06_Normalizacao'!M48="",0,'06_Normalizacao'!M48)</f>
        <v>48.2</v>
      </c>
      <c r="BA48">
        <f>IF('06_Normalizacao'!N48="",0,'06_Normalizacao'!N48)</f>
        <v>48.8</v>
      </c>
      <c r="BB48">
        <f>IF('06_Normalizacao'!O48="",0,'06_Normalizacao'!O48)</f>
        <v>49.2</v>
      </c>
      <c r="BC48">
        <f>IF('06_Normalizacao'!P48="",0,'06_Normalizacao'!P48)</f>
        <v>49.4</v>
      </c>
      <c r="BD48">
        <f>IF('06_Normalizacao'!Q48="",0,'06_Normalizacao'!Q48)</f>
        <v>49.8</v>
      </c>
      <c r="BE48">
        <f>IF('06_Normalizacao'!R48="",0,'06_Normalizacao'!R48)</f>
        <v>50</v>
      </c>
      <c r="BF48">
        <f>IF('06_Normalizacao'!S48="",0,'06_Normalizacao'!S48)</f>
        <v>50.2</v>
      </c>
      <c r="BG48">
        <f>IF('06_Normalizacao'!T48="",0,'06_Normalizacao'!T48)</f>
        <v>50.2</v>
      </c>
      <c r="BH48">
        <f>IF('06_Normalizacao'!U48="",0,'06_Normalizacao'!U48)</f>
        <v>50.2</v>
      </c>
      <c r="BJ48">
        <f>IF('06_Normalizacao'!K48="",0,1)</f>
        <v>1</v>
      </c>
      <c r="BK48">
        <f>IF('06_Normalizacao'!L48="",0,1)</f>
        <v>1</v>
      </c>
      <c r="BL48">
        <f>IF('06_Normalizacao'!M48="",0,1)</f>
        <v>1</v>
      </c>
      <c r="BM48">
        <f>IF('06_Normalizacao'!N48="",0,1)</f>
        <v>1</v>
      </c>
      <c r="BN48">
        <f>IF('06_Normalizacao'!O48="",0,1)</f>
        <v>1</v>
      </c>
      <c r="BO48">
        <f>IF('06_Normalizacao'!P48="",0,1)</f>
        <v>1</v>
      </c>
      <c r="BP48">
        <f>IF('06_Normalizacao'!Q48="",0,1)</f>
        <v>1</v>
      </c>
      <c r="BQ48">
        <f>IF('06_Normalizacao'!R48="",0,1)</f>
        <v>1</v>
      </c>
      <c r="BR48">
        <f>IF('06_Normalizacao'!S48="",0,1)</f>
        <v>1</v>
      </c>
      <c r="BS48">
        <f>IF('06_Normalizacao'!T48="",0,1)</f>
        <v>1</v>
      </c>
      <c r="BT48">
        <f>IF('06_Normalizacao'!U48="",0,1)</f>
        <v>1</v>
      </c>
    </row>
    <row r="49" spans="1:72">
      <c r="A49" s="6" t="str">
        <f>'03_Base_Indice'!D49</f>
        <v>INF024</v>
      </c>
      <c r="B49">
        <f>IFERROR(LOOKUP(2,1/ISNUMBER('03_Base_Indice'!$K49:K49),COLUMN('03_Base_Indice'!$K49:K49)-COLUMN('03_Base_Indice'!$K49)+1),"")</f>
        <v>1</v>
      </c>
      <c r="C49">
        <f>IFERROR(LOOKUP(2,1/ISNUMBER('03_Base_Indice'!$K49:L49),COLUMN('03_Base_Indice'!$K49:L49)-COLUMN('03_Base_Indice'!$K49)+1),"")</f>
        <v>2</v>
      </c>
      <c r="D49">
        <f>IFERROR(LOOKUP(2,1/ISNUMBER('03_Base_Indice'!$K49:M49),COLUMN('03_Base_Indice'!$K49:M49)-COLUMN('03_Base_Indice'!$K49)+1),"")</f>
        <v>3</v>
      </c>
      <c r="E49">
        <f>IFERROR(LOOKUP(2,1/ISNUMBER('03_Base_Indice'!$K49:N49),COLUMN('03_Base_Indice'!$K49:N49)-COLUMN('03_Base_Indice'!$K49)+1),"")</f>
        <v>4</v>
      </c>
      <c r="F49">
        <f>IFERROR(LOOKUP(2,1/ISNUMBER('03_Base_Indice'!$K49:O49),COLUMN('03_Base_Indice'!$K49:O49)-COLUMN('03_Base_Indice'!$K49)+1),"")</f>
        <v>5</v>
      </c>
      <c r="G49">
        <f>IFERROR(LOOKUP(2,1/ISNUMBER('03_Base_Indice'!$K49:P49),COLUMN('03_Base_Indice'!$K49:P49)-COLUMN('03_Base_Indice'!$K49)+1),"")</f>
        <v>6</v>
      </c>
      <c r="H49">
        <f>IFERROR(LOOKUP(2,1/ISNUMBER('03_Base_Indice'!$K49:Q49),COLUMN('03_Base_Indice'!$K49:Q49)-COLUMN('03_Base_Indice'!$K49)+1),"")</f>
        <v>7</v>
      </c>
      <c r="I49">
        <f>IFERROR(LOOKUP(2,1/ISNUMBER('03_Base_Indice'!$K49:R49),COLUMN('03_Base_Indice'!$K49:R49)-COLUMN('03_Base_Indice'!$K49)+1),"")</f>
        <v>8</v>
      </c>
      <c r="J49">
        <f>IFERROR(LOOKUP(2,1/ISNUMBER('03_Base_Indice'!$K49:S49),COLUMN('03_Base_Indice'!$K49:S49)-COLUMN('03_Base_Indice'!$K49)+1),"")</f>
        <v>9</v>
      </c>
      <c r="K49">
        <f>IFERROR(LOOKUP(2,1/ISNUMBER('03_Base_Indice'!$K49:T49),COLUMN('03_Base_Indice'!$K49:T49)-COLUMN('03_Base_Indice'!$K49)+1),"")</f>
        <v>10</v>
      </c>
      <c r="L49">
        <f>IFERROR(LOOKUP(2,1/ISNUMBER('03_Base_Indice'!$K49:U49),COLUMN('03_Base_Indice'!$K49:U49)-COLUMN('03_Base_Indice'!$K49)+1),"")</f>
        <v>10</v>
      </c>
      <c r="N49">
        <f>IFERROR(MATCH(TRUE,INDEX(ISNUMBER('03_Base_Indice'!K49:$U49),0),0)+0,"")</f>
        <v>1</v>
      </c>
      <c r="O49">
        <f>IFERROR(MATCH(TRUE,INDEX(ISNUMBER('03_Base_Indice'!L49:$U49),0),0)+1,"")</f>
        <v>2</v>
      </c>
      <c r="P49">
        <f>IFERROR(MATCH(TRUE,INDEX(ISNUMBER('03_Base_Indice'!M49:$U49),0),0)+2,"")</f>
        <v>3</v>
      </c>
      <c r="Q49">
        <f>IFERROR(MATCH(TRUE,INDEX(ISNUMBER('03_Base_Indice'!N49:$U49),0),0)+3,"")</f>
        <v>4</v>
      </c>
      <c r="R49">
        <f>IFERROR(MATCH(TRUE,INDEX(ISNUMBER('03_Base_Indice'!O49:$U49),0),0)+4,"")</f>
        <v>5</v>
      </c>
      <c r="S49">
        <f>IFERROR(MATCH(TRUE,INDEX(ISNUMBER('03_Base_Indice'!P49:$U49),0),0)+5,"")</f>
        <v>6</v>
      </c>
      <c r="T49">
        <f>IFERROR(MATCH(TRUE,INDEX(ISNUMBER('03_Base_Indice'!Q49:$U49),0),0)+6,"")</f>
        <v>7</v>
      </c>
      <c r="U49">
        <f>IFERROR(MATCH(TRUE,INDEX(ISNUMBER('03_Base_Indice'!R49:$U49),0),0)+7,"")</f>
        <v>8</v>
      </c>
      <c r="V49">
        <f>IFERROR(MATCH(TRUE,INDEX(ISNUMBER('03_Base_Indice'!S49:$U49),0),0)+8,"")</f>
        <v>9</v>
      </c>
      <c r="W49">
        <f>IFERROR(MATCH(TRUE,INDEX(ISNUMBER('03_Base_Indice'!T49:$U49),0),0)+9,"")</f>
        <v>10</v>
      </c>
      <c r="X49" t="str">
        <f>IFERROR(MATCH(TRUE,INDEX(ISNUMBER('03_Base_Indice'!U49:$U49),0),0)+10,"")</f>
        <v/>
      </c>
      <c r="Z49">
        <f>IF(B49="","",INDEX('03_Base_Indice'!$K49:$U49,B49))</f>
        <v>814965</v>
      </c>
      <c r="AA49">
        <f>IF(C49="","",INDEX('03_Base_Indice'!$K49:$U49,C49))</f>
        <v>572298</v>
      </c>
      <c r="AB49">
        <f>IF(D49="","",INDEX('03_Base_Indice'!$K49:$U49,D49))</f>
        <v>735431</v>
      </c>
      <c r="AC49">
        <f>IF(E49="","",INDEX('03_Base_Indice'!$K49:$U49,E49))</f>
        <v>618238</v>
      </c>
      <c r="AD49">
        <f>IF(F49="","",INDEX('03_Base_Indice'!$K49:$U49,F49))</f>
        <v>700123</v>
      </c>
      <c r="AE49">
        <f>IF(G49="","",INDEX('03_Base_Indice'!$K49:$U49,G49))</f>
        <v>590128</v>
      </c>
      <c r="AF49">
        <f>IF(H49="","",INDEX('03_Base_Indice'!$K49:$U49,H49))</f>
        <v>628348</v>
      </c>
      <c r="AG49">
        <f>IF(I49="","",INDEX('03_Base_Indice'!$K49:$U49,I49))</f>
        <v>678333</v>
      </c>
      <c r="AH49">
        <f>IF(J49="","",INDEX('03_Base_Indice'!$K49:$U49,J49))</f>
        <v>662054</v>
      </c>
      <c r="AI49">
        <f>IF(K49="","",INDEX('03_Base_Indice'!$K49:$U49,K49))</f>
        <v>709221</v>
      </c>
      <c r="AJ49">
        <f>IF(L49="","",INDEX('03_Base_Indice'!$K49:$U49,L49))</f>
        <v>709221</v>
      </c>
      <c r="AL49">
        <f>IF(N49="","",INDEX('03_Base_Indice'!$K49:$U49,N49))</f>
        <v>814965</v>
      </c>
      <c r="AM49">
        <f>IF(O49="","",INDEX('03_Base_Indice'!$K49:$U49,O49))</f>
        <v>572298</v>
      </c>
      <c r="AN49">
        <f>IF(P49="","",INDEX('03_Base_Indice'!$K49:$U49,P49))</f>
        <v>735431</v>
      </c>
      <c r="AO49">
        <f>IF(Q49="","",INDEX('03_Base_Indice'!$K49:$U49,Q49))</f>
        <v>618238</v>
      </c>
      <c r="AP49">
        <f>IF(R49="","",INDEX('03_Base_Indice'!$K49:$U49,R49))</f>
        <v>700123</v>
      </c>
      <c r="AQ49">
        <f>IF(S49="","",INDEX('03_Base_Indice'!$K49:$U49,S49))</f>
        <v>590128</v>
      </c>
      <c r="AR49">
        <f>IF(T49="","",INDEX('03_Base_Indice'!$K49:$U49,T49))</f>
        <v>628348</v>
      </c>
      <c r="AS49">
        <f>IF(U49="","",INDEX('03_Base_Indice'!$K49:$U49,U49))</f>
        <v>678333</v>
      </c>
      <c r="AT49">
        <f>IF(V49="","",INDEX('03_Base_Indice'!$K49:$U49,V49))</f>
        <v>662054</v>
      </c>
      <c r="AU49">
        <f>IF(W49="","",INDEX('03_Base_Indice'!$K49:$U49,W49))</f>
        <v>709221</v>
      </c>
      <c r="AV49" t="str">
        <f>IF(X49="","",INDEX('03_Base_Indice'!$K49:$U49,X49))</f>
        <v/>
      </c>
      <c r="AX49">
        <f>IF('06_Normalizacao'!K49="",0,'06_Normalizacao'!K49)</f>
        <v>53.328148148148145</v>
      </c>
      <c r="AY49">
        <f>IF('06_Normalizacao'!L49="",0,'06_Normalizacao'!L49)</f>
        <v>17.377481481481482</v>
      </c>
      <c r="AZ49">
        <f>IF('06_Normalizacao'!M49="",0,'06_Normalizacao'!M49)</f>
        <v>41.545333333333332</v>
      </c>
      <c r="BA49">
        <f>IF('06_Normalizacao'!N49="",0,'06_Normalizacao'!N49)</f>
        <v>24.183407407407408</v>
      </c>
      <c r="BB49">
        <f>IF('06_Normalizacao'!O49="",0,'06_Normalizacao'!O49)</f>
        <v>36.314518518518518</v>
      </c>
      <c r="BC49">
        <f>IF('06_Normalizacao'!P49="",0,'06_Normalizacao'!P49)</f>
        <v>20.018962962962963</v>
      </c>
      <c r="BD49">
        <f>IF('06_Normalizacao'!Q49="",0,'06_Normalizacao'!Q49)</f>
        <v>25.681185185185186</v>
      </c>
      <c r="BE49">
        <f>IF('06_Normalizacao'!R49="",0,'06_Normalizacao'!R49)</f>
        <v>33.086370370370368</v>
      </c>
      <c r="BF49">
        <f>IF('06_Normalizacao'!S49="",0,'06_Normalizacao'!S49)</f>
        <v>30.674666666666667</v>
      </c>
      <c r="BG49">
        <f>IF('06_Normalizacao'!T49="",0,'06_Normalizacao'!T49)</f>
        <v>37.662370370370368</v>
      </c>
      <c r="BH49">
        <f>IF('06_Normalizacao'!U49="",0,'06_Normalizacao'!U49)</f>
        <v>37.662370370370368</v>
      </c>
      <c r="BJ49">
        <f>IF('06_Normalizacao'!K49="",0,1)</f>
        <v>1</v>
      </c>
      <c r="BK49">
        <f>IF('06_Normalizacao'!L49="",0,1)</f>
        <v>1</v>
      </c>
      <c r="BL49">
        <f>IF('06_Normalizacao'!M49="",0,1)</f>
        <v>1</v>
      </c>
      <c r="BM49">
        <f>IF('06_Normalizacao'!N49="",0,1)</f>
        <v>1</v>
      </c>
      <c r="BN49">
        <f>IF('06_Normalizacao'!O49="",0,1)</f>
        <v>1</v>
      </c>
      <c r="BO49">
        <f>IF('06_Normalizacao'!P49="",0,1)</f>
        <v>1</v>
      </c>
      <c r="BP49">
        <f>IF('06_Normalizacao'!Q49="",0,1)</f>
        <v>1</v>
      </c>
      <c r="BQ49">
        <f>IF('06_Normalizacao'!R49="",0,1)</f>
        <v>1</v>
      </c>
      <c r="BR49">
        <f>IF('06_Normalizacao'!S49="",0,1)</f>
        <v>1</v>
      </c>
      <c r="BS49">
        <f>IF('06_Normalizacao'!T49="",0,1)</f>
        <v>1</v>
      </c>
      <c r="BT49">
        <f>IF('06_Normalizacao'!U49="",0,1)</f>
        <v>1</v>
      </c>
    </row>
    <row r="50" spans="1:72">
      <c r="A50" s="6" t="str">
        <f>'03_Base_Indice'!D50</f>
        <v/>
      </c>
      <c r="B50" t="str">
        <f>IFERROR(LOOKUP(2,1/ISNUMBER('03_Base_Indice'!$K50:K50),COLUMN('03_Base_Indice'!$K50:K50)-COLUMN('03_Base_Indice'!$K50)+1),"")</f>
        <v/>
      </c>
      <c r="C50" t="str">
        <f>IFERROR(LOOKUP(2,1/ISNUMBER('03_Base_Indice'!$K50:L50),COLUMN('03_Base_Indice'!$K50:L50)-COLUMN('03_Base_Indice'!$K50)+1),"")</f>
        <v/>
      </c>
      <c r="D50" t="str">
        <f>IFERROR(LOOKUP(2,1/ISNUMBER('03_Base_Indice'!$K50:M50),COLUMN('03_Base_Indice'!$K50:M50)-COLUMN('03_Base_Indice'!$K50)+1),"")</f>
        <v/>
      </c>
      <c r="E50" t="str">
        <f>IFERROR(LOOKUP(2,1/ISNUMBER('03_Base_Indice'!$K50:N50),COLUMN('03_Base_Indice'!$K50:N50)-COLUMN('03_Base_Indice'!$K50)+1),"")</f>
        <v/>
      </c>
      <c r="F50" t="str">
        <f>IFERROR(LOOKUP(2,1/ISNUMBER('03_Base_Indice'!$K50:O50),COLUMN('03_Base_Indice'!$K50:O50)-COLUMN('03_Base_Indice'!$K50)+1),"")</f>
        <v/>
      </c>
      <c r="G50" t="str">
        <f>IFERROR(LOOKUP(2,1/ISNUMBER('03_Base_Indice'!$K50:P50),COLUMN('03_Base_Indice'!$K50:P50)-COLUMN('03_Base_Indice'!$K50)+1),"")</f>
        <v/>
      </c>
      <c r="H50" t="str">
        <f>IFERROR(LOOKUP(2,1/ISNUMBER('03_Base_Indice'!$K50:Q50),COLUMN('03_Base_Indice'!$K50:Q50)-COLUMN('03_Base_Indice'!$K50)+1),"")</f>
        <v/>
      </c>
      <c r="I50" t="str">
        <f>IFERROR(LOOKUP(2,1/ISNUMBER('03_Base_Indice'!$K50:R50),COLUMN('03_Base_Indice'!$K50:R50)-COLUMN('03_Base_Indice'!$K50)+1),"")</f>
        <v/>
      </c>
      <c r="J50" t="str">
        <f>IFERROR(LOOKUP(2,1/ISNUMBER('03_Base_Indice'!$K50:S50),COLUMN('03_Base_Indice'!$K50:S50)-COLUMN('03_Base_Indice'!$K50)+1),"")</f>
        <v/>
      </c>
      <c r="K50" t="str">
        <f>IFERROR(LOOKUP(2,1/ISNUMBER('03_Base_Indice'!$K50:T50),COLUMN('03_Base_Indice'!$K50:T50)-COLUMN('03_Base_Indice'!$K50)+1),"")</f>
        <v/>
      </c>
      <c r="L50" t="str">
        <f>IFERROR(LOOKUP(2,1/ISNUMBER('03_Base_Indice'!$K50:U50),COLUMN('03_Base_Indice'!$K50:U50)-COLUMN('03_Base_Indice'!$K50)+1),"")</f>
        <v/>
      </c>
      <c r="N50" t="str">
        <f>IFERROR(MATCH(TRUE,INDEX(ISNUMBER('03_Base_Indice'!K50:$U50),0),0)+0,"")</f>
        <v/>
      </c>
      <c r="O50" t="str">
        <f>IFERROR(MATCH(TRUE,INDEX(ISNUMBER('03_Base_Indice'!L50:$U50),0),0)+1,"")</f>
        <v/>
      </c>
      <c r="P50" t="str">
        <f>IFERROR(MATCH(TRUE,INDEX(ISNUMBER('03_Base_Indice'!M50:$U50),0),0)+2,"")</f>
        <v/>
      </c>
      <c r="Q50" t="str">
        <f>IFERROR(MATCH(TRUE,INDEX(ISNUMBER('03_Base_Indice'!N50:$U50),0),0)+3,"")</f>
        <v/>
      </c>
      <c r="R50" t="str">
        <f>IFERROR(MATCH(TRUE,INDEX(ISNUMBER('03_Base_Indice'!O50:$U50),0),0)+4,"")</f>
        <v/>
      </c>
      <c r="S50" t="str">
        <f>IFERROR(MATCH(TRUE,INDEX(ISNUMBER('03_Base_Indice'!P50:$U50),0),0)+5,"")</f>
        <v/>
      </c>
      <c r="T50" t="str">
        <f>IFERROR(MATCH(TRUE,INDEX(ISNUMBER('03_Base_Indice'!Q50:$U50),0),0)+6,"")</f>
        <v/>
      </c>
      <c r="U50" t="str">
        <f>IFERROR(MATCH(TRUE,INDEX(ISNUMBER('03_Base_Indice'!R50:$U50),0),0)+7,"")</f>
        <v/>
      </c>
      <c r="V50" t="str">
        <f>IFERROR(MATCH(TRUE,INDEX(ISNUMBER('03_Base_Indice'!S50:$U50),0),0)+8,"")</f>
        <v/>
      </c>
      <c r="W50" t="str">
        <f>IFERROR(MATCH(TRUE,INDEX(ISNUMBER('03_Base_Indice'!T50:$U50),0),0)+9,"")</f>
        <v/>
      </c>
      <c r="X50" t="str">
        <f>IFERROR(MATCH(TRUE,INDEX(ISNUMBER('03_Base_Indice'!U50:$U50),0),0)+10,"")</f>
        <v/>
      </c>
      <c r="Z50" t="str">
        <f>IF(B50="","",INDEX('03_Base_Indice'!$K50:$U50,B50))</f>
        <v/>
      </c>
      <c r="AA50" t="str">
        <f>IF(C50="","",INDEX('03_Base_Indice'!$K50:$U50,C50))</f>
        <v/>
      </c>
      <c r="AB50" t="str">
        <f>IF(D50="","",INDEX('03_Base_Indice'!$K50:$U50,D50))</f>
        <v/>
      </c>
      <c r="AC50" t="str">
        <f>IF(E50="","",INDEX('03_Base_Indice'!$K50:$U50,E50))</f>
        <v/>
      </c>
      <c r="AD50" t="str">
        <f>IF(F50="","",INDEX('03_Base_Indice'!$K50:$U50,F50))</f>
        <v/>
      </c>
      <c r="AE50" t="str">
        <f>IF(G50="","",INDEX('03_Base_Indice'!$K50:$U50,G50))</f>
        <v/>
      </c>
      <c r="AF50" t="str">
        <f>IF(H50="","",INDEX('03_Base_Indice'!$K50:$U50,H50))</f>
        <v/>
      </c>
      <c r="AG50" t="str">
        <f>IF(I50="","",INDEX('03_Base_Indice'!$K50:$U50,I50))</f>
        <v/>
      </c>
      <c r="AH50" t="str">
        <f>IF(J50="","",INDEX('03_Base_Indice'!$K50:$U50,J50))</f>
        <v/>
      </c>
      <c r="AI50" t="str">
        <f>IF(K50="","",INDEX('03_Base_Indice'!$K50:$U50,K50))</f>
        <v/>
      </c>
      <c r="AJ50" t="str">
        <f>IF(L50="","",INDEX('03_Base_Indice'!$K50:$U50,L50))</f>
        <v/>
      </c>
      <c r="AL50" t="str">
        <f>IF(N50="","",INDEX('03_Base_Indice'!$K50:$U50,N50))</f>
        <v/>
      </c>
      <c r="AM50" t="str">
        <f>IF(O50="","",INDEX('03_Base_Indice'!$K50:$U50,O50))</f>
        <v/>
      </c>
      <c r="AN50" t="str">
        <f>IF(P50="","",INDEX('03_Base_Indice'!$K50:$U50,P50))</f>
        <v/>
      </c>
      <c r="AO50" t="str">
        <f>IF(Q50="","",INDEX('03_Base_Indice'!$K50:$U50,Q50))</f>
        <v/>
      </c>
      <c r="AP50" t="str">
        <f>IF(R50="","",INDEX('03_Base_Indice'!$K50:$U50,R50))</f>
        <v/>
      </c>
      <c r="AQ50" t="str">
        <f>IF(S50="","",INDEX('03_Base_Indice'!$K50:$U50,S50))</f>
        <v/>
      </c>
      <c r="AR50" t="str">
        <f>IF(T50="","",INDEX('03_Base_Indice'!$K50:$U50,T50))</f>
        <v/>
      </c>
      <c r="AS50" t="str">
        <f>IF(U50="","",INDEX('03_Base_Indice'!$K50:$U50,U50))</f>
        <v/>
      </c>
      <c r="AT50" t="str">
        <f>IF(V50="","",INDEX('03_Base_Indice'!$K50:$U50,V50))</f>
        <v/>
      </c>
      <c r="AU50" t="str">
        <f>IF(W50="","",INDEX('03_Base_Indice'!$K50:$U50,W50))</f>
        <v/>
      </c>
      <c r="AV50" t="str">
        <f>IF(X50="","",INDEX('03_Base_Indice'!$K50:$U50,X50))</f>
        <v/>
      </c>
      <c r="AX50">
        <f>IF('06_Normalizacao'!K50="",0,'06_Normalizacao'!K50)</f>
        <v>0</v>
      </c>
      <c r="AY50">
        <f>IF('06_Normalizacao'!L50="",0,'06_Normalizacao'!L50)</f>
        <v>0</v>
      </c>
      <c r="AZ50">
        <f>IF('06_Normalizacao'!M50="",0,'06_Normalizacao'!M50)</f>
        <v>0</v>
      </c>
      <c r="BA50">
        <f>IF('06_Normalizacao'!N50="",0,'06_Normalizacao'!N50)</f>
        <v>0</v>
      </c>
      <c r="BB50">
        <f>IF('06_Normalizacao'!O50="",0,'06_Normalizacao'!O50)</f>
        <v>0</v>
      </c>
      <c r="BC50">
        <f>IF('06_Normalizacao'!P50="",0,'06_Normalizacao'!P50)</f>
        <v>0</v>
      </c>
      <c r="BD50">
        <f>IF('06_Normalizacao'!Q50="",0,'06_Normalizacao'!Q50)</f>
        <v>0</v>
      </c>
      <c r="BE50">
        <f>IF('06_Normalizacao'!R50="",0,'06_Normalizacao'!R50)</f>
        <v>0</v>
      </c>
      <c r="BF50">
        <f>IF('06_Normalizacao'!S50="",0,'06_Normalizacao'!S50)</f>
        <v>0</v>
      </c>
      <c r="BG50">
        <f>IF('06_Normalizacao'!T50="",0,'06_Normalizacao'!T50)</f>
        <v>0</v>
      </c>
      <c r="BH50">
        <f>IF('06_Normalizacao'!U50="",0,'06_Normalizacao'!U50)</f>
        <v>0</v>
      </c>
      <c r="BJ50">
        <f>IF('06_Normalizacao'!K50="",0,1)</f>
        <v>0</v>
      </c>
      <c r="BK50">
        <f>IF('06_Normalizacao'!L50="",0,1)</f>
        <v>0</v>
      </c>
      <c r="BL50">
        <f>IF('06_Normalizacao'!M50="",0,1)</f>
        <v>0</v>
      </c>
      <c r="BM50">
        <f>IF('06_Normalizacao'!N50="",0,1)</f>
        <v>0</v>
      </c>
      <c r="BN50">
        <f>IF('06_Normalizacao'!O50="",0,1)</f>
        <v>0</v>
      </c>
      <c r="BO50">
        <f>IF('06_Normalizacao'!P50="",0,1)</f>
        <v>0</v>
      </c>
      <c r="BP50">
        <f>IF('06_Normalizacao'!Q50="",0,1)</f>
        <v>0</v>
      </c>
      <c r="BQ50">
        <f>IF('06_Normalizacao'!R50="",0,1)</f>
        <v>0</v>
      </c>
      <c r="BR50">
        <f>IF('06_Normalizacao'!S50="",0,1)</f>
        <v>0</v>
      </c>
      <c r="BS50">
        <f>IF('06_Normalizacao'!T50="",0,1)</f>
        <v>0</v>
      </c>
      <c r="BT50">
        <f>IF('06_Normalizacao'!U50="",0,1)</f>
        <v>0</v>
      </c>
    </row>
    <row r="51" spans="1:72">
      <c r="A51" s="6" t="str">
        <f>'03_Base_Indice'!D51</f>
        <v/>
      </c>
      <c r="B51" t="str">
        <f>IFERROR(LOOKUP(2,1/ISNUMBER('03_Base_Indice'!$K51:K51),COLUMN('03_Base_Indice'!$K51:K51)-COLUMN('03_Base_Indice'!$K51)+1),"")</f>
        <v/>
      </c>
      <c r="C51" t="str">
        <f>IFERROR(LOOKUP(2,1/ISNUMBER('03_Base_Indice'!$K51:L51),COLUMN('03_Base_Indice'!$K51:L51)-COLUMN('03_Base_Indice'!$K51)+1),"")</f>
        <v/>
      </c>
      <c r="D51" t="str">
        <f>IFERROR(LOOKUP(2,1/ISNUMBER('03_Base_Indice'!$K51:M51),COLUMN('03_Base_Indice'!$K51:M51)-COLUMN('03_Base_Indice'!$K51)+1),"")</f>
        <v/>
      </c>
      <c r="E51" t="str">
        <f>IFERROR(LOOKUP(2,1/ISNUMBER('03_Base_Indice'!$K51:N51),COLUMN('03_Base_Indice'!$K51:N51)-COLUMN('03_Base_Indice'!$K51)+1),"")</f>
        <v/>
      </c>
      <c r="F51" t="str">
        <f>IFERROR(LOOKUP(2,1/ISNUMBER('03_Base_Indice'!$K51:O51),COLUMN('03_Base_Indice'!$K51:O51)-COLUMN('03_Base_Indice'!$K51)+1),"")</f>
        <v/>
      </c>
      <c r="G51" t="str">
        <f>IFERROR(LOOKUP(2,1/ISNUMBER('03_Base_Indice'!$K51:P51),COLUMN('03_Base_Indice'!$K51:P51)-COLUMN('03_Base_Indice'!$K51)+1),"")</f>
        <v/>
      </c>
      <c r="H51" t="str">
        <f>IFERROR(LOOKUP(2,1/ISNUMBER('03_Base_Indice'!$K51:Q51),COLUMN('03_Base_Indice'!$K51:Q51)-COLUMN('03_Base_Indice'!$K51)+1),"")</f>
        <v/>
      </c>
      <c r="I51" t="str">
        <f>IFERROR(LOOKUP(2,1/ISNUMBER('03_Base_Indice'!$K51:R51),COLUMN('03_Base_Indice'!$K51:R51)-COLUMN('03_Base_Indice'!$K51)+1),"")</f>
        <v/>
      </c>
      <c r="J51" t="str">
        <f>IFERROR(LOOKUP(2,1/ISNUMBER('03_Base_Indice'!$K51:S51),COLUMN('03_Base_Indice'!$K51:S51)-COLUMN('03_Base_Indice'!$K51)+1),"")</f>
        <v/>
      </c>
      <c r="K51" t="str">
        <f>IFERROR(LOOKUP(2,1/ISNUMBER('03_Base_Indice'!$K51:T51),COLUMN('03_Base_Indice'!$K51:T51)-COLUMN('03_Base_Indice'!$K51)+1),"")</f>
        <v/>
      </c>
      <c r="L51" t="str">
        <f>IFERROR(LOOKUP(2,1/ISNUMBER('03_Base_Indice'!$K51:U51),COLUMN('03_Base_Indice'!$K51:U51)-COLUMN('03_Base_Indice'!$K51)+1),"")</f>
        <v/>
      </c>
      <c r="N51" t="str">
        <f>IFERROR(MATCH(TRUE,INDEX(ISNUMBER('03_Base_Indice'!K51:$U51),0),0)+0,"")</f>
        <v/>
      </c>
      <c r="O51" t="str">
        <f>IFERROR(MATCH(TRUE,INDEX(ISNUMBER('03_Base_Indice'!L51:$U51),0),0)+1,"")</f>
        <v/>
      </c>
      <c r="P51" t="str">
        <f>IFERROR(MATCH(TRUE,INDEX(ISNUMBER('03_Base_Indice'!M51:$U51),0),0)+2,"")</f>
        <v/>
      </c>
      <c r="Q51" t="str">
        <f>IFERROR(MATCH(TRUE,INDEX(ISNUMBER('03_Base_Indice'!N51:$U51),0),0)+3,"")</f>
        <v/>
      </c>
      <c r="R51" t="str">
        <f>IFERROR(MATCH(TRUE,INDEX(ISNUMBER('03_Base_Indice'!O51:$U51),0),0)+4,"")</f>
        <v/>
      </c>
      <c r="S51" t="str">
        <f>IFERROR(MATCH(TRUE,INDEX(ISNUMBER('03_Base_Indice'!P51:$U51),0),0)+5,"")</f>
        <v/>
      </c>
      <c r="T51" t="str">
        <f>IFERROR(MATCH(TRUE,INDEX(ISNUMBER('03_Base_Indice'!Q51:$U51),0),0)+6,"")</f>
        <v/>
      </c>
      <c r="U51" t="str">
        <f>IFERROR(MATCH(TRUE,INDEX(ISNUMBER('03_Base_Indice'!R51:$U51),0),0)+7,"")</f>
        <v/>
      </c>
      <c r="V51" t="str">
        <f>IFERROR(MATCH(TRUE,INDEX(ISNUMBER('03_Base_Indice'!S51:$U51),0),0)+8,"")</f>
        <v/>
      </c>
      <c r="W51" t="str">
        <f>IFERROR(MATCH(TRUE,INDEX(ISNUMBER('03_Base_Indice'!T51:$U51),0),0)+9,"")</f>
        <v/>
      </c>
      <c r="X51" t="str">
        <f>IFERROR(MATCH(TRUE,INDEX(ISNUMBER('03_Base_Indice'!U51:$U51),0),0)+10,"")</f>
        <v/>
      </c>
      <c r="Z51" t="str">
        <f>IF(B51="","",INDEX('03_Base_Indice'!$K51:$U51,B51))</f>
        <v/>
      </c>
      <c r="AA51" t="str">
        <f>IF(C51="","",INDEX('03_Base_Indice'!$K51:$U51,C51))</f>
        <v/>
      </c>
      <c r="AB51" t="str">
        <f>IF(D51="","",INDEX('03_Base_Indice'!$K51:$U51,D51))</f>
        <v/>
      </c>
      <c r="AC51" t="str">
        <f>IF(E51="","",INDEX('03_Base_Indice'!$K51:$U51,E51))</f>
        <v/>
      </c>
      <c r="AD51" t="str">
        <f>IF(F51="","",INDEX('03_Base_Indice'!$K51:$U51,F51))</f>
        <v/>
      </c>
      <c r="AE51" t="str">
        <f>IF(G51="","",INDEX('03_Base_Indice'!$K51:$U51,G51))</f>
        <v/>
      </c>
      <c r="AF51" t="str">
        <f>IF(H51="","",INDEX('03_Base_Indice'!$K51:$U51,H51))</f>
        <v/>
      </c>
      <c r="AG51" t="str">
        <f>IF(I51="","",INDEX('03_Base_Indice'!$K51:$U51,I51))</f>
        <v/>
      </c>
      <c r="AH51" t="str">
        <f>IF(J51="","",INDEX('03_Base_Indice'!$K51:$U51,J51))</f>
        <v/>
      </c>
      <c r="AI51" t="str">
        <f>IF(K51="","",INDEX('03_Base_Indice'!$K51:$U51,K51))</f>
        <v/>
      </c>
      <c r="AJ51" t="str">
        <f>IF(L51="","",INDEX('03_Base_Indice'!$K51:$U51,L51))</f>
        <v/>
      </c>
      <c r="AL51" t="str">
        <f>IF(N51="","",INDEX('03_Base_Indice'!$K51:$U51,N51))</f>
        <v/>
      </c>
      <c r="AM51" t="str">
        <f>IF(O51="","",INDEX('03_Base_Indice'!$K51:$U51,O51))</f>
        <v/>
      </c>
      <c r="AN51" t="str">
        <f>IF(P51="","",INDEX('03_Base_Indice'!$K51:$U51,P51))</f>
        <v/>
      </c>
      <c r="AO51" t="str">
        <f>IF(Q51="","",INDEX('03_Base_Indice'!$K51:$U51,Q51))</f>
        <v/>
      </c>
      <c r="AP51" t="str">
        <f>IF(R51="","",INDEX('03_Base_Indice'!$K51:$U51,R51))</f>
        <v/>
      </c>
      <c r="AQ51" t="str">
        <f>IF(S51="","",INDEX('03_Base_Indice'!$K51:$U51,S51))</f>
        <v/>
      </c>
      <c r="AR51" t="str">
        <f>IF(T51="","",INDEX('03_Base_Indice'!$K51:$U51,T51))</f>
        <v/>
      </c>
      <c r="AS51" t="str">
        <f>IF(U51="","",INDEX('03_Base_Indice'!$K51:$U51,U51))</f>
        <v/>
      </c>
      <c r="AT51" t="str">
        <f>IF(V51="","",INDEX('03_Base_Indice'!$K51:$U51,V51))</f>
        <v/>
      </c>
      <c r="AU51" t="str">
        <f>IF(W51="","",INDEX('03_Base_Indice'!$K51:$U51,W51))</f>
        <v/>
      </c>
      <c r="AV51" t="str">
        <f>IF(X51="","",INDEX('03_Base_Indice'!$K51:$U51,X51))</f>
        <v/>
      </c>
      <c r="AX51">
        <f>IF('06_Normalizacao'!K51="",0,'06_Normalizacao'!K51)</f>
        <v>0</v>
      </c>
      <c r="AY51">
        <f>IF('06_Normalizacao'!L51="",0,'06_Normalizacao'!L51)</f>
        <v>0</v>
      </c>
      <c r="AZ51">
        <f>IF('06_Normalizacao'!M51="",0,'06_Normalizacao'!M51)</f>
        <v>0</v>
      </c>
      <c r="BA51">
        <f>IF('06_Normalizacao'!N51="",0,'06_Normalizacao'!N51)</f>
        <v>0</v>
      </c>
      <c r="BB51">
        <f>IF('06_Normalizacao'!O51="",0,'06_Normalizacao'!O51)</f>
        <v>0</v>
      </c>
      <c r="BC51">
        <f>IF('06_Normalizacao'!P51="",0,'06_Normalizacao'!P51)</f>
        <v>0</v>
      </c>
      <c r="BD51">
        <f>IF('06_Normalizacao'!Q51="",0,'06_Normalizacao'!Q51)</f>
        <v>0</v>
      </c>
      <c r="BE51">
        <f>IF('06_Normalizacao'!R51="",0,'06_Normalizacao'!R51)</f>
        <v>0</v>
      </c>
      <c r="BF51">
        <f>IF('06_Normalizacao'!S51="",0,'06_Normalizacao'!S51)</f>
        <v>0</v>
      </c>
      <c r="BG51">
        <f>IF('06_Normalizacao'!T51="",0,'06_Normalizacao'!T51)</f>
        <v>0</v>
      </c>
      <c r="BH51">
        <f>IF('06_Normalizacao'!U51="",0,'06_Normalizacao'!U51)</f>
        <v>0</v>
      </c>
      <c r="BJ51">
        <f>IF('06_Normalizacao'!K51="",0,1)</f>
        <v>0</v>
      </c>
      <c r="BK51">
        <f>IF('06_Normalizacao'!L51="",0,1)</f>
        <v>0</v>
      </c>
      <c r="BL51">
        <f>IF('06_Normalizacao'!M51="",0,1)</f>
        <v>0</v>
      </c>
      <c r="BM51">
        <f>IF('06_Normalizacao'!N51="",0,1)</f>
        <v>0</v>
      </c>
      <c r="BN51">
        <f>IF('06_Normalizacao'!O51="",0,1)</f>
        <v>0</v>
      </c>
      <c r="BO51">
        <f>IF('06_Normalizacao'!P51="",0,1)</f>
        <v>0</v>
      </c>
      <c r="BP51">
        <f>IF('06_Normalizacao'!Q51="",0,1)</f>
        <v>0</v>
      </c>
      <c r="BQ51">
        <f>IF('06_Normalizacao'!R51="",0,1)</f>
        <v>0</v>
      </c>
      <c r="BR51">
        <f>IF('06_Normalizacao'!S51="",0,1)</f>
        <v>0</v>
      </c>
      <c r="BS51">
        <f>IF('06_Normalizacao'!T51="",0,1)</f>
        <v>0</v>
      </c>
      <c r="BT51">
        <f>IF('06_Normalizacao'!U51="",0,1)</f>
        <v>0</v>
      </c>
    </row>
    <row r="52" spans="1:72">
      <c r="A52" s="6" t="str">
        <f>'03_Base_Indice'!D52</f>
        <v/>
      </c>
      <c r="B52" t="str">
        <f>IFERROR(LOOKUP(2,1/ISNUMBER('03_Base_Indice'!$K52:K52),COLUMN('03_Base_Indice'!$K52:K52)-COLUMN('03_Base_Indice'!$K52)+1),"")</f>
        <v/>
      </c>
      <c r="C52" t="str">
        <f>IFERROR(LOOKUP(2,1/ISNUMBER('03_Base_Indice'!$K52:L52),COLUMN('03_Base_Indice'!$K52:L52)-COLUMN('03_Base_Indice'!$K52)+1),"")</f>
        <v/>
      </c>
      <c r="D52" t="str">
        <f>IFERROR(LOOKUP(2,1/ISNUMBER('03_Base_Indice'!$K52:M52),COLUMN('03_Base_Indice'!$K52:M52)-COLUMN('03_Base_Indice'!$K52)+1),"")</f>
        <v/>
      </c>
      <c r="E52" t="str">
        <f>IFERROR(LOOKUP(2,1/ISNUMBER('03_Base_Indice'!$K52:N52),COLUMN('03_Base_Indice'!$K52:N52)-COLUMN('03_Base_Indice'!$K52)+1),"")</f>
        <v/>
      </c>
      <c r="F52" t="str">
        <f>IFERROR(LOOKUP(2,1/ISNUMBER('03_Base_Indice'!$K52:O52),COLUMN('03_Base_Indice'!$K52:O52)-COLUMN('03_Base_Indice'!$K52)+1),"")</f>
        <v/>
      </c>
      <c r="G52" t="str">
        <f>IFERROR(LOOKUP(2,1/ISNUMBER('03_Base_Indice'!$K52:P52),COLUMN('03_Base_Indice'!$K52:P52)-COLUMN('03_Base_Indice'!$K52)+1),"")</f>
        <v/>
      </c>
      <c r="H52" t="str">
        <f>IFERROR(LOOKUP(2,1/ISNUMBER('03_Base_Indice'!$K52:Q52),COLUMN('03_Base_Indice'!$K52:Q52)-COLUMN('03_Base_Indice'!$K52)+1),"")</f>
        <v/>
      </c>
      <c r="I52" t="str">
        <f>IFERROR(LOOKUP(2,1/ISNUMBER('03_Base_Indice'!$K52:R52),COLUMN('03_Base_Indice'!$K52:R52)-COLUMN('03_Base_Indice'!$K52)+1),"")</f>
        <v/>
      </c>
      <c r="J52" t="str">
        <f>IFERROR(LOOKUP(2,1/ISNUMBER('03_Base_Indice'!$K52:S52),COLUMN('03_Base_Indice'!$K52:S52)-COLUMN('03_Base_Indice'!$K52)+1),"")</f>
        <v/>
      </c>
      <c r="K52" t="str">
        <f>IFERROR(LOOKUP(2,1/ISNUMBER('03_Base_Indice'!$K52:T52),COLUMN('03_Base_Indice'!$K52:T52)-COLUMN('03_Base_Indice'!$K52)+1),"")</f>
        <v/>
      </c>
      <c r="L52" t="str">
        <f>IFERROR(LOOKUP(2,1/ISNUMBER('03_Base_Indice'!$K52:U52),COLUMN('03_Base_Indice'!$K52:U52)-COLUMN('03_Base_Indice'!$K52)+1),"")</f>
        <v/>
      </c>
      <c r="N52" t="str">
        <f>IFERROR(MATCH(TRUE,INDEX(ISNUMBER('03_Base_Indice'!K52:$U52),0),0)+0,"")</f>
        <v/>
      </c>
      <c r="O52" t="str">
        <f>IFERROR(MATCH(TRUE,INDEX(ISNUMBER('03_Base_Indice'!L52:$U52),0),0)+1,"")</f>
        <v/>
      </c>
      <c r="P52" t="str">
        <f>IFERROR(MATCH(TRUE,INDEX(ISNUMBER('03_Base_Indice'!M52:$U52),0),0)+2,"")</f>
        <v/>
      </c>
      <c r="Q52" t="str">
        <f>IFERROR(MATCH(TRUE,INDEX(ISNUMBER('03_Base_Indice'!N52:$U52),0),0)+3,"")</f>
        <v/>
      </c>
      <c r="R52" t="str">
        <f>IFERROR(MATCH(TRUE,INDEX(ISNUMBER('03_Base_Indice'!O52:$U52),0),0)+4,"")</f>
        <v/>
      </c>
      <c r="S52" t="str">
        <f>IFERROR(MATCH(TRUE,INDEX(ISNUMBER('03_Base_Indice'!P52:$U52),0),0)+5,"")</f>
        <v/>
      </c>
      <c r="T52" t="str">
        <f>IFERROR(MATCH(TRUE,INDEX(ISNUMBER('03_Base_Indice'!Q52:$U52),0),0)+6,"")</f>
        <v/>
      </c>
      <c r="U52" t="str">
        <f>IFERROR(MATCH(TRUE,INDEX(ISNUMBER('03_Base_Indice'!R52:$U52),0),0)+7,"")</f>
        <v/>
      </c>
      <c r="V52" t="str">
        <f>IFERROR(MATCH(TRUE,INDEX(ISNUMBER('03_Base_Indice'!S52:$U52),0),0)+8,"")</f>
        <v/>
      </c>
      <c r="W52" t="str">
        <f>IFERROR(MATCH(TRUE,INDEX(ISNUMBER('03_Base_Indice'!T52:$U52),0),0)+9,"")</f>
        <v/>
      </c>
      <c r="X52" t="str">
        <f>IFERROR(MATCH(TRUE,INDEX(ISNUMBER('03_Base_Indice'!U52:$U52),0),0)+10,"")</f>
        <v/>
      </c>
      <c r="Z52" t="str">
        <f>IF(B52="","",INDEX('03_Base_Indice'!$K52:$U52,B52))</f>
        <v/>
      </c>
      <c r="AA52" t="str">
        <f>IF(C52="","",INDEX('03_Base_Indice'!$K52:$U52,C52))</f>
        <v/>
      </c>
      <c r="AB52" t="str">
        <f>IF(D52="","",INDEX('03_Base_Indice'!$K52:$U52,D52))</f>
        <v/>
      </c>
      <c r="AC52" t="str">
        <f>IF(E52="","",INDEX('03_Base_Indice'!$K52:$U52,E52))</f>
        <v/>
      </c>
      <c r="AD52" t="str">
        <f>IF(F52="","",INDEX('03_Base_Indice'!$K52:$U52,F52))</f>
        <v/>
      </c>
      <c r="AE52" t="str">
        <f>IF(G52="","",INDEX('03_Base_Indice'!$K52:$U52,G52))</f>
        <v/>
      </c>
      <c r="AF52" t="str">
        <f>IF(H52="","",INDEX('03_Base_Indice'!$K52:$U52,H52))</f>
        <v/>
      </c>
      <c r="AG52" t="str">
        <f>IF(I52="","",INDEX('03_Base_Indice'!$K52:$U52,I52))</f>
        <v/>
      </c>
      <c r="AH52" t="str">
        <f>IF(J52="","",INDEX('03_Base_Indice'!$K52:$U52,J52))</f>
        <v/>
      </c>
      <c r="AI52" t="str">
        <f>IF(K52="","",INDEX('03_Base_Indice'!$K52:$U52,K52))</f>
        <v/>
      </c>
      <c r="AJ52" t="str">
        <f>IF(L52="","",INDEX('03_Base_Indice'!$K52:$U52,L52))</f>
        <v/>
      </c>
      <c r="AL52" t="str">
        <f>IF(N52="","",INDEX('03_Base_Indice'!$K52:$U52,N52))</f>
        <v/>
      </c>
      <c r="AM52" t="str">
        <f>IF(O52="","",INDEX('03_Base_Indice'!$K52:$U52,O52))</f>
        <v/>
      </c>
      <c r="AN52" t="str">
        <f>IF(P52="","",INDEX('03_Base_Indice'!$K52:$U52,P52))</f>
        <v/>
      </c>
      <c r="AO52" t="str">
        <f>IF(Q52="","",INDEX('03_Base_Indice'!$K52:$U52,Q52))</f>
        <v/>
      </c>
      <c r="AP52" t="str">
        <f>IF(R52="","",INDEX('03_Base_Indice'!$K52:$U52,R52))</f>
        <v/>
      </c>
      <c r="AQ52" t="str">
        <f>IF(S52="","",INDEX('03_Base_Indice'!$K52:$U52,S52))</f>
        <v/>
      </c>
      <c r="AR52" t="str">
        <f>IF(T52="","",INDEX('03_Base_Indice'!$K52:$U52,T52))</f>
        <v/>
      </c>
      <c r="AS52" t="str">
        <f>IF(U52="","",INDEX('03_Base_Indice'!$K52:$U52,U52))</f>
        <v/>
      </c>
      <c r="AT52" t="str">
        <f>IF(V52="","",INDEX('03_Base_Indice'!$K52:$U52,V52))</f>
        <v/>
      </c>
      <c r="AU52" t="str">
        <f>IF(W52="","",INDEX('03_Base_Indice'!$K52:$U52,W52))</f>
        <v/>
      </c>
      <c r="AV52" t="str">
        <f>IF(X52="","",INDEX('03_Base_Indice'!$K52:$U52,X52))</f>
        <v/>
      </c>
      <c r="AX52">
        <f>IF('06_Normalizacao'!K52="",0,'06_Normalizacao'!K52)</f>
        <v>0</v>
      </c>
      <c r="AY52">
        <f>IF('06_Normalizacao'!L52="",0,'06_Normalizacao'!L52)</f>
        <v>0</v>
      </c>
      <c r="AZ52">
        <f>IF('06_Normalizacao'!M52="",0,'06_Normalizacao'!M52)</f>
        <v>0</v>
      </c>
      <c r="BA52">
        <f>IF('06_Normalizacao'!N52="",0,'06_Normalizacao'!N52)</f>
        <v>0</v>
      </c>
      <c r="BB52">
        <f>IF('06_Normalizacao'!O52="",0,'06_Normalizacao'!O52)</f>
        <v>0</v>
      </c>
      <c r="BC52">
        <f>IF('06_Normalizacao'!P52="",0,'06_Normalizacao'!P52)</f>
        <v>0</v>
      </c>
      <c r="BD52">
        <f>IF('06_Normalizacao'!Q52="",0,'06_Normalizacao'!Q52)</f>
        <v>0</v>
      </c>
      <c r="BE52">
        <f>IF('06_Normalizacao'!R52="",0,'06_Normalizacao'!R52)</f>
        <v>0</v>
      </c>
      <c r="BF52">
        <f>IF('06_Normalizacao'!S52="",0,'06_Normalizacao'!S52)</f>
        <v>0</v>
      </c>
      <c r="BG52">
        <f>IF('06_Normalizacao'!T52="",0,'06_Normalizacao'!T52)</f>
        <v>0</v>
      </c>
      <c r="BH52">
        <f>IF('06_Normalizacao'!U52="",0,'06_Normalizacao'!U52)</f>
        <v>0</v>
      </c>
      <c r="BJ52">
        <f>IF('06_Normalizacao'!K52="",0,1)</f>
        <v>0</v>
      </c>
      <c r="BK52">
        <f>IF('06_Normalizacao'!L52="",0,1)</f>
        <v>0</v>
      </c>
      <c r="BL52">
        <f>IF('06_Normalizacao'!M52="",0,1)</f>
        <v>0</v>
      </c>
      <c r="BM52">
        <f>IF('06_Normalizacao'!N52="",0,1)</f>
        <v>0</v>
      </c>
      <c r="BN52">
        <f>IF('06_Normalizacao'!O52="",0,1)</f>
        <v>0</v>
      </c>
      <c r="BO52">
        <f>IF('06_Normalizacao'!P52="",0,1)</f>
        <v>0</v>
      </c>
      <c r="BP52">
        <f>IF('06_Normalizacao'!Q52="",0,1)</f>
        <v>0</v>
      </c>
      <c r="BQ52">
        <f>IF('06_Normalizacao'!R52="",0,1)</f>
        <v>0</v>
      </c>
      <c r="BR52">
        <f>IF('06_Normalizacao'!S52="",0,1)</f>
        <v>0</v>
      </c>
      <c r="BS52">
        <f>IF('06_Normalizacao'!T52="",0,1)</f>
        <v>0</v>
      </c>
      <c r="BT52">
        <f>IF('06_Normalizacao'!U52="",0,1)</f>
        <v>0</v>
      </c>
    </row>
    <row r="53" spans="1:72">
      <c r="A53" s="6" t="str">
        <f>'03_Base_Indice'!D53</f>
        <v/>
      </c>
      <c r="B53" t="str">
        <f>IFERROR(LOOKUP(2,1/ISNUMBER('03_Base_Indice'!$K53:K53),COLUMN('03_Base_Indice'!$K53:K53)-COLUMN('03_Base_Indice'!$K53)+1),"")</f>
        <v/>
      </c>
      <c r="C53" t="str">
        <f>IFERROR(LOOKUP(2,1/ISNUMBER('03_Base_Indice'!$K53:L53),COLUMN('03_Base_Indice'!$K53:L53)-COLUMN('03_Base_Indice'!$K53)+1),"")</f>
        <v/>
      </c>
      <c r="D53" t="str">
        <f>IFERROR(LOOKUP(2,1/ISNUMBER('03_Base_Indice'!$K53:M53),COLUMN('03_Base_Indice'!$K53:M53)-COLUMN('03_Base_Indice'!$K53)+1),"")</f>
        <v/>
      </c>
      <c r="E53" t="str">
        <f>IFERROR(LOOKUP(2,1/ISNUMBER('03_Base_Indice'!$K53:N53),COLUMN('03_Base_Indice'!$K53:N53)-COLUMN('03_Base_Indice'!$K53)+1),"")</f>
        <v/>
      </c>
      <c r="F53" t="str">
        <f>IFERROR(LOOKUP(2,1/ISNUMBER('03_Base_Indice'!$K53:O53),COLUMN('03_Base_Indice'!$K53:O53)-COLUMN('03_Base_Indice'!$K53)+1),"")</f>
        <v/>
      </c>
      <c r="G53" t="str">
        <f>IFERROR(LOOKUP(2,1/ISNUMBER('03_Base_Indice'!$K53:P53),COLUMN('03_Base_Indice'!$K53:P53)-COLUMN('03_Base_Indice'!$K53)+1),"")</f>
        <v/>
      </c>
      <c r="H53" t="str">
        <f>IFERROR(LOOKUP(2,1/ISNUMBER('03_Base_Indice'!$K53:Q53),COLUMN('03_Base_Indice'!$K53:Q53)-COLUMN('03_Base_Indice'!$K53)+1),"")</f>
        <v/>
      </c>
      <c r="I53" t="str">
        <f>IFERROR(LOOKUP(2,1/ISNUMBER('03_Base_Indice'!$K53:R53),COLUMN('03_Base_Indice'!$K53:R53)-COLUMN('03_Base_Indice'!$K53)+1),"")</f>
        <v/>
      </c>
      <c r="J53" t="str">
        <f>IFERROR(LOOKUP(2,1/ISNUMBER('03_Base_Indice'!$K53:S53),COLUMN('03_Base_Indice'!$K53:S53)-COLUMN('03_Base_Indice'!$K53)+1),"")</f>
        <v/>
      </c>
      <c r="K53" t="str">
        <f>IFERROR(LOOKUP(2,1/ISNUMBER('03_Base_Indice'!$K53:T53),COLUMN('03_Base_Indice'!$K53:T53)-COLUMN('03_Base_Indice'!$K53)+1),"")</f>
        <v/>
      </c>
      <c r="L53" t="str">
        <f>IFERROR(LOOKUP(2,1/ISNUMBER('03_Base_Indice'!$K53:U53),COLUMN('03_Base_Indice'!$K53:U53)-COLUMN('03_Base_Indice'!$K53)+1),"")</f>
        <v/>
      </c>
      <c r="N53" t="str">
        <f>IFERROR(MATCH(TRUE,INDEX(ISNUMBER('03_Base_Indice'!K53:$U53),0),0)+0,"")</f>
        <v/>
      </c>
      <c r="O53" t="str">
        <f>IFERROR(MATCH(TRUE,INDEX(ISNUMBER('03_Base_Indice'!L53:$U53),0),0)+1,"")</f>
        <v/>
      </c>
      <c r="P53" t="str">
        <f>IFERROR(MATCH(TRUE,INDEX(ISNUMBER('03_Base_Indice'!M53:$U53),0),0)+2,"")</f>
        <v/>
      </c>
      <c r="Q53" t="str">
        <f>IFERROR(MATCH(TRUE,INDEX(ISNUMBER('03_Base_Indice'!N53:$U53),0),0)+3,"")</f>
        <v/>
      </c>
      <c r="R53" t="str">
        <f>IFERROR(MATCH(TRUE,INDEX(ISNUMBER('03_Base_Indice'!O53:$U53),0),0)+4,"")</f>
        <v/>
      </c>
      <c r="S53" t="str">
        <f>IFERROR(MATCH(TRUE,INDEX(ISNUMBER('03_Base_Indice'!P53:$U53),0),0)+5,"")</f>
        <v/>
      </c>
      <c r="T53" t="str">
        <f>IFERROR(MATCH(TRUE,INDEX(ISNUMBER('03_Base_Indice'!Q53:$U53),0),0)+6,"")</f>
        <v/>
      </c>
      <c r="U53" t="str">
        <f>IFERROR(MATCH(TRUE,INDEX(ISNUMBER('03_Base_Indice'!R53:$U53),0),0)+7,"")</f>
        <v/>
      </c>
      <c r="V53" t="str">
        <f>IFERROR(MATCH(TRUE,INDEX(ISNUMBER('03_Base_Indice'!S53:$U53),0),0)+8,"")</f>
        <v/>
      </c>
      <c r="W53" t="str">
        <f>IFERROR(MATCH(TRUE,INDEX(ISNUMBER('03_Base_Indice'!T53:$U53),0),0)+9,"")</f>
        <v/>
      </c>
      <c r="X53" t="str">
        <f>IFERROR(MATCH(TRUE,INDEX(ISNUMBER('03_Base_Indice'!U53:$U53),0),0)+10,"")</f>
        <v/>
      </c>
      <c r="Z53" t="str">
        <f>IF(B53="","",INDEX('03_Base_Indice'!$K53:$U53,B53))</f>
        <v/>
      </c>
      <c r="AA53" t="str">
        <f>IF(C53="","",INDEX('03_Base_Indice'!$K53:$U53,C53))</f>
        <v/>
      </c>
      <c r="AB53" t="str">
        <f>IF(D53="","",INDEX('03_Base_Indice'!$K53:$U53,D53))</f>
        <v/>
      </c>
      <c r="AC53" t="str">
        <f>IF(E53="","",INDEX('03_Base_Indice'!$K53:$U53,E53))</f>
        <v/>
      </c>
      <c r="AD53" t="str">
        <f>IF(F53="","",INDEX('03_Base_Indice'!$K53:$U53,F53))</f>
        <v/>
      </c>
      <c r="AE53" t="str">
        <f>IF(G53="","",INDEX('03_Base_Indice'!$K53:$U53,G53))</f>
        <v/>
      </c>
      <c r="AF53" t="str">
        <f>IF(H53="","",INDEX('03_Base_Indice'!$K53:$U53,H53))</f>
        <v/>
      </c>
      <c r="AG53" t="str">
        <f>IF(I53="","",INDEX('03_Base_Indice'!$K53:$U53,I53))</f>
        <v/>
      </c>
      <c r="AH53" t="str">
        <f>IF(J53="","",INDEX('03_Base_Indice'!$K53:$U53,J53))</f>
        <v/>
      </c>
      <c r="AI53" t="str">
        <f>IF(K53="","",INDEX('03_Base_Indice'!$K53:$U53,K53))</f>
        <v/>
      </c>
      <c r="AJ53" t="str">
        <f>IF(L53="","",INDEX('03_Base_Indice'!$K53:$U53,L53))</f>
        <v/>
      </c>
      <c r="AL53" t="str">
        <f>IF(N53="","",INDEX('03_Base_Indice'!$K53:$U53,N53))</f>
        <v/>
      </c>
      <c r="AM53" t="str">
        <f>IF(O53="","",INDEX('03_Base_Indice'!$K53:$U53,O53))</f>
        <v/>
      </c>
      <c r="AN53" t="str">
        <f>IF(P53="","",INDEX('03_Base_Indice'!$K53:$U53,P53))</f>
        <v/>
      </c>
      <c r="AO53" t="str">
        <f>IF(Q53="","",INDEX('03_Base_Indice'!$K53:$U53,Q53))</f>
        <v/>
      </c>
      <c r="AP53" t="str">
        <f>IF(R53="","",INDEX('03_Base_Indice'!$K53:$U53,R53))</f>
        <v/>
      </c>
      <c r="AQ53" t="str">
        <f>IF(S53="","",INDEX('03_Base_Indice'!$K53:$U53,S53))</f>
        <v/>
      </c>
      <c r="AR53" t="str">
        <f>IF(T53="","",INDEX('03_Base_Indice'!$K53:$U53,T53))</f>
        <v/>
      </c>
      <c r="AS53" t="str">
        <f>IF(U53="","",INDEX('03_Base_Indice'!$K53:$U53,U53))</f>
        <v/>
      </c>
      <c r="AT53" t="str">
        <f>IF(V53="","",INDEX('03_Base_Indice'!$K53:$U53,V53))</f>
        <v/>
      </c>
      <c r="AU53" t="str">
        <f>IF(W53="","",INDEX('03_Base_Indice'!$K53:$U53,W53))</f>
        <v/>
      </c>
      <c r="AV53" t="str">
        <f>IF(X53="","",INDEX('03_Base_Indice'!$K53:$U53,X53))</f>
        <v/>
      </c>
      <c r="AX53">
        <f>IF('06_Normalizacao'!K53="",0,'06_Normalizacao'!K53)</f>
        <v>0</v>
      </c>
      <c r="AY53">
        <f>IF('06_Normalizacao'!L53="",0,'06_Normalizacao'!L53)</f>
        <v>0</v>
      </c>
      <c r="AZ53">
        <f>IF('06_Normalizacao'!M53="",0,'06_Normalizacao'!M53)</f>
        <v>0</v>
      </c>
      <c r="BA53">
        <f>IF('06_Normalizacao'!N53="",0,'06_Normalizacao'!N53)</f>
        <v>0</v>
      </c>
      <c r="BB53">
        <f>IF('06_Normalizacao'!O53="",0,'06_Normalizacao'!O53)</f>
        <v>0</v>
      </c>
      <c r="BC53">
        <f>IF('06_Normalizacao'!P53="",0,'06_Normalizacao'!P53)</f>
        <v>0</v>
      </c>
      <c r="BD53">
        <f>IF('06_Normalizacao'!Q53="",0,'06_Normalizacao'!Q53)</f>
        <v>0</v>
      </c>
      <c r="BE53">
        <f>IF('06_Normalizacao'!R53="",0,'06_Normalizacao'!R53)</f>
        <v>0</v>
      </c>
      <c r="BF53">
        <f>IF('06_Normalizacao'!S53="",0,'06_Normalizacao'!S53)</f>
        <v>0</v>
      </c>
      <c r="BG53">
        <f>IF('06_Normalizacao'!T53="",0,'06_Normalizacao'!T53)</f>
        <v>0</v>
      </c>
      <c r="BH53">
        <f>IF('06_Normalizacao'!U53="",0,'06_Normalizacao'!U53)</f>
        <v>0</v>
      </c>
      <c r="BJ53">
        <f>IF('06_Normalizacao'!K53="",0,1)</f>
        <v>0</v>
      </c>
      <c r="BK53">
        <f>IF('06_Normalizacao'!L53="",0,1)</f>
        <v>0</v>
      </c>
      <c r="BL53">
        <f>IF('06_Normalizacao'!M53="",0,1)</f>
        <v>0</v>
      </c>
      <c r="BM53">
        <f>IF('06_Normalizacao'!N53="",0,1)</f>
        <v>0</v>
      </c>
      <c r="BN53">
        <f>IF('06_Normalizacao'!O53="",0,1)</f>
        <v>0</v>
      </c>
      <c r="BO53">
        <f>IF('06_Normalizacao'!P53="",0,1)</f>
        <v>0</v>
      </c>
      <c r="BP53">
        <f>IF('06_Normalizacao'!Q53="",0,1)</f>
        <v>0</v>
      </c>
      <c r="BQ53">
        <f>IF('06_Normalizacao'!R53="",0,1)</f>
        <v>0</v>
      </c>
      <c r="BR53">
        <f>IF('06_Normalizacao'!S53="",0,1)</f>
        <v>0</v>
      </c>
      <c r="BS53">
        <f>IF('06_Normalizacao'!T53="",0,1)</f>
        <v>0</v>
      </c>
      <c r="BT53">
        <f>IF('06_Normalizacao'!U53="",0,1)</f>
        <v>0</v>
      </c>
    </row>
    <row r="54" spans="1:72">
      <c r="A54" s="6" t="str">
        <f>'03_Base_Indice'!D54</f>
        <v/>
      </c>
      <c r="B54" t="str">
        <f>IFERROR(LOOKUP(2,1/ISNUMBER('03_Base_Indice'!$K54:K54),COLUMN('03_Base_Indice'!$K54:K54)-COLUMN('03_Base_Indice'!$K54)+1),"")</f>
        <v/>
      </c>
      <c r="C54" t="str">
        <f>IFERROR(LOOKUP(2,1/ISNUMBER('03_Base_Indice'!$K54:L54),COLUMN('03_Base_Indice'!$K54:L54)-COLUMN('03_Base_Indice'!$K54)+1),"")</f>
        <v/>
      </c>
      <c r="D54" t="str">
        <f>IFERROR(LOOKUP(2,1/ISNUMBER('03_Base_Indice'!$K54:M54),COLUMN('03_Base_Indice'!$K54:M54)-COLUMN('03_Base_Indice'!$K54)+1),"")</f>
        <v/>
      </c>
      <c r="E54" t="str">
        <f>IFERROR(LOOKUP(2,1/ISNUMBER('03_Base_Indice'!$K54:N54),COLUMN('03_Base_Indice'!$K54:N54)-COLUMN('03_Base_Indice'!$K54)+1),"")</f>
        <v/>
      </c>
      <c r="F54" t="str">
        <f>IFERROR(LOOKUP(2,1/ISNUMBER('03_Base_Indice'!$K54:O54),COLUMN('03_Base_Indice'!$K54:O54)-COLUMN('03_Base_Indice'!$K54)+1),"")</f>
        <v/>
      </c>
      <c r="G54" t="str">
        <f>IFERROR(LOOKUP(2,1/ISNUMBER('03_Base_Indice'!$K54:P54),COLUMN('03_Base_Indice'!$K54:P54)-COLUMN('03_Base_Indice'!$K54)+1),"")</f>
        <v/>
      </c>
      <c r="H54" t="str">
        <f>IFERROR(LOOKUP(2,1/ISNUMBER('03_Base_Indice'!$K54:Q54),COLUMN('03_Base_Indice'!$K54:Q54)-COLUMN('03_Base_Indice'!$K54)+1),"")</f>
        <v/>
      </c>
      <c r="I54" t="str">
        <f>IFERROR(LOOKUP(2,1/ISNUMBER('03_Base_Indice'!$K54:R54),COLUMN('03_Base_Indice'!$K54:R54)-COLUMN('03_Base_Indice'!$K54)+1),"")</f>
        <v/>
      </c>
      <c r="J54" t="str">
        <f>IFERROR(LOOKUP(2,1/ISNUMBER('03_Base_Indice'!$K54:S54),COLUMN('03_Base_Indice'!$K54:S54)-COLUMN('03_Base_Indice'!$K54)+1),"")</f>
        <v/>
      </c>
      <c r="K54" t="str">
        <f>IFERROR(LOOKUP(2,1/ISNUMBER('03_Base_Indice'!$K54:T54),COLUMN('03_Base_Indice'!$K54:T54)-COLUMN('03_Base_Indice'!$K54)+1),"")</f>
        <v/>
      </c>
      <c r="L54" t="str">
        <f>IFERROR(LOOKUP(2,1/ISNUMBER('03_Base_Indice'!$K54:U54),COLUMN('03_Base_Indice'!$K54:U54)-COLUMN('03_Base_Indice'!$K54)+1),"")</f>
        <v/>
      </c>
      <c r="N54" t="str">
        <f>IFERROR(MATCH(TRUE,INDEX(ISNUMBER('03_Base_Indice'!K54:$U54),0),0)+0,"")</f>
        <v/>
      </c>
      <c r="O54" t="str">
        <f>IFERROR(MATCH(TRUE,INDEX(ISNUMBER('03_Base_Indice'!L54:$U54),0),0)+1,"")</f>
        <v/>
      </c>
      <c r="P54" t="str">
        <f>IFERROR(MATCH(TRUE,INDEX(ISNUMBER('03_Base_Indice'!M54:$U54),0),0)+2,"")</f>
        <v/>
      </c>
      <c r="Q54" t="str">
        <f>IFERROR(MATCH(TRUE,INDEX(ISNUMBER('03_Base_Indice'!N54:$U54),0),0)+3,"")</f>
        <v/>
      </c>
      <c r="R54" t="str">
        <f>IFERROR(MATCH(TRUE,INDEX(ISNUMBER('03_Base_Indice'!O54:$U54),0),0)+4,"")</f>
        <v/>
      </c>
      <c r="S54" t="str">
        <f>IFERROR(MATCH(TRUE,INDEX(ISNUMBER('03_Base_Indice'!P54:$U54),0),0)+5,"")</f>
        <v/>
      </c>
      <c r="T54" t="str">
        <f>IFERROR(MATCH(TRUE,INDEX(ISNUMBER('03_Base_Indice'!Q54:$U54),0),0)+6,"")</f>
        <v/>
      </c>
      <c r="U54" t="str">
        <f>IFERROR(MATCH(TRUE,INDEX(ISNUMBER('03_Base_Indice'!R54:$U54),0),0)+7,"")</f>
        <v/>
      </c>
      <c r="V54" t="str">
        <f>IFERROR(MATCH(TRUE,INDEX(ISNUMBER('03_Base_Indice'!S54:$U54),0),0)+8,"")</f>
        <v/>
      </c>
      <c r="W54" t="str">
        <f>IFERROR(MATCH(TRUE,INDEX(ISNUMBER('03_Base_Indice'!T54:$U54),0),0)+9,"")</f>
        <v/>
      </c>
      <c r="X54" t="str">
        <f>IFERROR(MATCH(TRUE,INDEX(ISNUMBER('03_Base_Indice'!U54:$U54),0),0)+10,"")</f>
        <v/>
      </c>
      <c r="Z54" t="str">
        <f>IF(B54="","",INDEX('03_Base_Indice'!$K54:$U54,B54))</f>
        <v/>
      </c>
      <c r="AA54" t="str">
        <f>IF(C54="","",INDEX('03_Base_Indice'!$K54:$U54,C54))</f>
        <v/>
      </c>
      <c r="AB54" t="str">
        <f>IF(D54="","",INDEX('03_Base_Indice'!$K54:$U54,D54))</f>
        <v/>
      </c>
      <c r="AC54" t="str">
        <f>IF(E54="","",INDEX('03_Base_Indice'!$K54:$U54,E54))</f>
        <v/>
      </c>
      <c r="AD54" t="str">
        <f>IF(F54="","",INDEX('03_Base_Indice'!$K54:$U54,F54))</f>
        <v/>
      </c>
      <c r="AE54" t="str">
        <f>IF(G54="","",INDEX('03_Base_Indice'!$K54:$U54,G54))</f>
        <v/>
      </c>
      <c r="AF54" t="str">
        <f>IF(H54="","",INDEX('03_Base_Indice'!$K54:$U54,H54))</f>
        <v/>
      </c>
      <c r="AG54" t="str">
        <f>IF(I54="","",INDEX('03_Base_Indice'!$K54:$U54,I54))</f>
        <v/>
      </c>
      <c r="AH54" t="str">
        <f>IF(J54="","",INDEX('03_Base_Indice'!$K54:$U54,J54))</f>
        <v/>
      </c>
      <c r="AI54" t="str">
        <f>IF(K54="","",INDEX('03_Base_Indice'!$K54:$U54,K54))</f>
        <v/>
      </c>
      <c r="AJ54" t="str">
        <f>IF(L54="","",INDEX('03_Base_Indice'!$K54:$U54,L54))</f>
        <v/>
      </c>
      <c r="AL54" t="str">
        <f>IF(N54="","",INDEX('03_Base_Indice'!$K54:$U54,N54))</f>
        <v/>
      </c>
      <c r="AM54" t="str">
        <f>IF(O54="","",INDEX('03_Base_Indice'!$K54:$U54,O54))</f>
        <v/>
      </c>
      <c r="AN54" t="str">
        <f>IF(P54="","",INDEX('03_Base_Indice'!$K54:$U54,P54))</f>
        <v/>
      </c>
      <c r="AO54" t="str">
        <f>IF(Q54="","",INDEX('03_Base_Indice'!$K54:$U54,Q54))</f>
        <v/>
      </c>
      <c r="AP54" t="str">
        <f>IF(R54="","",INDEX('03_Base_Indice'!$K54:$U54,R54))</f>
        <v/>
      </c>
      <c r="AQ54" t="str">
        <f>IF(S54="","",INDEX('03_Base_Indice'!$K54:$U54,S54))</f>
        <v/>
      </c>
      <c r="AR54" t="str">
        <f>IF(T54="","",INDEX('03_Base_Indice'!$K54:$U54,T54))</f>
        <v/>
      </c>
      <c r="AS54" t="str">
        <f>IF(U54="","",INDEX('03_Base_Indice'!$K54:$U54,U54))</f>
        <v/>
      </c>
      <c r="AT54" t="str">
        <f>IF(V54="","",INDEX('03_Base_Indice'!$K54:$U54,V54))</f>
        <v/>
      </c>
      <c r="AU54" t="str">
        <f>IF(W54="","",INDEX('03_Base_Indice'!$K54:$U54,W54))</f>
        <v/>
      </c>
      <c r="AV54" t="str">
        <f>IF(X54="","",INDEX('03_Base_Indice'!$K54:$U54,X54))</f>
        <v/>
      </c>
      <c r="AX54">
        <f>IF('06_Normalizacao'!K54="",0,'06_Normalizacao'!K54)</f>
        <v>0</v>
      </c>
      <c r="AY54">
        <f>IF('06_Normalizacao'!L54="",0,'06_Normalizacao'!L54)</f>
        <v>0</v>
      </c>
      <c r="AZ54">
        <f>IF('06_Normalizacao'!M54="",0,'06_Normalizacao'!M54)</f>
        <v>0</v>
      </c>
      <c r="BA54">
        <f>IF('06_Normalizacao'!N54="",0,'06_Normalizacao'!N54)</f>
        <v>0</v>
      </c>
      <c r="BB54">
        <f>IF('06_Normalizacao'!O54="",0,'06_Normalizacao'!O54)</f>
        <v>0</v>
      </c>
      <c r="BC54">
        <f>IF('06_Normalizacao'!P54="",0,'06_Normalizacao'!P54)</f>
        <v>0</v>
      </c>
      <c r="BD54">
        <f>IF('06_Normalizacao'!Q54="",0,'06_Normalizacao'!Q54)</f>
        <v>0</v>
      </c>
      <c r="BE54">
        <f>IF('06_Normalizacao'!R54="",0,'06_Normalizacao'!R54)</f>
        <v>0</v>
      </c>
      <c r="BF54">
        <f>IF('06_Normalizacao'!S54="",0,'06_Normalizacao'!S54)</f>
        <v>0</v>
      </c>
      <c r="BG54">
        <f>IF('06_Normalizacao'!T54="",0,'06_Normalizacao'!T54)</f>
        <v>0</v>
      </c>
      <c r="BH54">
        <f>IF('06_Normalizacao'!U54="",0,'06_Normalizacao'!U54)</f>
        <v>0</v>
      </c>
      <c r="BJ54">
        <f>IF('06_Normalizacao'!K54="",0,1)</f>
        <v>0</v>
      </c>
      <c r="BK54">
        <f>IF('06_Normalizacao'!L54="",0,1)</f>
        <v>0</v>
      </c>
      <c r="BL54">
        <f>IF('06_Normalizacao'!M54="",0,1)</f>
        <v>0</v>
      </c>
      <c r="BM54">
        <f>IF('06_Normalizacao'!N54="",0,1)</f>
        <v>0</v>
      </c>
      <c r="BN54">
        <f>IF('06_Normalizacao'!O54="",0,1)</f>
        <v>0</v>
      </c>
      <c r="BO54">
        <f>IF('06_Normalizacao'!P54="",0,1)</f>
        <v>0</v>
      </c>
      <c r="BP54">
        <f>IF('06_Normalizacao'!Q54="",0,1)</f>
        <v>0</v>
      </c>
      <c r="BQ54">
        <f>IF('06_Normalizacao'!R54="",0,1)</f>
        <v>0</v>
      </c>
      <c r="BR54">
        <f>IF('06_Normalizacao'!S54="",0,1)</f>
        <v>0</v>
      </c>
      <c r="BS54">
        <f>IF('06_Normalizacao'!T54="",0,1)</f>
        <v>0</v>
      </c>
      <c r="BT54">
        <f>IF('06_Normalizacao'!U54="",0,1)</f>
        <v>0</v>
      </c>
    </row>
    <row r="55" spans="1:72">
      <c r="A55" s="6" t="str">
        <f>'03_Base_Indice'!D55</f>
        <v>LAB001</v>
      </c>
      <c r="B55">
        <f>IFERROR(LOOKUP(2,1/ISNUMBER('03_Base_Indice'!$K55:K55),COLUMN('03_Base_Indice'!$K55:K55)-COLUMN('03_Base_Indice'!$K55)+1),"")</f>
        <v>1</v>
      </c>
      <c r="C55">
        <f>IFERROR(LOOKUP(2,1/ISNUMBER('03_Base_Indice'!$K55:L55),COLUMN('03_Base_Indice'!$K55:L55)-COLUMN('03_Base_Indice'!$K55)+1),"")</f>
        <v>2</v>
      </c>
      <c r="D55">
        <f>IFERROR(LOOKUP(2,1/ISNUMBER('03_Base_Indice'!$K55:M55),COLUMN('03_Base_Indice'!$K55:M55)-COLUMN('03_Base_Indice'!$K55)+1),"")</f>
        <v>3</v>
      </c>
      <c r="E55">
        <f>IFERROR(LOOKUP(2,1/ISNUMBER('03_Base_Indice'!$K55:N55),COLUMN('03_Base_Indice'!$K55:N55)-COLUMN('03_Base_Indice'!$K55)+1),"")</f>
        <v>4</v>
      </c>
      <c r="F55">
        <f>IFERROR(LOOKUP(2,1/ISNUMBER('03_Base_Indice'!$K55:O55),COLUMN('03_Base_Indice'!$K55:O55)-COLUMN('03_Base_Indice'!$K55)+1),"")</f>
        <v>5</v>
      </c>
      <c r="G55">
        <f>IFERROR(LOOKUP(2,1/ISNUMBER('03_Base_Indice'!$K55:P55),COLUMN('03_Base_Indice'!$K55:P55)-COLUMN('03_Base_Indice'!$K55)+1),"")</f>
        <v>6</v>
      </c>
      <c r="H55">
        <f>IFERROR(LOOKUP(2,1/ISNUMBER('03_Base_Indice'!$K55:Q55),COLUMN('03_Base_Indice'!$K55:Q55)-COLUMN('03_Base_Indice'!$K55)+1),"")</f>
        <v>7</v>
      </c>
      <c r="I55">
        <f>IFERROR(LOOKUP(2,1/ISNUMBER('03_Base_Indice'!$K55:R55),COLUMN('03_Base_Indice'!$K55:R55)-COLUMN('03_Base_Indice'!$K55)+1),"")</f>
        <v>8</v>
      </c>
      <c r="J55">
        <f>IFERROR(LOOKUP(2,1/ISNUMBER('03_Base_Indice'!$K55:S55),COLUMN('03_Base_Indice'!$K55:S55)-COLUMN('03_Base_Indice'!$K55)+1),"")</f>
        <v>9</v>
      </c>
      <c r="K55">
        <f>IFERROR(LOOKUP(2,1/ISNUMBER('03_Base_Indice'!$K55:T55),COLUMN('03_Base_Indice'!$K55:T55)-COLUMN('03_Base_Indice'!$K55)+1),"")</f>
        <v>10</v>
      </c>
      <c r="L55">
        <f>IFERROR(LOOKUP(2,1/ISNUMBER('03_Base_Indice'!$K55:U55),COLUMN('03_Base_Indice'!$K55:U55)-COLUMN('03_Base_Indice'!$K55)+1),"")</f>
        <v>11</v>
      </c>
      <c r="N55">
        <f>IFERROR(MATCH(TRUE,INDEX(ISNUMBER('03_Base_Indice'!K55:$U55),0),0)+0,"")</f>
        <v>1</v>
      </c>
      <c r="O55">
        <f>IFERROR(MATCH(TRUE,INDEX(ISNUMBER('03_Base_Indice'!L55:$U55),0),0)+1,"")</f>
        <v>2</v>
      </c>
      <c r="P55">
        <f>IFERROR(MATCH(TRUE,INDEX(ISNUMBER('03_Base_Indice'!M55:$U55),0),0)+2,"")</f>
        <v>3</v>
      </c>
      <c r="Q55">
        <f>IFERROR(MATCH(TRUE,INDEX(ISNUMBER('03_Base_Indice'!N55:$U55),0),0)+3,"")</f>
        <v>4</v>
      </c>
      <c r="R55">
        <f>IFERROR(MATCH(TRUE,INDEX(ISNUMBER('03_Base_Indice'!O55:$U55),0),0)+4,"")</f>
        <v>5</v>
      </c>
      <c r="S55">
        <f>IFERROR(MATCH(TRUE,INDEX(ISNUMBER('03_Base_Indice'!P55:$U55),0),0)+5,"")</f>
        <v>6</v>
      </c>
      <c r="T55">
        <f>IFERROR(MATCH(TRUE,INDEX(ISNUMBER('03_Base_Indice'!Q55:$U55),0),0)+6,"")</f>
        <v>7</v>
      </c>
      <c r="U55">
        <f>IFERROR(MATCH(TRUE,INDEX(ISNUMBER('03_Base_Indice'!R55:$U55),0),0)+7,"")</f>
        <v>8</v>
      </c>
      <c r="V55">
        <f>IFERROR(MATCH(TRUE,INDEX(ISNUMBER('03_Base_Indice'!S55:$U55),0),0)+8,"")</f>
        <v>9</v>
      </c>
      <c r="W55">
        <f>IFERROR(MATCH(TRUE,INDEX(ISNUMBER('03_Base_Indice'!T55:$U55),0),0)+9,"")</f>
        <v>10</v>
      </c>
      <c r="X55">
        <f>IFERROR(MATCH(TRUE,INDEX(ISNUMBER('03_Base_Indice'!U55:$U55),0),0)+10,"")</f>
        <v>11</v>
      </c>
      <c r="Z55">
        <f>IF(B55="","",INDEX('03_Base_Indice'!$K55:$U55,B55))</f>
        <v>63.637999999999998</v>
      </c>
      <c r="AA55">
        <f>IF(C55="","",INDEX('03_Base_Indice'!$K55:$U55,C55))</f>
        <v>63.320999999999998</v>
      </c>
      <c r="AB55">
        <f>IF(D55="","",INDEX('03_Base_Indice'!$K55:$U55,D55))</f>
        <v>63.045000000000002</v>
      </c>
      <c r="AC55">
        <f>IF(E55="","",INDEX('03_Base_Indice'!$K55:$U55,E55))</f>
        <v>62.811999999999998</v>
      </c>
      <c r="AD55">
        <f>IF(F55="","",INDEX('03_Base_Indice'!$K55:$U55,F55))</f>
        <v>62.643999999999998</v>
      </c>
      <c r="AE55">
        <f>IF(G55="","",INDEX('03_Base_Indice'!$K55:$U55,G55))</f>
        <v>61.078000000000003</v>
      </c>
      <c r="AF55">
        <f>IF(H55="","",INDEX('03_Base_Indice'!$K55:$U55,H55))</f>
        <v>64.305999999999997</v>
      </c>
      <c r="AG55">
        <f>IF(I55="","",INDEX('03_Base_Indice'!$K55:$U55,I55))</f>
        <v>64.619</v>
      </c>
      <c r="AH55">
        <f>IF(J55="","",INDEX('03_Base_Indice'!$K55:$U55,J55))</f>
        <v>64.369</v>
      </c>
      <c r="AI55">
        <f>IF(K55="","",INDEX('03_Base_Indice'!$K55:$U55,K55))</f>
        <v>64.382999999999996</v>
      </c>
      <c r="AJ55">
        <f>IF(L55="","",INDEX('03_Base_Indice'!$K55:$U55,L55))</f>
        <v>64.236000000000004</v>
      </c>
      <c r="AL55">
        <f>IF(N55="","",INDEX('03_Base_Indice'!$K55:$U55,N55))</f>
        <v>63.637999999999998</v>
      </c>
      <c r="AM55">
        <f>IF(O55="","",INDEX('03_Base_Indice'!$K55:$U55,O55))</f>
        <v>63.320999999999998</v>
      </c>
      <c r="AN55">
        <f>IF(P55="","",INDEX('03_Base_Indice'!$K55:$U55,P55))</f>
        <v>63.045000000000002</v>
      </c>
      <c r="AO55">
        <f>IF(Q55="","",INDEX('03_Base_Indice'!$K55:$U55,Q55))</f>
        <v>62.811999999999998</v>
      </c>
      <c r="AP55">
        <f>IF(R55="","",INDEX('03_Base_Indice'!$K55:$U55,R55))</f>
        <v>62.643999999999998</v>
      </c>
      <c r="AQ55">
        <f>IF(S55="","",INDEX('03_Base_Indice'!$K55:$U55,S55))</f>
        <v>61.078000000000003</v>
      </c>
      <c r="AR55">
        <f>IF(T55="","",INDEX('03_Base_Indice'!$K55:$U55,T55))</f>
        <v>64.305999999999997</v>
      </c>
      <c r="AS55">
        <f>IF(U55="","",INDEX('03_Base_Indice'!$K55:$U55,U55))</f>
        <v>64.619</v>
      </c>
      <c r="AT55">
        <f>IF(V55="","",INDEX('03_Base_Indice'!$K55:$U55,V55))</f>
        <v>64.369</v>
      </c>
      <c r="AU55">
        <f>IF(W55="","",INDEX('03_Base_Indice'!$K55:$U55,W55))</f>
        <v>64.382999999999996</v>
      </c>
      <c r="AV55">
        <f>IF(X55="","",INDEX('03_Base_Indice'!$K55:$U55,X55))</f>
        <v>64.236000000000004</v>
      </c>
      <c r="AX55">
        <f>IF('06_Normalizacao'!K55="",0,'06_Normalizacao'!K55)</f>
        <v>63.638000000000005</v>
      </c>
      <c r="AY55">
        <f>IF('06_Normalizacao'!L55="",0,'06_Normalizacao'!L55)</f>
        <v>63.320999999999998</v>
      </c>
      <c r="AZ55">
        <f>IF('06_Normalizacao'!M55="",0,'06_Normalizacao'!M55)</f>
        <v>63.045000000000002</v>
      </c>
      <c r="BA55">
        <f>IF('06_Normalizacao'!N55="",0,'06_Normalizacao'!N55)</f>
        <v>62.811999999999998</v>
      </c>
      <c r="BB55">
        <f>IF('06_Normalizacao'!O55="",0,'06_Normalizacao'!O55)</f>
        <v>62.643999999999998</v>
      </c>
      <c r="BC55">
        <f>IF('06_Normalizacao'!P55="",0,'06_Normalizacao'!P55)</f>
        <v>61.078000000000003</v>
      </c>
      <c r="BD55">
        <f>IF('06_Normalizacao'!Q55="",0,'06_Normalizacao'!Q55)</f>
        <v>64.305999999999997</v>
      </c>
      <c r="BE55">
        <f>IF('06_Normalizacao'!R55="",0,'06_Normalizacao'!R55)</f>
        <v>64.619</v>
      </c>
      <c r="BF55">
        <f>IF('06_Normalizacao'!S55="",0,'06_Normalizacao'!S55)</f>
        <v>64.369</v>
      </c>
      <c r="BG55">
        <f>IF('06_Normalizacao'!T55="",0,'06_Normalizacao'!T55)</f>
        <v>64.382999999999996</v>
      </c>
      <c r="BH55">
        <f>IF('06_Normalizacao'!U55="",0,'06_Normalizacao'!U55)</f>
        <v>64.236000000000004</v>
      </c>
      <c r="BJ55">
        <f>IF('06_Normalizacao'!K55="",0,1)</f>
        <v>1</v>
      </c>
      <c r="BK55">
        <f>IF('06_Normalizacao'!L55="",0,1)</f>
        <v>1</v>
      </c>
      <c r="BL55">
        <f>IF('06_Normalizacao'!M55="",0,1)</f>
        <v>1</v>
      </c>
      <c r="BM55">
        <f>IF('06_Normalizacao'!N55="",0,1)</f>
        <v>1</v>
      </c>
      <c r="BN55">
        <f>IF('06_Normalizacao'!O55="",0,1)</f>
        <v>1</v>
      </c>
      <c r="BO55">
        <f>IF('06_Normalizacao'!P55="",0,1)</f>
        <v>1</v>
      </c>
      <c r="BP55">
        <f>IF('06_Normalizacao'!Q55="",0,1)</f>
        <v>1</v>
      </c>
      <c r="BQ55">
        <f>IF('06_Normalizacao'!R55="",0,1)</f>
        <v>1</v>
      </c>
      <c r="BR55">
        <f>IF('06_Normalizacao'!S55="",0,1)</f>
        <v>1</v>
      </c>
      <c r="BS55">
        <f>IF('06_Normalizacao'!T55="",0,1)</f>
        <v>1</v>
      </c>
      <c r="BT55">
        <f>IF('06_Normalizacao'!U55="",0,1)</f>
        <v>1</v>
      </c>
    </row>
    <row r="56" spans="1:72">
      <c r="A56" s="6" t="str">
        <f>'03_Base_Indice'!D56</f>
        <v>LAB002</v>
      </c>
      <c r="B56">
        <f>IFERROR(LOOKUP(2,1/ISNUMBER('03_Base_Indice'!$K56:K56),COLUMN('03_Base_Indice'!$K56:K56)-COLUMN('03_Base_Indice'!$K56)+1),"")</f>
        <v>1</v>
      </c>
      <c r="C56">
        <f>IFERROR(LOOKUP(2,1/ISNUMBER('03_Base_Indice'!$K56:L56),COLUMN('03_Base_Indice'!$K56:L56)-COLUMN('03_Base_Indice'!$K56)+1),"")</f>
        <v>2</v>
      </c>
      <c r="D56">
        <f>IFERROR(LOOKUP(2,1/ISNUMBER('03_Base_Indice'!$K56:M56),COLUMN('03_Base_Indice'!$K56:M56)-COLUMN('03_Base_Indice'!$K56)+1),"")</f>
        <v>3</v>
      </c>
      <c r="E56">
        <f>IFERROR(LOOKUP(2,1/ISNUMBER('03_Base_Indice'!$K56:N56),COLUMN('03_Base_Indice'!$K56:N56)-COLUMN('03_Base_Indice'!$K56)+1),"")</f>
        <v>4</v>
      </c>
      <c r="F56">
        <f>IFERROR(LOOKUP(2,1/ISNUMBER('03_Base_Indice'!$K56:O56),COLUMN('03_Base_Indice'!$K56:O56)-COLUMN('03_Base_Indice'!$K56)+1),"")</f>
        <v>5</v>
      </c>
      <c r="G56">
        <f>IFERROR(LOOKUP(2,1/ISNUMBER('03_Base_Indice'!$K56:P56),COLUMN('03_Base_Indice'!$K56:P56)-COLUMN('03_Base_Indice'!$K56)+1),"")</f>
        <v>6</v>
      </c>
      <c r="H56">
        <f>IFERROR(LOOKUP(2,1/ISNUMBER('03_Base_Indice'!$K56:Q56),COLUMN('03_Base_Indice'!$K56:Q56)-COLUMN('03_Base_Indice'!$K56)+1),"")</f>
        <v>7</v>
      </c>
      <c r="I56">
        <f>IFERROR(LOOKUP(2,1/ISNUMBER('03_Base_Indice'!$K56:R56),COLUMN('03_Base_Indice'!$K56:R56)-COLUMN('03_Base_Indice'!$K56)+1),"")</f>
        <v>8</v>
      </c>
      <c r="J56">
        <f>IFERROR(LOOKUP(2,1/ISNUMBER('03_Base_Indice'!$K56:S56),COLUMN('03_Base_Indice'!$K56:S56)-COLUMN('03_Base_Indice'!$K56)+1),"")</f>
        <v>9</v>
      </c>
      <c r="K56">
        <f>IFERROR(LOOKUP(2,1/ISNUMBER('03_Base_Indice'!$K56:T56),COLUMN('03_Base_Indice'!$K56:T56)-COLUMN('03_Base_Indice'!$K56)+1),"")</f>
        <v>10</v>
      </c>
      <c r="L56">
        <f>IFERROR(LOOKUP(2,1/ISNUMBER('03_Base_Indice'!$K56:U56),COLUMN('03_Base_Indice'!$K56:U56)-COLUMN('03_Base_Indice'!$K56)+1),"")</f>
        <v>11</v>
      </c>
      <c r="N56">
        <f>IFERROR(MATCH(TRUE,INDEX(ISNUMBER('03_Base_Indice'!K56:$U56),0),0)+0,"")</f>
        <v>1</v>
      </c>
      <c r="O56">
        <f>IFERROR(MATCH(TRUE,INDEX(ISNUMBER('03_Base_Indice'!L56:$U56),0),0)+1,"")</f>
        <v>2</v>
      </c>
      <c r="P56">
        <f>IFERROR(MATCH(TRUE,INDEX(ISNUMBER('03_Base_Indice'!M56:$U56),0),0)+2,"")</f>
        <v>3</v>
      </c>
      <c r="Q56">
        <f>IFERROR(MATCH(TRUE,INDEX(ISNUMBER('03_Base_Indice'!N56:$U56),0),0)+3,"")</f>
        <v>4</v>
      </c>
      <c r="R56">
        <f>IFERROR(MATCH(TRUE,INDEX(ISNUMBER('03_Base_Indice'!O56:$U56),0),0)+4,"")</f>
        <v>5</v>
      </c>
      <c r="S56">
        <f>IFERROR(MATCH(TRUE,INDEX(ISNUMBER('03_Base_Indice'!P56:$U56),0),0)+5,"")</f>
        <v>6</v>
      </c>
      <c r="T56">
        <f>IFERROR(MATCH(TRUE,INDEX(ISNUMBER('03_Base_Indice'!Q56:$U56),0),0)+6,"")</f>
        <v>7</v>
      </c>
      <c r="U56">
        <f>IFERROR(MATCH(TRUE,INDEX(ISNUMBER('03_Base_Indice'!R56:$U56),0),0)+7,"")</f>
        <v>8</v>
      </c>
      <c r="V56">
        <f>IFERROR(MATCH(TRUE,INDEX(ISNUMBER('03_Base_Indice'!S56:$U56),0),0)+8,"")</f>
        <v>9</v>
      </c>
      <c r="W56">
        <f>IFERROR(MATCH(TRUE,INDEX(ISNUMBER('03_Base_Indice'!T56:$U56),0),0)+9,"")</f>
        <v>10</v>
      </c>
      <c r="X56">
        <f>IFERROR(MATCH(TRUE,INDEX(ISNUMBER('03_Base_Indice'!U56:$U56),0),0)+10,"")</f>
        <v>11</v>
      </c>
      <c r="Z56">
        <f>IF(B56="","",INDEX('03_Base_Indice'!$K56:$U56,B56))</f>
        <v>16.472000000000001</v>
      </c>
      <c r="AA56">
        <f>IF(C56="","",INDEX('03_Base_Indice'!$K56:$U56,C56))</f>
        <v>16.571999999999999</v>
      </c>
      <c r="AB56">
        <f>IF(D56="","",INDEX('03_Base_Indice'!$K56:$U56,D56))</f>
        <v>16.617000000000001</v>
      </c>
      <c r="AC56">
        <f>IF(E56="","",INDEX('03_Base_Indice'!$K56:$U56,E56))</f>
        <v>16.602</v>
      </c>
      <c r="AD56">
        <f>IF(F56="","",INDEX('03_Base_Indice'!$K56:$U56,F56))</f>
        <v>16.497</v>
      </c>
      <c r="AE56">
        <f>IF(G56="","",INDEX('03_Base_Indice'!$K56:$U56,G56))</f>
        <v>16.696000000000002</v>
      </c>
      <c r="AF56">
        <f>IF(H56="","",INDEX('03_Base_Indice'!$K56:$U56,H56))</f>
        <v>15.798999999999999</v>
      </c>
      <c r="AG56">
        <f>IF(I56="","",INDEX('03_Base_Indice'!$K56:$U56,I56))</f>
        <v>14.124000000000001</v>
      </c>
      <c r="AH56">
        <f>IF(J56="","",INDEX('03_Base_Indice'!$K56:$U56,J56))</f>
        <v>14.051</v>
      </c>
      <c r="AI56">
        <f>IF(K56="","",INDEX('03_Base_Indice'!$K56:$U56,K56))</f>
        <v>14.02</v>
      </c>
      <c r="AJ56">
        <f>IF(L56="","",INDEX('03_Base_Indice'!$K56:$U56,L56))</f>
        <v>14.108000000000001</v>
      </c>
      <c r="AL56">
        <f>IF(N56="","",INDEX('03_Base_Indice'!$K56:$U56,N56))</f>
        <v>16.472000000000001</v>
      </c>
      <c r="AM56">
        <f>IF(O56="","",INDEX('03_Base_Indice'!$K56:$U56,O56))</f>
        <v>16.571999999999999</v>
      </c>
      <c r="AN56">
        <f>IF(P56="","",INDEX('03_Base_Indice'!$K56:$U56,P56))</f>
        <v>16.617000000000001</v>
      </c>
      <c r="AO56">
        <f>IF(Q56="","",INDEX('03_Base_Indice'!$K56:$U56,Q56))</f>
        <v>16.602</v>
      </c>
      <c r="AP56">
        <f>IF(R56="","",INDEX('03_Base_Indice'!$K56:$U56,R56))</f>
        <v>16.497</v>
      </c>
      <c r="AQ56">
        <f>IF(S56="","",INDEX('03_Base_Indice'!$K56:$U56,S56))</f>
        <v>16.696000000000002</v>
      </c>
      <c r="AR56">
        <f>IF(T56="","",INDEX('03_Base_Indice'!$K56:$U56,T56))</f>
        <v>15.798999999999999</v>
      </c>
      <c r="AS56">
        <f>IF(U56="","",INDEX('03_Base_Indice'!$K56:$U56,U56))</f>
        <v>14.124000000000001</v>
      </c>
      <c r="AT56">
        <f>IF(V56="","",INDEX('03_Base_Indice'!$K56:$U56,V56))</f>
        <v>14.051</v>
      </c>
      <c r="AU56">
        <f>IF(W56="","",INDEX('03_Base_Indice'!$K56:$U56,W56))</f>
        <v>14.02</v>
      </c>
      <c r="AV56">
        <f>IF(X56="","",INDEX('03_Base_Indice'!$K56:$U56,X56))</f>
        <v>14.108000000000001</v>
      </c>
      <c r="AX56">
        <f>IF('06_Normalizacao'!K56="",0,'06_Normalizacao'!K56)</f>
        <v>67.055999999999997</v>
      </c>
      <c r="AY56">
        <f>IF('06_Normalizacao'!L56="",0,'06_Normalizacao'!L56)</f>
        <v>66.855999999999995</v>
      </c>
      <c r="AZ56">
        <f>IF('06_Normalizacao'!M56="",0,'06_Normalizacao'!M56)</f>
        <v>66.765999999999991</v>
      </c>
      <c r="BA56">
        <f>IF('06_Normalizacao'!N56="",0,'06_Normalizacao'!N56)</f>
        <v>66.795999999999992</v>
      </c>
      <c r="BB56">
        <f>IF('06_Normalizacao'!O56="",0,'06_Normalizacao'!O56)</f>
        <v>67.006</v>
      </c>
      <c r="BC56">
        <f>IF('06_Normalizacao'!P56="",0,'06_Normalizacao'!P56)</f>
        <v>66.608000000000004</v>
      </c>
      <c r="BD56">
        <f>IF('06_Normalizacao'!Q56="",0,'06_Normalizacao'!Q56)</f>
        <v>68.402000000000001</v>
      </c>
      <c r="BE56">
        <f>IF('06_Normalizacao'!R56="",0,'06_Normalizacao'!R56)</f>
        <v>71.751999999999995</v>
      </c>
      <c r="BF56">
        <f>IF('06_Normalizacao'!S56="",0,'06_Normalizacao'!S56)</f>
        <v>71.897999999999996</v>
      </c>
      <c r="BG56">
        <f>IF('06_Normalizacao'!T56="",0,'06_Normalizacao'!T56)</f>
        <v>71.960000000000008</v>
      </c>
      <c r="BH56">
        <f>IF('06_Normalizacao'!U56="",0,'06_Normalizacao'!U56)</f>
        <v>71.783999999999992</v>
      </c>
      <c r="BJ56">
        <f>IF('06_Normalizacao'!K56="",0,1)</f>
        <v>1</v>
      </c>
      <c r="BK56">
        <f>IF('06_Normalizacao'!L56="",0,1)</f>
        <v>1</v>
      </c>
      <c r="BL56">
        <f>IF('06_Normalizacao'!M56="",0,1)</f>
        <v>1</v>
      </c>
      <c r="BM56">
        <f>IF('06_Normalizacao'!N56="",0,1)</f>
        <v>1</v>
      </c>
      <c r="BN56">
        <f>IF('06_Normalizacao'!O56="",0,1)</f>
        <v>1</v>
      </c>
      <c r="BO56">
        <f>IF('06_Normalizacao'!P56="",0,1)</f>
        <v>1</v>
      </c>
      <c r="BP56">
        <f>IF('06_Normalizacao'!Q56="",0,1)</f>
        <v>1</v>
      </c>
      <c r="BQ56">
        <f>IF('06_Normalizacao'!R56="",0,1)</f>
        <v>1</v>
      </c>
      <c r="BR56">
        <f>IF('06_Normalizacao'!S56="",0,1)</f>
        <v>1</v>
      </c>
      <c r="BS56">
        <f>IF('06_Normalizacao'!T56="",0,1)</f>
        <v>1</v>
      </c>
      <c r="BT56">
        <f>IF('06_Normalizacao'!U56="",0,1)</f>
        <v>1</v>
      </c>
    </row>
    <row r="57" spans="1:72">
      <c r="A57" s="6" t="str">
        <f>'03_Base_Indice'!D57</f>
        <v>LAB003</v>
      </c>
      <c r="B57">
        <f>IFERROR(LOOKUP(2,1/ISNUMBER('03_Base_Indice'!$K57:K57),COLUMN('03_Base_Indice'!$K57:K57)-COLUMN('03_Base_Indice'!$K57)+1),"")</f>
        <v>1</v>
      </c>
      <c r="C57">
        <f>IFERROR(LOOKUP(2,1/ISNUMBER('03_Base_Indice'!$K57:L57),COLUMN('03_Base_Indice'!$K57:L57)-COLUMN('03_Base_Indice'!$K57)+1),"")</f>
        <v>2</v>
      </c>
      <c r="D57">
        <f>IFERROR(LOOKUP(2,1/ISNUMBER('03_Base_Indice'!$K57:M57),COLUMN('03_Base_Indice'!$K57:M57)-COLUMN('03_Base_Indice'!$K57)+1),"")</f>
        <v>3</v>
      </c>
      <c r="E57">
        <f>IFERROR(LOOKUP(2,1/ISNUMBER('03_Base_Indice'!$K57:N57),COLUMN('03_Base_Indice'!$K57:N57)-COLUMN('03_Base_Indice'!$K57)+1),"")</f>
        <v>4</v>
      </c>
      <c r="F57">
        <f>IFERROR(LOOKUP(2,1/ISNUMBER('03_Base_Indice'!$K57:O57),COLUMN('03_Base_Indice'!$K57:O57)-COLUMN('03_Base_Indice'!$K57)+1),"")</f>
        <v>5</v>
      </c>
      <c r="G57">
        <f>IFERROR(LOOKUP(2,1/ISNUMBER('03_Base_Indice'!$K57:P57),COLUMN('03_Base_Indice'!$K57:P57)-COLUMN('03_Base_Indice'!$K57)+1),"")</f>
        <v>6</v>
      </c>
      <c r="H57">
        <f>IFERROR(LOOKUP(2,1/ISNUMBER('03_Base_Indice'!$K57:Q57),COLUMN('03_Base_Indice'!$K57:Q57)-COLUMN('03_Base_Indice'!$K57)+1),"")</f>
        <v>7</v>
      </c>
      <c r="I57">
        <f>IFERROR(LOOKUP(2,1/ISNUMBER('03_Base_Indice'!$K57:R57),COLUMN('03_Base_Indice'!$K57:R57)-COLUMN('03_Base_Indice'!$K57)+1),"")</f>
        <v>8</v>
      </c>
      <c r="J57">
        <f>IFERROR(LOOKUP(2,1/ISNUMBER('03_Base_Indice'!$K57:S57),COLUMN('03_Base_Indice'!$K57:S57)-COLUMN('03_Base_Indice'!$K57)+1),"")</f>
        <v>9</v>
      </c>
      <c r="K57">
        <f>IFERROR(LOOKUP(2,1/ISNUMBER('03_Base_Indice'!$K57:T57),COLUMN('03_Base_Indice'!$K57:T57)-COLUMN('03_Base_Indice'!$K57)+1),"")</f>
        <v>10</v>
      </c>
      <c r="L57">
        <f>IFERROR(LOOKUP(2,1/ISNUMBER('03_Base_Indice'!$K57:U57),COLUMN('03_Base_Indice'!$K57:U57)-COLUMN('03_Base_Indice'!$K57)+1),"")</f>
        <v>11</v>
      </c>
      <c r="N57">
        <f>IFERROR(MATCH(TRUE,INDEX(ISNUMBER('03_Base_Indice'!K57:$U57),0),0)+0,"")</f>
        <v>1</v>
      </c>
      <c r="O57">
        <f>IFERROR(MATCH(TRUE,INDEX(ISNUMBER('03_Base_Indice'!L57:$U57),0),0)+1,"")</f>
        <v>2</v>
      </c>
      <c r="P57">
        <f>IFERROR(MATCH(TRUE,INDEX(ISNUMBER('03_Base_Indice'!M57:$U57),0),0)+2,"")</f>
        <v>3</v>
      </c>
      <c r="Q57">
        <f>IFERROR(MATCH(TRUE,INDEX(ISNUMBER('03_Base_Indice'!N57:$U57),0),0)+3,"")</f>
        <v>4</v>
      </c>
      <c r="R57">
        <f>IFERROR(MATCH(TRUE,INDEX(ISNUMBER('03_Base_Indice'!O57:$U57),0),0)+4,"")</f>
        <v>5</v>
      </c>
      <c r="S57">
        <f>IFERROR(MATCH(TRUE,INDEX(ISNUMBER('03_Base_Indice'!P57:$U57),0),0)+5,"")</f>
        <v>6</v>
      </c>
      <c r="T57">
        <f>IFERROR(MATCH(TRUE,INDEX(ISNUMBER('03_Base_Indice'!Q57:$U57),0),0)+6,"")</f>
        <v>7</v>
      </c>
      <c r="U57">
        <f>IFERROR(MATCH(TRUE,INDEX(ISNUMBER('03_Base_Indice'!R57:$U57),0),0)+7,"")</f>
        <v>8</v>
      </c>
      <c r="V57">
        <f>IFERROR(MATCH(TRUE,INDEX(ISNUMBER('03_Base_Indice'!S57:$U57),0),0)+8,"")</f>
        <v>9</v>
      </c>
      <c r="W57">
        <f>IFERROR(MATCH(TRUE,INDEX(ISNUMBER('03_Base_Indice'!T57:$U57),0),0)+9,"")</f>
        <v>10</v>
      </c>
      <c r="X57">
        <f>IFERROR(MATCH(TRUE,INDEX(ISNUMBER('03_Base_Indice'!U57:$U57),0),0)+10,"")</f>
        <v>11</v>
      </c>
      <c r="Z57">
        <f>IF(B57="","",INDEX('03_Base_Indice'!$K57:$U57,B57))</f>
        <v>35.122</v>
      </c>
      <c r="AA57">
        <f>IF(C57="","",INDEX('03_Base_Indice'!$K57:$U57,C57))</f>
        <v>34.482999999999997</v>
      </c>
      <c r="AB57">
        <f>IF(D57="","",INDEX('03_Base_Indice'!$K57:$U57,D57))</f>
        <v>33.725000000000001</v>
      </c>
      <c r="AC57">
        <f>IF(E57="","",INDEX('03_Base_Indice'!$K57:$U57,E57))</f>
        <v>32.854999999999997</v>
      </c>
      <c r="AD57">
        <f>IF(F57="","",INDEX('03_Base_Indice'!$K57:$U57,F57))</f>
        <v>31.832000000000001</v>
      </c>
      <c r="AE57">
        <f>IF(G57="","",INDEX('03_Base_Indice'!$K57:$U57,G57))</f>
        <v>33.076000000000001</v>
      </c>
      <c r="AF57">
        <f>IF(H57="","",INDEX('03_Base_Indice'!$K57:$U57,H57))</f>
        <v>30.170999999999999</v>
      </c>
      <c r="AG57">
        <f>IF(I57="","",INDEX('03_Base_Indice'!$K57:$U57,I57))</f>
        <v>27.143000000000001</v>
      </c>
      <c r="AH57">
        <f>IF(J57="","",INDEX('03_Base_Indice'!$K57:$U57,J57))</f>
        <v>26.834</v>
      </c>
      <c r="AI57">
        <f>IF(K57="","",INDEX('03_Base_Indice'!$K57:$U57,K57))</f>
        <v>26.74</v>
      </c>
      <c r="AJ57">
        <f>IF(L57="","",INDEX('03_Base_Indice'!$K57:$U57,L57))</f>
        <v>27.228999999999999</v>
      </c>
      <c r="AL57">
        <f>IF(N57="","",INDEX('03_Base_Indice'!$K57:$U57,N57))</f>
        <v>35.122</v>
      </c>
      <c r="AM57">
        <f>IF(O57="","",INDEX('03_Base_Indice'!$K57:$U57,O57))</f>
        <v>34.482999999999997</v>
      </c>
      <c r="AN57">
        <f>IF(P57="","",INDEX('03_Base_Indice'!$K57:$U57,P57))</f>
        <v>33.725000000000001</v>
      </c>
      <c r="AO57">
        <f>IF(Q57="","",INDEX('03_Base_Indice'!$K57:$U57,Q57))</f>
        <v>32.854999999999997</v>
      </c>
      <c r="AP57">
        <f>IF(R57="","",INDEX('03_Base_Indice'!$K57:$U57,R57))</f>
        <v>31.832000000000001</v>
      </c>
      <c r="AQ57">
        <f>IF(S57="","",INDEX('03_Base_Indice'!$K57:$U57,S57))</f>
        <v>33.076000000000001</v>
      </c>
      <c r="AR57">
        <f>IF(T57="","",INDEX('03_Base_Indice'!$K57:$U57,T57))</f>
        <v>30.170999999999999</v>
      </c>
      <c r="AS57">
        <f>IF(U57="","",INDEX('03_Base_Indice'!$K57:$U57,U57))</f>
        <v>27.143000000000001</v>
      </c>
      <c r="AT57">
        <f>IF(V57="","",INDEX('03_Base_Indice'!$K57:$U57,V57))</f>
        <v>26.834</v>
      </c>
      <c r="AU57">
        <f>IF(W57="","",INDEX('03_Base_Indice'!$K57:$U57,W57))</f>
        <v>26.74</v>
      </c>
      <c r="AV57">
        <f>IF(X57="","",INDEX('03_Base_Indice'!$K57:$U57,X57))</f>
        <v>27.228999999999999</v>
      </c>
      <c r="AX57">
        <f>IF('06_Normalizacao'!K57="",0,'06_Normalizacao'!K57)</f>
        <v>36.11249999999999</v>
      </c>
      <c r="AY57">
        <f>IF('06_Normalizacao'!L57="",0,'06_Normalizacao'!L57)</f>
        <v>40.10625000000001</v>
      </c>
      <c r="AZ57">
        <f>IF('06_Normalizacao'!M57="",0,'06_Normalizacao'!M57)</f>
        <v>44.843749999999986</v>
      </c>
      <c r="BA57">
        <f>IF('06_Normalizacao'!N57="",0,'06_Normalizacao'!N57)</f>
        <v>50.281250000000014</v>
      </c>
      <c r="BB57">
        <f>IF('06_Normalizacao'!O57="",0,'06_Normalizacao'!O57)</f>
        <v>56.674999999999983</v>
      </c>
      <c r="BC57">
        <f>IF('06_Normalizacao'!P57="",0,'06_Normalizacao'!P57)</f>
        <v>48.899999999999991</v>
      </c>
      <c r="BD57">
        <f>IF('06_Normalizacao'!Q57="",0,'06_Normalizacao'!Q57)</f>
        <v>67.056249999999991</v>
      </c>
      <c r="BE57">
        <f>IF('06_Normalizacao'!R57="",0,'06_Normalizacao'!R57)</f>
        <v>85.981249999999989</v>
      </c>
      <c r="BF57">
        <f>IF('06_Normalizacao'!S57="",0,'06_Normalizacao'!S57)</f>
        <v>87.912499999999994</v>
      </c>
      <c r="BG57">
        <f>IF('06_Normalizacao'!T57="",0,'06_Normalizacao'!T57)</f>
        <v>88.5</v>
      </c>
      <c r="BH57">
        <f>IF('06_Normalizacao'!U57="",0,'06_Normalizacao'!U57)</f>
        <v>85.443749999999994</v>
      </c>
      <c r="BJ57">
        <f>IF('06_Normalizacao'!K57="",0,1)</f>
        <v>1</v>
      </c>
      <c r="BK57">
        <f>IF('06_Normalizacao'!L57="",0,1)</f>
        <v>1</v>
      </c>
      <c r="BL57">
        <f>IF('06_Normalizacao'!M57="",0,1)</f>
        <v>1</v>
      </c>
      <c r="BM57">
        <f>IF('06_Normalizacao'!N57="",0,1)</f>
        <v>1</v>
      </c>
      <c r="BN57">
        <f>IF('06_Normalizacao'!O57="",0,1)</f>
        <v>1</v>
      </c>
      <c r="BO57">
        <f>IF('06_Normalizacao'!P57="",0,1)</f>
        <v>1</v>
      </c>
      <c r="BP57">
        <f>IF('06_Normalizacao'!Q57="",0,1)</f>
        <v>1</v>
      </c>
      <c r="BQ57">
        <f>IF('06_Normalizacao'!R57="",0,1)</f>
        <v>1</v>
      </c>
      <c r="BR57">
        <f>IF('06_Normalizacao'!S57="",0,1)</f>
        <v>1</v>
      </c>
      <c r="BS57">
        <f>IF('06_Normalizacao'!T57="",0,1)</f>
        <v>1</v>
      </c>
      <c r="BT57">
        <f>IF('06_Normalizacao'!U57="",0,1)</f>
        <v>1</v>
      </c>
    </row>
    <row r="58" spans="1:72">
      <c r="A58" s="6" t="str">
        <f>'03_Base_Indice'!D58</f>
        <v>LAB016</v>
      </c>
      <c r="B58">
        <f>IFERROR(LOOKUP(2,1/ISNUMBER('03_Base_Indice'!$K58:K58),COLUMN('03_Base_Indice'!$K58:K58)-COLUMN('03_Base_Indice'!$K58)+1),"")</f>
        <v>1</v>
      </c>
      <c r="C58">
        <f>IFERROR(LOOKUP(2,1/ISNUMBER('03_Base_Indice'!$K58:L58),COLUMN('03_Base_Indice'!$K58:L58)-COLUMN('03_Base_Indice'!$K58)+1),"")</f>
        <v>2</v>
      </c>
      <c r="D58">
        <f>IFERROR(LOOKUP(2,1/ISNUMBER('03_Base_Indice'!$K58:M58),COLUMN('03_Base_Indice'!$K58:M58)-COLUMN('03_Base_Indice'!$K58)+1),"")</f>
        <v>3</v>
      </c>
      <c r="E58">
        <f>IFERROR(LOOKUP(2,1/ISNUMBER('03_Base_Indice'!$K58:N58),COLUMN('03_Base_Indice'!$K58:N58)-COLUMN('03_Base_Indice'!$K58)+1),"")</f>
        <v>4</v>
      </c>
      <c r="F58">
        <f>IFERROR(LOOKUP(2,1/ISNUMBER('03_Base_Indice'!$K58:O58),COLUMN('03_Base_Indice'!$K58:O58)-COLUMN('03_Base_Indice'!$K58)+1),"")</f>
        <v>5</v>
      </c>
      <c r="G58">
        <f>IFERROR(LOOKUP(2,1/ISNUMBER('03_Base_Indice'!$K58:P58),COLUMN('03_Base_Indice'!$K58:P58)-COLUMN('03_Base_Indice'!$K58)+1),"")</f>
        <v>6</v>
      </c>
      <c r="H58">
        <f>IFERROR(LOOKUP(2,1/ISNUMBER('03_Base_Indice'!$K58:Q58),COLUMN('03_Base_Indice'!$K58:Q58)-COLUMN('03_Base_Indice'!$K58)+1),"")</f>
        <v>7</v>
      </c>
      <c r="I58">
        <f>IFERROR(LOOKUP(2,1/ISNUMBER('03_Base_Indice'!$K58:R58),COLUMN('03_Base_Indice'!$K58:R58)-COLUMN('03_Base_Indice'!$K58)+1),"")</f>
        <v>8</v>
      </c>
      <c r="J58">
        <f>IFERROR(LOOKUP(2,1/ISNUMBER('03_Base_Indice'!$K58:S58),COLUMN('03_Base_Indice'!$K58:S58)-COLUMN('03_Base_Indice'!$K58)+1),"")</f>
        <v>9</v>
      </c>
      <c r="K58">
        <f>IFERROR(LOOKUP(2,1/ISNUMBER('03_Base_Indice'!$K58:T58),COLUMN('03_Base_Indice'!$K58:T58)-COLUMN('03_Base_Indice'!$K58)+1),"")</f>
        <v>10</v>
      </c>
      <c r="L58">
        <f>IFERROR(LOOKUP(2,1/ISNUMBER('03_Base_Indice'!$K58:U58),COLUMN('03_Base_Indice'!$K58:U58)-COLUMN('03_Base_Indice'!$K58)+1),"")</f>
        <v>11</v>
      </c>
      <c r="N58">
        <f>IFERROR(MATCH(TRUE,INDEX(ISNUMBER('03_Base_Indice'!K58:$U58),0),0)+0,"")</f>
        <v>1</v>
      </c>
      <c r="O58">
        <f>IFERROR(MATCH(TRUE,INDEX(ISNUMBER('03_Base_Indice'!L58:$U58),0),0)+1,"")</f>
        <v>2</v>
      </c>
      <c r="P58">
        <f>IFERROR(MATCH(TRUE,INDEX(ISNUMBER('03_Base_Indice'!M58:$U58),0),0)+2,"")</f>
        <v>3</v>
      </c>
      <c r="Q58">
        <f>IFERROR(MATCH(TRUE,INDEX(ISNUMBER('03_Base_Indice'!N58:$U58),0),0)+3,"")</f>
        <v>4</v>
      </c>
      <c r="R58">
        <f>IFERROR(MATCH(TRUE,INDEX(ISNUMBER('03_Base_Indice'!O58:$U58),0),0)+4,"")</f>
        <v>5</v>
      </c>
      <c r="S58">
        <f>IFERROR(MATCH(TRUE,INDEX(ISNUMBER('03_Base_Indice'!P58:$U58),0),0)+5,"")</f>
        <v>6</v>
      </c>
      <c r="T58">
        <f>IFERROR(MATCH(TRUE,INDEX(ISNUMBER('03_Base_Indice'!Q58:$U58),0),0)+6,"")</f>
        <v>7</v>
      </c>
      <c r="U58">
        <f>IFERROR(MATCH(TRUE,INDEX(ISNUMBER('03_Base_Indice'!R58:$U58),0),0)+7,"")</f>
        <v>8</v>
      </c>
      <c r="V58">
        <f>IFERROR(MATCH(TRUE,INDEX(ISNUMBER('03_Base_Indice'!S58:$U58),0),0)+8,"")</f>
        <v>9</v>
      </c>
      <c r="W58">
        <f>IFERROR(MATCH(TRUE,INDEX(ISNUMBER('03_Base_Indice'!T58:$U58),0),0)+9,"")</f>
        <v>10</v>
      </c>
      <c r="X58">
        <f>IFERROR(MATCH(TRUE,INDEX(ISNUMBER('03_Base_Indice'!U58:$U58),0),0)+10,"")</f>
        <v>11</v>
      </c>
      <c r="Z58">
        <f>IF(B58="","",INDEX('03_Base_Indice'!$K58:$U58,B58))</f>
        <v>73.933000000000007</v>
      </c>
      <c r="AA58">
        <f>IF(C58="","",INDEX('03_Base_Indice'!$K58:$U58,C58))</f>
        <v>73.697000000000003</v>
      </c>
      <c r="AB58">
        <f>IF(D58="","",INDEX('03_Base_Indice'!$K58:$U58,D58))</f>
        <v>73.460999999999999</v>
      </c>
      <c r="AC58">
        <f>IF(E58="","",INDEX('03_Base_Indice'!$K58:$U58,E58))</f>
        <v>73.224000000000004</v>
      </c>
      <c r="AD58">
        <f>IF(F58="","",INDEX('03_Base_Indice'!$K58:$U58,F58))</f>
        <v>72.984999999999999</v>
      </c>
      <c r="AE58">
        <f>IF(G58="","",INDEX('03_Base_Indice'!$K58:$U58,G58))</f>
        <v>71.341999999999999</v>
      </c>
      <c r="AF58">
        <f>IF(H58="","",INDEX('03_Base_Indice'!$K58:$U58,H58))</f>
        <v>74.694999999999993</v>
      </c>
      <c r="AG58">
        <f>IF(I58="","",INDEX('03_Base_Indice'!$K58:$U58,I58))</f>
        <v>74.018000000000001</v>
      </c>
      <c r="AH58">
        <f>IF(J58="","",INDEX('03_Base_Indice'!$K58:$U58,J58))</f>
        <v>72.317999999999998</v>
      </c>
      <c r="AI58">
        <f>IF(K58="","",INDEX('03_Base_Indice'!$K58:$U58,K58))</f>
        <v>72.358999999999995</v>
      </c>
      <c r="AJ58">
        <f>IF(L58="","",INDEX('03_Base_Indice'!$K58:$U58,L58))</f>
        <v>72.224000000000004</v>
      </c>
      <c r="AL58">
        <f>IF(N58="","",INDEX('03_Base_Indice'!$K58:$U58,N58))</f>
        <v>73.933000000000007</v>
      </c>
      <c r="AM58">
        <f>IF(O58="","",INDEX('03_Base_Indice'!$K58:$U58,O58))</f>
        <v>73.697000000000003</v>
      </c>
      <c r="AN58">
        <f>IF(P58="","",INDEX('03_Base_Indice'!$K58:$U58,P58))</f>
        <v>73.460999999999999</v>
      </c>
      <c r="AO58">
        <f>IF(Q58="","",INDEX('03_Base_Indice'!$K58:$U58,Q58))</f>
        <v>73.224000000000004</v>
      </c>
      <c r="AP58">
        <f>IF(R58="","",INDEX('03_Base_Indice'!$K58:$U58,R58))</f>
        <v>72.984999999999999</v>
      </c>
      <c r="AQ58">
        <f>IF(S58="","",INDEX('03_Base_Indice'!$K58:$U58,S58))</f>
        <v>71.341999999999999</v>
      </c>
      <c r="AR58">
        <f>IF(T58="","",INDEX('03_Base_Indice'!$K58:$U58,T58))</f>
        <v>74.694999999999993</v>
      </c>
      <c r="AS58">
        <f>IF(U58="","",INDEX('03_Base_Indice'!$K58:$U58,U58))</f>
        <v>74.018000000000001</v>
      </c>
      <c r="AT58">
        <f>IF(V58="","",INDEX('03_Base_Indice'!$K58:$U58,V58))</f>
        <v>72.317999999999998</v>
      </c>
      <c r="AU58">
        <f>IF(W58="","",INDEX('03_Base_Indice'!$K58:$U58,W58))</f>
        <v>72.358999999999995</v>
      </c>
      <c r="AV58">
        <f>IF(X58="","",INDEX('03_Base_Indice'!$K58:$U58,X58))</f>
        <v>72.224000000000004</v>
      </c>
      <c r="AX58">
        <f>IF('06_Normalizacao'!K58="",0,'06_Normalizacao'!K58)</f>
        <v>73.933000000000007</v>
      </c>
      <c r="AY58">
        <f>IF('06_Normalizacao'!L58="",0,'06_Normalizacao'!L58)</f>
        <v>73.697000000000003</v>
      </c>
      <c r="AZ58">
        <f>IF('06_Normalizacao'!M58="",0,'06_Normalizacao'!M58)</f>
        <v>73.460999999999999</v>
      </c>
      <c r="BA58">
        <f>IF('06_Normalizacao'!N58="",0,'06_Normalizacao'!N58)</f>
        <v>73.224000000000004</v>
      </c>
      <c r="BB58">
        <f>IF('06_Normalizacao'!O58="",0,'06_Normalizacao'!O58)</f>
        <v>72.984999999999999</v>
      </c>
      <c r="BC58">
        <f>IF('06_Normalizacao'!P58="",0,'06_Normalizacao'!P58)</f>
        <v>71.341999999999999</v>
      </c>
      <c r="BD58">
        <f>IF('06_Normalizacao'!Q58="",0,'06_Normalizacao'!Q58)</f>
        <v>74.694999999999993</v>
      </c>
      <c r="BE58">
        <f>IF('06_Normalizacao'!R58="",0,'06_Normalizacao'!R58)</f>
        <v>74.018000000000001</v>
      </c>
      <c r="BF58">
        <f>IF('06_Normalizacao'!S58="",0,'06_Normalizacao'!S58)</f>
        <v>72.317999999999998</v>
      </c>
      <c r="BG58">
        <f>IF('06_Normalizacao'!T58="",0,'06_Normalizacao'!T58)</f>
        <v>72.358999999999995</v>
      </c>
      <c r="BH58">
        <f>IF('06_Normalizacao'!U58="",0,'06_Normalizacao'!U58)</f>
        <v>72.224000000000004</v>
      </c>
      <c r="BJ58">
        <f>IF('06_Normalizacao'!K58="",0,1)</f>
        <v>1</v>
      </c>
      <c r="BK58">
        <f>IF('06_Normalizacao'!L58="",0,1)</f>
        <v>1</v>
      </c>
      <c r="BL58">
        <f>IF('06_Normalizacao'!M58="",0,1)</f>
        <v>1</v>
      </c>
      <c r="BM58">
        <f>IF('06_Normalizacao'!N58="",0,1)</f>
        <v>1</v>
      </c>
      <c r="BN58">
        <f>IF('06_Normalizacao'!O58="",0,1)</f>
        <v>1</v>
      </c>
      <c r="BO58">
        <f>IF('06_Normalizacao'!P58="",0,1)</f>
        <v>1</v>
      </c>
      <c r="BP58">
        <f>IF('06_Normalizacao'!Q58="",0,1)</f>
        <v>1</v>
      </c>
      <c r="BQ58">
        <f>IF('06_Normalizacao'!R58="",0,1)</f>
        <v>1</v>
      </c>
      <c r="BR58">
        <f>IF('06_Normalizacao'!S58="",0,1)</f>
        <v>1</v>
      </c>
      <c r="BS58">
        <f>IF('06_Normalizacao'!T58="",0,1)</f>
        <v>1</v>
      </c>
      <c r="BT58">
        <f>IF('06_Normalizacao'!U58="",0,1)</f>
        <v>1</v>
      </c>
    </row>
    <row r="59" spans="1:72">
      <c r="A59" s="6" t="str">
        <f>'03_Base_Indice'!D59</f>
        <v>LAB025</v>
      </c>
      <c r="B59">
        <f>IFERROR(LOOKUP(2,1/ISNUMBER('03_Base_Indice'!$K59:K59),COLUMN('03_Base_Indice'!$K59:K59)-COLUMN('03_Base_Indice'!$K59)+1),"")</f>
        <v>1</v>
      </c>
      <c r="C59">
        <f>IFERROR(LOOKUP(2,1/ISNUMBER('03_Base_Indice'!$K59:L59),COLUMN('03_Base_Indice'!$K59:L59)-COLUMN('03_Base_Indice'!$K59)+1),"")</f>
        <v>2</v>
      </c>
      <c r="D59">
        <f>IFERROR(LOOKUP(2,1/ISNUMBER('03_Base_Indice'!$K59:M59),COLUMN('03_Base_Indice'!$K59:M59)-COLUMN('03_Base_Indice'!$K59)+1),"")</f>
        <v>3</v>
      </c>
      <c r="E59">
        <f>IFERROR(LOOKUP(2,1/ISNUMBER('03_Base_Indice'!$K59:N59),COLUMN('03_Base_Indice'!$K59:N59)-COLUMN('03_Base_Indice'!$K59)+1),"")</f>
        <v>4</v>
      </c>
      <c r="F59">
        <f>IFERROR(LOOKUP(2,1/ISNUMBER('03_Base_Indice'!$K59:O59),COLUMN('03_Base_Indice'!$K59:O59)-COLUMN('03_Base_Indice'!$K59)+1),"")</f>
        <v>5</v>
      </c>
      <c r="G59">
        <f>IFERROR(LOOKUP(2,1/ISNUMBER('03_Base_Indice'!$K59:P59),COLUMN('03_Base_Indice'!$K59:P59)-COLUMN('03_Base_Indice'!$K59)+1),"")</f>
        <v>6</v>
      </c>
      <c r="H59">
        <f>IFERROR(LOOKUP(2,1/ISNUMBER('03_Base_Indice'!$K59:Q59),COLUMN('03_Base_Indice'!$K59:Q59)-COLUMN('03_Base_Indice'!$K59)+1),"")</f>
        <v>7</v>
      </c>
      <c r="I59">
        <f>IFERROR(LOOKUP(2,1/ISNUMBER('03_Base_Indice'!$K59:R59),COLUMN('03_Base_Indice'!$K59:R59)-COLUMN('03_Base_Indice'!$K59)+1),"")</f>
        <v>8</v>
      </c>
      <c r="J59">
        <f>IFERROR(LOOKUP(2,1/ISNUMBER('03_Base_Indice'!$K59:S59),COLUMN('03_Base_Indice'!$K59:S59)-COLUMN('03_Base_Indice'!$K59)+1),"")</f>
        <v>9</v>
      </c>
      <c r="K59">
        <f>IFERROR(LOOKUP(2,1/ISNUMBER('03_Base_Indice'!$K59:T59),COLUMN('03_Base_Indice'!$K59:T59)-COLUMN('03_Base_Indice'!$K59)+1),"")</f>
        <v>10</v>
      </c>
      <c r="L59">
        <f>IFERROR(LOOKUP(2,1/ISNUMBER('03_Base_Indice'!$K59:U59),COLUMN('03_Base_Indice'!$K59:U59)-COLUMN('03_Base_Indice'!$K59)+1),"")</f>
        <v>11</v>
      </c>
      <c r="N59">
        <f>IFERROR(MATCH(TRUE,INDEX(ISNUMBER('03_Base_Indice'!K59:$U59),0),0)+0,"")</f>
        <v>1</v>
      </c>
      <c r="O59">
        <f>IFERROR(MATCH(TRUE,INDEX(ISNUMBER('03_Base_Indice'!L59:$U59),0),0)+1,"")</f>
        <v>2</v>
      </c>
      <c r="P59">
        <f>IFERROR(MATCH(TRUE,INDEX(ISNUMBER('03_Base_Indice'!M59:$U59),0),0)+2,"")</f>
        <v>3</v>
      </c>
      <c r="Q59">
        <f>IFERROR(MATCH(TRUE,INDEX(ISNUMBER('03_Base_Indice'!N59:$U59),0),0)+3,"")</f>
        <v>4</v>
      </c>
      <c r="R59">
        <f>IFERROR(MATCH(TRUE,INDEX(ISNUMBER('03_Base_Indice'!O59:$U59),0),0)+4,"")</f>
        <v>5</v>
      </c>
      <c r="S59">
        <f>IFERROR(MATCH(TRUE,INDEX(ISNUMBER('03_Base_Indice'!P59:$U59),0),0)+5,"")</f>
        <v>6</v>
      </c>
      <c r="T59">
        <f>IFERROR(MATCH(TRUE,INDEX(ISNUMBER('03_Base_Indice'!Q59:$U59),0),0)+6,"")</f>
        <v>7</v>
      </c>
      <c r="U59">
        <f>IFERROR(MATCH(TRUE,INDEX(ISNUMBER('03_Base_Indice'!R59:$U59),0),0)+7,"")</f>
        <v>8</v>
      </c>
      <c r="V59">
        <f>IFERROR(MATCH(TRUE,INDEX(ISNUMBER('03_Base_Indice'!S59:$U59),0),0)+8,"")</f>
        <v>9</v>
      </c>
      <c r="W59">
        <f>IFERROR(MATCH(TRUE,INDEX(ISNUMBER('03_Base_Indice'!T59:$U59),0),0)+9,"")</f>
        <v>10</v>
      </c>
      <c r="X59">
        <f>IFERROR(MATCH(TRUE,INDEX(ISNUMBER('03_Base_Indice'!U59:$U59),0),0)+10,"")</f>
        <v>11</v>
      </c>
      <c r="Z59">
        <f>IF(B59="","",INDEX('03_Base_Indice'!$K59:$U59,B59))</f>
        <v>9228.44</v>
      </c>
      <c r="AA59">
        <f>IF(C59="","",INDEX('03_Base_Indice'!$K59:$U59,C59))</f>
        <v>8719.17</v>
      </c>
      <c r="AB59">
        <f>IF(D59="","",INDEX('03_Base_Indice'!$K59:$U59,D59))</f>
        <v>8435.4</v>
      </c>
      <c r="AC59">
        <f>IF(E59="","",INDEX('03_Base_Indice'!$K59:$U59,E59))</f>
        <v>8063.77</v>
      </c>
      <c r="AD59">
        <f>IF(F59="","",INDEX('03_Base_Indice'!$K59:$U59,F59))</f>
        <v>7749.11</v>
      </c>
      <c r="AE59">
        <f>IF(G59="","",INDEX('03_Base_Indice'!$K59:$U59,G59))</f>
        <v>7369.04</v>
      </c>
      <c r="AF59">
        <f>IF(H59="","",INDEX('03_Base_Indice'!$K59:$U59,H59))</f>
        <v>6908.52</v>
      </c>
      <c r="AG59">
        <f>IF(I59="","",INDEX('03_Base_Indice'!$K59:$U59,I59))</f>
        <v>6924.37</v>
      </c>
      <c r="AH59">
        <f>IF(J59="","",INDEX('03_Base_Indice'!$K59:$U59,J59))</f>
        <v>6802.66</v>
      </c>
      <c r="AI59">
        <f>IF(K59="","",INDEX('03_Base_Indice'!$K59:$U59,K59))</f>
        <v>6861.8</v>
      </c>
      <c r="AJ59">
        <f>IF(L59="","",INDEX('03_Base_Indice'!$K59:$U59,L59))</f>
        <v>6782.91</v>
      </c>
      <c r="AL59">
        <f>IF(N59="","",INDEX('03_Base_Indice'!$K59:$U59,N59))</f>
        <v>9228.44</v>
      </c>
      <c r="AM59">
        <f>IF(O59="","",INDEX('03_Base_Indice'!$K59:$U59,O59))</f>
        <v>8719.17</v>
      </c>
      <c r="AN59">
        <f>IF(P59="","",INDEX('03_Base_Indice'!$K59:$U59,P59))</f>
        <v>8435.4</v>
      </c>
      <c r="AO59">
        <f>IF(Q59="","",INDEX('03_Base_Indice'!$K59:$U59,Q59))</f>
        <v>8063.77</v>
      </c>
      <c r="AP59">
        <f>IF(R59="","",INDEX('03_Base_Indice'!$K59:$U59,R59))</f>
        <v>7749.11</v>
      </c>
      <c r="AQ59">
        <f>IF(S59="","",INDEX('03_Base_Indice'!$K59:$U59,S59))</f>
        <v>7369.04</v>
      </c>
      <c r="AR59">
        <f>IF(T59="","",INDEX('03_Base_Indice'!$K59:$U59,T59))</f>
        <v>6908.52</v>
      </c>
      <c r="AS59">
        <f>IF(U59="","",INDEX('03_Base_Indice'!$K59:$U59,U59))</f>
        <v>6924.37</v>
      </c>
      <c r="AT59">
        <f>IF(V59="","",INDEX('03_Base_Indice'!$K59:$U59,V59))</f>
        <v>6802.66</v>
      </c>
      <c r="AU59">
        <f>IF(W59="","",INDEX('03_Base_Indice'!$K59:$U59,W59))</f>
        <v>6861.8</v>
      </c>
      <c r="AV59">
        <f>IF(X59="","",INDEX('03_Base_Indice'!$K59:$U59,X59))</f>
        <v>6782.91</v>
      </c>
      <c r="AX59">
        <f>IF('06_Normalizacao'!K59="",0,'06_Normalizacao'!K59)</f>
        <v>84.781854043392514</v>
      </c>
      <c r="AY59">
        <f>IF('06_Normalizacao'!L59="",0,'06_Normalizacao'!L59)</f>
        <v>74.737080867850096</v>
      </c>
      <c r="AZ59">
        <f>IF('06_Normalizacao'!M59="",0,'06_Normalizacao'!M59)</f>
        <v>69.140039447731738</v>
      </c>
      <c r="BA59">
        <f>IF('06_Normalizacao'!N59="",0,'06_Normalizacao'!N59)</f>
        <v>61.810059171597644</v>
      </c>
      <c r="BB59">
        <f>IF('06_Normalizacao'!O59="",0,'06_Normalizacao'!O59)</f>
        <v>55.603747534516756</v>
      </c>
      <c r="BC59">
        <f>IF('06_Normalizacao'!P59="",0,'06_Normalizacao'!P59)</f>
        <v>48.107297830374755</v>
      </c>
      <c r="BD59">
        <f>IF('06_Normalizacao'!Q59="",0,'06_Normalizacao'!Q59)</f>
        <v>39.024063116370819</v>
      </c>
      <c r="BE59">
        <f>IF('06_Normalizacao'!R59="",0,'06_Normalizacao'!R59)</f>
        <v>39.336686390532542</v>
      </c>
      <c r="BF59">
        <f>IF('06_Normalizacao'!S59="",0,'06_Normalizacao'!S59)</f>
        <v>36.936094674556216</v>
      </c>
      <c r="BG59">
        <f>IF('06_Normalizacao'!T59="",0,'06_Normalizacao'!T59)</f>
        <v>38.102564102564109</v>
      </c>
      <c r="BH59">
        <f>IF('06_Normalizacao'!U59="",0,'06_Normalizacao'!U59)</f>
        <v>36.546548323471399</v>
      </c>
      <c r="BJ59">
        <f>IF('06_Normalizacao'!K59="",0,1)</f>
        <v>1</v>
      </c>
      <c r="BK59">
        <f>IF('06_Normalizacao'!L59="",0,1)</f>
        <v>1</v>
      </c>
      <c r="BL59">
        <f>IF('06_Normalizacao'!M59="",0,1)</f>
        <v>1</v>
      </c>
      <c r="BM59">
        <f>IF('06_Normalizacao'!N59="",0,1)</f>
        <v>1</v>
      </c>
      <c r="BN59">
        <f>IF('06_Normalizacao'!O59="",0,1)</f>
        <v>1</v>
      </c>
      <c r="BO59">
        <f>IF('06_Normalizacao'!P59="",0,1)</f>
        <v>1</v>
      </c>
      <c r="BP59">
        <f>IF('06_Normalizacao'!Q59="",0,1)</f>
        <v>1</v>
      </c>
      <c r="BQ59">
        <f>IF('06_Normalizacao'!R59="",0,1)</f>
        <v>1</v>
      </c>
      <c r="BR59">
        <f>IF('06_Normalizacao'!S59="",0,1)</f>
        <v>1</v>
      </c>
      <c r="BS59">
        <f>IF('06_Normalizacao'!T59="",0,1)</f>
        <v>1</v>
      </c>
      <c r="BT59">
        <f>IF('06_Normalizacao'!U59="",0,1)</f>
        <v>1</v>
      </c>
    </row>
    <row r="60" spans="1:72">
      <c r="A60" s="6" t="str">
        <f>'03_Base_Indice'!D60</f>
        <v/>
      </c>
      <c r="B60" t="str">
        <f>IFERROR(LOOKUP(2,1/ISNUMBER('03_Base_Indice'!$K60:K60),COLUMN('03_Base_Indice'!$K60:K60)-COLUMN('03_Base_Indice'!$K60)+1),"")</f>
        <v/>
      </c>
      <c r="C60" t="str">
        <f>IFERROR(LOOKUP(2,1/ISNUMBER('03_Base_Indice'!$K60:L60),COLUMN('03_Base_Indice'!$K60:L60)-COLUMN('03_Base_Indice'!$K60)+1),"")</f>
        <v/>
      </c>
      <c r="D60" t="str">
        <f>IFERROR(LOOKUP(2,1/ISNUMBER('03_Base_Indice'!$K60:M60),COLUMN('03_Base_Indice'!$K60:M60)-COLUMN('03_Base_Indice'!$K60)+1),"")</f>
        <v/>
      </c>
      <c r="E60" t="str">
        <f>IFERROR(LOOKUP(2,1/ISNUMBER('03_Base_Indice'!$K60:N60),COLUMN('03_Base_Indice'!$K60:N60)-COLUMN('03_Base_Indice'!$K60)+1),"")</f>
        <v/>
      </c>
      <c r="F60" t="str">
        <f>IFERROR(LOOKUP(2,1/ISNUMBER('03_Base_Indice'!$K60:O60),COLUMN('03_Base_Indice'!$K60:O60)-COLUMN('03_Base_Indice'!$K60)+1),"")</f>
        <v/>
      </c>
      <c r="G60" t="str">
        <f>IFERROR(LOOKUP(2,1/ISNUMBER('03_Base_Indice'!$K60:P60),COLUMN('03_Base_Indice'!$K60:P60)-COLUMN('03_Base_Indice'!$K60)+1),"")</f>
        <v/>
      </c>
      <c r="H60" t="str">
        <f>IFERROR(LOOKUP(2,1/ISNUMBER('03_Base_Indice'!$K60:Q60),COLUMN('03_Base_Indice'!$K60:Q60)-COLUMN('03_Base_Indice'!$K60)+1),"")</f>
        <v/>
      </c>
      <c r="I60" t="str">
        <f>IFERROR(LOOKUP(2,1/ISNUMBER('03_Base_Indice'!$K60:R60),COLUMN('03_Base_Indice'!$K60:R60)-COLUMN('03_Base_Indice'!$K60)+1),"")</f>
        <v/>
      </c>
      <c r="J60" t="str">
        <f>IFERROR(LOOKUP(2,1/ISNUMBER('03_Base_Indice'!$K60:S60),COLUMN('03_Base_Indice'!$K60:S60)-COLUMN('03_Base_Indice'!$K60)+1),"")</f>
        <v/>
      </c>
      <c r="K60" t="str">
        <f>IFERROR(LOOKUP(2,1/ISNUMBER('03_Base_Indice'!$K60:T60),COLUMN('03_Base_Indice'!$K60:T60)-COLUMN('03_Base_Indice'!$K60)+1),"")</f>
        <v/>
      </c>
      <c r="L60" t="str">
        <f>IFERROR(LOOKUP(2,1/ISNUMBER('03_Base_Indice'!$K60:U60),COLUMN('03_Base_Indice'!$K60:U60)-COLUMN('03_Base_Indice'!$K60)+1),"")</f>
        <v/>
      </c>
      <c r="N60" t="str">
        <f>IFERROR(MATCH(TRUE,INDEX(ISNUMBER('03_Base_Indice'!K60:$U60),0),0)+0,"")</f>
        <v/>
      </c>
      <c r="O60" t="str">
        <f>IFERROR(MATCH(TRUE,INDEX(ISNUMBER('03_Base_Indice'!L60:$U60),0),0)+1,"")</f>
        <v/>
      </c>
      <c r="P60" t="str">
        <f>IFERROR(MATCH(TRUE,INDEX(ISNUMBER('03_Base_Indice'!M60:$U60),0),0)+2,"")</f>
        <v/>
      </c>
      <c r="Q60" t="str">
        <f>IFERROR(MATCH(TRUE,INDEX(ISNUMBER('03_Base_Indice'!N60:$U60),0),0)+3,"")</f>
        <v/>
      </c>
      <c r="R60" t="str">
        <f>IFERROR(MATCH(TRUE,INDEX(ISNUMBER('03_Base_Indice'!O60:$U60),0),0)+4,"")</f>
        <v/>
      </c>
      <c r="S60" t="str">
        <f>IFERROR(MATCH(TRUE,INDEX(ISNUMBER('03_Base_Indice'!P60:$U60),0),0)+5,"")</f>
        <v/>
      </c>
      <c r="T60" t="str">
        <f>IFERROR(MATCH(TRUE,INDEX(ISNUMBER('03_Base_Indice'!Q60:$U60),0),0)+6,"")</f>
        <v/>
      </c>
      <c r="U60" t="str">
        <f>IFERROR(MATCH(TRUE,INDEX(ISNUMBER('03_Base_Indice'!R60:$U60),0),0)+7,"")</f>
        <v/>
      </c>
      <c r="V60" t="str">
        <f>IFERROR(MATCH(TRUE,INDEX(ISNUMBER('03_Base_Indice'!S60:$U60),0),0)+8,"")</f>
        <v/>
      </c>
      <c r="W60" t="str">
        <f>IFERROR(MATCH(TRUE,INDEX(ISNUMBER('03_Base_Indice'!T60:$U60),0),0)+9,"")</f>
        <v/>
      </c>
      <c r="X60" t="str">
        <f>IFERROR(MATCH(TRUE,INDEX(ISNUMBER('03_Base_Indice'!U60:$U60),0),0)+10,"")</f>
        <v/>
      </c>
      <c r="Z60" t="str">
        <f>IF(B60="","",INDEX('03_Base_Indice'!$K60:$U60,B60))</f>
        <v/>
      </c>
      <c r="AA60" t="str">
        <f>IF(C60="","",INDEX('03_Base_Indice'!$K60:$U60,C60))</f>
        <v/>
      </c>
      <c r="AB60" t="str">
        <f>IF(D60="","",INDEX('03_Base_Indice'!$K60:$U60,D60))</f>
        <v/>
      </c>
      <c r="AC60" t="str">
        <f>IF(E60="","",INDEX('03_Base_Indice'!$K60:$U60,E60))</f>
        <v/>
      </c>
      <c r="AD60" t="str">
        <f>IF(F60="","",INDEX('03_Base_Indice'!$K60:$U60,F60))</f>
        <v/>
      </c>
      <c r="AE60" t="str">
        <f>IF(G60="","",INDEX('03_Base_Indice'!$K60:$U60,G60))</f>
        <v/>
      </c>
      <c r="AF60" t="str">
        <f>IF(H60="","",INDEX('03_Base_Indice'!$K60:$U60,H60))</f>
        <v/>
      </c>
      <c r="AG60" t="str">
        <f>IF(I60="","",INDEX('03_Base_Indice'!$K60:$U60,I60))</f>
        <v/>
      </c>
      <c r="AH60" t="str">
        <f>IF(J60="","",INDEX('03_Base_Indice'!$K60:$U60,J60))</f>
        <v/>
      </c>
      <c r="AI60" t="str">
        <f>IF(K60="","",INDEX('03_Base_Indice'!$K60:$U60,K60))</f>
        <v/>
      </c>
      <c r="AJ60" t="str">
        <f>IF(L60="","",INDEX('03_Base_Indice'!$K60:$U60,L60))</f>
        <v/>
      </c>
      <c r="AL60" t="str">
        <f>IF(N60="","",INDEX('03_Base_Indice'!$K60:$U60,N60))</f>
        <v/>
      </c>
      <c r="AM60" t="str">
        <f>IF(O60="","",INDEX('03_Base_Indice'!$K60:$U60,O60))</f>
        <v/>
      </c>
      <c r="AN60" t="str">
        <f>IF(P60="","",INDEX('03_Base_Indice'!$K60:$U60,P60))</f>
        <v/>
      </c>
      <c r="AO60" t="str">
        <f>IF(Q60="","",INDEX('03_Base_Indice'!$K60:$U60,Q60))</f>
        <v/>
      </c>
      <c r="AP60" t="str">
        <f>IF(R60="","",INDEX('03_Base_Indice'!$K60:$U60,R60))</f>
        <v/>
      </c>
      <c r="AQ60" t="str">
        <f>IF(S60="","",INDEX('03_Base_Indice'!$K60:$U60,S60))</f>
        <v/>
      </c>
      <c r="AR60" t="str">
        <f>IF(T60="","",INDEX('03_Base_Indice'!$K60:$U60,T60))</f>
        <v/>
      </c>
      <c r="AS60" t="str">
        <f>IF(U60="","",INDEX('03_Base_Indice'!$K60:$U60,U60))</f>
        <v/>
      </c>
      <c r="AT60" t="str">
        <f>IF(V60="","",INDEX('03_Base_Indice'!$K60:$U60,V60))</f>
        <v/>
      </c>
      <c r="AU60" t="str">
        <f>IF(W60="","",INDEX('03_Base_Indice'!$K60:$U60,W60))</f>
        <v/>
      </c>
      <c r="AV60" t="str">
        <f>IF(X60="","",INDEX('03_Base_Indice'!$K60:$U60,X60))</f>
        <v/>
      </c>
      <c r="AX60">
        <f>IF('06_Normalizacao'!K60="",0,'06_Normalizacao'!K60)</f>
        <v>0</v>
      </c>
      <c r="AY60">
        <f>IF('06_Normalizacao'!L60="",0,'06_Normalizacao'!L60)</f>
        <v>0</v>
      </c>
      <c r="AZ60">
        <f>IF('06_Normalizacao'!M60="",0,'06_Normalizacao'!M60)</f>
        <v>0</v>
      </c>
      <c r="BA60">
        <f>IF('06_Normalizacao'!N60="",0,'06_Normalizacao'!N60)</f>
        <v>0</v>
      </c>
      <c r="BB60">
        <f>IF('06_Normalizacao'!O60="",0,'06_Normalizacao'!O60)</f>
        <v>0</v>
      </c>
      <c r="BC60">
        <f>IF('06_Normalizacao'!P60="",0,'06_Normalizacao'!P60)</f>
        <v>0</v>
      </c>
      <c r="BD60">
        <f>IF('06_Normalizacao'!Q60="",0,'06_Normalizacao'!Q60)</f>
        <v>0</v>
      </c>
      <c r="BE60">
        <f>IF('06_Normalizacao'!R60="",0,'06_Normalizacao'!R60)</f>
        <v>0</v>
      </c>
      <c r="BF60">
        <f>IF('06_Normalizacao'!S60="",0,'06_Normalizacao'!S60)</f>
        <v>0</v>
      </c>
      <c r="BG60">
        <f>IF('06_Normalizacao'!T60="",0,'06_Normalizacao'!T60)</f>
        <v>0</v>
      </c>
      <c r="BH60">
        <f>IF('06_Normalizacao'!U60="",0,'06_Normalizacao'!U60)</f>
        <v>0</v>
      </c>
      <c r="BJ60">
        <f>IF('06_Normalizacao'!K60="",0,1)</f>
        <v>0</v>
      </c>
      <c r="BK60">
        <f>IF('06_Normalizacao'!L60="",0,1)</f>
        <v>0</v>
      </c>
      <c r="BL60">
        <f>IF('06_Normalizacao'!M60="",0,1)</f>
        <v>0</v>
      </c>
      <c r="BM60">
        <f>IF('06_Normalizacao'!N60="",0,1)</f>
        <v>0</v>
      </c>
      <c r="BN60">
        <f>IF('06_Normalizacao'!O60="",0,1)</f>
        <v>0</v>
      </c>
      <c r="BO60">
        <f>IF('06_Normalizacao'!P60="",0,1)</f>
        <v>0</v>
      </c>
      <c r="BP60">
        <f>IF('06_Normalizacao'!Q60="",0,1)</f>
        <v>0</v>
      </c>
      <c r="BQ60">
        <f>IF('06_Normalizacao'!R60="",0,1)</f>
        <v>0</v>
      </c>
      <c r="BR60">
        <f>IF('06_Normalizacao'!S60="",0,1)</f>
        <v>0</v>
      </c>
      <c r="BS60">
        <f>IF('06_Normalizacao'!T60="",0,1)</f>
        <v>0</v>
      </c>
      <c r="BT60">
        <f>IF('06_Normalizacao'!U60="",0,1)</f>
        <v>0</v>
      </c>
    </row>
    <row r="61" spans="1:72">
      <c r="A61" s="6" t="str">
        <f>'03_Base_Indice'!D61</f>
        <v/>
      </c>
      <c r="B61" t="str">
        <f>IFERROR(LOOKUP(2,1/ISNUMBER('03_Base_Indice'!$K61:K61),COLUMN('03_Base_Indice'!$K61:K61)-COLUMN('03_Base_Indice'!$K61)+1),"")</f>
        <v/>
      </c>
      <c r="C61" t="str">
        <f>IFERROR(LOOKUP(2,1/ISNUMBER('03_Base_Indice'!$K61:L61),COLUMN('03_Base_Indice'!$K61:L61)-COLUMN('03_Base_Indice'!$K61)+1),"")</f>
        <v/>
      </c>
      <c r="D61" t="str">
        <f>IFERROR(LOOKUP(2,1/ISNUMBER('03_Base_Indice'!$K61:M61),COLUMN('03_Base_Indice'!$K61:M61)-COLUMN('03_Base_Indice'!$K61)+1),"")</f>
        <v/>
      </c>
      <c r="E61" t="str">
        <f>IFERROR(LOOKUP(2,1/ISNUMBER('03_Base_Indice'!$K61:N61),COLUMN('03_Base_Indice'!$K61:N61)-COLUMN('03_Base_Indice'!$K61)+1),"")</f>
        <v/>
      </c>
      <c r="F61" t="str">
        <f>IFERROR(LOOKUP(2,1/ISNUMBER('03_Base_Indice'!$K61:O61),COLUMN('03_Base_Indice'!$K61:O61)-COLUMN('03_Base_Indice'!$K61)+1),"")</f>
        <v/>
      </c>
      <c r="G61" t="str">
        <f>IFERROR(LOOKUP(2,1/ISNUMBER('03_Base_Indice'!$K61:P61),COLUMN('03_Base_Indice'!$K61:P61)-COLUMN('03_Base_Indice'!$K61)+1),"")</f>
        <v/>
      </c>
      <c r="H61" t="str">
        <f>IFERROR(LOOKUP(2,1/ISNUMBER('03_Base_Indice'!$K61:Q61),COLUMN('03_Base_Indice'!$K61:Q61)-COLUMN('03_Base_Indice'!$K61)+1),"")</f>
        <v/>
      </c>
      <c r="I61" t="str">
        <f>IFERROR(LOOKUP(2,1/ISNUMBER('03_Base_Indice'!$K61:R61),COLUMN('03_Base_Indice'!$K61:R61)-COLUMN('03_Base_Indice'!$K61)+1),"")</f>
        <v/>
      </c>
      <c r="J61" t="str">
        <f>IFERROR(LOOKUP(2,1/ISNUMBER('03_Base_Indice'!$K61:S61),COLUMN('03_Base_Indice'!$K61:S61)-COLUMN('03_Base_Indice'!$K61)+1),"")</f>
        <v/>
      </c>
      <c r="K61" t="str">
        <f>IFERROR(LOOKUP(2,1/ISNUMBER('03_Base_Indice'!$K61:T61),COLUMN('03_Base_Indice'!$K61:T61)-COLUMN('03_Base_Indice'!$K61)+1),"")</f>
        <v/>
      </c>
      <c r="L61" t="str">
        <f>IFERROR(LOOKUP(2,1/ISNUMBER('03_Base_Indice'!$K61:U61),COLUMN('03_Base_Indice'!$K61:U61)-COLUMN('03_Base_Indice'!$K61)+1),"")</f>
        <v/>
      </c>
      <c r="N61" t="str">
        <f>IFERROR(MATCH(TRUE,INDEX(ISNUMBER('03_Base_Indice'!K61:$U61),0),0)+0,"")</f>
        <v/>
      </c>
      <c r="O61" t="str">
        <f>IFERROR(MATCH(TRUE,INDEX(ISNUMBER('03_Base_Indice'!L61:$U61),0),0)+1,"")</f>
        <v/>
      </c>
      <c r="P61" t="str">
        <f>IFERROR(MATCH(TRUE,INDEX(ISNUMBER('03_Base_Indice'!M61:$U61),0),0)+2,"")</f>
        <v/>
      </c>
      <c r="Q61" t="str">
        <f>IFERROR(MATCH(TRUE,INDEX(ISNUMBER('03_Base_Indice'!N61:$U61),0),0)+3,"")</f>
        <v/>
      </c>
      <c r="R61" t="str">
        <f>IFERROR(MATCH(TRUE,INDEX(ISNUMBER('03_Base_Indice'!O61:$U61),0),0)+4,"")</f>
        <v/>
      </c>
      <c r="S61" t="str">
        <f>IFERROR(MATCH(TRUE,INDEX(ISNUMBER('03_Base_Indice'!P61:$U61),0),0)+5,"")</f>
        <v/>
      </c>
      <c r="T61" t="str">
        <f>IFERROR(MATCH(TRUE,INDEX(ISNUMBER('03_Base_Indice'!Q61:$U61),0),0)+6,"")</f>
        <v/>
      </c>
      <c r="U61" t="str">
        <f>IFERROR(MATCH(TRUE,INDEX(ISNUMBER('03_Base_Indice'!R61:$U61),0),0)+7,"")</f>
        <v/>
      </c>
      <c r="V61" t="str">
        <f>IFERROR(MATCH(TRUE,INDEX(ISNUMBER('03_Base_Indice'!S61:$U61),0),0)+8,"")</f>
        <v/>
      </c>
      <c r="W61" t="str">
        <f>IFERROR(MATCH(TRUE,INDEX(ISNUMBER('03_Base_Indice'!T61:$U61),0),0)+9,"")</f>
        <v/>
      </c>
      <c r="X61" t="str">
        <f>IFERROR(MATCH(TRUE,INDEX(ISNUMBER('03_Base_Indice'!U61:$U61),0),0)+10,"")</f>
        <v/>
      </c>
      <c r="Z61" t="str">
        <f>IF(B61="","",INDEX('03_Base_Indice'!$K61:$U61,B61))</f>
        <v/>
      </c>
      <c r="AA61" t="str">
        <f>IF(C61="","",INDEX('03_Base_Indice'!$K61:$U61,C61))</f>
        <v/>
      </c>
      <c r="AB61" t="str">
        <f>IF(D61="","",INDEX('03_Base_Indice'!$K61:$U61,D61))</f>
        <v/>
      </c>
      <c r="AC61" t="str">
        <f>IF(E61="","",INDEX('03_Base_Indice'!$K61:$U61,E61))</f>
        <v/>
      </c>
      <c r="AD61" t="str">
        <f>IF(F61="","",INDEX('03_Base_Indice'!$K61:$U61,F61))</f>
        <v/>
      </c>
      <c r="AE61" t="str">
        <f>IF(G61="","",INDEX('03_Base_Indice'!$K61:$U61,G61))</f>
        <v/>
      </c>
      <c r="AF61" t="str">
        <f>IF(H61="","",INDEX('03_Base_Indice'!$K61:$U61,H61))</f>
        <v/>
      </c>
      <c r="AG61" t="str">
        <f>IF(I61="","",INDEX('03_Base_Indice'!$K61:$U61,I61))</f>
        <v/>
      </c>
      <c r="AH61" t="str">
        <f>IF(J61="","",INDEX('03_Base_Indice'!$K61:$U61,J61))</f>
        <v/>
      </c>
      <c r="AI61" t="str">
        <f>IF(K61="","",INDEX('03_Base_Indice'!$K61:$U61,K61))</f>
        <v/>
      </c>
      <c r="AJ61" t="str">
        <f>IF(L61="","",INDEX('03_Base_Indice'!$K61:$U61,L61))</f>
        <v/>
      </c>
      <c r="AL61" t="str">
        <f>IF(N61="","",INDEX('03_Base_Indice'!$K61:$U61,N61))</f>
        <v/>
      </c>
      <c r="AM61" t="str">
        <f>IF(O61="","",INDEX('03_Base_Indice'!$K61:$U61,O61))</f>
        <v/>
      </c>
      <c r="AN61" t="str">
        <f>IF(P61="","",INDEX('03_Base_Indice'!$K61:$U61,P61))</f>
        <v/>
      </c>
      <c r="AO61" t="str">
        <f>IF(Q61="","",INDEX('03_Base_Indice'!$K61:$U61,Q61))</f>
        <v/>
      </c>
      <c r="AP61" t="str">
        <f>IF(R61="","",INDEX('03_Base_Indice'!$K61:$U61,R61))</f>
        <v/>
      </c>
      <c r="AQ61" t="str">
        <f>IF(S61="","",INDEX('03_Base_Indice'!$K61:$U61,S61))</f>
        <v/>
      </c>
      <c r="AR61" t="str">
        <f>IF(T61="","",INDEX('03_Base_Indice'!$K61:$U61,T61))</f>
        <v/>
      </c>
      <c r="AS61" t="str">
        <f>IF(U61="","",INDEX('03_Base_Indice'!$K61:$U61,U61))</f>
        <v/>
      </c>
      <c r="AT61" t="str">
        <f>IF(V61="","",INDEX('03_Base_Indice'!$K61:$U61,V61))</f>
        <v/>
      </c>
      <c r="AU61" t="str">
        <f>IF(W61="","",INDEX('03_Base_Indice'!$K61:$U61,W61))</f>
        <v/>
      </c>
      <c r="AV61" t="str">
        <f>IF(X61="","",INDEX('03_Base_Indice'!$K61:$U61,X61))</f>
        <v/>
      </c>
      <c r="AX61">
        <f>IF('06_Normalizacao'!K61="",0,'06_Normalizacao'!K61)</f>
        <v>0</v>
      </c>
      <c r="AY61">
        <f>IF('06_Normalizacao'!L61="",0,'06_Normalizacao'!L61)</f>
        <v>0</v>
      </c>
      <c r="AZ61">
        <f>IF('06_Normalizacao'!M61="",0,'06_Normalizacao'!M61)</f>
        <v>0</v>
      </c>
      <c r="BA61">
        <f>IF('06_Normalizacao'!N61="",0,'06_Normalizacao'!N61)</f>
        <v>0</v>
      </c>
      <c r="BB61">
        <f>IF('06_Normalizacao'!O61="",0,'06_Normalizacao'!O61)</f>
        <v>0</v>
      </c>
      <c r="BC61">
        <f>IF('06_Normalizacao'!P61="",0,'06_Normalizacao'!P61)</f>
        <v>0</v>
      </c>
      <c r="BD61">
        <f>IF('06_Normalizacao'!Q61="",0,'06_Normalizacao'!Q61)</f>
        <v>0</v>
      </c>
      <c r="BE61">
        <f>IF('06_Normalizacao'!R61="",0,'06_Normalizacao'!R61)</f>
        <v>0</v>
      </c>
      <c r="BF61">
        <f>IF('06_Normalizacao'!S61="",0,'06_Normalizacao'!S61)</f>
        <v>0</v>
      </c>
      <c r="BG61">
        <f>IF('06_Normalizacao'!T61="",0,'06_Normalizacao'!T61)</f>
        <v>0</v>
      </c>
      <c r="BH61">
        <f>IF('06_Normalizacao'!U61="",0,'06_Normalizacao'!U61)</f>
        <v>0</v>
      </c>
      <c r="BJ61">
        <f>IF('06_Normalizacao'!K61="",0,1)</f>
        <v>0</v>
      </c>
      <c r="BK61">
        <f>IF('06_Normalizacao'!L61="",0,1)</f>
        <v>0</v>
      </c>
      <c r="BL61">
        <f>IF('06_Normalizacao'!M61="",0,1)</f>
        <v>0</v>
      </c>
      <c r="BM61">
        <f>IF('06_Normalizacao'!N61="",0,1)</f>
        <v>0</v>
      </c>
      <c r="BN61">
        <f>IF('06_Normalizacao'!O61="",0,1)</f>
        <v>0</v>
      </c>
      <c r="BO61">
        <f>IF('06_Normalizacao'!P61="",0,1)</f>
        <v>0</v>
      </c>
      <c r="BP61">
        <f>IF('06_Normalizacao'!Q61="",0,1)</f>
        <v>0</v>
      </c>
      <c r="BQ61">
        <f>IF('06_Normalizacao'!R61="",0,1)</f>
        <v>0</v>
      </c>
      <c r="BR61">
        <f>IF('06_Normalizacao'!S61="",0,1)</f>
        <v>0</v>
      </c>
      <c r="BS61">
        <f>IF('06_Normalizacao'!T61="",0,1)</f>
        <v>0</v>
      </c>
      <c r="BT61">
        <f>IF('06_Normalizacao'!U61="",0,1)</f>
        <v>0</v>
      </c>
    </row>
    <row r="62" spans="1:72">
      <c r="A62" s="6" t="str">
        <f>'03_Base_Indice'!D62</f>
        <v/>
      </c>
      <c r="B62" t="str">
        <f>IFERROR(LOOKUP(2,1/ISNUMBER('03_Base_Indice'!$K62:K62),COLUMN('03_Base_Indice'!$K62:K62)-COLUMN('03_Base_Indice'!$K62)+1),"")</f>
        <v/>
      </c>
      <c r="C62" t="str">
        <f>IFERROR(LOOKUP(2,1/ISNUMBER('03_Base_Indice'!$K62:L62),COLUMN('03_Base_Indice'!$K62:L62)-COLUMN('03_Base_Indice'!$K62)+1),"")</f>
        <v/>
      </c>
      <c r="D62" t="str">
        <f>IFERROR(LOOKUP(2,1/ISNUMBER('03_Base_Indice'!$K62:M62),COLUMN('03_Base_Indice'!$K62:M62)-COLUMN('03_Base_Indice'!$K62)+1),"")</f>
        <v/>
      </c>
      <c r="E62" t="str">
        <f>IFERROR(LOOKUP(2,1/ISNUMBER('03_Base_Indice'!$K62:N62),COLUMN('03_Base_Indice'!$K62:N62)-COLUMN('03_Base_Indice'!$K62)+1),"")</f>
        <v/>
      </c>
      <c r="F62" t="str">
        <f>IFERROR(LOOKUP(2,1/ISNUMBER('03_Base_Indice'!$K62:O62),COLUMN('03_Base_Indice'!$K62:O62)-COLUMN('03_Base_Indice'!$K62)+1),"")</f>
        <v/>
      </c>
      <c r="G62" t="str">
        <f>IFERROR(LOOKUP(2,1/ISNUMBER('03_Base_Indice'!$K62:P62),COLUMN('03_Base_Indice'!$K62:P62)-COLUMN('03_Base_Indice'!$K62)+1),"")</f>
        <v/>
      </c>
      <c r="H62" t="str">
        <f>IFERROR(LOOKUP(2,1/ISNUMBER('03_Base_Indice'!$K62:Q62),COLUMN('03_Base_Indice'!$K62:Q62)-COLUMN('03_Base_Indice'!$K62)+1),"")</f>
        <v/>
      </c>
      <c r="I62" t="str">
        <f>IFERROR(LOOKUP(2,1/ISNUMBER('03_Base_Indice'!$K62:R62),COLUMN('03_Base_Indice'!$K62:R62)-COLUMN('03_Base_Indice'!$K62)+1),"")</f>
        <v/>
      </c>
      <c r="J62" t="str">
        <f>IFERROR(LOOKUP(2,1/ISNUMBER('03_Base_Indice'!$K62:S62),COLUMN('03_Base_Indice'!$K62:S62)-COLUMN('03_Base_Indice'!$K62)+1),"")</f>
        <v/>
      </c>
      <c r="K62" t="str">
        <f>IFERROR(LOOKUP(2,1/ISNUMBER('03_Base_Indice'!$K62:T62),COLUMN('03_Base_Indice'!$K62:T62)-COLUMN('03_Base_Indice'!$K62)+1),"")</f>
        <v/>
      </c>
      <c r="L62" t="str">
        <f>IFERROR(LOOKUP(2,1/ISNUMBER('03_Base_Indice'!$K62:U62),COLUMN('03_Base_Indice'!$K62:U62)-COLUMN('03_Base_Indice'!$K62)+1),"")</f>
        <v/>
      </c>
      <c r="N62" t="str">
        <f>IFERROR(MATCH(TRUE,INDEX(ISNUMBER('03_Base_Indice'!K62:$U62),0),0)+0,"")</f>
        <v/>
      </c>
      <c r="O62" t="str">
        <f>IFERROR(MATCH(TRUE,INDEX(ISNUMBER('03_Base_Indice'!L62:$U62),0),0)+1,"")</f>
        <v/>
      </c>
      <c r="P62" t="str">
        <f>IFERROR(MATCH(TRUE,INDEX(ISNUMBER('03_Base_Indice'!M62:$U62),0),0)+2,"")</f>
        <v/>
      </c>
      <c r="Q62" t="str">
        <f>IFERROR(MATCH(TRUE,INDEX(ISNUMBER('03_Base_Indice'!N62:$U62),0),0)+3,"")</f>
        <v/>
      </c>
      <c r="R62" t="str">
        <f>IFERROR(MATCH(TRUE,INDEX(ISNUMBER('03_Base_Indice'!O62:$U62),0),0)+4,"")</f>
        <v/>
      </c>
      <c r="S62" t="str">
        <f>IFERROR(MATCH(TRUE,INDEX(ISNUMBER('03_Base_Indice'!P62:$U62),0),0)+5,"")</f>
        <v/>
      </c>
      <c r="T62" t="str">
        <f>IFERROR(MATCH(TRUE,INDEX(ISNUMBER('03_Base_Indice'!Q62:$U62),0),0)+6,"")</f>
        <v/>
      </c>
      <c r="U62" t="str">
        <f>IFERROR(MATCH(TRUE,INDEX(ISNUMBER('03_Base_Indice'!R62:$U62),0),0)+7,"")</f>
        <v/>
      </c>
      <c r="V62" t="str">
        <f>IFERROR(MATCH(TRUE,INDEX(ISNUMBER('03_Base_Indice'!S62:$U62),0),0)+8,"")</f>
        <v/>
      </c>
      <c r="W62" t="str">
        <f>IFERROR(MATCH(TRUE,INDEX(ISNUMBER('03_Base_Indice'!T62:$U62),0),0)+9,"")</f>
        <v/>
      </c>
      <c r="X62" t="str">
        <f>IFERROR(MATCH(TRUE,INDEX(ISNUMBER('03_Base_Indice'!U62:$U62),0),0)+10,"")</f>
        <v/>
      </c>
      <c r="Z62" t="str">
        <f>IF(B62="","",INDEX('03_Base_Indice'!$K62:$U62,B62))</f>
        <v/>
      </c>
      <c r="AA62" t="str">
        <f>IF(C62="","",INDEX('03_Base_Indice'!$K62:$U62,C62))</f>
        <v/>
      </c>
      <c r="AB62" t="str">
        <f>IF(D62="","",INDEX('03_Base_Indice'!$K62:$U62,D62))</f>
        <v/>
      </c>
      <c r="AC62" t="str">
        <f>IF(E62="","",INDEX('03_Base_Indice'!$K62:$U62,E62))</f>
        <v/>
      </c>
      <c r="AD62" t="str">
        <f>IF(F62="","",INDEX('03_Base_Indice'!$K62:$U62,F62))</f>
        <v/>
      </c>
      <c r="AE62" t="str">
        <f>IF(G62="","",INDEX('03_Base_Indice'!$K62:$U62,G62))</f>
        <v/>
      </c>
      <c r="AF62" t="str">
        <f>IF(H62="","",INDEX('03_Base_Indice'!$K62:$U62,H62))</f>
        <v/>
      </c>
      <c r="AG62" t="str">
        <f>IF(I62="","",INDEX('03_Base_Indice'!$K62:$U62,I62))</f>
        <v/>
      </c>
      <c r="AH62" t="str">
        <f>IF(J62="","",INDEX('03_Base_Indice'!$K62:$U62,J62))</f>
        <v/>
      </c>
      <c r="AI62" t="str">
        <f>IF(K62="","",INDEX('03_Base_Indice'!$K62:$U62,K62))</f>
        <v/>
      </c>
      <c r="AJ62" t="str">
        <f>IF(L62="","",INDEX('03_Base_Indice'!$K62:$U62,L62))</f>
        <v/>
      </c>
      <c r="AL62" t="str">
        <f>IF(N62="","",INDEX('03_Base_Indice'!$K62:$U62,N62))</f>
        <v/>
      </c>
      <c r="AM62" t="str">
        <f>IF(O62="","",INDEX('03_Base_Indice'!$K62:$U62,O62))</f>
        <v/>
      </c>
      <c r="AN62" t="str">
        <f>IF(P62="","",INDEX('03_Base_Indice'!$K62:$U62,P62))</f>
        <v/>
      </c>
      <c r="AO62" t="str">
        <f>IF(Q62="","",INDEX('03_Base_Indice'!$K62:$U62,Q62))</f>
        <v/>
      </c>
      <c r="AP62" t="str">
        <f>IF(R62="","",INDEX('03_Base_Indice'!$K62:$U62,R62))</f>
        <v/>
      </c>
      <c r="AQ62" t="str">
        <f>IF(S62="","",INDEX('03_Base_Indice'!$K62:$U62,S62))</f>
        <v/>
      </c>
      <c r="AR62" t="str">
        <f>IF(T62="","",INDEX('03_Base_Indice'!$K62:$U62,T62))</f>
        <v/>
      </c>
      <c r="AS62" t="str">
        <f>IF(U62="","",INDEX('03_Base_Indice'!$K62:$U62,U62))</f>
        <v/>
      </c>
      <c r="AT62" t="str">
        <f>IF(V62="","",INDEX('03_Base_Indice'!$K62:$U62,V62))</f>
        <v/>
      </c>
      <c r="AU62" t="str">
        <f>IF(W62="","",INDEX('03_Base_Indice'!$K62:$U62,W62))</f>
        <v/>
      </c>
      <c r="AV62" t="str">
        <f>IF(X62="","",INDEX('03_Base_Indice'!$K62:$U62,X62))</f>
        <v/>
      </c>
      <c r="AX62">
        <f>IF('06_Normalizacao'!K62="",0,'06_Normalizacao'!K62)</f>
        <v>0</v>
      </c>
      <c r="AY62">
        <f>IF('06_Normalizacao'!L62="",0,'06_Normalizacao'!L62)</f>
        <v>0</v>
      </c>
      <c r="AZ62">
        <f>IF('06_Normalizacao'!M62="",0,'06_Normalizacao'!M62)</f>
        <v>0</v>
      </c>
      <c r="BA62">
        <f>IF('06_Normalizacao'!N62="",0,'06_Normalizacao'!N62)</f>
        <v>0</v>
      </c>
      <c r="BB62">
        <f>IF('06_Normalizacao'!O62="",0,'06_Normalizacao'!O62)</f>
        <v>0</v>
      </c>
      <c r="BC62">
        <f>IF('06_Normalizacao'!P62="",0,'06_Normalizacao'!P62)</f>
        <v>0</v>
      </c>
      <c r="BD62">
        <f>IF('06_Normalizacao'!Q62="",0,'06_Normalizacao'!Q62)</f>
        <v>0</v>
      </c>
      <c r="BE62">
        <f>IF('06_Normalizacao'!R62="",0,'06_Normalizacao'!R62)</f>
        <v>0</v>
      </c>
      <c r="BF62">
        <f>IF('06_Normalizacao'!S62="",0,'06_Normalizacao'!S62)</f>
        <v>0</v>
      </c>
      <c r="BG62">
        <f>IF('06_Normalizacao'!T62="",0,'06_Normalizacao'!T62)</f>
        <v>0</v>
      </c>
      <c r="BH62">
        <f>IF('06_Normalizacao'!U62="",0,'06_Normalizacao'!U62)</f>
        <v>0</v>
      </c>
      <c r="BJ62">
        <f>IF('06_Normalizacao'!K62="",0,1)</f>
        <v>0</v>
      </c>
      <c r="BK62">
        <f>IF('06_Normalizacao'!L62="",0,1)</f>
        <v>0</v>
      </c>
      <c r="BL62">
        <f>IF('06_Normalizacao'!M62="",0,1)</f>
        <v>0</v>
      </c>
      <c r="BM62">
        <f>IF('06_Normalizacao'!N62="",0,1)</f>
        <v>0</v>
      </c>
      <c r="BN62">
        <f>IF('06_Normalizacao'!O62="",0,1)</f>
        <v>0</v>
      </c>
      <c r="BO62">
        <f>IF('06_Normalizacao'!P62="",0,1)</f>
        <v>0</v>
      </c>
      <c r="BP62">
        <f>IF('06_Normalizacao'!Q62="",0,1)</f>
        <v>0</v>
      </c>
      <c r="BQ62">
        <f>IF('06_Normalizacao'!R62="",0,1)</f>
        <v>0</v>
      </c>
      <c r="BR62">
        <f>IF('06_Normalizacao'!S62="",0,1)</f>
        <v>0</v>
      </c>
      <c r="BS62">
        <f>IF('06_Normalizacao'!T62="",0,1)</f>
        <v>0</v>
      </c>
      <c r="BT62">
        <f>IF('06_Normalizacao'!U62="",0,1)</f>
        <v>0</v>
      </c>
    </row>
    <row r="63" spans="1:72">
      <c r="A63" s="6" t="str">
        <f>'03_Base_Indice'!D63</f>
        <v/>
      </c>
      <c r="B63" t="str">
        <f>IFERROR(LOOKUP(2,1/ISNUMBER('03_Base_Indice'!$K63:K63),COLUMN('03_Base_Indice'!$K63:K63)-COLUMN('03_Base_Indice'!$K63)+1),"")</f>
        <v/>
      </c>
      <c r="C63" t="str">
        <f>IFERROR(LOOKUP(2,1/ISNUMBER('03_Base_Indice'!$K63:L63),COLUMN('03_Base_Indice'!$K63:L63)-COLUMN('03_Base_Indice'!$K63)+1),"")</f>
        <v/>
      </c>
      <c r="D63" t="str">
        <f>IFERROR(LOOKUP(2,1/ISNUMBER('03_Base_Indice'!$K63:M63),COLUMN('03_Base_Indice'!$K63:M63)-COLUMN('03_Base_Indice'!$K63)+1),"")</f>
        <v/>
      </c>
      <c r="E63" t="str">
        <f>IFERROR(LOOKUP(2,1/ISNUMBER('03_Base_Indice'!$K63:N63),COLUMN('03_Base_Indice'!$K63:N63)-COLUMN('03_Base_Indice'!$K63)+1),"")</f>
        <v/>
      </c>
      <c r="F63" t="str">
        <f>IFERROR(LOOKUP(2,1/ISNUMBER('03_Base_Indice'!$K63:O63),COLUMN('03_Base_Indice'!$K63:O63)-COLUMN('03_Base_Indice'!$K63)+1),"")</f>
        <v/>
      </c>
      <c r="G63" t="str">
        <f>IFERROR(LOOKUP(2,1/ISNUMBER('03_Base_Indice'!$K63:P63),COLUMN('03_Base_Indice'!$K63:P63)-COLUMN('03_Base_Indice'!$K63)+1),"")</f>
        <v/>
      </c>
      <c r="H63" t="str">
        <f>IFERROR(LOOKUP(2,1/ISNUMBER('03_Base_Indice'!$K63:Q63),COLUMN('03_Base_Indice'!$K63:Q63)-COLUMN('03_Base_Indice'!$K63)+1),"")</f>
        <v/>
      </c>
      <c r="I63" t="str">
        <f>IFERROR(LOOKUP(2,1/ISNUMBER('03_Base_Indice'!$K63:R63),COLUMN('03_Base_Indice'!$K63:R63)-COLUMN('03_Base_Indice'!$K63)+1),"")</f>
        <v/>
      </c>
      <c r="J63" t="str">
        <f>IFERROR(LOOKUP(2,1/ISNUMBER('03_Base_Indice'!$K63:S63),COLUMN('03_Base_Indice'!$K63:S63)-COLUMN('03_Base_Indice'!$K63)+1),"")</f>
        <v/>
      </c>
      <c r="K63" t="str">
        <f>IFERROR(LOOKUP(2,1/ISNUMBER('03_Base_Indice'!$K63:T63),COLUMN('03_Base_Indice'!$K63:T63)-COLUMN('03_Base_Indice'!$K63)+1),"")</f>
        <v/>
      </c>
      <c r="L63" t="str">
        <f>IFERROR(LOOKUP(2,1/ISNUMBER('03_Base_Indice'!$K63:U63),COLUMN('03_Base_Indice'!$K63:U63)-COLUMN('03_Base_Indice'!$K63)+1),"")</f>
        <v/>
      </c>
      <c r="N63" t="str">
        <f>IFERROR(MATCH(TRUE,INDEX(ISNUMBER('03_Base_Indice'!K63:$U63),0),0)+0,"")</f>
        <v/>
      </c>
      <c r="O63" t="str">
        <f>IFERROR(MATCH(TRUE,INDEX(ISNUMBER('03_Base_Indice'!L63:$U63),0),0)+1,"")</f>
        <v/>
      </c>
      <c r="P63" t="str">
        <f>IFERROR(MATCH(TRUE,INDEX(ISNUMBER('03_Base_Indice'!M63:$U63),0),0)+2,"")</f>
        <v/>
      </c>
      <c r="Q63" t="str">
        <f>IFERROR(MATCH(TRUE,INDEX(ISNUMBER('03_Base_Indice'!N63:$U63),0),0)+3,"")</f>
        <v/>
      </c>
      <c r="R63" t="str">
        <f>IFERROR(MATCH(TRUE,INDEX(ISNUMBER('03_Base_Indice'!O63:$U63),0),0)+4,"")</f>
        <v/>
      </c>
      <c r="S63" t="str">
        <f>IFERROR(MATCH(TRUE,INDEX(ISNUMBER('03_Base_Indice'!P63:$U63),0),0)+5,"")</f>
        <v/>
      </c>
      <c r="T63" t="str">
        <f>IFERROR(MATCH(TRUE,INDEX(ISNUMBER('03_Base_Indice'!Q63:$U63),0),0)+6,"")</f>
        <v/>
      </c>
      <c r="U63" t="str">
        <f>IFERROR(MATCH(TRUE,INDEX(ISNUMBER('03_Base_Indice'!R63:$U63),0),0)+7,"")</f>
        <v/>
      </c>
      <c r="V63" t="str">
        <f>IFERROR(MATCH(TRUE,INDEX(ISNUMBER('03_Base_Indice'!S63:$U63),0),0)+8,"")</f>
        <v/>
      </c>
      <c r="W63" t="str">
        <f>IFERROR(MATCH(TRUE,INDEX(ISNUMBER('03_Base_Indice'!T63:$U63),0),0)+9,"")</f>
        <v/>
      </c>
      <c r="X63" t="str">
        <f>IFERROR(MATCH(TRUE,INDEX(ISNUMBER('03_Base_Indice'!U63:$U63),0),0)+10,"")</f>
        <v/>
      </c>
      <c r="Z63" t="str">
        <f>IF(B63="","",INDEX('03_Base_Indice'!$K63:$U63,B63))</f>
        <v/>
      </c>
      <c r="AA63" t="str">
        <f>IF(C63="","",INDEX('03_Base_Indice'!$K63:$U63,C63))</f>
        <v/>
      </c>
      <c r="AB63" t="str">
        <f>IF(D63="","",INDEX('03_Base_Indice'!$K63:$U63,D63))</f>
        <v/>
      </c>
      <c r="AC63" t="str">
        <f>IF(E63="","",INDEX('03_Base_Indice'!$K63:$U63,E63))</f>
        <v/>
      </c>
      <c r="AD63" t="str">
        <f>IF(F63="","",INDEX('03_Base_Indice'!$K63:$U63,F63))</f>
        <v/>
      </c>
      <c r="AE63" t="str">
        <f>IF(G63="","",INDEX('03_Base_Indice'!$K63:$U63,G63))</f>
        <v/>
      </c>
      <c r="AF63" t="str">
        <f>IF(H63="","",INDEX('03_Base_Indice'!$K63:$U63,H63))</f>
        <v/>
      </c>
      <c r="AG63" t="str">
        <f>IF(I63="","",INDEX('03_Base_Indice'!$K63:$U63,I63))</f>
        <v/>
      </c>
      <c r="AH63" t="str">
        <f>IF(J63="","",INDEX('03_Base_Indice'!$K63:$U63,J63))</f>
        <v/>
      </c>
      <c r="AI63" t="str">
        <f>IF(K63="","",INDEX('03_Base_Indice'!$K63:$U63,K63))</f>
        <v/>
      </c>
      <c r="AJ63" t="str">
        <f>IF(L63="","",INDEX('03_Base_Indice'!$K63:$U63,L63))</f>
        <v/>
      </c>
      <c r="AL63" t="str">
        <f>IF(N63="","",INDEX('03_Base_Indice'!$K63:$U63,N63))</f>
        <v/>
      </c>
      <c r="AM63" t="str">
        <f>IF(O63="","",INDEX('03_Base_Indice'!$K63:$U63,O63))</f>
        <v/>
      </c>
      <c r="AN63" t="str">
        <f>IF(P63="","",INDEX('03_Base_Indice'!$K63:$U63,P63))</f>
        <v/>
      </c>
      <c r="AO63" t="str">
        <f>IF(Q63="","",INDEX('03_Base_Indice'!$K63:$U63,Q63))</f>
        <v/>
      </c>
      <c r="AP63" t="str">
        <f>IF(R63="","",INDEX('03_Base_Indice'!$K63:$U63,R63))</f>
        <v/>
      </c>
      <c r="AQ63" t="str">
        <f>IF(S63="","",INDEX('03_Base_Indice'!$K63:$U63,S63))</f>
        <v/>
      </c>
      <c r="AR63" t="str">
        <f>IF(T63="","",INDEX('03_Base_Indice'!$K63:$U63,T63))</f>
        <v/>
      </c>
      <c r="AS63" t="str">
        <f>IF(U63="","",INDEX('03_Base_Indice'!$K63:$U63,U63))</f>
        <v/>
      </c>
      <c r="AT63" t="str">
        <f>IF(V63="","",INDEX('03_Base_Indice'!$K63:$U63,V63))</f>
        <v/>
      </c>
      <c r="AU63" t="str">
        <f>IF(W63="","",INDEX('03_Base_Indice'!$K63:$U63,W63))</f>
        <v/>
      </c>
      <c r="AV63" t="str">
        <f>IF(X63="","",INDEX('03_Base_Indice'!$K63:$U63,X63))</f>
        <v/>
      </c>
      <c r="AX63">
        <f>IF('06_Normalizacao'!K63="",0,'06_Normalizacao'!K63)</f>
        <v>0</v>
      </c>
      <c r="AY63">
        <f>IF('06_Normalizacao'!L63="",0,'06_Normalizacao'!L63)</f>
        <v>0</v>
      </c>
      <c r="AZ63">
        <f>IF('06_Normalizacao'!M63="",0,'06_Normalizacao'!M63)</f>
        <v>0</v>
      </c>
      <c r="BA63">
        <f>IF('06_Normalizacao'!N63="",0,'06_Normalizacao'!N63)</f>
        <v>0</v>
      </c>
      <c r="BB63">
        <f>IF('06_Normalizacao'!O63="",0,'06_Normalizacao'!O63)</f>
        <v>0</v>
      </c>
      <c r="BC63">
        <f>IF('06_Normalizacao'!P63="",0,'06_Normalizacao'!P63)</f>
        <v>0</v>
      </c>
      <c r="BD63">
        <f>IF('06_Normalizacao'!Q63="",0,'06_Normalizacao'!Q63)</f>
        <v>0</v>
      </c>
      <c r="BE63">
        <f>IF('06_Normalizacao'!R63="",0,'06_Normalizacao'!R63)</f>
        <v>0</v>
      </c>
      <c r="BF63">
        <f>IF('06_Normalizacao'!S63="",0,'06_Normalizacao'!S63)</f>
        <v>0</v>
      </c>
      <c r="BG63">
        <f>IF('06_Normalizacao'!T63="",0,'06_Normalizacao'!T63)</f>
        <v>0</v>
      </c>
      <c r="BH63">
        <f>IF('06_Normalizacao'!U63="",0,'06_Normalizacao'!U63)</f>
        <v>0</v>
      </c>
      <c r="BJ63">
        <f>IF('06_Normalizacao'!K63="",0,1)</f>
        <v>0</v>
      </c>
      <c r="BK63">
        <f>IF('06_Normalizacao'!L63="",0,1)</f>
        <v>0</v>
      </c>
      <c r="BL63">
        <f>IF('06_Normalizacao'!M63="",0,1)</f>
        <v>0</v>
      </c>
      <c r="BM63">
        <f>IF('06_Normalizacao'!N63="",0,1)</f>
        <v>0</v>
      </c>
      <c r="BN63">
        <f>IF('06_Normalizacao'!O63="",0,1)</f>
        <v>0</v>
      </c>
      <c r="BO63">
        <f>IF('06_Normalizacao'!P63="",0,1)</f>
        <v>0</v>
      </c>
      <c r="BP63">
        <f>IF('06_Normalizacao'!Q63="",0,1)</f>
        <v>0</v>
      </c>
      <c r="BQ63">
        <f>IF('06_Normalizacao'!R63="",0,1)</f>
        <v>0</v>
      </c>
      <c r="BR63">
        <f>IF('06_Normalizacao'!S63="",0,1)</f>
        <v>0</v>
      </c>
      <c r="BS63">
        <f>IF('06_Normalizacao'!T63="",0,1)</f>
        <v>0</v>
      </c>
      <c r="BT63">
        <f>IF('06_Normalizacao'!U63="",0,1)</f>
        <v>0</v>
      </c>
    </row>
    <row r="64" spans="1:72">
      <c r="A64" s="6" t="str">
        <f>'03_Base_Indice'!D64</f>
        <v/>
      </c>
      <c r="B64" t="str">
        <f>IFERROR(LOOKUP(2,1/ISNUMBER('03_Base_Indice'!$K64:K64),COLUMN('03_Base_Indice'!$K64:K64)-COLUMN('03_Base_Indice'!$K64)+1),"")</f>
        <v/>
      </c>
      <c r="C64" t="str">
        <f>IFERROR(LOOKUP(2,1/ISNUMBER('03_Base_Indice'!$K64:L64),COLUMN('03_Base_Indice'!$K64:L64)-COLUMN('03_Base_Indice'!$K64)+1),"")</f>
        <v/>
      </c>
      <c r="D64" t="str">
        <f>IFERROR(LOOKUP(2,1/ISNUMBER('03_Base_Indice'!$K64:M64),COLUMN('03_Base_Indice'!$K64:M64)-COLUMN('03_Base_Indice'!$K64)+1),"")</f>
        <v/>
      </c>
      <c r="E64" t="str">
        <f>IFERROR(LOOKUP(2,1/ISNUMBER('03_Base_Indice'!$K64:N64),COLUMN('03_Base_Indice'!$K64:N64)-COLUMN('03_Base_Indice'!$K64)+1),"")</f>
        <v/>
      </c>
      <c r="F64" t="str">
        <f>IFERROR(LOOKUP(2,1/ISNUMBER('03_Base_Indice'!$K64:O64),COLUMN('03_Base_Indice'!$K64:O64)-COLUMN('03_Base_Indice'!$K64)+1),"")</f>
        <v/>
      </c>
      <c r="G64" t="str">
        <f>IFERROR(LOOKUP(2,1/ISNUMBER('03_Base_Indice'!$K64:P64),COLUMN('03_Base_Indice'!$K64:P64)-COLUMN('03_Base_Indice'!$K64)+1),"")</f>
        <v/>
      </c>
      <c r="H64" t="str">
        <f>IFERROR(LOOKUP(2,1/ISNUMBER('03_Base_Indice'!$K64:Q64),COLUMN('03_Base_Indice'!$K64:Q64)-COLUMN('03_Base_Indice'!$K64)+1),"")</f>
        <v/>
      </c>
      <c r="I64" t="str">
        <f>IFERROR(LOOKUP(2,1/ISNUMBER('03_Base_Indice'!$K64:R64),COLUMN('03_Base_Indice'!$K64:R64)-COLUMN('03_Base_Indice'!$K64)+1),"")</f>
        <v/>
      </c>
      <c r="J64" t="str">
        <f>IFERROR(LOOKUP(2,1/ISNUMBER('03_Base_Indice'!$K64:S64),COLUMN('03_Base_Indice'!$K64:S64)-COLUMN('03_Base_Indice'!$K64)+1),"")</f>
        <v/>
      </c>
      <c r="K64" t="str">
        <f>IFERROR(LOOKUP(2,1/ISNUMBER('03_Base_Indice'!$K64:T64),COLUMN('03_Base_Indice'!$K64:T64)-COLUMN('03_Base_Indice'!$K64)+1),"")</f>
        <v/>
      </c>
      <c r="L64" t="str">
        <f>IFERROR(LOOKUP(2,1/ISNUMBER('03_Base_Indice'!$K64:U64),COLUMN('03_Base_Indice'!$K64:U64)-COLUMN('03_Base_Indice'!$K64)+1),"")</f>
        <v/>
      </c>
      <c r="N64" t="str">
        <f>IFERROR(MATCH(TRUE,INDEX(ISNUMBER('03_Base_Indice'!K64:$U64),0),0)+0,"")</f>
        <v/>
      </c>
      <c r="O64" t="str">
        <f>IFERROR(MATCH(TRUE,INDEX(ISNUMBER('03_Base_Indice'!L64:$U64),0),0)+1,"")</f>
        <v/>
      </c>
      <c r="P64" t="str">
        <f>IFERROR(MATCH(TRUE,INDEX(ISNUMBER('03_Base_Indice'!M64:$U64),0),0)+2,"")</f>
        <v/>
      </c>
      <c r="Q64" t="str">
        <f>IFERROR(MATCH(TRUE,INDEX(ISNUMBER('03_Base_Indice'!N64:$U64),0),0)+3,"")</f>
        <v/>
      </c>
      <c r="R64" t="str">
        <f>IFERROR(MATCH(TRUE,INDEX(ISNUMBER('03_Base_Indice'!O64:$U64),0),0)+4,"")</f>
        <v/>
      </c>
      <c r="S64" t="str">
        <f>IFERROR(MATCH(TRUE,INDEX(ISNUMBER('03_Base_Indice'!P64:$U64),0),0)+5,"")</f>
        <v/>
      </c>
      <c r="T64" t="str">
        <f>IFERROR(MATCH(TRUE,INDEX(ISNUMBER('03_Base_Indice'!Q64:$U64),0),0)+6,"")</f>
        <v/>
      </c>
      <c r="U64" t="str">
        <f>IFERROR(MATCH(TRUE,INDEX(ISNUMBER('03_Base_Indice'!R64:$U64),0),0)+7,"")</f>
        <v/>
      </c>
      <c r="V64" t="str">
        <f>IFERROR(MATCH(TRUE,INDEX(ISNUMBER('03_Base_Indice'!S64:$U64),0),0)+8,"")</f>
        <v/>
      </c>
      <c r="W64" t="str">
        <f>IFERROR(MATCH(TRUE,INDEX(ISNUMBER('03_Base_Indice'!T64:$U64),0),0)+9,"")</f>
        <v/>
      </c>
      <c r="X64" t="str">
        <f>IFERROR(MATCH(TRUE,INDEX(ISNUMBER('03_Base_Indice'!U64:$U64),0),0)+10,"")</f>
        <v/>
      </c>
      <c r="Z64" t="str">
        <f>IF(B64="","",INDEX('03_Base_Indice'!$K64:$U64,B64))</f>
        <v/>
      </c>
      <c r="AA64" t="str">
        <f>IF(C64="","",INDEX('03_Base_Indice'!$K64:$U64,C64))</f>
        <v/>
      </c>
      <c r="AB64" t="str">
        <f>IF(D64="","",INDEX('03_Base_Indice'!$K64:$U64,D64))</f>
        <v/>
      </c>
      <c r="AC64" t="str">
        <f>IF(E64="","",INDEX('03_Base_Indice'!$K64:$U64,E64))</f>
        <v/>
      </c>
      <c r="AD64" t="str">
        <f>IF(F64="","",INDEX('03_Base_Indice'!$K64:$U64,F64))</f>
        <v/>
      </c>
      <c r="AE64" t="str">
        <f>IF(G64="","",INDEX('03_Base_Indice'!$K64:$U64,G64))</f>
        <v/>
      </c>
      <c r="AF64" t="str">
        <f>IF(H64="","",INDEX('03_Base_Indice'!$K64:$U64,H64))</f>
        <v/>
      </c>
      <c r="AG64" t="str">
        <f>IF(I64="","",INDEX('03_Base_Indice'!$K64:$U64,I64))</f>
        <v/>
      </c>
      <c r="AH64" t="str">
        <f>IF(J64="","",INDEX('03_Base_Indice'!$K64:$U64,J64))</f>
        <v/>
      </c>
      <c r="AI64" t="str">
        <f>IF(K64="","",INDEX('03_Base_Indice'!$K64:$U64,K64))</f>
        <v/>
      </c>
      <c r="AJ64" t="str">
        <f>IF(L64="","",INDEX('03_Base_Indice'!$K64:$U64,L64))</f>
        <v/>
      </c>
      <c r="AL64" t="str">
        <f>IF(N64="","",INDEX('03_Base_Indice'!$K64:$U64,N64))</f>
        <v/>
      </c>
      <c r="AM64" t="str">
        <f>IF(O64="","",INDEX('03_Base_Indice'!$K64:$U64,O64))</f>
        <v/>
      </c>
      <c r="AN64" t="str">
        <f>IF(P64="","",INDEX('03_Base_Indice'!$K64:$U64,P64))</f>
        <v/>
      </c>
      <c r="AO64" t="str">
        <f>IF(Q64="","",INDEX('03_Base_Indice'!$K64:$U64,Q64))</f>
        <v/>
      </c>
      <c r="AP64" t="str">
        <f>IF(R64="","",INDEX('03_Base_Indice'!$K64:$U64,R64))</f>
        <v/>
      </c>
      <c r="AQ64" t="str">
        <f>IF(S64="","",INDEX('03_Base_Indice'!$K64:$U64,S64))</f>
        <v/>
      </c>
      <c r="AR64" t="str">
        <f>IF(T64="","",INDEX('03_Base_Indice'!$K64:$U64,T64))</f>
        <v/>
      </c>
      <c r="AS64" t="str">
        <f>IF(U64="","",INDEX('03_Base_Indice'!$K64:$U64,U64))</f>
        <v/>
      </c>
      <c r="AT64" t="str">
        <f>IF(V64="","",INDEX('03_Base_Indice'!$K64:$U64,V64))</f>
        <v/>
      </c>
      <c r="AU64" t="str">
        <f>IF(W64="","",INDEX('03_Base_Indice'!$K64:$U64,W64))</f>
        <v/>
      </c>
      <c r="AV64" t="str">
        <f>IF(X64="","",INDEX('03_Base_Indice'!$K64:$U64,X64))</f>
        <v/>
      </c>
      <c r="AX64">
        <f>IF('06_Normalizacao'!K64="",0,'06_Normalizacao'!K64)</f>
        <v>0</v>
      </c>
      <c r="AY64">
        <f>IF('06_Normalizacao'!L64="",0,'06_Normalizacao'!L64)</f>
        <v>0</v>
      </c>
      <c r="AZ64">
        <f>IF('06_Normalizacao'!M64="",0,'06_Normalizacao'!M64)</f>
        <v>0</v>
      </c>
      <c r="BA64">
        <f>IF('06_Normalizacao'!N64="",0,'06_Normalizacao'!N64)</f>
        <v>0</v>
      </c>
      <c r="BB64">
        <f>IF('06_Normalizacao'!O64="",0,'06_Normalizacao'!O64)</f>
        <v>0</v>
      </c>
      <c r="BC64">
        <f>IF('06_Normalizacao'!P64="",0,'06_Normalizacao'!P64)</f>
        <v>0</v>
      </c>
      <c r="BD64">
        <f>IF('06_Normalizacao'!Q64="",0,'06_Normalizacao'!Q64)</f>
        <v>0</v>
      </c>
      <c r="BE64">
        <f>IF('06_Normalizacao'!R64="",0,'06_Normalizacao'!R64)</f>
        <v>0</v>
      </c>
      <c r="BF64">
        <f>IF('06_Normalizacao'!S64="",0,'06_Normalizacao'!S64)</f>
        <v>0</v>
      </c>
      <c r="BG64">
        <f>IF('06_Normalizacao'!T64="",0,'06_Normalizacao'!T64)</f>
        <v>0</v>
      </c>
      <c r="BH64">
        <f>IF('06_Normalizacao'!U64="",0,'06_Normalizacao'!U64)</f>
        <v>0</v>
      </c>
      <c r="BJ64">
        <f>IF('06_Normalizacao'!K64="",0,1)</f>
        <v>0</v>
      </c>
      <c r="BK64">
        <f>IF('06_Normalizacao'!L64="",0,1)</f>
        <v>0</v>
      </c>
      <c r="BL64">
        <f>IF('06_Normalizacao'!M64="",0,1)</f>
        <v>0</v>
      </c>
      <c r="BM64">
        <f>IF('06_Normalizacao'!N64="",0,1)</f>
        <v>0</v>
      </c>
      <c r="BN64">
        <f>IF('06_Normalizacao'!O64="",0,1)</f>
        <v>0</v>
      </c>
      <c r="BO64">
        <f>IF('06_Normalizacao'!P64="",0,1)</f>
        <v>0</v>
      </c>
      <c r="BP64">
        <f>IF('06_Normalizacao'!Q64="",0,1)</f>
        <v>0</v>
      </c>
      <c r="BQ64">
        <f>IF('06_Normalizacao'!R64="",0,1)</f>
        <v>0</v>
      </c>
      <c r="BR64">
        <f>IF('06_Normalizacao'!S64="",0,1)</f>
        <v>0</v>
      </c>
      <c r="BS64">
        <f>IF('06_Normalizacao'!T64="",0,1)</f>
        <v>0</v>
      </c>
      <c r="BT64">
        <f>IF('06_Normalizacao'!U64="",0,1)</f>
        <v>0</v>
      </c>
    </row>
    <row r="65" spans="1:72">
      <c r="A65" s="6" t="str">
        <f>'03_Base_Indice'!D65</f>
        <v>SAU003</v>
      </c>
      <c r="B65">
        <f>IFERROR(LOOKUP(2,1/ISNUMBER('03_Base_Indice'!$K65:K65),COLUMN('03_Base_Indice'!$K65:K65)-COLUMN('03_Base_Indice'!$K65)+1),"")</f>
        <v>1</v>
      </c>
      <c r="C65">
        <f>IFERROR(LOOKUP(2,1/ISNUMBER('03_Base_Indice'!$K65:L65),COLUMN('03_Base_Indice'!$K65:L65)-COLUMN('03_Base_Indice'!$K65)+1),"")</f>
        <v>2</v>
      </c>
      <c r="D65">
        <f>IFERROR(LOOKUP(2,1/ISNUMBER('03_Base_Indice'!$K65:M65),COLUMN('03_Base_Indice'!$K65:M65)-COLUMN('03_Base_Indice'!$K65)+1),"")</f>
        <v>3</v>
      </c>
      <c r="E65">
        <f>IFERROR(LOOKUP(2,1/ISNUMBER('03_Base_Indice'!$K65:N65),COLUMN('03_Base_Indice'!$K65:N65)-COLUMN('03_Base_Indice'!$K65)+1),"")</f>
        <v>4</v>
      </c>
      <c r="F65">
        <f>IFERROR(LOOKUP(2,1/ISNUMBER('03_Base_Indice'!$K65:O65),COLUMN('03_Base_Indice'!$K65:O65)-COLUMN('03_Base_Indice'!$K65)+1),"")</f>
        <v>5</v>
      </c>
      <c r="G65">
        <f>IFERROR(LOOKUP(2,1/ISNUMBER('03_Base_Indice'!$K65:P65),COLUMN('03_Base_Indice'!$K65:P65)-COLUMN('03_Base_Indice'!$K65)+1),"")</f>
        <v>6</v>
      </c>
      <c r="H65">
        <f>IFERROR(LOOKUP(2,1/ISNUMBER('03_Base_Indice'!$K65:Q65),COLUMN('03_Base_Indice'!$K65:Q65)-COLUMN('03_Base_Indice'!$K65)+1),"")</f>
        <v>7</v>
      </c>
      <c r="I65">
        <f>IFERROR(LOOKUP(2,1/ISNUMBER('03_Base_Indice'!$K65:R65),COLUMN('03_Base_Indice'!$K65:R65)-COLUMN('03_Base_Indice'!$K65)+1),"")</f>
        <v>8</v>
      </c>
      <c r="J65">
        <f>IFERROR(LOOKUP(2,1/ISNUMBER('03_Base_Indice'!$K65:S65),COLUMN('03_Base_Indice'!$K65:S65)-COLUMN('03_Base_Indice'!$K65)+1),"")</f>
        <v>9</v>
      </c>
      <c r="K65">
        <f>IFERROR(LOOKUP(2,1/ISNUMBER('03_Base_Indice'!$K65:T65),COLUMN('03_Base_Indice'!$K65:T65)-COLUMN('03_Base_Indice'!$K65)+1),"")</f>
        <v>10</v>
      </c>
      <c r="L65">
        <f>IFERROR(LOOKUP(2,1/ISNUMBER('03_Base_Indice'!$K65:U65),COLUMN('03_Base_Indice'!$K65:U65)-COLUMN('03_Base_Indice'!$K65)+1),"")</f>
        <v>11</v>
      </c>
      <c r="N65">
        <f>IFERROR(MATCH(TRUE,INDEX(ISNUMBER('03_Base_Indice'!K65:$U65),0),0)+0,"")</f>
        <v>1</v>
      </c>
      <c r="O65">
        <f>IFERROR(MATCH(TRUE,INDEX(ISNUMBER('03_Base_Indice'!L65:$U65),0),0)+1,"")</f>
        <v>2</v>
      </c>
      <c r="P65">
        <f>IFERROR(MATCH(TRUE,INDEX(ISNUMBER('03_Base_Indice'!M65:$U65),0),0)+2,"")</f>
        <v>3</v>
      </c>
      <c r="Q65">
        <f>IFERROR(MATCH(TRUE,INDEX(ISNUMBER('03_Base_Indice'!N65:$U65),0),0)+3,"")</f>
        <v>4</v>
      </c>
      <c r="R65">
        <f>IFERROR(MATCH(TRUE,INDEX(ISNUMBER('03_Base_Indice'!O65:$U65),0),0)+4,"")</f>
        <v>5</v>
      </c>
      <c r="S65">
        <f>IFERROR(MATCH(TRUE,INDEX(ISNUMBER('03_Base_Indice'!P65:$U65),0),0)+5,"")</f>
        <v>6</v>
      </c>
      <c r="T65">
        <f>IFERROR(MATCH(TRUE,INDEX(ISNUMBER('03_Base_Indice'!Q65:$U65),0),0)+6,"")</f>
        <v>7</v>
      </c>
      <c r="U65">
        <f>IFERROR(MATCH(TRUE,INDEX(ISNUMBER('03_Base_Indice'!R65:$U65),0),0)+7,"")</f>
        <v>8</v>
      </c>
      <c r="V65">
        <f>IFERROR(MATCH(TRUE,INDEX(ISNUMBER('03_Base_Indice'!S65:$U65),0),0)+8,"")</f>
        <v>9</v>
      </c>
      <c r="W65">
        <f>IFERROR(MATCH(TRUE,INDEX(ISNUMBER('03_Base_Indice'!T65:$U65),0),0)+9,"")</f>
        <v>10</v>
      </c>
      <c r="X65">
        <f>IFERROR(MATCH(TRUE,INDEX(ISNUMBER('03_Base_Indice'!U65:$U65),0),0)+10,"")</f>
        <v>11</v>
      </c>
      <c r="Z65">
        <f>IF(B65="","",INDEX('03_Base_Indice'!$K65:$U65,B65))</f>
        <v>249</v>
      </c>
      <c r="AA65">
        <f>IF(C65="","",INDEX('03_Base_Indice'!$K65:$U65,C65))</f>
        <v>236</v>
      </c>
      <c r="AB65">
        <f>IF(D65="","",INDEX('03_Base_Indice'!$K65:$U65,D65))</f>
        <v>220</v>
      </c>
      <c r="AC65">
        <f>IF(E65="","",INDEX('03_Base_Indice'!$K65:$U65,E65))</f>
        <v>208</v>
      </c>
      <c r="AD65">
        <f>IF(F65="","",INDEX('03_Base_Indice'!$K65:$U65,F65))</f>
        <v>202</v>
      </c>
      <c r="AE65">
        <f>IF(G65="","",INDEX('03_Base_Indice'!$K65:$U65,G65))</f>
        <v>195</v>
      </c>
      <c r="AF65">
        <f>IF(H65="","",INDEX('03_Base_Indice'!$K65:$U65,H65))</f>
        <v>211</v>
      </c>
      <c r="AG65">
        <f>IF(I65="","",INDEX('03_Base_Indice'!$K65:$U65,I65))</f>
        <v>185</v>
      </c>
      <c r="AH65">
        <f>IF(J65="","",INDEX('03_Base_Indice'!$K65:$U65,J65))</f>
        <v>183</v>
      </c>
      <c r="AI65">
        <f>IF(K65="","",INDEX('03_Base_Indice'!$K65:$U65,K65))</f>
        <v>185</v>
      </c>
      <c r="AJ65">
        <f>IF(L65="","",INDEX('03_Base_Indice'!$K65:$U65,L65))</f>
        <v>170</v>
      </c>
      <c r="AL65">
        <f>IF(N65="","",INDEX('03_Base_Indice'!$K65:$U65,N65))</f>
        <v>249</v>
      </c>
      <c r="AM65">
        <f>IF(O65="","",INDEX('03_Base_Indice'!$K65:$U65,O65))</f>
        <v>236</v>
      </c>
      <c r="AN65">
        <f>IF(P65="","",INDEX('03_Base_Indice'!$K65:$U65,P65))</f>
        <v>220</v>
      </c>
      <c r="AO65">
        <f>IF(Q65="","",INDEX('03_Base_Indice'!$K65:$U65,Q65))</f>
        <v>208</v>
      </c>
      <c r="AP65">
        <f>IF(R65="","",INDEX('03_Base_Indice'!$K65:$U65,R65))</f>
        <v>202</v>
      </c>
      <c r="AQ65">
        <f>IF(S65="","",INDEX('03_Base_Indice'!$K65:$U65,S65))</f>
        <v>195</v>
      </c>
      <c r="AR65">
        <f>IF(T65="","",INDEX('03_Base_Indice'!$K65:$U65,T65))</f>
        <v>211</v>
      </c>
      <c r="AS65">
        <f>IF(U65="","",INDEX('03_Base_Indice'!$K65:$U65,U65))</f>
        <v>185</v>
      </c>
      <c r="AT65">
        <f>IF(V65="","",INDEX('03_Base_Indice'!$K65:$U65,V65))</f>
        <v>183</v>
      </c>
      <c r="AU65">
        <f>IF(W65="","",INDEX('03_Base_Indice'!$K65:$U65,W65))</f>
        <v>185</v>
      </c>
      <c r="AV65">
        <f>IF(X65="","",INDEX('03_Base_Indice'!$K65:$U65,X65))</f>
        <v>170</v>
      </c>
      <c r="AX65">
        <f>IF('06_Normalizacao'!K65="",0,'06_Normalizacao'!K65)</f>
        <v>75.099999999999994</v>
      </c>
      <c r="AY65">
        <f>IF('06_Normalizacao'!L65="",0,'06_Normalizacao'!L65)</f>
        <v>76.400000000000006</v>
      </c>
      <c r="AZ65">
        <f>IF('06_Normalizacao'!M65="",0,'06_Normalizacao'!M65)</f>
        <v>78</v>
      </c>
      <c r="BA65">
        <f>IF('06_Normalizacao'!N65="",0,'06_Normalizacao'!N65)</f>
        <v>79.2</v>
      </c>
      <c r="BB65">
        <f>IF('06_Normalizacao'!O65="",0,'06_Normalizacao'!O65)</f>
        <v>79.8</v>
      </c>
      <c r="BC65">
        <f>IF('06_Normalizacao'!P65="",0,'06_Normalizacao'!P65)</f>
        <v>80.5</v>
      </c>
      <c r="BD65">
        <f>IF('06_Normalizacao'!Q65="",0,'06_Normalizacao'!Q65)</f>
        <v>78.900000000000006</v>
      </c>
      <c r="BE65">
        <f>IF('06_Normalizacao'!R65="",0,'06_Normalizacao'!R65)</f>
        <v>81.5</v>
      </c>
      <c r="BF65">
        <f>IF('06_Normalizacao'!S65="",0,'06_Normalizacao'!S65)</f>
        <v>81.7</v>
      </c>
      <c r="BG65">
        <f>IF('06_Normalizacao'!T65="",0,'06_Normalizacao'!T65)</f>
        <v>81.5</v>
      </c>
      <c r="BH65">
        <f>IF('06_Normalizacao'!U65="",0,'06_Normalizacao'!U65)</f>
        <v>83</v>
      </c>
      <c r="BJ65">
        <f>IF('06_Normalizacao'!K65="",0,1)</f>
        <v>1</v>
      </c>
      <c r="BK65">
        <f>IF('06_Normalizacao'!L65="",0,1)</f>
        <v>1</v>
      </c>
      <c r="BL65">
        <f>IF('06_Normalizacao'!M65="",0,1)</f>
        <v>1</v>
      </c>
      <c r="BM65">
        <f>IF('06_Normalizacao'!N65="",0,1)</f>
        <v>1</v>
      </c>
      <c r="BN65">
        <f>IF('06_Normalizacao'!O65="",0,1)</f>
        <v>1</v>
      </c>
      <c r="BO65">
        <f>IF('06_Normalizacao'!P65="",0,1)</f>
        <v>1</v>
      </c>
      <c r="BP65">
        <f>IF('06_Normalizacao'!Q65="",0,1)</f>
        <v>1</v>
      </c>
      <c r="BQ65">
        <f>IF('06_Normalizacao'!R65="",0,1)</f>
        <v>1</v>
      </c>
      <c r="BR65">
        <f>IF('06_Normalizacao'!S65="",0,1)</f>
        <v>1</v>
      </c>
      <c r="BS65">
        <f>IF('06_Normalizacao'!T65="",0,1)</f>
        <v>1</v>
      </c>
      <c r="BT65">
        <f>IF('06_Normalizacao'!U65="",0,1)</f>
        <v>1</v>
      </c>
    </row>
    <row r="66" spans="1:72">
      <c r="A66" s="6" t="str">
        <f>'03_Base_Indice'!D66</f>
        <v>SAU006</v>
      </c>
      <c r="B66">
        <f>IFERROR(LOOKUP(2,1/ISNUMBER('03_Base_Indice'!$K66:K66),COLUMN('03_Base_Indice'!$K66:K66)-COLUMN('03_Base_Indice'!$K66)+1),"")</f>
        <v>1</v>
      </c>
      <c r="C66">
        <f>IFERROR(LOOKUP(2,1/ISNUMBER('03_Base_Indice'!$K66:L66),COLUMN('03_Base_Indice'!$K66:L66)-COLUMN('03_Base_Indice'!$K66)+1),"")</f>
        <v>2</v>
      </c>
      <c r="D66">
        <f>IFERROR(LOOKUP(2,1/ISNUMBER('03_Base_Indice'!$K66:M66),COLUMN('03_Base_Indice'!$K66:M66)-COLUMN('03_Base_Indice'!$K66)+1),"")</f>
        <v>3</v>
      </c>
      <c r="E66">
        <f>IFERROR(LOOKUP(2,1/ISNUMBER('03_Base_Indice'!$K66:N66),COLUMN('03_Base_Indice'!$K66:N66)-COLUMN('03_Base_Indice'!$K66)+1),"")</f>
        <v>4</v>
      </c>
      <c r="F66">
        <f>IFERROR(LOOKUP(2,1/ISNUMBER('03_Base_Indice'!$K66:O66),COLUMN('03_Base_Indice'!$K66:O66)-COLUMN('03_Base_Indice'!$K66)+1),"")</f>
        <v>5</v>
      </c>
      <c r="G66">
        <f>IFERROR(LOOKUP(2,1/ISNUMBER('03_Base_Indice'!$K66:P66),COLUMN('03_Base_Indice'!$K66:P66)-COLUMN('03_Base_Indice'!$K66)+1),"")</f>
        <v>6</v>
      </c>
      <c r="H66">
        <f>IFERROR(LOOKUP(2,1/ISNUMBER('03_Base_Indice'!$K66:Q66),COLUMN('03_Base_Indice'!$K66:Q66)-COLUMN('03_Base_Indice'!$K66)+1),"")</f>
        <v>7</v>
      </c>
      <c r="I66">
        <f>IFERROR(LOOKUP(2,1/ISNUMBER('03_Base_Indice'!$K66:R66),COLUMN('03_Base_Indice'!$K66:R66)-COLUMN('03_Base_Indice'!$K66)+1),"")</f>
        <v>8</v>
      </c>
      <c r="J66">
        <f>IFERROR(LOOKUP(2,1/ISNUMBER('03_Base_Indice'!$K66:S66),COLUMN('03_Base_Indice'!$K66:S66)-COLUMN('03_Base_Indice'!$K66)+1),"")</f>
        <v>9</v>
      </c>
      <c r="K66">
        <f>IFERROR(LOOKUP(2,1/ISNUMBER('03_Base_Indice'!$K66:T66),COLUMN('03_Base_Indice'!$K66:T66)-COLUMN('03_Base_Indice'!$K66)+1),"")</f>
        <v>10</v>
      </c>
      <c r="L66">
        <f>IFERROR(LOOKUP(2,1/ISNUMBER('03_Base_Indice'!$K66:U66),COLUMN('03_Base_Indice'!$K66:U66)-COLUMN('03_Base_Indice'!$K66)+1),"")</f>
        <v>10</v>
      </c>
      <c r="N66">
        <f>IFERROR(MATCH(TRUE,INDEX(ISNUMBER('03_Base_Indice'!K66:$U66),0),0)+0,"")</f>
        <v>1</v>
      </c>
      <c r="O66">
        <f>IFERROR(MATCH(TRUE,INDEX(ISNUMBER('03_Base_Indice'!L66:$U66),0),0)+1,"")</f>
        <v>2</v>
      </c>
      <c r="P66">
        <f>IFERROR(MATCH(TRUE,INDEX(ISNUMBER('03_Base_Indice'!M66:$U66),0),0)+2,"")</f>
        <v>3</v>
      </c>
      <c r="Q66">
        <f>IFERROR(MATCH(TRUE,INDEX(ISNUMBER('03_Base_Indice'!N66:$U66),0),0)+3,"")</f>
        <v>4</v>
      </c>
      <c r="R66">
        <f>IFERROR(MATCH(TRUE,INDEX(ISNUMBER('03_Base_Indice'!O66:$U66),0),0)+4,"")</f>
        <v>5</v>
      </c>
      <c r="S66">
        <f>IFERROR(MATCH(TRUE,INDEX(ISNUMBER('03_Base_Indice'!P66:$U66),0),0)+5,"")</f>
        <v>6</v>
      </c>
      <c r="T66">
        <f>IFERROR(MATCH(TRUE,INDEX(ISNUMBER('03_Base_Indice'!Q66:$U66),0),0)+6,"")</f>
        <v>7</v>
      </c>
      <c r="U66">
        <f>IFERROR(MATCH(TRUE,INDEX(ISNUMBER('03_Base_Indice'!R66:$U66),0),0)+7,"")</f>
        <v>8</v>
      </c>
      <c r="V66">
        <f>IFERROR(MATCH(TRUE,INDEX(ISNUMBER('03_Base_Indice'!S66:$U66),0),0)+8,"")</f>
        <v>9</v>
      </c>
      <c r="W66">
        <f>IFERROR(MATCH(TRUE,INDEX(ISNUMBER('03_Base_Indice'!T66:$U66),0),0)+9,"")</f>
        <v>10</v>
      </c>
      <c r="X66" t="str">
        <f>IFERROR(MATCH(TRUE,INDEX(ISNUMBER('03_Base_Indice'!U66:$U66),0),0)+10,"")</f>
        <v/>
      </c>
      <c r="Z66">
        <f>IF(B66="","",INDEX('03_Base_Indice'!$K66:$U66,B66))</f>
        <v>52</v>
      </c>
      <c r="AA66">
        <f>IF(C66="","",INDEX('03_Base_Indice'!$K66:$U66,C66))</f>
        <v>49</v>
      </c>
      <c r="AB66">
        <f>IF(D66="","",INDEX('03_Base_Indice'!$K66:$U66,D66))</f>
        <v>47</v>
      </c>
      <c r="AC66">
        <f>IF(E66="","",INDEX('03_Base_Indice'!$K66:$U66,E66))</f>
        <v>56</v>
      </c>
      <c r="AD66">
        <f>IF(F66="","",INDEX('03_Base_Indice'!$K66:$U66,F66))</f>
        <v>59</v>
      </c>
      <c r="AE66">
        <f>IF(G66="","",INDEX('03_Base_Indice'!$K66:$U66,G66))</f>
        <v>54</v>
      </c>
      <c r="AF66">
        <f>IF(H66="","",INDEX('03_Base_Indice'!$K66:$U66,H66))</f>
        <v>48</v>
      </c>
      <c r="AG66">
        <f>IF(I66="","",INDEX('03_Base_Indice'!$K66:$U66,I66))</f>
        <v>50</v>
      </c>
      <c r="AH66">
        <f>IF(J66="","",INDEX('03_Base_Indice'!$K66:$U66,J66))</f>
        <v>63</v>
      </c>
      <c r="AI66">
        <f>IF(K66="","",INDEX('03_Base_Indice'!$K66:$U66,K66))</f>
        <v>53</v>
      </c>
      <c r="AJ66">
        <f>IF(L66="","",INDEX('03_Base_Indice'!$K66:$U66,L66))</f>
        <v>53</v>
      </c>
      <c r="AL66">
        <f>IF(N66="","",INDEX('03_Base_Indice'!$K66:$U66,N66))</f>
        <v>52</v>
      </c>
      <c r="AM66">
        <f>IF(O66="","",INDEX('03_Base_Indice'!$K66:$U66,O66))</f>
        <v>49</v>
      </c>
      <c r="AN66">
        <f>IF(P66="","",INDEX('03_Base_Indice'!$K66:$U66,P66))</f>
        <v>47</v>
      </c>
      <c r="AO66">
        <f>IF(Q66="","",INDEX('03_Base_Indice'!$K66:$U66,Q66))</f>
        <v>56</v>
      </c>
      <c r="AP66">
        <f>IF(R66="","",INDEX('03_Base_Indice'!$K66:$U66,R66))</f>
        <v>59</v>
      </c>
      <c r="AQ66">
        <f>IF(S66="","",INDEX('03_Base_Indice'!$K66:$U66,S66))</f>
        <v>54</v>
      </c>
      <c r="AR66">
        <f>IF(T66="","",INDEX('03_Base_Indice'!$K66:$U66,T66))</f>
        <v>48</v>
      </c>
      <c r="AS66">
        <f>IF(U66="","",INDEX('03_Base_Indice'!$K66:$U66,U66))</f>
        <v>50</v>
      </c>
      <c r="AT66">
        <f>IF(V66="","",INDEX('03_Base_Indice'!$K66:$U66,V66))</f>
        <v>63</v>
      </c>
      <c r="AU66">
        <f>IF(W66="","",INDEX('03_Base_Indice'!$K66:$U66,W66))</f>
        <v>53</v>
      </c>
      <c r="AV66" t="str">
        <f>IF(X66="","",INDEX('03_Base_Indice'!$K66:$U66,X66))</f>
        <v/>
      </c>
      <c r="AX66">
        <f>IF('06_Normalizacao'!K66="",0,'06_Normalizacao'!K66)</f>
        <v>52</v>
      </c>
      <c r="AY66">
        <f>IF('06_Normalizacao'!L66="",0,'06_Normalizacao'!L66)</f>
        <v>49</v>
      </c>
      <c r="AZ66">
        <f>IF('06_Normalizacao'!M66="",0,'06_Normalizacao'!M66)</f>
        <v>47</v>
      </c>
      <c r="BA66">
        <f>IF('06_Normalizacao'!N66="",0,'06_Normalizacao'!N66)</f>
        <v>56</v>
      </c>
      <c r="BB66">
        <f>IF('06_Normalizacao'!O66="",0,'06_Normalizacao'!O66)</f>
        <v>59</v>
      </c>
      <c r="BC66">
        <f>IF('06_Normalizacao'!P66="",0,'06_Normalizacao'!P66)</f>
        <v>54</v>
      </c>
      <c r="BD66">
        <f>IF('06_Normalizacao'!Q66="",0,'06_Normalizacao'!Q66)</f>
        <v>48</v>
      </c>
      <c r="BE66">
        <f>IF('06_Normalizacao'!R66="",0,'06_Normalizacao'!R66)</f>
        <v>50</v>
      </c>
      <c r="BF66">
        <f>IF('06_Normalizacao'!S66="",0,'06_Normalizacao'!S66)</f>
        <v>63</v>
      </c>
      <c r="BG66">
        <f>IF('06_Normalizacao'!T66="",0,'06_Normalizacao'!T66)</f>
        <v>53</v>
      </c>
      <c r="BH66">
        <f>IF('06_Normalizacao'!U66="",0,'06_Normalizacao'!U66)</f>
        <v>53</v>
      </c>
      <c r="BJ66">
        <f>IF('06_Normalizacao'!K66="",0,1)</f>
        <v>1</v>
      </c>
      <c r="BK66">
        <f>IF('06_Normalizacao'!L66="",0,1)</f>
        <v>1</v>
      </c>
      <c r="BL66">
        <f>IF('06_Normalizacao'!M66="",0,1)</f>
        <v>1</v>
      </c>
      <c r="BM66">
        <f>IF('06_Normalizacao'!N66="",0,1)</f>
        <v>1</v>
      </c>
      <c r="BN66">
        <f>IF('06_Normalizacao'!O66="",0,1)</f>
        <v>1</v>
      </c>
      <c r="BO66">
        <f>IF('06_Normalizacao'!P66="",0,1)</f>
        <v>1</v>
      </c>
      <c r="BP66">
        <f>IF('06_Normalizacao'!Q66="",0,1)</f>
        <v>1</v>
      </c>
      <c r="BQ66">
        <f>IF('06_Normalizacao'!R66="",0,1)</f>
        <v>1</v>
      </c>
      <c r="BR66">
        <f>IF('06_Normalizacao'!S66="",0,1)</f>
        <v>1</v>
      </c>
      <c r="BS66">
        <f>IF('06_Normalizacao'!T66="",0,1)</f>
        <v>1</v>
      </c>
      <c r="BT66">
        <f>IF('06_Normalizacao'!U66="",0,1)</f>
        <v>1</v>
      </c>
    </row>
    <row r="67" spans="1:72">
      <c r="A67" s="6" t="str">
        <f>'03_Base_Indice'!D67</f>
        <v>SAU002</v>
      </c>
      <c r="B67">
        <f>IFERROR(LOOKUP(2,1/ISNUMBER('03_Base_Indice'!$K67:K67),COLUMN('03_Base_Indice'!$K67:K67)-COLUMN('03_Base_Indice'!$K67)+1),"")</f>
        <v>1</v>
      </c>
      <c r="C67">
        <f>IFERROR(LOOKUP(2,1/ISNUMBER('03_Base_Indice'!$K67:L67),COLUMN('03_Base_Indice'!$K67:L67)-COLUMN('03_Base_Indice'!$K67)+1),"")</f>
        <v>2</v>
      </c>
      <c r="D67">
        <f>IFERROR(LOOKUP(2,1/ISNUMBER('03_Base_Indice'!$K67:M67),COLUMN('03_Base_Indice'!$K67:M67)-COLUMN('03_Base_Indice'!$K67)+1),"")</f>
        <v>3</v>
      </c>
      <c r="E67">
        <f>IFERROR(LOOKUP(2,1/ISNUMBER('03_Base_Indice'!$K67:N67),COLUMN('03_Base_Indice'!$K67:N67)-COLUMN('03_Base_Indice'!$K67)+1),"")</f>
        <v>4</v>
      </c>
      <c r="F67">
        <f>IFERROR(LOOKUP(2,1/ISNUMBER('03_Base_Indice'!$K67:O67),COLUMN('03_Base_Indice'!$K67:O67)-COLUMN('03_Base_Indice'!$K67)+1),"")</f>
        <v>5</v>
      </c>
      <c r="G67">
        <f>IFERROR(LOOKUP(2,1/ISNUMBER('03_Base_Indice'!$K67:P67),COLUMN('03_Base_Indice'!$K67:P67)-COLUMN('03_Base_Indice'!$K67)+1),"")</f>
        <v>6</v>
      </c>
      <c r="H67">
        <f>IFERROR(LOOKUP(2,1/ISNUMBER('03_Base_Indice'!$K67:Q67),COLUMN('03_Base_Indice'!$K67:Q67)-COLUMN('03_Base_Indice'!$K67)+1),"")</f>
        <v>7</v>
      </c>
      <c r="I67">
        <f>IFERROR(LOOKUP(2,1/ISNUMBER('03_Base_Indice'!$K67:R67),COLUMN('03_Base_Indice'!$K67:R67)-COLUMN('03_Base_Indice'!$K67)+1),"")</f>
        <v>8</v>
      </c>
      <c r="J67">
        <f>IFERROR(LOOKUP(2,1/ISNUMBER('03_Base_Indice'!$K67:S67),COLUMN('03_Base_Indice'!$K67:S67)-COLUMN('03_Base_Indice'!$K67)+1),"")</f>
        <v>9</v>
      </c>
      <c r="K67">
        <f>IFERROR(LOOKUP(2,1/ISNUMBER('03_Base_Indice'!$K67:T67),COLUMN('03_Base_Indice'!$K67:T67)-COLUMN('03_Base_Indice'!$K67)+1),"")</f>
        <v>9</v>
      </c>
      <c r="L67">
        <f>IFERROR(LOOKUP(2,1/ISNUMBER('03_Base_Indice'!$K67:U67),COLUMN('03_Base_Indice'!$K67:U67)-COLUMN('03_Base_Indice'!$K67)+1),"")</f>
        <v>9</v>
      </c>
      <c r="N67">
        <f>IFERROR(MATCH(TRUE,INDEX(ISNUMBER('03_Base_Indice'!K67:$U67),0),0)+0,"")</f>
        <v>1</v>
      </c>
      <c r="O67">
        <f>IFERROR(MATCH(TRUE,INDEX(ISNUMBER('03_Base_Indice'!L67:$U67),0),0)+1,"")</f>
        <v>2</v>
      </c>
      <c r="P67">
        <f>IFERROR(MATCH(TRUE,INDEX(ISNUMBER('03_Base_Indice'!M67:$U67),0),0)+2,"")</f>
        <v>3</v>
      </c>
      <c r="Q67">
        <f>IFERROR(MATCH(TRUE,INDEX(ISNUMBER('03_Base_Indice'!N67:$U67),0),0)+3,"")</f>
        <v>4</v>
      </c>
      <c r="R67">
        <f>IFERROR(MATCH(TRUE,INDEX(ISNUMBER('03_Base_Indice'!O67:$U67),0),0)+4,"")</f>
        <v>5</v>
      </c>
      <c r="S67">
        <f>IFERROR(MATCH(TRUE,INDEX(ISNUMBER('03_Base_Indice'!P67:$U67),0),0)+5,"")</f>
        <v>6</v>
      </c>
      <c r="T67">
        <f>IFERROR(MATCH(TRUE,INDEX(ISNUMBER('03_Base_Indice'!Q67:$U67),0),0)+6,"")</f>
        <v>7</v>
      </c>
      <c r="U67">
        <f>IFERROR(MATCH(TRUE,INDEX(ISNUMBER('03_Base_Indice'!R67:$U67),0),0)+7,"")</f>
        <v>8</v>
      </c>
      <c r="V67">
        <f>IFERROR(MATCH(TRUE,INDEX(ISNUMBER('03_Base_Indice'!S67:$U67),0),0)+8,"")</f>
        <v>9</v>
      </c>
      <c r="W67" t="str">
        <f>IFERROR(MATCH(TRUE,INDEX(ISNUMBER('03_Base_Indice'!T67:$U67),0),0)+9,"")</f>
        <v/>
      </c>
      <c r="X67" t="str">
        <f>IFERROR(MATCH(TRUE,INDEX(ISNUMBER('03_Base_Indice'!U67:$U67),0),0)+10,"")</f>
        <v/>
      </c>
      <c r="Z67">
        <f>IF(B67="","",INDEX('03_Base_Indice'!$K67:$U67,B67))</f>
        <v>14.2</v>
      </c>
      <c r="AA67">
        <f>IF(C67="","",INDEX('03_Base_Indice'!$K67:$U67,C67))</f>
        <v>15.2</v>
      </c>
      <c r="AB67">
        <f>IF(D67="","",INDEX('03_Base_Indice'!$K67:$U67,D67))</f>
        <v>15.4</v>
      </c>
      <c r="AC67">
        <f>IF(E67="","",INDEX('03_Base_Indice'!$K67:$U67,E67))</f>
        <v>15.9</v>
      </c>
      <c r="AD67">
        <f>IF(F67="","",INDEX('03_Base_Indice'!$K67:$U67,F67))</f>
        <v>18.2</v>
      </c>
      <c r="AE67">
        <f>IF(G67="","",INDEX('03_Base_Indice'!$K67:$U67,G67))</f>
        <v>20.8</v>
      </c>
      <c r="AF67">
        <f>IF(H67="","",INDEX('03_Base_Indice'!$K67:$U67,H67))</f>
        <v>22.6</v>
      </c>
      <c r="AG67">
        <f>IF(I67="","",INDEX('03_Base_Indice'!$K67:$U67,I67))</f>
        <v>23.1</v>
      </c>
      <c r="AH67">
        <f>IF(J67="","",INDEX('03_Base_Indice'!$K67:$U67,J67))</f>
        <v>22.5</v>
      </c>
      <c r="AI67">
        <f>IF(K67="","",INDEX('03_Base_Indice'!$K67:$U67,K67))</f>
        <v>22.5</v>
      </c>
      <c r="AJ67">
        <f>IF(L67="","",INDEX('03_Base_Indice'!$K67:$U67,L67))</f>
        <v>22.5</v>
      </c>
      <c r="AL67">
        <f>IF(N67="","",INDEX('03_Base_Indice'!$K67:$U67,N67))</f>
        <v>14.2</v>
      </c>
      <c r="AM67">
        <f>IF(O67="","",INDEX('03_Base_Indice'!$K67:$U67,O67))</f>
        <v>15.2</v>
      </c>
      <c r="AN67">
        <f>IF(P67="","",INDEX('03_Base_Indice'!$K67:$U67,P67))</f>
        <v>15.4</v>
      </c>
      <c r="AO67">
        <f>IF(Q67="","",INDEX('03_Base_Indice'!$K67:$U67,Q67))</f>
        <v>15.9</v>
      </c>
      <c r="AP67">
        <f>IF(R67="","",INDEX('03_Base_Indice'!$K67:$U67,R67))</f>
        <v>18.2</v>
      </c>
      <c r="AQ67">
        <f>IF(S67="","",INDEX('03_Base_Indice'!$K67:$U67,S67))</f>
        <v>20.8</v>
      </c>
      <c r="AR67">
        <f>IF(T67="","",INDEX('03_Base_Indice'!$K67:$U67,T67))</f>
        <v>22.6</v>
      </c>
      <c r="AS67">
        <f>IF(U67="","",INDEX('03_Base_Indice'!$K67:$U67,U67))</f>
        <v>23.1</v>
      </c>
      <c r="AT67">
        <f>IF(V67="","",INDEX('03_Base_Indice'!$K67:$U67,V67))</f>
        <v>22.5</v>
      </c>
      <c r="AU67" t="str">
        <f>IF(W67="","",INDEX('03_Base_Indice'!$K67:$U67,W67))</f>
        <v/>
      </c>
      <c r="AV67" t="str">
        <f>IF(X67="","",INDEX('03_Base_Indice'!$K67:$U67,X67))</f>
        <v/>
      </c>
      <c r="AX67">
        <f>IF('06_Normalizacao'!K67="",0,'06_Normalizacao'!K67)</f>
        <v>71.599999999999994</v>
      </c>
      <c r="AY67">
        <f>IF('06_Normalizacao'!L67="",0,'06_Normalizacao'!L67)</f>
        <v>69.599999999999994</v>
      </c>
      <c r="AZ67">
        <f>IF('06_Normalizacao'!M67="",0,'06_Normalizacao'!M67)</f>
        <v>69.2</v>
      </c>
      <c r="BA67">
        <f>IF('06_Normalizacao'!N67="",0,'06_Normalizacao'!N67)</f>
        <v>68.2</v>
      </c>
      <c r="BB67">
        <f>IF('06_Normalizacao'!O67="",0,'06_Normalizacao'!O67)</f>
        <v>63.6</v>
      </c>
      <c r="BC67">
        <f>IF('06_Normalizacao'!P67="",0,'06_Normalizacao'!P67)</f>
        <v>58.4</v>
      </c>
      <c r="BD67">
        <f>IF('06_Normalizacao'!Q67="",0,'06_Normalizacao'!Q67)</f>
        <v>54.8</v>
      </c>
      <c r="BE67">
        <f>IF('06_Normalizacao'!R67="",0,'06_Normalizacao'!R67)</f>
        <v>53.8</v>
      </c>
      <c r="BF67">
        <f>IF('06_Normalizacao'!S67="",0,'06_Normalizacao'!S67)</f>
        <v>55</v>
      </c>
      <c r="BG67">
        <f>IF('06_Normalizacao'!T67="",0,'06_Normalizacao'!T67)</f>
        <v>55</v>
      </c>
      <c r="BH67">
        <f>IF('06_Normalizacao'!U67="",0,'06_Normalizacao'!U67)</f>
        <v>55</v>
      </c>
      <c r="BJ67">
        <f>IF('06_Normalizacao'!K67="",0,1)</f>
        <v>1</v>
      </c>
      <c r="BK67">
        <f>IF('06_Normalizacao'!L67="",0,1)</f>
        <v>1</v>
      </c>
      <c r="BL67">
        <f>IF('06_Normalizacao'!M67="",0,1)</f>
        <v>1</v>
      </c>
      <c r="BM67">
        <f>IF('06_Normalizacao'!N67="",0,1)</f>
        <v>1</v>
      </c>
      <c r="BN67">
        <f>IF('06_Normalizacao'!O67="",0,1)</f>
        <v>1</v>
      </c>
      <c r="BO67">
        <f>IF('06_Normalizacao'!P67="",0,1)</f>
        <v>1</v>
      </c>
      <c r="BP67">
        <f>IF('06_Normalizacao'!Q67="",0,1)</f>
        <v>1</v>
      </c>
      <c r="BQ67">
        <f>IF('06_Normalizacao'!R67="",0,1)</f>
        <v>1</v>
      </c>
      <c r="BR67">
        <f>IF('06_Normalizacao'!S67="",0,1)</f>
        <v>1</v>
      </c>
      <c r="BS67">
        <f>IF('06_Normalizacao'!T67="",0,1)</f>
        <v>1</v>
      </c>
      <c r="BT67">
        <f>IF('06_Normalizacao'!U67="",0,1)</f>
        <v>1</v>
      </c>
    </row>
    <row r="68" spans="1:72">
      <c r="A68" s="6" t="str">
        <f>'03_Base_Indice'!D68</f>
        <v>SAU004</v>
      </c>
      <c r="B68">
        <f>IFERROR(LOOKUP(2,1/ISNUMBER('03_Base_Indice'!$K68:K68),COLUMN('03_Base_Indice'!$K68:K68)-COLUMN('03_Base_Indice'!$K68)+1),"")</f>
        <v>1</v>
      </c>
      <c r="C68">
        <f>IFERROR(LOOKUP(2,1/ISNUMBER('03_Base_Indice'!$K68:L68),COLUMN('03_Base_Indice'!$K68:L68)-COLUMN('03_Base_Indice'!$K68)+1),"")</f>
        <v>2</v>
      </c>
      <c r="D68">
        <f>IFERROR(LOOKUP(2,1/ISNUMBER('03_Base_Indice'!$K68:M68),COLUMN('03_Base_Indice'!$K68:M68)-COLUMN('03_Base_Indice'!$K68)+1),"")</f>
        <v>3</v>
      </c>
      <c r="E68">
        <f>IFERROR(LOOKUP(2,1/ISNUMBER('03_Base_Indice'!$K68:N68),COLUMN('03_Base_Indice'!$K68:N68)-COLUMN('03_Base_Indice'!$K68)+1),"")</f>
        <v>4</v>
      </c>
      <c r="F68">
        <f>IFERROR(LOOKUP(2,1/ISNUMBER('03_Base_Indice'!$K68:O68),COLUMN('03_Base_Indice'!$K68:O68)-COLUMN('03_Base_Indice'!$K68)+1),"")</f>
        <v>5</v>
      </c>
      <c r="G68">
        <f>IFERROR(LOOKUP(2,1/ISNUMBER('03_Base_Indice'!$K68:P68),COLUMN('03_Base_Indice'!$K68:P68)-COLUMN('03_Base_Indice'!$K68)+1),"")</f>
        <v>6</v>
      </c>
      <c r="H68">
        <f>IFERROR(LOOKUP(2,1/ISNUMBER('03_Base_Indice'!$K68:Q68),COLUMN('03_Base_Indice'!$K68:Q68)-COLUMN('03_Base_Indice'!$K68)+1),"")</f>
        <v>7</v>
      </c>
      <c r="I68">
        <f>IFERROR(LOOKUP(2,1/ISNUMBER('03_Base_Indice'!$K68:R68),COLUMN('03_Base_Indice'!$K68:R68)-COLUMN('03_Base_Indice'!$K68)+1),"")</f>
        <v>8</v>
      </c>
      <c r="J68">
        <f>IFERROR(LOOKUP(2,1/ISNUMBER('03_Base_Indice'!$K68:S68),COLUMN('03_Base_Indice'!$K68:S68)-COLUMN('03_Base_Indice'!$K68)+1),"")</f>
        <v>9</v>
      </c>
      <c r="K68">
        <f>IFERROR(LOOKUP(2,1/ISNUMBER('03_Base_Indice'!$K68:T68),COLUMN('03_Base_Indice'!$K68:T68)-COLUMN('03_Base_Indice'!$K68)+1),"")</f>
        <v>9</v>
      </c>
      <c r="L68">
        <f>IFERROR(LOOKUP(2,1/ISNUMBER('03_Base_Indice'!$K68:U68),COLUMN('03_Base_Indice'!$K68:U68)-COLUMN('03_Base_Indice'!$K68)+1),"")</f>
        <v>9</v>
      </c>
      <c r="N68">
        <f>IFERROR(MATCH(TRUE,INDEX(ISNUMBER('03_Base_Indice'!K68:$U68),0),0)+0,"")</f>
        <v>1</v>
      </c>
      <c r="O68">
        <f>IFERROR(MATCH(TRUE,INDEX(ISNUMBER('03_Base_Indice'!L68:$U68),0),0)+1,"")</f>
        <v>2</v>
      </c>
      <c r="P68">
        <f>IFERROR(MATCH(TRUE,INDEX(ISNUMBER('03_Base_Indice'!M68:$U68),0),0)+2,"")</f>
        <v>3</v>
      </c>
      <c r="Q68">
        <f>IFERROR(MATCH(TRUE,INDEX(ISNUMBER('03_Base_Indice'!N68:$U68),0),0)+3,"")</f>
        <v>4</v>
      </c>
      <c r="R68">
        <f>IFERROR(MATCH(TRUE,INDEX(ISNUMBER('03_Base_Indice'!O68:$U68),0),0)+4,"")</f>
        <v>5</v>
      </c>
      <c r="S68">
        <f>IFERROR(MATCH(TRUE,INDEX(ISNUMBER('03_Base_Indice'!P68:$U68),0),0)+5,"")</f>
        <v>6</v>
      </c>
      <c r="T68">
        <f>IFERROR(MATCH(TRUE,INDEX(ISNUMBER('03_Base_Indice'!Q68:$U68),0),0)+6,"")</f>
        <v>7</v>
      </c>
      <c r="U68">
        <f>IFERROR(MATCH(TRUE,INDEX(ISNUMBER('03_Base_Indice'!R68:$U68),0),0)+7,"")</f>
        <v>8</v>
      </c>
      <c r="V68">
        <f>IFERROR(MATCH(TRUE,INDEX(ISNUMBER('03_Base_Indice'!S68:$U68),0),0)+8,"")</f>
        <v>9</v>
      </c>
      <c r="W68" t="str">
        <f>IFERROR(MATCH(TRUE,INDEX(ISNUMBER('03_Base_Indice'!T68:$U68),0),0)+9,"")</f>
        <v/>
      </c>
      <c r="X68" t="str">
        <f>IFERROR(MATCH(TRUE,INDEX(ISNUMBER('03_Base_Indice'!U68:$U68),0),0)+10,"")</f>
        <v/>
      </c>
      <c r="Z68">
        <f>IF(B68="","",INDEX('03_Base_Indice'!$K68:$U68,B68))</f>
        <v>2.2996687900000001</v>
      </c>
      <c r="AA68">
        <f>IF(C68="","",INDEX('03_Base_Indice'!$K68:$U68,C68))</f>
        <v>2.3906872300000002</v>
      </c>
      <c r="AB68">
        <f>IF(D68="","",INDEX('03_Base_Indice'!$K68:$U68,D68))</f>
        <v>2.4379425000000001</v>
      </c>
      <c r="AC68">
        <f>IF(E68="","",INDEX('03_Base_Indice'!$K68:$U68,E68))</f>
        <v>2.2988748600000002</v>
      </c>
      <c r="AD68">
        <f>IF(F68="","",INDEX('03_Base_Indice'!$K68:$U68,F68))</f>
        <v>2.2039427800000002</v>
      </c>
      <c r="AE68">
        <f>IF(G68="","",INDEX('03_Base_Indice'!$K68:$U68,G68))</f>
        <v>2.8168890499999999</v>
      </c>
      <c r="AF68">
        <f>IF(H68="","",INDEX('03_Base_Indice'!$K68:$U68,H68))</f>
        <v>2.7398710300000002</v>
      </c>
      <c r="AG68">
        <f>IF(I68="","",INDEX('03_Base_Indice'!$K68:$U68,I68))</f>
        <v>2.60041046</v>
      </c>
      <c r="AH68">
        <f>IF(J68="","",INDEX('03_Base_Indice'!$K68:$U68,J68))</f>
        <v>2.54692864</v>
      </c>
      <c r="AI68">
        <f>IF(K68="","",INDEX('03_Base_Indice'!$K68:$U68,K68))</f>
        <v>2.54692864</v>
      </c>
      <c r="AJ68">
        <f>IF(L68="","",INDEX('03_Base_Indice'!$K68:$U68,L68))</f>
        <v>2.54692864</v>
      </c>
      <c r="AL68">
        <f>IF(N68="","",INDEX('03_Base_Indice'!$K68:$U68,N68))</f>
        <v>2.2996687900000001</v>
      </c>
      <c r="AM68">
        <f>IF(O68="","",INDEX('03_Base_Indice'!$K68:$U68,O68))</f>
        <v>2.3906872300000002</v>
      </c>
      <c r="AN68">
        <f>IF(P68="","",INDEX('03_Base_Indice'!$K68:$U68,P68))</f>
        <v>2.4379425000000001</v>
      </c>
      <c r="AO68">
        <f>IF(Q68="","",INDEX('03_Base_Indice'!$K68:$U68,Q68))</f>
        <v>2.2988748600000002</v>
      </c>
      <c r="AP68">
        <f>IF(R68="","",INDEX('03_Base_Indice'!$K68:$U68,R68))</f>
        <v>2.2039427800000002</v>
      </c>
      <c r="AQ68">
        <f>IF(S68="","",INDEX('03_Base_Indice'!$K68:$U68,S68))</f>
        <v>2.8168890499999999</v>
      </c>
      <c r="AR68">
        <f>IF(T68="","",INDEX('03_Base_Indice'!$K68:$U68,T68))</f>
        <v>2.7398710300000002</v>
      </c>
      <c r="AS68">
        <f>IF(U68="","",INDEX('03_Base_Indice'!$K68:$U68,U68))</f>
        <v>2.60041046</v>
      </c>
      <c r="AT68">
        <f>IF(V68="","",INDEX('03_Base_Indice'!$K68:$U68,V68))</f>
        <v>2.54692864</v>
      </c>
      <c r="AU68" t="str">
        <f>IF(W68="","",INDEX('03_Base_Indice'!$K68:$U68,W68))</f>
        <v/>
      </c>
      <c r="AV68" t="str">
        <f>IF(X68="","",INDEX('03_Base_Indice'!$K68:$U68,X68))</f>
        <v/>
      </c>
      <c r="AX68">
        <f>IF('06_Normalizacao'!K68="",0,'06_Normalizacao'!K68)</f>
        <v>15.331125266666668</v>
      </c>
      <c r="AY68">
        <f>IF('06_Normalizacao'!L68="",0,'06_Normalizacao'!L68)</f>
        <v>15.937914866666667</v>
      </c>
      <c r="AZ68">
        <f>IF('06_Normalizacao'!M68="",0,'06_Normalizacao'!M68)</f>
        <v>16.252950000000002</v>
      </c>
      <c r="BA68">
        <f>IF('06_Normalizacao'!N68="",0,'06_Normalizacao'!N68)</f>
        <v>15.325832400000001</v>
      </c>
      <c r="BB68">
        <f>IF('06_Normalizacao'!O68="",0,'06_Normalizacao'!O68)</f>
        <v>14.692951866666668</v>
      </c>
      <c r="BC68">
        <f>IF('06_Normalizacao'!P68="",0,'06_Normalizacao'!P68)</f>
        <v>18.779260333333333</v>
      </c>
      <c r="BD68">
        <f>IF('06_Normalizacao'!Q68="",0,'06_Normalizacao'!Q68)</f>
        <v>18.265806866666669</v>
      </c>
      <c r="BE68">
        <f>IF('06_Normalizacao'!R68="",0,'06_Normalizacao'!R68)</f>
        <v>17.336069733333332</v>
      </c>
      <c r="BF68">
        <f>IF('06_Normalizacao'!S68="",0,'06_Normalizacao'!S68)</f>
        <v>16.979524266666665</v>
      </c>
      <c r="BG68">
        <f>IF('06_Normalizacao'!T68="",0,'06_Normalizacao'!T68)</f>
        <v>16.979524266666665</v>
      </c>
      <c r="BH68">
        <f>IF('06_Normalizacao'!U68="",0,'06_Normalizacao'!U68)</f>
        <v>16.979524266666665</v>
      </c>
      <c r="BJ68">
        <f>IF('06_Normalizacao'!K68="",0,1)</f>
        <v>1</v>
      </c>
      <c r="BK68">
        <f>IF('06_Normalizacao'!L68="",0,1)</f>
        <v>1</v>
      </c>
      <c r="BL68">
        <f>IF('06_Normalizacao'!M68="",0,1)</f>
        <v>1</v>
      </c>
      <c r="BM68">
        <f>IF('06_Normalizacao'!N68="",0,1)</f>
        <v>1</v>
      </c>
      <c r="BN68">
        <f>IF('06_Normalizacao'!O68="",0,1)</f>
        <v>1</v>
      </c>
      <c r="BO68">
        <f>IF('06_Normalizacao'!P68="",0,1)</f>
        <v>1</v>
      </c>
      <c r="BP68">
        <f>IF('06_Normalizacao'!Q68="",0,1)</f>
        <v>1</v>
      </c>
      <c r="BQ68">
        <f>IF('06_Normalizacao'!R68="",0,1)</f>
        <v>1</v>
      </c>
      <c r="BR68">
        <f>IF('06_Normalizacao'!S68="",0,1)</f>
        <v>1</v>
      </c>
      <c r="BS68">
        <f>IF('06_Normalizacao'!T68="",0,1)</f>
        <v>1</v>
      </c>
      <c r="BT68">
        <f>IF('06_Normalizacao'!U68="",0,1)</f>
        <v>1</v>
      </c>
    </row>
    <row r="69" spans="1:72">
      <c r="A69" s="6" t="str">
        <f>'03_Base_Indice'!D69</f>
        <v>SAU020</v>
      </c>
      <c r="B69">
        <f>IFERROR(LOOKUP(2,1/ISNUMBER('03_Base_Indice'!$K69:K69),COLUMN('03_Base_Indice'!$K69:K69)-COLUMN('03_Base_Indice'!$K69)+1),"")</f>
        <v>1</v>
      </c>
      <c r="C69">
        <f>IFERROR(LOOKUP(2,1/ISNUMBER('03_Base_Indice'!$K69:L69),COLUMN('03_Base_Indice'!$K69:L69)-COLUMN('03_Base_Indice'!$K69)+1),"")</f>
        <v>2</v>
      </c>
      <c r="D69">
        <f>IFERROR(LOOKUP(2,1/ISNUMBER('03_Base_Indice'!$K69:M69),COLUMN('03_Base_Indice'!$K69:M69)-COLUMN('03_Base_Indice'!$K69)+1),"")</f>
        <v>3</v>
      </c>
      <c r="E69">
        <f>IFERROR(LOOKUP(2,1/ISNUMBER('03_Base_Indice'!$K69:N69),COLUMN('03_Base_Indice'!$K69:N69)-COLUMN('03_Base_Indice'!$K69)+1),"")</f>
        <v>4</v>
      </c>
      <c r="F69">
        <f>IFERROR(LOOKUP(2,1/ISNUMBER('03_Base_Indice'!$K69:O69),COLUMN('03_Base_Indice'!$K69:O69)-COLUMN('03_Base_Indice'!$K69)+1),"")</f>
        <v>5</v>
      </c>
      <c r="G69">
        <f>IFERROR(LOOKUP(2,1/ISNUMBER('03_Base_Indice'!$K69:P69),COLUMN('03_Base_Indice'!$K69:P69)-COLUMN('03_Base_Indice'!$K69)+1),"")</f>
        <v>6</v>
      </c>
      <c r="H69">
        <f>IFERROR(LOOKUP(2,1/ISNUMBER('03_Base_Indice'!$K69:Q69),COLUMN('03_Base_Indice'!$K69:Q69)-COLUMN('03_Base_Indice'!$K69)+1),"")</f>
        <v>7</v>
      </c>
      <c r="I69">
        <f>IFERROR(LOOKUP(2,1/ISNUMBER('03_Base_Indice'!$K69:R69),COLUMN('03_Base_Indice'!$K69:R69)-COLUMN('03_Base_Indice'!$K69)+1),"")</f>
        <v>8</v>
      </c>
      <c r="J69">
        <f>IFERROR(LOOKUP(2,1/ISNUMBER('03_Base_Indice'!$K69:S69),COLUMN('03_Base_Indice'!$K69:S69)-COLUMN('03_Base_Indice'!$K69)+1),"")</f>
        <v>9</v>
      </c>
      <c r="K69">
        <f>IFERROR(LOOKUP(2,1/ISNUMBER('03_Base_Indice'!$K69:T69),COLUMN('03_Base_Indice'!$K69:T69)-COLUMN('03_Base_Indice'!$K69)+1),"")</f>
        <v>10</v>
      </c>
      <c r="L69">
        <f>IFERROR(LOOKUP(2,1/ISNUMBER('03_Base_Indice'!$K69:U69),COLUMN('03_Base_Indice'!$K69:U69)-COLUMN('03_Base_Indice'!$K69)+1),"")</f>
        <v>10</v>
      </c>
      <c r="N69">
        <f>IFERROR(MATCH(TRUE,INDEX(ISNUMBER('03_Base_Indice'!K69:$U69),0),0)+0,"")</f>
        <v>1</v>
      </c>
      <c r="O69">
        <f>IFERROR(MATCH(TRUE,INDEX(ISNUMBER('03_Base_Indice'!L69:$U69),0),0)+1,"")</f>
        <v>2</v>
      </c>
      <c r="P69">
        <f>IFERROR(MATCH(TRUE,INDEX(ISNUMBER('03_Base_Indice'!M69:$U69),0),0)+2,"")</f>
        <v>3</v>
      </c>
      <c r="Q69">
        <f>IFERROR(MATCH(TRUE,INDEX(ISNUMBER('03_Base_Indice'!N69:$U69),0),0)+3,"")</f>
        <v>4</v>
      </c>
      <c r="R69">
        <f>IFERROR(MATCH(TRUE,INDEX(ISNUMBER('03_Base_Indice'!O69:$U69),0),0)+4,"")</f>
        <v>5</v>
      </c>
      <c r="S69">
        <f>IFERROR(MATCH(TRUE,INDEX(ISNUMBER('03_Base_Indice'!P69:$U69),0),0)+5,"")</f>
        <v>6</v>
      </c>
      <c r="T69">
        <f>IFERROR(MATCH(TRUE,INDEX(ISNUMBER('03_Base_Indice'!Q69:$U69),0),0)+6,"")</f>
        <v>7</v>
      </c>
      <c r="U69">
        <f>IFERROR(MATCH(TRUE,INDEX(ISNUMBER('03_Base_Indice'!R69:$U69),0),0)+7,"")</f>
        <v>8</v>
      </c>
      <c r="V69">
        <f>IFERROR(MATCH(TRUE,INDEX(ISNUMBER('03_Base_Indice'!S69:$U69),0),0)+8,"")</f>
        <v>9</v>
      </c>
      <c r="W69">
        <f>IFERROR(MATCH(TRUE,INDEX(ISNUMBER('03_Base_Indice'!T69:$U69),0),0)+9,"")</f>
        <v>10</v>
      </c>
      <c r="X69" t="str">
        <f>IFERROR(MATCH(TRUE,INDEX(ISNUMBER('03_Base_Indice'!U69:$U69),0),0)+10,"")</f>
        <v/>
      </c>
      <c r="Z69">
        <f>IF(B69="","",INDEX('03_Base_Indice'!$K69:$U69,B69))</f>
        <v>174.47</v>
      </c>
      <c r="AA69">
        <f>IF(C69="","",INDEX('03_Base_Indice'!$K69:$U69,C69))</f>
        <v>189.78</v>
      </c>
      <c r="AB69">
        <f>IF(D69="","",INDEX('03_Base_Indice'!$K69:$U69,D69))</f>
        <v>215.31</v>
      </c>
      <c r="AC69">
        <f>IF(E69="","",INDEX('03_Base_Indice'!$K69:$U69,E69))</f>
        <v>232.44</v>
      </c>
      <c r="AD69">
        <f>IF(F69="","",INDEX('03_Base_Indice'!$K69:$U69,F69))</f>
        <v>243.1</v>
      </c>
      <c r="AE69">
        <f>IF(G69="","",INDEX('03_Base_Indice'!$K69:$U69,G69))</f>
        <v>244.53</v>
      </c>
      <c r="AF69">
        <f>IF(H69="","",INDEX('03_Base_Indice'!$K69:$U69,H69))</f>
        <v>258.61</v>
      </c>
      <c r="AG69">
        <f>IF(I69="","",INDEX('03_Base_Indice'!$K69:$U69,I69))</f>
        <v>260.08999999999997</v>
      </c>
      <c r="AH69">
        <f>IF(J69="","",INDEX('03_Base_Indice'!$K69:$U69,J69))</f>
        <v>255.47</v>
      </c>
      <c r="AI69">
        <f>IF(K69="","",INDEX('03_Base_Indice'!$K69:$U69,K69))</f>
        <v>258.89999999999998</v>
      </c>
      <c r="AJ69">
        <f>IF(L69="","",INDEX('03_Base_Indice'!$K69:$U69,L69))</f>
        <v>258.89999999999998</v>
      </c>
      <c r="AL69">
        <f>IF(N69="","",INDEX('03_Base_Indice'!$K69:$U69,N69))</f>
        <v>174.47</v>
      </c>
      <c r="AM69">
        <f>IF(O69="","",INDEX('03_Base_Indice'!$K69:$U69,O69))</f>
        <v>189.78</v>
      </c>
      <c r="AN69">
        <f>IF(P69="","",INDEX('03_Base_Indice'!$K69:$U69,P69))</f>
        <v>215.31</v>
      </c>
      <c r="AO69">
        <f>IF(Q69="","",INDEX('03_Base_Indice'!$K69:$U69,Q69))</f>
        <v>232.44</v>
      </c>
      <c r="AP69">
        <f>IF(R69="","",INDEX('03_Base_Indice'!$K69:$U69,R69))</f>
        <v>243.1</v>
      </c>
      <c r="AQ69">
        <f>IF(S69="","",INDEX('03_Base_Indice'!$K69:$U69,S69))</f>
        <v>244.53</v>
      </c>
      <c r="AR69">
        <f>IF(T69="","",INDEX('03_Base_Indice'!$K69:$U69,T69))</f>
        <v>258.61</v>
      </c>
      <c r="AS69">
        <f>IF(U69="","",INDEX('03_Base_Indice'!$K69:$U69,U69))</f>
        <v>260.08999999999997</v>
      </c>
      <c r="AT69">
        <f>IF(V69="","",INDEX('03_Base_Indice'!$K69:$U69,V69))</f>
        <v>255.47</v>
      </c>
      <c r="AU69">
        <f>IF(W69="","",INDEX('03_Base_Indice'!$K69:$U69,W69))</f>
        <v>258.89999999999998</v>
      </c>
      <c r="AV69" t="str">
        <f>IF(X69="","",INDEX('03_Base_Indice'!$K69:$U69,X69))</f>
        <v/>
      </c>
      <c r="AX69">
        <f>IF('06_Normalizacao'!K69="",0,'06_Normalizacao'!K69)</f>
        <v>65.105999999999995</v>
      </c>
      <c r="AY69">
        <f>IF('06_Normalizacao'!L69="",0,'06_Normalizacao'!L69)</f>
        <v>62.044000000000004</v>
      </c>
      <c r="AZ69">
        <f>IF('06_Normalizacao'!M69="",0,'06_Normalizacao'!M69)</f>
        <v>56.938000000000002</v>
      </c>
      <c r="BA69">
        <f>IF('06_Normalizacao'!N69="",0,'06_Normalizacao'!N69)</f>
        <v>53.512</v>
      </c>
      <c r="BB69">
        <f>IF('06_Normalizacao'!O69="",0,'06_Normalizacao'!O69)</f>
        <v>51.379999999999995</v>
      </c>
      <c r="BC69">
        <f>IF('06_Normalizacao'!P69="",0,'06_Normalizacao'!P69)</f>
        <v>51.094000000000001</v>
      </c>
      <c r="BD69">
        <f>IF('06_Normalizacao'!Q69="",0,'06_Normalizacao'!Q69)</f>
        <v>48.277999999999999</v>
      </c>
      <c r="BE69">
        <f>IF('06_Normalizacao'!R69="",0,'06_Normalizacao'!R69)</f>
        <v>47.982000000000006</v>
      </c>
      <c r="BF69">
        <f>IF('06_Normalizacao'!S69="",0,'06_Normalizacao'!S69)</f>
        <v>48.905999999999999</v>
      </c>
      <c r="BG69">
        <f>IF('06_Normalizacao'!T69="",0,'06_Normalizacao'!T69)</f>
        <v>48.220000000000006</v>
      </c>
      <c r="BH69">
        <f>IF('06_Normalizacao'!U69="",0,'06_Normalizacao'!U69)</f>
        <v>48.220000000000006</v>
      </c>
      <c r="BJ69">
        <f>IF('06_Normalizacao'!K69="",0,1)</f>
        <v>1</v>
      </c>
      <c r="BK69">
        <f>IF('06_Normalizacao'!L69="",0,1)</f>
        <v>1</v>
      </c>
      <c r="BL69">
        <f>IF('06_Normalizacao'!M69="",0,1)</f>
        <v>1</v>
      </c>
      <c r="BM69">
        <f>IF('06_Normalizacao'!N69="",0,1)</f>
        <v>1</v>
      </c>
      <c r="BN69">
        <f>IF('06_Normalizacao'!O69="",0,1)</f>
        <v>1</v>
      </c>
      <c r="BO69">
        <f>IF('06_Normalizacao'!P69="",0,1)</f>
        <v>1</v>
      </c>
      <c r="BP69">
        <f>IF('06_Normalizacao'!Q69="",0,1)</f>
        <v>1</v>
      </c>
      <c r="BQ69">
        <f>IF('06_Normalizacao'!R69="",0,1)</f>
        <v>1</v>
      </c>
      <c r="BR69">
        <f>IF('06_Normalizacao'!S69="",0,1)</f>
        <v>1</v>
      </c>
      <c r="BS69">
        <f>IF('06_Normalizacao'!T69="",0,1)</f>
        <v>1</v>
      </c>
      <c r="BT69">
        <f>IF('06_Normalizacao'!U69="",0,1)</f>
        <v>1</v>
      </c>
    </row>
    <row r="70" spans="1:72">
      <c r="A70" s="6" t="str">
        <f>'03_Base_Indice'!D70</f>
        <v>SAU04</v>
      </c>
      <c r="B70">
        <f>IFERROR(LOOKUP(2,1/ISNUMBER('03_Base_Indice'!$K70:K70),COLUMN('03_Base_Indice'!$K70:K70)-COLUMN('03_Base_Indice'!$K70)+1),"")</f>
        <v>1</v>
      </c>
      <c r="C70">
        <f>IFERROR(LOOKUP(2,1/ISNUMBER('03_Base_Indice'!$K70:L70),COLUMN('03_Base_Indice'!$K70:L70)-COLUMN('03_Base_Indice'!$K70)+1),"")</f>
        <v>2</v>
      </c>
      <c r="D70">
        <f>IFERROR(LOOKUP(2,1/ISNUMBER('03_Base_Indice'!$K70:M70),COLUMN('03_Base_Indice'!$K70:M70)-COLUMN('03_Base_Indice'!$K70)+1),"")</f>
        <v>3</v>
      </c>
      <c r="E70">
        <f>IFERROR(LOOKUP(2,1/ISNUMBER('03_Base_Indice'!$K70:N70),COLUMN('03_Base_Indice'!$K70:N70)-COLUMN('03_Base_Indice'!$K70)+1),"")</f>
        <v>4</v>
      </c>
      <c r="F70">
        <f>IFERROR(LOOKUP(2,1/ISNUMBER('03_Base_Indice'!$K70:O70),COLUMN('03_Base_Indice'!$K70:O70)-COLUMN('03_Base_Indice'!$K70)+1),"")</f>
        <v>5</v>
      </c>
      <c r="G70">
        <f>IFERROR(LOOKUP(2,1/ISNUMBER('03_Base_Indice'!$K70:P70),COLUMN('03_Base_Indice'!$K70:P70)-COLUMN('03_Base_Indice'!$K70)+1),"")</f>
        <v>6</v>
      </c>
      <c r="H70">
        <f>IFERROR(LOOKUP(2,1/ISNUMBER('03_Base_Indice'!$K70:Q70),COLUMN('03_Base_Indice'!$K70:Q70)-COLUMN('03_Base_Indice'!$K70)+1),"")</f>
        <v>7</v>
      </c>
      <c r="I70">
        <f>IFERROR(LOOKUP(2,1/ISNUMBER('03_Base_Indice'!$K70:R70),COLUMN('03_Base_Indice'!$K70:R70)-COLUMN('03_Base_Indice'!$K70)+1),"")</f>
        <v>8</v>
      </c>
      <c r="J70">
        <f>IFERROR(LOOKUP(2,1/ISNUMBER('03_Base_Indice'!$K70:S70),COLUMN('03_Base_Indice'!$K70:S70)-COLUMN('03_Base_Indice'!$K70)+1),"")</f>
        <v>9</v>
      </c>
      <c r="K70">
        <f>IFERROR(LOOKUP(2,1/ISNUMBER('03_Base_Indice'!$K70:T70),COLUMN('03_Base_Indice'!$K70:T70)-COLUMN('03_Base_Indice'!$K70)+1),"")</f>
        <v>10</v>
      </c>
      <c r="L70">
        <f>IFERROR(LOOKUP(2,1/ISNUMBER('03_Base_Indice'!$K70:U70),COLUMN('03_Base_Indice'!$K70:U70)-COLUMN('03_Base_Indice'!$K70)+1),"")</f>
        <v>10</v>
      </c>
      <c r="N70">
        <f>IFERROR(MATCH(TRUE,INDEX(ISNUMBER('03_Base_Indice'!K70:$U70),0),0)+0,"")</f>
        <v>1</v>
      </c>
      <c r="O70">
        <f>IFERROR(MATCH(TRUE,INDEX(ISNUMBER('03_Base_Indice'!L70:$U70),0),0)+1,"")</f>
        <v>2</v>
      </c>
      <c r="P70">
        <f>IFERROR(MATCH(TRUE,INDEX(ISNUMBER('03_Base_Indice'!M70:$U70),0),0)+2,"")</f>
        <v>3</v>
      </c>
      <c r="Q70">
        <f>IFERROR(MATCH(TRUE,INDEX(ISNUMBER('03_Base_Indice'!N70:$U70),0),0)+3,"")</f>
        <v>4</v>
      </c>
      <c r="R70">
        <f>IFERROR(MATCH(TRUE,INDEX(ISNUMBER('03_Base_Indice'!O70:$U70),0),0)+4,"")</f>
        <v>5</v>
      </c>
      <c r="S70">
        <f>IFERROR(MATCH(TRUE,INDEX(ISNUMBER('03_Base_Indice'!P70:$U70),0),0)+5,"")</f>
        <v>6</v>
      </c>
      <c r="T70">
        <f>IFERROR(MATCH(TRUE,INDEX(ISNUMBER('03_Base_Indice'!Q70:$U70),0),0)+6,"")</f>
        <v>7</v>
      </c>
      <c r="U70">
        <f>IFERROR(MATCH(TRUE,INDEX(ISNUMBER('03_Base_Indice'!R70:$U70),0),0)+7,"")</f>
        <v>8</v>
      </c>
      <c r="V70">
        <f>IFERROR(MATCH(TRUE,INDEX(ISNUMBER('03_Base_Indice'!S70:$U70),0),0)+8,"")</f>
        <v>9</v>
      </c>
      <c r="W70">
        <f>IFERROR(MATCH(TRUE,INDEX(ISNUMBER('03_Base_Indice'!T70:$U70),0),0)+9,"")</f>
        <v>10</v>
      </c>
      <c r="X70" t="str">
        <f>IFERROR(MATCH(TRUE,INDEX(ISNUMBER('03_Base_Indice'!U70:$U70),0),0)+10,"")</f>
        <v/>
      </c>
      <c r="Z70">
        <f>IF(B70="","",INDEX('03_Base_Indice'!$K70:$U70,B70))</f>
        <v>61.8</v>
      </c>
      <c r="AA70">
        <f>IF(C70="","",INDEX('03_Base_Indice'!$K70:$U70,C70))</f>
        <v>59.6</v>
      </c>
      <c r="AB70">
        <f>IF(D70="","",INDEX('03_Base_Indice'!$K70:$U70,D70))</f>
        <v>57.9</v>
      </c>
      <c r="AC70">
        <f>IF(E70="","",INDEX('03_Base_Indice'!$K70:$U70,E70))</f>
        <v>56.5</v>
      </c>
      <c r="AD70">
        <f>IF(F70="","",INDEX('03_Base_Indice'!$K70:$U70,F70))</f>
        <v>55.3</v>
      </c>
      <c r="AE70">
        <f>IF(G70="","",INDEX('03_Base_Indice'!$K70:$U70,G70))</f>
        <v>54.2</v>
      </c>
      <c r="AF70">
        <f>IF(H70="","",INDEX('03_Base_Indice'!$K70:$U70,H70))</f>
        <v>53.2</v>
      </c>
      <c r="AG70">
        <f>IF(I70="","",INDEX('03_Base_Indice'!$K70:$U70,I70))</f>
        <v>51.9</v>
      </c>
      <c r="AH70">
        <f>IF(J70="","",INDEX('03_Base_Indice'!$K70:$U70,J70))</f>
        <v>50.5</v>
      </c>
      <c r="AI70">
        <f>IF(K70="","",INDEX('03_Base_Indice'!$K70:$U70,K70))</f>
        <v>49</v>
      </c>
      <c r="AJ70">
        <f>IF(L70="","",INDEX('03_Base_Indice'!$K70:$U70,L70))</f>
        <v>49</v>
      </c>
      <c r="AL70">
        <f>IF(N70="","",INDEX('03_Base_Indice'!$K70:$U70,N70))</f>
        <v>61.8</v>
      </c>
      <c r="AM70">
        <f>IF(O70="","",INDEX('03_Base_Indice'!$K70:$U70,O70))</f>
        <v>59.6</v>
      </c>
      <c r="AN70">
        <f>IF(P70="","",INDEX('03_Base_Indice'!$K70:$U70,P70))</f>
        <v>57.9</v>
      </c>
      <c r="AO70">
        <f>IF(Q70="","",INDEX('03_Base_Indice'!$K70:$U70,Q70))</f>
        <v>56.5</v>
      </c>
      <c r="AP70">
        <f>IF(R70="","",INDEX('03_Base_Indice'!$K70:$U70,R70))</f>
        <v>55.3</v>
      </c>
      <c r="AQ70">
        <f>IF(S70="","",INDEX('03_Base_Indice'!$K70:$U70,S70))</f>
        <v>54.2</v>
      </c>
      <c r="AR70">
        <f>IF(T70="","",INDEX('03_Base_Indice'!$K70:$U70,T70))</f>
        <v>53.2</v>
      </c>
      <c r="AS70">
        <f>IF(U70="","",INDEX('03_Base_Indice'!$K70:$U70,U70))</f>
        <v>51.9</v>
      </c>
      <c r="AT70">
        <f>IF(V70="","",INDEX('03_Base_Indice'!$K70:$U70,V70))</f>
        <v>50.5</v>
      </c>
      <c r="AU70">
        <f>IF(W70="","",INDEX('03_Base_Indice'!$K70:$U70,W70))</f>
        <v>49</v>
      </c>
      <c r="AV70" t="str">
        <f>IF(X70="","",INDEX('03_Base_Indice'!$K70:$U70,X70))</f>
        <v/>
      </c>
      <c r="AX70">
        <f>IF('06_Normalizacao'!K70="",0,'06_Normalizacao'!K70)</f>
        <v>69.099999999999994</v>
      </c>
      <c r="AY70">
        <f>IF('06_Normalizacao'!L70="",0,'06_Normalizacao'!L70)</f>
        <v>70.2</v>
      </c>
      <c r="AZ70">
        <f>IF('06_Normalizacao'!M70="",0,'06_Normalizacao'!M70)</f>
        <v>71.05</v>
      </c>
      <c r="BA70">
        <f>IF('06_Normalizacao'!N70="",0,'06_Normalizacao'!N70)</f>
        <v>71.75</v>
      </c>
      <c r="BB70">
        <f>IF('06_Normalizacao'!O70="",0,'06_Normalizacao'!O70)</f>
        <v>72.349999999999994</v>
      </c>
      <c r="BC70">
        <f>IF('06_Normalizacao'!P70="",0,'06_Normalizacao'!P70)</f>
        <v>72.900000000000006</v>
      </c>
      <c r="BD70">
        <f>IF('06_Normalizacao'!Q70="",0,'06_Normalizacao'!Q70)</f>
        <v>73.400000000000006</v>
      </c>
      <c r="BE70">
        <f>IF('06_Normalizacao'!R70="",0,'06_Normalizacao'!R70)</f>
        <v>74.05</v>
      </c>
      <c r="BF70">
        <f>IF('06_Normalizacao'!S70="",0,'06_Normalizacao'!S70)</f>
        <v>74.75</v>
      </c>
      <c r="BG70">
        <f>IF('06_Normalizacao'!T70="",0,'06_Normalizacao'!T70)</f>
        <v>75.5</v>
      </c>
      <c r="BH70">
        <f>IF('06_Normalizacao'!U70="",0,'06_Normalizacao'!U70)</f>
        <v>75.5</v>
      </c>
      <c r="BJ70">
        <f>IF('06_Normalizacao'!K70="",0,1)</f>
        <v>1</v>
      </c>
      <c r="BK70">
        <f>IF('06_Normalizacao'!L70="",0,1)</f>
        <v>1</v>
      </c>
      <c r="BL70">
        <f>IF('06_Normalizacao'!M70="",0,1)</f>
        <v>1</v>
      </c>
      <c r="BM70">
        <f>IF('06_Normalizacao'!N70="",0,1)</f>
        <v>1</v>
      </c>
      <c r="BN70">
        <f>IF('06_Normalizacao'!O70="",0,1)</f>
        <v>1</v>
      </c>
      <c r="BO70">
        <f>IF('06_Normalizacao'!P70="",0,1)</f>
        <v>1</v>
      </c>
      <c r="BP70">
        <f>IF('06_Normalizacao'!Q70="",0,1)</f>
        <v>1</v>
      </c>
      <c r="BQ70">
        <f>IF('06_Normalizacao'!R70="",0,1)</f>
        <v>1</v>
      </c>
      <c r="BR70">
        <f>IF('06_Normalizacao'!S70="",0,1)</f>
        <v>1</v>
      </c>
      <c r="BS70">
        <f>IF('06_Normalizacao'!T70="",0,1)</f>
        <v>1</v>
      </c>
      <c r="BT70">
        <f>IF('06_Normalizacao'!U70="",0,1)</f>
        <v>1</v>
      </c>
    </row>
    <row r="71" spans="1:72">
      <c r="A71" s="6" t="str">
        <f>'03_Base_Indice'!D71</f>
        <v>SAU017</v>
      </c>
      <c r="B71">
        <f>IFERROR(LOOKUP(2,1/ISNUMBER('03_Base_Indice'!$K71:K71),COLUMN('03_Base_Indice'!$K71:K71)-COLUMN('03_Base_Indice'!$K71)+1),"")</f>
        <v>1</v>
      </c>
      <c r="C71">
        <f>IFERROR(LOOKUP(2,1/ISNUMBER('03_Base_Indice'!$K71:L71),COLUMN('03_Base_Indice'!$K71:L71)-COLUMN('03_Base_Indice'!$K71)+1),"")</f>
        <v>2</v>
      </c>
      <c r="D71">
        <f>IFERROR(LOOKUP(2,1/ISNUMBER('03_Base_Indice'!$K71:M71),COLUMN('03_Base_Indice'!$K71:M71)-COLUMN('03_Base_Indice'!$K71)+1),"")</f>
        <v>3</v>
      </c>
      <c r="E71">
        <f>IFERROR(LOOKUP(2,1/ISNUMBER('03_Base_Indice'!$K71:N71),COLUMN('03_Base_Indice'!$K71:N71)-COLUMN('03_Base_Indice'!$K71)+1),"")</f>
        <v>4</v>
      </c>
      <c r="F71">
        <f>IFERROR(LOOKUP(2,1/ISNUMBER('03_Base_Indice'!$K71:O71),COLUMN('03_Base_Indice'!$K71:O71)-COLUMN('03_Base_Indice'!$K71)+1),"")</f>
        <v>5</v>
      </c>
      <c r="G71">
        <f>IFERROR(LOOKUP(2,1/ISNUMBER('03_Base_Indice'!$K71:P71),COLUMN('03_Base_Indice'!$K71:P71)-COLUMN('03_Base_Indice'!$K71)+1),"")</f>
        <v>6</v>
      </c>
      <c r="H71">
        <f>IFERROR(LOOKUP(2,1/ISNUMBER('03_Base_Indice'!$K71:Q71),COLUMN('03_Base_Indice'!$K71:Q71)-COLUMN('03_Base_Indice'!$K71)+1),"")</f>
        <v>7</v>
      </c>
      <c r="I71">
        <f>IFERROR(LOOKUP(2,1/ISNUMBER('03_Base_Indice'!$K71:R71),COLUMN('03_Base_Indice'!$K71:R71)-COLUMN('03_Base_Indice'!$K71)+1),"")</f>
        <v>8</v>
      </c>
      <c r="J71">
        <f>IFERROR(LOOKUP(2,1/ISNUMBER('03_Base_Indice'!$K71:S71),COLUMN('03_Base_Indice'!$K71:S71)-COLUMN('03_Base_Indice'!$K71)+1),"")</f>
        <v>9</v>
      </c>
      <c r="K71">
        <f>IFERROR(LOOKUP(2,1/ISNUMBER('03_Base_Indice'!$K71:T71),COLUMN('03_Base_Indice'!$K71:T71)-COLUMN('03_Base_Indice'!$K71)+1),"")</f>
        <v>9</v>
      </c>
      <c r="L71">
        <f>IFERROR(LOOKUP(2,1/ISNUMBER('03_Base_Indice'!$K71:U71),COLUMN('03_Base_Indice'!$K71:U71)-COLUMN('03_Base_Indice'!$K71)+1),"")</f>
        <v>9</v>
      </c>
      <c r="N71">
        <f>IFERROR(MATCH(TRUE,INDEX(ISNUMBER('03_Base_Indice'!K71:$U71),0),0)+0,"")</f>
        <v>1</v>
      </c>
      <c r="O71">
        <f>IFERROR(MATCH(TRUE,INDEX(ISNUMBER('03_Base_Indice'!L71:$U71),0),0)+1,"")</f>
        <v>2</v>
      </c>
      <c r="P71">
        <f>IFERROR(MATCH(TRUE,INDEX(ISNUMBER('03_Base_Indice'!M71:$U71),0),0)+2,"")</f>
        <v>3</v>
      </c>
      <c r="Q71">
        <f>IFERROR(MATCH(TRUE,INDEX(ISNUMBER('03_Base_Indice'!N71:$U71),0),0)+3,"")</f>
        <v>4</v>
      </c>
      <c r="R71">
        <f>IFERROR(MATCH(TRUE,INDEX(ISNUMBER('03_Base_Indice'!O71:$U71),0),0)+4,"")</f>
        <v>5</v>
      </c>
      <c r="S71">
        <f>IFERROR(MATCH(TRUE,INDEX(ISNUMBER('03_Base_Indice'!P71:$U71),0),0)+5,"")</f>
        <v>6</v>
      </c>
      <c r="T71">
        <f>IFERROR(MATCH(TRUE,INDEX(ISNUMBER('03_Base_Indice'!Q71:$U71),0),0)+6,"")</f>
        <v>7</v>
      </c>
      <c r="U71">
        <f>IFERROR(MATCH(TRUE,INDEX(ISNUMBER('03_Base_Indice'!R71:$U71),0),0)+7,"")</f>
        <v>8</v>
      </c>
      <c r="V71">
        <f>IFERROR(MATCH(TRUE,INDEX(ISNUMBER('03_Base_Indice'!S71:$U71),0),0)+8,"")</f>
        <v>9</v>
      </c>
      <c r="W71" t="str">
        <f>IFERROR(MATCH(TRUE,INDEX(ISNUMBER('03_Base_Indice'!T71:$U71),0),0)+9,"")</f>
        <v/>
      </c>
      <c r="X71" t="str">
        <f>IFERROR(MATCH(TRUE,INDEX(ISNUMBER('03_Base_Indice'!U71:$U71),0),0)+10,"")</f>
        <v/>
      </c>
      <c r="Z71">
        <f>IF(B71="","",INDEX('03_Base_Indice'!$K71:$U71,B71))</f>
        <v>33.523166660000001</v>
      </c>
      <c r="AA71">
        <f>IF(C71="","",INDEX('03_Base_Indice'!$K71:$U71,C71))</f>
        <v>35.208930969999997</v>
      </c>
      <c r="AB71">
        <f>IF(D71="","",INDEX('03_Base_Indice'!$K71:$U71,D71))</f>
        <v>34.121013640000001</v>
      </c>
      <c r="AC71">
        <f>IF(E71="","",INDEX('03_Base_Indice'!$K71:$U71,E71))</f>
        <v>36.247333529999999</v>
      </c>
      <c r="AD71">
        <f>IF(F71="","",INDEX('03_Base_Indice'!$K71:$U71,F71))</f>
        <v>33.143085480000003</v>
      </c>
      <c r="AE71">
        <f>IF(G71="","",INDEX('03_Base_Indice'!$K71:$U71,G71))</f>
        <v>28.62218094</v>
      </c>
      <c r="AF71">
        <f>IF(H71="","",INDEX('03_Base_Indice'!$K71:$U71,H71))</f>
        <v>26.11725616</v>
      </c>
      <c r="AG71">
        <f>IF(I71="","",INDEX('03_Base_Indice'!$K71:$U71,I71))</f>
        <v>30.038616179999998</v>
      </c>
      <c r="AH71">
        <f>IF(J71="","",INDEX('03_Base_Indice'!$K71:$U71,J71))</f>
        <v>32.546676640000001</v>
      </c>
      <c r="AI71">
        <f>IF(K71="","",INDEX('03_Base_Indice'!$K71:$U71,K71))</f>
        <v>32.546676640000001</v>
      </c>
      <c r="AJ71">
        <f>IF(L71="","",INDEX('03_Base_Indice'!$K71:$U71,L71))</f>
        <v>32.546676640000001</v>
      </c>
      <c r="AL71">
        <f>IF(N71="","",INDEX('03_Base_Indice'!$K71:$U71,N71))</f>
        <v>33.523166660000001</v>
      </c>
      <c r="AM71">
        <f>IF(O71="","",INDEX('03_Base_Indice'!$K71:$U71,O71))</f>
        <v>35.208930969999997</v>
      </c>
      <c r="AN71">
        <f>IF(P71="","",INDEX('03_Base_Indice'!$K71:$U71,P71))</f>
        <v>34.121013640000001</v>
      </c>
      <c r="AO71">
        <f>IF(Q71="","",INDEX('03_Base_Indice'!$K71:$U71,Q71))</f>
        <v>36.247333529999999</v>
      </c>
      <c r="AP71">
        <f>IF(R71="","",INDEX('03_Base_Indice'!$K71:$U71,R71))</f>
        <v>33.143085480000003</v>
      </c>
      <c r="AQ71">
        <f>IF(S71="","",INDEX('03_Base_Indice'!$K71:$U71,S71))</f>
        <v>28.62218094</v>
      </c>
      <c r="AR71">
        <f>IF(T71="","",INDEX('03_Base_Indice'!$K71:$U71,T71))</f>
        <v>26.11725616</v>
      </c>
      <c r="AS71">
        <f>IF(U71="","",INDEX('03_Base_Indice'!$K71:$U71,U71))</f>
        <v>30.038616179999998</v>
      </c>
      <c r="AT71">
        <f>IF(V71="","",INDEX('03_Base_Indice'!$K71:$U71,V71))</f>
        <v>32.546676640000001</v>
      </c>
      <c r="AU71" t="str">
        <f>IF(W71="","",INDEX('03_Base_Indice'!$K71:$U71,W71))</f>
        <v/>
      </c>
      <c r="AV71" t="str">
        <f>IF(X71="","",INDEX('03_Base_Indice'!$K71:$U71,X71))</f>
        <v/>
      </c>
      <c r="AX71">
        <f>IF('06_Normalizacao'!K71="",0,'06_Normalizacao'!K71)</f>
        <v>66.476833339999999</v>
      </c>
      <c r="AY71">
        <f>IF('06_Normalizacao'!L71="",0,'06_Normalizacao'!L71)</f>
        <v>64.791069030000003</v>
      </c>
      <c r="AZ71">
        <f>IF('06_Normalizacao'!M71="",0,'06_Normalizacao'!M71)</f>
        <v>65.878986359999999</v>
      </c>
      <c r="BA71">
        <f>IF('06_Normalizacao'!N71="",0,'06_Normalizacao'!N71)</f>
        <v>63.752666470000001</v>
      </c>
      <c r="BB71">
        <f>IF('06_Normalizacao'!O71="",0,'06_Normalizacao'!O71)</f>
        <v>66.856914520000004</v>
      </c>
      <c r="BC71">
        <f>IF('06_Normalizacao'!P71="",0,'06_Normalizacao'!P71)</f>
        <v>71.377819060000007</v>
      </c>
      <c r="BD71">
        <f>IF('06_Normalizacao'!Q71="",0,'06_Normalizacao'!Q71)</f>
        <v>73.882743840000003</v>
      </c>
      <c r="BE71">
        <f>IF('06_Normalizacao'!R71="",0,'06_Normalizacao'!R71)</f>
        <v>69.961383820000009</v>
      </c>
      <c r="BF71">
        <f>IF('06_Normalizacao'!S71="",0,'06_Normalizacao'!S71)</f>
        <v>67.453323359999999</v>
      </c>
      <c r="BG71">
        <f>IF('06_Normalizacao'!T71="",0,'06_Normalizacao'!T71)</f>
        <v>67.453323359999999</v>
      </c>
      <c r="BH71">
        <f>IF('06_Normalizacao'!U71="",0,'06_Normalizacao'!U71)</f>
        <v>67.453323359999999</v>
      </c>
      <c r="BJ71">
        <f>IF('06_Normalizacao'!K71="",0,1)</f>
        <v>1</v>
      </c>
      <c r="BK71">
        <f>IF('06_Normalizacao'!L71="",0,1)</f>
        <v>1</v>
      </c>
      <c r="BL71">
        <f>IF('06_Normalizacao'!M71="",0,1)</f>
        <v>1</v>
      </c>
      <c r="BM71">
        <f>IF('06_Normalizacao'!N71="",0,1)</f>
        <v>1</v>
      </c>
      <c r="BN71">
        <f>IF('06_Normalizacao'!O71="",0,1)</f>
        <v>1</v>
      </c>
      <c r="BO71">
        <f>IF('06_Normalizacao'!P71="",0,1)</f>
        <v>1</v>
      </c>
      <c r="BP71">
        <f>IF('06_Normalizacao'!Q71="",0,1)</f>
        <v>1</v>
      </c>
      <c r="BQ71">
        <f>IF('06_Normalizacao'!R71="",0,1)</f>
        <v>1</v>
      </c>
      <c r="BR71">
        <f>IF('06_Normalizacao'!S71="",0,1)</f>
        <v>1</v>
      </c>
      <c r="BS71">
        <f>IF('06_Normalizacao'!T71="",0,1)</f>
        <v>1</v>
      </c>
      <c r="BT71">
        <f>IF('06_Normalizacao'!U71="",0,1)</f>
        <v>1</v>
      </c>
    </row>
    <row r="72" spans="1:72">
      <c r="A72" s="6" t="str">
        <f>'03_Base_Indice'!D72</f>
        <v/>
      </c>
      <c r="B72" t="str">
        <f>IFERROR(LOOKUP(2,1/ISNUMBER('03_Base_Indice'!$K72:K72),COLUMN('03_Base_Indice'!$K72:K72)-COLUMN('03_Base_Indice'!$K72)+1),"")</f>
        <v/>
      </c>
      <c r="C72" t="str">
        <f>IFERROR(LOOKUP(2,1/ISNUMBER('03_Base_Indice'!$K72:L72),COLUMN('03_Base_Indice'!$K72:L72)-COLUMN('03_Base_Indice'!$K72)+1),"")</f>
        <v/>
      </c>
      <c r="D72" t="str">
        <f>IFERROR(LOOKUP(2,1/ISNUMBER('03_Base_Indice'!$K72:M72),COLUMN('03_Base_Indice'!$K72:M72)-COLUMN('03_Base_Indice'!$K72)+1),"")</f>
        <v/>
      </c>
      <c r="E72" t="str">
        <f>IFERROR(LOOKUP(2,1/ISNUMBER('03_Base_Indice'!$K72:N72),COLUMN('03_Base_Indice'!$K72:N72)-COLUMN('03_Base_Indice'!$K72)+1),"")</f>
        <v/>
      </c>
      <c r="F72" t="str">
        <f>IFERROR(LOOKUP(2,1/ISNUMBER('03_Base_Indice'!$K72:O72),COLUMN('03_Base_Indice'!$K72:O72)-COLUMN('03_Base_Indice'!$K72)+1),"")</f>
        <v/>
      </c>
      <c r="G72" t="str">
        <f>IFERROR(LOOKUP(2,1/ISNUMBER('03_Base_Indice'!$K72:P72),COLUMN('03_Base_Indice'!$K72:P72)-COLUMN('03_Base_Indice'!$K72)+1),"")</f>
        <v/>
      </c>
      <c r="H72" t="str">
        <f>IFERROR(LOOKUP(2,1/ISNUMBER('03_Base_Indice'!$K72:Q72),COLUMN('03_Base_Indice'!$K72:Q72)-COLUMN('03_Base_Indice'!$K72)+1),"")</f>
        <v/>
      </c>
      <c r="I72" t="str">
        <f>IFERROR(LOOKUP(2,1/ISNUMBER('03_Base_Indice'!$K72:R72),COLUMN('03_Base_Indice'!$K72:R72)-COLUMN('03_Base_Indice'!$K72)+1),"")</f>
        <v/>
      </c>
      <c r="J72" t="str">
        <f>IFERROR(LOOKUP(2,1/ISNUMBER('03_Base_Indice'!$K72:S72),COLUMN('03_Base_Indice'!$K72:S72)-COLUMN('03_Base_Indice'!$K72)+1),"")</f>
        <v/>
      </c>
      <c r="K72" t="str">
        <f>IFERROR(LOOKUP(2,1/ISNUMBER('03_Base_Indice'!$K72:T72),COLUMN('03_Base_Indice'!$K72:T72)-COLUMN('03_Base_Indice'!$K72)+1),"")</f>
        <v/>
      </c>
      <c r="L72" t="str">
        <f>IFERROR(LOOKUP(2,1/ISNUMBER('03_Base_Indice'!$K72:U72),COLUMN('03_Base_Indice'!$K72:U72)-COLUMN('03_Base_Indice'!$K72)+1),"")</f>
        <v/>
      </c>
      <c r="N72" t="str">
        <f>IFERROR(MATCH(TRUE,INDEX(ISNUMBER('03_Base_Indice'!K72:$U72),0),0)+0,"")</f>
        <v/>
      </c>
      <c r="O72" t="str">
        <f>IFERROR(MATCH(TRUE,INDEX(ISNUMBER('03_Base_Indice'!L72:$U72),0),0)+1,"")</f>
        <v/>
      </c>
      <c r="P72" t="str">
        <f>IFERROR(MATCH(TRUE,INDEX(ISNUMBER('03_Base_Indice'!M72:$U72),0),0)+2,"")</f>
        <v/>
      </c>
      <c r="Q72" t="str">
        <f>IFERROR(MATCH(TRUE,INDEX(ISNUMBER('03_Base_Indice'!N72:$U72),0),0)+3,"")</f>
        <v/>
      </c>
      <c r="R72" t="str">
        <f>IFERROR(MATCH(TRUE,INDEX(ISNUMBER('03_Base_Indice'!O72:$U72),0),0)+4,"")</f>
        <v/>
      </c>
      <c r="S72" t="str">
        <f>IFERROR(MATCH(TRUE,INDEX(ISNUMBER('03_Base_Indice'!P72:$U72),0),0)+5,"")</f>
        <v/>
      </c>
      <c r="T72" t="str">
        <f>IFERROR(MATCH(TRUE,INDEX(ISNUMBER('03_Base_Indice'!Q72:$U72),0),0)+6,"")</f>
        <v/>
      </c>
      <c r="U72" t="str">
        <f>IFERROR(MATCH(TRUE,INDEX(ISNUMBER('03_Base_Indice'!R72:$U72),0),0)+7,"")</f>
        <v/>
      </c>
      <c r="V72" t="str">
        <f>IFERROR(MATCH(TRUE,INDEX(ISNUMBER('03_Base_Indice'!S72:$U72),0),0)+8,"")</f>
        <v/>
      </c>
      <c r="W72" t="str">
        <f>IFERROR(MATCH(TRUE,INDEX(ISNUMBER('03_Base_Indice'!T72:$U72),0),0)+9,"")</f>
        <v/>
      </c>
      <c r="X72" t="str">
        <f>IFERROR(MATCH(TRUE,INDEX(ISNUMBER('03_Base_Indice'!U72:$U72),0),0)+10,"")</f>
        <v/>
      </c>
      <c r="Z72" t="str">
        <f>IF(B72="","",INDEX('03_Base_Indice'!$K72:$U72,B72))</f>
        <v/>
      </c>
      <c r="AA72" t="str">
        <f>IF(C72="","",INDEX('03_Base_Indice'!$K72:$U72,C72))</f>
        <v/>
      </c>
      <c r="AB72" t="str">
        <f>IF(D72="","",INDEX('03_Base_Indice'!$K72:$U72,D72))</f>
        <v/>
      </c>
      <c r="AC72" t="str">
        <f>IF(E72="","",INDEX('03_Base_Indice'!$K72:$U72,E72))</f>
        <v/>
      </c>
      <c r="AD72" t="str">
        <f>IF(F72="","",INDEX('03_Base_Indice'!$K72:$U72,F72))</f>
        <v/>
      </c>
      <c r="AE72" t="str">
        <f>IF(G72="","",INDEX('03_Base_Indice'!$K72:$U72,G72))</f>
        <v/>
      </c>
      <c r="AF72" t="str">
        <f>IF(H72="","",INDEX('03_Base_Indice'!$K72:$U72,H72))</f>
        <v/>
      </c>
      <c r="AG72" t="str">
        <f>IF(I72="","",INDEX('03_Base_Indice'!$K72:$U72,I72))</f>
        <v/>
      </c>
      <c r="AH72" t="str">
        <f>IF(J72="","",INDEX('03_Base_Indice'!$K72:$U72,J72))</f>
        <v/>
      </c>
      <c r="AI72" t="str">
        <f>IF(K72="","",INDEX('03_Base_Indice'!$K72:$U72,K72))</f>
        <v/>
      </c>
      <c r="AJ72" t="str">
        <f>IF(L72="","",INDEX('03_Base_Indice'!$K72:$U72,L72))</f>
        <v/>
      </c>
      <c r="AL72" t="str">
        <f>IF(N72="","",INDEX('03_Base_Indice'!$K72:$U72,N72))</f>
        <v/>
      </c>
      <c r="AM72" t="str">
        <f>IF(O72="","",INDEX('03_Base_Indice'!$K72:$U72,O72))</f>
        <v/>
      </c>
      <c r="AN72" t="str">
        <f>IF(P72="","",INDEX('03_Base_Indice'!$K72:$U72,P72))</f>
        <v/>
      </c>
      <c r="AO72" t="str">
        <f>IF(Q72="","",INDEX('03_Base_Indice'!$K72:$U72,Q72))</f>
        <v/>
      </c>
      <c r="AP72" t="str">
        <f>IF(R72="","",INDEX('03_Base_Indice'!$K72:$U72,R72))</f>
        <v/>
      </c>
      <c r="AQ72" t="str">
        <f>IF(S72="","",INDEX('03_Base_Indice'!$K72:$U72,S72))</f>
        <v/>
      </c>
      <c r="AR72" t="str">
        <f>IF(T72="","",INDEX('03_Base_Indice'!$K72:$U72,T72))</f>
        <v/>
      </c>
      <c r="AS72" t="str">
        <f>IF(U72="","",INDEX('03_Base_Indice'!$K72:$U72,U72))</f>
        <v/>
      </c>
      <c r="AT72" t="str">
        <f>IF(V72="","",INDEX('03_Base_Indice'!$K72:$U72,V72))</f>
        <v/>
      </c>
      <c r="AU72" t="str">
        <f>IF(W72="","",INDEX('03_Base_Indice'!$K72:$U72,W72))</f>
        <v/>
      </c>
      <c r="AV72" t="str">
        <f>IF(X72="","",INDEX('03_Base_Indice'!$K72:$U72,X72))</f>
        <v/>
      </c>
      <c r="AX72">
        <f>IF('06_Normalizacao'!K72="",0,'06_Normalizacao'!K72)</f>
        <v>0</v>
      </c>
      <c r="AY72">
        <f>IF('06_Normalizacao'!L72="",0,'06_Normalizacao'!L72)</f>
        <v>0</v>
      </c>
      <c r="AZ72">
        <f>IF('06_Normalizacao'!M72="",0,'06_Normalizacao'!M72)</f>
        <v>0</v>
      </c>
      <c r="BA72">
        <f>IF('06_Normalizacao'!N72="",0,'06_Normalizacao'!N72)</f>
        <v>0</v>
      </c>
      <c r="BB72">
        <f>IF('06_Normalizacao'!O72="",0,'06_Normalizacao'!O72)</f>
        <v>0</v>
      </c>
      <c r="BC72">
        <f>IF('06_Normalizacao'!P72="",0,'06_Normalizacao'!P72)</f>
        <v>0</v>
      </c>
      <c r="BD72">
        <f>IF('06_Normalizacao'!Q72="",0,'06_Normalizacao'!Q72)</f>
        <v>0</v>
      </c>
      <c r="BE72">
        <f>IF('06_Normalizacao'!R72="",0,'06_Normalizacao'!R72)</f>
        <v>0</v>
      </c>
      <c r="BF72">
        <f>IF('06_Normalizacao'!S72="",0,'06_Normalizacao'!S72)</f>
        <v>0</v>
      </c>
      <c r="BG72">
        <f>IF('06_Normalizacao'!T72="",0,'06_Normalizacao'!T72)</f>
        <v>0</v>
      </c>
      <c r="BH72">
        <f>IF('06_Normalizacao'!U72="",0,'06_Normalizacao'!U72)</f>
        <v>0</v>
      </c>
      <c r="BJ72">
        <f>IF('06_Normalizacao'!K72="",0,1)</f>
        <v>0</v>
      </c>
      <c r="BK72">
        <f>IF('06_Normalizacao'!L72="",0,1)</f>
        <v>0</v>
      </c>
      <c r="BL72">
        <f>IF('06_Normalizacao'!M72="",0,1)</f>
        <v>0</v>
      </c>
      <c r="BM72">
        <f>IF('06_Normalizacao'!N72="",0,1)</f>
        <v>0</v>
      </c>
      <c r="BN72">
        <f>IF('06_Normalizacao'!O72="",0,1)</f>
        <v>0</v>
      </c>
      <c r="BO72">
        <f>IF('06_Normalizacao'!P72="",0,1)</f>
        <v>0</v>
      </c>
      <c r="BP72">
        <f>IF('06_Normalizacao'!Q72="",0,1)</f>
        <v>0</v>
      </c>
      <c r="BQ72">
        <f>IF('06_Normalizacao'!R72="",0,1)</f>
        <v>0</v>
      </c>
      <c r="BR72">
        <f>IF('06_Normalizacao'!S72="",0,1)</f>
        <v>0</v>
      </c>
      <c r="BS72">
        <f>IF('06_Normalizacao'!T72="",0,1)</f>
        <v>0</v>
      </c>
      <c r="BT72">
        <f>IF('06_Normalizacao'!U72="",0,1)</f>
        <v>0</v>
      </c>
    </row>
    <row r="73" spans="1:72">
      <c r="A73" s="6" t="str">
        <f>'03_Base_Indice'!D73</f>
        <v/>
      </c>
      <c r="B73" t="str">
        <f>IFERROR(LOOKUP(2,1/ISNUMBER('03_Base_Indice'!$K73:K73),COLUMN('03_Base_Indice'!$K73:K73)-COLUMN('03_Base_Indice'!$K73)+1),"")</f>
        <v/>
      </c>
      <c r="C73" t="str">
        <f>IFERROR(LOOKUP(2,1/ISNUMBER('03_Base_Indice'!$K73:L73),COLUMN('03_Base_Indice'!$K73:L73)-COLUMN('03_Base_Indice'!$K73)+1),"")</f>
        <v/>
      </c>
      <c r="D73" t="str">
        <f>IFERROR(LOOKUP(2,1/ISNUMBER('03_Base_Indice'!$K73:M73),COLUMN('03_Base_Indice'!$K73:M73)-COLUMN('03_Base_Indice'!$K73)+1),"")</f>
        <v/>
      </c>
      <c r="E73" t="str">
        <f>IFERROR(LOOKUP(2,1/ISNUMBER('03_Base_Indice'!$K73:N73),COLUMN('03_Base_Indice'!$K73:N73)-COLUMN('03_Base_Indice'!$K73)+1),"")</f>
        <v/>
      </c>
      <c r="F73" t="str">
        <f>IFERROR(LOOKUP(2,1/ISNUMBER('03_Base_Indice'!$K73:O73),COLUMN('03_Base_Indice'!$K73:O73)-COLUMN('03_Base_Indice'!$K73)+1),"")</f>
        <v/>
      </c>
      <c r="G73" t="str">
        <f>IFERROR(LOOKUP(2,1/ISNUMBER('03_Base_Indice'!$K73:P73),COLUMN('03_Base_Indice'!$K73:P73)-COLUMN('03_Base_Indice'!$K73)+1),"")</f>
        <v/>
      </c>
      <c r="H73" t="str">
        <f>IFERROR(LOOKUP(2,1/ISNUMBER('03_Base_Indice'!$K73:Q73),COLUMN('03_Base_Indice'!$K73:Q73)-COLUMN('03_Base_Indice'!$K73)+1),"")</f>
        <v/>
      </c>
      <c r="I73" t="str">
        <f>IFERROR(LOOKUP(2,1/ISNUMBER('03_Base_Indice'!$K73:R73),COLUMN('03_Base_Indice'!$K73:R73)-COLUMN('03_Base_Indice'!$K73)+1),"")</f>
        <v/>
      </c>
      <c r="J73" t="str">
        <f>IFERROR(LOOKUP(2,1/ISNUMBER('03_Base_Indice'!$K73:S73),COLUMN('03_Base_Indice'!$K73:S73)-COLUMN('03_Base_Indice'!$K73)+1),"")</f>
        <v/>
      </c>
      <c r="K73" t="str">
        <f>IFERROR(LOOKUP(2,1/ISNUMBER('03_Base_Indice'!$K73:T73),COLUMN('03_Base_Indice'!$K73:T73)-COLUMN('03_Base_Indice'!$K73)+1),"")</f>
        <v/>
      </c>
      <c r="L73" t="str">
        <f>IFERROR(LOOKUP(2,1/ISNUMBER('03_Base_Indice'!$K73:U73),COLUMN('03_Base_Indice'!$K73:U73)-COLUMN('03_Base_Indice'!$K73)+1),"")</f>
        <v/>
      </c>
      <c r="N73" t="str">
        <f>IFERROR(MATCH(TRUE,INDEX(ISNUMBER('03_Base_Indice'!K73:$U73),0),0)+0,"")</f>
        <v/>
      </c>
      <c r="O73" t="str">
        <f>IFERROR(MATCH(TRUE,INDEX(ISNUMBER('03_Base_Indice'!L73:$U73),0),0)+1,"")</f>
        <v/>
      </c>
      <c r="P73" t="str">
        <f>IFERROR(MATCH(TRUE,INDEX(ISNUMBER('03_Base_Indice'!M73:$U73),0),0)+2,"")</f>
        <v/>
      </c>
      <c r="Q73" t="str">
        <f>IFERROR(MATCH(TRUE,INDEX(ISNUMBER('03_Base_Indice'!N73:$U73),0),0)+3,"")</f>
        <v/>
      </c>
      <c r="R73" t="str">
        <f>IFERROR(MATCH(TRUE,INDEX(ISNUMBER('03_Base_Indice'!O73:$U73),0),0)+4,"")</f>
        <v/>
      </c>
      <c r="S73" t="str">
        <f>IFERROR(MATCH(TRUE,INDEX(ISNUMBER('03_Base_Indice'!P73:$U73),0),0)+5,"")</f>
        <v/>
      </c>
      <c r="T73" t="str">
        <f>IFERROR(MATCH(TRUE,INDEX(ISNUMBER('03_Base_Indice'!Q73:$U73),0),0)+6,"")</f>
        <v/>
      </c>
      <c r="U73" t="str">
        <f>IFERROR(MATCH(TRUE,INDEX(ISNUMBER('03_Base_Indice'!R73:$U73),0),0)+7,"")</f>
        <v/>
      </c>
      <c r="V73" t="str">
        <f>IFERROR(MATCH(TRUE,INDEX(ISNUMBER('03_Base_Indice'!S73:$U73),0),0)+8,"")</f>
        <v/>
      </c>
      <c r="W73" t="str">
        <f>IFERROR(MATCH(TRUE,INDEX(ISNUMBER('03_Base_Indice'!T73:$U73),0),0)+9,"")</f>
        <v/>
      </c>
      <c r="X73" t="str">
        <f>IFERROR(MATCH(TRUE,INDEX(ISNUMBER('03_Base_Indice'!U73:$U73),0),0)+10,"")</f>
        <v/>
      </c>
      <c r="Z73" t="str">
        <f>IF(B73="","",INDEX('03_Base_Indice'!$K73:$U73,B73))</f>
        <v/>
      </c>
      <c r="AA73" t="str">
        <f>IF(C73="","",INDEX('03_Base_Indice'!$K73:$U73,C73))</f>
        <v/>
      </c>
      <c r="AB73" t="str">
        <f>IF(D73="","",INDEX('03_Base_Indice'!$K73:$U73,D73))</f>
        <v/>
      </c>
      <c r="AC73" t="str">
        <f>IF(E73="","",INDEX('03_Base_Indice'!$K73:$U73,E73))</f>
        <v/>
      </c>
      <c r="AD73" t="str">
        <f>IF(F73="","",INDEX('03_Base_Indice'!$K73:$U73,F73))</f>
        <v/>
      </c>
      <c r="AE73" t="str">
        <f>IF(G73="","",INDEX('03_Base_Indice'!$K73:$U73,G73))</f>
        <v/>
      </c>
      <c r="AF73" t="str">
        <f>IF(H73="","",INDEX('03_Base_Indice'!$K73:$U73,H73))</f>
        <v/>
      </c>
      <c r="AG73" t="str">
        <f>IF(I73="","",INDEX('03_Base_Indice'!$K73:$U73,I73))</f>
        <v/>
      </c>
      <c r="AH73" t="str">
        <f>IF(J73="","",INDEX('03_Base_Indice'!$K73:$U73,J73))</f>
        <v/>
      </c>
      <c r="AI73" t="str">
        <f>IF(K73="","",INDEX('03_Base_Indice'!$K73:$U73,K73))</f>
        <v/>
      </c>
      <c r="AJ73" t="str">
        <f>IF(L73="","",INDEX('03_Base_Indice'!$K73:$U73,L73))</f>
        <v/>
      </c>
      <c r="AL73" t="str">
        <f>IF(N73="","",INDEX('03_Base_Indice'!$K73:$U73,N73))</f>
        <v/>
      </c>
      <c r="AM73" t="str">
        <f>IF(O73="","",INDEX('03_Base_Indice'!$K73:$U73,O73))</f>
        <v/>
      </c>
      <c r="AN73" t="str">
        <f>IF(P73="","",INDEX('03_Base_Indice'!$K73:$U73,P73))</f>
        <v/>
      </c>
      <c r="AO73" t="str">
        <f>IF(Q73="","",INDEX('03_Base_Indice'!$K73:$U73,Q73))</f>
        <v/>
      </c>
      <c r="AP73" t="str">
        <f>IF(R73="","",INDEX('03_Base_Indice'!$K73:$U73,R73))</f>
        <v/>
      </c>
      <c r="AQ73" t="str">
        <f>IF(S73="","",INDEX('03_Base_Indice'!$K73:$U73,S73))</f>
        <v/>
      </c>
      <c r="AR73" t="str">
        <f>IF(T73="","",INDEX('03_Base_Indice'!$K73:$U73,T73))</f>
        <v/>
      </c>
      <c r="AS73" t="str">
        <f>IF(U73="","",INDEX('03_Base_Indice'!$K73:$U73,U73))</f>
        <v/>
      </c>
      <c r="AT73" t="str">
        <f>IF(V73="","",INDEX('03_Base_Indice'!$K73:$U73,V73))</f>
        <v/>
      </c>
      <c r="AU73" t="str">
        <f>IF(W73="","",INDEX('03_Base_Indice'!$K73:$U73,W73))</f>
        <v/>
      </c>
      <c r="AV73" t="str">
        <f>IF(X73="","",INDEX('03_Base_Indice'!$K73:$U73,X73))</f>
        <v/>
      </c>
      <c r="AX73">
        <f>IF('06_Normalizacao'!K73="",0,'06_Normalizacao'!K73)</f>
        <v>0</v>
      </c>
      <c r="AY73">
        <f>IF('06_Normalizacao'!L73="",0,'06_Normalizacao'!L73)</f>
        <v>0</v>
      </c>
      <c r="AZ73">
        <f>IF('06_Normalizacao'!M73="",0,'06_Normalizacao'!M73)</f>
        <v>0</v>
      </c>
      <c r="BA73">
        <f>IF('06_Normalizacao'!N73="",0,'06_Normalizacao'!N73)</f>
        <v>0</v>
      </c>
      <c r="BB73">
        <f>IF('06_Normalizacao'!O73="",0,'06_Normalizacao'!O73)</f>
        <v>0</v>
      </c>
      <c r="BC73">
        <f>IF('06_Normalizacao'!P73="",0,'06_Normalizacao'!P73)</f>
        <v>0</v>
      </c>
      <c r="BD73">
        <f>IF('06_Normalizacao'!Q73="",0,'06_Normalizacao'!Q73)</f>
        <v>0</v>
      </c>
      <c r="BE73">
        <f>IF('06_Normalizacao'!R73="",0,'06_Normalizacao'!R73)</f>
        <v>0</v>
      </c>
      <c r="BF73">
        <f>IF('06_Normalizacao'!S73="",0,'06_Normalizacao'!S73)</f>
        <v>0</v>
      </c>
      <c r="BG73">
        <f>IF('06_Normalizacao'!T73="",0,'06_Normalizacao'!T73)</f>
        <v>0</v>
      </c>
      <c r="BH73">
        <f>IF('06_Normalizacao'!U73="",0,'06_Normalizacao'!U73)</f>
        <v>0</v>
      </c>
      <c r="BJ73">
        <f>IF('06_Normalizacao'!K73="",0,1)</f>
        <v>0</v>
      </c>
      <c r="BK73">
        <f>IF('06_Normalizacao'!L73="",0,1)</f>
        <v>0</v>
      </c>
      <c r="BL73">
        <f>IF('06_Normalizacao'!M73="",0,1)</f>
        <v>0</v>
      </c>
      <c r="BM73">
        <f>IF('06_Normalizacao'!N73="",0,1)</f>
        <v>0</v>
      </c>
      <c r="BN73">
        <f>IF('06_Normalizacao'!O73="",0,1)</f>
        <v>0</v>
      </c>
      <c r="BO73">
        <f>IF('06_Normalizacao'!P73="",0,1)</f>
        <v>0</v>
      </c>
      <c r="BP73">
        <f>IF('06_Normalizacao'!Q73="",0,1)</f>
        <v>0</v>
      </c>
      <c r="BQ73">
        <f>IF('06_Normalizacao'!R73="",0,1)</f>
        <v>0</v>
      </c>
      <c r="BR73">
        <f>IF('06_Normalizacao'!S73="",0,1)</f>
        <v>0</v>
      </c>
      <c r="BS73">
        <f>IF('06_Normalizacao'!T73="",0,1)</f>
        <v>0</v>
      </c>
      <c r="BT73">
        <f>IF('06_Normalizacao'!U73="",0,1)</f>
        <v>0</v>
      </c>
    </row>
    <row r="74" spans="1:72">
      <c r="A74" s="6" t="str">
        <f>'03_Base_Indice'!D74</f>
        <v/>
      </c>
      <c r="B74" t="str">
        <f>IFERROR(LOOKUP(2,1/ISNUMBER('03_Base_Indice'!$K74:K74),COLUMN('03_Base_Indice'!$K74:K74)-COLUMN('03_Base_Indice'!$K74)+1),"")</f>
        <v/>
      </c>
      <c r="C74" t="str">
        <f>IFERROR(LOOKUP(2,1/ISNUMBER('03_Base_Indice'!$K74:L74),COLUMN('03_Base_Indice'!$K74:L74)-COLUMN('03_Base_Indice'!$K74)+1),"")</f>
        <v/>
      </c>
      <c r="D74" t="str">
        <f>IFERROR(LOOKUP(2,1/ISNUMBER('03_Base_Indice'!$K74:M74),COLUMN('03_Base_Indice'!$K74:M74)-COLUMN('03_Base_Indice'!$K74)+1),"")</f>
        <v/>
      </c>
      <c r="E74" t="str">
        <f>IFERROR(LOOKUP(2,1/ISNUMBER('03_Base_Indice'!$K74:N74),COLUMN('03_Base_Indice'!$K74:N74)-COLUMN('03_Base_Indice'!$K74)+1),"")</f>
        <v/>
      </c>
      <c r="F74" t="str">
        <f>IFERROR(LOOKUP(2,1/ISNUMBER('03_Base_Indice'!$K74:O74),COLUMN('03_Base_Indice'!$K74:O74)-COLUMN('03_Base_Indice'!$K74)+1),"")</f>
        <v/>
      </c>
      <c r="G74" t="str">
        <f>IFERROR(LOOKUP(2,1/ISNUMBER('03_Base_Indice'!$K74:P74),COLUMN('03_Base_Indice'!$K74:P74)-COLUMN('03_Base_Indice'!$K74)+1),"")</f>
        <v/>
      </c>
      <c r="H74" t="str">
        <f>IFERROR(LOOKUP(2,1/ISNUMBER('03_Base_Indice'!$K74:Q74),COLUMN('03_Base_Indice'!$K74:Q74)-COLUMN('03_Base_Indice'!$K74)+1),"")</f>
        <v/>
      </c>
      <c r="I74" t="str">
        <f>IFERROR(LOOKUP(2,1/ISNUMBER('03_Base_Indice'!$K74:R74),COLUMN('03_Base_Indice'!$K74:R74)-COLUMN('03_Base_Indice'!$K74)+1),"")</f>
        <v/>
      </c>
      <c r="J74" t="str">
        <f>IFERROR(LOOKUP(2,1/ISNUMBER('03_Base_Indice'!$K74:S74),COLUMN('03_Base_Indice'!$K74:S74)-COLUMN('03_Base_Indice'!$K74)+1),"")</f>
        <v/>
      </c>
      <c r="K74" t="str">
        <f>IFERROR(LOOKUP(2,1/ISNUMBER('03_Base_Indice'!$K74:T74),COLUMN('03_Base_Indice'!$K74:T74)-COLUMN('03_Base_Indice'!$K74)+1),"")</f>
        <v/>
      </c>
      <c r="L74" t="str">
        <f>IFERROR(LOOKUP(2,1/ISNUMBER('03_Base_Indice'!$K74:U74),COLUMN('03_Base_Indice'!$K74:U74)-COLUMN('03_Base_Indice'!$K74)+1),"")</f>
        <v/>
      </c>
      <c r="N74" t="str">
        <f>IFERROR(MATCH(TRUE,INDEX(ISNUMBER('03_Base_Indice'!K74:$U74),0),0)+0,"")</f>
        <v/>
      </c>
      <c r="O74" t="str">
        <f>IFERROR(MATCH(TRUE,INDEX(ISNUMBER('03_Base_Indice'!L74:$U74),0),0)+1,"")</f>
        <v/>
      </c>
      <c r="P74" t="str">
        <f>IFERROR(MATCH(TRUE,INDEX(ISNUMBER('03_Base_Indice'!M74:$U74),0),0)+2,"")</f>
        <v/>
      </c>
      <c r="Q74" t="str">
        <f>IFERROR(MATCH(TRUE,INDEX(ISNUMBER('03_Base_Indice'!N74:$U74),0),0)+3,"")</f>
        <v/>
      </c>
      <c r="R74" t="str">
        <f>IFERROR(MATCH(TRUE,INDEX(ISNUMBER('03_Base_Indice'!O74:$U74),0),0)+4,"")</f>
        <v/>
      </c>
      <c r="S74" t="str">
        <f>IFERROR(MATCH(TRUE,INDEX(ISNUMBER('03_Base_Indice'!P74:$U74),0),0)+5,"")</f>
        <v/>
      </c>
      <c r="T74" t="str">
        <f>IFERROR(MATCH(TRUE,INDEX(ISNUMBER('03_Base_Indice'!Q74:$U74),0),0)+6,"")</f>
        <v/>
      </c>
      <c r="U74" t="str">
        <f>IFERROR(MATCH(TRUE,INDEX(ISNUMBER('03_Base_Indice'!R74:$U74),0),0)+7,"")</f>
        <v/>
      </c>
      <c r="V74" t="str">
        <f>IFERROR(MATCH(TRUE,INDEX(ISNUMBER('03_Base_Indice'!S74:$U74),0),0)+8,"")</f>
        <v/>
      </c>
      <c r="W74" t="str">
        <f>IFERROR(MATCH(TRUE,INDEX(ISNUMBER('03_Base_Indice'!T74:$U74),0),0)+9,"")</f>
        <v/>
      </c>
      <c r="X74" t="str">
        <f>IFERROR(MATCH(TRUE,INDEX(ISNUMBER('03_Base_Indice'!U74:$U74),0),0)+10,"")</f>
        <v/>
      </c>
      <c r="Z74" t="str">
        <f>IF(B74="","",INDEX('03_Base_Indice'!$K74:$U74,B74))</f>
        <v/>
      </c>
      <c r="AA74" t="str">
        <f>IF(C74="","",INDEX('03_Base_Indice'!$K74:$U74,C74))</f>
        <v/>
      </c>
      <c r="AB74" t="str">
        <f>IF(D74="","",INDEX('03_Base_Indice'!$K74:$U74,D74))</f>
        <v/>
      </c>
      <c r="AC74" t="str">
        <f>IF(E74="","",INDEX('03_Base_Indice'!$K74:$U74,E74))</f>
        <v/>
      </c>
      <c r="AD74" t="str">
        <f>IF(F74="","",INDEX('03_Base_Indice'!$K74:$U74,F74))</f>
        <v/>
      </c>
      <c r="AE74" t="str">
        <f>IF(G74="","",INDEX('03_Base_Indice'!$K74:$U74,G74))</f>
        <v/>
      </c>
      <c r="AF74" t="str">
        <f>IF(H74="","",INDEX('03_Base_Indice'!$K74:$U74,H74))</f>
        <v/>
      </c>
      <c r="AG74" t="str">
        <f>IF(I74="","",INDEX('03_Base_Indice'!$K74:$U74,I74))</f>
        <v/>
      </c>
      <c r="AH74" t="str">
        <f>IF(J74="","",INDEX('03_Base_Indice'!$K74:$U74,J74))</f>
        <v/>
      </c>
      <c r="AI74" t="str">
        <f>IF(K74="","",INDEX('03_Base_Indice'!$K74:$U74,K74))</f>
        <v/>
      </c>
      <c r="AJ74" t="str">
        <f>IF(L74="","",INDEX('03_Base_Indice'!$K74:$U74,L74))</f>
        <v/>
      </c>
      <c r="AL74" t="str">
        <f>IF(N74="","",INDEX('03_Base_Indice'!$K74:$U74,N74))</f>
        <v/>
      </c>
      <c r="AM74" t="str">
        <f>IF(O74="","",INDEX('03_Base_Indice'!$K74:$U74,O74))</f>
        <v/>
      </c>
      <c r="AN74" t="str">
        <f>IF(P74="","",INDEX('03_Base_Indice'!$K74:$U74,P74))</f>
        <v/>
      </c>
      <c r="AO74" t="str">
        <f>IF(Q74="","",INDEX('03_Base_Indice'!$K74:$U74,Q74))</f>
        <v/>
      </c>
      <c r="AP74" t="str">
        <f>IF(R74="","",INDEX('03_Base_Indice'!$K74:$U74,R74))</f>
        <v/>
      </c>
      <c r="AQ74" t="str">
        <f>IF(S74="","",INDEX('03_Base_Indice'!$K74:$U74,S74))</f>
        <v/>
      </c>
      <c r="AR74" t="str">
        <f>IF(T74="","",INDEX('03_Base_Indice'!$K74:$U74,T74))</f>
        <v/>
      </c>
      <c r="AS74" t="str">
        <f>IF(U74="","",INDEX('03_Base_Indice'!$K74:$U74,U74))</f>
        <v/>
      </c>
      <c r="AT74" t="str">
        <f>IF(V74="","",INDEX('03_Base_Indice'!$K74:$U74,V74))</f>
        <v/>
      </c>
      <c r="AU74" t="str">
        <f>IF(W74="","",INDEX('03_Base_Indice'!$K74:$U74,W74))</f>
        <v/>
      </c>
      <c r="AV74" t="str">
        <f>IF(X74="","",INDEX('03_Base_Indice'!$K74:$U74,X74))</f>
        <v/>
      </c>
      <c r="AX74">
        <f>IF('06_Normalizacao'!K74="",0,'06_Normalizacao'!K74)</f>
        <v>0</v>
      </c>
      <c r="AY74">
        <f>IF('06_Normalizacao'!L74="",0,'06_Normalizacao'!L74)</f>
        <v>0</v>
      </c>
      <c r="AZ74">
        <f>IF('06_Normalizacao'!M74="",0,'06_Normalizacao'!M74)</f>
        <v>0</v>
      </c>
      <c r="BA74">
        <f>IF('06_Normalizacao'!N74="",0,'06_Normalizacao'!N74)</f>
        <v>0</v>
      </c>
      <c r="BB74">
        <f>IF('06_Normalizacao'!O74="",0,'06_Normalizacao'!O74)</f>
        <v>0</v>
      </c>
      <c r="BC74">
        <f>IF('06_Normalizacao'!P74="",0,'06_Normalizacao'!P74)</f>
        <v>0</v>
      </c>
      <c r="BD74">
        <f>IF('06_Normalizacao'!Q74="",0,'06_Normalizacao'!Q74)</f>
        <v>0</v>
      </c>
      <c r="BE74">
        <f>IF('06_Normalizacao'!R74="",0,'06_Normalizacao'!R74)</f>
        <v>0</v>
      </c>
      <c r="BF74">
        <f>IF('06_Normalizacao'!S74="",0,'06_Normalizacao'!S74)</f>
        <v>0</v>
      </c>
      <c r="BG74">
        <f>IF('06_Normalizacao'!T74="",0,'06_Normalizacao'!T74)</f>
        <v>0</v>
      </c>
      <c r="BH74">
        <f>IF('06_Normalizacao'!U74="",0,'06_Normalizacao'!U74)</f>
        <v>0</v>
      </c>
      <c r="BJ74">
        <f>IF('06_Normalizacao'!K74="",0,1)</f>
        <v>0</v>
      </c>
      <c r="BK74">
        <f>IF('06_Normalizacao'!L74="",0,1)</f>
        <v>0</v>
      </c>
      <c r="BL74">
        <f>IF('06_Normalizacao'!M74="",0,1)</f>
        <v>0</v>
      </c>
      <c r="BM74">
        <f>IF('06_Normalizacao'!N74="",0,1)</f>
        <v>0</v>
      </c>
      <c r="BN74">
        <f>IF('06_Normalizacao'!O74="",0,1)</f>
        <v>0</v>
      </c>
      <c r="BO74">
        <f>IF('06_Normalizacao'!P74="",0,1)</f>
        <v>0</v>
      </c>
      <c r="BP74">
        <f>IF('06_Normalizacao'!Q74="",0,1)</f>
        <v>0</v>
      </c>
      <c r="BQ74">
        <f>IF('06_Normalizacao'!R74="",0,1)</f>
        <v>0</v>
      </c>
      <c r="BR74">
        <f>IF('06_Normalizacao'!S74="",0,1)</f>
        <v>0</v>
      </c>
      <c r="BS74">
        <f>IF('06_Normalizacao'!T74="",0,1)</f>
        <v>0</v>
      </c>
      <c r="BT74">
        <f>IF('06_Normalizacao'!U74="",0,1)</f>
        <v>0</v>
      </c>
    </row>
    <row r="75" spans="1:72">
      <c r="A75" s="6" t="str">
        <f>'03_Base_Indice'!D75</f>
        <v>DIV017</v>
      </c>
      <c r="B75">
        <f>IFERROR(LOOKUP(2,1/ISNUMBER('03_Base_Indice'!$K75:K75),COLUMN('03_Base_Indice'!$K75:K75)-COLUMN('03_Base_Indice'!$K75)+1),"")</f>
        <v>1</v>
      </c>
      <c r="C75">
        <f>IFERROR(LOOKUP(2,1/ISNUMBER('03_Base_Indice'!$K75:L75),COLUMN('03_Base_Indice'!$K75:L75)-COLUMN('03_Base_Indice'!$K75)+1),"")</f>
        <v>2</v>
      </c>
      <c r="D75">
        <f>IFERROR(LOOKUP(2,1/ISNUMBER('03_Base_Indice'!$K75:M75),COLUMN('03_Base_Indice'!$K75:M75)-COLUMN('03_Base_Indice'!$K75)+1),"")</f>
        <v>3</v>
      </c>
      <c r="E75">
        <f>IFERROR(LOOKUP(2,1/ISNUMBER('03_Base_Indice'!$K75:N75),COLUMN('03_Base_Indice'!$K75:N75)-COLUMN('03_Base_Indice'!$K75)+1),"")</f>
        <v>4</v>
      </c>
      <c r="F75">
        <f>IFERROR(LOOKUP(2,1/ISNUMBER('03_Base_Indice'!$K75:O75),COLUMN('03_Base_Indice'!$K75:O75)-COLUMN('03_Base_Indice'!$K75)+1),"")</f>
        <v>5</v>
      </c>
      <c r="G75">
        <f>IFERROR(LOOKUP(2,1/ISNUMBER('03_Base_Indice'!$K75:P75),COLUMN('03_Base_Indice'!$K75:P75)-COLUMN('03_Base_Indice'!$K75)+1),"")</f>
        <v>6</v>
      </c>
      <c r="H75">
        <f>IFERROR(LOOKUP(2,1/ISNUMBER('03_Base_Indice'!$K75:Q75),COLUMN('03_Base_Indice'!$K75:Q75)-COLUMN('03_Base_Indice'!$K75)+1),"")</f>
        <v>7</v>
      </c>
      <c r="I75">
        <f>IFERROR(LOOKUP(2,1/ISNUMBER('03_Base_Indice'!$K75:R75),COLUMN('03_Base_Indice'!$K75:R75)-COLUMN('03_Base_Indice'!$K75)+1),"")</f>
        <v>8</v>
      </c>
      <c r="J75">
        <f>IFERROR(LOOKUP(2,1/ISNUMBER('03_Base_Indice'!$K75:S75),COLUMN('03_Base_Indice'!$K75:S75)-COLUMN('03_Base_Indice'!$K75)+1),"")</f>
        <v>9</v>
      </c>
      <c r="K75">
        <f>IFERROR(LOOKUP(2,1/ISNUMBER('03_Base_Indice'!$K75:T75),COLUMN('03_Base_Indice'!$K75:T75)-COLUMN('03_Base_Indice'!$K75)+1),"")</f>
        <v>10</v>
      </c>
      <c r="L75">
        <f>IFERROR(LOOKUP(2,1/ISNUMBER('03_Base_Indice'!$K75:U75),COLUMN('03_Base_Indice'!$K75:U75)-COLUMN('03_Base_Indice'!$K75)+1),"")</f>
        <v>11</v>
      </c>
      <c r="N75">
        <f>IFERROR(MATCH(TRUE,INDEX(ISNUMBER('03_Base_Indice'!K75:$U75),0),0)+0,"")</f>
        <v>1</v>
      </c>
      <c r="O75">
        <f>IFERROR(MATCH(TRUE,INDEX(ISNUMBER('03_Base_Indice'!L75:$U75),0),0)+1,"")</f>
        <v>2</v>
      </c>
      <c r="P75">
        <f>IFERROR(MATCH(TRUE,INDEX(ISNUMBER('03_Base_Indice'!M75:$U75),0),0)+2,"")</f>
        <v>3</v>
      </c>
      <c r="Q75">
        <f>IFERROR(MATCH(TRUE,INDEX(ISNUMBER('03_Base_Indice'!N75:$U75),0),0)+3,"")</f>
        <v>4</v>
      </c>
      <c r="R75">
        <f>IFERROR(MATCH(TRUE,INDEX(ISNUMBER('03_Base_Indice'!O75:$U75),0),0)+4,"")</f>
        <v>5</v>
      </c>
      <c r="S75">
        <f>IFERROR(MATCH(TRUE,INDEX(ISNUMBER('03_Base_Indice'!P75:$U75),0),0)+5,"")</f>
        <v>6</v>
      </c>
      <c r="T75">
        <f>IFERROR(MATCH(TRUE,INDEX(ISNUMBER('03_Base_Indice'!Q75:$U75),0),0)+6,"")</f>
        <v>7</v>
      </c>
      <c r="U75">
        <f>IFERROR(MATCH(TRUE,INDEX(ISNUMBER('03_Base_Indice'!R75:$U75),0),0)+7,"")</f>
        <v>8</v>
      </c>
      <c r="V75">
        <f>IFERROR(MATCH(TRUE,INDEX(ISNUMBER('03_Base_Indice'!S75:$U75),0),0)+8,"")</f>
        <v>9</v>
      </c>
      <c r="W75">
        <f>IFERROR(MATCH(TRUE,INDEX(ISNUMBER('03_Base_Indice'!T75:$U75),0),0)+9,"")</f>
        <v>10</v>
      </c>
      <c r="X75">
        <f>IFERROR(MATCH(TRUE,INDEX(ISNUMBER('03_Base_Indice'!U75:$U75),0),0)+10,"")</f>
        <v>11</v>
      </c>
      <c r="Z75">
        <f>IF(B75="","",INDEX('03_Base_Indice'!$K75:$U75,B75))</f>
        <v>-3.6888000000000001</v>
      </c>
      <c r="AA75">
        <f>IF(C75="","",INDEX('03_Base_Indice'!$K75:$U75,C75))</f>
        <v>0.92749999999999999</v>
      </c>
      <c r="AB75">
        <f>IF(D75="","",INDEX('03_Base_Indice'!$K75:$U75,D75))</f>
        <v>3.9201000000000001</v>
      </c>
      <c r="AC75">
        <f>IF(E75="","",INDEX('03_Base_Indice'!$K75:$U75,E75))</f>
        <v>3.1939000000000002</v>
      </c>
      <c r="AD75">
        <f>IF(F75="","",INDEX('03_Base_Indice'!$K75:$U75,F75))</f>
        <v>1.2479</v>
      </c>
      <c r="AE75">
        <f>IF(G75="","",INDEX('03_Base_Indice'!$K75:$U75,G75))</f>
        <v>-4.7728000000000002</v>
      </c>
      <c r="AF75">
        <f>IF(H75="","",INDEX('03_Base_Indice'!$K75:$U75,H75))</f>
        <v>5.3132999999999999</v>
      </c>
      <c r="AG75">
        <f>IF(I75="","",INDEX('03_Base_Indice'!$K75:$U75,I75))</f>
        <v>3.1457000000000002</v>
      </c>
      <c r="AH75">
        <f>IF(J75="","",INDEX('03_Base_Indice'!$K75:$U75,J75))</f>
        <v>2.3972000000000002</v>
      </c>
      <c r="AI75">
        <f>IF(K75="","",INDEX('03_Base_Indice'!$K75:$U75,K75))</f>
        <v>5.3951000000000002</v>
      </c>
      <c r="AJ75">
        <f>IF(L75="","",INDEX('03_Base_Indice'!$K75:$U75,L75))</f>
        <v>5.3792999999999997</v>
      </c>
      <c r="AL75">
        <f>IF(N75="","",INDEX('03_Base_Indice'!$K75:$U75,N75))</f>
        <v>-3.6888000000000001</v>
      </c>
      <c r="AM75">
        <f>IF(O75="","",INDEX('03_Base_Indice'!$K75:$U75,O75))</f>
        <v>0.92749999999999999</v>
      </c>
      <c r="AN75">
        <f>IF(P75="","",INDEX('03_Base_Indice'!$K75:$U75,P75))</f>
        <v>3.9201000000000001</v>
      </c>
      <c r="AO75">
        <f>IF(Q75="","",INDEX('03_Base_Indice'!$K75:$U75,Q75))</f>
        <v>3.1939000000000002</v>
      </c>
      <c r="AP75">
        <f>IF(R75="","",INDEX('03_Base_Indice'!$K75:$U75,R75))</f>
        <v>1.2479</v>
      </c>
      <c r="AQ75">
        <f>IF(S75="","",INDEX('03_Base_Indice'!$K75:$U75,S75))</f>
        <v>-4.7728000000000002</v>
      </c>
      <c r="AR75">
        <f>IF(T75="","",INDEX('03_Base_Indice'!$K75:$U75,T75))</f>
        <v>5.3132999999999999</v>
      </c>
      <c r="AS75">
        <f>IF(U75="","",INDEX('03_Base_Indice'!$K75:$U75,U75))</f>
        <v>3.1457000000000002</v>
      </c>
      <c r="AT75">
        <f>IF(V75="","",INDEX('03_Base_Indice'!$K75:$U75,V75))</f>
        <v>2.3972000000000002</v>
      </c>
      <c r="AU75">
        <f>IF(W75="","",INDEX('03_Base_Indice'!$K75:$U75,W75))</f>
        <v>5.3951000000000002</v>
      </c>
      <c r="AV75">
        <f>IF(X75="","",INDEX('03_Base_Indice'!$K75:$U75,X75))</f>
        <v>5.3792999999999997</v>
      </c>
      <c r="AX75">
        <f>IF('06_Normalizacao'!K75="",0,'06_Normalizacao'!K75)</f>
        <v>25.244799999999994</v>
      </c>
      <c r="AY75">
        <f>IF('06_Normalizacao'!L75="",0,'06_Normalizacao'!L75)</f>
        <v>43.71</v>
      </c>
      <c r="AZ75">
        <f>IF('06_Normalizacao'!M75="",0,'06_Normalizacao'!M75)</f>
        <v>55.680399999999999</v>
      </c>
      <c r="BA75">
        <f>IF('06_Normalizacao'!N75="",0,'06_Normalizacao'!N75)</f>
        <v>52.775599999999997</v>
      </c>
      <c r="BB75">
        <f>IF('06_Normalizacao'!O75="",0,'06_Normalizacao'!O75)</f>
        <v>44.991599999999998</v>
      </c>
      <c r="BC75">
        <f>IF('06_Normalizacao'!P75="",0,'06_Normalizacao'!P75)</f>
        <v>20.908799999999999</v>
      </c>
      <c r="BD75">
        <f>IF('06_Normalizacao'!Q75="",0,'06_Normalizacao'!Q75)</f>
        <v>61.2532</v>
      </c>
      <c r="BE75">
        <f>IF('06_Normalizacao'!R75="",0,'06_Normalizacao'!R75)</f>
        <v>52.582799999999999</v>
      </c>
      <c r="BF75">
        <f>IF('06_Normalizacao'!S75="",0,'06_Normalizacao'!S75)</f>
        <v>49.588799999999999</v>
      </c>
      <c r="BG75">
        <f>IF('06_Normalizacao'!T75="",0,'06_Normalizacao'!T75)</f>
        <v>61.580399999999997</v>
      </c>
      <c r="BH75">
        <f>IF('06_Normalizacao'!U75="",0,'06_Normalizacao'!U75)</f>
        <v>61.517200000000003</v>
      </c>
      <c r="BJ75">
        <f>IF('06_Normalizacao'!K75="",0,1)</f>
        <v>1</v>
      </c>
      <c r="BK75">
        <f>IF('06_Normalizacao'!L75="",0,1)</f>
        <v>1</v>
      </c>
      <c r="BL75">
        <f>IF('06_Normalizacao'!M75="",0,1)</f>
        <v>1</v>
      </c>
      <c r="BM75">
        <f>IF('06_Normalizacao'!N75="",0,1)</f>
        <v>1</v>
      </c>
      <c r="BN75">
        <f>IF('06_Normalizacao'!O75="",0,1)</f>
        <v>1</v>
      </c>
      <c r="BO75">
        <f>IF('06_Normalizacao'!P75="",0,1)</f>
        <v>1</v>
      </c>
      <c r="BP75">
        <f>IF('06_Normalizacao'!Q75="",0,1)</f>
        <v>1</v>
      </c>
      <c r="BQ75">
        <f>IF('06_Normalizacao'!R75="",0,1)</f>
        <v>1</v>
      </c>
      <c r="BR75">
        <f>IF('06_Normalizacao'!S75="",0,1)</f>
        <v>1</v>
      </c>
      <c r="BS75">
        <f>IF('06_Normalizacao'!T75="",0,1)</f>
        <v>1</v>
      </c>
      <c r="BT75">
        <f>IF('06_Normalizacao'!U75="",0,1)</f>
        <v>1</v>
      </c>
    </row>
    <row r="76" spans="1:72">
      <c r="A76" s="6" t="str">
        <f>'03_Base_Indice'!D76</f>
        <v>DIV007</v>
      </c>
      <c r="B76">
        <f>IFERROR(LOOKUP(2,1/ISNUMBER('03_Base_Indice'!$K76:K76),COLUMN('03_Base_Indice'!$K76:K76)-COLUMN('03_Base_Indice'!$K76)+1),"")</f>
        <v>1</v>
      </c>
      <c r="C76">
        <f>IFERROR(LOOKUP(2,1/ISNUMBER('03_Base_Indice'!$K76:L76),COLUMN('03_Base_Indice'!$K76:L76)-COLUMN('03_Base_Indice'!$K76)+1),"")</f>
        <v>2</v>
      </c>
      <c r="D76">
        <f>IFERROR(LOOKUP(2,1/ISNUMBER('03_Base_Indice'!$K76:M76),COLUMN('03_Base_Indice'!$K76:M76)-COLUMN('03_Base_Indice'!$K76)+1),"")</f>
        <v>3</v>
      </c>
      <c r="E76">
        <f>IFERROR(LOOKUP(2,1/ISNUMBER('03_Base_Indice'!$K76:N76),COLUMN('03_Base_Indice'!$K76:N76)-COLUMN('03_Base_Indice'!$K76)+1),"")</f>
        <v>4</v>
      </c>
      <c r="F76">
        <f>IFERROR(LOOKUP(2,1/ISNUMBER('03_Base_Indice'!$K76:O76),COLUMN('03_Base_Indice'!$K76:O76)-COLUMN('03_Base_Indice'!$K76)+1),"")</f>
        <v>5</v>
      </c>
      <c r="G76">
        <f>IFERROR(LOOKUP(2,1/ISNUMBER('03_Base_Indice'!$K76:P76),COLUMN('03_Base_Indice'!$K76:P76)-COLUMN('03_Base_Indice'!$K76)+1),"")</f>
        <v>6</v>
      </c>
      <c r="H76">
        <f>IFERROR(LOOKUP(2,1/ISNUMBER('03_Base_Indice'!$K76:Q76),COLUMN('03_Base_Indice'!$K76:Q76)-COLUMN('03_Base_Indice'!$K76)+1),"")</f>
        <v>7</v>
      </c>
      <c r="I76">
        <f>IFERROR(LOOKUP(2,1/ISNUMBER('03_Base_Indice'!$K76:R76),COLUMN('03_Base_Indice'!$K76:R76)-COLUMN('03_Base_Indice'!$K76)+1),"")</f>
        <v>8</v>
      </c>
      <c r="J76">
        <f>IFERROR(LOOKUP(2,1/ISNUMBER('03_Base_Indice'!$K76:S76),COLUMN('03_Base_Indice'!$K76:S76)-COLUMN('03_Base_Indice'!$K76)+1),"")</f>
        <v>9</v>
      </c>
      <c r="K76">
        <f>IFERROR(LOOKUP(2,1/ISNUMBER('03_Base_Indice'!$K76:T76),COLUMN('03_Base_Indice'!$K76:T76)-COLUMN('03_Base_Indice'!$K76)+1),"")</f>
        <v>10</v>
      </c>
      <c r="L76">
        <f>IFERROR(LOOKUP(2,1/ISNUMBER('03_Base_Indice'!$K76:U76),COLUMN('03_Base_Indice'!$K76:U76)-COLUMN('03_Base_Indice'!$K76)+1),"")</f>
        <v>11</v>
      </c>
      <c r="N76">
        <f>IFERROR(MATCH(TRUE,INDEX(ISNUMBER('03_Base_Indice'!K76:$U76),0),0)+0,"")</f>
        <v>1</v>
      </c>
      <c r="O76">
        <f>IFERROR(MATCH(TRUE,INDEX(ISNUMBER('03_Base_Indice'!L76:$U76),0),0)+1,"")</f>
        <v>2</v>
      </c>
      <c r="P76">
        <f>IFERROR(MATCH(TRUE,INDEX(ISNUMBER('03_Base_Indice'!M76:$U76),0),0)+2,"")</f>
        <v>3</v>
      </c>
      <c r="Q76">
        <f>IFERROR(MATCH(TRUE,INDEX(ISNUMBER('03_Base_Indice'!N76:$U76),0),0)+3,"")</f>
        <v>4</v>
      </c>
      <c r="R76">
        <f>IFERROR(MATCH(TRUE,INDEX(ISNUMBER('03_Base_Indice'!O76:$U76),0),0)+4,"")</f>
        <v>5</v>
      </c>
      <c r="S76">
        <f>IFERROR(MATCH(TRUE,INDEX(ISNUMBER('03_Base_Indice'!P76:$U76),0),0)+5,"")</f>
        <v>6</v>
      </c>
      <c r="T76">
        <f>IFERROR(MATCH(TRUE,INDEX(ISNUMBER('03_Base_Indice'!Q76:$U76),0),0)+6,"")</f>
        <v>7</v>
      </c>
      <c r="U76">
        <f>IFERROR(MATCH(TRUE,INDEX(ISNUMBER('03_Base_Indice'!R76:$U76),0),0)+7,"")</f>
        <v>8</v>
      </c>
      <c r="V76">
        <f>IFERROR(MATCH(TRUE,INDEX(ISNUMBER('03_Base_Indice'!S76:$U76),0),0)+8,"")</f>
        <v>9</v>
      </c>
      <c r="W76">
        <f>IFERROR(MATCH(TRUE,INDEX(ISNUMBER('03_Base_Indice'!T76:$U76),0),0)+9,"")</f>
        <v>10</v>
      </c>
      <c r="X76">
        <f>IFERROR(MATCH(TRUE,INDEX(ISNUMBER('03_Base_Indice'!U76:$U76),0),0)+10,"")</f>
        <v>11</v>
      </c>
      <c r="Z76">
        <f>IF(B76="","",INDEX('03_Base_Indice'!$K76:$U76,B76))</f>
        <v>5.2405155964762598</v>
      </c>
      <c r="AA76">
        <f>IF(C76="","",INDEX('03_Base_Indice'!$K76:$U76,C76))</f>
        <v>5.7827889949915674</v>
      </c>
      <c r="AB76">
        <f>IF(D76="","",INDEX('03_Base_Indice'!$K76:$U76,D76))</f>
        <v>5.7289694447204722</v>
      </c>
      <c r="AC76">
        <f>IF(E76="","",INDEX('03_Base_Indice'!$K76:$U76,E76))</f>
        <v>5.3407462950965883</v>
      </c>
      <c r="AD76">
        <f>IF(F76="","",INDEX('03_Base_Indice'!$K76:$U76,F76))</f>
        <v>5.4114487722420552</v>
      </c>
      <c r="AE76">
        <f>IF(G76="","",INDEX('03_Base_Indice'!$K76:$U76,G76))</f>
        <v>6.097457181842449</v>
      </c>
      <c r="AF76">
        <f>IF(H76="","",INDEX('03_Base_Indice'!$K76:$U76,H76))</f>
        <v>6.1937375601327727</v>
      </c>
      <c r="AG76">
        <f>IF(I76="","",INDEX('03_Base_Indice'!$K76:$U76,I76))</f>
        <v>6.7164781373690721</v>
      </c>
      <c r="AH76">
        <f>IF(J76="","",INDEX('03_Base_Indice'!$K76:$U76,J76))</f>
        <v>7.4006662444250626</v>
      </c>
      <c r="AI76">
        <f>IF(K76="","",INDEX('03_Base_Indice'!$K76:$U76,K76))</f>
        <v>6.5761625979595326</v>
      </c>
      <c r="AJ76">
        <f>IF(L76="","",INDEX('03_Base_Indice'!$K76:$U76,L76))</f>
        <v>6.7926209696117086</v>
      </c>
      <c r="AL76">
        <f>IF(N76="","",INDEX('03_Base_Indice'!$K76:$U76,N76))</f>
        <v>5.2405155964762598</v>
      </c>
      <c r="AM76">
        <f>IF(O76="","",INDEX('03_Base_Indice'!$K76:$U76,O76))</f>
        <v>5.7827889949915674</v>
      </c>
      <c r="AN76">
        <f>IF(P76="","",INDEX('03_Base_Indice'!$K76:$U76,P76))</f>
        <v>5.7289694447204722</v>
      </c>
      <c r="AO76">
        <f>IF(Q76="","",INDEX('03_Base_Indice'!$K76:$U76,Q76))</f>
        <v>5.3407462950965883</v>
      </c>
      <c r="AP76">
        <f>IF(R76="","",INDEX('03_Base_Indice'!$K76:$U76,R76))</f>
        <v>5.4114487722420552</v>
      </c>
      <c r="AQ76">
        <f>IF(S76="","",INDEX('03_Base_Indice'!$K76:$U76,S76))</f>
        <v>6.097457181842449</v>
      </c>
      <c r="AR76">
        <f>IF(T76="","",INDEX('03_Base_Indice'!$K76:$U76,T76))</f>
        <v>6.1937375601327727</v>
      </c>
      <c r="AS76">
        <f>IF(U76="","",INDEX('03_Base_Indice'!$K76:$U76,U76))</f>
        <v>6.7164781373690721</v>
      </c>
      <c r="AT76">
        <f>IF(V76="","",INDEX('03_Base_Indice'!$K76:$U76,V76))</f>
        <v>7.4006662444250626</v>
      </c>
      <c r="AU76">
        <f>IF(W76="","",INDEX('03_Base_Indice'!$K76:$U76,W76))</f>
        <v>6.5761625979595326</v>
      </c>
      <c r="AV76">
        <f>IF(X76="","",INDEX('03_Base_Indice'!$K76:$U76,X76))</f>
        <v>6.7926209696117086</v>
      </c>
      <c r="AX76">
        <f>IF('06_Normalizacao'!K76="",0,'06_Normalizacao'!K76)</f>
        <v>17.46838532158753</v>
      </c>
      <c r="AY76">
        <f>IF('06_Normalizacao'!L76="",0,'06_Normalizacao'!L76)</f>
        <v>19.27596331663856</v>
      </c>
      <c r="AZ76">
        <f>IF('06_Normalizacao'!M76="",0,'06_Normalizacao'!M76)</f>
        <v>19.096564815734908</v>
      </c>
      <c r="BA76">
        <f>IF('06_Normalizacao'!N76="",0,'06_Normalizacao'!N76)</f>
        <v>17.802487650321961</v>
      </c>
      <c r="BB76">
        <f>IF('06_Normalizacao'!O76="",0,'06_Normalizacao'!O76)</f>
        <v>18.038162574140184</v>
      </c>
      <c r="BC76">
        <f>IF('06_Normalizacao'!P76="",0,'06_Normalizacao'!P76)</f>
        <v>20.324857272808163</v>
      </c>
      <c r="BD76">
        <f>IF('06_Normalizacao'!Q76="",0,'06_Normalizacao'!Q76)</f>
        <v>20.645791867109242</v>
      </c>
      <c r="BE76">
        <f>IF('06_Normalizacao'!R76="",0,'06_Normalizacao'!R76)</f>
        <v>22.388260457896909</v>
      </c>
      <c r="BF76">
        <f>IF('06_Normalizacao'!S76="",0,'06_Normalizacao'!S76)</f>
        <v>24.668887481416878</v>
      </c>
      <c r="BG76">
        <f>IF('06_Normalizacao'!T76="",0,'06_Normalizacao'!T76)</f>
        <v>21.920541993198444</v>
      </c>
      <c r="BH76">
        <f>IF('06_Normalizacao'!U76="",0,'06_Normalizacao'!U76)</f>
        <v>22.642069898705696</v>
      </c>
      <c r="BJ76">
        <f>IF('06_Normalizacao'!K76="",0,1)</f>
        <v>1</v>
      </c>
      <c r="BK76">
        <f>IF('06_Normalizacao'!L76="",0,1)</f>
        <v>1</v>
      </c>
      <c r="BL76">
        <f>IF('06_Normalizacao'!M76="",0,1)</f>
        <v>1</v>
      </c>
      <c r="BM76">
        <f>IF('06_Normalizacao'!N76="",0,1)</f>
        <v>1</v>
      </c>
      <c r="BN76">
        <f>IF('06_Normalizacao'!O76="",0,1)</f>
        <v>1</v>
      </c>
      <c r="BO76">
        <f>IF('06_Normalizacao'!P76="",0,1)</f>
        <v>1</v>
      </c>
      <c r="BP76">
        <f>IF('06_Normalizacao'!Q76="",0,1)</f>
        <v>1</v>
      </c>
      <c r="BQ76">
        <f>IF('06_Normalizacao'!R76="",0,1)</f>
        <v>1</v>
      </c>
      <c r="BR76">
        <f>IF('06_Normalizacao'!S76="",0,1)</f>
        <v>1</v>
      </c>
      <c r="BS76">
        <f>IF('06_Normalizacao'!T76="",0,1)</f>
        <v>1</v>
      </c>
      <c r="BT76">
        <f>IF('06_Normalizacao'!U76="",0,1)</f>
        <v>1</v>
      </c>
    </row>
    <row r="77" spans="1:72">
      <c r="A77" s="6" t="str">
        <f>'03_Base_Indice'!D77</f>
        <v>DIV015</v>
      </c>
      <c r="B77">
        <f>IFERROR(LOOKUP(2,1/ISNUMBER('03_Base_Indice'!$K77:K77),COLUMN('03_Base_Indice'!$K77:K77)-COLUMN('03_Base_Indice'!$K77)+1),"")</f>
        <v>1</v>
      </c>
      <c r="C77">
        <f>IFERROR(LOOKUP(2,1/ISNUMBER('03_Base_Indice'!$K77:L77),COLUMN('03_Base_Indice'!$K77:L77)-COLUMN('03_Base_Indice'!$K77)+1),"")</f>
        <v>2</v>
      </c>
      <c r="D77">
        <f>IFERROR(LOOKUP(2,1/ISNUMBER('03_Base_Indice'!$K77:M77),COLUMN('03_Base_Indice'!$K77:M77)-COLUMN('03_Base_Indice'!$K77)+1),"")</f>
        <v>3</v>
      </c>
      <c r="E77">
        <f>IFERROR(LOOKUP(2,1/ISNUMBER('03_Base_Indice'!$K77:N77),COLUMN('03_Base_Indice'!$K77:N77)-COLUMN('03_Base_Indice'!$K77)+1),"")</f>
        <v>4</v>
      </c>
      <c r="F77">
        <f>IFERROR(LOOKUP(2,1/ISNUMBER('03_Base_Indice'!$K77:O77),COLUMN('03_Base_Indice'!$K77:O77)-COLUMN('03_Base_Indice'!$K77)+1),"")</f>
        <v>5</v>
      </c>
      <c r="G77">
        <f>IFERROR(LOOKUP(2,1/ISNUMBER('03_Base_Indice'!$K77:P77),COLUMN('03_Base_Indice'!$K77:P77)-COLUMN('03_Base_Indice'!$K77)+1),"")</f>
        <v>6</v>
      </c>
      <c r="H77">
        <f>IFERROR(LOOKUP(2,1/ISNUMBER('03_Base_Indice'!$K77:Q77),COLUMN('03_Base_Indice'!$K77:Q77)-COLUMN('03_Base_Indice'!$K77)+1),"")</f>
        <v>7</v>
      </c>
      <c r="I77">
        <f>IFERROR(LOOKUP(2,1/ISNUMBER('03_Base_Indice'!$K77:R77),COLUMN('03_Base_Indice'!$K77:R77)-COLUMN('03_Base_Indice'!$K77)+1),"")</f>
        <v>8</v>
      </c>
      <c r="J77">
        <f>IFERROR(LOOKUP(2,1/ISNUMBER('03_Base_Indice'!$K77:S77),COLUMN('03_Base_Indice'!$K77:S77)-COLUMN('03_Base_Indice'!$K77)+1),"")</f>
        <v>9</v>
      </c>
      <c r="K77">
        <f>IFERROR(LOOKUP(2,1/ISNUMBER('03_Base_Indice'!$K77:T77),COLUMN('03_Base_Indice'!$K77:T77)-COLUMN('03_Base_Indice'!$K77)+1),"")</f>
        <v>10</v>
      </c>
      <c r="L77">
        <f>IFERROR(LOOKUP(2,1/ISNUMBER('03_Base_Indice'!$K77:U77),COLUMN('03_Base_Indice'!$K77:U77)-COLUMN('03_Base_Indice'!$K77)+1),"")</f>
        <v>11</v>
      </c>
      <c r="N77">
        <f>IFERROR(MATCH(TRUE,INDEX(ISNUMBER('03_Base_Indice'!K77:$U77),0),0)+0,"")</f>
        <v>1</v>
      </c>
      <c r="O77">
        <f>IFERROR(MATCH(TRUE,INDEX(ISNUMBER('03_Base_Indice'!L77:$U77),0),0)+1,"")</f>
        <v>2</v>
      </c>
      <c r="P77">
        <f>IFERROR(MATCH(TRUE,INDEX(ISNUMBER('03_Base_Indice'!M77:$U77),0),0)+2,"")</f>
        <v>3</v>
      </c>
      <c r="Q77">
        <f>IFERROR(MATCH(TRUE,INDEX(ISNUMBER('03_Base_Indice'!N77:$U77),0),0)+3,"")</f>
        <v>4</v>
      </c>
      <c r="R77">
        <f>IFERROR(MATCH(TRUE,INDEX(ISNUMBER('03_Base_Indice'!O77:$U77),0),0)+4,"")</f>
        <v>5</v>
      </c>
      <c r="S77">
        <f>IFERROR(MATCH(TRUE,INDEX(ISNUMBER('03_Base_Indice'!P77:$U77),0),0)+5,"")</f>
        <v>6</v>
      </c>
      <c r="T77">
        <f>IFERROR(MATCH(TRUE,INDEX(ISNUMBER('03_Base_Indice'!Q77:$U77),0),0)+6,"")</f>
        <v>7</v>
      </c>
      <c r="U77">
        <f>IFERROR(MATCH(TRUE,INDEX(ISNUMBER('03_Base_Indice'!R77:$U77),0),0)+7,"")</f>
        <v>8</v>
      </c>
      <c r="V77">
        <f>IFERROR(MATCH(TRUE,INDEX(ISNUMBER('03_Base_Indice'!S77:$U77),0),0)+8,"")</f>
        <v>9</v>
      </c>
      <c r="W77">
        <f>IFERROR(MATCH(TRUE,INDEX(ISNUMBER('03_Base_Indice'!T77:$U77),0),0)+9,"")</f>
        <v>10</v>
      </c>
      <c r="X77">
        <f>IFERROR(MATCH(TRUE,INDEX(ISNUMBER('03_Base_Indice'!U77:$U77),0),0)+10,"")</f>
        <v>11</v>
      </c>
      <c r="Z77">
        <f>IF(B77="","",INDEX('03_Base_Indice'!$K77:$U77,B77))</f>
        <v>22.2749280175045</v>
      </c>
      <c r="AA77">
        <f>IF(C77="","",INDEX('03_Base_Indice'!$K77:$U77,C77))</f>
        <v>18.318007502950611</v>
      </c>
      <c r="AB77">
        <f>IF(D77="","",INDEX('03_Base_Indice'!$K77:$U77,D77))</f>
        <v>14.63025795529294</v>
      </c>
      <c r="AC77">
        <f>IF(E77="","",INDEX('03_Base_Indice'!$K77:$U77,E77))</f>
        <v>13.11091760109753</v>
      </c>
      <c r="AD77">
        <f>IF(F77="","",INDEX('03_Base_Indice'!$K77:$U77,F77))</f>
        <v>13.395602867586071</v>
      </c>
      <c r="AE77">
        <f>IF(G77="","",INDEX('03_Base_Indice'!$K77:$U77,G77))</f>
        <v>11.376559084367299</v>
      </c>
      <c r="AF77">
        <f>IF(H77="","",INDEX('03_Base_Indice'!$K77:$U77,H77))</f>
        <v>8.8443017464105509</v>
      </c>
      <c r="AG77">
        <f>IF(I77="","",INDEX('03_Base_Indice'!$K77:$U77,I77))</f>
        <v>7.0250619443541522</v>
      </c>
      <c r="AH77">
        <f>IF(J77="","",INDEX('03_Base_Indice'!$K77:$U77,J77))</f>
        <v>7.6457337441609194</v>
      </c>
      <c r="AI77">
        <f>IF(K77="","",INDEX('03_Base_Indice'!$K77:$U77,K77))</f>
        <v>7.1689264092656177</v>
      </c>
      <c r="AJ77">
        <f>IF(L77="","",INDEX('03_Base_Indice'!$K77:$U77,L77))</f>
        <v>6.5808829663826964</v>
      </c>
      <c r="AL77">
        <f>IF(N77="","",INDEX('03_Base_Indice'!$K77:$U77,N77))</f>
        <v>22.2749280175045</v>
      </c>
      <c r="AM77">
        <f>IF(O77="","",INDEX('03_Base_Indice'!$K77:$U77,O77))</f>
        <v>18.318007502950611</v>
      </c>
      <c r="AN77">
        <f>IF(P77="","",INDEX('03_Base_Indice'!$K77:$U77,P77))</f>
        <v>14.63025795529294</v>
      </c>
      <c r="AO77">
        <f>IF(Q77="","",INDEX('03_Base_Indice'!$K77:$U77,Q77))</f>
        <v>13.11091760109753</v>
      </c>
      <c r="AP77">
        <f>IF(R77="","",INDEX('03_Base_Indice'!$K77:$U77,R77))</f>
        <v>13.395602867586071</v>
      </c>
      <c r="AQ77">
        <f>IF(S77="","",INDEX('03_Base_Indice'!$K77:$U77,S77))</f>
        <v>11.376559084367299</v>
      </c>
      <c r="AR77">
        <f>IF(T77="","",INDEX('03_Base_Indice'!$K77:$U77,T77))</f>
        <v>8.8443017464105509</v>
      </c>
      <c r="AS77">
        <f>IF(U77="","",INDEX('03_Base_Indice'!$K77:$U77,U77))</f>
        <v>7.0250619443541522</v>
      </c>
      <c r="AT77">
        <f>IF(V77="","",INDEX('03_Base_Indice'!$K77:$U77,V77))</f>
        <v>7.6457337441609194</v>
      </c>
      <c r="AU77">
        <f>IF(W77="","",INDEX('03_Base_Indice'!$K77:$U77,W77))</f>
        <v>7.1689264092656177</v>
      </c>
      <c r="AV77">
        <f>IF(X77="","",INDEX('03_Base_Indice'!$K77:$U77,X77))</f>
        <v>6.5808829663826964</v>
      </c>
      <c r="AX77">
        <f>IF('06_Normalizacao'!K77="",0,'06_Normalizacao'!K77)</f>
        <v>22.2749280175045</v>
      </c>
      <c r="AY77">
        <f>IF('06_Normalizacao'!L77="",0,'06_Normalizacao'!L77)</f>
        <v>18.318007502950611</v>
      </c>
      <c r="AZ77">
        <f>IF('06_Normalizacao'!M77="",0,'06_Normalizacao'!M77)</f>
        <v>14.63025795529294</v>
      </c>
      <c r="BA77">
        <f>IF('06_Normalizacao'!N77="",0,'06_Normalizacao'!N77)</f>
        <v>13.110917601097531</v>
      </c>
      <c r="BB77">
        <f>IF('06_Normalizacao'!O77="",0,'06_Normalizacao'!O77)</f>
        <v>13.395602867586071</v>
      </c>
      <c r="BC77">
        <f>IF('06_Normalizacao'!P77="",0,'06_Normalizacao'!P77)</f>
        <v>11.376559084367299</v>
      </c>
      <c r="BD77">
        <f>IF('06_Normalizacao'!Q77="",0,'06_Normalizacao'!Q77)</f>
        <v>8.8443017464105509</v>
      </c>
      <c r="BE77">
        <f>IF('06_Normalizacao'!R77="",0,'06_Normalizacao'!R77)</f>
        <v>7.0250619443541522</v>
      </c>
      <c r="BF77">
        <f>IF('06_Normalizacao'!S77="",0,'06_Normalizacao'!S77)</f>
        <v>7.6457337441609194</v>
      </c>
      <c r="BG77">
        <f>IF('06_Normalizacao'!T77="",0,'06_Normalizacao'!T77)</f>
        <v>7.1689264092656177</v>
      </c>
      <c r="BH77">
        <f>IF('06_Normalizacao'!U77="",0,'06_Normalizacao'!U77)</f>
        <v>6.5808829663826964</v>
      </c>
      <c r="BJ77">
        <f>IF('06_Normalizacao'!K77="",0,1)</f>
        <v>1</v>
      </c>
      <c r="BK77">
        <f>IF('06_Normalizacao'!L77="",0,1)</f>
        <v>1</v>
      </c>
      <c r="BL77">
        <f>IF('06_Normalizacao'!M77="",0,1)</f>
        <v>1</v>
      </c>
      <c r="BM77">
        <f>IF('06_Normalizacao'!N77="",0,1)</f>
        <v>1</v>
      </c>
      <c r="BN77">
        <f>IF('06_Normalizacao'!O77="",0,1)</f>
        <v>1</v>
      </c>
      <c r="BO77">
        <f>IF('06_Normalizacao'!P77="",0,1)</f>
        <v>1</v>
      </c>
      <c r="BP77">
        <f>IF('06_Normalizacao'!Q77="",0,1)</f>
        <v>1</v>
      </c>
      <c r="BQ77">
        <f>IF('06_Normalizacao'!R77="",0,1)</f>
        <v>1</v>
      </c>
      <c r="BR77">
        <f>IF('06_Normalizacao'!S77="",0,1)</f>
        <v>1</v>
      </c>
      <c r="BS77">
        <f>IF('06_Normalizacao'!T77="",0,1)</f>
        <v>1</v>
      </c>
      <c r="BT77">
        <f>IF('06_Normalizacao'!U77="",0,1)</f>
        <v>1</v>
      </c>
    </row>
    <row r="78" spans="1:72">
      <c r="A78" s="6" t="str">
        <f>'03_Base_Indice'!D78</f>
        <v>DIV001</v>
      </c>
      <c r="B78">
        <f>IFERROR(LOOKUP(2,1/ISNUMBER('03_Base_Indice'!$K78:K78),COLUMN('03_Base_Indice'!$K78:K78)-COLUMN('03_Base_Indice'!$K78)+1),"")</f>
        <v>1</v>
      </c>
      <c r="C78">
        <f>IFERROR(LOOKUP(2,1/ISNUMBER('03_Base_Indice'!$K78:L78),COLUMN('03_Base_Indice'!$K78:L78)-COLUMN('03_Base_Indice'!$K78)+1),"")</f>
        <v>2</v>
      </c>
      <c r="D78">
        <f>IFERROR(LOOKUP(2,1/ISNUMBER('03_Base_Indice'!$K78:M78),COLUMN('03_Base_Indice'!$K78:M78)-COLUMN('03_Base_Indice'!$K78)+1),"")</f>
        <v>3</v>
      </c>
      <c r="E78">
        <f>IFERROR(LOOKUP(2,1/ISNUMBER('03_Base_Indice'!$K78:N78),COLUMN('03_Base_Indice'!$K78:N78)-COLUMN('03_Base_Indice'!$K78)+1),"")</f>
        <v>4</v>
      </c>
      <c r="F78">
        <f>IFERROR(LOOKUP(2,1/ISNUMBER('03_Base_Indice'!$K78:O78),COLUMN('03_Base_Indice'!$K78:O78)-COLUMN('03_Base_Indice'!$K78)+1),"")</f>
        <v>5</v>
      </c>
      <c r="G78">
        <f>IFERROR(LOOKUP(2,1/ISNUMBER('03_Base_Indice'!$K78:P78),COLUMN('03_Base_Indice'!$K78:P78)-COLUMN('03_Base_Indice'!$K78)+1),"")</f>
        <v>6</v>
      </c>
      <c r="H78">
        <f>IFERROR(LOOKUP(2,1/ISNUMBER('03_Base_Indice'!$K78:Q78),COLUMN('03_Base_Indice'!$K78:Q78)-COLUMN('03_Base_Indice'!$K78)+1),"")</f>
        <v>7</v>
      </c>
      <c r="I78">
        <f>IFERROR(LOOKUP(2,1/ISNUMBER('03_Base_Indice'!$K78:R78),COLUMN('03_Base_Indice'!$K78:R78)-COLUMN('03_Base_Indice'!$K78)+1),"")</f>
        <v>8</v>
      </c>
      <c r="J78">
        <f>IFERROR(LOOKUP(2,1/ISNUMBER('03_Base_Indice'!$K78:S78),COLUMN('03_Base_Indice'!$K78:S78)-COLUMN('03_Base_Indice'!$K78)+1),"")</f>
        <v>9</v>
      </c>
      <c r="K78">
        <f>IFERROR(LOOKUP(2,1/ISNUMBER('03_Base_Indice'!$K78:T78),COLUMN('03_Base_Indice'!$K78:T78)-COLUMN('03_Base_Indice'!$K78)+1),"")</f>
        <v>10</v>
      </c>
      <c r="L78">
        <f>IFERROR(LOOKUP(2,1/ISNUMBER('03_Base_Indice'!$K78:U78),COLUMN('03_Base_Indice'!$K78:U78)-COLUMN('03_Base_Indice'!$K78)+1),"")</f>
        <v>10</v>
      </c>
      <c r="N78">
        <f>IFERROR(MATCH(TRUE,INDEX(ISNUMBER('03_Base_Indice'!K78:$U78),0),0)+0,"")</f>
        <v>1</v>
      </c>
      <c r="O78">
        <f>IFERROR(MATCH(TRUE,INDEX(ISNUMBER('03_Base_Indice'!L78:$U78),0),0)+1,"")</f>
        <v>2</v>
      </c>
      <c r="P78">
        <f>IFERROR(MATCH(TRUE,INDEX(ISNUMBER('03_Base_Indice'!M78:$U78),0),0)+2,"")</f>
        <v>3</v>
      </c>
      <c r="Q78">
        <f>IFERROR(MATCH(TRUE,INDEX(ISNUMBER('03_Base_Indice'!N78:$U78),0),0)+3,"")</f>
        <v>4</v>
      </c>
      <c r="R78">
        <f>IFERROR(MATCH(TRUE,INDEX(ISNUMBER('03_Base_Indice'!O78:$U78),0),0)+4,"")</f>
        <v>5</v>
      </c>
      <c r="S78">
        <f>IFERROR(MATCH(TRUE,INDEX(ISNUMBER('03_Base_Indice'!P78:$U78),0),0)+5,"")</f>
        <v>6</v>
      </c>
      <c r="T78">
        <f>IFERROR(MATCH(TRUE,INDEX(ISNUMBER('03_Base_Indice'!Q78:$U78),0),0)+6,"")</f>
        <v>7</v>
      </c>
      <c r="U78">
        <f>IFERROR(MATCH(TRUE,INDEX(ISNUMBER('03_Base_Indice'!R78:$U78),0),0)+7,"")</f>
        <v>8</v>
      </c>
      <c r="V78">
        <f>IFERROR(MATCH(TRUE,INDEX(ISNUMBER('03_Base_Indice'!S78:$U78),0),0)+8,"")</f>
        <v>9</v>
      </c>
      <c r="W78">
        <f>IFERROR(MATCH(TRUE,INDEX(ISNUMBER('03_Base_Indice'!T78:$U78),0),0)+9,"")</f>
        <v>10</v>
      </c>
      <c r="X78" t="str">
        <f>IFERROR(MATCH(TRUE,INDEX(ISNUMBER('03_Base_Indice'!U78:$U78),0),0)+10,"")</f>
        <v/>
      </c>
      <c r="Z78">
        <f>IF(B78="","",INDEX('03_Base_Indice'!$K78:$U78,B78))</f>
        <v>28.97</v>
      </c>
      <c r="AA78">
        <f>IF(C78="","",INDEX('03_Base_Indice'!$K78:$U78,C78))</f>
        <v>28.79</v>
      </c>
      <c r="AB78">
        <f>IF(D78="","",INDEX('03_Base_Indice'!$K78:$U78,D78))</f>
        <v>28.49</v>
      </c>
      <c r="AC78">
        <f>IF(E78="","",INDEX('03_Base_Indice'!$K78:$U78,E78))</f>
        <v>27.9</v>
      </c>
      <c r="AD78">
        <f>IF(F78="","",INDEX('03_Base_Indice'!$K78:$U78,F78))</f>
        <v>28</v>
      </c>
      <c r="AE78">
        <f>IF(G78="","",INDEX('03_Base_Indice'!$K78:$U78,G78))</f>
        <v>26.45</v>
      </c>
      <c r="AF78">
        <f>IF(H78="","",INDEX('03_Base_Indice'!$K78:$U78,H78))</f>
        <v>26.18</v>
      </c>
      <c r="AG78">
        <f>IF(I78="","",INDEX('03_Base_Indice'!$K78:$U78,I78))</f>
        <v>27.19</v>
      </c>
      <c r="AH78">
        <f>IF(J78="","",INDEX('03_Base_Indice'!$K78:$U78,J78))</f>
        <v>27.93</v>
      </c>
      <c r="AI78">
        <f>IF(K78="","",INDEX('03_Base_Indice'!$K78:$U78,K78))</f>
        <v>27.69</v>
      </c>
      <c r="AJ78">
        <f>IF(L78="","",INDEX('03_Base_Indice'!$K78:$U78,L78))</f>
        <v>27.69</v>
      </c>
      <c r="AL78">
        <f>IF(N78="","",INDEX('03_Base_Indice'!$K78:$U78,N78))</f>
        <v>28.97</v>
      </c>
      <c r="AM78">
        <f>IF(O78="","",INDEX('03_Base_Indice'!$K78:$U78,O78))</f>
        <v>28.79</v>
      </c>
      <c r="AN78">
        <f>IF(P78="","",INDEX('03_Base_Indice'!$K78:$U78,P78))</f>
        <v>28.49</v>
      </c>
      <c r="AO78">
        <f>IF(Q78="","",INDEX('03_Base_Indice'!$K78:$U78,Q78))</f>
        <v>27.9</v>
      </c>
      <c r="AP78">
        <f>IF(R78="","",INDEX('03_Base_Indice'!$K78:$U78,R78))</f>
        <v>28</v>
      </c>
      <c r="AQ78">
        <f>IF(S78="","",INDEX('03_Base_Indice'!$K78:$U78,S78))</f>
        <v>26.45</v>
      </c>
      <c r="AR78">
        <f>IF(T78="","",INDEX('03_Base_Indice'!$K78:$U78,T78))</f>
        <v>26.18</v>
      </c>
      <c r="AS78">
        <f>IF(U78="","",INDEX('03_Base_Indice'!$K78:$U78,U78))</f>
        <v>27.19</v>
      </c>
      <c r="AT78">
        <f>IF(V78="","",INDEX('03_Base_Indice'!$K78:$U78,V78))</f>
        <v>27.93</v>
      </c>
      <c r="AU78">
        <f>IF(W78="","",INDEX('03_Base_Indice'!$K78:$U78,W78))</f>
        <v>27.69</v>
      </c>
      <c r="AV78" t="str">
        <f>IF(X78="","",INDEX('03_Base_Indice'!$K78:$U78,X78))</f>
        <v/>
      </c>
      <c r="AX78">
        <f>IF('06_Normalizacao'!K78="",0,'06_Normalizacao'!K78)</f>
        <v>28.97</v>
      </c>
      <c r="AY78">
        <f>IF('06_Normalizacao'!L78="",0,'06_Normalizacao'!L78)</f>
        <v>28.79</v>
      </c>
      <c r="AZ78">
        <f>IF('06_Normalizacao'!M78="",0,'06_Normalizacao'!M78)</f>
        <v>28.49</v>
      </c>
      <c r="BA78">
        <f>IF('06_Normalizacao'!N78="",0,'06_Normalizacao'!N78)</f>
        <v>27.9</v>
      </c>
      <c r="BB78">
        <f>IF('06_Normalizacao'!O78="",0,'06_Normalizacao'!O78)</f>
        <v>28</v>
      </c>
      <c r="BC78">
        <f>IF('06_Normalizacao'!P78="",0,'06_Normalizacao'!P78)</f>
        <v>26.45</v>
      </c>
      <c r="BD78">
        <f>IF('06_Normalizacao'!Q78="",0,'06_Normalizacao'!Q78)</f>
        <v>26.18</v>
      </c>
      <c r="BE78">
        <f>IF('06_Normalizacao'!R78="",0,'06_Normalizacao'!R78)</f>
        <v>27.19</v>
      </c>
      <c r="BF78">
        <f>IF('06_Normalizacao'!S78="",0,'06_Normalizacao'!S78)</f>
        <v>27.93</v>
      </c>
      <c r="BG78">
        <f>IF('06_Normalizacao'!T78="",0,'06_Normalizacao'!T78)</f>
        <v>27.69</v>
      </c>
      <c r="BH78">
        <f>IF('06_Normalizacao'!U78="",0,'06_Normalizacao'!U78)</f>
        <v>27.69</v>
      </c>
      <c r="BJ78">
        <f>IF('06_Normalizacao'!K78="",0,1)</f>
        <v>1</v>
      </c>
      <c r="BK78">
        <f>IF('06_Normalizacao'!L78="",0,1)</f>
        <v>1</v>
      </c>
      <c r="BL78">
        <f>IF('06_Normalizacao'!M78="",0,1)</f>
        <v>1</v>
      </c>
      <c r="BM78">
        <f>IF('06_Normalizacao'!N78="",0,1)</f>
        <v>1</v>
      </c>
      <c r="BN78">
        <f>IF('06_Normalizacao'!O78="",0,1)</f>
        <v>1</v>
      </c>
      <c r="BO78">
        <f>IF('06_Normalizacao'!P78="",0,1)</f>
        <v>1</v>
      </c>
      <c r="BP78">
        <f>IF('06_Normalizacao'!Q78="",0,1)</f>
        <v>1</v>
      </c>
      <c r="BQ78">
        <f>IF('06_Normalizacao'!R78="",0,1)</f>
        <v>1</v>
      </c>
      <c r="BR78">
        <f>IF('06_Normalizacao'!S78="",0,1)</f>
        <v>1</v>
      </c>
      <c r="BS78">
        <f>IF('06_Normalizacao'!T78="",0,1)</f>
        <v>1</v>
      </c>
      <c r="BT78">
        <f>IF('06_Normalizacao'!U78="",0,1)</f>
        <v>1</v>
      </c>
    </row>
    <row r="79" spans="1:72">
      <c r="A79" s="6" t="str">
        <f>'03_Base_Indice'!D79</f>
        <v>DIV010</v>
      </c>
      <c r="B79">
        <f>IFERROR(LOOKUP(2,1/ISNUMBER('03_Base_Indice'!$K79:K79),COLUMN('03_Base_Indice'!$K79:K79)-COLUMN('03_Base_Indice'!$K79)+1),"")</f>
        <v>1</v>
      </c>
      <c r="C79">
        <f>IFERROR(LOOKUP(2,1/ISNUMBER('03_Base_Indice'!$K79:L79),COLUMN('03_Base_Indice'!$K79:L79)-COLUMN('03_Base_Indice'!$K79)+1),"")</f>
        <v>2</v>
      </c>
      <c r="D79">
        <f>IFERROR(LOOKUP(2,1/ISNUMBER('03_Base_Indice'!$K79:M79),COLUMN('03_Base_Indice'!$K79:M79)-COLUMN('03_Base_Indice'!$K79)+1),"")</f>
        <v>3</v>
      </c>
      <c r="E79">
        <f>IFERROR(LOOKUP(2,1/ISNUMBER('03_Base_Indice'!$K79:N79),COLUMN('03_Base_Indice'!$K79:N79)-COLUMN('03_Base_Indice'!$K79)+1),"")</f>
        <v>4</v>
      </c>
      <c r="F79">
        <f>IFERROR(LOOKUP(2,1/ISNUMBER('03_Base_Indice'!$K79:O79),COLUMN('03_Base_Indice'!$K79:O79)-COLUMN('03_Base_Indice'!$K79)+1),"")</f>
        <v>5</v>
      </c>
      <c r="G79">
        <f>IFERROR(LOOKUP(2,1/ISNUMBER('03_Base_Indice'!$K79:P79),COLUMN('03_Base_Indice'!$K79:P79)-COLUMN('03_Base_Indice'!$K79)+1),"")</f>
        <v>6</v>
      </c>
      <c r="H79">
        <f>IFERROR(LOOKUP(2,1/ISNUMBER('03_Base_Indice'!$K79:Q79),COLUMN('03_Base_Indice'!$K79:Q79)-COLUMN('03_Base_Indice'!$K79)+1),"")</f>
        <v>7</v>
      </c>
      <c r="I79">
        <f>IFERROR(LOOKUP(2,1/ISNUMBER('03_Base_Indice'!$K79:R79),COLUMN('03_Base_Indice'!$K79:R79)-COLUMN('03_Base_Indice'!$K79)+1),"")</f>
        <v>8</v>
      </c>
      <c r="J79">
        <f>IFERROR(LOOKUP(2,1/ISNUMBER('03_Base_Indice'!$K79:S79),COLUMN('03_Base_Indice'!$K79:S79)-COLUMN('03_Base_Indice'!$K79)+1),"")</f>
        <v>9</v>
      </c>
      <c r="K79">
        <f>IFERROR(LOOKUP(2,1/ISNUMBER('03_Base_Indice'!$K79:T79),COLUMN('03_Base_Indice'!$K79:T79)-COLUMN('03_Base_Indice'!$K79)+1),"")</f>
        <v>10</v>
      </c>
      <c r="L79">
        <f>IFERROR(LOOKUP(2,1/ISNUMBER('03_Base_Indice'!$K79:U79),COLUMN('03_Base_Indice'!$K79:U79)-COLUMN('03_Base_Indice'!$K79)+1),"")</f>
        <v>10</v>
      </c>
      <c r="N79">
        <f>IFERROR(MATCH(TRUE,INDEX(ISNUMBER('03_Base_Indice'!K79:$U79),0),0)+0,"")</f>
        <v>1</v>
      </c>
      <c r="O79">
        <f>IFERROR(MATCH(TRUE,INDEX(ISNUMBER('03_Base_Indice'!L79:$U79),0),0)+1,"")</f>
        <v>2</v>
      </c>
      <c r="P79">
        <f>IFERROR(MATCH(TRUE,INDEX(ISNUMBER('03_Base_Indice'!M79:$U79),0),0)+2,"")</f>
        <v>3</v>
      </c>
      <c r="Q79">
        <f>IFERROR(MATCH(TRUE,INDEX(ISNUMBER('03_Base_Indice'!N79:$U79),0),0)+3,"")</f>
        <v>4</v>
      </c>
      <c r="R79">
        <f>IFERROR(MATCH(TRUE,INDEX(ISNUMBER('03_Base_Indice'!O79:$U79),0),0)+4,"")</f>
        <v>5</v>
      </c>
      <c r="S79">
        <f>IFERROR(MATCH(TRUE,INDEX(ISNUMBER('03_Base_Indice'!P79:$U79),0),0)+5,"")</f>
        <v>6</v>
      </c>
      <c r="T79">
        <f>IFERROR(MATCH(TRUE,INDEX(ISNUMBER('03_Base_Indice'!Q79:$U79),0),0)+6,"")</f>
        <v>7</v>
      </c>
      <c r="U79">
        <f>IFERROR(MATCH(TRUE,INDEX(ISNUMBER('03_Base_Indice'!R79:$U79),0),0)+7,"")</f>
        <v>8</v>
      </c>
      <c r="V79">
        <f>IFERROR(MATCH(TRUE,INDEX(ISNUMBER('03_Base_Indice'!S79:$U79),0),0)+8,"")</f>
        <v>9</v>
      </c>
      <c r="W79">
        <f>IFERROR(MATCH(TRUE,INDEX(ISNUMBER('03_Base_Indice'!T79:$U79),0),0)+9,"")</f>
        <v>10</v>
      </c>
      <c r="X79" t="str">
        <f>IFERROR(MATCH(TRUE,INDEX(ISNUMBER('03_Base_Indice'!U79:$U79),0),0)+10,"")</f>
        <v/>
      </c>
      <c r="Z79">
        <f>IF(B79="","",INDEX('03_Base_Indice'!$K79:$U79,B79))</f>
        <v>94.015907975316097</v>
      </c>
      <c r="AA79">
        <f>IF(C79="","",INDEX('03_Base_Indice'!$K79:$U79,C79))</f>
        <v>92.701054773629295</v>
      </c>
      <c r="AB79">
        <f>IF(D79="","",INDEX('03_Base_Indice'!$K79:$U79,D79))</f>
        <v>94.691255061968405</v>
      </c>
      <c r="AC79">
        <f>IF(E79="","",INDEX('03_Base_Indice'!$K79:$U79,E79))</f>
        <v>95.672320216927602</v>
      </c>
      <c r="AD79">
        <f>IF(F79="","",INDEX('03_Base_Indice'!$K79:$U79,F79))</f>
        <v>95.249248327343906</v>
      </c>
      <c r="AE79">
        <f>IF(G79="","",INDEX('03_Base_Indice'!$K79:$U79,G79))</f>
        <v>93.051290074937796</v>
      </c>
      <c r="AF79">
        <f>IF(H79="","",INDEX('03_Base_Indice'!$K79:$U79,H79))</f>
        <v>94.163746439545903</v>
      </c>
      <c r="AG79">
        <f>IF(I79="","",INDEX('03_Base_Indice'!$K79:$U79,I79))</f>
        <v>94.923343563070205</v>
      </c>
      <c r="AH79">
        <f>IF(J79="","",INDEX('03_Base_Indice'!$K79:$U79,J79))</f>
        <v>94.171086280141694</v>
      </c>
      <c r="AI79">
        <f>IF(K79="","",INDEX('03_Base_Indice'!$K79:$U79,K79))</f>
        <v>94.134773630931804</v>
      </c>
      <c r="AJ79">
        <f>IF(L79="","",INDEX('03_Base_Indice'!$K79:$U79,L79))</f>
        <v>94.134773630931804</v>
      </c>
      <c r="AL79">
        <f>IF(N79="","",INDEX('03_Base_Indice'!$K79:$U79,N79))</f>
        <v>94.015907975316097</v>
      </c>
      <c r="AM79">
        <f>IF(O79="","",INDEX('03_Base_Indice'!$K79:$U79,O79))</f>
        <v>92.701054773629295</v>
      </c>
      <c r="AN79">
        <f>IF(P79="","",INDEX('03_Base_Indice'!$K79:$U79,P79))</f>
        <v>94.691255061968405</v>
      </c>
      <c r="AO79">
        <f>IF(Q79="","",INDEX('03_Base_Indice'!$K79:$U79,Q79))</f>
        <v>95.672320216927602</v>
      </c>
      <c r="AP79">
        <f>IF(R79="","",INDEX('03_Base_Indice'!$K79:$U79,R79))</f>
        <v>95.249248327343906</v>
      </c>
      <c r="AQ79">
        <f>IF(S79="","",INDEX('03_Base_Indice'!$K79:$U79,S79))</f>
        <v>93.051290074937796</v>
      </c>
      <c r="AR79">
        <f>IF(T79="","",INDEX('03_Base_Indice'!$K79:$U79,T79))</f>
        <v>94.163746439545903</v>
      </c>
      <c r="AS79">
        <f>IF(U79="","",INDEX('03_Base_Indice'!$K79:$U79,U79))</f>
        <v>94.923343563070205</v>
      </c>
      <c r="AT79">
        <f>IF(V79="","",INDEX('03_Base_Indice'!$K79:$U79,V79))</f>
        <v>94.171086280141694</v>
      </c>
      <c r="AU79">
        <f>IF(W79="","",INDEX('03_Base_Indice'!$K79:$U79,W79))</f>
        <v>94.134773630931804</v>
      </c>
      <c r="AV79" t="str">
        <f>IF(X79="","",INDEX('03_Base_Indice'!$K79:$U79,X79))</f>
        <v/>
      </c>
      <c r="AX79">
        <f>IF('06_Normalizacao'!K79="",0,'06_Normalizacao'!K79)</f>
        <v>5.9840920246839024</v>
      </c>
      <c r="AY79">
        <f>IF('06_Normalizacao'!L79="",0,'06_Normalizacao'!L79)</f>
        <v>7.2989452263707051</v>
      </c>
      <c r="AZ79">
        <f>IF('06_Normalizacao'!M79="",0,'06_Normalizacao'!M79)</f>
        <v>5.3087449380315945</v>
      </c>
      <c r="BA79">
        <f>IF('06_Normalizacao'!N79="",0,'06_Normalizacao'!N79)</f>
        <v>4.3276797830723979</v>
      </c>
      <c r="BB79">
        <f>IF('06_Normalizacao'!O79="",0,'06_Normalizacao'!O79)</f>
        <v>4.7507516726560937</v>
      </c>
      <c r="BC79">
        <f>IF('06_Normalizacao'!P79="",0,'06_Normalizacao'!P79)</f>
        <v>6.9487099250622029</v>
      </c>
      <c r="BD79">
        <f>IF('06_Normalizacao'!Q79="",0,'06_Normalizacao'!Q79)</f>
        <v>5.8362535604540975</v>
      </c>
      <c r="BE79">
        <f>IF('06_Normalizacao'!R79="",0,'06_Normalizacao'!R79)</f>
        <v>5.0766564369297953</v>
      </c>
      <c r="BF79">
        <f>IF('06_Normalizacao'!S79="",0,'06_Normalizacao'!S79)</f>
        <v>5.8289137198583054</v>
      </c>
      <c r="BG79">
        <f>IF('06_Normalizacao'!T79="",0,'06_Normalizacao'!T79)</f>
        <v>5.8652263690681954</v>
      </c>
      <c r="BH79">
        <f>IF('06_Normalizacao'!U79="",0,'06_Normalizacao'!U79)</f>
        <v>5.8652263690681954</v>
      </c>
      <c r="BJ79">
        <f>IF('06_Normalizacao'!K79="",0,1)</f>
        <v>1</v>
      </c>
      <c r="BK79">
        <f>IF('06_Normalizacao'!L79="",0,1)</f>
        <v>1</v>
      </c>
      <c r="BL79">
        <f>IF('06_Normalizacao'!M79="",0,1)</f>
        <v>1</v>
      </c>
      <c r="BM79">
        <f>IF('06_Normalizacao'!N79="",0,1)</f>
        <v>1</v>
      </c>
      <c r="BN79">
        <f>IF('06_Normalizacao'!O79="",0,1)</f>
        <v>1</v>
      </c>
      <c r="BO79">
        <f>IF('06_Normalizacao'!P79="",0,1)</f>
        <v>1</v>
      </c>
      <c r="BP79">
        <f>IF('06_Normalizacao'!Q79="",0,1)</f>
        <v>1</v>
      </c>
      <c r="BQ79">
        <f>IF('06_Normalizacao'!R79="",0,1)</f>
        <v>1</v>
      </c>
      <c r="BR79">
        <f>IF('06_Normalizacao'!S79="",0,1)</f>
        <v>1</v>
      </c>
      <c r="BS79">
        <f>IF('06_Normalizacao'!T79="",0,1)</f>
        <v>1</v>
      </c>
      <c r="BT79">
        <f>IF('06_Normalizacao'!U79="",0,1)</f>
        <v>1</v>
      </c>
    </row>
    <row r="80" spans="1:72">
      <c r="A80" s="6" t="str">
        <f>'03_Base_Indice'!D80</f>
        <v/>
      </c>
      <c r="B80" t="str">
        <f>IFERROR(LOOKUP(2,1/ISNUMBER('03_Base_Indice'!$K80:K80),COLUMN('03_Base_Indice'!$K80:K80)-COLUMN('03_Base_Indice'!$K80)+1),"")</f>
        <v/>
      </c>
      <c r="C80" t="str">
        <f>IFERROR(LOOKUP(2,1/ISNUMBER('03_Base_Indice'!$K80:L80),COLUMN('03_Base_Indice'!$K80:L80)-COLUMN('03_Base_Indice'!$K80)+1),"")</f>
        <v/>
      </c>
      <c r="D80" t="str">
        <f>IFERROR(LOOKUP(2,1/ISNUMBER('03_Base_Indice'!$K80:M80),COLUMN('03_Base_Indice'!$K80:M80)-COLUMN('03_Base_Indice'!$K80)+1),"")</f>
        <v/>
      </c>
      <c r="E80" t="str">
        <f>IFERROR(LOOKUP(2,1/ISNUMBER('03_Base_Indice'!$K80:N80),COLUMN('03_Base_Indice'!$K80:N80)-COLUMN('03_Base_Indice'!$K80)+1),"")</f>
        <v/>
      </c>
      <c r="F80" t="str">
        <f>IFERROR(LOOKUP(2,1/ISNUMBER('03_Base_Indice'!$K80:O80),COLUMN('03_Base_Indice'!$K80:O80)-COLUMN('03_Base_Indice'!$K80)+1),"")</f>
        <v/>
      </c>
      <c r="G80" t="str">
        <f>IFERROR(LOOKUP(2,1/ISNUMBER('03_Base_Indice'!$K80:P80),COLUMN('03_Base_Indice'!$K80:P80)-COLUMN('03_Base_Indice'!$K80)+1),"")</f>
        <v/>
      </c>
      <c r="H80" t="str">
        <f>IFERROR(LOOKUP(2,1/ISNUMBER('03_Base_Indice'!$K80:Q80),COLUMN('03_Base_Indice'!$K80:Q80)-COLUMN('03_Base_Indice'!$K80)+1),"")</f>
        <v/>
      </c>
      <c r="I80" t="str">
        <f>IFERROR(LOOKUP(2,1/ISNUMBER('03_Base_Indice'!$K80:R80),COLUMN('03_Base_Indice'!$K80:R80)-COLUMN('03_Base_Indice'!$K80)+1),"")</f>
        <v/>
      </c>
      <c r="J80" t="str">
        <f>IFERROR(LOOKUP(2,1/ISNUMBER('03_Base_Indice'!$K80:S80),COLUMN('03_Base_Indice'!$K80:S80)-COLUMN('03_Base_Indice'!$K80)+1),"")</f>
        <v/>
      </c>
      <c r="K80" t="str">
        <f>IFERROR(LOOKUP(2,1/ISNUMBER('03_Base_Indice'!$K80:T80),COLUMN('03_Base_Indice'!$K80:T80)-COLUMN('03_Base_Indice'!$K80)+1),"")</f>
        <v/>
      </c>
      <c r="L80" t="str">
        <f>IFERROR(LOOKUP(2,1/ISNUMBER('03_Base_Indice'!$K80:U80),COLUMN('03_Base_Indice'!$K80:U80)-COLUMN('03_Base_Indice'!$K80)+1),"")</f>
        <v/>
      </c>
      <c r="N80" t="str">
        <f>IFERROR(MATCH(TRUE,INDEX(ISNUMBER('03_Base_Indice'!K80:$U80),0),0)+0,"")</f>
        <v/>
      </c>
      <c r="O80" t="str">
        <f>IFERROR(MATCH(TRUE,INDEX(ISNUMBER('03_Base_Indice'!L80:$U80),0),0)+1,"")</f>
        <v/>
      </c>
      <c r="P80" t="str">
        <f>IFERROR(MATCH(TRUE,INDEX(ISNUMBER('03_Base_Indice'!M80:$U80),0),0)+2,"")</f>
        <v/>
      </c>
      <c r="Q80" t="str">
        <f>IFERROR(MATCH(TRUE,INDEX(ISNUMBER('03_Base_Indice'!N80:$U80),0),0)+3,"")</f>
        <v/>
      </c>
      <c r="R80" t="str">
        <f>IFERROR(MATCH(TRUE,INDEX(ISNUMBER('03_Base_Indice'!O80:$U80),0),0)+4,"")</f>
        <v/>
      </c>
      <c r="S80" t="str">
        <f>IFERROR(MATCH(TRUE,INDEX(ISNUMBER('03_Base_Indice'!P80:$U80),0),0)+5,"")</f>
        <v/>
      </c>
      <c r="T80" t="str">
        <f>IFERROR(MATCH(TRUE,INDEX(ISNUMBER('03_Base_Indice'!Q80:$U80),0),0)+6,"")</f>
        <v/>
      </c>
      <c r="U80" t="str">
        <f>IFERROR(MATCH(TRUE,INDEX(ISNUMBER('03_Base_Indice'!R80:$U80),0),0)+7,"")</f>
        <v/>
      </c>
      <c r="V80" t="str">
        <f>IFERROR(MATCH(TRUE,INDEX(ISNUMBER('03_Base_Indice'!S80:$U80),0),0)+8,"")</f>
        <v/>
      </c>
      <c r="W80" t="str">
        <f>IFERROR(MATCH(TRUE,INDEX(ISNUMBER('03_Base_Indice'!T80:$U80),0),0)+9,"")</f>
        <v/>
      </c>
      <c r="X80" t="str">
        <f>IFERROR(MATCH(TRUE,INDEX(ISNUMBER('03_Base_Indice'!U80:$U80),0),0)+10,"")</f>
        <v/>
      </c>
      <c r="Z80" t="str">
        <f>IF(B80="","",INDEX('03_Base_Indice'!$K80:$U80,B80))</f>
        <v/>
      </c>
      <c r="AA80" t="str">
        <f>IF(C80="","",INDEX('03_Base_Indice'!$K80:$U80,C80))</f>
        <v/>
      </c>
      <c r="AB80" t="str">
        <f>IF(D80="","",INDEX('03_Base_Indice'!$K80:$U80,D80))</f>
        <v/>
      </c>
      <c r="AC80" t="str">
        <f>IF(E80="","",INDEX('03_Base_Indice'!$K80:$U80,E80))</f>
        <v/>
      </c>
      <c r="AD80" t="str">
        <f>IF(F80="","",INDEX('03_Base_Indice'!$K80:$U80,F80))</f>
        <v/>
      </c>
      <c r="AE80" t="str">
        <f>IF(G80="","",INDEX('03_Base_Indice'!$K80:$U80,G80))</f>
        <v/>
      </c>
      <c r="AF80" t="str">
        <f>IF(H80="","",INDEX('03_Base_Indice'!$K80:$U80,H80))</f>
        <v/>
      </c>
      <c r="AG80" t="str">
        <f>IF(I80="","",INDEX('03_Base_Indice'!$K80:$U80,I80))</f>
        <v/>
      </c>
      <c r="AH80" t="str">
        <f>IF(J80="","",INDEX('03_Base_Indice'!$K80:$U80,J80))</f>
        <v/>
      </c>
      <c r="AI80" t="str">
        <f>IF(K80="","",INDEX('03_Base_Indice'!$K80:$U80,K80))</f>
        <v/>
      </c>
      <c r="AJ80" t="str">
        <f>IF(L80="","",INDEX('03_Base_Indice'!$K80:$U80,L80))</f>
        <v/>
      </c>
      <c r="AL80" t="str">
        <f>IF(N80="","",INDEX('03_Base_Indice'!$K80:$U80,N80))</f>
        <v/>
      </c>
      <c r="AM80" t="str">
        <f>IF(O80="","",INDEX('03_Base_Indice'!$K80:$U80,O80))</f>
        <v/>
      </c>
      <c r="AN80" t="str">
        <f>IF(P80="","",INDEX('03_Base_Indice'!$K80:$U80,P80))</f>
        <v/>
      </c>
      <c r="AO80" t="str">
        <f>IF(Q80="","",INDEX('03_Base_Indice'!$K80:$U80,Q80))</f>
        <v/>
      </c>
      <c r="AP80" t="str">
        <f>IF(R80="","",INDEX('03_Base_Indice'!$K80:$U80,R80))</f>
        <v/>
      </c>
      <c r="AQ80" t="str">
        <f>IF(S80="","",INDEX('03_Base_Indice'!$K80:$U80,S80))</f>
        <v/>
      </c>
      <c r="AR80" t="str">
        <f>IF(T80="","",INDEX('03_Base_Indice'!$K80:$U80,T80))</f>
        <v/>
      </c>
      <c r="AS80" t="str">
        <f>IF(U80="","",INDEX('03_Base_Indice'!$K80:$U80,U80))</f>
        <v/>
      </c>
      <c r="AT80" t="str">
        <f>IF(V80="","",INDEX('03_Base_Indice'!$K80:$U80,V80))</f>
        <v/>
      </c>
      <c r="AU80" t="str">
        <f>IF(W80="","",INDEX('03_Base_Indice'!$K80:$U80,W80))</f>
        <v/>
      </c>
      <c r="AV80" t="str">
        <f>IF(X80="","",INDEX('03_Base_Indice'!$K80:$U80,X80))</f>
        <v/>
      </c>
      <c r="AX80">
        <f>IF('06_Normalizacao'!K80="",0,'06_Normalizacao'!K80)</f>
        <v>0</v>
      </c>
      <c r="AY80">
        <f>IF('06_Normalizacao'!L80="",0,'06_Normalizacao'!L80)</f>
        <v>0</v>
      </c>
      <c r="AZ80">
        <f>IF('06_Normalizacao'!M80="",0,'06_Normalizacao'!M80)</f>
        <v>0</v>
      </c>
      <c r="BA80">
        <f>IF('06_Normalizacao'!N80="",0,'06_Normalizacao'!N80)</f>
        <v>0</v>
      </c>
      <c r="BB80">
        <f>IF('06_Normalizacao'!O80="",0,'06_Normalizacao'!O80)</f>
        <v>0</v>
      </c>
      <c r="BC80">
        <f>IF('06_Normalizacao'!P80="",0,'06_Normalizacao'!P80)</f>
        <v>0</v>
      </c>
      <c r="BD80">
        <f>IF('06_Normalizacao'!Q80="",0,'06_Normalizacao'!Q80)</f>
        <v>0</v>
      </c>
      <c r="BE80">
        <f>IF('06_Normalizacao'!R80="",0,'06_Normalizacao'!R80)</f>
        <v>0</v>
      </c>
      <c r="BF80">
        <f>IF('06_Normalizacao'!S80="",0,'06_Normalizacao'!S80)</f>
        <v>0</v>
      </c>
      <c r="BG80">
        <f>IF('06_Normalizacao'!T80="",0,'06_Normalizacao'!T80)</f>
        <v>0</v>
      </c>
      <c r="BH80">
        <f>IF('06_Normalizacao'!U80="",0,'06_Normalizacao'!U80)</f>
        <v>0</v>
      </c>
      <c r="BJ80">
        <f>IF('06_Normalizacao'!K80="",0,1)</f>
        <v>0</v>
      </c>
      <c r="BK80">
        <f>IF('06_Normalizacao'!L80="",0,1)</f>
        <v>0</v>
      </c>
      <c r="BL80">
        <f>IF('06_Normalizacao'!M80="",0,1)</f>
        <v>0</v>
      </c>
      <c r="BM80">
        <f>IF('06_Normalizacao'!N80="",0,1)</f>
        <v>0</v>
      </c>
      <c r="BN80">
        <f>IF('06_Normalizacao'!O80="",0,1)</f>
        <v>0</v>
      </c>
      <c r="BO80">
        <f>IF('06_Normalizacao'!P80="",0,1)</f>
        <v>0</v>
      </c>
      <c r="BP80">
        <f>IF('06_Normalizacao'!Q80="",0,1)</f>
        <v>0</v>
      </c>
      <c r="BQ80">
        <f>IF('06_Normalizacao'!R80="",0,1)</f>
        <v>0</v>
      </c>
      <c r="BR80">
        <f>IF('06_Normalizacao'!S80="",0,1)</f>
        <v>0</v>
      </c>
      <c r="BS80">
        <f>IF('06_Normalizacao'!T80="",0,1)</f>
        <v>0</v>
      </c>
      <c r="BT80">
        <f>IF('06_Normalizacao'!U80="",0,1)</f>
        <v>0</v>
      </c>
    </row>
    <row r="81" spans="1:72">
      <c r="A81" s="6" t="str">
        <f>'03_Base_Indice'!D81</f>
        <v/>
      </c>
      <c r="B81" t="str">
        <f>IFERROR(LOOKUP(2,1/ISNUMBER('03_Base_Indice'!$K81:K81),COLUMN('03_Base_Indice'!$K81:K81)-COLUMN('03_Base_Indice'!$K81)+1),"")</f>
        <v/>
      </c>
      <c r="C81" t="str">
        <f>IFERROR(LOOKUP(2,1/ISNUMBER('03_Base_Indice'!$K81:L81),COLUMN('03_Base_Indice'!$K81:L81)-COLUMN('03_Base_Indice'!$K81)+1),"")</f>
        <v/>
      </c>
      <c r="D81" t="str">
        <f>IFERROR(LOOKUP(2,1/ISNUMBER('03_Base_Indice'!$K81:M81),COLUMN('03_Base_Indice'!$K81:M81)-COLUMN('03_Base_Indice'!$K81)+1),"")</f>
        <v/>
      </c>
      <c r="E81" t="str">
        <f>IFERROR(LOOKUP(2,1/ISNUMBER('03_Base_Indice'!$K81:N81),COLUMN('03_Base_Indice'!$K81:N81)-COLUMN('03_Base_Indice'!$K81)+1),"")</f>
        <v/>
      </c>
      <c r="F81" t="str">
        <f>IFERROR(LOOKUP(2,1/ISNUMBER('03_Base_Indice'!$K81:O81),COLUMN('03_Base_Indice'!$K81:O81)-COLUMN('03_Base_Indice'!$K81)+1),"")</f>
        <v/>
      </c>
      <c r="G81" t="str">
        <f>IFERROR(LOOKUP(2,1/ISNUMBER('03_Base_Indice'!$K81:P81),COLUMN('03_Base_Indice'!$K81:P81)-COLUMN('03_Base_Indice'!$K81)+1),"")</f>
        <v/>
      </c>
      <c r="H81" t="str">
        <f>IFERROR(LOOKUP(2,1/ISNUMBER('03_Base_Indice'!$K81:Q81),COLUMN('03_Base_Indice'!$K81:Q81)-COLUMN('03_Base_Indice'!$K81)+1),"")</f>
        <v/>
      </c>
      <c r="I81" t="str">
        <f>IFERROR(LOOKUP(2,1/ISNUMBER('03_Base_Indice'!$K81:R81),COLUMN('03_Base_Indice'!$K81:R81)-COLUMN('03_Base_Indice'!$K81)+1),"")</f>
        <v/>
      </c>
      <c r="J81" t="str">
        <f>IFERROR(LOOKUP(2,1/ISNUMBER('03_Base_Indice'!$K81:S81),COLUMN('03_Base_Indice'!$K81:S81)-COLUMN('03_Base_Indice'!$K81)+1),"")</f>
        <v/>
      </c>
      <c r="K81" t="str">
        <f>IFERROR(LOOKUP(2,1/ISNUMBER('03_Base_Indice'!$K81:T81),COLUMN('03_Base_Indice'!$K81:T81)-COLUMN('03_Base_Indice'!$K81)+1),"")</f>
        <v/>
      </c>
      <c r="L81" t="str">
        <f>IFERROR(LOOKUP(2,1/ISNUMBER('03_Base_Indice'!$K81:U81),COLUMN('03_Base_Indice'!$K81:U81)-COLUMN('03_Base_Indice'!$K81)+1),"")</f>
        <v/>
      </c>
      <c r="N81" t="str">
        <f>IFERROR(MATCH(TRUE,INDEX(ISNUMBER('03_Base_Indice'!K81:$U81),0),0)+0,"")</f>
        <v/>
      </c>
      <c r="O81" t="str">
        <f>IFERROR(MATCH(TRUE,INDEX(ISNUMBER('03_Base_Indice'!L81:$U81),0),0)+1,"")</f>
        <v/>
      </c>
      <c r="P81" t="str">
        <f>IFERROR(MATCH(TRUE,INDEX(ISNUMBER('03_Base_Indice'!M81:$U81),0),0)+2,"")</f>
        <v/>
      </c>
      <c r="Q81" t="str">
        <f>IFERROR(MATCH(TRUE,INDEX(ISNUMBER('03_Base_Indice'!N81:$U81),0),0)+3,"")</f>
        <v/>
      </c>
      <c r="R81" t="str">
        <f>IFERROR(MATCH(TRUE,INDEX(ISNUMBER('03_Base_Indice'!O81:$U81),0),0)+4,"")</f>
        <v/>
      </c>
      <c r="S81" t="str">
        <f>IFERROR(MATCH(TRUE,INDEX(ISNUMBER('03_Base_Indice'!P81:$U81),0),0)+5,"")</f>
        <v/>
      </c>
      <c r="T81" t="str">
        <f>IFERROR(MATCH(TRUE,INDEX(ISNUMBER('03_Base_Indice'!Q81:$U81),0),0)+6,"")</f>
        <v/>
      </c>
      <c r="U81" t="str">
        <f>IFERROR(MATCH(TRUE,INDEX(ISNUMBER('03_Base_Indice'!R81:$U81),0),0)+7,"")</f>
        <v/>
      </c>
      <c r="V81" t="str">
        <f>IFERROR(MATCH(TRUE,INDEX(ISNUMBER('03_Base_Indice'!S81:$U81),0),0)+8,"")</f>
        <v/>
      </c>
      <c r="W81" t="str">
        <f>IFERROR(MATCH(TRUE,INDEX(ISNUMBER('03_Base_Indice'!T81:$U81),0),0)+9,"")</f>
        <v/>
      </c>
      <c r="X81" t="str">
        <f>IFERROR(MATCH(TRUE,INDEX(ISNUMBER('03_Base_Indice'!U81:$U81),0),0)+10,"")</f>
        <v/>
      </c>
      <c r="Z81" t="str">
        <f>IF(B81="","",INDEX('03_Base_Indice'!$K81:$U81,B81))</f>
        <v/>
      </c>
      <c r="AA81" t="str">
        <f>IF(C81="","",INDEX('03_Base_Indice'!$K81:$U81,C81))</f>
        <v/>
      </c>
      <c r="AB81" t="str">
        <f>IF(D81="","",INDEX('03_Base_Indice'!$K81:$U81,D81))</f>
        <v/>
      </c>
      <c r="AC81" t="str">
        <f>IF(E81="","",INDEX('03_Base_Indice'!$K81:$U81,E81))</f>
        <v/>
      </c>
      <c r="AD81" t="str">
        <f>IF(F81="","",INDEX('03_Base_Indice'!$K81:$U81,F81))</f>
        <v/>
      </c>
      <c r="AE81" t="str">
        <f>IF(G81="","",INDEX('03_Base_Indice'!$K81:$U81,G81))</f>
        <v/>
      </c>
      <c r="AF81" t="str">
        <f>IF(H81="","",INDEX('03_Base_Indice'!$K81:$U81,H81))</f>
        <v/>
      </c>
      <c r="AG81" t="str">
        <f>IF(I81="","",INDEX('03_Base_Indice'!$K81:$U81,I81))</f>
        <v/>
      </c>
      <c r="AH81" t="str">
        <f>IF(J81="","",INDEX('03_Base_Indice'!$K81:$U81,J81))</f>
        <v/>
      </c>
      <c r="AI81" t="str">
        <f>IF(K81="","",INDEX('03_Base_Indice'!$K81:$U81,K81))</f>
        <v/>
      </c>
      <c r="AJ81" t="str">
        <f>IF(L81="","",INDEX('03_Base_Indice'!$K81:$U81,L81))</f>
        <v/>
      </c>
      <c r="AL81" t="str">
        <f>IF(N81="","",INDEX('03_Base_Indice'!$K81:$U81,N81))</f>
        <v/>
      </c>
      <c r="AM81" t="str">
        <f>IF(O81="","",INDEX('03_Base_Indice'!$K81:$U81,O81))</f>
        <v/>
      </c>
      <c r="AN81" t="str">
        <f>IF(P81="","",INDEX('03_Base_Indice'!$K81:$U81,P81))</f>
        <v/>
      </c>
      <c r="AO81" t="str">
        <f>IF(Q81="","",INDEX('03_Base_Indice'!$K81:$U81,Q81))</f>
        <v/>
      </c>
      <c r="AP81" t="str">
        <f>IF(R81="","",INDEX('03_Base_Indice'!$K81:$U81,R81))</f>
        <v/>
      </c>
      <c r="AQ81" t="str">
        <f>IF(S81="","",INDEX('03_Base_Indice'!$K81:$U81,S81))</f>
        <v/>
      </c>
      <c r="AR81" t="str">
        <f>IF(T81="","",INDEX('03_Base_Indice'!$K81:$U81,T81))</f>
        <v/>
      </c>
      <c r="AS81" t="str">
        <f>IF(U81="","",INDEX('03_Base_Indice'!$K81:$U81,U81))</f>
        <v/>
      </c>
      <c r="AT81" t="str">
        <f>IF(V81="","",INDEX('03_Base_Indice'!$K81:$U81,V81))</f>
        <v/>
      </c>
      <c r="AU81" t="str">
        <f>IF(W81="","",INDEX('03_Base_Indice'!$K81:$U81,W81))</f>
        <v/>
      </c>
      <c r="AV81" t="str">
        <f>IF(X81="","",INDEX('03_Base_Indice'!$K81:$U81,X81))</f>
        <v/>
      </c>
      <c r="AX81">
        <f>IF('06_Normalizacao'!K81="",0,'06_Normalizacao'!K81)</f>
        <v>0</v>
      </c>
      <c r="AY81">
        <f>IF('06_Normalizacao'!L81="",0,'06_Normalizacao'!L81)</f>
        <v>0</v>
      </c>
      <c r="AZ81">
        <f>IF('06_Normalizacao'!M81="",0,'06_Normalizacao'!M81)</f>
        <v>0</v>
      </c>
      <c r="BA81">
        <f>IF('06_Normalizacao'!N81="",0,'06_Normalizacao'!N81)</f>
        <v>0</v>
      </c>
      <c r="BB81">
        <f>IF('06_Normalizacao'!O81="",0,'06_Normalizacao'!O81)</f>
        <v>0</v>
      </c>
      <c r="BC81">
        <f>IF('06_Normalizacao'!P81="",0,'06_Normalizacao'!P81)</f>
        <v>0</v>
      </c>
      <c r="BD81">
        <f>IF('06_Normalizacao'!Q81="",0,'06_Normalizacao'!Q81)</f>
        <v>0</v>
      </c>
      <c r="BE81">
        <f>IF('06_Normalizacao'!R81="",0,'06_Normalizacao'!R81)</f>
        <v>0</v>
      </c>
      <c r="BF81">
        <f>IF('06_Normalizacao'!S81="",0,'06_Normalizacao'!S81)</f>
        <v>0</v>
      </c>
      <c r="BG81">
        <f>IF('06_Normalizacao'!T81="",0,'06_Normalizacao'!T81)</f>
        <v>0</v>
      </c>
      <c r="BH81">
        <f>IF('06_Normalizacao'!U81="",0,'06_Normalizacao'!U81)</f>
        <v>0</v>
      </c>
      <c r="BJ81">
        <f>IF('06_Normalizacao'!K81="",0,1)</f>
        <v>0</v>
      </c>
      <c r="BK81">
        <f>IF('06_Normalizacao'!L81="",0,1)</f>
        <v>0</v>
      </c>
      <c r="BL81">
        <f>IF('06_Normalizacao'!M81="",0,1)</f>
        <v>0</v>
      </c>
      <c r="BM81">
        <f>IF('06_Normalizacao'!N81="",0,1)</f>
        <v>0</v>
      </c>
      <c r="BN81">
        <f>IF('06_Normalizacao'!O81="",0,1)</f>
        <v>0</v>
      </c>
      <c r="BO81">
        <f>IF('06_Normalizacao'!P81="",0,1)</f>
        <v>0</v>
      </c>
      <c r="BP81">
        <f>IF('06_Normalizacao'!Q81="",0,1)</f>
        <v>0</v>
      </c>
      <c r="BQ81">
        <f>IF('06_Normalizacao'!R81="",0,1)</f>
        <v>0</v>
      </c>
      <c r="BR81">
        <f>IF('06_Normalizacao'!S81="",0,1)</f>
        <v>0</v>
      </c>
      <c r="BS81">
        <f>IF('06_Normalizacao'!T81="",0,1)</f>
        <v>0</v>
      </c>
      <c r="BT81">
        <f>IF('06_Normalizacao'!U81="",0,1)</f>
        <v>0</v>
      </c>
    </row>
    <row r="82" spans="1:72">
      <c r="A82" s="6" t="str">
        <f>'03_Base_Indice'!D82</f>
        <v/>
      </c>
      <c r="B82" t="str">
        <f>IFERROR(LOOKUP(2,1/ISNUMBER('03_Base_Indice'!$K82:K82),COLUMN('03_Base_Indice'!$K82:K82)-COLUMN('03_Base_Indice'!$K82)+1),"")</f>
        <v/>
      </c>
      <c r="C82" t="str">
        <f>IFERROR(LOOKUP(2,1/ISNUMBER('03_Base_Indice'!$K82:L82),COLUMN('03_Base_Indice'!$K82:L82)-COLUMN('03_Base_Indice'!$K82)+1),"")</f>
        <v/>
      </c>
      <c r="D82" t="str">
        <f>IFERROR(LOOKUP(2,1/ISNUMBER('03_Base_Indice'!$K82:M82),COLUMN('03_Base_Indice'!$K82:M82)-COLUMN('03_Base_Indice'!$K82)+1),"")</f>
        <v/>
      </c>
      <c r="E82" t="str">
        <f>IFERROR(LOOKUP(2,1/ISNUMBER('03_Base_Indice'!$K82:N82),COLUMN('03_Base_Indice'!$K82:N82)-COLUMN('03_Base_Indice'!$K82)+1),"")</f>
        <v/>
      </c>
      <c r="F82" t="str">
        <f>IFERROR(LOOKUP(2,1/ISNUMBER('03_Base_Indice'!$K82:O82),COLUMN('03_Base_Indice'!$K82:O82)-COLUMN('03_Base_Indice'!$K82)+1),"")</f>
        <v/>
      </c>
      <c r="G82" t="str">
        <f>IFERROR(LOOKUP(2,1/ISNUMBER('03_Base_Indice'!$K82:P82),COLUMN('03_Base_Indice'!$K82:P82)-COLUMN('03_Base_Indice'!$K82)+1),"")</f>
        <v/>
      </c>
      <c r="H82" t="str">
        <f>IFERROR(LOOKUP(2,1/ISNUMBER('03_Base_Indice'!$K82:Q82),COLUMN('03_Base_Indice'!$K82:Q82)-COLUMN('03_Base_Indice'!$K82)+1),"")</f>
        <v/>
      </c>
      <c r="I82" t="str">
        <f>IFERROR(LOOKUP(2,1/ISNUMBER('03_Base_Indice'!$K82:R82),COLUMN('03_Base_Indice'!$K82:R82)-COLUMN('03_Base_Indice'!$K82)+1),"")</f>
        <v/>
      </c>
      <c r="J82" t="str">
        <f>IFERROR(LOOKUP(2,1/ISNUMBER('03_Base_Indice'!$K82:S82),COLUMN('03_Base_Indice'!$K82:S82)-COLUMN('03_Base_Indice'!$K82)+1),"")</f>
        <v/>
      </c>
      <c r="K82" t="str">
        <f>IFERROR(LOOKUP(2,1/ISNUMBER('03_Base_Indice'!$K82:T82),COLUMN('03_Base_Indice'!$K82:T82)-COLUMN('03_Base_Indice'!$K82)+1),"")</f>
        <v/>
      </c>
      <c r="L82" t="str">
        <f>IFERROR(LOOKUP(2,1/ISNUMBER('03_Base_Indice'!$K82:U82),COLUMN('03_Base_Indice'!$K82:U82)-COLUMN('03_Base_Indice'!$K82)+1),"")</f>
        <v/>
      </c>
      <c r="N82" t="str">
        <f>IFERROR(MATCH(TRUE,INDEX(ISNUMBER('03_Base_Indice'!K82:$U82),0),0)+0,"")</f>
        <v/>
      </c>
      <c r="O82" t="str">
        <f>IFERROR(MATCH(TRUE,INDEX(ISNUMBER('03_Base_Indice'!L82:$U82),0),0)+1,"")</f>
        <v/>
      </c>
      <c r="P82" t="str">
        <f>IFERROR(MATCH(TRUE,INDEX(ISNUMBER('03_Base_Indice'!M82:$U82),0),0)+2,"")</f>
        <v/>
      </c>
      <c r="Q82" t="str">
        <f>IFERROR(MATCH(TRUE,INDEX(ISNUMBER('03_Base_Indice'!N82:$U82),0),0)+3,"")</f>
        <v/>
      </c>
      <c r="R82" t="str">
        <f>IFERROR(MATCH(TRUE,INDEX(ISNUMBER('03_Base_Indice'!O82:$U82),0),0)+4,"")</f>
        <v/>
      </c>
      <c r="S82" t="str">
        <f>IFERROR(MATCH(TRUE,INDEX(ISNUMBER('03_Base_Indice'!P82:$U82),0),0)+5,"")</f>
        <v/>
      </c>
      <c r="T82" t="str">
        <f>IFERROR(MATCH(TRUE,INDEX(ISNUMBER('03_Base_Indice'!Q82:$U82),0),0)+6,"")</f>
        <v/>
      </c>
      <c r="U82" t="str">
        <f>IFERROR(MATCH(TRUE,INDEX(ISNUMBER('03_Base_Indice'!R82:$U82),0),0)+7,"")</f>
        <v/>
      </c>
      <c r="V82" t="str">
        <f>IFERROR(MATCH(TRUE,INDEX(ISNUMBER('03_Base_Indice'!S82:$U82),0),0)+8,"")</f>
        <v/>
      </c>
      <c r="W82" t="str">
        <f>IFERROR(MATCH(TRUE,INDEX(ISNUMBER('03_Base_Indice'!T82:$U82),0),0)+9,"")</f>
        <v/>
      </c>
      <c r="X82" t="str">
        <f>IFERROR(MATCH(TRUE,INDEX(ISNUMBER('03_Base_Indice'!U82:$U82),0),0)+10,"")</f>
        <v/>
      </c>
      <c r="Z82" t="str">
        <f>IF(B82="","",INDEX('03_Base_Indice'!$K82:$U82,B82))</f>
        <v/>
      </c>
      <c r="AA82" t="str">
        <f>IF(C82="","",INDEX('03_Base_Indice'!$K82:$U82,C82))</f>
        <v/>
      </c>
      <c r="AB82" t="str">
        <f>IF(D82="","",INDEX('03_Base_Indice'!$K82:$U82,D82))</f>
        <v/>
      </c>
      <c r="AC82" t="str">
        <f>IF(E82="","",INDEX('03_Base_Indice'!$K82:$U82,E82))</f>
        <v/>
      </c>
      <c r="AD82" t="str">
        <f>IF(F82="","",INDEX('03_Base_Indice'!$K82:$U82,F82))</f>
        <v/>
      </c>
      <c r="AE82" t="str">
        <f>IF(G82="","",INDEX('03_Base_Indice'!$K82:$U82,G82))</f>
        <v/>
      </c>
      <c r="AF82" t="str">
        <f>IF(H82="","",INDEX('03_Base_Indice'!$K82:$U82,H82))</f>
        <v/>
      </c>
      <c r="AG82" t="str">
        <f>IF(I82="","",INDEX('03_Base_Indice'!$K82:$U82,I82))</f>
        <v/>
      </c>
      <c r="AH82" t="str">
        <f>IF(J82="","",INDEX('03_Base_Indice'!$K82:$U82,J82))</f>
        <v/>
      </c>
      <c r="AI82" t="str">
        <f>IF(K82="","",INDEX('03_Base_Indice'!$K82:$U82,K82))</f>
        <v/>
      </c>
      <c r="AJ82" t="str">
        <f>IF(L82="","",INDEX('03_Base_Indice'!$K82:$U82,L82))</f>
        <v/>
      </c>
      <c r="AL82" t="str">
        <f>IF(N82="","",INDEX('03_Base_Indice'!$K82:$U82,N82))</f>
        <v/>
      </c>
      <c r="AM82" t="str">
        <f>IF(O82="","",INDEX('03_Base_Indice'!$K82:$U82,O82))</f>
        <v/>
      </c>
      <c r="AN82" t="str">
        <f>IF(P82="","",INDEX('03_Base_Indice'!$K82:$U82,P82))</f>
        <v/>
      </c>
      <c r="AO82" t="str">
        <f>IF(Q82="","",INDEX('03_Base_Indice'!$K82:$U82,Q82))</f>
        <v/>
      </c>
      <c r="AP82" t="str">
        <f>IF(R82="","",INDEX('03_Base_Indice'!$K82:$U82,R82))</f>
        <v/>
      </c>
      <c r="AQ82" t="str">
        <f>IF(S82="","",INDEX('03_Base_Indice'!$K82:$U82,S82))</f>
        <v/>
      </c>
      <c r="AR82" t="str">
        <f>IF(T82="","",INDEX('03_Base_Indice'!$K82:$U82,T82))</f>
        <v/>
      </c>
      <c r="AS82" t="str">
        <f>IF(U82="","",INDEX('03_Base_Indice'!$K82:$U82,U82))</f>
        <v/>
      </c>
      <c r="AT82" t="str">
        <f>IF(V82="","",INDEX('03_Base_Indice'!$K82:$U82,V82))</f>
        <v/>
      </c>
      <c r="AU82" t="str">
        <f>IF(W82="","",INDEX('03_Base_Indice'!$K82:$U82,W82))</f>
        <v/>
      </c>
      <c r="AV82" t="str">
        <f>IF(X82="","",INDEX('03_Base_Indice'!$K82:$U82,X82))</f>
        <v/>
      </c>
      <c r="AX82">
        <f>IF('06_Normalizacao'!K82="",0,'06_Normalizacao'!K82)</f>
        <v>0</v>
      </c>
      <c r="AY82">
        <f>IF('06_Normalizacao'!L82="",0,'06_Normalizacao'!L82)</f>
        <v>0</v>
      </c>
      <c r="AZ82">
        <f>IF('06_Normalizacao'!M82="",0,'06_Normalizacao'!M82)</f>
        <v>0</v>
      </c>
      <c r="BA82">
        <f>IF('06_Normalizacao'!N82="",0,'06_Normalizacao'!N82)</f>
        <v>0</v>
      </c>
      <c r="BB82">
        <f>IF('06_Normalizacao'!O82="",0,'06_Normalizacao'!O82)</f>
        <v>0</v>
      </c>
      <c r="BC82">
        <f>IF('06_Normalizacao'!P82="",0,'06_Normalizacao'!P82)</f>
        <v>0</v>
      </c>
      <c r="BD82">
        <f>IF('06_Normalizacao'!Q82="",0,'06_Normalizacao'!Q82)</f>
        <v>0</v>
      </c>
      <c r="BE82">
        <f>IF('06_Normalizacao'!R82="",0,'06_Normalizacao'!R82)</f>
        <v>0</v>
      </c>
      <c r="BF82">
        <f>IF('06_Normalizacao'!S82="",0,'06_Normalizacao'!S82)</f>
        <v>0</v>
      </c>
      <c r="BG82">
        <f>IF('06_Normalizacao'!T82="",0,'06_Normalizacao'!T82)</f>
        <v>0</v>
      </c>
      <c r="BH82">
        <f>IF('06_Normalizacao'!U82="",0,'06_Normalizacao'!U82)</f>
        <v>0</v>
      </c>
      <c r="BJ82">
        <f>IF('06_Normalizacao'!K82="",0,1)</f>
        <v>0</v>
      </c>
      <c r="BK82">
        <f>IF('06_Normalizacao'!L82="",0,1)</f>
        <v>0</v>
      </c>
      <c r="BL82">
        <f>IF('06_Normalizacao'!M82="",0,1)</f>
        <v>0</v>
      </c>
      <c r="BM82">
        <f>IF('06_Normalizacao'!N82="",0,1)</f>
        <v>0</v>
      </c>
      <c r="BN82">
        <f>IF('06_Normalizacao'!O82="",0,1)</f>
        <v>0</v>
      </c>
      <c r="BO82">
        <f>IF('06_Normalizacao'!P82="",0,1)</f>
        <v>0</v>
      </c>
      <c r="BP82">
        <f>IF('06_Normalizacao'!Q82="",0,1)</f>
        <v>0</v>
      </c>
      <c r="BQ82">
        <f>IF('06_Normalizacao'!R82="",0,1)</f>
        <v>0</v>
      </c>
      <c r="BR82">
        <f>IF('06_Normalizacao'!S82="",0,1)</f>
        <v>0</v>
      </c>
      <c r="BS82">
        <f>IF('06_Normalizacao'!T82="",0,1)</f>
        <v>0</v>
      </c>
      <c r="BT82">
        <f>IF('06_Normalizacao'!U82="",0,1)</f>
        <v>0</v>
      </c>
    </row>
    <row r="83" spans="1:72">
      <c r="A83" s="6" t="str">
        <f>'03_Base_Indice'!D83</f>
        <v/>
      </c>
      <c r="B83" t="str">
        <f>IFERROR(LOOKUP(2,1/ISNUMBER('03_Base_Indice'!$K83:K83),COLUMN('03_Base_Indice'!$K83:K83)-COLUMN('03_Base_Indice'!$K83)+1),"")</f>
        <v/>
      </c>
      <c r="C83" t="str">
        <f>IFERROR(LOOKUP(2,1/ISNUMBER('03_Base_Indice'!$K83:L83),COLUMN('03_Base_Indice'!$K83:L83)-COLUMN('03_Base_Indice'!$K83)+1),"")</f>
        <v/>
      </c>
      <c r="D83" t="str">
        <f>IFERROR(LOOKUP(2,1/ISNUMBER('03_Base_Indice'!$K83:M83),COLUMN('03_Base_Indice'!$K83:M83)-COLUMN('03_Base_Indice'!$K83)+1),"")</f>
        <v/>
      </c>
      <c r="E83" t="str">
        <f>IFERROR(LOOKUP(2,1/ISNUMBER('03_Base_Indice'!$K83:N83),COLUMN('03_Base_Indice'!$K83:N83)-COLUMN('03_Base_Indice'!$K83)+1),"")</f>
        <v/>
      </c>
      <c r="F83" t="str">
        <f>IFERROR(LOOKUP(2,1/ISNUMBER('03_Base_Indice'!$K83:O83),COLUMN('03_Base_Indice'!$K83:O83)-COLUMN('03_Base_Indice'!$K83)+1),"")</f>
        <v/>
      </c>
      <c r="G83" t="str">
        <f>IFERROR(LOOKUP(2,1/ISNUMBER('03_Base_Indice'!$K83:P83),COLUMN('03_Base_Indice'!$K83:P83)-COLUMN('03_Base_Indice'!$K83)+1),"")</f>
        <v/>
      </c>
      <c r="H83" t="str">
        <f>IFERROR(LOOKUP(2,1/ISNUMBER('03_Base_Indice'!$K83:Q83),COLUMN('03_Base_Indice'!$K83:Q83)-COLUMN('03_Base_Indice'!$K83)+1),"")</f>
        <v/>
      </c>
      <c r="I83" t="str">
        <f>IFERROR(LOOKUP(2,1/ISNUMBER('03_Base_Indice'!$K83:R83),COLUMN('03_Base_Indice'!$K83:R83)-COLUMN('03_Base_Indice'!$K83)+1),"")</f>
        <v/>
      </c>
      <c r="J83" t="str">
        <f>IFERROR(LOOKUP(2,1/ISNUMBER('03_Base_Indice'!$K83:S83),COLUMN('03_Base_Indice'!$K83:S83)-COLUMN('03_Base_Indice'!$K83)+1),"")</f>
        <v/>
      </c>
      <c r="K83" t="str">
        <f>IFERROR(LOOKUP(2,1/ISNUMBER('03_Base_Indice'!$K83:T83),COLUMN('03_Base_Indice'!$K83:T83)-COLUMN('03_Base_Indice'!$K83)+1),"")</f>
        <v/>
      </c>
      <c r="L83" t="str">
        <f>IFERROR(LOOKUP(2,1/ISNUMBER('03_Base_Indice'!$K83:U83),COLUMN('03_Base_Indice'!$K83:U83)-COLUMN('03_Base_Indice'!$K83)+1),"")</f>
        <v/>
      </c>
      <c r="N83" t="str">
        <f>IFERROR(MATCH(TRUE,INDEX(ISNUMBER('03_Base_Indice'!K83:$U83),0),0)+0,"")</f>
        <v/>
      </c>
      <c r="O83" t="str">
        <f>IFERROR(MATCH(TRUE,INDEX(ISNUMBER('03_Base_Indice'!L83:$U83),0),0)+1,"")</f>
        <v/>
      </c>
      <c r="P83" t="str">
        <f>IFERROR(MATCH(TRUE,INDEX(ISNUMBER('03_Base_Indice'!M83:$U83),0),0)+2,"")</f>
        <v/>
      </c>
      <c r="Q83" t="str">
        <f>IFERROR(MATCH(TRUE,INDEX(ISNUMBER('03_Base_Indice'!N83:$U83),0),0)+3,"")</f>
        <v/>
      </c>
      <c r="R83" t="str">
        <f>IFERROR(MATCH(TRUE,INDEX(ISNUMBER('03_Base_Indice'!O83:$U83),0),0)+4,"")</f>
        <v/>
      </c>
      <c r="S83" t="str">
        <f>IFERROR(MATCH(TRUE,INDEX(ISNUMBER('03_Base_Indice'!P83:$U83),0),0)+5,"")</f>
        <v/>
      </c>
      <c r="T83" t="str">
        <f>IFERROR(MATCH(TRUE,INDEX(ISNUMBER('03_Base_Indice'!Q83:$U83),0),0)+6,"")</f>
        <v/>
      </c>
      <c r="U83" t="str">
        <f>IFERROR(MATCH(TRUE,INDEX(ISNUMBER('03_Base_Indice'!R83:$U83),0),0)+7,"")</f>
        <v/>
      </c>
      <c r="V83" t="str">
        <f>IFERROR(MATCH(TRUE,INDEX(ISNUMBER('03_Base_Indice'!S83:$U83),0),0)+8,"")</f>
        <v/>
      </c>
      <c r="W83" t="str">
        <f>IFERROR(MATCH(TRUE,INDEX(ISNUMBER('03_Base_Indice'!T83:$U83),0),0)+9,"")</f>
        <v/>
      </c>
      <c r="X83" t="str">
        <f>IFERROR(MATCH(TRUE,INDEX(ISNUMBER('03_Base_Indice'!U83:$U83),0),0)+10,"")</f>
        <v/>
      </c>
      <c r="Z83" t="str">
        <f>IF(B83="","",INDEX('03_Base_Indice'!$K83:$U83,B83))</f>
        <v/>
      </c>
      <c r="AA83" t="str">
        <f>IF(C83="","",INDEX('03_Base_Indice'!$K83:$U83,C83))</f>
        <v/>
      </c>
      <c r="AB83" t="str">
        <f>IF(D83="","",INDEX('03_Base_Indice'!$K83:$U83,D83))</f>
        <v/>
      </c>
      <c r="AC83" t="str">
        <f>IF(E83="","",INDEX('03_Base_Indice'!$K83:$U83,E83))</f>
        <v/>
      </c>
      <c r="AD83" t="str">
        <f>IF(F83="","",INDEX('03_Base_Indice'!$K83:$U83,F83))</f>
        <v/>
      </c>
      <c r="AE83" t="str">
        <f>IF(G83="","",INDEX('03_Base_Indice'!$K83:$U83,G83))</f>
        <v/>
      </c>
      <c r="AF83" t="str">
        <f>IF(H83="","",INDEX('03_Base_Indice'!$K83:$U83,H83))</f>
        <v/>
      </c>
      <c r="AG83" t="str">
        <f>IF(I83="","",INDEX('03_Base_Indice'!$K83:$U83,I83))</f>
        <v/>
      </c>
      <c r="AH83" t="str">
        <f>IF(J83="","",INDEX('03_Base_Indice'!$K83:$U83,J83))</f>
        <v/>
      </c>
      <c r="AI83" t="str">
        <f>IF(K83="","",INDEX('03_Base_Indice'!$K83:$U83,K83))</f>
        <v/>
      </c>
      <c r="AJ83" t="str">
        <f>IF(L83="","",INDEX('03_Base_Indice'!$K83:$U83,L83))</f>
        <v/>
      </c>
      <c r="AL83" t="str">
        <f>IF(N83="","",INDEX('03_Base_Indice'!$K83:$U83,N83))</f>
        <v/>
      </c>
      <c r="AM83" t="str">
        <f>IF(O83="","",INDEX('03_Base_Indice'!$K83:$U83,O83))</f>
        <v/>
      </c>
      <c r="AN83" t="str">
        <f>IF(P83="","",INDEX('03_Base_Indice'!$K83:$U83,P83))</f>
        <v/>
      </c>
      <c r="AO83" t="str">
        <f>IF(Q83="","",INDEX('03_Base_Indice'!$K83:$U83,Q83))</f>
        <v/>
      </c>
      <c r="AP83" t="str">
        <f>IF(R83="","",INDEX('03_Base_Indice'!$K83:$U83,R83))</f>
        <v/>
      </c>
      <c r="AQ83" t="str">
        <f>IF(S83="","",INDEX('03_Base_Indice'!$K83:$U83,S83))</f>
        <v/>
      </c>
      <c r="AR83" t="str">
        <f>IF(T83="","",INDEX('03_Base_Indice'!$K83:$U83,T83))</f>
        <v/>
      </c>
      <c r="AS83" t="str">
        <f>IF(U83="","",INDEX('03_Base_Indice'!$K83:$U83,U83))</f>
        <v/>
      </c>
      <c r="AT83" t="str">
        <f>IF(V83="","",INDEX('03_Base_Indice'!$K83:$U83,V83))</f>
        <v/>
      </c>
      <c r="AU83" t="str">
        <f>IF(W83="","",INDEX('03_Base_Indice'!$K83:$U83,W83))</f>
        <v/>
      </c>
      <c r="AV83" t="str">
        <f>IF(X83="","",INDEX('03_Base_Indice'!$K83:$U83,X83))</f>
        <v/>
      </c>
      <c r="AX83">
        <f>IF('06_Normalizacao'!K83="",0,'06_Normalizacao'!K83)</f>
        <v>0</v>
      </c>
      <c r="AY83">
        <f>IF('06_Normalizacao'!L83="",0,'06_Normalizacao'!L83)</f>
        <v>0</v>
      </c>
      <c r="AZ83">
        <f>IF('06_Normalizacao'!M83="",0,'06_Normalizacao'!M83)</f>
        <v>0</v>
      </c>
      <c r="BA83">
        <f>IF('06_Normalizacao'!N83="",0,'06_Normalizacao'!N83)</f>
        <v>0</v>
      </c>
      <c r="BB83">
        <f>IF('06_Normalizacao'!O83="",0,'06_Normalizacao'!O83)</f>
        <v>0</v>
      </c>
      <c r="BC83">
        <f>IF('06_Normalizacao'!P83="",0,'06_Normalizacao'!P83)</f>
        <v>0</v>
      </c>
      <c r="BD83">
        <f>IF('06_Normalizacao'!Q83="",0,'06_Normalizacao'!Q83)</f>
        <v>0</v>
      </c>
      <c r="BE83">
        <f>IF('06_Normalizacao'!R83="",0,'06_Normalizacao'!R83)</f>
        <v>0</v>
      </c>
      <c r="BF83">
        <f>IF('06_Normalizacao'!S83="",0,'06_Normalizacao'!S83)</f>
        <v>0</v>
      </c>
      <c r="BG83">
        <f>IF('06_Normalizacao'!T83="",0,'06_Normalizacao'!T83)</f>
        <v>0</v>
      </c>
      <c r="BH83">
        <f>IF('06_Normalizacao'!U83="",0,'06_Normalizacao'!U83)</f>
        <v>0</v>
      </c>
      <c r="BJ83">
        <f>IF('06_Normalizacao'!K83="",0,1)</f>
        <v>0</v>
      </c>
      <c r="BK83">
        <f>IF('06_Normalizacao'!L83="",0,1)</f>
        <v>0</v>
      </c>
      <c r="BL83">
        <f>IF('06_Normalizacao'!M83="",0,1)</f>
        <v>0</v>
      </c>
      <c r="BM83">
        <f>IF('06_Normalizacao'!N83="",0,1)</f>
        <v>0</v>
      </c>
      <c r="BN83">
        <f>IF('06_Normalizacao'!O83="",0,1)</f>
        <v>0</v>
      </c>
      <c r="BO83">
        <f>IF('06_Normalizacao'!P83="",0,1)</f>
        <v>0</v>
      </c>
      <c r="BP83">
        <f>IF('06_Normalizacao'!Q83="",0,1)</f>
        <v>0</v>
      </c>
      <c r="BQ83">
        <f>IF('06_Normalizacao'!R83="",0,1)</f>
        <v>0</v>
      </c>
      <c r="BR83">
        <f>IF('06_Normalizacao'!S83="",0,1)</f>
        <v>0</v>
      </c>
      <c r="BS83">
        <f>IF('06_Normalizacao'!T83="",0,1)</f>
        <v>0</v>
      </c>
      <c r="BT83">
        <f>IF('06_Normalizacao'!U83="",0,1)</f>
        <v>0</v>
      </c>
    </row>
    <row r="84" spans="1:72">
      <c r="A84" s="6" t="str">
        <f>'03_Base_Indice'!D84</f>
        <v/>
      </c>
      <c r="B84" t="str">
        <f>IFERROR(LOOKUP(2,1/ISNUMBER('03_Base_Indice'!$K84:K84),COLUMN('03_Base_Indice'!$K84:K84)-COLUMN('03_Base_Indice'!$K84)+1),"")</f>
        <v/>
      </c>
      <c r="C84" t="str">
        <f>IFERROR(LOOKUP(2,1/ISNUMBER('03_Base_Indice'!$K84:L84),COLUMN('03_Base_Indice'!$K84:L84)-COLUMN('03_Base_Indice'!$K84)+1),"")</f>
        <v/>
      </c>
      <c r="D84" t="str">
        <f>IFERROR(LOOKUP(2,1/ISNUMBER('03_Base_Indice'!$K84:M84),COLUMN('03_Base_Indice'!$K84:M84)-COLUMN('03_Base_Indice'!$K84)+1),"")</f>
        <v/>
      </c>
      <c r="E84" t="str">
        <f>IFERROR(LOOKUP(2,1/ISNUMBER('03_Base_Indice'!$K84:N84),COLUMN('03_Base_Indice'!$K84:N84)-COLUMN('03_Base_Indice'!$K84)+1),"")</f>
        <v/>
      </c>
      <c r="F84" t="str">
        <f>IFERROR(LOOKUP(2,1/ISNUMBER('03_Base_Indice'!$K84:O84),COLUMN('03_Base_Indice'!$K84:O84)-COLUMN('03_Base_Indice'!$K84)+1),"")</f>
        <v/>
      </c>
      <c r="G84" t="str">
        <f>IFERROR(LOOKUP(2,1/ISNUMBER('03_Base_Indice'!$K84:P84),COLUMN('03_Base_Indice'!$K84:P84)-COLUMN('03_Base_Indice'!$K84)+1),"")</f>
        <v/>
      </c>
      <c r="H84" t="str">
        <f>IFERROR(LOOKUP(2,1/ISNUMBER('03_Base_Indice'!$K84:Q84),COLUMN('03_Base_Indice'!$K84:Q84)-COLUMN('03_Base_Indice'!$K84)+1),"")</f>
        <v/>
      </c>
      <c r="I84" t="str">
        <f>IFERROR(LOOKUP(2,1/ISNUMBER('03_Base_Indice'!$K84:R84),COLUMN('03_Base_Indice'!$K84:R84)-COLUMN('03_Base_Indice'!$K84)+1),"")</f>
        <v/>
      </c>
      <c r="J84" t="str">
        <f>IFERROR(LOOKUP(2,1/ISNUMBER('03_Base_Indice'!$K84:S84),COLUMN('03_Base_Indice'!$K84:S84)-COLUMN('03_Base_Indice'!$K84)+1),"")</f>
        <v/>
      </c>
      <c r="K84" t="str">
        <f>IFERROR(LOOKUP(2,1/ISNUMBER('03_Base_Indice'!$K84:T84),COLUMN('03_Base_Indice'!$K84:T84)-COLUMN('03_Base_Indice'!$K84)+1),"")</f>
        <v/>
      </c>
      <c r="L84" t="str">
        <f>IFERROR(LOOKUP(2,1/ISNUMBER('03_Base_Indice'!$K84:U84),COLUMN('03_Base_Indice'!$K84:U84)-COLUMN('03_Base_Indice'!$K84)+1),"")</f>
        <v/>
      </c>
      <c r="N84" t="str">
        <f>IFERROR(MATCH(TRUE,INDEX(ISNUMBER('03_Base_Indice'!K84:$U84),0),0)+0,"")</f>
        <v/>
      </c>
      <c r="O84" t="str">
        <f>IFERROR(MATCH(TRUE,INDEX(ISNUMBER('03_Base_Indice'!L84:$U84),0),0)+1,"")</f>
        <v/>
      </c>
      <c r="P84" t="str">
        <f>IFERROR(MATCH(TRUE,INDEX(ISNUMBER('03_Base_Indice'!M84:$U84),0),0)+2,"")</f>
        <v/>
      </c>
      <c r="Q84" t="str">
        <f>IFERROR(MATCH(TRUE,INDEX(ISNUMBER('03_Base_Indice'!N84:$U84),0),0)+3,"")</f>
        <v/>
      </c>
      <c r="R84" t="str">
        <f>IFERROR(MATCH(TRUE,INDEX(ISNUMBER('03_Base_Indice'!O84:$U84),0),0)+4,"")</f>
        <v/>
      </c>
      <c r="S84" t="str">
        <f>IFERROR(MATCH(TRUE,INDEX(ISNUMBER('03_Base_Indice'!P84:$U84),0),0)+5,"")</f>
        <v/>
      </c>
      <c r="T84" t="str">
        <f>IFERROR(MATCH(TRUE,INDEX(ISNUMBER('03_Base_Indice'!Q84:$U84),0),0)+6,"")</f>
        <v/>
      </c>
      <c r="U84" t="str">
        <f>IFERROR(MATCH(TRUE,INDEX(ISNUMBER('03_Base_Indice'!R84:$U84),0),0)+7,"")</f>
        <v/>
      </c>
      <c r="V84" t="str">
        <f>IFERROR(MATCH(TRUE,INDEX(ISNUMBER('03_Base_Indice'!S84:$U84),0),0)+8,"")</f>
        <v/>
      </c>
      <c r="W84" t="str">
        <f>IFERROR(MATCH(TRUE,INDEX(ISNUMBER('03_Base_Indice'!T84:$U84),0),0)+9,"")</f>
        <v/>
      </c>
      <c r="X84" t="str">
        <f>IFERROR(MATCH(TRUE,INDEX(ISNUMBER('03_Base_Indice'!U84:$U84),0),0)+10,"")</f>
        <v/>
      </c>
      <c r="Z84" t="str">
        <f>IF(B84="","",INDEX('03_Base_Indice'!$K84:$U84,B84))</f>
        <v/>
      </c>
      <c r="AA84" t="str">
        <f>IF(C84="","",INDEX('03_Base_Indice'!$K84:$U84,C84))</f>
        <v/>
      </c>
      <c r="AB84" t="str">
        <f>IF(D84="","",INDEX('03_Base_Indice'!$K84:$U84,D84))</f>
        <v/>
      </c>
      <c r="AC84" t="str">
        <f>IF(E84="","",INDEX('03_Base_Indice'!$K84:$U84,E84))</f>
        <v/>
      </c>
      <c r="AD84" t="str">
        <f>IF(F84="","",INDEX('03_Base_Indice'!$K84:$U84,F84))</f>
        <v/>
      </c>
      <c r="AE84" t="str">
        <f>IF(G84="","",INDEX('03_Base_Indice'!$K84:$U84,G84))</f>
        <v/>
      </c>
      <c r="AF84" t="str">
        <f>IF(H84="","",INDEX('03_Base_Indice'!$K84:$U84,H84))</f>
        <v/>
      </c>
      <c r="AG84" t="str">
        <f>IF(I84="","",INDEX('03_Base_Indice'!$K84:$U84,I84))</f>
        <v/>
      </c>
      <c r="AH84" t="str">
        <f>IF(J84="","",INDEX('03_Base_Indice'!$K84:$U84,J84))</f>
        <v/>
      </c>
      <c r="AI84" t="str">
        <f>IF(K84="","",INDEX('03_Base_Indice'!$K84:$U84,K84))</f>
        <v/>
      </c>
      <c r="AJ84" t="str">
        <f>IF(L84="","",INDEX('03_Base_Indice'!$K84:$U84,L84))</f>
        <v/>
      </c>
      <c r="AL84" t="str">
        <f>IF(N84="","",INDEX('03_Base_Indice'!$K84:$U84,N84))</f>
        <v/>
      </c>
      <c r="AM84" t="str">
        <f>IF(O84="","",INDEX('03_Base_Indice'!$K84:$U84,O84))</f>
        <v/>
      </c>
      <c r="AN84" t="str">
        <f>IF(P84="","",INDEX('03_Base_Indice'!$K84:$U84,P84))</f>
        <v/>
      </c>
      <c r="AO84" t="str">
        <f>IF(Q84="","",INDEX('03_Base_Indice'!$K84:$U84,Q84))</f>
        <v/>
      </c>
      <c r="AP84" t="str">
        <f>IF(R84="","",INDEX('03_Base_Indice'!$K84:$U84,R84))</f>
        <v/>
      </c>
      <c r="AQ84" t="str">
        <f>IF(S84="","",INDEX('03_Base_Indice'!$K84:$U84,S84))</f>
        <v/>
      </c>
      <c r="AR84" t="str">
        <f>IF(T84="","",INDEX('03_Base_Indice'!$K84:$U84,T84))</f>
        <v/>
      </c>
      <c r="AS84" t="str">
        <f>IF(U84="","",INDEX('03_Base_Indice'!$K84:$U84,U84))</f>
        <v/>
      </c>
      <c r="AT84" t="str">
        <f>IF(V84="","",INDEX('03_Base_Indice'!$K84:$U84,V84))</f>
        <v/>
      </c>
      <c r="AU84" t="str">
        <f>IF(W84="","",INDEX('03_Base_Indice'!$K84:$U84,W84))</f>
        <v/>
      </c>
      <c r="AV84" t="str">
        <f>IF(X84="","",INDEX('03_Base_Indice'!$K84:$U84,X84))</f>
        <v/>
      </c>
      <c r="AX84">
        <f>IF('06_Normalizacao'!K84="",0,'06_Normalizacao'!K84)</f>
        <v>0</v>
      </c>
      <c r="AY84">
        <f>IF('06_Normalizacao'!L84="",0,'06_Normalizacao'!L84)</f>
        <v>0</v>
      </c>
      <c r="AZ84">
        <f>IF('06_Normalizacao'!M84="",0,'06_Normalizacao'!M84)</f>
        <v>0</v>
      </c>
      <c r="BA84">
        <f>IF('06_Normalizacao'!N84="",0,'06_Normalizacao'!N84)</f>
        <v>0</v>
      </c>
      <c r="BB84">
        <f>IF('06_Normalizacao'!O84="",0,'06_Normalizacao'!O84)</f>
        <v>0</v>
      </c>
      <c r="BC84">
        <f>IF('06_Normalizacao'!P84="",0,'06_Normalizacao'!P84)</f>
        <v>0</v>
      </c>
      <c r="BD84">
        <f>IF('06_Normalizacao'!Q84="",0,'06_Normalizacao'!Q84)</f>
        <v>0</v>
      </c>
      <c r="BE84">
        <f>IF('06_Normalizacao'!R84="",0,'06_Normalizacao'!R84)</f>
        <v>0</v>
      </c>
      <c r="BF84">
        <f>IF('06_Normalizacao'!S84="",0,'06_Normalizacao'!S84)</f>
        <v>0</v>
      </c>
      <c r="BG84">
        <f>IF('06_Normalizacao'!T84="",0,'06_Normalizacao'!T84)</f>
        <v>0</v>
      </c>
      <c r="BH84">
        <f>IF('06_Normalizacao'!U84="",0,'06_Normalizacao'!U84)</f>
        <v>0</v>
      </c>
      <c r="BJ84">
        <f>IF('06_Normalizacao'!K84="",0,1)</f>
        <v>0</v>
      </c>
      <c r="BK84">
        <f>IF('06_Normalizacao'!L84="",0,1)</f>
        <v>0</v>
      </c>
      <c r="BL84">
        <f>IF('06_Normalizacao'!M84="",0,1)</f>
        <v>0</v>
      </c>
      <c r="BM84">
        <f>IF('06_Normalizacao'!N84="",0,1)</f>
        <v>0</v>
      </c>
      <c r="BN84">
        <f>IF('06_Normalizacao'!O84="",0,1)</f>
        <v>0</v>
      </c>
      <c r="BO84">
        <f>IF('06_Normalizacao'!P84="",0,1)</f>
        <v>0</v>
      </c>
      <c r="BP84">
        <f>IF('06_Normalizacao'!Q84="",0,1)</f>
        <v>0</v>
      </c>
      <c r="BQ84">
        <f>IF('06_Normalizacao'!R84="",0,1)</f>
        <v>0</v>
      </c>
      <c r="BR84">
        <f>IF('06_Normalizacao'!S84="",0,1)</f>
        <v>0</v>
      </c>
      <c r="BS84">
        <f>IF('06_Normalizacao'!T84="",0,1)</f>
        <v>0</v>
      </c>
      <c r="BT84">
        <f>IF('06_Normalizacao'!U84="",0,1)</f>
        <v>0</v>
      </c>
    </row>
    <row r="85" spans="1:72">
      <c r="A85" s="6" t="str">
        <f>'03_Base_Indice'!D85</f>
        <v/>
      </c>
      <c r="B85" t="str">
        <f>IFERROR(LOOKUP(2,1/ISNUMBER('03_Base_Indice'!$K85:K85),COLUMN('03_Base_Indice'!$K85:K85)-COLUMN('03_Base_Indice'!$K85)+1),"")</f>
        <v/>
      </c>
      <c r="C85" t="str">
        <f>IFERROR(LOOKUP(2,1/ISNUMBER('03_Base_Indice'!$K85:L85),COLUMN('03_Base_Indice'!$K85:L85)-COLUMN('03_Base_Indice'!$K85)+1),"")</f>
        <v/>
      </c>
      <c r="D85" t="str">
        <f>IFERROR(LOOKUP(2,1/ISNUMBER('03_Base_Indice'!$K85:M85),COLUMN('03_Base_Indice'!$K85:M85)-COLUMN('03_Base_Indice'!$K85)+1),"")</f>
        <v/>
      </c>
      <c r="E85" t="str">
        <f>IFERROR(LOOKUP(2,1/ISNUMBER('03_Base_Indice'!$K85:N85),COLUMN('03_Base_Indice'!$K85:N85)-COLUMN('03_Base_Indice'!$K85)+1),"")</f>
        <v/>
      </c>
      <c r="F85" t="str">
        <f>IFERROR(LOOKUP(2,1/ISNUMBER('03_Base_Indice'!$K85:O85),COLUMN('03_Base_Indice'!$K85:O85)-COLUMN('03_Base_Indice'!$K85)+1),"")</f>
        <v/>
      </c>
      <c r="G85" t="str">
        <f>IFERROR(LOOKUP(2,1/ISNUMBER('03_Base_Indice'!$K85:P85),COLUMN('03_Base_Indice'!$K85:P85)-COLUMN('03_Base_Indice'!$K85)+1),"")</f>
        <v/>
      </c>
      <c r="H85" t="str">
        <f>IFERROR(LOOKUP(2,1/ISNUMBER('03_Base_Indice'!$K85:Q85),COLUMN('03_Base_Indice'!$K85:Q85)-COLUMN('03_Base_Indice'!$K85)+1),"")</f>
        <v/>
      </c>
      <c r="I85" t="str">
        <f>IFERROR(LOOKUP(2,1/ISNUMBER('03_Base_Indice'!$K85:R85),COLUMN('03_Base_Indice'!$K85:R85)-COLUMN('03_Base_Indice'!$K85)+1),"")</f>
        <v/>
      </c>
      <c r="J85" t="str">
        <f>IFERROR(LOOKUP(2,1/ISNUMBER('03_Base_Indice'!$K85:S85),COLUMN('03_Base_Indice'!$K85:S85)-COLUMN('03_Base_Indice'!$K85)+1),"")</f>
        <v/>
      </c>
      <c r="K85" t="str">
        <f>IFERROR(LOOKUP(2,1/ISNUMBER('03_Base_Indice'!$K85:T85),COLUMN('03_Base_Indice'!$K85:T85)-COLUMN('03_Base_Indice'!$K85)+1),"")</f>
        <v/>
      </c>
      <c r="L85" t="str">
        <f>IFERROR(LOOKUP(2,1/ISNUMBER('03_Base_Indice'!$K85:U85),COLUMN('03_Base_Indice'!$K85:U85)-COLUMN('03_Base_Indice'!$K85)+1),"")</f>
        <v/>
      </c>
      <c r="N85" t="str">
        <f>IFERROR(MATCH(TRUE,INDEX(ISNUMBER('03_Base_Indice'!K85:$U85),0),0)+0,"")</f>
        <v/>
      </c>
      <c r="O85" t="str">
        <f>IFERROR(MATCH(TRUE,INDEX(ISNUMBER('03_Base_Indice'!L85:$U85),0),0)+1,"")</f>
        <v/>
      </c>
      <c r="P85" t="str">
        <f>IFERROR(MATCH(TRUE,INDEX(ISNUMBER('03_Base_Indice'!M85:$U85),0),0)+2,"")</f>
        <v/>
      </c>
      <c r="Q85" t="str">
        <f>IFERROR(MATCH(TRUE,INDEX(ISNUMBER('03_Base_Indice'!N85:$U85),0),0)+3,"")</f>
        <v/>
      </c>
      <c r="R85" t="str">
        <f>IFERROR(MATCH(TRUE,INDEX(ISNUMBER('03_Base_Indice'!O85:$U85),0),0)+4,"")</f>
        <v/>
      </c>
      <c r="S85" t="str">
        <f>IFERROR(MATCH(TRUE,INDEX(ISNUMBER('03_Base_Indice'!P85:$U85),0),0)+5,"")</f>
        <v/>
      </c>
      <c r="T85" t="str">
        <f>IFERROR(MATCH(TRUE,INDEX(ISNUMBER('03_Base_Indice'!Q85:$U85),0),0)+6,"")</f>
        <v/>
      </c>
      <c r="U85" t="str">
        <f>IFERROR(MATCH(TRUE,INDEX(ISNUMBER('03_Base_Indice'!R85:$U85),0),0)+7,"")</f>
        <v/>
      </c>
      <c r="V85" t="str">
        <f>IFERROR(MATCH(TRUE,INDEX(ISNUMBER('03_Base_Indice'!S85:$U85),0),0)+8,"")</f>
        <v/>
      </c>
      <c r="W85" t="str">
        <f>IFERROR(MATCH(TRUE,INDEX(ISNUMBER('03_Base_Indice'!T85:$U85),0),0)+9,"")</f>
        <v/>
      </c>
      <c r="X85" t="str">
        <f>IFERROR(MATCH(TRUE,INDEX(ISNUMBER('03_Base_Indice'!U85:$U85),0),0)+10,"")</f>
        <v/>
      </c>
      <c r="Z85" t="str">
        <f>IF(B85="","",INDEX('03_Base_Indice'!$K85:$U85,B85))</f>
        <v/>
      </c>
      <c r="AA85" t="str">
        <f>IF(C85="","",INDEX('03_Base_Indice'!$K85:$U85,C85))</f>
        <v/>
      </c>
      <c r="AB85" t="str">
        <f>IF(D85="","",INDEX('03_Base_Indice'!$K85:$U85,D85))</f>
        <v/>
      </c>
      <c r="AC85" t="str">
        <f>IF(E85="","",INDEX('03_Base_Indice'!$K85:$U85,E85))</f>
        <v/>
      </c>
      <c r="AD85" t="str">
        <f>IF(F85="","",INDEX('03_Base_Indice'!$K85:$U85,F85))</f>
        <v/>
      </c>
      <c r="AE85" t="str">
        <f>IF(G85="","",INDEX('03_Base_Indice'!$K85:$U85,G85))</f>
        <v/>
      </c>
      <c r="AF85" t="str">
        <f>IF(H85="","",INDEX('03_Base_Indice'!$K85:$U85,H85))</f>
        <v/>
      </c>
      <c r="AG85" t="str">
        <f>IF(I85="","",INDEX('03_Base_Indice'!$K85:$U85,I85))</f>
        <v/>
      </c>
      <c r="AH85" t="str">
        <f>IF(J85="","",INDEX('03_Base_Indice'!$K85:$U85,J85))</f>
        <v/>
      </c>
      <c r="AI85" t="str">
        <f>IF(K85="","",INDEX('03_Base_Indice'!$K85:$U85,K85))</f>
        <v/>
      </c>
      <c r="AJ85" t="str">
        <f>IF(L85="","",INDEX('03_Base_Indice'!$K85:$U85,L85))</f>
        <v/>
      </c>
      <c r="AL85" t="str">
        <f>IF(N85="","",INDEX('03_Base_Indice'!$K85:$U85,N85))</f>
        <v/>
      </c>
      <c r="AM85" t="str">
        <f>IF(O85="","",INDEX('03_Base_Indice'!$K85:$U85,O85))</f>
        <v/>
      </c>
      <c r="AN85" t="str">
        <f>IF(P85="","",INDEX('03_Base_Indice'!$K85:$U85,P85))</f>
        <v/>
      </c>
      <c r="AO85" t="str">
        <f>IF(Q85="","",INDEX('03_Base_Indice'!$K85:$U85,Q85))</f>
        <v/>
      </c>
      <c r="AP85" t="str">
        <f>IF(R85="","",INDEX('03_Base_Indice'!$K85:$U85,R85))</f>
        <v/>
      </c>
      <c r="AQ85" t="str">
        <f>IF(S85="","",INDEX('03_Base_Indice'!$K85:$U85,S85))</f>
        <v/>
      </c>
      <c r="AR85" t="str">
        <f>IF(T85="","",INDEX('03_Base_Indice'!$K85:$U85,T85))</f>
        <v/>
      </c>
      <c r="AS85" t="str">
        <f>IF(U85="","",INDEX('03_Base_Indice'!$K85:$U85,U85))</f>
        <v/>
      </c>
      <c r="AT85" t="str">
        <f>IF(V85="","",INDEX('03_Base_Indice'!$K85:$U85,V85))</f>
        <v/>
      </c>
      <c r="AU85" t="str">
        <f>IF(W85="","",INDEX('03_Base_Indice'!$K85:$U85,W85))</f>
        <v/>
      </c>
      <c r="AV85" t="str">
        <f>IF(X85="","",INDEX('03_Base_Indice'!$K85:$U85,X85))</f>
        <v/>
      </c>
      <c r="AX85">
        <f>IF('06_Normalizacao'!K85="",0,'06_Normalizacao'!K85)</f>
        <v>0</v>
      </c>
      <c r="AY85">
        <f>IF('06_Normalizacao'!L85="",0,'06_Normalizacao'!L85)</f>
        <v>0</v>
      </c>
      <c r="AZ85">
        <f>IF('06_Normalizacao'!M85="",0,'06_Normalizacao'!M85)</f>
        <v>0</v>
      </c>
      <c r="BA85">
        <f>IF('06_Normalizacao'!N85="",0,'06_Normalizacao'!N85)</f>
        <v>0</v>
      </c>
      <c r="BB85">
        <f>IF('06_Normalizacao'!O85="",0,'06_Normalizacao'!O85)</f>
        <v>0</v>
      </c>
      <c r="BC85">
        <f>IF('06_Normalizacao'!P85="",0,'06_Normalizacao'!P85)</f>
        <v>0</v>
      </c>
      <c r="BD85">
        <f>IF('06_Normalizacao'!Q85="",0,'06_Normalizacao'!Q85)</f>
        <v>0</v>
      </c>
      <c r="BE85">
        <f>IF('06_Normalizacao'!R85="",0,'06_Normalizacao'!R85)</f>
        <v>0</v>
      </c>
      <c r="BF85">
        <f>IF('06_Normalizacao'!S85="",0,'06_Normalizacao'!S85)</f>
        <v>0</v>
      </c>
      <c r="BG85">
        <f>IF('06_Normalizacao'!T85="",0,'06_Normalizacao'!T85)</f>
        <v>0</v>
      </c>
      <c r="BH85">
        <f>IF('06_Normalizacao'!U85="",0,'06_Normalizacao'!U85)</f>
        <v>0</v>
      </c>
      <c r="BJ85">
        <f>IF('06_Normalizacao'!K85="",0,1)</f>
        <v>0</v>
      </c>
      <c r="BK85">
        <f>IF('06_Normalizacao'!L85="",0,1)</f>
        <v>0</v>
      </c>
      <c r="BL85">
        <f>IF('06_Normalizacao'!M85="",0,1)</f>
        <v>0</v>
      </c>
      <c r="BM85">
        <f>IF('06_Normalizacao'!N85="",0,1)</f>
        <v>0</v>
      </c>
      <c r="BN85">
        <f>IF('06_Normalizacao'!O85="",0,1)</f>
        <v>0</v>
      </c>
      <c r="BO85">
        <f>IF('06_Normalizacao'!P85="",0,1)</f>
        <v>0</v>
      </c>
      <c r="BP85">
        <f>IF('06_Normalizacao'!Q85="",0,1)</f>
        <v>0</v>
      </c>
      <c r="BQ85">
        <f>IF('06_Normalizacao'!R85="",0,1)</f>
        <v>0</v>
      </c>
      <c r="BR85">
        <f>IF('06_Normalizacao'!S85="",0,1)</f>
        <v>0</v>
      </c>
      <c r="BS85">
        <f>IF('06_Normalizacao'!T85="",0,1)</f>
        <v>0</v>
      </c>
      <c r="BT85">
        <f>IF('06_Normalizacao'!U85="",0,1)</f>
        <v>0</v>
      </c>
    </row>
    <row r="86" spans="1:72">
      <c r="A86" s="6" t="str">
        <f>'03_Base_Indice'!D86</f>
        <v/>
      </c>
      <c r="B86" t="str">
        <f>IFERROR(LOOKUP(2,1/ISNUMBER('03_Base_Indice'!$K86:K86),COLUMN('03_Base_Indice'!$K86:K86)-COLUMN('03_Base_Indice'!$K86)+1),"")</f>
        <v/>
      </c>
      <c r="C86" t="str">
        <f>IFERROR(LOOKUP(2,1/ISNUMBER('03_Base_Indice'!$K86:L86),COLUMN('03_Base_Indice'!$K86:L86)-COLUMN('03_Base_Indice'!$K86)+1),"")</f>
        <v/>
      </c>
      <c r="D86" t="str">
        <f>IFERROR(LOOKUP(2,1/ISNUMBER('03_Base_Indice'!$K86:M86),COLUMN('03_Base_Indice'!$K86:M86)-COLUMN('03_Base_Indice'!$K86)+1),"")</f>
        <v/>
      </c>
      <c r="E86" t="str">
        <f>IFERROR(LOOKUP(2,1/ISNUMBER('03_Base_Indice'!$K86:N86),COLUMN('03_Base_Indice'!$K86:N86)-COLUMN('03_Base_Indice'!$K86)+1),"")</f>
        <v/>
      </c>
      <c r="F86" t="str">
        <f>IFERROR(LOOKUP(2,1/ISNUMBER('03_Base_Indice'!$K86:O86),COLUMN('03_Base_Indice'!$K86:O86)-COLUMN('03_Base_Indice'!$K86)+1),"")</f>
        <v/>
      </c>
      <c r="G86" t="str">
        <f>IFERROR(LOOKUP(2,1/ISNUMBER('03_Base_Indice'!$K86:P86),COLUMN('03_Base_Indice'!$K86:P86)-COLUMN('03_Base_Indice'!$K86)+1),"")</f>
        <v/>
      </c>
      <c r="H86" t="str">
        <f>IFERROR(LOOKUP(2,1/ISNUMBER('03_Base_Indice'!$K86:Q86),COLUMN('03_Base_Indice'!$K86:Q86)-COLUMN('03_Base_Indice'!$K86)+1),"")</f>
        <v/>
      </c>
      <c r="I86" t="str">
        <f>IFERROR(LOOKUP(2,1/ISNUMBER('03_Base_Indice'!$K86:R86),COLUMN('03_Base_Indice'!$K86:R86)-COLUMN('03_Base_Indice'!$K86)+1),"")</f>
        <v/>
      </c>
      <c r="J86" t="str">
        <f>IFERROR(LOOKUP(2,1/ISNUMBER('03_Base_Indice'!$K86:S86),COLUMN('03_Base_Indice'!$K86:S86)-COLUMN('03_Base_Indice'!$K86)+1),"")</f>
        <v/>
      </c>
      <c r="K86" t="str">
        <f>IFERROR(LOOKUP(2,1/ISNUMBER('03_Base_Indice'!$K86:T86),COLUMN('03_Base_Indice'!$K86:T86)-COLUMN('03_Base_Indice'!$K86)+1),"")</f>
        <v/>
      </c>
      <c r="L86" t="str">
        <f>IFERROR(LOOKUP(2,1/ISNUMBER('03_Base_Indice'!$K86:U86),COLUMN('03_Base_Indice'!$K86:U86)-COLUMN('03_Base_Indice'!$K86)+1),"")</f>
        <v/>
      </c>
      <c r="N86" t="str">
        <f>IFERROR(MATCH(TRUE,INDEX(ISNUMBER('03_Base_Indice'!K86:$U86),0),0)+0,"")</f>
        <v/>
      </c>
      <c r="O86" t="str">
        <f>IFERROR(MATCH(TRUE,INDEX(ISNUMBER('03_Base_Indice'!L86:$U86),0),0)+1,"")</f>
        <v/>
      </c>
      <c r="P86" t="str">
        <f>IFERROR(MATCH(TRUE,INDEX(ISNUMBER('03_Base_Indice'!M86:$U86),0),0)+2,"")</f>
        <v/>
      </c>
      <c r="Q86" t="str">
        <f>IFERROR(MATCH(TRUE,INDEX(ISNUMBER('03_Base_Indice'!N86:$U86),0),0)+3,"")</f>
        <v/>
      </c>
      <c r="R86" t="str">
        <f>IFERROR(MATCH(TRUE,INDEX(ISNUMBER('03_Base_Indice'!O86:$U86),0),0)+4,"")</f>
        <v/>
      </c>
      <c r="S86" t="str">
        <f>IFERROR(MATCH(TRUE,INDEX(ISNUMBER('03_Base_Indice'!P86:$U86),0),0)+5,"")</f>
        <v/>
      </c>
      <c r="T86" t="str">
        <f>IFERROR(MATCH(TRUE,INDEX(ISNUMBER('03_Base_Indice'!Q86:$U86),0),0)+6,"")</f>
        <v/>
      </c>
      <c r="U86" t="str">
        <f>IFERROR(MATCH(TRUE,INDEX(ISNUMBER('03_Base_Indice'!R86:$U86),0),0)+7,"")</f>
        <v/>
      </c>
      <c r="V86" t="str">
        <f>IFERROR(MATCH(TRUE,INDEX(ISNUMBER('03_Base_Indice'!S86:$U86),0),0)+8,"")</f>
        <v/>
      </c>
      <c r="W86" t="str">
        <f>IFERROR(MATCH(TRUE,INDEX(ISNUMBER('03_Base_Indice'!T86:$U86),0),0)+9,"")</f>
        <v/>
      </c>
      <c r="X86" t="str">
        <f>IFERROR(MATCH(TRUE,INDEX(ISNUMBER('03_Base_Indice'!U86:$U86),0),0)+10,"")</f>
        <v/>
      </c>
      <c r="Z86" t="str">
        <f>IF(B86="","",INDEX('03_Base_Indice'!$K86:$U86,B86))</f>
        <v/>
      </c>
      <c r="AA86" t="str">
        <f>IF(C86="","",INDEX('03_Base_Indice'!$K86:$U86,C86))</f>
        <v/>
      </c>
      <c r="AB86" t="str">
        <f>IF(D86="","",INDEX('03_Base_Indice'!$K86:$U86,D86))</f>
        <v/>
      </c>
      <c r="AC86" t="str">
        <f>IF(E86="","",INDEX('03_Base_Indice'!$K86:$U86,E86))</f>
        <v/>
      </c>
      <c r="AD86" t="str">
        <f>IF(F86="","",INDEX('03_Base_Indice'!$K86:$U86,F86))</f>
        <v/>
      </c>
      <c r="AE86" t="str">
        <f>IF(G86="","",INDEX('03_Base_Indice'!$K86:$U86,G86))</f>
        <v/>
      </c>
      <c r="AF86" t="str">
        <f>IF(H86="","",INDEX('03_Base_Indice'!$K86:$U86,H86))</f>
        <v/>
      </c>
      <c r="AG86" t="str">
        <f>IF(I86="","",INDEX('03_Base_Indice'!$K86:$U86,I86))</f>
        <v/>
      </c>
      <c r="AH86" t="str">
        <f>IF(J86="","",INDEX('03_Base_Indice'!$K86:$U86,J86))</f>
        <v/>
      </c>
      <c r="AI86" t="str">
        <f>IF(K86="","",INDEX('03_Base_Indice'!$K86:$U86,K86))</f>
        <v/>
      </c>
      <c r="AJ86" t="str">
        <f>IF(L86="","",INDEX('03_Base_Indice'!$K86:$U86,L86))</f>
        <v/>
      </c>
      <c r="AL86" t="str">
        <f>IF(N86="","",INDEX('03_Base_Indice'!$K86:$U86,N86))</f>
        <v/>
      </c>
      <c r="AM86" t="str">
        <f>IF(O86="","",INDEX('03_Base_Indice'!$K86:$U86,O86))</f>
        <v/>
      </c>
      <c r="AN86" t="str">
        <f>IF(P86="","",INDEX('03_Base_Indice'!$K86:$U86,P86))</f>
        <v/>
      </c>
      <c r="AO86" t="str">
        <f>IF(Q86="","",INDEX('03_Base_Indice'!$K86:$U86,Q86))</f>
        <v/>
      </c>
      <c r="AP86" t="str">
        <f>IF(R86="","",INDEX('03_Base_Indice'!$K86:$U86,R86))</f>
        <v/>
      </c>
      <c r="AQ86" t="str">
        <f>IF(S86="","",INDEX('03_Base_Indice'!$K86:$U86,S86))</f>
        <v/>
      </c>
      <c r="AR86" t="str">
        <f>IF(T86="","",INDEX('03_Base_Indice'!$K86:$U86,T86))</f>
        <v/>
      </c>
      <c r="AS86" t="str">
        <f>IF(U86="","",INDEX('03_Base_Indice'!$K86:$U86,U86))</f>
        <v/>
      </c>
      <c r="AT86" t="str">
        <f>IF(V86="","",INDEX('03_Base_Indice'!$K86:$U86,V86))</f>
        <v/>
      </c>
      <c r="AU86" t="str">
        <f>IF(W86="","",INDEX('03_Base_Indice'!$K86:$U86,W86))</f>
        <v/>
      </c>
      <c r="AV86" t="str">
        <f>IF(X86="","",INDEX('03_Base_Indice'!$K86:$U86,X86))</f>
        <v/>
      </c>
      <c r="AX86">
        <f>IF('06_Normalizacao'!K86="",0,'06_Normalizacao'!K86)</f>
        <v>0</v>
      </c>
      <c r="AY86">
        <f>IF('06_Normalizacao'!L86="",0,'06_Normalizacao'!L86)</f>
        <v>0</v>
      </c>
      <c r="AZ86">
        <f>IF('06_Normalizacao'!M86="",0,'06_Normalizacao'!M86)</f>
        <v>0</v>
      </c>
      <c r="BA86">
        <f>IF('06_Normalizacao'!N86="",0,'06_Normalizacao'!N86)</f>
        <v>0</v>
      </c>
      <c r="BB86">
        <f>IF('06_Normalizacao'!O86="",0,'06_Normalizacao'!O86)</f>
        <v>0</v>
      </c>
      <c r="BC86">
        <f>IF('06_Normalizacao'!P86="",0,'06_Normalizacao'!P86)</f>
        <v>0</v>
      </c>
      <c r="BD86">
        <f>IF('06_Normalizacao'!Q86="",0,'06_Normalizacao'!Q86)</f>
        <v>0</v>
      </c>
      <c r="BE86">
        <f>IF('06_Normalizacao'!R86="",0,'06_Normalizacao'!R86)</f>
        <v>0</v>
      </c>
      <c r="BF86">
        <f>IF('06_Normalizacao'!S86="",0,'06_Normalizacao'!S86)</f>
        <v>0</v>
      </c>
      <c r="BG86">
        <f>IF('06_Normalizacao'!T86="",0,'06_Normalizacao'!T86)</f>
        <v>0</v>
      </c>
      <c r="BH86">
        <f>IF('06_Normalizacao'!U86="",0,'06_Normalizacao'!U86)</f>
        <v>0</v>
      </c>
      <c r="BJ86">
        <f>IF('06_Normalizacao'!K86="",0,1)</f>
        <v>0</v>
      </c>
      <c r="BK86">
        <f>IF('06_Normalizacao'!L86="",0,1)</f>
        <v>0</v>
      </c>
      <c r="BL86">
        <f>IF('06_Normalizacao'!M86="",0,1)</f>
        <v>0</v>
      </c>
      <c r="BM86">
        <f>IF('06_Normalizacao'!N86="",0,1)</f>
        <v>0</v>
      </c>
      <c r="BN86">
        <f>IF('06_Normalizacao'!O86="",0,1)</f>
        <v>0</v>
      </c>
      <c r="BO86">
        <f>IF('06_Normalizacao'!P86="",0,1)</f>
        <v>0</v>
      </c>
      <c r="BP86">
        <f>IF('06_Normalizacao'!Q86="",0,1)</f>
        <v>0</v>
      </c>
      <c r="BQ86">
        <f>IF('06_Normalizacao'!R86="",0,1)</f>
        <v>0</v>
      </c>
      <c r="BR86">
        <f>IF('06_Normalizacao'!S86="",0,1)</f>
        <v>0</v>
      </c>
      <c r="BS86">
        <f>IF('06_Normalizacao'!T86="",0,1)</f>
        <v>0</v>
      </c>
      <c r="BT86">
        <f>IF('06_Normalizacao'!U86="",0,1)</f>
        <v>0</v>
      </c>
    </row>
    <row r="87" spans="1:72">
      <c r="A87" s="6" t="str">
        <f>'03_Base_Indice'!D87</f>
        <v/>
      </c>
      <c r="B87" t="str">
        <f>IFERROR(LOOKUP(2,1/ISNUMBER('03_Base_Indice'!$K87:K87),COLUMN('03_Base_Indice'!$K87:K87)-COLUMN('03_Base_Indice'!$K87)+1),"")</f>
        <v/>
      </c>
      <c r="C87" t="str">
        <f>IFERROR(LOOKUP(2,1/ISNUMBER('03_Base_Indice'!$K87:L87),COLUMN('03_Base_Indice'!$K87:L87)-COLUMN('03_Base_Indice'!$K87)+1),"")</f>
        <v/>
      </c>
      <c r="D87" t="str">
        <f>IFERROR(LOOKUP(2,1/ISNUMBER('03_Base_Indice'!$K87:M87),COLUMN('03_Base_Indice'!$K87:M87)-COLUMN('03_Base_Indice'!$K87)+1),"")</f>
        <v/>
      </c>
      <c r="E87" t="str">
        <f>IFERROR(LOOKUP(2,1/ISNUMBER('03_Base_Indice'!$K87:N87),COLUMN('03_Base_Indice'!$K87:N87)-COLUMN('03_Base_Indice'!$K87)+1),"")</f>
        <v/>
      </c>
      <c r="F87" t="str">
        <f>IFERROR(LOOKUP(2,1/ISNUMBER('03_Base_Indice'!$K87:O87),COLUMN('03_Base_Indice'!$K87:O87)-COLUMN('03_Base_Indice'!$K87)+1),"")</f>
        <v/>
      </c>
      <c r="G87" t="str">
        <f>IFERROR(LOOKUP(2,1/ISNUMBER('03_Base_Indice'!$K87:P87),COLUMN('03_Base_Indice'!$K87:P87)-COLUMN('03_Base_Indice'!$K87)+1),"")</f>
        <v/>
      </c>
      <c r="H87" t="str">
        <f>IFERROR(LOOKUP(2,1/ISNUMBER('03_Base_Indice'!$K87:Q87),COLUMN('03_Base_Indice'!$K87:Q87)-COLUMN('03_Base_Indice'!$K87)+1),"")</f>
        <v/>
      </c>
      <c r="I87" t="str">
        <f>IFERROR(LOOKUP(2,1/ISNUMBER('03_Base_Indice'!$K87:R87),COLUMN('03_Base_Indice'!$K87:R87)-COLUMN('03_Base_Indice'!$K87)+1),"")</f>
        <v/>
      </c>
      <c r="J87" t="str">
        <f>IFERROR(LOOKUP(2,1/ISNUMBER('03_Base_Indice'!$K87:S87),COLUMN('03_Base_Indice'!$K87:S87)-COLUMN('03_Base_Indice'!$K87)+1),"")</f>
        <v/>
      </c>
      <c r="K87" t="str">
        <f>IFERROR(LOOKUP(2,1/ISNUMBER('03_Base_Indice'!$K87:T87),COLUMN('03_Base_Indice'!$K87:T87)-COLUMN('03_Base_Indice'!$K87)+1),"")</f>
        <v/>
      </c>
      <c r="L87" t="str">
        <f>IFERROR(LOOKUP(2,1/ISNUMBER('03_Base_Indice'!$K87:U87),COLUMN('03_Base_Indice'!$K87:U87)-COLUMN('03_Base_Indice'!$K87)+1),"")</f>
        <v/>
      </c>
      <c r="N87" t="str">
        <f>IFERROR(MATCH(TRUE,INDEX(ISNUMBER('03_Base_Indice'!K87:$U87),0),0)+0,"")</f>
        <v/>
      </c>
      <c r="O87" t="str">
        <f>IFERROR(MATCH(TRUE,INDEX(ISNUMBER('03_Base_Indice'!L87:$U87),0),0)+1,"")</f>
        <v/>
      </c>
      <c r="P87" t="str">
        <f>IFERROR(MATCH(TRUE,INDEX(ISNUMBER('03_Base_Indice'!M87:$U87),0),0)+2,"")</f>
        <v/>
      </c>
      <c r="Q87" t="str">
        <f>IFERROR(MATCH(TRUE,INDEX(ISNUMBER('03_Base_Indice'!N87:$U87),0),0)+3,"")</f>
        <v/>
      </c>
      <c r="R87" t="str">
        <f>IFERROR(MATCH(TRUE,INDEX(ISNUMBER('03_Base_Indice'!O87:$U87),0),0)+4,"")</f>
        <v/>
      </c>
      <c r="S87" t="str">
        <f>IFERROR(MATCH(TRUE,INDEX(ISNUMBER('03_Base_Indice'!P87:$U87),0),0)+5,"")</f>
        <v/>
      </c>
      <c r="T87" t="str">
        <f>IFERROR(MATCH(TRUE,INDEX(ISNUMBER('03_Base_Indice'!Q87:$U87),0),0)+6,"")</f>
        <v/>
      </c>
      <c r="U87" t="str">
        <f>IFERROR(MATCH(TRUE,INDEX(ISNUMBER('03_Base_Indice'!R87:$U87),0),0)+7,"")</f>
        <v/>
      </c>
      <c r="V87" t="str">
        <f>IFERROR(MATCH(TRUE,INDEX(ISNUMBER('03_Base_Indice'!S87:$U87),0),0)+8,"")</f>
        <v/>
      </c>
      <c r="W87" t="str">
        <f>IFERROR(MATCH(TRUE,INDEX(ISNUMBER('03_Base_Indice'!T87:$U87),0),0)+9,"")</f>
        <v/>
      </c>
      <c r="X87" t="str">
        <f>IFERROR(MATCH(TRUE,INDEX(ISNUMBER('03_Base_Indice'!U87:$U87),0),0)+10,"")</f>
        <v/>
      </c>
      <c r="Z87" t="str">
        <f>IF(B87="","",INDEX('03_Base_Indice'!$K87:$U87,B87))</f>
        <v/>
      </c>
      <c r="AA87" t="str">
        <f>IF(C87="","",INDEX('03_Base_Indice'!$K87:$U87,C87))</f>
        <v/>
      </c>
      <c r="AB87" t="str">
        <f>IF(D87="","",INDEX('03_Base_Indice'!$K87:$U87,D87))</f>
        <v/>
      </c>
      <c r="AC87" t="str">
        <f>IF(E87="","",INDEX('03_Base_Indice'!$K87:$U87,E87))</f>
        <v/>
      </c>
      <c r="AD87" t="str">
        <f>IF(F87="","",INDEX('03_Base_Indice'!$K87:$U87,F87))</f>
        <v/>
      </c>
      <c r="AE87" t="str">
        <f>IF(G87="","",INDEX('03_Base_Indice'!$K87:$U87,G87))</f>
        <v/>
      </c>
      <c r="AF87" t="str">
        <f>IF(H87="","",INDEX('03_Base_Indice'!$K87:$U87,H87))</f>
        <v/>
      </c>
      <c r="AG87" t="str">
        <f>IF(I87="","",INDEX('03_Base_Indice'!$K87:$U87,I87))</f>
        <v/>
      </c>
      <c r="AH87" t="str">
        <f>IF(J87="","",INDEX('03_Base_Indice'!$K87:$U87,J87))</f>
        <v/>
      </c>
      <c r="AI87" t="str">
        <f>IF(K87="","",INDEX('03_Base_Indice'!$K87:$U87,K87))</f>
        <v/>
      </c>
      <c r="AJ87" t="str">
        <f>IF(L87="","",INDEX('03_Base_Indice'!$K87:$U87,L87))</f>
        <v/>
      </c>
      <c r="AL87" t="str">
        <f>IF(N87="","",INDEX('03_Base_Indice'!$K87:$U87,N87))</f>
        <v/>
      </c>
      <c r="AM87" t="str">
        <f>IF(O87="","",INDEX('03_Base_Indice'!$K87:$U87,O87))</f>
        <v/>
      </c>
      <c r="AN87" t="str">
        <f>IF(P87="","",INDEX('03_Base_Indice'!$K87:$U87,P87))</f>
        <v/>
      </c>
      <c r="AO87" t="str">
        <f>IF(Q87="","",INDEX('03_Base_Indice'!$K87:$U87,Q87))</f>
        <v/>
      </c>
      <c r="AP87" t="str">
        <f>IF(R87="","",INDEX('03_Base_Indice'!$K87:$U87,R87))</f>
        <v/>
      </c>
      <c r="AQ87" t="str">
        <f>IF(S87="","",INDEX('03_Base_Indice'!$K87:$U87,S87))</f>
        <v/>
      </c>
      <c r="AR87" t="str">
        <f>IF(T87="","",INDEX('03_Base_Indice'!$K87:$U87,T87))</f>
        <v/>
      </c>
      <c r="AS87" t="str">
        <f>IF(U87="","",INDEX('03_Base_Indice'!$K87:$U87,U87))</f>
        <v/>
      </c>
      <c r="AT87" t="str">
        <f>IF(V87="","",INDEX('03_Base_Indice'!$K87:$U87,V87))</f>
        <v/>
      </c>
      <c r="AU87" t="str">
        <f>IF(W87="","",INDEX('03_Base_Indice'!$K87:$U87,W87))</f>
        <v/>
      </c>
      <c r="AV87" t="str">
        <f>IF(X87="","",INDEX('03_Base_Indice'!$K87:$U87,X87))</f>
        <v/>
      </c>
      <c r="AX87">
        <f>IF('06_Normalizacao'!K87="",0,'06_Normalizacao'!K87)</f>
        <v>0</v>
      </c>
      <c r="AY87">
        <f>IF('06_Normalizacao'!L87="",0,'06_Normalizacao'!L87)</f>
        <v>0</v>
      </c>
      <c r="AZ87">
        <f>IF('06_Normalizacao'!M87="",0,'06_Normalizacao'!M87)</f>
        <v>0</v>
      </c>
      <c r="BA87">
        <f>IF('06_Normalizacao'!N87="",0,'06_Normalizacao'!N87)</f>
        <v>0</v>
      </c>
      <c r="BB87">
        <f>IF('06_Normalizacao'!O87="",0,'06_Normalizacao'!O87)</f>
        <v>0</v>
      </c>
      <c r="BC87">
        <f>IF('06_Normalizacao'!P87="",0,'06_Normalizacao'!P87)</f>
        <v>0</v>
      </c>
      <c r="BD87">
        <f>IF('06_Normalizacao'!Q87="",0,'06_Normalizacao'!Q87)</f>
        <v>0</v>
      </c>
      <c r="BE87">
        <f>IF('06_Normalizacao'!R87="",0,'06_Normalizacao'!R87)</f>
        <v>0</v>
      </c>
      <c r="BF87">
        <f>IF('06_Normalizacao'!S87="",0,'06_Normalizacao'!S87)</f>
        <v>0</v>
      </c>
      <c r="BG87">
        <f>IF('06_Normalizacao'!T87="",0,'06_Normalizacao'!T87)</f>
        <v>0</v>
      </c>
      <c r="BH87">
        <f>IF('06_Normalizacao'!U87="",0,'06_Normalizacao'!U87)</f>
        <v>0</v>
      </c>
      <c r="BJ87">
        <f>IF('06_Normalizacao'!K87="",0,1)</f>
        <v>0</v>
      </c>
      <c r="BK87">
        <f>IF('06_Normalizacao'!L87="",0,1)</f>
        <v>0</v>
      </c>
      <c r="BL87">
        <f>IF('06_Normalizacao'!M87="",0,1)</f>
        <v>0</v>
      </c>
      <c r="BM87">
        <f>IF('06_Normalizacao'!N87="",0,1)</f>
        <v>0</v>
      </c>
      <c r="BN87">
        <f>IF('06_Normalizacao'!O87="",0,1)</f>
        <v>0</v>
      </c>
      <c r="BO87">
        <f>IF('06_Normalizacao'!P87="",0,1)</f>
        <v>0</v>
      </c>
      <c r="BP87">
        <f>IF('06_Normalizacao'!Q87="",0,1)</f>
        <v>0</v>
      </c>
      <c r="BQ87">
        <f>IF('06_Normalizacao'!R87="",0,1)</f>
        <v>0</v>
      </c>
      <c r="BR87">
        <f>IF('06_Normalizacao'!S87="",0,1)</f>
        <v>0</v>
      </c>
      <c r="BS87">
        <f>IF('06_Normalizacao'!T87="",0,1)</f>
        <v>0</v>
      </c>
      <c r="BT87">
        <f>IF('06_Normalizacao'!U87="",0,1)</f>
        <v>0</v>
      </c>
    </row>
    <row r="88" spans="1:72">
      <c r="A88" s="6" t="str">
        <f>'03_Base_Indice'!D88</f>
        <v/>
      </c>
      <c r="B88" t="str">
        <f>IFERROR(LOOKUP(2,1/ISNUMBER('03_Base_Indice'!$K88:K88),COLUMN('03_Base_Indice'!$K88:K88)-COLUMN('03_Base_Indice'!$K88)+1),"")</f>
        <v/>
      </c>
      <c r="C88" t="str">
        <f>IFERROR(LOOKUP(2,1/ISNUMBER('03_Base_Indice'!$K88:L88),COLUMN('03_Base_Indice'!$K88:L88)-COLUMN('03_Base_Indice'!$K88)+1),"")</f>
        <v/>
      </c>
      <c r="D88" t="str">
        <f>IFERROR(LOOKUP(2,1/ISNUMBER('03_Base_Indice'!$K88:M88),COLUMN('03_Base_Indice'!$K88:M88)-COLUMN('03_Base_Indice'!$K88)+1),"")</f>
        <v/>
      </c>
      <c r="E88" t="str">
        <f>IFERROR(LOOKUP(2,1/ISNUMBER('03_Base_Indice'!$K88:N88),COLUMN('03_Base_Indice'!$K88:N88)-COLUMN('03_Base_Indice'!$K88)+1),"")</f>
        <v/>
      </c>
      <c r="F88" t="str">
        <f>IFERROR(LOOKUP(2,1/ISNUMBER('03_Base_Indice'!$K88:O88),COLUMN('03_Base_Indice'!$K88:O88)-COLUMN('03_Base_Indice'!$K88)+1),"")</f>
        <v/>
      </c>
      <c r="G88" t="str">
        <f>IFERROR(LOOKUP(2,1/ISNUMBER('03_Base_Indice'!$K88:P88),COLUMN('03_Base_Indice'!$K88:P88)-COLUMN('03_Base_Indice'!$K88)+1),"")</f>
        <v/>
      </c>
      <c r="H88" t="str">
        <f>IFERROR(LOOKUP(2,1/ISNUMBER('03_Base_Indice'!$K88:Q88),COLUMN('03_Base_Indice'!$K88:Q88)-COLUMN('03_Base_Indice'!$K88)+1),"")</f>
        <v/>
      </c>
      <c r="I88" t="str">
        <f>IFERROR(LOOKUP(2,1/ISNUMBER('03_Base_Indice'!$K88:R88),COLUMN('03_Base_Indice'!$K88:R88)-COLUMN('03_Base_Indice'!$K88)+1),"")</f>
        <v/>
      </c>
      <c r="J88" t="str">
        <f>IFERROR(LOOKUP(2,1/ISNUMBER('03_Base_Indice'!$K88:S88),COLUMN('03_Base_Indice'!$K88:S88)-COLUMN('03_Base_Indice'!$K88)+1),"")</f>
        <v/>
      </c>
      <c r="K88" t="str">
        <f>IFERROR(LOOKUP(2,1/ISNUMBER('03_Base_Indice'!$K88:T88),COLUMN('03_Base_Indice'!$K88:T88)-COLUMN('03_Base_Indice'!$K88)+1),"")</f>
        <v/>
      </c>
      <c r="L88" t="str">
        <f>IFERROR(LOOKUP(2,1/ISNUMBER('03_Base_Indice'!$K88:U88),COLUMN('03_Base_Indice'!$K88:U88)-COLUMN('03_Base_Indice'!$K88)+1),"")</f>
        <v/>
      </c>
      <c r="N88" t="str">
        <f>IFERROR(MATCH(TRUE,INDEX(ISNUMBER('03_Base_Indice'!K88:$U88),0),0)+0,"")</f>
        <v/>
      </c>
      <c r="O88" t="str">
        <f>IFERROR(MATCH(TRUE,INDEX(ISNUMBER('03_Base_Indice'!L88:$U88),0),0)+1,"")</f>
        <v/>
      </c>
      <c r="P88" t="str">
        <f>IFERROR(MATCH(TRUE,INDEX(ISNUMBER('03_Base_Indice'!M88:$U88),0),0)+2,"")</f>
        <v/>
      </c>
      <c r="Q88" t="str">
        <f>IFERROR(MATCH(TRUE,INDEX(ISNUMBER('03_Base_Indice'!N88:$U88),0),0)+3,"")</f>
        <v/>
      </c>
      <c r="R88" t="str">
        <f>IFERROR(MATCH(TRUE,INDEX(ISNUMBER('03_Base_Indice'!O88:$U88),0),0)+4,"")</f>
        <v/>
      </c>
      <c r="S88" t="str">
        <f>IFERROR(MATCH(TRUE,INDEX(ISNUMBER('03_Base_Indice'!P88:$U88),0),0)+5,"")</f>
        <v/>
      </c>
      <c r="T88" t="str">
        <f>IFERROR(MATCH(TRUE,INDEX(ISNUMBER('03_Base_Indice'!Q88:$U88),0),0)+6,"")</f>
        <v/>
      </c>
      <c r="U88" t="str">
        <f>IFERROR(MATCH(TRUE,INDEX(ISNUMBER('03_Base_Indice'!R88:$U88),0),0)+7,"")</f>
        <v/>
      </c>
      <c r="V88" t="str">
        <f>IFERROR(MATCH(TRUE,INDEX(ISNUMBER('03_Base_Indice'!S88:$U88),0),0)+8,"")</f>
        <v/>
      </c>
      <c r="W88" t="str">
        <f>IFERROR(MATCH(TRUE,INDEX(ISNUMBER('03_Base_Indice'!T88:$U88),0),0)+9,"")</f>
        <v/>
      </c>
      <c r="X88" t="str">
        <f>IFERROR(MATCH(TRUE,INDEX(ISNUMBER('03_Base_Indice'!U88:$U88),0),0)+10,"")</f>
        <v/>
      </c>
      <c r="Z88" t="str">
        <f>IF(B88="","",INDEX('03_Base_Indice'!$K88:$U88,B88))</f>
        <v/>
      </c>
      <c r="AA88" t="str">
        <f>IF(C88="","",INDEX('03_Base_Indice'!$K88:$U88,C88))</f>
        <v/>
      </c>
      <c r="AB88" t="str">
        <f>IF(D88="","",INDEX('03_Base_Indice'!$K88:$U88,D88))</f>
        <v/>
      </c>
      <c r="AC88" t="str">
        <f>IF(E88="","",INDEX('03_Base_Indice'!$K88:$U88,E88))</f>
        <v/>
      </c>
      <c r="AD88" t="str">
        <f>IF(F88="","",INDEX('03_Base_Indice'!$K88:$U88,F88))</f>
        <v/>
      </c>
      <c r="AE88" t="str">
        <f>IF(G88="","",INDEX('03_Base_Indice'!$K88:$U88,G88))</f>
        <v/>
      </c>
      <c r="AF88" t="str">
        <f>IF(H88="","",INDEX('03_Base_Indice'!$K88:$U88,H88))</f>
        <v/>
      </c>
      <c r="AG88" t="str">
        <f>IF(I88="","",INDEX('03_Base_Indice'!$K88:$U88,I88))</f>
        <v/>
      </c>
      <c r="AH88" t="str">
        <f>IF(J88="","",INDEX('03_Base_Indice'!$K88:$U88,J88))</f>
        <v/>
      </c>
      <c r="AI88" t="str">
        <f>IF(K88="","",INDEX('03_Base_Indice'!$K88:$U88,K88))</f>
        <v/>
      </c>
      <c r="AJ88" t="str">
        <f>IF(L88="","",INDEX('03_Base_Indice'!$K88:$U88,L88))</f>
        <v/>
      </c>
      <c r="AL88" t="str">
        <f>IF(N88="","",INDEX('03_Base_Indice'!$K88:$U88,N88))</f>
        <v/>
      </c>
      <c r="AM88" t="str">
        <f>IF(O88="","",INDEX('03_Base_Indice'!$K88:$U88,O88))</f>
        <v/>
      </c>
      <c r="AN88" t="str">
        <f>IF(P88="","",INDEX('03_Base_Indice'!$K88:$U88,P88))</f>
        <v/>
      </c>
      <c r="AO88" t="str">
        <f>IF(Q88="","",INDEX('03_Base_Indice'!$K88:$U88,Q88))</f>
        <v/>
      </c>
      <c r="AP88" t="str">
        <f>IF(R88="","",INDEX('03_Base_Indice'!$K88:$U88,R88))</f>
        <v/>
      </c>
      <c r="AQ88" t="str">
        <f>IF(S88="","",INDEX('03_Base_Indice'!$K88:$U88,S88))</f>
        <v/>
      </c>
      <c r="AR88" t="str">
        <f>IF(T88="","",INDEX('03_Base_Indice'!$K88:$U88,T88))</f>
        <v/>
      </c>
      <c r="AS88" t="str">
        <f>IF(U88="","",INDEX('03_Base_Indice'!$K88:$U88,U88))</f>
        <v/>
      </c>
      <c r="AT88" t="str">
        <f>IF(V88="","",INDEX('03_Base_Indice'!$K88:$U88,V88))</f>
        <v/>
      </c>
      <c r="AU88" t="str">
        <f>IF(W88="","",INDEX('03_Base_Indice'!$K88:$U88,W88))</f>
        <v/>
      </c>
      <c r="AV88" t="str">
        <f>IF(X88="","",INDEX('03_Base_Indice'!$K88:$U88,X88))</f>
        <v/>
      </c>
      <c r="AX88">
        <f>IF('06_Normalizacao'!K88="",0,'06_Normalizacao'!K88)</f>
        <v>0</v>
      </c>
      <c r="AY88">
        <f>IF('06_Normalizacao'!L88="",0,'06_Normalizacao'!L88)</f>
        <v>0</v>
      </c>
      <c r="AZ88">
        <f>IF('06_Normalizacao'!M88="",0,'06_Normalizacao'!M88)</f>
        <v>0</v>
      </c>
      <c r="BA88">
        <f>IF('06_Normalizacao'!N88="",0,'06_Normalizacao'!N88)</f>
        <v>0</v>
      </c>
      <c r="BB88">
        <f>IF('06_Normalizacao'!O88="",0,'06_Normalizacao'!O88)</f>
        <v>0</v>
      </c>
      <c r="BC88">
        <f>IF('06_Normalizacao'!P88="",0,'06_Normalizacao'!P88)</f>
        <v>0</v>
      </c>
      <c r="BD88">
        <f>IF('06_Normalizacao'!Q88="",0,'06_Normalizacao'!Q88)</f>
        <v>0</v>
      </c>
      <c r="BE88">
        <f>IF('06_Normalizacao'!R88="",0,'06_Normalizacao'!R88)</f>
        <v>0</v>
      </c>
      <c r="BF88">
        <f>IF('06_Normalizacao'!S88="",0,'06_Normalizacao'!S88)</f>
        <v>0</v>
      </c>
      <c r="BG88">
        <f>IF('06_Normalizacao'!T88="",0,'06_Normalizacao'!T88)</f>
        <v>0</v>
      </c>
      <c r="BH88">
        <f>IF('06_Normalizacao'!U88="",0,'06_Normalizacao'!U88)</f>
        <v>0</v>
      </c>
      <c r="BJ88">
        <f>IF('06_Normalizacao'!K88="",0,1)</f>
        <v>0</v>
      </c>
      <c r="BK88">
        <f>IF('06_Normalizacao'!L88="",0,1)</f>
        <v>0</v>
      </c>
      <c r="BL88">
        <f>IF('06_Normalizacao'!M88="",0,1)</f>
        <v>0</v>
      </c>
      <c r="BM88">
        <f>IF('06_Normalizacao'!N88="",0,1)</f>
        <v>0</v>
      </c>
      <c r="BN88">
        <f>IF('06_Normalizacao'!O88="",0,1)</f>
        <v>0</v>
      </c>
      <c r="BO88">
        <f>IF('06_Normalizacao'!P88="",0,1)</f>
        <v>0</v>
      </c>
      <c r="BP88">
        <f>IF('06_Normalizacao'!Q88="",0,1)</f>
        <v>0</v>
      </c>
      <c r="BQ88">
        <f>IF('06_Normalizacao'!R88="",0,1)</f>
        <v>0</v>
      </c>
      <c r="BR88">
        <f>IF('06_Normalizacao'!S88="",0,1)</f>
        <v>0</v>
      </c>
      <c r="BS88">
        <f>IF('06_Normalizacao'!T88="",0,1)</f>
        <v>0</v>
      </c>
      <c r="BT88">
        <f>IF('06_Normalizacao'!U88="",0,1)</f>
        <v>0</v>
      </c>
    </row>
    <row r="89" spans="1:72">
      <c r="A89" s="6" t="str">
        <f>'03_Base_Indice'!D89</f>
        <v/>
      </c>
      <c r="B89" t="str">
        <f>IFERROR(LOOKUP(2,1/ISNUMBER('03_Base_Indice'!$K89:K89),COLUMN('03_Base_Indice'!$K89:K89)-COLUMN('03_Base_Indice'!$K89)+1),"")</f>
        <v/>
      </c>
      <c r="C89" t="str">
        <f>IFERROR(LOOKUP(2,1/ISNUMBER('03_Base_Indice'!$K89:L89),COLUMN('03_Base_Indice'!$K89:L89)-COLUMN('03_Base_Indice'!$K89)+1),"")</f>
        <v/>
      </c>
      <c r="D89" t="str">
        <f>IFERROR(LOOKUP(2,1/ISNUMBER('03_Base_Indice'!$K89:M89),COLUMN('03_Base_Indice'!$K89:M89)-COLUMN('03_Base_Indice'!$K89)+1),"")</f>
        <v/>
      </c>
      <c r="E89" t="str">
        <f>IFERROR(LOOKUP(2,1/ISNUMBER('03_Base_Indice'!$K89:N89),COLUMN('03_Base_Indice'!$K89:N89)-COLUMN('03_Base_Indice'!$K89)+1),"")</f>
        <v/>
      </c>
      <c r="F89" t="str">
        <f>IFERROR(LOOKUP(2,1/ISNUMBER('03_Base_Indice'!$K89:O89),COLUMN('03_Base_Indice'!$K89:O89)-COLUMN('03_Base_Indice'!$K89)+1),"")</f>
        <v/>
      </c>
      <c r="G89" t="str">
        <f>IFERROR(LOOKUP(2,1/ISNUMBER('03_Base_Indice'!$K89:P89),COLUMN('03_Base_Indice'!$K89:P89)-COLUMN('03_Base_Indice'!$K89)+1),"")</f>
        <v/>
      </c>
      <c r="H89" t="str">
        <f>IFERROR(LOOKUP(2,1/ISNUMBER('03_Base_Indice'!$K89:Q89),COLUMN('03_Base_Indice'!$K89:Q89)-COLUMN('03_Base_Indice'!$K89)+1),"")</f>
        <v/>
      </c>
      <c r="I89" t="str">
        <f>IFERROR(LOOKUP(2,1/ISNUMBER('03_Base_Indice'!$K89:R89),COLUMN('03_Base_Indice'!$K89:R89)-COLUMN('03_Base_Indice'!$K89)+1),"")</f>
        <v/>
      </c>
      <c r="J89" t="str">
        <f>IFERROR(LOOKUP(2,1/ISNUMBER('03_Base_Indice'!$K89:S89),COLUMN('03_Base_Indice'!$K89:S89)-COLUMN('03_Base_Indice'!$K89)+1),"")</f>
        <v/>
      </c>
      <c r="K89" t="str">
        <f>IFERROR(LOOKUP(2,1/ISNUMBER('03_Base_Indice'!$K89:T89),COLUMN('03_Base_Indice'!$K89:T89)-COLUMN('03_Base_Indice'!$K89)+1),"")</f>
        <v/>
      </c>
      <c r="L89" t="str">
        <f>IFERROR(LOOKUP(2,1/ISNUMBER('03_Base_Indice'!$K89:U89),COLUMN('03_Base_Indice'!$K89:U89)-COLUMN('03_Base_Indice'!$K89)+1),"")</f>
        <v/>
      </c>
      <c r="N89" t="str">
        <f>IFERROR(MATCH(TRUE,INDEX(ISNUMBER('03_Base_Indice'!K89:$U89),0),0)+0,"")</f>
        <v/>
      </c>
      <c r="O89" t="str">
        <f>IFERROR(MATCH(TRUE,INDEX(ISNUMBER('03_Base_Indice'!L89:$U89),0),0)+1,"")</f>
        <v/>
      </c>
      <c r="P89" t="str">
        <f>IFERROR(MATCH(TRUE,INDEX(ISNUMBER('03_Base_Indice'!M89:$U89),0),0)+2,"")</f>
        <v/>
      </c>
      <c r="Q89" t="str">
        <f>IFERROR(MATCH(TRUE,INDEX(ISNUMBER('03_Base_Indice'!N89:$U89),0),0)+3,"")</f>
        <v/>
      </c>
      <c r="R89" t="str">
        <f>IFERROR(MATCH(TRUE,INDEX(ISNUMBER('03_Base_Indice'!O89:$U89),0),0)+4,"")</f>
        <v/>
      </c>
      <c r="S89" t="str">
        <f>IFERROR(MATCH(TRUE,INDEX(ISNUMBER('03_Base_Indice'!P89:$U89),0),0)+5,"")</f>
        <v/>
      </c>
      <c r="T89" t="str">
        <f>IFERROR(MATCH(TRUE,INDEX(ISNUMBER('03_Base_Indice'!Q89:$U89),0),0)+6,"")</f>
        <v/>
      </c>
      <c r="U89" t="str">
        <f>IFERROR(MATCH(TRUE,INDEX(ISNUMBER('03_Base_Indice'!R89:$U89),0),0)+7,"")</f>
        <v/>
      </c>
      <c r="V89" t="str">
        <f>IFERROR(MATCH(TRUE,INDEX(ISNUMBER('03_Base_Indice'!S89:$U89),0),0)+8,"")</f>
        <v/>
      </c>
      <c r="W89" t="str">
        <f>IFERROR(MATCH(TRUE,INDEX(ISNUMBER('03_Base_Indice'!T89:$U89),0),0)+9,"")</f>
        <v/>
      </c>
      <c r="X89" t="str">
        <f>IFERROR(MATCH(TRUE,INDEX(ISNUMBER('03_Base_Indice'!U89:$U89),0),0)+10,"")</f>
        <v/>
      </c>
      <c r="Z89" t="str">
        <f>IF(B89="","",INDEX('03_Base_Indice'!$K89:$U89,B89))</f>
        <v/>
      </c>
      <c r="AA89" t="str">
        <f>IF(C89="","",INDEX('03_Base_Indice'!$K89:$U89,C89))</f>
        <v/>
      </c>
      <c r="AB89" t="str">
        <f>IF(D89="","",INDEX('03_Base_Indice'!$K89:$U89,D89))</f>
        <v/>
      </c>
      <c r="AC89" t="str">
        <f>IF(E89="","",INDEX('03_Base_Indice'!$K89:$U89,E89))</f>
        <v/>
      </c>
      <c r="AD89" t="str">
        <f>IF(F89="","",INDEX('03_Base_Indice'!$K89:$U89,F89))</f>
        <v/>
      </c>
      <c r="AE89" t="str">
        <f>IF(G89="","",INDEX('03_Base_Indice'!$K89:$U89,G89))</f>
        <v/>
      </c>
      <c r="AF89" t="str">
        <f>IF(H89="","",INDEX('03_Base_Indice'!$K89:$U89,H89))</f>
        <v/>
      </c>
      <c r="AG89" t="str">
        <f>IF(I89="","",INDEX('03_Base_Indice'!$K89:$U89,I89))</f>
        <v/>
      </c>
      <c r="AH89" t="str">
        <f>IF(J89="","",INDEX('03_Base_Indice'!$K89:$U89,J89))</f>
        <v/>
      </c>
      <c r="AI89" t="str">
        <f>IF(K89="","",INDEX('03_Base_Indice'!$K89:$U89,K89))</f>
        <v/>
      </c>
      <c r="AJ89" t="str">
        <f>IF(L89="","",INDEX('03_Base_Indice'!$K89:$U89,L89))</f>
        <v/>
      </c>
      <c r="AL89" t="str">
        <f>IF(N89="","",INDEX('03_Base_Indice'!$K89:$U89,N89))</f>
        <v/>
      </c>
      <c r="AM89" t="str">
        <f>IF(O89="","",INDEX('03_Base_Indice'!$K89:$U89,O89))</f>
        <v/>
      </c>
      <c r="AN89" t="str">
        <f>IF(P89="","",INDEX('03_Base_Indice'!$K89:$U89,P89))</f>
        <v/>
      </c>
      <c r="AO89" t="str">
        <f>IF(Q89="","",INDEX('03_Base_Indice'!$K89:$U89,Q89))</f>
        <v/>
      </c>
      <c r="AP89" t="str">
        <f>IF(R89="","",INDEX('03_Base_Indice'!$K89:$U89,R89))</f>
        <v/>
      </c>
      <c r="AQ89" t="str">
        <f>IF(S89="","",INDEX('03_Base_Indice'!$K89:$U89,S89))</f>
        <v/>
      </c>
      <c r="AR89" t="str">
        <f>IF(T89="","",INDEX('03_Base_Indice'!$K89:$U89,T89))</f>
        <v/>
      </c>
      <c r="AS89" t="str">
        <f>IF(U89="","",INDEX('03_Base_Indice'!$K89:$U89,U89))</f>
        <v/>
      </c>
      <c r="AT89" t="str">
        <f>IF(V89="","",INDEX('03_Base_Indice'!$K89:$U89,V89))</f>
        <v/>
      </c>
      <c r="AU89" t="str">
        <f>IF(W89="","",INDEX('03_Base_Indice'!$K89:$U89,W89))</f>
        <v/>
      </c>
      <c r="AV89" t="str">
        <f>IF(X89="","",INDEX('03_Base_Indice'!$K89:$U89,X89))</f>
        <v/>
      </c>
      <c r="AX89">
        <f>IF('06_Normalizacao'!K89="",0,'06_Normalizacao'!K89)</f>
        <v>0</v>
      </c>
      <c r="AY89">
        <f>IF('06_Normalizacao'!L89="",0,'06_Normalizacao'!L89)</f>
        <v>0</v>
      </c>
      <c r="AZ89">
        <f>IF('06_Normalizacao'!M89="",0,'06_Normalizacao'!M89)</f>
        <v>0</v>
      </c>
      <c r="BA89">
        <f>IF('06_Normalizacao'!N89="",0,'06_Normalizacao'!N89)</f>
        <v>0</v>
      </c>
      <c r="BB89">
        <f>IF('06_Normalizacao'!O89="",0,'06_Normalizacao'!O89)</f>
        <v>0</v>
      </c>
      <c r="BC89">
        <f>IF('06_Normalizacao'!P89="",0,'06_Normalizacao'!P89)</f>
        <v>0</v>
      </c>
      <c r="BD89">
        <f>IF('06_Normalizacao'!Q89="",0,'06_Normalizacao'!Q89)</f>
        <v>0</v>
      </c>
      <c r="BE89">
        <f>IF('06_Normalizacao'!R89="",0,'06_Normalizacao'!R89)</f>
        <v>0</v>
      </c>
      <c r="BF89">
        <f>IF('06_Normalizacao'!S89="",0,'06_Normalizacao'!S89)</f>
        <v>0</v>
      </c>
      <c r="BG89">
        <f>IF('06_Normalizacao'!T89="",0,'06_Normalizacao'!T89)</f>
        <v>0</v>
      </c>
      <c r="BH89">
        <f>IF('06_Normalizacao'!U89="",0,'06_Normalizacao'!U89)</f>
        <v>0</v>
      </c>
      <c r="BJ89">
        <f>IF('06_Normalizacao'!K89="",0,1)</f>
        <v>0</v>
      </c>
      <c r="BK89">
        <f>IF('06_Normalizacao'!L89="",0,1)</f>
        <v>0</v>
      </c>
      <c r="BL89">
        <f>IF('06_Normalizacao'!M89="",0,1)</f>
        <v>0</v>
      </c>
      <c r="BM89">
        <f>IF('06_Normalizacao'!N89="",0,1)</f>
        <v>0</v>
      </c>
      <c r="BN89">
        <f>IF('06_Normalizacao'!O89="",0,1)</f>
        <v>0</v>
      </c>
      <c r="BO89">
        <f>IF('06_Normalizacao'!P89="",0,1)</f>
        <v>0</v>
      </c>
      <c r="BP89">
        <f>IF('06_Normalizacao'!Q89="",0,1)</f>
        <v>0</v>
      </c>
      <c r="BQ89">
        <f>IF('06_Normalizacao'!R89="",0,1)</f>
        <v>0</v>
      </c>
      <c r="BR89">
        <f>IF('06_Normalizacao'!S89="",0,1)</f>
        <v>0</v>
      </c>
      <c r="BS89">
        <f>IF('06_Normalizacao'!T89="",0,1)</f>
        <v>0</v>
      </c>
      <c r="BT89">
        <f>IF('06_Normalizacao'!U89="",0,1)</f>
        <v>0</v>
      </c>
    </row>
    <row r="90" spans="1:72">
      <c r="A90" s="6" t="str">
        <f>'03_Base_Indice'!D90</f>
        <v/>
      </c>
      <c r="B90" t="str">
        <f>IFERROR(LOOKUP(2,1/ISNUMBER('03_Base_Indice'!$K90:K90),COLUMN('03_Base_Indice'!$K90:K90)-COLUMN('03_Base_Indice'!$K90)+1),"")</f>
        <v/>
      </c>
      <c r="C90" t="str">
        <f>IFERROR(LOOKUP(2,1/ISNUMBER('03_Base_Indice'!$K90:L90),COLUMN('03_Base_Indice'!$K90:L90)-COLUMN('03_Base_Indice'!$K90)+1),"")</f>
        <v/>
      </c>
      <c r="D90" t="str">
        <f>IFERROR(LOOKUP(2,1/ISNUMBER('03_Base_Indice'!$K90:M90),COLUMN('03_Base_Indice'!$K90:M90)-COLUMN('03_Base_Indice'!$K90)+1),"")</f>
        <v/>
      </c>
      <c r="E90" t="str">
        <f>IFERROR(LOOKUP(2,1/ISNUMBER('03_Base_Indice'!$K90:N90),COLUMN('03_Base_Indice'!$K90:N90)-COLUMN('03_Base_Indice'!$K90)+1),"")</f>
        <v/>
      </c>
      <c r="F90" t="str">
        <f>IFERROR(LOOKUP(2,1/ISNUMBER('03_Base_Indice'!$K90:O90),COLUMN('03_Base_Indice'!$K90:O90)-COLUMN('03_Base_Indice'!$K90)+1),"")</f>
        <v/>
      </c>
      <c r="G90" t="str">
        <f>IFERROR(LOOKUP(2,1/ISNUMBER('03_Base_Indice'!$K90:P90),COLUMN('03_Base_Indice'!$K90:P90)-COLUMN('03_Base_Indice'!$K90)+1),"")</f>
        <v/>
      </c>
      <c r="H90" t="str">
        <f>IFERROR(LOOKUP(2,1/ISNUMBER('03_Base_Indice'!$K90:Q90),COLUMN('03_Base_Indice'!$K90:Q90)-COLUMN('03_Base_Indice'!$K90)+1),"")</f>
        <v/>
      </c>
      <c r="I90" t="str">
        <f>IFERROR(LOOKUP(2,1/ISNUMBER('03_Base_Indice'!$K90:R90),COLUMN('03_Base_Indice'!$K90:R90)-COLUMN('03_Base_Indice'!$K90)+1),"")</f>
        <v/>
      </c>
      <c r="J90" t="str">
        <f>IFERROR(LOOKUP(2,1/ISNUMBER('03_Base_Indice'!$K90:S90),COLUMN('03_Base_Indice'!$K90:S90)-COLUMN('03_Base_Indice'!$K90)+1),"")</f>
        <v/>
      </c>
      <c r="K90" t="str">
        <f>IFERROR(LOOKUP(2,1/ISNUMBER('03_Base_Indice'!$K90:T90),COLUMN('03_Base_Indice'!$K90:T90)-COLUMN('03_Base_Indice'!$K90)+1),"")</f>
        <v/>
      </c>
      <c r="L90" t="str">
        <f>IFERROR(LOOKUP(2,1/ISNUMBER('03_Base_Indice'!$K90:U90),COLUMN('03_Base_Indice'!$K90:U90)-COLUMN('03_Base_Indice'!$K90)+1),"")</f>
        <v/>
      </c>
      <c r="N90" t="str">
        <f>IFERROR(MATCH(TRUE,INDEX(ISNUMBER('03_Base_Indice'!K90:$U90),0),0)+0,"")</f>
        <v/>
      </c>
      <c r="O90" t="str">
        <f>IFERROR(MATCH(TRUE,INDEX(ISNUMBER('03_Base_Indice'!L90:$U90),0),0)+1,"")</f>
        <v/>
      </c>
      <c r="P90" t="str">
        <f>IFERROR(MATCH(TRUE,INDEX(ISNUMBER('03_Base_Indice'!M90:$U90),0),0)+2,"")</f>
        <v/>
      </c>
      <c r="Q90" t="str">
        <f>IFERROR(MATCH(TRUE,INDEX(ISNUMBER('03_Base_Indice'!N90:$U90),0),0)+3,"")</f>
        <v/>
      </c>
      <c r="R90" t="str">
        <f>IFERROR(MATCH(TRUE,INDEX(ISNUMBER('03_Base_Indice'!O90:$U90),0),0)+4,"")</f>
        <v/>
      </c>
      <c r="S90" t="str">
        <f>IFERROR(MATCH(TRUE,INDEX(ISNUMBER('03_Base_Indice'!P90:$U90),0),0)+5,"")</f>
        <v/>
      </c>
      <c r="T90" t="str">
        <f>IFERROR(MATCH(TRUE,INDEX(ISNUMBER('03_Base_Indice'!Q90:$U90),0),0)+6,"")</f>
        <v/>
      </c>
      <c r="U90" t="str">
        <f>IFERROR(MATCH(TRUE,INDEX(ISNUMBER('03_Base_Indice'!R90:$U90),0),0)+7,"")</f>
        <v/>
      </c>
      <c r="V90" t="str">
        <f>IFERROR(MATCH(TRUE,INDEX(ISNUMBER('03_Base_Indice'!S90:$U90),0),0)+8,"")</f>
        <v/>
      </c>
      <c r="W90" t="str">
        <f>IFERROR(MATCH(TRUE,INDEX(ISNUMBER('03_Base_Indice'!T90:$U90),0),0)+9,"")</f>
        <v/>
      </c>
      <c r="X90" t="str">
        <f>IFERROR(MATCH(TRUE,INDEX(ISNUMBER('03_Base_Indice'!U90:$U90),0),0)+10,"")</f>
        <v/>
      </c>
      <c r="Z90" t="str">
        <f>IF(B90="","",INDEX('03_Base_Indice'!$K90:$U90,B90))</f>
        <v/>
      </c>
      <c r="AA90" t="str">
        <f>IF(C90="","",INDEX('03_Base_Indice'!$K90:$U90,C90))</f>
        <v/>
      </c>
      <c r="AB90" t="str">
        <f>IF(D90="","",INDEX('03_Base_Indice'!$K90:$U90,D90))</f>
        <v/>
      </c>
      <c r="AC90" t="str">
        <f>IF(E90="","",INDEX('03_Base_Indice'!$K90:$U90,E90))</f>
        <v/>
      </c>
      <c r="AD90" t="str">
        <f>IF(F90="","",INDEX('03_Base_Indice'!$K90:$U90,F90))</f>
        <v/>
      </c>
      <c r="AE90" t="str">
        <f>IF(G90="","",INDEX('03_Base_Indice'!$K90:$U90,G90))</f>
        <v/>
      </c>
      <c r="AF90" t="str">
        <f>IF(H90="","",INDEX('03_Base_Indice'!$K90:$U90,H90))</f>
        <v/>
      </c>
      <c r="AG90" t="str">
        <f>IF(I90="","",INDEX('03_Base_Indice'!$K90:$U90,I90))</f>
        <v/>
      </c>
      <c r="AH90" t="str">
        <f>IF(J90="","",INDEX('03_Base_Indice'!$K90:$U90,J90))</f>
        <v/>
      </c>
      <c r="AI90" t="str">
        <f>IF(K90="","",INDEX('03_Base_Indice'!$K90:$U90,K90))</f>
        <v/>
      </c>
      <c r="AJ90" t="str">
        <f>IF(L90="","",INDEX('03_Base_Indice'!$K90:$U90,L90))</f>
        <v/>
      </c>
      <c r="AL90" t="str">
        <f>IF(N90="","",INDEX('03_Base_Indice'!$K90:$U90,N90))</f>
        <v/>
      </c>
      <c r="AM90" t="str">
        <f>IF(O90="","",INDEX('03_Base_Indice'!$K90:$U90,O90))</f>
        <v/>
      </c>
      <c r="AN90" t="str">
        <f>IF(P90="","",INDEX('03_Base_Indice'!$K90:$U90,P90))</f>
        <v/>
      </c>
      <c r="AO90" t="str">
        <f>IF(Q90="","",INDEX('03_Base_Indice'!$K90:$U90,Q90))</f>
        <v/>
      </c>
      <c r="AP90" t="str">
        <f>IF(R90="","",INDEX('03_Base_Indice'!$K90:$U90,R90))</f>
        <v/>
      </c>
      <c r="AQ90" t="str">
        <f>IF(S90="","",INDEX('03_Base_Indice'!$K90:$U90,S90))</f>
        <v/>
      </c>
      <c r="AR90" t="str">
        <f>IF(T90="","",INDEX('03_Base_Indice'!$K90:$U90,T90))</f>
        <v/>
      </c>
      <c r="AS90" t="str">
        <f>IF(U90="","",INDEX('03_Base_Indice'!$K90:$U90,U90))</f>
        <v/>
      </c>
      <c r="AT90" t="str">
        <f>IF(V90="","",INDEX('03_Base_Indice'!$K90:$U90,V90))</f>
        <v/>
      </c>
      <c r="AU90" t="str">
        <f>IF(W90="","",INDEX('03_Base_Indice'!$K90:$U90,W90))</f>
        <v/>
      </c>
      <c r="AV90" t="str">
        <f>IF(X90="","",INDEX('03_Base_Indice'!$K90:$U90,X90))</f>
        <v/>
      </c>
      <c r="AX90">
        <f>IF('06_Normalizacao'!K90="",0,'06_Normalizacao'!K90)</f>
        <v>0</v>
      </c>
      <c r="AY90">
        <f>IF('06_Normalizacao'!L90="",0,'06_Normalizacao'!L90)</f>
        <v>0</v>
      </c>
      <c r="AZ90">
        <f>IF('06_Normalizacao'!M90="",0,'06_Normalizacao'!M90)</f>
        <v>0</v>
      </c>
      <c r="BA90">
        <f>IF('06_Normalizacao'!N90="",0,'06_Normalizacao'!N90)</f>
        <v>0</v>
      </c>
      <c r="BB90">
        <f>IF('06_Normalizacao'!O90="",0,'06_Normalizacao'!O90)</f>
        <v>0</v>
      </c>
      <c r="BC90">
        <f>IF('06_Normalizacao'!P90="",0,'06_Normalizacao'!P90)</f>
        <v>0</v>
      </c>
      <c r="BD90">
        <f>IF('06_Normalizacao'!Q90="",0,'06_Normalizacao'!Q90)</f>
        <v>0</v>
      </c>
      <c r="BE90">
        <f>IF('06_Normalizacao'!R90="",0,'06_Normalizacao'!R90)</f>
        <v>0</v>
      </c>
      <c r="BF90">
        <f>IF('06_Normalizacao'!S90="",0,'06_Normalizacao'!S90)</f>
        <v>0</v>
      </c>
      <c r="BG90">
        <f>IF('06_Normalizacao'!T90="",0,'06_Normalizacao'!T90)</f>
        <v>0</v>
      </c>
      <c r="BH90">
        <f>IF('06_Normalizacao'!U90="",0,'06_Normalizacao'!U90)</f>
        <v>0</v>
      </c>
      <c r="BJ90">
        <f>IF('06_Normalizacao'!K90="",0,1)</f>
        <v>0</v>
      </c>
      <c r="BK90">
        <f>IF('06_Normalizacao'!L90="",0,1)</f>
        <v>0</v>
      </c>
      <c r="BL90">
        <f>IF('06_Normalizacao'!M90="",0,1)</f>
        <v>0</v>
      </c>
      <c r="BM90">
        <f>IF('06_Normalizacao'!N90="",0,1)</f>
        <v>0</v>
      </c>
      <c r="BN90">
        <f>IF('06_Normalizacao'!O90="",0,1)</f>
        <v>0</v>
      </c>
      <c r="BO90">
        <f>IF('06_Normalizacao'!P90="",0,1)</f>
        <v>0</v>
      </c>
      <c r="BP90">
        <f>IF('06_Normalizacao'!Q90="",0,1)</f>
        <v>0</v>
      </c>
      <c r="BQ90">
        <f>IF('06_Normalizacao'!R90="",0,1)</f>
        <v>0</v>
      </c>
      <c r="BR90">
        <f>IF('06_Normalizacao'!S90="",0,1)</f>
        <v>0</v>
      </c>
      <c r="BS90">
        <f>IF('06_Normalizacao'!T90="",0,1)</f>
        <v>0</v>
      </c>
      <c r="BT90">
        <f>IF('06_Normalizacao'!U90="",0,1)</f>
        <v>0</v>
      </c>
    </row>
    <row r="91" spans="1:72">
      <c r="A91" s="6" t="str">
        <f>'03_Base_Indice'!D91</f>
        <v/>
      </c>
      <c r="B91" t="str">
        <f>IFERROR(LOOKUP(2,1/ISNUMBER('03_Base_Indice'!$K91:K91),COLUMN('03_Base_Indice'!$K91:K91)-COLUMN('03_Base_Indice'!$K91)+1),"")</f>
        <v/>
      </c>
      <c r="C91" t="str">
        <f>IFERROR(LOOKUP(2,1/ISNUMBER('03_Base_Indice'!$K91:L91),COLUMN('03_Base_Indice'!$K91:L91)-COLUMN('03_Base_Indice'!$K91)+1),"")</f>
        <v/>
      </c>
      <c r="D91" t="str">
        <f>IFERROR(LOOKUP(2,1/ISNUMBER('03_Base_Indice'!$K91:M91),COLUMN('03_Base_Indice'!$K91:M91)-COLUMN('03_Base_Indice'!$K91)+1),"")</f>
        <v/>
      </c>
      <c r="E91" t="str">
        <f>IFERROR(LOOKUP(2,1/ISNUMBER('03_Base_Indice'!$K91:N91),COLUMN('03_Base_Indice'!$K91:N91)-COLUMN('03_Base_Indice'!$K91)+1),"")</f>
        <v/>
      </c>
      <c r="F91" t="str">
        <f>IFERROR(LOOKUP(2,1/ISNUMBER('03_Base_Indice'!$K91:O91),COLUMN('03_Base_Indice'!$K91:O91)-COLUMN('03_Base_Indice'!$K91)+1),"")</f>
        <v/>
      </c>
      <c r="G91" t="str">
        <f>IFERROR(LOOKUP(2,1/ISNUMBER('03_Base_Indice'!$K91:P91),COLUMN('03_Base_Indice'!$K91:P91)-COLUMN('03_Base_Indice'!$K91)+1),"")</f>
        <v/>
      </c>
      <c r="H91" t="str">
        <f>IFERROR(LOOKUP(2,1/ISNUMBER('03_Base_Indice'!$K91:Q91),COLUMN('03_Base_Indice'!$K91:Q91)-COLUMN('03_Base_Indice'!$K91)+1),"")</f>
        <v/>
      </c>
      <c r="I91" t="str">
        <f>IFERROR(LOOKUP(2,1/ISNUMBER('03_Base_Indice'!$K91:R91),COLUMN('03_Base_Indice'!$K91:R91)-COLUMN('03_Base_Indice'!$K91)+1),"")</f>
        <v/>
      </c>
      <c r="J91" t="str">
        <f>IFERROR(LOOKUP(2,1/ISNUMBER('03_Base_Indice'!$K91:S91),COLUMN('03_Base_Indice'!$K91:S91)-COLUMN('03_Base_Indice'!$K91)+1),"")</f>
        <v/>
      </c>
      <c r="K91" t="str">
        <f>IFERROR(LOOKUP(2,1/ISNUMBER('03_Base_Indice'!$K91:T91),COLUMN('03_Base_Indice'!$K91:T91)-COLUMN('03_Base_Indice'!$K91)+1),"")</f>
        <v/>
      </c>
      <c r="L91" t="str">
        <f>IFERROR(LOOKUP(2,1/ISNUMBER('03_Base_Indice'!$K91:U91),COLUMN('03_Base_Indice'!$K91:U91)-COLUMN('03_Base_Indice'!$K91)+1),"")</f>
        <v/>
      </c>
      <c r="N91" t="str">
        <f>IFERROR(MATCH(TRUE,INDEX(ISNUMBER('03_Base_Indice'!K91:$U91),0),0)+0,"")</f>
        <v/>
      </c>
      <c r="O91" t="str">
        <f>IFERROR(MATCH(TRUE,INDEX(ISNUMBER('03_Base_Indice'!L91:$U91),0),0)+1,"")</f>
        <v/>
      </c>
      <c r="P91" t="str">
        <f>IFERROR(MATCH(TRUE,INDEX(ISNUMBER('03_Base_Indice'!M91:$U91),0),0)+2,"")</f>
        <v/>
      </c>
      <c r="Q91" t="str">
        <f>IFERROR(MATCH(TRUE,INDEX(ISNUMBER('03_Base_Indice'!N91:$U91),0),0)+3,"")</f>
        <v/>
      </c>
      <c r="R91" t="str">
        <f>IFERROR(MATCH(TRUE,INDEX(ISNUMBER('03_Base_Indice'!O91:$U91),0),0)+4,"")</f>
        <v/>
      </c>
      <c r="S91" t="str">
        <f>IFERROR(MATCH(TRUE,INDEX(ISNUMBER('03_Base_Indice'!P91:$U91),0),0)+5,"")</f>
        <v/>
      </c>
      <c r="T91" t="str">
        <f>IFERROR(MATCH(TRUE,INDEX(ISNUMBER('03_Base_Indice'!Q91:$U91),0),0)+6,"")</f>
        <v/>
      </c>
      <c r="U91" t="str">
        <f>IFERROR(MATCH(TRUE,INDEX(ISNUMBER('03_Base_Indice'!R91:$U91),0),0)+7,"")</f>
        <v/>
      </c>
      <c r="V91" t="str">
        <f>IFERROR(MATCH(TRUE,INDEX(ISNUMBER('03_Base_Indice'!S91:$U91),0),0)+8,"")</f>
        <v/>
      </c>
      <c r="W91" t="str">
        <f>IFERROR(MATCH(TRUE,INDEX(ISNUMBER('03_Base_Indice'!T91:$U91),0),0)+9,"")</f>
        <v/>
      </c>
      <c r="X91" t="str">
        <f>IFERROR(MATCH(TRUE,INDEX(ISNUMBER('03_Base_Indice'!U91:$U91),0),0)+10,"")</f>
        <v/>
      </c>
      <c r="Z91" t="str">
        <f>IF(B91="","",INDEX('03_Base_Indice'!$K91:$U91,B91))</f>
        <v/>
      </c>
      <c r="AA91" t="str">
        <f>IF(C91="","",INDEX('03_Base_Indice'!$K91:$U91,C91))</f>
        <v/>
      </c>
      <c r="AB91" t="str">
        <f>IF(D91="","",INDEX('03_Base_Indice'!$K91:$U91,D91))</f>
        <v/>
      </c>
      <c r="AC91" t="str">
        <f>IF(E91="","",INDEX('03_Base_Indice'!$K91:$U91,E91))</f>
        <v/>
      </c>
      <c r="AD91" t="str">
        <f>IF(F91="","",INDEX('03_Base_Indice'!$K91:$U91,F91))</f>
        <v/>
      </c>
      <c r="AE91" t="str">
        <f>IF(G91="","",INDEX('03_Base_Indice'!$K91:$U91,G91))</f>
        <v/>
      </c>
      <c r="AF91" t="str">
        <f>IF(H91="","",INDEX('03_Base_Indice'!$K91:$U91,H91))</f>
        <v/>
      </c>
      <c r="AG91" t="str">
        <f>IF(I91="","",INDEX('03_Base_Indice'!$K91:$U91,I91))</f>
        <v/>
      </c>
      <c r="AH91" t="str">
        <f>IF(J91="","",INDEX('03_Base_Indice'!$K91:$U91,J91))</f>
        <v/>
      </c>
      <c r="AI91" t="str">
        <f>IF(K91="","",INDEX('03_Base_Indice'!$K91:$U91,K91))</f>
        <v/>
      </c>
      <c r="AJ91" t="str">
        <f>IF(L91="","",INDEX('03_Base_Indice'!$K91:$U91,L91))</f>
        <v/>
      </c>
      <c r="AL91" t="str">
        <f>IF(N91="","",INDEX('03_Base_Indice'!$K91:$U91,N91))</f>
        <v/>
      </c>
      <c r="AM91" t="str">
        <f>IF(O91="","",INDEX('03_Base_Indice'!$K91:$U91,O91))</f>
        <v/>
      </c>
      <c r="AN91" t="str">
        <f>IF(P91="","",INDEX('03_Base_Indice'!$K91:$U91,P91))</f>
        <v/>
      </c>
      <c r="AO91" t="str">
        <f>IF(Q91="","",INDEX('03_Base_Indice'!$K91:$U91,Q91))</f>
        <v/>
      </c>
      <c r="AP91" t="str">
        <f>IF(R91="","",INDEX('03_Base_Indice'!$K91:$U91,R91))</f>
        <v/>
      </c>
      <c r="AQ91" t="str">
        <f>IF(S91="","",INDEX('03_Base_Indice'!$K91:$U91,S91))</f>
        <v/>
      </c>
      <c r="AR91" t="str">
        <f>IF(T91="","",INDEX('03_Base_Indice'!$K91:$U91,T91))</f>
        <v/>
      </c>
      <c r="AS91" t="str">
        <f>IF(U91="","",INDEX('03_Base_Indice'!$K91:$U91,U91))</f>
        <v/>
      </c>
      <c r="AT91" t="str">
        <f>IF(V91="","",INDEX('03_Base_Indice'!$K91:$U91,V91))</f>
        <v/>
      </c>
      <c r="AU91" t="str">
        <f>IF(W91="","",INDEX('03_Base_Indice'!$K91:$U91,W91))</f>
        <v/>
      </c>
      <c r="AV91" t="str">
        <f>IF(X91="","",INDEX('03_Base_Indice'!$K91:$U91,X91))</f>
        <v/>
      </c>
      <c r="AX91">
        <f>IF('06_Normalizacao'!K91="",0,'06_Normalizacao'!K91)</f>
        <v>0</v>
      </c>
      <c r="AY91">
        <f>IF('06_Normalizacao'!L91="",0,'06_Normalizacao'!L91)</f>
        <v>0</v>
      </c>
      <c r="AZ91">
        <f>IF('06_Normalizacao'!M91="",0,'06_Normalizacao'!M91)</f>
        <v>0</v>
      </c>
      <c r="BA91">
        <f>IF('06_Normalizacao'!N91="",0,'06_Normalizacao'!N91)</f>
        <v>0</v>
      </c>
      <c r="BB91">
        <f>IF('06_Normalizacao'!O91="",0,'06_Normalizacao'!O91)</f>
        <v>0</v>
      </c>
      <c r="BC91">
        <f>IF('06_Normalizacao'!P91="",0,'06_Normalizacao'!P91)</f>
        <v>0</v>
      </c>
      <c r="BD91">
        <f>IF('06_Normalizacao'!Q91="",0,'06_Normalizacao'!Q91)</f>
        <v>0</v>
      </c>
      <c r="BE91">
        <f>IF('06_Normalizacao'!R91="",0,'06_Normalizacao'!R91)</f>
        <v>0</v>
      </c>
      <c r="BF91">
        <f>IF('06_Normalizacao'!S91="",0,'06_Normalizacao'!S91)</f>
        <v>0</v>
      </c>
      <c r="BG91">
        <f>IF('06_Normalizacao'!T91="",0,'06_Normalizacao'!T91)</f>
        <v>0</v>
      </c>
      <c r="BH91">
        <f>IF('06_Normalizacao'!U91="",0,'06_Normalizacao'!U91)</f>
        <v>0</v>
      </c>
      <c r="BJ91">
        <f>IF('06_Normalizacao'!K91="",0,1)</f>
        <v>0</v>
      </c>
      <c r="BK91">
        <f>IF('06_Normalizacao'!L91="",0,1)</f>
        <v>0</v>
      </c>
      <c r="BL91">
        <f>IF('06_Normalizacao'!M91="",0,1)</f>
        <v>0</v>
      </c>
      <c r="BM91">
        <f>IF('06_Normalizacao'!N91="",0,1)</f>
        <v>0</v>
      </c>
      <c r="BN91">
        <f>IF('06_Normalizacao'!O91="",0,1)</f>
        <v>0</v>
      </c>
      <c r="BO91">
        <f>IF('06_Normalizacao'!P91="",0,1)</f>
        <v>0</v>
      </c>
      <c r="BP91">
        <f>IF('06_Normalizacao'!Q91="",0,1)</f>
        <v>0</v>
      </c>
      <c r="BQ91">
        <f>IF('06_Normalizacao'!R91="",0,1)</f>
        <v>0</v>
      </c>
      <c r="BR91">
        <f>IF('06_Normalizacao'!S91="",0,1)</f>
        <v>0</v>
      </c>
      <c r="BS91">
        <f>IF('06_Normalizacao'!T91="",0,1)</f>
        <v>0</v>
      </c>
      <c r="BT91">
        <f>IF('06_Normalizacao'!U91="",0,1)</f>
        <v>0</v>
      </c>
    </row>
    <row r="92" spans="1:72">
      <c r="A92" s="6" t="str">
        <f>'03_Base_Indice'!D92</f>
        <v/>
      </c>
      <c r="B92" t="str">
        <f>IFERROR(LOOKUP(2,1/ISNUMBER('03_Base_Indice'!$K92:K92),COLUMN('03_Base_Indice'!$K92:K92)-COLUMN('03_Base_Indice'!$K92)+1),"")</f>
        <v/>
      </c>
      <c r="C92" t="str">
        <f>IFERROR(LOOKUP(2,1/ISNUMBER('03_Base_Indice'!$K92:L92),COLUMN('03_Base_Indice'!$K92:L92)-COLUMN('03_Base_Indice'!$K92)+1),"")</f>
        <v/>
      </c>
      <c r="D92" t="str">
        <f>IFERROR(LOOKUP(2,1/ISNUMBER('03_Base_Indice'!$K92:M92),COLUMN('03_Base_Indice'!$K92:M92)-COLUMN('03_Base_Indice'!$K92)+1),"")</f>
        <v/>
      </c>
      <c r="E92" t="str">
        <f>IFERROR(LOOKUP(2,1/ISNUMBER('03_Base_Indice'!$K92:N92),COLUMN('03_Base_Indice'!$K92:N92)-COLUMN('03_Base_Indice'!$K92)+1),"")</f>
        <v/>
      </c>
      <c r="F92" t="str">
        <f>IFERROR(LOOKUP(2,1/ISNUMBER('03_Base_Indice'!$K92:O92),COLUMN('03_Base_Indice'!$K92:O92)-COLUMN('03_Base_Indice'!$K92)+1),"")</f>
        <v/>
      </c>
      <c r="G92" t="str">
        <f>IFERROR(LOOKUP(2,1/ISNUMBER('03_Base_Indice'!$K92:P92),COLUMN('03_Base_Indice'!$K92:P92)-COLUMN('03_Base_Indice'!$K92)+1),"")</f>
        <v/>
      </c>
      <c r="H92" t="str">
        <f>IFERROR(LOOKUP(2,1/ISNUMBER('03_Base_Indice'!$K92:Q92),COLUMN('03_Base_Indice'!$K92:Q92)-COLUMN('03_Base_Indice'!$K92)+1),"")</f>
        <v/>
      </c>
      <c r="I92" t="str">
        <f>IFERROR(LOOKUP(2,1/ISNUMBER('03_Base_Indice'!$K92:R92),COLUMN('03_Base_Indice'!$K92:R92)-COLUMN('03_Base_Indice'!$K92)+1),"")</f>
        <v/>
      </c>
      <c r="J92" t="str">
        <f>IFERROR(LOOKUP(2,1/ISNUMBER('03_Base_Indice'!$K92:S92),COLUMN('03_Base_Indice'!$K92:S92)-COLUMN('03_Base_Indice'!$K92)+1),"")</f>
        <v/>
      </c>
      <c r="K92" t="str">
        <f>IFERROR(LOOKUP(2,1/ISNUMBER('03_Base_Indice'!$K92:T92),COLUMN('03_Base_Indice'!$K92:T92)-COLUMN('03_Base_Indice'!$K92)+1),"")</f>
        <v/>
      </c>
      <c r="L92" t="str">
        <f>IFERROR(LOOKUP(2,1/ISNUMBER('03_Base_Indice'!$K92:U92),COLUMN('03_Base_Indice'!$K92:U92)-COLUMN('03_Base_Indice'!$K92)+1),"")</f>
        <v/>
      </c>
      <c r="N92" t="str">
        <f>IFERROR(MATCH(TRUE,INDEX(ISNUMBER('03_Base_Indice'!K92:$U92),0),0)+0,"")</f>
        <v/>
      </c>
      <c r="O92" t="str">
        <f>IFERROR(MATCH(TRUE,INDEX(ISNUMBER('03_Base_Indice'!L92:$U92),0),0)+1,"")</f>
        <v/>
      </c>
      <c r="P92" t="str">
        <f>IFERROR(MATCH(TRUE,INDEX(ISNUMBER('03_Base_Indice'!M92:$U92),0),0)+2,"")</f>
        <v/>
      </c>
      <c r="Q92" t="str">
        <f>IFERROR(MATCH(TRUE,INDEX(ISNUMBER('03_Base_Indice'!N92:$U92),0),0)+3,"")</f>
        <v/>
      </c>
      <c r="R92" t="str">
        <f>IFERROR(MATCH(TRUE,INDEX(ISNUMBER('03_Base_Indice'!O92:$U92),0),0)+4,"")</f>
        <v/>
      </c>
      <c r="S92" t="str">
        <f>IFERROR(MATCH(TRUE,INDEX(ISNUMBER('03_Base_Indice'!P92:$U92),0),0)+5,"")</f>
        <v/>
      </c>
      <c r="T92" t="str">
        <f>IFERROR(MATCH(TRUE,INDEX(ISNUMBER('03_Base_Indice'!Q92:$U92),0),0)+6,"")</f>
        <v/>
      </c>
      <c r="U92" t="str">
        <f>IFERROR(MATCH(TRUE,INDEX(ISNUMBER('03_Base_Indice'!R92:$U92),0),0)+7,"")</f>
        <v/>
      </c>
      <c r="V92" t="str">
        <f>IFERROR(MATCH(TRUE,INDEX(ISNUMBER('03_Base_Indice'!S92:$U92),0),0)+8,"")</f>
        <v/>
      </c>
      <c r="W92" t="str">
        <f>IFERROR(MATCH(TRUE,INDEX(ISNUMBER('03_Base_Indice'!T92:$U92),0),0)+9,"")</f>
        <v/>
      </c>
      <c r="X92" t="str">
        <f>IFERROR(MATCH(TRUE,INDEX(ISNUMBER('03_Base_Indice'!U92:$U92),0),0)+10,"")</f>
        <v/>
      </c>
      <c r="Z92" t="str">
        <f>IF(B92="","",INDEX('03_Base_Indice'!$K92:$U92,B92))</f>
        <v/>
      </c>
      <c r="AA92" t="str">
        <f>IF(C92="","",INDEX('03_Base_Indice'!$K92:$U92,C92))</f>
        <v/>
      </c>
      <c r="AB92" t="str">
        <f>IF(D92="","",INDEX('03_Base_Indice'!$K92:$U92,D92))</f>
        <v/>
      </c>
      <c r="AC92" t="str">
        <f>IF(E92="","",INDEX('03_Base_Indice'!$K92:$U92,E92))</f>
        <v/>
      </c>
      <c r="AD92" t="str">
        <f>IF(F92="","",INDEX('03_Base_Indice'!$K92:$U92,F92))</f>
        <v/>
      </c>
      <c r="AE92" t="str">
        <f>IF(G92="","",INDEX('03_Base_Indice'!$K92:$U92,G92))</f>
        <v/>
      </c>
      <c r="AF92" t="str">
        <f>IF(H92="","",INDEX('03_Base_Indice'!$K92:$U92,H92))</f>
        <v/>
      </c>
      <c r="AG92" t="str">
        <f>IF(I92="","",INDEX('03_Base_Indice'!$K92:$U92,I92))</f>
        <v/>
      </c>
      <c r="AH92" t="str">
        <f>IF(J92="","",INDEX('03_Base_Indice'!$K92:$U92,J92))</f>
        <v/>
      </c>
      <c r="AI92" t="str">
        <f>IF(K92="","",INDEX('03_Base_Indice'!$K92:$U92,K92))</f>
        <v/>
      </c>
      <c r="AJ92" t="str">
        <f>IF(L92="","",INDEX('03_Base_Indice'!$K92:$U92,L92))</f>
        <v/>
      </c>
      <c r="AL92" t="str">
        <f>IF(N92="","",INDEX('03_Base_Indice'!$K92:$U92,N92))</f>
        <v/>
      </c>
      <c r="AM92" t="str">
        <f>IF(O92="","",INDEX('03_Base_Indice'!$K92:$U92,O92))</f>
        <v/>
      </c>
      <c r="AN92" t="str">
        <f>IF(P92="","",INDEX('03_Base_Indice'!$K92:$U92,P92))</f>
        <v/>
      </c>
      <c r="AO92" t="str">
        <f>IF(Q92="","",INDEX('03_Base_Indice'!$K92:$U92,Q92))</f>
        <v/>
      </c>
      <c r="AP92" t="str">
        <f>IF(R92="","",INDEX('03_Base_Indice'!$K92:$U92,R92))</f>
        <v/>
      </c>
      <c r="AQ92" t="str">
        <f>IF(S92="","",INDEX('03_Base_Indice'!$K92:$U92,S92))</f>
        <v/>
      </c>
      <c r="AR92" t="str">
        <f>IF(T92="","",INDEX('03_Base_Indice'!$K92:$U92,T92))</f>
        <v/>
      </c>
      <c r="AS92" t="str">
        <f>IF(U92="","",INDEX('03_Base_Indice'!$K92:$U92,U92))</f>
        <v/>
      </c>
      <c r="AT92" t="str">
        <f>IF(V92="","",INDEX('03_Base_Indice'!$K92:$U92,V92))</f>
        <v/>
      </c>
      <c r="AU92" t="str">
        <f>IF(W92="","",INDEX('03_Base_Indice'!$K92:$U92,W92))</f>
        <v/>
      </c>
      <c r="AV92" t="str">
        <f>IF(X92="","",INDEX('03_Base_Indice'!$K92:$U92,X92))</f>
        <v/>
      </c>
      <c r="AX92">
        <f>IF('06_Normalizacao'!K92="",0,'06_Normalizacao'!K92)</f>
        <v>0</v>
      </c>
      <c r="AY92">
        <f>IF('06_Normalizacao'!L92="",0,'06_Normalizacao'!L92)</f>
        <v>0</v>
      </c>
      <c r="AZ92">
        <f>IF('06_Normalizacao'!M92="",0,'06_Normalizacao'!M92)</f>
        <v>0</v>
      </c>
      <c r="BA92">
        <f>IF('06_Normalizacao'!N92="",0,'06_Normalizacao'!N92)</f>
        <v>0</v>
      </c>
      <c r="BB92">
        <f>IF('06_Normalizacao'!O92="",0,'06_Normalizacao'!O92)</f>
        <v>0</v>
      </c>
      <c r="BC92">
        <f>IF('06_Normalizacao'!P92="",0,'06_Normalizacao'!P92)</f>
        <v>0</v>
      </c>
      <c r="BD92">
        <f>IF('06_Normalizacao'!Q92="",0,'06_Normalizacao'!Q92)</f>
        <v>0</v>
      </c>
      <c r="BE92">
        <f>IF('06_Normalizacao'!R92="",0,'06_Normalizacao'!R92)</f>
        <v>0</v>
      </c>
      <c r="BF92">
        <f>IF('06_Normalizacao'!S92="",0,'06_Normalizacao'!S92)</f>
        <v>0</v>
      </c>
      <c r="BG92">
        <f>IF('06_Normalizacao'!T92="",0,'06_Normalizacao'!T92)</f>
        <v>0</v>
      </c>
      <c r="BH92">
        <f>IF('06_Normalizacao'!U92="",0,'06_Normalizacao'!U92)</f>
        <v>0</v>
      </c>
      <c r="BJ92">
        <f>IF('06_Normalizacao'!K92="",0,1)</f>
        <v>0</v>
      </c>
      <c r="BK92">
        <f>IF('06_Normalizacao'!L92="",0,1)</f>
        <v>0</v>
      </c>
      <c r="BL92">
        <f>IF('06_Normalizacao'!M92="",0,1)</f>
        <v>0</v>
      </c>
      <c r="BM92">
        <f>IF('06_Normalizacao'!N92="",0,1)</f>
        <v>0</v>
      </c>
      <c r="BN92">
        <f>IF('06_Normalizacao'!O92="",0,1)</f>
        <v>0</v>
      </c>
      <c r="BO92">
        <f>IF('06_Normalizacao'!P92="",0,1)</f>
        <v>0</v>
      </c>
      <c r="BP92">
        <f>IF('06_Normalizacao'!Q92="",0,1)</f>
        <v>0</v>
      </c>
      <c r="BQ92">
        <f>IF('06_Normalizacao'!R92="",0,1)</f>
        <v>0</v>
      </c>
      <c r="BR92">
        <f>IF('06_Normalizacao'!S92="",0,1)</f>
        <v>0</v>
      </c>
      <c r="BS92">
        <f>IF('06_Normalizacao'!T92="",0,1)</f>
        <v>0</v>
      </c>
      <c r="BT92">
        <f>IF('06_Normalizacao'!U92="",0,1)</f>
        <v>0</v>
      </c>
    </row>
    <row r="93" spans="1:72">
      <c r="A93" s="6" t="str">
        <f>'03_Base_Indice'!D93</f>
        <v/>
      </c>
      <c r="B93" t="str">
        <f>IFERROR(LOOKUP(2,1/ISNUMBER('03_Base_Indice'!$K93:K93),COLUMN('03_Base_Indice'!$K93:K93)-COLUMN('03_Base_Indice'!$K93)+1),"")</f>
        <v/>
      </c>
      <c r="C93" t="str">
        <f>IFERROR(LOOKUP(2,1/ISNUMBER('03_Base_Indice'!$K93:L93),COLUMN('03_Base_Indice'!$K93:L93)-COLUMN('03_Base_Indice'!$K93)+1),"")</f>
        <v/>
      </c>
      <c r="D93" t="str">
        <f>IFERROR(LOOKUP(2,1/ISNUMBER('03_Base_Indice'!$K93:M93),COLUMN('03_Base_Indice'!$K93:M93)-COLUMN('03_Base_Indice'!$K93)+1),"")</f>
        <v/>
      </c>
      <c r="E93" t="str">
        <f>IFERROR(LOOKUP(2,1/ISNUMBER('03_Base_Indice'!$K93:N93),COLUMN('03_Base_Indice'!$K93:N93)-COLUMN('03_Base_Indice'!$K93)+1),"")</f>
        <v/>
      </c>
      <c r="F93" t="str">
        <f>IFERROR(LOOKUP(2,1/ISNUMBER('03_Base_Indice'!$K93:O93),COLUMN('03_Base_Indice'!$K93:O93)-COLUMN('03_Base_Indice'!$K93)+1),"")</f>
        <v/>
      </c>
      <c r="G93" t="str">
        <f>IFERROR(LOOKUP(2,1/ISNUMBER('03_Base_Indice'!$K93:P93),COLUMN('03_Base_Indice'!$K93:P93)-COLUMN('03_Base_Indice'!$K93)+1),"")</f>
        <v/>
      </c>
      <c r="H93" t="str">
        <f>IFERROR(LOOKUP(2,1/ISNUMBER('03_Base_Indice'!$K93:Q93),COLUMN('03_Base_Indice'!$K93:Q93)-COLUMN('03_Base_Indice'!$K93)+1),"")</f>
        <v/>
      </c>
      <c r="I93" t="str">
        <f>IFERROR(LOOKUP(2,1/ISNUMBER('03_Base_Indice'!$K93:R93),COLUMN('03_Base_Indice'!$K93:R93)-COLUMN('03_Base_Indice'!$K93)+1),"")</f>
        <v/>
      </c>
      <c r="J93" t="str">
        <f>IFERROR(LOOKUP(2,1/ISNUMBER('03_Base_Indice'!$K93:S93),COLUMN('03_Base_Indice'!$K93:S93)-COLUMN('03_Base_Indice'!$K93)+1),"")</f>
        <v/>
      </c>
      <c r="K93" t="str">
        <f>IFERROR(LOOKUP(2,1/ISNUMBER('03_Base_Indice'!$K93:T93),COLUMN('03_Base_Indice'!$K93:T93)-COLUMN('03_Base_Indice'!$K93)+1),"")</f>
        <v/>
      </c>
      <c r="L93" t="str">
        <f>IFERROR(LOOKUP(2,1/ISNUMBER('03_Base_Indice'!$K93:U93),COLUMN('03_Base_Indice'!$K93:U93)-COLUMN('03_Base_Indice'!$K93)+1),"")</f>
        <v/>
      </c>
      <c r="N93" t="str">
        <f>IFERROR(MATCH(TRUE,INDEX(ISNUMBER('03_Base_Indice'!K93:$U93),0),0)+0,"")</f>
        <v/>
      </c>
      <c r="O93" t="str">
        <f>IFERROR(MATCH(TRUE,INDEX(ISNUMBER('03_Base_Indice'!L93:$U93),0),0)+1,"")</f>
        <v/>
      </c>
      <c r="P93" t="str">
        <f>IFERROR(MATCH(TRUE,INDEX(ISNUMBER('03_Base_Indice'!M93:$U93),0),0)+2,"")</f>
        <v/>
      </c>
      <c r="Q93" t="str">
        <f>IFERROR(MATCH(TRUE,INDEX(ISNUMBER('03_Base_Indice'!N93:$U93),0),0)+3,"")</f>
        <v/>
      </c>
      <c r="R93" t="str">
        <f>IFERROR(MATCH(TRUE,INDEX(ISNUMBER('03_Base_Indice'!O93:$U93),0),0)+4,"")</f>
        <v/>
      </c>
      <c r="S93" t="str">
        <f>IFERROR(MATCH(TRUE,INDEX(ISNUMBER('03_Base_Indice'!P93:$U93),0),0)+5,"")</f>
        <v/>
      </c>
      <c r="T93" t="str">
        <f>IFERROR(MATCH(TRUE,INDEX(ISNUMBER('03_Base_Indice'!Q93:$U93),0),0)+6,"")</f>
        <v/>
      </c>
      <c r="U93" t="str">
        <f>IFERROR(MATCH(TRUE,INDEX(ISNUMBER('03_Base_Indice'!R93:$U93),0),0)+7,"")</f>
        <v/>
      </c>
      <c r="V93" t="str">
        <f>IFERROR(MATCH(TRUE,INDEX(ISNUMBER('03_Base_Indice'!S93:$U93),0),0)+8,"")</f>
        <v/>
      </c>
      <c r="W93" t="str">
        <f>IFERROR(MATCH(TRUE,INDEX(ISNUMBER('03_Base_Indice'!T93:$U93),0),0)+9,"")</f>
        <v/>
      </c>
      <c r="X93" t="str">
        <f>IFERROR(MATCH(TRUE,INDEX(ISNUMBER('03_Base_Indice'!U93:$U93),0),0)+10,"")</f>
        <v/>
      </c>
      <c r="Z93" t="str">
        <f>IF(B93="","",INDEX('03_Base_Indice'!$K93:$U93,B93))</f>
        <v/>
      </c>
      <c r="AA93" t="str">
        <f>IF(C93="","",INDEX('03_Base_Indice'!$K93:$U93,C93))</f>
        <v/>
      </c>
      <c r="AB93" t="str">
        <f>IF(D93="","",INDEX('03_Base_Indice'!$K93:$U93,D93))</f>
        <v/>
      </c>
      <c r="AC93" t="str">
        <f>IF(E93="","",INDEX('03_Base_Indice'!$K93:$U93,E93))</f>
        <v/>
      </c>
      <c r="AD93" t="str">
        <f>IF(F93="","",INDEX('03_Base_Indice'!$K93:$U93,F93))</f>
        <v/>
      </c>
      <c r="AE93" t="str">
        <f>IF(G93="","",INDEX('03_Base_Indice'!$K93:$U93,G93))</f>
        <v/>
      </c>
      <c r="AF93" t="str">
        <f>IF(H93="","",INDEX('03_Base_Indice'!$K93:$U93,H93))</f>
        <v/>
      </c>
      <c r="AG93" t="str">
        <f>IF(I93="","",INDEX('03_Base_Indice'!$K93:$U93,I93))</f>
        <v/>
      </c>
      <c r="AH93" t="str">
        <f>IF(J93="","",INDEX('03_Base_Indice'!$K93:$U93,J93))</f>
        <v/>
      </c>
      <c r="AI93" t="str">
        <f>IF(K93="","",INDEX('03_Base_Indice'!$K93:$U93,K93))</f>
        <v/>
      </c>
      <c r="AJ93" t="str">
        <f>IF(L93="","",INDEX('03_Base_Indice'!$K93:$U93,L93))</f>
        <v/>
      </c>
      <c r="AL93" t="str">
        <f>IF(N93="","",INDEX('03_Base_Indice'!$K93:$U93,N93))</f>
        <v/>
      </c>
      <c r="AM93" t="str">
        <f>IF(O93="","",INDEX('03_Base_Indice'!$K93:$U93,O93))</f>
        <v/>
      </c>
      <c r="AN93" t="str">
        <f>IF(P93="","",INDEX('03_Base_Indice'!$K93:$U93,P93))</f>
        <v/>
      </c>
      <c r="AO93" t="str">
        <f>IF(Q93="","",INDEX('03_Base_Indice'!$K93:$U93,Q93))</f>
        <v/>
      </c>
      <c r="AP93" t="str">
        <f>IF(R93="","",INDEX('03_Base_Indice'!$K93:$U93,R93))</f>
        <v/>
      </c>
      <c r="AQ93" t="str">
        <f>IF(S93="","",INDEX('03_Base_Indice'!$K93:$U93,S93))</f>
        <v/>
      </c>
      <c r="AR93" t="str">
        <f>IF(T93="","",INDEX('03_Base_Indice'!$K93:$U93,T93))</f>
        <v/>
      </c>
      <c r="AS93" t="str">
        <f>IF(U93="","",INDEX('03_Base_Indice'!$K93:$U93,U93))</f>
        <v/>
      </c>
      <c r="AT93" t="str">
        <f>IF(V93="","",INDEX('03_Base_Indice'!$K93:$U93,V93))</f>
        <v/>
      </c>
      <c r="AU93" t="str">
        <f>IF(W93="","",INDEX('03_Base_Indice'!$K93:$U93,W93))</f>
        <v/>
      </c>
      <c r="AV93" t="str">
        <f>IF(X93="","",INDEX('03_Base_Indice'!$K93:$U93,X93))</f>
        <v/>
      </c>
      <c r="AX93">
        <f>IF('06_Normalizacao'!K93="",0,'06_Normalizacao'!K93)</f>
        <v>0</v>
      </c>
      <c r="AY93">
        <f>IF('06_Normalizacao'!L93="",0,'06_Normalizacao'!L93)</f>
        <v>0</v>
      </c>
      <c r="AZ93">
        <f>IF('06_Normalizacao'!M93="",0,'06_Normalizacao'!M93)</f>
        <v>0</v>
      </c>
      <c r="BA93">
        <f>IF('06_Normalizacao'!N93="",0,'06_Normalizacao'!N93)</f>
        <v>0</v>
      </c>
      <c r="BB93">
        <f>IF('06_Normalizacao'!O93="",0,'06_Normalizacao'!O93)</f>
        <v>0</v>
      </c>
      <c r="BC93">
        <f>IF('06_Normalizacao'!P93="",0,'06_Normalizacao'!P93)</f>
        <v>0</v>
      </c>
      <c r="BD93">
        <f>IF('06_Normalizacao'!Q93="",0,'06_Normalizacao'!Q93)</f>
        <v>0</v>
      </c>
      <c r="BE93">
        <f>IF('06_Normalizacao'!R93="",0,'06_Normalizacao'!R93)</f>
        <v>0</v>
      </c>
      <c r="BF93">
        <f>IF('06_Normalizacao'!S93="",0,'06_Normalizacao'!S93)</f>
        <v>0</v>
      </c>
      <c r="BG93">
        <f>IF('06_Normalizacao'!T93="",0,'06_Normalizacao'!T93)</f>
        <v>0</v>
      </c>
      <c r="BH93">
        <f>IF('06_Normalizacao'!U93="",0,'06_Normalizacao'!U93)</f>
        <v>0</v>
      </c>
      <c r="BJ93">
        <f>IF('06_Normalizacao'!K93="",0,1)</f>
        <v>0</v>
      </c>
      <c r="BK93">
        <f>IF('06_Normalizacao'!L93="",0,1)</f>
        <v>0</v>
      </c>
      <c r="BL93">
        <f>IF('06_Normalizacao'!M93="",0,1)</f>
        <v>0</v>
      </c>
      <c r="BM93">
        <f>IF('06_Normalizacao'!N93="",0,1)</f>
        <v>0</v>
      </c>
      <c r="BN93">
        <f>IF('06_Normalizacao'!O93="",0,1)</f>
        <v>0</v>
      </c>
      <c r="BO93">
        <f>IF('06_Normalizacao'!P93="",0,1)</f>
        <v>0</v>
      </c>
      <c r="BP93">
        <f>IF('06_Normalizacao'!Q93="",0,1)</f>
        <v>0</v>
      </c>
      <c r="BQ93">
        <f>IF('06_Normalizacao'!R93="",0,1)</f>
        <v>0</v>
      </c>
      <c r="BR93">
        <f>IF('06_Normalizacao'!S93="",0,1)</f>
        <v>0</v>
      </c>
      <c r="BS93">
        <f>IF('06_Normalizacao'!T93="",0,1)</f>
        <v>0</v>
      </c>
      <c r="BT93">
        <f>IF('06_Normalizacao'!U93="",0,1)</f>
        <v>0</v>
      </c>
    </row>
    <row r="94" spans="1:72">
      <c r="A94" s="6" t="str">
        <f>'03_Base_Indice'!D94</f>
        <v/>
      </c>
      <c r="B94" t="str">
        <f>IFERROR(LOOKUP(2,1/ISNUMBER('03_Base_Indice'!$K94:K94),COLUMN('03_Base_Indice'!$K94:K94)-COLUMN('03_Base_Indice'!$K94)+1),"")</f>
        <v/>
      </c>
      <c r="C94" t="str">
        <f>IFERROR(LOOKUP(2,1/ISNUMBER('03_Base_Indice'!$K94:L94),COLUMN('03_Base_Indice'!$K94:L94)-COLUMN('03_Base_Indice'!$K94)+1),"")</f>
        <v/>
      </c>
      <c r="D94" t="str">
        <f>IFERROR(LOOKUP(2,1/ISNUMBER('03_Base_Indice'!$K94:M94),COLUMN('03_Base_Indice'!$K94:M94)-COLUMN('03_Base_Indice'!$K94)+1),"")</f>
        <v/>
      </c>
      <c r="E94" t="str">
        <f>IFERROR(LOOKUP(2,1/ISNUMBER('03_Base_Indice'!$K94:N94),COLUMN('03_Base_Indice'!$K94:N94)-COLUMN('03_Base_Indice'!$K94)+1),"")</f>
        <v/>
      </c>
      <c r="F94" t="str">
        <f>IFERROR(LOOKUP(2,1/ISNUMBER('03_Base_Indice'!$K94:O94),COLUMN('03_Base_Indice'!$K94:O94)-COLUMN('03_Base_Indice'!$K94)+1),"")</f>
        <v/>
      </c>
      <c r="G94" t="str">
        <f>IFERROR(LOOKUP(2,1/ISNUMBER('03_Base_Indice'!$K94:P94),COLUMN('03_Base_Indice'!$K94:P94)-COLUMN('03_Base_Indice'!$K94)+1),"")</f>
        <v/>
      </c>
      <c r="H94" t="str">
        <f>IFERROR(LOOKUP(2,1/ISNUMBER('03_Base_Indice'!$K94:Q94),COLUMN('03_Base_Indice'!$K94:Q94)-COLUMN('03_Base_Indice'!$K94)+1),"")</f>
        <v/>
      </c>
      <c r="I94" t="str">
        <f>IFERROR(LOOKUP(2,1/ISNUMBER('03_Base_Indice'!$K94:R94),COLUMN('03_Base_Indice'!$K94:R94)-COLUMN('03_Base_Indice'!$K94)+1),"")</f>
        <v/>
      </c>
      <c r="J94" t="str">
        <f>IFERROR(LOOKUP(2,1/ISNUMBER('03_Base_Indice'!$K94:S94),COLUMN('03_Base_Indice'!$K94:S94)-COLUMN('03_Base_Indice'!$K94)+1),"")</f>
        <v/>
      </c>
      <c r="K94" t="str">
        <f>IFERROR(LOOKUP(2,1/ISNUMBER('03_Base_Indice'!$K94:T94),COLUMN('03_Base_Indice'!$K94:T94)-COLUMN('03_Base_Indice'!$K94)+1),"")</f>
        <v/>
      </c>
      <c r="L94" t="str">
        <f>IFERROR(LOOKUP(2,1/ISNUMBER('03_Base_Indice'!$K94:U94),COLUMN('03_Base_Indice'!$K94:U94)-COLUMN('03_Base_Indice'!$K94)+1),"")</f>
        <v/>
      </c>
      <c r="N94" t="str">
        <f>IFERROR(MATCH(TRUE,INDEX(ISNUMBER('03_Base_Indice'!K94:$U94),0),0)+0,"")</f>
        <v/>
      </c>
      <c r="O94" t="str">
        <f>IFERROR(MATCH(TRUE,INDEX(ISNUMBER('03_Base_Indice'!L94:$U94),0),0)+1,"")</f>
        <v/>
      </c>
      <c r="P94" t="str">
        <f>IFERROR(MATCH(TRUE,INDEX(ISNUMBER('03_Base_Indice'!M94:$U94),0),0)+2,"")</f>
        <v/>
      </c>
      <c r="Q94" t="str">
        <f>IFERROR(MATCH(TRUE,INDEX(ISNUMBER('03_Base_Indice'!N94:$U94),0),0)+3,"")</f>
        <v/>
      </c>
      <c r="R94" t="str">
        <f>IFERROR(MATCH(TRUE,INDEX(ISNUMBER('03_Base_Indice'!O94:$U94),0),0)+4,"")</f>
        <v/>
      </c>
      <c r="S94" t="str">
        <f>IFERROR(MATCH(TRUE,INDEX(ISNUMBER('03_Base_Indice'!P94:$U94),0),0)+5,"")</f>
        <v/>
      </c>
      <c r="T94" t="str">
        <f>IFERROR(MATCH(TRUE,INDEX(ISNUMBER('03_Base_Indice'!Q94:$U94),0),0)+6,"")</f>
        <v/>
      </c>
      <c r="U94" t="str">
        <f>IFERROR(MATCH(TRUE,INDEX(ISNUMBER('03_Base_Indice'!R94:$U94),0),0)+7,"")</f>
        <v/>
      </c>
      <c r="V94" t="str">
        <f>IFERROR(MATCH(TRUE,INDEX(ISNUMBER('03_Base_Indice'!S94:$U94),0),0)+8,"")</f>
        <v/>
      </c>
      <c r="W94" t="str">
        <f>IFERROR(MATCH(TRUE,INDEX(ISNUMBER('03_Base_Indice'!T94:$U94),0),0)+9,"")</f>
        <v/>
      </c>
      <c r="X94" t="str">
        <f>IFERROR(MATCH(TRUE,INDEX(ISNUMBER('03_Base_Indice'!U94:$U94),0),0)+10,"")</f>
        <v/>
      </c>
      <c r="Z94" t="str">
        <f>IF(B94="","",INDEX('03_Base_Indice'!$K94:$U94,B94))</f>
        <v/>
      </c>
      <c r="AA94" t="str">
        <f>IF(C94="","",INDEX('03_Base_Indice'!$K94:$U94,C94))</f>
        <v/>
      </c>
      <c r="AB94" t="str">
        <f>IF(D94="","",INDEX('03_Base_Indice'!$K94:$U94,D94))</f>
        <v/>
      </c>
      <c r="AC94" t="str">
        <f>IF(E94="","",INDEX('03_Base_Indice'!$K94:$U94,E94))</f>
        <v/>
      </c>
      <c r="AD94" t="str">
        <f>IF(F94="","",INDEX('03_Base_Indice'!$K94:$U94,F94))</f>
        <v/>
      </c>
      <c r="AE94" t="str">
        <f>IF(G94="","",INDEX('03_Base_Indice'!$K94:$U94,G94))</f>
        <v/>
      </c>
      <c r="AF94" t="str">
        <f>IF(H94="","",INDEX('03_Base_Indice'!$K94:$U94,H94))</f>
        <v/>
      </c>
      <c r="AG94" t="str">
        <f>IF(I94="","",INDEX('03_Base_Indice'!$K94:$U94,I94))</f>
        <v/>
      </c>
      <c r="AH94" t="str">
        <f>IF(J94="","",INDEX('03_Base_Indice'!$K94:$U94,J94))</f>
        <v/>
      </c>
      <c r="AI94" t="str">
        <f>IF(K94="","",INDEX('03_Base_Indice'!$K94:$U94,K94))</f>
        <v/>
      </c>
      <c r="AJ94" t="str">
        <f>IF(L94="","",INDEX('03_Base_Indice'!$K94:$U94,L94))</f>
        <v/>
      </c>
      <c r="AL94" t="str">
        <f>IF(N94="","",INDEX('03_Base_Indice'!$K94:$U94,N94))</f>
        <v/>
      </c>
      <c r="AM94" t="str">
        <f>IF(O94="","",INDEX('03_Base_Indice'!$K94:$U94,O94))</f>
        <v/>
      </c>
      <c r="AN94" t="str">
        <f>IF(P94="","",INDEX('03_Base_Indice'!$K94:$U94,P94))</f>
        <v/>
      </c>
      <c r="AO94" t="str">
        <f>IF(Q94="","",INDEX('03_Base_Indice'!$K94:$U94,Q94))</f>
        <v/>
      </c>
      <c r="AP94" t="str">
        <f>IF(R94="","",INDEX('03_Base_Indice'!$K94:$U94,R94))</f>
        <v/>
      </c>
      <c r="AQ94" t="str">
        <f>IF(S94="","",INDEX('03_Base_Indice'!$K94:$U94,S94))</f>
        <v/>
      </c>
      <c r="AR94" t="str">
        <f>IF(T94="","",INDEX('03_Base_Indice'!$K94:$U94,T94))</f>
        <v/>
      </c>
      <c r="AS94" t="str">
        <f>IF(U94="","",INDEX('03_Base_Indice'!$K94:$U94,U94))</f>
        <v/>
      </c>
      <c r="AT94" t="str">
        <f>IF(V94="","",INDEX('03_Base_Indice'!$K94:$U94,V94))</f>
        <v/>
      </c>
      <c r="AU94" t="str">
        <f>IF(W94="","",INDEX('03_Base_Indice'!$K94:$U94,W94))</f>
        <v/>
      </c>
      <c r="AV94" t="str">
        <f>IF(X94="","",INDEX('03_Base_Indice'!$K94:$U94,X94))</f>
        <v/>
      </c>
      <c r="AX94">
        <f>IF('06_Normalizacao'!K94="",0,'06_Normalizacao'!K94)</f>
        <v>0</v>
      </c>
      <c r="AY94">
        <f>IF('06_Normalizacao'!L94="",0,'06_Normalizacao'!L94)</f>
        <v>0</v>
      </c>
      <c r="AZ94">
        <f>IF('06_Normalizacao'!M94="",0,'06_Normalizacao'!M94)</f>
        <v>0</v>
      </c>
      <c r="BA94">
        <f>IF('06_Normalizacao'!N94="",0,'06_Normalizacao'!N94)</f>
        <v>0</v>
      </c>
      <c r="BB94">
        <f>IF('06_Normalizacao'!O94="",0,'06_Normalizacao'!O94)</f>
        <v>0</v>
      </c>
      <c r="BC94">
        <f>IF('06_Normalizacao'!P94="",0,'06_Normalizacao'!P94)</f>
        <v>0</v>
      </c>
      <c r="BD94">
        <f>IF('06_Normalizacao'!Q94="",0,'06_Normalizacao'!Q94)</f>
        <v>0</v>
      </c>
      <c r="BE94">
        <f>IF('06_Normalizacao'!R94="",0,'06_Normalizacao'!R94)</f>
        <v>0</v>
      </c>
      <c r="BF94">
        <f>IF('06_Normalizacao'!S94="",0,'06_Normalizacao'!S94)</f>
        <v>0</v>
      </c>
      <c r="BG94">
        <f>IF('06_Normalizacao'!T94="",0,'06_Normalizacao'!T94)</f>
        <v>0</v>
      </c>
      <c r="BH94">
        <f>IF('06_Normalizacao'!U94="",0,'06_Normalizacao'!U94)</f>
        <v>0</v>
      </c>
      <c r="BJ94">
        <f>IF('06_Normalizacao'!K94="",0,1)</f>
        <v>0</v>
      </c>
      <c r="BK94">
        <f>IF('06_Normalizacao'!L94="",0,1)</f>
        <v>0</v>
      </c>
      <c r="BL94">
        <f>IF('06_Normalizacao'!M94="",0,1)</f>
        <v>0</v>
      </c>
      <c r="BM94">
        <f>IF('06_Normalizacao'!N94="",0,1)</f>
        <v>0</v>
      </c>
      <c r="BN94">
        <f>IF('06_Normalizacao'!O94="",0,1)</f>
        <v>0</v>
      </c>
      <c r="BO94">
        <f>IF('06_Normalizacao'!P94="",0,1)</f>
        <v>0</v>
      </c>
      <c r="BP94">
        <f>IF('06_Normalizacao'!Q94="",0,1)</f>
        <v>0</v>
      </c>
      <c r="BQ94">
        <f>IF('06_Normalizacao'!R94="",0,1)</f>
        <v>0</v>
      </c>
      <c r="BR94">
        <f>IF('06_Normalizacao'!S94="",0,1)</f>
        <v>0</v>
      </c>
      <c r="BS94">
        <f>IF('06_Normalizacao'!T94="",0,1)</f>
        <v>0</v>
      </c>
      <c r="BT94">
        <f>IF('06_Normalizacao'!U94="",0,1)</f>
        <v>0</v>
      </c>
    </row>
    <row r="95" spans="1:72">
      <c r="A95" s="6" t="str">
        <f>'03_Base_Indice'!D95</f>
        <v/>
      </c>
      <c r="B95" t="str">
        <f>IFERROR(LOOKUP(2,1/ISNUMBER('03_Base_Indice'!$K95:K95),COLUMN('03_Base_Indice'!$K95:K95)-COLUMN('03_Base_Indice'!$K95)+1),"")</f>
        <v/>
      </c>
      <c r="C95" t="str">
        <f>IFERROR(LOOKUP(2,1/ISNUMBER('03_Base_Indice'!$K95:L95),COLUMN('03_Base_Indice'!$K95:L95)-COLUMN('03_Base_Indice'!$K95)+1),"")</f>
        <v/>
      </c>
      <c r="D95" t="str">
        <f>IFERROR(LOOKUP(2,1/ISNUMBER('03_Base_Indice'!$K95:M95),COLUMN('03_Base_Indice'!$K95:M95)-COLUMN('03_Base_Indice'!$K95)+1),"")</f>
        <v/>
      </c>
      <c r="E95" t="str">
        <f>IFERROR(LOOKUP(2,1/ISNUMBER('03_Base_Indice'!$K95:N95),COLUMN('03_Base_Indice'!$K95:N95)-COLUMN('03_Base_Indice'!$K95)+1),"")</f>
        <v/>
      </c>
      <c r="F95" t="str">
        <f>IFERROR(LOOKUP(2,1/ISNUMBER('03_Base_Indice'!$K95:O95),COLUMN('03_Base_Indice'!$K95:O95)-COLUMN('03_Base_Indice'!$K95)+1),"")</f>
        <v/>
      </c>
      <c r="G95" t="str">
        <f>IFERROR(LOOKUP(2,1/ISNUMBER('03_Base_Indice'!$K95:P95),COLUMN('03_Base_Indice'!$K95:P95)-COLUMN('03_Base_Indice'!$K95)+1),"")</f>
        <v/>
      </c>
      <c r="H95" t="str">
        <f>IFERROR(LOOKUP(2,1/ISNUMBER('03_Base_Indice'!$K95:Q95),COLUMN('03_Base_Indice'!$K95:Q95)-COLUMN('03_Base_Indice'!$K95)+1),"")</f>
        <v/>
      </c>
      <c r="I95" t="str">
        <f>IFERROR(LOOKUP(2,1/ISNUMBER('03_Base_Indice'!$K95:R95),COLUMN('03_Base_Indice'!$K95:R95)-COLUMN('03_Base_Indice'!$K95)+1),"")</f>
        <v/>
      </c>
      <c r="J95" t="str">
        <f>IFERROR(LOOKUP(2,1/ISNUMBER('03_Base_Indice'!$K95:S95),COLUMN('03_Base_Indice'!$K95:S95)-COLUMN('03_Base_Indice'!$K95)+1),"")</f>
        <v/>
      </c>
      <c r="K95" t="str">
        <f>IFERROR(LOOKUP(2,1/ISNUMBER('03_Base_Indice'!$K95:T95),COLUMN('03_Base_Indice'!$K95:T95)-COLUMN('03_Base_Indice'!$K95)+1),"")</f>
        <v/>
      </c>
      <c r="L95" t="str">
        <f>IFERROR(LOOKUP(2,1/ISNUMBER('03_Base_Indice'!$K95:U95),COLUMN('03_Base_Indice'!$K95:U95)-COLUMN('03_Base_Indice'!$K95)+1),"")</f>
        <v/>
      </c>
      <c r="N95" t="str">
        <f>IFERROR(MATCH(TRUE,INDEX(ISNUMBER('03_Base_Indice'!K95:$U95),0),0)+0,"")</f>
        <v/>
      </c>
      <c r="O95" t="str">
        <f>IFERROR(MATCH(TRUE,INDEX(ISNUMBER('03_Base_Indice'!L95:$U95),0),0)+1,"")</f>
        <v/>
      </c>
      <c r="P95" t="str">
        <f>IFERROR(MATCH(TRUE,INDEX(ISNUMBER('03_Base_Indice'!M95:$U95),0),0)+2,"")</f>
        <v/>
      </c>
      <c r="Q95" t="str">
        <f>IFERROR(MATCH(TRUE,INDEX(ISNUMBER('03_Base_Indice'!N95:$U95),0),0)+3,"")</f>
        <v/>
      </c>
      <c r="R95" t="str">
        <f>IFERROR(MATCH(TRUE,INDEX(ISNUMBER('03_Base_Indice'!O95:$U95),0),0)+4,"")</f>
        <v/>
      </c>
      <c r="S95" t="str">
        <f>IFERROR(MATCH(TRUE,INDEX(ISNUMBER('03_Base_Indice'!P95:$U95),0),0)+5,"")</f>
        <v/>
      </c>
      <c r="T95" t="str">
        <f>IFERROR(MATCH(TRUE,INDEX(ISNUMBER('03_Base_Indice'!Q95:$U95),0),0)+6,"")</f>
        <v/>
      </c>
      <c r="U95" t="str">
        <f>IFERROR(MATCH(TRUE,INDEX(ISNUMBER('03_Base_Indice'!R95:$U95),0),0)+7,"")</f>
        <v/>
      </c>
      <c r="V95" t="str">
        <f>IFERROR(MATCH(TRUE,INDEX(ISNUMBER('03_Base_Indice'!S95:$U95),0),0)+8,"")</f>
        <v/>
      </c>
      <c r="W95" t="str">
        <f>IFERROR(MATCH(TRUE,INDEX(ISNUMBER('03_Base_Indice'!T95:$U95),0),0)+9,"")</f>
        <v/>
      </c>
      <c r="X95" t="str">
        <f>IFERROR(MATCH(TRUE,INDEX(ISNUMBER('03_Base_Indice'!U95:$U95),0),0)+10,"")</f>
        <v/>
      </c>
      <c r="Z95" t="str">
        <f>IF(B95="","",INDEX('03_Base_Indice'!$K95:$U95,B95))</f>
        <v/>
      </c>
      <c r="AA95" t="str">
        <f>IF(C95="","",INDEX('03_Base_Indice'!$K95:$U95,C95))</f>
        <v/>
      </c>
      <c r="AB95" t="str">
        <f>IF(D95="","",INDEX('03_Base_Indice'!$K95:$U95,D95))</f>
        <v/>
      </c>
      <c r="AC95" t="str">
        <f>IF(E95="","",INDEX('03_Base_Indice'!$K95:$U95,E95))</f>
        <v/>
      </c>
      <c r="AD95" t="str">
        <f>IF(F95="","",INDEX('03_Base_Indice'!$K95:$U95,F95))</f>
        <v/>
      </c>
      <c r="AE95" t="str">
        <f>IF(G95="","",INDEX('03_Base_Indice'!$K95:$U95,G95))</f>
        <v/>
      </c>
      <c r="AF95" t="str">
        <f>IF(H95="","",INDEX('03_Base_Indice'!$K95:$U95,H95))</f>
        <v/>
      </c>
      <c r="AG95" t="str">
        <f>IF(I95="","",INDEX('03_Base_Indice'!$K95:$U95,I95))</f>
        <v/>
      </c>
      <c r="AH95" t="str">
        <f>IF(J95="","",INDEX('03_Base_Indice'!$K95:$U95,J95))</f>
        <v/>
      </c>
      <c r="AI95" t="str">
        <f>IF(K95="","",INDEX('03_Base_Indice'!$K95:$U95,K95))</f>
        <v/>
      </c>
      <c r="AJ95" t="str">
        <f>IF(L95="","",INDEX('03_Base_Indice'!$K95:$U95,L95))</f>
        <v/>
      </c>
      <c r="AL95" t="str">
        <f>IF(N95="","",INDEX('03_Base_Indice'!$K95:$U95,N95))</f>
        <v/>
      </c>
      <c r="AM95" t="str">
        <f>IF(O95="","",INDEX('03_Base_Indice'!$K95:$U95,O95))</f>
        <v/>
      </c>
      <c r="AN95" t="str">
        <f>IF(P95="","",INDEX('03_Base_Indice'!$K95:$U95,P95))</f>
        <v/>
      </c>
      <c r="AO95" t="str">
        <f>IF(Q95="","",INDEX('03_Base_Indice'!$K95:$U95,Q95))</f>
        <v/>
      </c>
      <c r="AP95" t="str">
        <f>IF(R95="","",INDEX('03_Base_Indice'!$K95:$U95,R95))</f>
        <v/>
      </c>
      <c r="AQ95" t="str">
        <f>IF(S95="","",INDEX('03_Base_Indice'!$K95:$U95,S95))</f>
        <v/>
      </c>
      <c r="AR95" t="str">
        <f>IF(T95="","",INDEX('03_Base_Indice'!$K95:$U95,T95))</f>
        <v/>
      </c>
      <c r="AS95" t="str">
        <f>IF(U95="","",INDEX('03_Base_Indice'!$K95:$U95,U95))</f>
        <v/>
      </c>
      <c r="AT95" t="str">
        <f>IF(V95="","",INDEX('03_Base_Indice'!$K95:$U95,V95))</f>
        <v/>
      </c>
      <c r="AU95" t="str">
        <f>IF(W95="","",INDEX('03_Base_Indice'!$K95:$U95,W95))</f>
        <v/>
      </c>
      <c r="AV95" t="str">
        <f>IF(X95="","",INDEX('03_Base_Indice'!$K95:$U95,X95))</f>
        <v/>
      </c>
      <c r="AX95">
        <f>IF('06_Normalizacao'!K95="",0,'06_Normalizacao'!K95)</f>
        <v>0</v>
      </c>
      <c r="AY95">
        <f>IF('06_Normalizacao'!L95="",0,'06_Normalizacao'!L95)</f>
        <v>0</v>
      </c>
      <c r="AZ95">
        <f>IF('06_Normalizacao'!M95="",0,'06_Normalizacao'!M95)</f>
        <v>0</v>
      </c>
      <c r="BA95">
        <f>IF('06_Normalizacao'!N95="",0,'06_Normalizacao'!N95)</f>
        <v>0</v>
      </c>
      <c r="BB95">
        <f>IF('06_Normalizacao'!O95="",0,'06_Normalizacao'!O95)</f>
        <v>0</v>
      </c>
      <c r="BC95">
        <f>IF('06_Normalizacao'!P95="",0,'06_Normalizacao'!P95)</f>
        <v>0</v>
      </c>
      <c r="BD95">
        <f>IF('06_Normalizacao'!Q95="",0,'06_Normalizacao'!Q95)</f>
        <v>0</v>
      </c>
      <c r="BE95">
        <f>IF('06_Normalizacao'!R95="",0,'06_Normalizacao'!R95)</f>
        <v>0</v>
      </c>
      <c r="BF95">
        <f>IF('06_Normalizacao'!S95="",0,'06_Normalizacao'!S95)</f>
        <v>0</v>
      </c>
      <c r="BG95">
        <f>IF('06_Normalizacao'!T95="",0,'06_Normalizacao'!T95)</f>
        <v>0</v>
      </c>
      <c r="BH95">
        <f>IF('06_Normalizacao'!U95="",0,'06_Normalizacao'!U95)</f>
        <v>0</v>
      </c>
      <c r="BJ95">
        <f>IF('06_Normalizacao'!K95="",0,1)</f>
        <v>0</v>
      </c>
      <c r="BK95">
        <f>IF('06_Normalizacao'!L95="",0,1)</f>
        <v>0</v>
      </c>
      <c r="BL95">
        <f>IF('06_Normalizacao'!M95="",0,1)</f>
        <v>0</v>
      </c>
      <c r="BM95">
        <f>IF('06_Normalizacao'!N95="",0,1)</f>
        <v>0</v>
      </c>
      <c r="BN95">
        <f>IF('06_Normalizacao'!O95="",0,1)</f>
        <v>0</v>
      </c>
      <c r="BO95">
        <f>IF('06_Normalizacao'!P95="",0,1)</f>
        <v>0</v>
      </c>
      <c r="BP95">
        <f>IF('06_Normalizacao'!Q95="",0,1)</f>
        <v>0</v>
      </c>
      <c r="BQ95">
        <f>IF('06_Normalizacao'!R95="",0,1)</f>
        <v>0</v>
      </c>
      <c r="BR95">
        <f>IF('06_Normalizacao'!S95="",0,1)</f>
        <v>0</v>
      </c>
      <c r="BS95">
        <f>IF('06_Normalizacao'!T95="",0,1)</f>
        <v>0</v>
      </c>
      <c r="BT95">
        <f>IF('06_Normalizacao'!U95="",0,1)</f>
        <v>0</v>
      </c>
    </row>
    <row r="96" spans="1:72">
      <c r="A96" s="6" t="str">
        <f>'03_Base_Indice'!D96</f>
        <v/>
      </c>
      <c r="B96" t="str">
        <f>IFERROR(LOOKUP(2,1/ISNUMBER('03_Base_Indice'!$K96:K96),COLUMN('03_Base_Indice'!$K96:K96)-COLUMN('03_Base_Indice'!$K96)+1),"")</f>
        <v/>
      </c>
      <c r="C96" t="str">
        <f>IFERROR(LOOKUP(2,1/ISNUMBER('03_Base_Indice'!$K96:L96),COLUMN('03_Base_Indice'!$K96:L96)-COLUMN('03_Base_Indice'!$K96)+1),"")</f>
        <v/>
      </c>
      <c r="D96" t="str">
        <f>IFERROR(LOOKUP(2,1/ISNUMBER('03_Base_Indice'!$K96:M96),COLUMN('03_Base_Indice'!$K96:M96)-COLUMN('03_Base_Indice'!$K96)+1),"")</f>
        <v/>
      </c>
      <c r="E96" t="str">
        <f>IFERROR(LOOKUP(2,1/ISNUMBER('03_Base_Indice'!$K96:N96),COLUMN('03_Base_Indice'!$K96:N96)-COLUMN('03_Base_Indice'!$K96)+1),"")</f>
        <v/>
      </c>
      <c r="F96" t="str">
        <f>IFERROR(LOOKUP(2,1/ISNUMBER('03_Base_Indice'!$K96:O96),COLUMN('03_Base_Indice'!$K96:O96)-COLUMN('03_Base_Indice'!$K96)+1),"")</f>
        <v/>
      </c>
      <c r="G96" t="str">
        <f>IFERROR(LOOKUP(2,1/ISNUMBER('03_Base_Indice'!$K96:P96),COLUMN('03_Base_Indice'!$K96:P96)-COLUMN('03_Base_Indice'!$K96)+1),"")</f>
        <v/>
      </c>
      <c r="H96" t="str">
        <f>IFERROR(LOOKUP(2,1/ISNUMBER('03_Base_Indice'!$K96:Q96),COLUMN('03_Base_Indice'!$K96:Q96)-COLUMN('03_Base_Indice'!$K96)+1),"")</f>
        <v/>
      </c>
      <c r="I96" t="str">
        <f>IFERROR(LOOKUP(2,1/ISNUMBER('03_Base_Indice'!$K96:R96),COLUMN('03_Base_Indice'!$K96:R96)-COLUMN('03_Base_Indice'!$K96)+1),"")</f>
        <v/>
      </c>
      <c r="J96" t="str">
        <f>IFERROR(LOOKUP(2,1/ISNUMBER('03_Base_Indice'!$K96:S96),COLUMN('03_Base_Indice'!$K96:S96)-COLUMN('03_Base_Indice'!$K96)+1),"")</f>
        <v/>
      </c>
      <c r="K96" t="str">
        <f>IFERROR(LOOKUP(2,1/ISNUMBER('03_Base_Indice'!$K96:T96),COLUMN('03_Base_Indice'!$K96:T96)-COLUMN('03_Base_Indice'!$K96)+1),"")</f>
        <v/>
      </c>
      <c r="L96" t="str">
        <f>IFERROR(LOOKUP(2,1/ISNUMBER('03_Base_Indice'!$K96:U96),COLUMN('03_Base_Indice'!$K96:U96)-COLUMN('03_Base_Indice'!$K96)+1),"")</f>
        <v/>
      </c>
      <c r="N96" t="str">
        <f>IFERROR(MATCH(TRUE,INDEX(ISNUMBER('03_Base_Indice'!K96:$U96),0),0)+0,"")</f>
        <v/>
      </c>
      <c r="O96" t="str">
        <f>IFERROR(MATCH(TRUE,INDEX(ISNUMBER('03_Base_Indice'!L96:$U96),0),0)+1,"")</f>
        <v/>
      </c>
      <c r="P96" t="str">
        <f>IFERROR(MATCH(TRUE,INDEX(ISNUMBER('03_Base_Indice'!M96:$U96),0),0)+2,"")</f>
        <v/>
      </c>
      <c r="Q96" t="str">
        <f>IFERROR(MATCH(TRUE,INDEX(ISNUMBER('03_Base_Indice'!N96:$U96),0),0)+3,"")</f>
        <v/>
      </c>
      <c r="R96" t="str">
        <f>IFERROR(MATCH(TRUE,INDEX(ISNUMBER('03_Base_Indice'!O96:$U96),0),0)+4,"")</f>
        <v/>
      </c>
      <c r="S96" t="str">
        <f>IFERROR(MATCH(TRUE,INDEX(ISNUMBER('03_Base_Indice'!P96:$U96),0),0)+5,"")</f>
        <v/>
      </c>
      <c r="T96" t="str">
        <f>IFERROR(MATCH(TRUE,INDEX(ISNUMBER('03_Base_Indice'!Q96:$U96),0),0)+6,"")</f>
        <v/>
      </c>
      <c r="U96" t="str">
        <f>IFERROR(MATCH(TRUE,INDEX(ISNUMBER('03_Base_Indice'!R96:$U96),0),0)+7,"")</f>
        <v/>
      </c>
      <c r="V96" t="str">
        <f>IFERROR(MATCH(TRUE,INDEX(ISNUMBER('03_Base_Indice'!S96:$U96),0),0)+8,"")</f>
        <v/>
      </c>
      <c r="W96" t="str">
        <f>IFERROR(MATCH(TRUE,INDEX(ISNUMBER('03_Base_Indice'!T96:$U96),0),0)+9,"")</f>
        <v/>
      </c>
      <c r="X96" t="str">
        <f>IFERROR(MATCH(TRUE,INDEX(ISNUMBER('03_Base_Indice'!U96:$U96),0),0)+10,"")</f>
        <v/>
      </c>
      <c r="Z96" t="str">
        <f>IF(B96="","",INDEX('03_Base_Indice'!$K96:$U96,B96))</f>
        <v/>
      </c>
      <c r="AA96" t="str">
        <f>IF(C96="","",INDEX('03_Base_Indice'!$K96:$U96,C96))</f>
        <v/>
      </c>
      <c r="AB96" t="str">
        <f>IF(D96="","",INDEX('03_Base_Indice'!$K96:$U96,D96))</f>
        <v/>
      </c>
      <c r="AC96" t="str">
        <f>IF(E96="","",INDEX('03_Base_Indice'!$K96:$U96,E96))</f>
        <v/>
      </c>
      <c r="AD96" t="str">
        <f>IF(F96="","",INDEX('03_Base_Indice'!$K96:$U96,F96))</f>
        <v/>
      </c>
      <c r="AE96" t="str">
        <f>IF(G96="","",INDEX('03_Base_Indice'!$K96:$U96,G96))</f>
        <v/>
      </c>
      <c r="AF96" t="str">
        <f>IF(H96="","",INDEX('03_Base_Indice'!$K96:$U96,H96))</f>
        <v/>
      </c>
      <c r="AG96" t="str">
        <f>IF(I96="","",INDEX('03_Base_Indice'!$K96:$U96,I96))</f>
        <v/>
      </c>
      <c r="AH96" t="str">
        <f>IF(J96="","",INDEX('03_Base_Indice'!$K96:$U96,J96))</f>
        <v/>
      </c>
      <c r="AI96" t="str">
        <f>IF(K96="","",INDEX('03_Base_Indice'!$K96:$U96,K96))</f>
        <v/>
      </c>
      <c r="AJ96" t="str">
        <f>IF(L96="","",INDEX('03_Base_Indice'!$K96:$U96,L96))</f>
        <v/>
      </c>
      <c r="AL96" t="str">
        <f>IF(N96="","",INDEX('03_Base_Indice'!$K96:$U96,N96))</f>
        <v/>
      </c>
      <c r="AM96" t="str">
        <f>IF(O96="","",INDEX('03_Base_Indice'!$K96:$U96,O96))</f>
        <v/>
      </c>
      <c r="AN96" t="str">
        <f>IF(P96="","",INDEX('03_Base_Indice'!$K96:$U96,P96))</f>
        <v/>
      </c>
      <c r="AO96" t="str">
        <f>IF(Q96="","",INDEX('03_Base_Indice'!$K96:$U96,Q96))</f>
        <v/>
      </c>
      <c r="AP96" t="str">
        <f>IF(R96="","",INDEX('03_Base_Indice'!$K96:$U96,R96))</f>
        <v/>
      </c>
      <c r="AQ96" t="str">
        <f>IF(S96="","",INDEX('03_Base_Indice'!$K96:$U96,S96))</f>
        <v/>
      </c>
      <c r="AR96" t="str">
        <f>IF(T96="","",INDEX('03_Base_Indice'!$K96:$U96,T96))</f>
        <v/>
      </c>
      <c r="AS96" t="str">
        <f>IF(U96="","",INDEX('03_Base_Indice'!$K96:$U96,U96))</f>
        <v/>
      </c>
      <c r="AT96" t="str">
        <f>IF(V96="","",INDEX('03_Base_Indice'!$K96:$U96,V96))</f>
        <v/>
      </c>
      <c r="AU96" t="str">
        <f>IF(W96="","",INDEX('03_Base_Indice'!$K96:$U96,W96))</f>
        <v/>
      </c>
      <c r="AV96" t="str">
        <f>IF(X96="","",INDEX('03_Base_Indice'!$K96:$U96,X96))</f>
        <v/>
      </c>
      <c r="AX96">
        <f>IF('06_Normalizacao'!K96="",0,'06_Normalizacao'!K96)</f>
        <v>0</v>
      </c>
      <c r="AY96">
        <f>IF('06_Normalizacao'!L96="",0,'06_Normalizacao'!L96)</f>
        <v>0</v>
      </c>
      <c r="AZ96">
        <f>IF('06_Normalizacao'!M96="",0,'06_Normalizacao'!M96)</f>
        <v>0</v>
      </c>
      <c r="BA96">
        <f>IF('06_Normalizacao'!N96="",0,'06_Normalizacao'!N96)</f>
        <v>0</v>
      </c>
      <c r="BB96">
        <f>IF('06_Normalizacao'!O96="",0,'06_Normalizacao'!O96)</f>
        <v>0</v>
      </c>
      <c r="BC96">
        <f>IF('06_Normalizacao'!P96="",0,'06_Normalizacao'!P96)</f>
        <v>0</v>
      </c>
      <c r="BD96">
        <f>IF('06_Normalizacao'!Q96="",0,'06_Normalizacao'!Q96)</f>
        <v>0</v>
      </c>
      <c r="BE96">
        <f>IF('06_Normalizacao'!R96="",0,'06_Normalizacao'!R96)</f>
        <v>0</v>
      </c>
      <c r="BF96">
        <f>IF('06_Normalizacao'!S96="",0,'06_Normalizacao'!S96)</f>
        <v>0</v>
      </c>
      <c r="BG96">
        <f>IF('06_Normalizacao'!T96="",0,'06_Normalizacao'!T96)</f>
        <v>0</v>
      </c>
      <c r="BH96">
        <f>IF('06_Normalizacao'!U96="",0,'06_Normalizacao'!U96)</f>
        <v>0</v>
      </c>
      <c r="BJ96">
        <f>IF('06_Normalizacao'!K96="",0,1)</f>
        <v>0</v>
      </c>
      <c r="BK96">
        <f>IF('06_Normalizacao'!L96="",0,1)</f>
        <v>0</v>
      </c>
      <c r="BL96">
        <f>IF('06_Normalizacao'!M96="",0,1)</f>
        <v>0</v>
      </c>
      <c r="BM96">
        <f>IF('06_Normalizacao'!N96="",0,1)</f>
        <v>0</v>
      </c>
      <c r="BN96">
        <f>IF('06_Normalizacao'!O96="",0,1)</f>
        <v>0</v>
      </c>
      <c r="BO96">
        <f>IF('06_Normalizacao'!P96="",0,1)</f>
        <v>0</v>
      </c>
      <c r="BP96">
        <f>IF('06_Normalizacao'!Q96="",0,1)</f>
        <v>0</v>
      </c>
      <c r="BQ96">
        <f>IF('06_Normalizacao'!R96="",0,1)</f>
        <v>0</v>
      </c>
      <c r="BR96">
        <f>IF('06_Normalizacao'!S96="",0,1)</f>
        <v>0</v>
      </c>
      <c r="BS96">
        <f>IF('06_Normalizacao'!T96="",0,1)</f>
        <v>0</v>
      </c>
      <c r="BT96">
        <f>IF('06_Normalizacao'!U96="",0,1)</f>
        <v>0</v>
      </c>
    </row>
    <row r="97" spans="1:72">
      <c r="A97" s="6" t="str">
        <f>'03_Base_Indice'!D97</f>
        <v/>
      </c>
      <c r="B97" t="str">
        <f>IFERROR(LOOKUP(2,1/ISNUMBER('03_Base_Indice'!$K97:K97),COLUMN('03_Base_Indice'!$K97:K97)-COLUMN('03_Base_Indice'!$K97)+1),"")</f>
        <v/>
      </c>
      <c r="C97" t="str">
        <f>IFERROR(LOOKUP(2,1/ISNUMBER('03_Base_Indice'!$K97:L97),COLUMN('03_Base_Indice'!$K97:L97)-COLUMN('03_Base_Indice'!$K97)+1),"")</f>
        <v/>
      </c>
      <c r="D97" t="str">
        <f>IFERROR(LOOKUP(2,1/ISNUMBER('03_Base_Indice'!$K97:M97),COLUMN('03_Base_Indice'!$K97:M97)-COLUMN('03_Base_Indice'!$K97)+1),"")</f>
        <v/>
      </c>
      <c r="E97" t="str">
        <f>IFERROR(LOOKUP(2,1/ISNUMBER('03_Base_Indice'!$K97:N97),COLUMN('03_Base_Indice'!$K97:N97)-COLUMN('03_Base_Indice'!$K97)+1),"")</f>
        <v/>
      </c>
      <c r="F97" t="str">
        <f>IFERROR(LOOKUP(2,1/ISNUMBER('03_Base_Indice'!$K97:O97),COLUMN('03_Base_Indice'!$K97:O97)-COLUMN('03_Base_Indice'!$K97)+1),"")</f>
        <v/>
      </c>
      <c r="G97" t="str">
        <f>IFERROR(LOOKUP(2,1/ISNUMBER('03_Base_Indice'!$K97:P97),COLUMN('03_Base_Indice'!$K97:P97)-COLUMN('03_Base_Indice'!$K97)+1),"")</f>
        <v/>
      </c>
      <c r="H97" t="str">
        <f>IFERROR(LOOKUP(2,1/ISNUMBER('03_Base_Indice'!$K97:Q97),COLUMN('03_Base_Indice'!$K97:Q97)-COLUMN('03_Base_Indice'!$K97)+1),"")</f>
        <v/>
      </c>
      <c r="I97" t="str">
        <f>IFERROR(LOOKUP(2,1/ISNUMBER('03_Base_Indice'!$K97:R97),COLUMN('03_Base_Indice'!$K97:R97)-COLUMN('03_Base_Indice'!$K97)+1),"")</f>
        <v/>
      </c>
      <c r="J97" t="str">
        <f>IFERROR(LOOKUP(2,1/ISNUMBER('03_Base_Indice'!$K97:S97),COLUMN('03_Base_Indice'!$K97:S97)-COLUMN('03_Base_Indice'!$K97)+1),"")</f>
        <v/>
      </c>
      <c r="K97" t="str">
        <f>IFERROR(LOOKUP(2,1/ISNUMBER('03_Base_Indice'!$K97:T97),COLUMN('03_Base_Indice'!$K97:T97)-COLUMN('03_Base_Indice'!$K97)+1),"")</f>
        <v/>
      </c>
      <c r="L97" t="str">
        <f>IFERROR(LOOKUP(2,1/ISNUMBER('03_Base_Indice'!$K97:U97),COLUMN('03_Base_Indice'!$K97:U97)-COLUMN('03_Base_Indice'!$K97)+1),"")</f>
        <v/>
      </c>
      <c r="N97" t="str">
        <f>IFERROR(MATCH(TRUE,INDEX(ISNUMBER('03_Base_Indice'!K97:$U97),0),0)+0,"")</f>
        <v/>
      </c>
      <c r="O97" t="str">
        <f>IFERROR(MATCH(TRUE,INDEX(ISNUMBER('03_Base_Indice'!L97:$U97),0),0)+1,"")</f>
        <v/>
      </c>
      <c r="P97" t="str">
        <f>IFERROR(MATCH(TRUE,INDEX(ISNUMBER('03_Base_Indice'!M97:$U97),0),0)+2,"")</f>
        <v/>
      </c>
      <c r="Q97" t="str">
        <f>IFERROR(MATCH(TRUE,INDEX(ISNUMBER('03_Base_Indice'!N97:$U97),0),0)+3,"")</f>
        <v/>
      </c>
      <c r="R97" t="str">
        <f>IFERROR(MATCH(TRUE,INDEX(ISNUMBER('03_Base_Indice'!O97:$U97),0),0)+4,"")</f>
        <v/>
      </c>
      <c r="S97" t="str">
        <f>IFERROR(MATCH(TRUE,INDEX(ISNUMBER('03_Base_Indice'!P97:$U97),0),0)+5,"")</f>
        <v/>
      </c>
      <c r="T97" t="str">
        <f>IFERROR(MATCH(TRUE,INDEX(ISNUMBER('03_Base_Indice'!Q97:$U97),0),0)+6,"")</f>
        <v/>
      </c>
      <c r="U97" t="str">
        <f>IFERROR(MATCH(TRUE,INDEX(ISNUMBER('03_Base_Indice'!R97:$U97),0),0)+7,"")</f>
        <v/>
      </c>
      <c r="V97" t="str">
        <f>IFERROR(MATCH(TRUE,INDEX(ISNUMBER('03_Base_Indice'!S97:$U97),0),0)+8,"")</f>
        <v/>
      </c>
      <c r="W97" t="str">
        <f>IFERROR(MATCH(TRUE,INDEX(ISNUMBER('03_Base_Indice'!T97:$U97),0),0)+9,"")</f>
        <v/>
      </c>
      <c r="X97" t="str">
        <f>IFERROR(MATCH(TRUE,INDEX(ISNUMBER('03_Base_Indice'!U97:$U97),0),0)+10,"")</f>
        <v/>
      </c>
      <c r="Z97" t="str">
        <f>IF(B97="","",INDEX('03_Base_Indice'!$K97:$U97,B97))</f>
        <v/>
      </c>
      <c r="AA97" t="str">
        <f>IF(C97="","",INDEX('03_Base_Indice'!$K97:$U97,C97))</f>
        <v/>
      </c>
      <c r="AB97" t="str">
        <f>IF(D97="","",INDEX('03_Base_Indice'!$K97:$U97,D97))</f>
        <v/>
      </c>
      <c r="AC97" t="str">
        <f>IF(E97="","",INDEX('03_Base_Indice'!$K97:$U97,E97))</f>
        <v/>
      </c>
      <c r="AD97" t="str">
        <f>IF(F97="","",INDEX('03_Base_Indice'!$K97:$U97,F97))</f>
        <v/>
      </c>
      <c r="AE97" t="str">
        <f>IF(G97="","",INDEX('03_Base_Indice'!$K97:$U97,G97))</f>
        <v/>
      </c>
      <c r="AF97" t="str">
        <f>IF(H97="","",INDEX('03_Base_Indice'!$K97:$U97,H97))</f>
        <v/>
      </c>
      <c r="AG97" t="str">
        <f>IF(I97="","",INDEX('03_Base_Indice'!$K97:$U97,I97))</f>
        <v/>
      </c>
      <c r="AH97" t="str">
        <f>IF(J97="","",INDEX('03_Base_Indice'!$K97:$U97,J97))</f>
        <v/>
      </c>
      <c r="AI97" t="str">
        <f>IF(K97="","",INDEX('03_Base_Indice'!$K97:$U97,K97))</f>
        <v/>
      </c>
      <c r="AJ97" t="str">
        <f>IF(L97="","",INDEX('03_Base_Indice'!$K97:$U97,L97))</f>
        <v/>
      </c>
      <c r="AL97" t="str">
        <f>IF(N97="","",INDEX('03_Base_Indice'!$K97:$U97,N97))</f>
        <v/>
      </c>
      <c r="AM97" t="str">
        <f>IF(O97="","",INDEX('03_Base_Indice'!$K97:$U97,O97))</f>
        <v/>
      </c>
      <c r="AN97" t="str">
        <f>IF(P97="","",INDEX('03_Base_Indice'!$K97:$U97,P97))</f>
        <v/>
      </c>
      <c r="AO97" t="str">
        <f>IF(Q97="","",INDEX('03_Base_Indice'!$K97:$U97,Q97))</f>
        <v/>
      </c>
      <c r="AP97" t="str">
        <f>IF(R97="","",INDEX('03_Base_Indice'!$K97:$U97,R97))</f>
        <v/>
      </c>
      <c r="AQ97" t="str">
        <f>IF(S97="","",INDEX('03_Base_Indice'!$K97:$U97,S97))</f>
        <v/>
      </c>
      <c r="AR97" t="str">
        <f>IF(T97="","",INDEX('03_Base_Indice'!$K97:$U97,T97))</f>
        <v/>
      </c>
      <c r="AS97" t="str">
        <f>IF(U97="","",INDEX('03_Base_Indice'!$K97:$U97,U97))</f>
        <v/>
      </c>
      <c r="AT97" t="str">
        <f>IF(V97="","",INDEX('03_Base_Indice'!$K97:$U97,V97))</f>
        <v/>
      </c>
      <c r="AU97" t="str">
        <f>IF(W97="","",INDEX('03_Base_Indice'!$K97:$U97,W97))</f>
        <v/>
      </c>
      <c r="AV97" t="str">
        <f>IF(X97="","",INDEX('03_Base_Indice'!$K97:$U97,X97))</f>
        <v/>
      </c>
      <c r="AX97">
        <f>IF('06_Normalizacao'!K97="",0,'06_Normalizacao'!K97)</f>
        <v>0</v>
      </c>
      <c r="AY97">
        <f>IF('06_Normalizacao'!L97="",0,'06_Normalizacao'!L97)</f>
        <v>0</v>
      </c>
      <c r="AZ97">
        <f>IF('06_Normalizacao'!M97="",0,'06_Normalizacao'!M97)</f>
        <v>0</v>
      </c>
      <c r="BA97">
        <f>IF('06_Normalizacao'!N97="",0,'06_Normalizacao'!N97)</f>
        <v>0</v>
      </c>
      <c r="BB97">
        <f>IF('06_Normalizacao'!O97="",0,'06_Normalizacao'!O97)</f>
        <v>0</v>
      </c>
      <c r="BC97">
        <f>IF('06_Normalizacao'!P97="",0,'06_Normalizacao'!P97)</f>
        <v>0</v>
      </c>
      <c r="BD97">
        <f>IF('06_Normalizacao'!Q97="",0,'06_Normalizacao'!Q97)</f>
        <v>0</v>
      </c>
      <c r="BE97">
        <f>IF('06_Normalizacao'!R97="",0,'06_Normalizacao'!R97)</f>
        <v>0</v>
      </c>
      <c r="BF97">
        <f>IF('06_Normalizacao'!S97="",0,'06_Normalizacao'!S97)</f>
        <v>0</v>
      </c>
      <c r="BG97">
        <f>IF('06_Normalizacao'!T97="",0,'06_Normalizacao'!T97)</f>
        <v>0</v>
      </c>
      <c r="BH97">
        <f>IF('06_Normalizacao'!U97="",0,'06_Normalizacao'!U97)</f>
        <v>0</v>
      </c>
      <c r="BJ97">
        <f>IF('06_Normalizacao'!K97="",0,1)</f>
        <v>0</v>
      </c>
      <c r="BK97">
        <f>IF('06_Normalizacao'!L97="",0,1)</f>
        <v>0</v>
      </c>
      <c r="BL97">
        <f>IF('06_Normalizacao'!M97="",0,1)</f>
        <v>0</v>
      </c>
      <c r="BM97">
        <f>IF('06_Normalizacao'!N97="",0,1)</f>
        <v>0</v>
      </c>
      <c r="BN97">
        <f>IF('06_Normalizacao'!O97="",0,1)</f>
        <v>0</v>
      </c>
      <c r="BO97">
        <f>IF('06_Normalizacao'!P97="",0,1)</f>
        <v>0</v>
      </c>
      <c r="BP97">
        <f>IF('06_Normalizacao'!Q97="",0,1)</f>
        <v>0</v>
      </c>
      <c r="BQ97">
        <f>IF('06_Normalizacao'!R97="",0,1)</f>
        <v>0</v>
      </c>
      <c r="BR97">
        <f>IF('06_Normalizacao'!S97="",0,1)</f>
        <v>0</v>
      </c>
      <c r="BS97">
        <f>IF('06_Normalizacao'!T97="",0,1)</f>
        <v>0</v>
      </c>
      <c r="BT97">
        <f>IF('06_Normalizacao'!U97="",0,1)</f>
        <v>0</v>
      </c>
    </row>
    <row r="98" spans="1:72">
      <c r="A98" s="6" t="str">
        <f>'03_Base_Indice'!D98</f>
        <v/>
      </c>
      <c r="B98" t="str">
        <f>IFERROR(LOOKUP(2,1/ISNUMBER('03_Base_Indice'!$K98:K98),COLUMN('03_Base_Indice'!$K98:K98)-COLUMN('03_Base_Indice'!$K98)+1),"")</f>
        <v/>
      </c>
      <c r="C98" t="str">
        <f>IFERROR(LOOKUP(2,1/ISNUMBER('03_Base_Indice'!$K98:L98),COLUMN('03_Base_Indice'!$K98:L98)-COLUMN('03_Base_Indice'!$K98)+1),"")</f>
        <v/>
      </c>
      <c r="D98" t="str">
        <f>IFERROR(LOOKUP(2,1/ISNUMBER('03_Base_Indice'!$K98:M98),COLUMN('03_Base_Indice'!$K98:M98)-COLUMN('03_Base_Indice'!$K98)+1),"")</f>
        <v/>
      </c>
      <c r="E98" t="str">
        <f>IFERROR(LOOKUP(2,1/ISNUMBER('03_Base_Indice'!$K98:N98),COLUMN('03_Base_Indice'!$K98:N98)-COLUMN('03_Base_Indice'!$K98)+1),"")</f>
        <v/>
      </c>
      <c r="F98" t="str">
        <f>IFERROR(LOOKUP(2,1/ISNUMBER('03_Base_Indice'!$K98:O98),COLUMN('03_Base_Indice'!$K98:O98)-COLUMN('03_Base_Indice'!$K98)+1),"")</f>
        <v/>
      </c>
      <c r="G98" t="str">
        <f>IFERROR(LOOKUP(2,1/ISNUMBER('03_Base_Indice'!$K98:P98),COLUMN('03_Base_Indice'!$K98:P98)-COLUMN('03_Base_Indice'!$K98)+1),"")</f>
        <v/>
      </c>
      <c r="H98" t="str">
        <f>IFERROR(LOOKUP(2,1/ISNUMBER('03_Base_Indice'!$K98:Q98),COLUMN('03_Base_Indice'!$K98:Q98)-COLUMN('03_Base_Indice'!$K98)+1),"")</f>
        <v/>
      </c>
      <c r="I98" t="str">
        <f>IFERROR(LOOKUP(2,1/ISNUMBER('03_Base_Indice'!$K98:R98),COLUMN('03_Base_Indice'!$K98:R98)-COLUMN('03_Base_Indice'!$K98)+1),"")</f>
        <v/>
      </c>
      <c r="J98" t="str">
        <f>IFERROR(LOOKUP(2,1/ISNUMBER('03_Base_Indice'!$K98:S98),COLUMN('03_Base_Indice'!$K98:S98)-COLUMN('03_Base_Indice'!$K98)+1),"")</f>
        <v/>
      </c>
      <c r="K98" t="str">
        <f>IFERROR(LOOKUP(2,1/ISNUMBER('03_Base_Indice'!$K98:T98),COLUMN('03_Base_Indice'!$K98:T98)-COLUMN('03_Base_Indice'!$K98)+1),"")</f>
        <v/>
      </c>
      <c r="L98" t="str">
        <f>IFERROR(LOOKUP(2,1/ISNUMBER('03_Base_Indice'!$K98:U98),COLUMN('03_Base_Indice'!$K98:U98)-COLUMN('03_Base_Indice'!$K98)+1),"")</f>
        <v/>
      </c>
      <c r="N98" t="str">
        <f>IFERROR(MATCH(TRUE,INDEX(ISNUMBER('03_Base_Indice'!K98:$U98),0),0)+0,"")</f>
        <v/>
      </c>
      <c r="O98" t="str">
        <f>IFERROR(MATCH(TRUE,INDEX(ISNUMBER('03_Base_Indice'!L98:$U98),0),0)+1,"")</f>
        <v/>
      </c>
      <c r="P98" t="str">
        <f>IFERROR(MATCH(TRUE,INDEX(ISNUMBER('03_Base_Indice'!M98:$U98),0),0)+2,"")</f>
        <v/>
      </c>
      <c r="Q98" t="str">
        <f>IFERROR(MATCH(TRUE,INDEX(ISNUMBER('03_Base_Indice'!N98:$U98),0),0)+3,"")</f>
        <v/>
      </c>
      <c r="R98" t="str">
        <f>IFERROR(MATCH(TRUE,INDEX(ISNUMBER('03_Base_Indice'!O98:$U98),0),0)+4,"")</f>
        <v/>
      </c>
      <c r="S98" t="str">
        <f>IFERROR(MATCH(TRUE,INDEX(ISNUMBER('03_Base_Indice'!P98:$U98),0),0)+5,"")</f>
        <v/>
      </c>
      <c r="T98" t="str">
        <f>IFERROR(MATCH(TRUE,INDEX(ISNUMBER('03_Base_Indice'!Q98:$U98),0),0)+6,"")</f>
        <v/>
      </c>
      <c r="U98" t="str">
        <f>IFERROR(MATCH(TRUE,INDEX(ISNUMBER('03_Base_Indice'!R98:$U98),0),0)+7,"")</f>
        <v/>
      </c>
      <c r="V98" t="str">
        <f>IFERROR(MATCH(TRUE,INDEX(ISNUMBER('03_Base_Indice'!S98:$U98),0),0)+8,"")</f>
        <v/>
      </c>
      <c r="W98" t="str">
        <f>IFERROR(MATCH(TRUE,INDEX(ISNUMBER('03_Base_Indice'!T98:$U98),0),0)+9,"")</f>
        <v/>
      </c>
      <c r="X98" t="str">
        <f>IFERROR(MATCH(TRUE,INDEX(ISNUMBER('03_Base_Indice'!U98:$U98),0),0)+10,"")</f>
        <v/>
      </c>
      <c r="Z98" t="str">
        <f>IF(B98="","",INDEX('03_Base_Indice'!$K98:$U98,B98))</f>
        <v/>
      </c>
      <c r="AA98" t="str">
        <f>IF(C98="","",INDEX('03_Base_Indice'!$K98:$U98,C98))</f>
        <v/>
      </c>
      <c r="AB98" t="str">
        <f>IF(D98="","",INDEX('03_Base_Indice'!$K98:$U98,D98))</f>
        <v/>
      </c>
      <c r="AC98" t="str">
        <f>IF(E98="","",INDEX('03_Base_Indice'!$K98:$U98,E98))</f>
        <v/>
      </c>
      <c r="AD98" t="str">
        <f>IF(F98="","",INDEX('03_Base_Indice'!$K98:$U98,F98))</f>
        <v/>
      </c>
      <c r="AE98" t="str">
        <f>IF(G98="","",INDEX('03_Base_Indice'!$K98:$U98,G98))</f>
        <v/>
      </c>
      <c r="AF98" t="str">
        <f>IF(H98="","",INDEX('03_Base_Indice'!$K98:$U98,H98))</f>
        <v/>
      </c>
      <c r="AG98" t="str">
        <f>IF(I98="","",INDEX('03_Base_Indice'!$K98:$U98,I98))</f>
        <v/>
      </c>
      <c r="AH98" t="str">
        <f>IF(J98="","",INDEX('03_Base_Indice'!$K98:$U98,J98))</f>
        <v/>
      </c>
      <c r="AI98" t="str">
        <f>IF(K98="","",INDEX('03_Base_Indice'!$K98:$U98,K98))</f>
        <v/>
      </c>
      <c r="AJ98" t="str">
        <f>IF(L98="","",INDEX('03_Base_Indice'!$K98:$U98,L98))</f>
        <v/>
      </c>
      <c r="AL98" t="str">
        <f>IF(N98="","",INDEX('03_Base_Indice'!$K98:$U98,N98))</f>
        <v/>
      </c>
      <c r="AM98" t="str">
        <f>IF(O98="","",INDEX('03_Base_Indice'!$K98:$U98,O98))</f>
        <v/>
      </c>
      <c r="AN98" t="str">
        <f>IF(P98="","",INDEX('03_Base_Indice'!$K98:$U98,P98))</f>
        <v/>
      </c>
      <c r="AO98" t="str">
        <f>IF(Q98="","",INDEX('03_Base_Indice'!$K98:$U98,Q98))</f>
        <v/>
      </c>
      <c r="AP98" t="str">
        <f>IF(R98="","",INDEX('03_Base_Indice'!$K98:$U98,R98))</f>
        <v/>
      </c>
      <c r="AQ98" t="str">
        <f>IF(S98="","",INDEX('03_Base_Indice'!$K98:$U98,S98))</f>
        <v/>
      </c>
      <c r="AR98" t="str">
        <f>IF(T98="","",INDEX('03_Base_Indice'!$K98:$U98,T98))</f>
        <v/>
      </c>
      <c r="AS98" t="str">
        <f>IF(U98="","",INDEX('03_Base_Indice'!$K98:$U98,U98))</f>
        <v/>
      </c>
      <c r="AT98" t="str">
        <f>IF(V98="","",INDEX('03_Base_Indice'!$K98:$U98,V98))</f>
        <v/>
      </c>
      <c r="AU98" t="str">
        <f>IF(W98="","",INDEX('03_Base_Indice'!$K98:$U98,W98))</f>
        <v/>
      </c>
      <c r="AV98" t="str">
        <f>IF(X98="","",INDEX('03_Base_Indice'!$K98:$U98,X98))</f>
        <v/>
      </c>
      <c r="AX98">
        <f>IF('06_Normalizacao'!K98="",0,'06_Normalizacao'!K98)</f>
        <v>0</v>
      </c>
      <c r="AY98">
        <f>IF('06_Normalizacao'!L98="",0,'06_Normalizacao'!L98)</f>
        <v>0</v>
      </c>
      <c r="AZ98">
        <f>IF('06_Normalizacao'!M98="",0,'06_Normalizacao'!M98)</f>
        <v>0</v>
      </c>
      <c r="BA98">
        <f>IF('06_Normalizacao'!N98="",0,'06_Normalizacao'!N98)</f>
        <v>0</v>
      </c>
      <c r="BB98">
        <f>IF('06_Normalizacao'!O98="",0,'06_Normalizacao'!O98)</f>
        <v>0</v>
      </c>
      <c r="BC98">
        <f>IF('06_Normalizacao'!P98="",0,'06_Normalizacao'!P98)</f>
        <v>0</v>
      </c>
      <c r="BD98">
        <f>IF('06_Normalizacao'!Q98="",0,'06_Normalizacao'!Q98)</f>
        <v>0</v>
      </c>
      <c r="BE98">
        <f>IF('06_Normalizacao'!R98="",0,'06_Normalizacao'!R98)</f>
        <v>0</v>
      </c>
      <c r="BF98">
        <f>IF('06_Normalizacao'!S98="",0,'06_Normalizacao'!S98)</f>
        <v>0</v>
      </c>
      <c r="BG98">
        <f>IF('06_Normalizacao'!T98="",0,'06_Normalizacao'!T98)</f>
        <v>0</v>
      </c>
      <c r="BH98">
        <f>IF('06_Normalizacao'!U98="",0,'06_Normalizacao'!U98)</f>
        <v>0</v>
      </c>
      <c r="BJ98">
        <f>IF('06_Normalizacao'!K98="",0,1)</f>
        <v>0</v>
      </c>
      <c r="BK98">
        <f>IF('06_Normalizacao'!L98="",0,1)</f>
        <v>0</v>
      </c>
      <c r="BL98">
        <f>IF('06_Normalizacao'!M98="",0,1)</f>
        <v>0</v>
      </c>
      <c r="BM98">
        <f>IF('06_Normalizacao'!N98="",0,1)</f>
        <v>0</v>
      </c>
      <c r="BN98">
        <f>IF('06_Normalizacao'!O98="",0,1)</f>
        <v>0</v>
      </c>
      <c r="BO98">
        <f>IF('06_Normalizacao'!P98="",0,1)</f>
        <v>0</v>
      </c>
      <c r="BP98">
        <f>IF('06_Normalizacao'!Q98="",0,1)</f>
        <v>0</v>
      </c>
      <c r="BQ98">
        <f>IF('06_Normalizacao'!R98="",0,1)</f>
        <v>0</v>
      </c>
      <c r="BR98">
        <f>IF('06_Normalizacao'!S98="",0,1)</f>
        <v>0</v>
      </c>
      <c r="BS98">
        <f>IF('06_Normalizacao'!T98="",0,1)</f>
        <v>0</v>
      </c>
      <c r="BT98">
        <f>IF('06_Normalizacao'!U98="",0,1)</f>
        <v>0</v>
      </c>
    </row>
    <row r="99" spans="1:72">
      <c r="A99" s="6" t="str">
        <f>'03_Base_Indice'!D99</f>
        <v/>
      </c>
      <c r="B99" t="str">
        <f>IFERROR(LOOKUP(2,1/ISNUMBER('03_Base_Indice'!$K99:K99),COLUMN('03_Base_Indice'!$K99:K99)-COLUMN('03_Base_Indice'!$K99)+1),"")</f>
        <v/>
      </c>
      <c r="C99" t="str">
        <f>IFERROR(LOOKUP(2,1/ISNUMBER('03_Base_Indice'!$K99:L99),COLUMN('03_Base_Indice'!$K99:L99)-COLUMN('03_Base_Indice'!$K99)+1),"")</f>
        <v/>
      </c>
      <c r="D99" t="str">
        <f>IFERROR(LOOKUP(2,1/ISNUMBER('03_Base_Indice'!$K99:M99),COLUMN('03_Base_Indice'!$K99:M99)-COLUMN('03_Base_Indice'!$K99)+1),"")</f>
        <v/>
      </c>
      <c r="E99" t="str">
        <f>IFERROR(LOOKUP(2,1/ISNUMBER('03_Base_Indice'!$K99:N99),COLUMN('03_Base_Indice'!$K99:N99)-COLUMN('03_Base_Indice'!$K99)+1),"")</f>
        <v/>
      </c>
      <c r="F99" t="str">
        <f>IFERROR(LOOKUP(2,1/ISNUMBER('03_Base_Indice'!$K99:O99),COLUMN('03_Base_Indice'!$K99:O99)-COLUMN('03_Base_Indice'!$K99)+1),"")</f>
        <v/>
      </c>
      <c r="G99" t="str">
        <f>IFERROR(LOOKUP(2,1/ISNUMBER('03_Base_Indice'!$K99:P99),COLUMN('03_Base_Indice'!$K99:P99)-COLUMN('03_Base_Indice'!$K99)+1),"")</f>
        <v/>
      </c>
      <c r="H99" t="str">
        <f>IFERROR(LOOKUP(2,1/ISNUMBER('03_Base_Indice'!$K99:Q99),COLUMN('03_Base_Indice'!$K99:Q99)-COLUMN('03_Base_Indice'!$K99)+1),"")</f>
        <v/>
      </c>
      <c r="I99" t="str">
        <f>IFERROR(LOOKUP(2,1/ISNUMBER('03_Base_Indice'!$K99:R99),COLUMN('03_Base_Indice'!$K99:R99)-COLUMN('03_Base_Indice'!$K99)+1),"")</f>
        <v/>
      </c>
      <c r="J99" t="str">
        <f>IFERROR(LOOKUP(2,1/ISNUMBER('03_Base_Indice'!$K99:S99),COLUMN('03_Base_Indice'!$K99:S99)-COLUMN('03_Base_Indice'!$K99)+1),"")</f>
        <v/>
      </c>
      <c r="K99" t="str">
        <f>IFERROR(LOOKUP(2,1/ISNUMBER('03_Base_Indice'!$K99:T99),COLUMN('03_Base_Indice'!$K99:T99)-COLUMN('03_Base_Indice'!$K99)+1),"")</f>
        <v/>
      </c>
      <c r="L99" t="str">
        <f>IFERROR(LOOKUP(2,1/ISNUMBER('03_Base_Indice'!$K99:U99),COLUMN('03_Base_Indice'!$K99:U99)-COLUMN('03_Base_Indice'!$K99)+1),"")</f>
        <v/>
      </c>
      <c r="N99" t="str">
        <f>IFERROR(MATCH(TRUE,INDEX(ISNUMBER('03_Base_Indice'!K99:$U99),0),0)+0,"")</f>
        <v/>
      </c>
      <c r="O99" t="str">
        <f>IFERROR(MATCH(TRUE,INDEX(ISNUMBER('03_Base_Indice'!L99:$U99),0),0)+1,"")</f>
        <v/>
      </c>
      <c r="P99" t="str">
        <f>IFERROR(MATCH(TRUE,INDEX(ISNUMBER('03_Base_Indice'!M99:$U99),0),0)+2,"")</f>
        <v/>
      </c>
      <c r="Q99" t="str">
        <f>IFERROR(MATCH(TRUE,INDEX(ISNUMBER('03_Base_Indice'!N99:$U99),0),0)+3,"")</f>
        <v/>
      </c>
      <c r="R99" t="str">
        <f>IFERROR(MATCH(TRUE,INDEX(ISNUMBER('03_Base_Indice'!O99:$U99),0),0)+4,"")</f>
        <v/>
      </c>
      <c r="S99" t="str">
        <f>IFERROR(MATCH(TRUE,INDEX(ISNUMBER('03_Base_Indice'!P99:$U99),0),0)+5,"")</f>
        <v/>
      </c>
      <c r="T99" t="str">
        <f>IFERROR(MATCH(TRUE,INDEX(ISNUMBER('03_Base_Indice'!Q99:$U99),0),0)+6,"")</f>
        <v/>
      </c>
      <c r="U99" t="str">
        <f>IFERROR(MATCH(TRUE,INDEX(ISNUMBER('03_Base_Indice'!R99:$U99),0),0)+7,"")</f>
        <v/>
      </c>
      <c r="V99" t="str">
        <f>IFERROR(MATCH(TRUE,INDEX(ISNUMBER('03_Base_Indice'!S99:$U99),0),0)+8,"")</f>
        <v/>
      </c>
      <c r="W99" t="str">
        <f>IFERROR(MATCH(TRUE,INDEX(ISNUMBER('03_Base_Indice'!T99:$U99),0),0)+9,"")</f>
        <v/>
      </c>
      <c r="X99" t="str">
        <f>IFERROR(MATCH(TRUE,INDEX(ISNUMBER('03_Base_Indice'!U99:$U99),0),0)+10,"")</f>
        <v/>
      </c>
      <c r="Z99" t="str">
        <f>IF(B99="","",INDEX('03_Base_Indice'!$K99:$U99,B99))</f>
        <v/>
      </c>
      <c r="AA99" t="str">
        <f>IF(C99="","",INDEX('03_Base_Indice'!$K99:$U99,C99))</f>
        <v/>
      </c>
      <c r="AB99" t="str">
        <f>IF(D99="","",INDEX('03_Base_Indice'!$K99:$U99,D99))</f>
        <v/>
      </c>
      <c r="AC99" t="str">
        <f>IF(E99="","",INDEX('03_Base_Indice'!$K99:$U99,E99))</f>
        <v/>
      </c>
      <c r="AD99" t="str">
        <f>IF(F99="","",INDEX('03_Base_Indice'!$K99:$U99,F99))</f>
        <v/>
      </c>
      <c r="AE99" t="str">
        <f>IF(G99="","",INDEX('03_Base_Indice'!$K99:$U99,G99))</f>
        <v/>
      </c>
      <c r="AF99" t="str">
        <f>IF(H99="","",INDEX('03_Base_Indice'!$K99:$U99,H99))</f>
        <v/>
      </c>
      <c r="AG99" t="str">
        <f>IF(I99="","",INDEX('03_Base_Indice'!$K99:$U99,I99))</f>
        <v/>
      </c>
      <c r="AH99" t="str">
        <f>IF(J99="","",INDEX('03_Base_Indice'!$K99:$U99,J99))</f>
        <v/>
      </c>
      <c r="AI99" t="str">
        <f>IF(K99="","",INDEX('03_Base_Indice'!$K99:$U99,K99))</f>
        <v/>
      </c>
      <c r="AJ99" t="str">
        <f>IF(L99="","",INDEX('03_Base_Indice'!$K99:$U99,L99))</f>
        <v/>
      </c>
      <c r="AL99" t="str">
        <f>IF(N99="","",INDEX('03_Base_Indice'!$K99:$U99,N99))</f>
        <v/>
      </c>
      <c r="AM99" t="str">
        <f>IF(O99="","",INDEX('03_Base_Indice'!$K99:$U99,O99))</f>
        <v/>
      </c>
      <c r="AN99" t="str">
        <f>IF(P99="","",INDEX('03_Base_Indice'!$K99:$U99,P99))</f>
        <v/>
      </c>
      <c r="AO99" t="str">
        <f>IF(Q99="","",INDEX('03_Base_Indice'!$K99:$U99,Q99))</f>
        <v/>
      </c>
      <c r="AP99" t="str">
        <f>IF(R99="","",INDEX('03_Base_Indice'!$K99:$U99,R99))</f>
        <v/>
      </c>
      <c r="AQ99" t="str">
        <f>IF(S99="","",INDEX('03_Base_Indice'!$K99:$U99,S99))</f>
        <v/>
      </c>
      <c r="AR99" t="str">
        <f>IF(T99="","",INDEX('03_Base_Indice'!$K99:$U99,T99))</f>
        <v/>
      </c>
      <c r="AS99" t="str">
        <f>IF(U99="","",INDEX('03_Base_Indice'!$K99:$U99,U99))</f>
        <v/>
      </c>
      <c r="AT99" t="str">
        <f>IF(V99="","",INDEX('03_Base_Indice'!$K99:$U99,V99))</f>
        <v/>
      </c>
      <c r="AU99" t="str">
        <f>IF(W99="","",INDEX('03_Base_Indice'!$K99:$U99,W99))</f>
        <v/>
      </c>
      <c r="AV99" t="str">
        <f>IF(X99="","",INDEX('03_Base_Indice'!$K99:$U99,X99))</f>
        <v/>
      </c>
      <c r="AX99">
        <f>IF('06_Normalizacao'!K99="",0,'06_Normalizacao'!K99)</f>
        <v>0</v>
      </c>
      <c r="AY99">
        <f>IF('06_Normalizacao'!L99="",0,'06_Normalizacao'!L99)</f>
        <v>0</v>
      </c>
      <c r="AZ99">
        <f>IF('06_Normalizacao'!M99="",0,'06_Normalizacao'!M99)</f>
        <v>0</v>
      </c>
      <c r="BA99">
        <f>IF('06_Normalizacao'!N99="",0,'06_Normalizacao'!N99)</f>
        <v>0</v>
      </c>
      <c r="BB99">
        <f>IF('06_Normalizacao'!O99="",0,'06_Normalizacao'!O99)</f>
        <v>0</v>
      </c>
      <c r="BC99">
        <f>IF('06_Normalizacao'!P99="",0,'06_Normalizacao'!P99)</f>
        <v>0</v>
      </c>
      <c r="BD99">
        <f>IF('06_Normalizacao'!Q99="",0,'06_Normalizacao'!Q99)</f>
        <v>0</v>
      </c>
      <c r="BE99">
        <f>IF('06_Normalizacao'!R99="",0,'06_Normalizacao'!R99)</f>
        <v>0</v>
      </c>
      <c r="BF99">
        <f>IF('06_Normalizacao'!S99="",0,'06_Normalizacao'!S99)</f>
        <v>0</v>
      </c>
      <c r="BG99">
        <f>IF('06_Normalizacao'!T99="",0,'06_Normalizacao'!T99)</f>
        <v>0</v>
      </c>
      <c r="BH99">
        <f>IF('06_Normalizacao'!U99="",0,'06_Normalizacao'!U99)</f>
        <v>0</v>
      </c>
      <c r="BJ99">
        <f>IF('06_Normalizacao'!K99="",0,1)</f>
        <v>0</v>
      </c>
      <c r="BK99">
        <f>IF('06_Normalizacao'!L99="",0,1)</f>
        <v>0</v>
      </c>
      <c r="BL99">
        <f>IF('06_Normalizacao'!M99="",0,1)</f>
        <v>0</v>
      </c>
      <c r="BM99">
        <f>IF('06_Normalizacao'!N99="",0,1)</f>
        <v>0</v>
      </c>
      <c r="BN99">
        <f>IF('06_Normalizacao'!O99="",0,1)</f>
        <v>0</v>
      </c>
      <c r="BO99">
        <f>IF('06_Normalizacao'!P99="",0,1)</f>
        <v>0</v>
      </c>
      <c r="BP99">
        <f>IF('06_Normalizacao'!Q99="",0,1)</f>
        <v>0</v>
      </c>
      <c r="BQ99">
        <f>IF('06_Normalizacao'!R99="",0,1)</f>
        <v>0</v>
      </c>
      <c r="BR99">
        <f>IF('06_Normalizacao'!S99="",0,1)</f>
        <v>0</v>
      </c>
      <c r="BS99">
        <f>IF('06_Normalizacao'!T99="",0,1)</f>
        <v>0</v>
      </c>
      <c r="BT99">
        <f>IF('06_Normalizacao'!U99="",0,1)</f>
        <v>0</v>
      </c>
    </row>
    <row r="100" spans="1:72">
      <c r="A100" s="6" t="str">
        <f>'03_Base_Indice'!D100</f>
        <v/>
      </c>
      <c r="B100" t="str">
        <f>IFERROR(LOOKUP(2,1/ISNUMBER('03_Base_Indice'!$K100:K100),COLUMN('03_Base_Indice'!$K100:K100)-COLUMN('03_Base_Indice'!$K100)+1),"")</f>
        <v/>
      </c>
      <c r="C100" t="str">
        <f>IFERROR(LOOKUP(2,1/ISNUMBER('03_Base_Indice'!$K100:L100),COLUMN('03_Base_Indice'!$K100:L100)-COLUMN('03_Base_Indice'!$K100)+1),"")</f>
        <v/>
      </c>
      <c r="D100" t="str">
        <f>IFERROR(LOOKUP(2,1/ISNUMBER('03_Base_Indice'!$K100:M100),COLUMN('03_Base_Indice'!$K100:M100)-COLUMN('03_Base_Indice'!$K100)+1),"")</f>
        <v/>
      </c>
      <c r="E100" t="str">
        <f>IFERROR(LOOKUP(2,1/ISNUMBER('03_Base_Indice'!$K100:N100),COLUMN('03_Base_Indice'!$K100:N100)-COLUMN('03_Base_Indice'!$K100)+1),"")</f>
        <v/>
      </c>
      <c r="F100" t="str">
        <f>IFERROR(LOOKUP(2,1/ISNUMBER('03_Base_Indice'!$K100:O100),COLUMN('03_Base_Indice'!$K100:O100)-COLUMN('03_Base_Indice'!$K100)+1),"")</f>
        <v/>
      </c>
      <c r="G100" t="str">
        <f>IFERROR(LOOKUP(2,1/ISNUMBER('03_Base_Indice'!$K100:P100),COLUMN('03_Base_Indice'!$K100:P100)-COLUMN('03_Base_Indice'!$K100)+1),"")</f>
        <v/>
      </c>
      <c r="H100" t="str">
        <f>IFERROR(LOOKUP(2,1/ISNUMBER('03_Base_Indice'!$K100:Q100),COLUMN('03_Base_Indice'!$K100:Q100)-COLUMN('03_Base_Indice'!$K100)+1),"")</f>
        <v/>
      </c>
      <c r="I100" t="str">
        <f>IFERROR(LOOKUP(2,1/ISNUMBER('03_Base_Indice'!$K100:R100),COLUMN('03_Base_Indice'!$K100:R100)-COLUMN('03_Base_Indice'!$K100)+1),"")</f>
        <v/>
      </c>
      <c r="J100" t="str">
        <f>IFERROR(LOOKUP(2,1/ISNUMBER('03_Base_Indice'!$K100:S100),COLUMN('03_Base_Indice'!$K100:S100)-COLUMN('03_Base_Indice'!$K100)+1),"")</f>
        <v/>
      </c>
      <c r="K100" t="str">
        <f>IFERROR(LOOKUP(2,1/ISNUMBER('03_Base_Indice'!$K100:T100),COLUMN('03_Base_Indice'!$K100:T100)-COLUMN('03_Base_Indice'!$K100)+1),"")</f>
        <v/>
      </c>
      <c r="L100" t="str">
        <f>IFERROR(LOOKUP(2,1/ISNUMBER('03_Base_Indice'!$K100:U100),COLUMN('03_Base_Indice'!$K100:U100)-COLUMN('03_Base_Indice'!$K100)+1),"")</f>
        <v/>
      </c>
      <c r="N100" t="str">
        <f>IFERROR(MATCH(TRUE,INDEX(ISNUMBER('03_Base_Indice'!K100:$U100),0),0)+0,"")</f>
        <v/>
      </c>
      <c r="O100" t="str">
        <f>IFERROR(MATCH(TRUE,INDEX(ISNUMBER('03_Base_Indice'!L100:$U100),0),0)+1,"")</f>
        <v/>
      </c>
      <c r="P100" t="str">
        <f>IFERROR(MATCH(TRUE,INDEX(ISNUMBER('03_Base_Indice'!M100:$U100),0),0)+2,"")</f>
        <v/>
      </c>
      <c r="Q100" t="str">
        <f>IFERROR(MATCH(TRUE,INDEX(ISNUMBER('03_Base_Indice'!N100:$U100),0),0)+3,"")</f>
        <v/>
      </c>
      <c r="R100" t="str">
        <f>IFERROR(MATCH(TRUE,INDEX(ISNUMBER('03_Base_Indice'!O100:$U100),0),0)+4,"")</f>
        <v/>
      </c>
      <c r="S100" t="str">
        <f>IFERROR(MATCH(TRUE,INDEX(ISNUMBER('03_Base_Indice'!P100:$U100),0),0)+5,"")</f>
        <v/>
      </c>
      <c r="T100" t="str">
        <f>IFERROR(MATCH(TRUE,INDEX(ISNUMBER('03_Base_Indice'!Q100:$U100),0),0)+6,"")</f>
        <v/>
      </c>
      <c r="U100" t="str">
        <f>IFERROR(MATCH(TRUE,INDEX(ISNUMBER('03_Base_Indice'!R100:$U100),0),0)+7,"")</f>
        <v/>
      </c>
      <c r="V100" t="str">
        <f>IFERROR(MATCH(TRUE,INDEX(ISNUMBER('03_Base_Indice'!S100:$U100),0),0)+8,"")</f>
        <v/>
      </c>
      <c r="W100" t="str">
        <f>IFERROR(MATCH(TRUE,INDEX(ISNUMBER('03_Base_Indice'!T100:$U100),0),0)+9,"")</f>
        <v/>
      </c>
      <c r="X100" t="str">
        <f>IFERROR(MATCH(TRUE,INDEX(ISNUMBER('03_Base_Indice'!U100:$U100),0),0)+10,"")</f>
        <v/>
      </c>
      <c r="Z100" t="str">
        <f>IF(B100="","",INDEX('03_Base_Indice'!$K100:$U100,B100))</f>
        <v/>
      </c>
      <c r="AA100" t="str">
        <f>IF(C100="","",INDEX('03_Base_Indice'!$K100:$U100,C100))</f>
        <v/>
      </c>
      <c r="AB100" t="str">
        <f>IF(D100="","",INDEX('03_Base_Indice'!$K100:$U100,D100))</f>
        <v/>
      </c>
      <c r="AC100" t="str">
        <f>IF(E100="","",INDEX('03_Base_Indice'!$K100:$U100,E100))</f>
        <v/>
      </c>
      <c r="AD100" t="str">
        <f>IF(F100="","",INDEX('03_Base_Indice'!$K100:$U100,F100))</f>
        <v/>
      </c>
      <c r="AE100" t="str">
        <f>IF(G100="","",INDEX('03_Base_Indice'!$K100:$U100,G100))</f>
        <v/>
      </c>
      <c r="AF100" t="str">
        <f>IF(H100="","",INDEX('03_Base_Indice'!$K100:$U100,H100))</f>
        <v/>
      </c>
      <c r="AG100" t="str">
        <f>IF(I100="","",INDEX('03_Base_Indice'!$K100:$U100,I100))</f>
        <v/>
      </c>
      <c r="AH100" t="str">
        <f>IF(J100="","",INDEX('03_Base_Indice'!$K100:$U100,J100))</f>
        <v/>
      </c>
      <c r="AI100" t="str">
        <f>IF(K100="","",INDEX('03_Base_Indice'!$K100:$U100,K100))</f>
        <v/>
      </c>
      <c r="AJ100" t="str">
        <f>IF(L100="","",INDEX('03_Base_Indice'!$K100:$U100,L100))</f>
        <v/>
      </c>
      <c r="AL100" t="str">
        <f>IF(N100="","",INDEX('03_Base_Indice'!$K100:$U100,N100))</f>
        <v/>
      </c>
      <c r="AM100" t="str">
        <f>IF(O100="","",INDEX('03_Base_Indice'!$K100:$U100,O100))</f>
        <v/>
      </c>
      <c r="AN100" t="str">
        <f>IF(P100="","",INDEX('03_Base_Indice'!$K100:$U100,P100))</f>
        <v/>
      </c>
      <c r="AO100" t="str">
        <f>IF(Q100="","",INDEX('03_Base_Indice'!$K100:$U100,Q100))</f>
        <v/>
      </c>
      <c r="AP100" t="str">
        <f>IF(R100="","",INDEX('03_Base_Indice'!$K100:$U100,R100))</f>
        <v/>
      </c>
      <c r="AQ100" t="str">
        <f>IF(S100="","",INDEX('03_Base_Indice'!$K100:$U100,S100))</f>
        <v/>
      </c>
      <c r="AR100" t="str">
        <f>IF(T100="","",INDEX('03_Base_Indice'!$K100:$U100,T100))</f>
        <v/>
      </c>
      <c r="AS100" t="str">
        <f>IF(U100="","",INDEX('03_Base_Indice'!$K100:$U100,U100))</f>
        <v/>
      </c>
      <c r="AT100" t="str">
        <f>IF(V100="","",INDEX('03_Base_Indice'!$K100:$U100,V100))</f>
        <v/>
      </c>
      <c r="AU100" t="str">
        <f>IF(W100="","",INDEX('03_Base_Indice'!$K100:$U100,W100))</f>
        <v/>
      </c>
      <c r="AV100" t="str">
        <f>IF(X100="","",INDEX('03_Base_Indice'!$K100:$U100,X100))</f>
        <v/>
      </c>
      <c r="AX100">
        <f>IF('06_Normalizacao'!K100="",0,'06_Normalizacao'!K100)</f>
        <v>0</v>
      </c>
      <c r="AY100">
        <f>IF('06_Normalizacao'!L100="",0,'06_Normalizacao'!L100)</f>
        <v>0</v>
      </c>
      <c r="AZ100">
        <f>IF('06_Normalizacao'!M100="",0,'06_Normalizacao'!M100)</f>
        <v>0</v>
      </c>
      <c r="BA100">
        <f>IF('06_Normalizacao'!N100="",0,'06_Normalizacao'!N100)</f>
        <v>0</v>
      </c>
      <c r="BB100">
        <f>IF('06_Normalizacao'!O100="",0,'06_Normalizacao'!O100)</f>
        <v>0</v>
      </c>
      <c r="BC100">
        <f>IF('06_Normalizacao'!P100="",0,'06_Normalizacao'!P100)</f>
        <v>0</v>
      </c>
      <c r="BD100">
        <f>IF('06_Normalizacao'!Q100="",0,'06_Normalizacao'!Q100)</f>
        <v>0</v>
      </c>
      <c r="BE100">
        <f>IF('06_Normalizacao'!R100="",0,'06_Normalizacao'!R100)</f>
        <v>0</v>
      </c>
      <c r="BF100">
        <f>IF('06_Normalizacao'!S100="",0,'06_Normalizacao'!S100)</f>
        <v>0</v>
      </c>
      <c r="BG100">
        <f>IF('06_Normalizacao'!T100="",0,'06_Normalizacao'!T100)</f>
        <v>0</v>
      </c>
      <c r="BH100">
        <f>IF('06_Normalizacao'!U100="",0,'06_Normalizacao'!U100)</f>
        <v>0</v>
      </c>
      <c r="BJ100">
        <f>IF('06_Normalizacao'!K100="",0,1)</f>
        <v>0</v>
      </c>
      <c r="BK100">
        <f>IF('06_Normalizacao'!L100="",0,1)</f>
        <v>0</v>
      </c>
      <c r="BL100">
        <f>IF('06_Normalizacao'!M100="",0,1)</f>
        <v>0</v>
      </c>
      <c r="BM100">
        <f>IF('06_Normalizacao'!N100="",0,1)</f>
        <v>0</v>
      </c>
      <c r="BN100">
        <f>IF('06_Normalizacao'!O100="",0,1)</f>
        <v>0</v>
      </c>
      <c r="BO100">
        <f>IF('06_Normalizacao'!P100="",0,1)</f>
        <v>0</v>
      </c>
      <c r="BP100">
        <f>IF('06_Normalizacao'!Q100="",0,1)</f>
        <v>0</v>
      </c>
      <c r="BQ100">
        <f>IF('06_Normalizacao'!R100="",0,1)</f>
        <v>0</v>
      </c>
      <c r="BR100">
        <f>IF('06_Normalizacao'!S100="",0,1)</f>
        <v>0</v>
      </c>
      <c r="BS100">
        <f>IF('06_Normalizacao'!T100="",0,1)</f>
        <v>0</v>
      </c>
      <c r="BT100">
        <f>IF('06_Normalizacao'!U100="",0,1)</f>
        <v>0</v>
      </c>
    </row>
    <row r="101" spans="1:72">
      <c r="A101" s="6" t="str">
        <f>'03_Base_Indice'!D101</f>
        <v/>
      </c>
      <c r="B101" t="str">
        <f>IFERROR(LOOKUP(2,1/ISNUMBER('03_Base_Indice'!$K101:K101),COLUMN('03_Base_Indice'!$K101:K101)-COLUMN('03_Base_Indice'!$K101)+1),"")</f>
        <v/>
      </c>
      <c r="C101" t="str">
        <f>IFERROR(LOOKUP(2,1/ISNUMBER('03_Base_Indice'!$K101:L101),COLUMN('03_Base_Indice'!$K101:L101)-COLUMN('03_Base_Indice'!$K101)+1),"")</f>
        <v/>
      </c>
      <c r="D101" t="str">
        <f>IFERROR(LOOKUP(2,1/ISNUMBER('03_Base_Indice'!$K101:M101),COLUMN('03_Base_Indice'!$K101:M101)-COLUMN('03_Base_Indice'!$K101)+1),"")</f>
        <v/>
      </c>
      <c r="E101" t="str">
        <f>IFERROR(LOOKUP(2,1/ISNUMBER('03_Base_Indice'!$K101:N101),COLUMN('03_Base_Indice'!$K101:N101)-COLUMN('03_Base_Indice'!$K101)+1),"")</f>
        <v/>
      </c>
      <c r="F101" t="str">
        <f>IFERROR(LOOKUP(2,1/ISNUMBER('03_Base_Indice'!$K101:O101),COLUMN('03_Base_Indice'!$K101:O101)-COLUMN('03_Base_Indice'!$K101)+1),"")</f>
        <v/>
      </c>
      <c r="G101" t="str">
        <f>IFERROR(LOOKUP(2,1/ISNUMBER('03_Base_Indice'!$K101:P101),COLUMN('03_Base_Indice'!$K101:P101)-COLUMN('03_Base_Indice'!$K101)+1),"")</f>
        <v/>
      </c>
      <c r="H101" t="str">
        <f>IFERROR(LOOKUP(2,1/ISNUMBER('03_Base_Indice'!$K101:Q101),COLUMN('03_Base_Indice'!$K101:Q101)-COLUMN('03_Base_Indice'!$K101)+1),"")</f>
        <v/>
      </c>
      <c r="I101" t="str">
        <f>IFERROR(LOOKUP(2,1/ISNUMBER('03_Base_Indice'!$K101:R101),COLUMN('03_Base_Indice'!$K101:R101)-COLUMN('03_Base_Indice'!$K101)+1),"")</f>
        <v/>
      </c>
      <c r="J101" t="str">
        <f>IFERROR(LOOKUP(2,1/ISNUMBER('03_Base_Indice'!$K101:S101),COLUMN('03_Base_Indice'!$K101:S101)-COLUMN('03_Base_Indice'!$K101)+1),"")</f>
        <v/>
      </c>
      <c r="K101" t="str">
        <f>IFERROR(LOOKUP(2,1/ISNUMBER('03_Base_Indice'!$K101:T101),COLUMN('03_Base_Indice'!$K101:T101)-COLUMN('03_Base_Indice'!$K101)+1),"")</f>
        <v/>
      </c>
      <c r="L101" t="str">
        <f>IFERROR(LOOKUP(2,1/ISNUMBER('03_Base_Indice'!$K101:U101),COLUMN('03_Base_Indice'!$K101:U101)-COLUMN('03_Base_Indice'!$K101)+1),"")</f>
        <v/>
      </c>
      <c r="N101" t="str">
        <f>IFERROR(MATCH(TRUE,INDEX(ISNUMBER('03_Base_Indice'!K101:$U101),0),0)+0,"")</f>
        <v/>
      </c>
      <c r="O101" t="str">
        <f>IFERROR(MATCH(TRUE,INDEX(ISNUMBER('03_Base_Indice'!L101:$U101),0),0)+1,"")</f>
        <v/>
      </c>
      <c r="P101" t="str">
        <f>IFERROR(MATCH(TRUE,INDEX(ISNUMBER('03_Base_Indice'!M101:$U101),0),0)+2,"")</f>
        <v/>
      </c>
      <c r="Q101" t="str">
        <f>IFERROR(MATCH(TRUE,INDEX(ISNUMBER('03_Base_Indice'!N101:$U101),0),0)+3,"")</f>
        <v/>
      </c>
      <c r="R101" t="str">
        <f>IFERROR(MATCH(TRUE,INDEX(ISNUMBER('03_Base_Indice'!O101:$U101),0),0)+4,"")</f>
        <v/>
      </c>
      <c r="S101" t="str">
        <f>IFERROR(MATCH(TRUE,INDEX(ISNUMBER('03_Base_Indice'!P101:$U101),0),0)+5,"")</f>
        <v/>
      </c>
      <c r="T101" t="str">
        <f>IFERROR(MATCH(TRUE,INDEX(ISNUMBER('03_Base_Indice'!Q101:$U101),0),0)+6,"")</f>
        <v/>
      </c>
      <c r="U101" t="str">
        <f>IFERROR(MATCH(TRUE,INDEX(ISNUMBER('03_Base_Indice'!R101:$U101),0),0)+7,"")</f>
        <v/>
      </c>
      <c r="V101" t="str">
        <f>IFERROR(MATCH(TRUE,INDEX(ISNUMBER('03_Base_Indice'!S101:$U101),0),0)+8,"")</f>
        <v/>
      </c>
      <c r="W101" t="str">
        <f>IFERROR(MATCH(TRUE,INDEX(ISNUMBER('03_Base_Indice'!T101:$U101),0),0)+9,"")</f>
        <v/>
      </c>
      <c r="X101" t="str">
        <f>IFERROR(MATCH(TRUE,INDEX(ISNUMBER('03_Base_Indice'!U101:$U101),0),0)+10,"")</f>
        <v/>
      </c>
      <c r="Z101" t="str">
        <f>IF(B101="","",INDEX('03_Base_Indice'!$K101:$U101,B101))</f>
        <v/>
      </c>
      <c r="AA101" t="str">
        <f>IF(C101="","",INDEX('03_Base_Indice'!$K101:$U101,C101))</f>
        <v/>
      </c>
      <c r="AB101" t="str">
        <f>IF(D101="","",INDEX('03_Base_Indice'!$K101:$U101,D101))</f>
        <v/>
      </c>
      <c r="AC101" t="str">
        <f>IF(E101="","",INDEX('03_Base_Indice'!$K101:$U101,E101))</f>
        <v/>
      </c>
      <c r="AD101" t="str">
        <f>IF(F101="","",INDEX('03_Base_Indice'!$K101:$U101,F101))</f>
        <v/>
      </c>
      <c r="AE101" t="str">
        <f>IF(G101="","",INDEX('03_Base_Indice'!$K101:$U101,G101))</f>
        <v/>
      </c>
      <c r="AF101" t="str">
        <f>IF(H101="","",INDEX('03_Base_Indice'!$K101:$U101,H101))</f>
        <v/>
      </c>
      <c r="AG101" t="str">
        <f>IF(I101="","",INDEX('03_Base_Indice'!$K101:$U101,I101))</f>
        <v/>
      </c>
      <c r="AH101" t="str">
        <f>IF(J101="","",INDEX('03_Base_Indice'!$K101:$U101,J101))</f>
        <v/>
      </c>
      <c r="AI101" t="str">
        <f>IF(K101="","",INDEX('03_Base_Indice'!$K101:$U101,K101))</f>
        <v/>
      </c>
      <c r="AJ101" t="str">
        <f>IF(L101="","",INDEX('03_Base_Indice'!$K101:$U101,L101))</f>
        <v/>
      </c>
      <c r="AL101" t="str">
        <f>IF(N101="","",INDEX('03_Base_Indice'!$K101:$U101,N101))</f>
        <v/>
      </c>
      <c r="AM101" t="str">
        <f>IF(O101="","",INDEX('03_Base_Indice'!$K101:$U101,O101))</f>
        <v/>
      </c>
      <c r="AN101" t="str">
        <f>IF(P101="","",INDEX('03_Base_Indice'!$K101:$U101,P101))</f>
        <v/>
      </c>
      <c r="AO101" t="str">
        <f>IF(Q101="","",INDEX('03_Base_Indice'!$K101:$U101,Q101))</f>
        <v/>
      </c>
      <c r="AP101" t="str">
        <f>IF(R101="","",INDEX('03_Base_Indice'!$K101:$U101,R101))</f>
        <v/>
      </c>
      <c r="AQ101" t="str">
        <f>IF(S101="","",INDEX('03_Base_Indice'!$K101:$U101,S101))</f>
        <v/>
      </c>
      <c r="AR101" t="str">
        <f>IF(T101="","",INDEX('03_Base_Indice'!$K101:$U101,T101))</f>
        <v/>
      </c>
      <c r="AS101" t="str">
        <f>IF(U101="","",INDEX('03_Base_Indice'!$K101:$U101,U101))</f>
        <v/>
      </c>
      <c r="AT101" t="str">
        <f>IF(V101="","",INDEX('03_Base_Indice'!$K101:$U101,V101))</f>
        <v/>
      </c>
      <c r="AU101" t="str">
        <f>IF(W101="","",INDEX('03_Base_Indice'!$K101:$U101,W101))</f>
        <v/>
      </c>
      <c r="AV101" t="str">
        <f>IF(X101="","",INDEX('03_Base_Indice'!$K101:$U101,X101))</f>
        <v/>
      </c>
      <c r="AX101">
        <f>IF('06_Normalizacao'!K101="",0,'06_Normalizacao'!K101)</f>
        <v>0</v>
      </c>
      <c r="AY101">
        <f>IF('06_Normalizacao'!L101="",0,'06_Normalizacao'!L101)</f>
        <v>0</v>
      </c>
      <c r="AZ101">
        <f>IF('06_Normalizacao'!M101="",0,'06_Normalizacao'!M101)</f>
        <v>0</v>
      </c>
      <c r="BA101">
        <f>IF('06_Normalizacao'!N101="",0,'06_Normalizacao'!N101)</f>
        <v>0</v>
      </c>
      <c r="BB101">
        <f>IF('06_Normalizacao'!O101="",0,'06_Normalizacao'!O101)</f>
        <v>0</v>
      </c>
      <c r="BC101">
        <f>IF('06_Normalizacao'!P101="",0,'06_Normalizacao'!P101)</f>
        <v>0</v>
      </c>
      <c r="BD101">
        <f>IF('06_Normalizacao'!Q101="",0,'06_Normalizacao'!Q101)</f>
        <v>0</v>
      </c>
      <c r="BE101">
        <f>IF('06_Normalizacao'!R101="",0,'06_Normalizacao'!R101)</f>
        <v>0</v>
      </c>
      <c r="BF101">
        <f>IF('06_Normalizacao'!S101="",0,'06_Normalizacao'!S101)</f>
        <v>0</v>
      </c>
      <c r="BG101">
        <f>IF('06_Normalizacao'!T101="",0,'06_Normalizacao'!T101)</f>
        <v>0</v>
      </c>
      <c r="BH101">
        <f>IF('06_Normalizacao'!U101="",0,'06_Normalizacao'!U101)</f>
        <v>0</v>
      </c>
      <c r="BJ101">
        <f>IF('06_Normalizacao'!K101="",0,1)</f>
        <v>0</v>
      </c>
      <c r="BK101">
        <f>IF('06_Normalizacao'!L101="",0,1)</f>
        <v>0</v>
      </c>
      <c r="BL101">
        <f>IF('06_Normalizacao'!M101="",0,1)</f>
        <v>0</v>
      </c>
      <c r="BM101">
        <f>IF('06_Normalizacao'!N101="",0,1)</f>
        <v>0</v>
      </c>
      <c r="BN101">
        <f>IF('06_Normalizacao'!O101="",0,1)</f>
        <v>0</v>
      </c>
      <c r="BO101">
        <f>IF('06_Normalizacao'!P101="",0,1)</f>
        <v>0</v>
      </c>
      <c r="BP101">
        <f>IF('06_Normalizacao'!Q101="",0,1)</f>
        <v>0</v>
      </c>
      <c r="BQ101">
        <f>IF('06_Normalizacao'!R101="",0,1)</f>
        <v>0</v>
      </c>
      <c r="BR101">
        <f>IF('06_Normalizacao'!S101="",0,1)</f>
        <v>0</v>
      </c>
      <c r="BS101">
        <f>IF('06_Normalizacao'!T101="",0,1)</f>
        <v>0</v>
      </c>
      <c r="BT101">
        <f>IF('06_Normalizacao'!U101="",0,1)</f>
        <v>0</v>
      </c>
    </row>
    <row r="102" spans="1:72">
      <c r="A102" s="6" t="str">
        <f>'03_Base_Indice'!D102</f>
        <v/>
      </c>
      <c r="B102" t="str">
        <f>IFERROR(LOOKUP(2,1/ISNUMBER('03_Base_Indice'!$K102:K102),COLUMN('03_Base_Indice'!$K102:K102)-COLUMN('03_Base_Indice'!$K102)+1),"")</f>
        <v/>
      </c>
      <c r="C102" t="str">
        <f>IFERROR(LOOKUP(2,1/ISNUMBER('03_Base_Indice'!$K102:L102),COLUMN('03_Base_Indice'!$K102:L102)-COLUMN('03_Base_Indice'!$K102)+1),"")</f>
        <v/>
      </c>
      <c r="D102" t="str">
        <f>IFERROR(LOOKUP(2,1/ISNUMBER('03_Base_Indice'!$K102:M102),COLUMN('03_Base_Indice'!$K102:M102)-COLUMN('03_Base_Indice'!$K102)+1),"")</f>
        <v/>
      </c>
      <c r="E102" t="str">
        <f>IFERROR(LOOKUP(2,1/ISNUMBER('03_Base_Indice'!$K102:N102),COLUMN('03_Base_Indice'!$K102:N102)-COLUMN('03_Base_Indice'!$K102)+1),"")</f>
        <v/>
      </c>
      <c r="F102" t="str">
        <f>IFERROR(LOOKUP(2,1/ISNUMBER('03_Base_Indice'!$K102:O102),COLUMN('03_Base_Indice'!$K102:O102)-COLUMN('03_Base_Indice'!$K102)+1),"")</f>
        <v/>
      </c>
      <c r="G102" t="str">
        <f>IFERROR(LOOKUP(2,1/ISNUMBER('03_Base_Indice'!$K102:P102),COLUMN('03_Base_Indice'!$K102:P102)-COLUMN('03_Base_Indice'!$K102)+1),"")</f>
        <v/>
      </c>
      <c r="H102" t="str">
        <f>IFERROR(LOOKUP(2,1/ISNUMBER('03_Base_Indice'!$K102:Q102),COLUMN('03_Base_Indice'!$K102:Q102)-COLUMN('03_Base_Indice'!$K102)+1),"")</f>
        <v/>
      </c>
      <c r="I102" t="str">
        <f>IFERROR(LOOKUP(2,1/ISNUMBER('03_Base_Indice'!$K102:R102),COLUMN('03_Base_Indice'!$K102:R102)-COLUMN('03_Base_Indice'!$K102)+1),"")</f>
        <v/>
      </c>
      <c r="J102" t="str">
        <f>IFERROR(LOOKUP(2,1/ISNUMBER('03_Base_Indice'!$K102:S102),COLUMN('03_Base_Indice'!$K102:S102)-COLUMN('03_Base_Indice'!$K102)+1),"")</f>
        <v/>
      </c>
      <c r="K102" t="str">
        <f>IFERROR(LOOKUP(2,1/ISNUMBER('03_Base_Indice'!$K102:T102),COLUMN('03_Base_Indice'!$K102:T102)-COLUMN('03_Base_Indice'!$K102)+1),"")</f>
        <v/>
      </c>
      <c r="L102" t="str">
        <f>IFERROR(LOOKUP(2,1/ISNUMBER('03_Base_Indice'!$K102:U102),COLUMN('03_Base_Indice'!$K102:U102)-COLUMN('03_Base_Indice'!$K102)+1),"")</f>
        <v/>
      </c>
      <c r="N102" t="str">
        <f>IFERROR(MATCH(TRUE,INDEX(ISNUMBER('03_Base_Indice'!K102:$U102),0),0)+0,"")</f>
        <v/>
      </c>
      <c r="O102" t="str">
        <f>IFERROR(MATCH(TRUE,INDEX(ISNUMBER('03_Base_Indice'!L102:$U102),0),0)+1,"")</f>
        <v/>
      </c>
      <c r="P102" t="str">
        <f>IFERROR(MATCH(TRUE,INDEX(ISNUMBER('03_Base_Indice'!M102:$U102),0),0)+2,"")</f>
        <v/>
      </c>
      <c r="Q102" t="str">
        <f>IFERROR(MATCH(TRUE,INDEX(ISNUMBER('03_Base_Indice'!N102:$U102),0),0)+3,"")</f>
        <v/>
      </c>
      <c r="R102" t="str">
        <f>IFERROR(MATCH(TRUE,INDEX(ISNUMBER('03_Base_Indice'!O102:$U102),0),0)+4,"")</f>
        <v/>
      </c>
      <c r="S102" t="str">
        <f>IFERROR(MATCH(TRUE,INDEX(ISNUMBER('03_Base_Indice'!P102:$U102),0),0)+5,"")</f>
        <v/>
      </c>
      <c r="T102" t="str">
        <f>IFERROR(MATCH(TRUE,INDEX(ISNUMBER('03_Base_Indice'!Q102:$U102),0),0)+6,"")</f>
        <v/>
      </c>
      <c r="U102" t="str">
        <f>IFERROR(MATCH(TRUE,INDEX(ISNUMBER('03_Base_Indice'!R102:$U102),0),0)+7,"")</f>
        <v/>
      </c>
      <c r="V102" t="str">
        <f>IFERROR(MATCH(TRUE,INDEX(ISNUMBER('03_Base_Indice'!S102:$U102),0),0)+8,"")</f>
        <v/>
      </c>
      <c r="W102" t="str">
        <f>IFERROR(MATCH(TRUE,INDEX(ISNUMBER('03_Base_Indice'!T102:$U102),0),0)+9,"")</f>
        <v/>
      </c>
      <c r="X102" t="str">
        <f>IFERROR(MATCH(TRUE,INDEX(ISNUMBER('03_Base_Indice'!U102:$U102),0),0)+10,"")</f>
        <v/>
      </c>
      <c r="Z102" t="str">
        <f>IF(B102="","",INDEX('03_Base_Indice'!$K102:$U102,B102))</f>
        <v/>
      </c>
      <c r="AA102" t="str">
        <f>IF(C102="","",INDEX('03_Base_Indice'!$K102:$U102,C102))</f>
        <v/>
      </c>
      <c r="AB102" t="str">
        <f>IF(D102="","",INDEX('03_Base_Indice'!$K102:$U102,D102))</f>
        <v/>
      </c>
      <c r="AC102" t="str">
        <f>IF(E102="","",INDEX('03_Base_Indice'!$K102:$U102,E102))</f>
        <v/>
      </c>
      <c r="AD102" t="str">
        <f>IF(F102="","",INDEX('03_Base_Indice'!$K102:$U102,F102))</f>
        <v/>
      </c>
      <c r="AE102" t="str">
        <f>IF(G102="","",INDEX('03_Base_Indice'!$K102:$U102,G102))</f>
        <v/>
      </c>
      <c r="AF102" t="str">
        <f>IF(H102="","",INDEX('03_Base_Indice'!$K102:$U102,H102))</f>
        <v/>
      </c>
      <c r="AG102" t="str">
        <f>IF(I102="","",INDEX('03_Base_Indice'!$K102:$U102,I102))</f>
        <v/>
      </c>
      <c r="AH102" t="str">
        <f>IF(J102="","",INDEX('03_Base_Indice'!$K102:$U102,J102))</f>
        <v/>
      </c>
      <c r="AI102" t="str">
        <f>IF(K102="","",INDEX('03_Base_Indice'!$K102:$U102,K102))</f>
        <v/>
      </c>
      <c r="AJ102" t="str">
        <f>IF(L102="","",INDEX('03_Base_Indice'!$K102:$U102,L102))</f>
        <v/>
      </c>
      <c r="AL102" t="str">
        <f>IF(N102="","",INDEX('03_Base_Indice'!$K102:$U102,N102))</f>
        <v/>
      </c>
      <c r="AM102" t="str">
        <f>IF(O102="","",INDEX('03_Base_Indice'!$K102:$U102,O102))</f>
        <v/>
      </c>
      <c r="AN102" t="str">
        <f>IF(P102="","",INDEX('03_Base_Indice'!$K102:$U102,P102))</f>
        <v/>
      </c>
      <c r="AO102" t="str">
        <f>IF(Q102="","",INDEX('03_Base_Indice'!$K102:$U102,Q102))</f>
        <v/>
      </c>
      <c r="AP102" t="str">
        <f>IF(R102="","",INDEX('03_Base_Indice'!$K102:$U102,R102))</f>
        <v/>
      </c>
      <c r="AQ102" t="str">
        <f>IF(S102="","",INDEX('03_Base_Indice'!$K102:$U102,S102))</f>
        <v/>
      </c>
      <c r="AR102" t="str">
        <f>IF(T102="","",INDEX('03_Base_Indice'!$K102:$U102,T102))</f>
        <v/>
      </c>
      <c r="AS102" t="str">
        <f>IF(U102="","",INDEX('03_Base_Indice'!$K102:$U102,U102))</f>
        <v/>
      </c>
      <c r="AT102" t="str">
        <f>IF(V102="","",INDEX('03_Base_Indice'!$K102:$U102,V102))</f>
        <v/>
      </c>
      <c r="AU102" t="str">
        <f>IF(W102="","",INDEX('03_Base_Indice'!$K102:$U102,W102))</f>
        <v/>
      </c>
      <c r="AV102" t="str">
        <f>IF(X102="","",INDEX('03_Base_Indice'!$K102:$U102,X102))</f>
        <v/>
      </c>
      <c r="AX102">
        <f>IF('06_Normalizacao'!K102="",0,'06_Normalizacao'!K102)</f>
        <v>0</v>
      </c>
      <c r="AY102">
        <f>IF('06_Normalizacao'!L102="",0,'06_Normalizacao'!L102)</f>
        <v>0</v>
      </c>
      <c r="AZ102">
        <f>IF('06_Normalizacao'!M102="",0,'06_Normalizacao'!M102)</f>
        <v>0</v>
      </c>
      <c r="BA102">
        <f>IF('06_Normalizacao'!N102="",0,'06_Normalizacao'!N102)</f>
        <v>0</v>
      </c>
      <c r="BB102">
        <f>IF('06_Normalizacao'!O102="",0,'06_Normalizacao'!O102)</f>
        <v>0</v>
      </c>
      <c r="BC102">
        <f>IF('06_Normalizacao'!P102="",0,'06_Normalizacao'!P102)</f>
        <v>0</v>
      </c>
      <c r="BD102">
        <f>IF('06_Normalizacao'!Q102="",0,'06_Normalizacao'!Q102)</f>
        <v>0</v>
      </c>
      <c r="BE102">
        <f>IF('06_Normalizacao'!R102="",0,'06_Normalizacao'!R102)</f>
        <v>0</v>
      </c>
      <c r="BF102">
        <f>IF('06_Normalizacao'!S102="",0,'06_Normalizacao'!S102)</f>
        <v>0</v>
      </c>
      <c r="BG102">
        <f>IF('06_Normalizacao'!T102="",0,'06_Normalizacao'!T102)</f>
        <v>0</v>
      </c>
      <c r="BH102">
        <f>IF('06_Normalizacao'!U102="",0,'06_Normalizacao'!U102)</f>
        <v>0</v>
      </c>
      <c r="BJ102">
        <f>IF('06_Normalizacao'!K102="",0,1)</f>
        <v>0</v>
      </c>
      <c r="BK102">
        <f>IF('06_Normalizacao'!L102="",0,1)</f>
        <v>0</v>
      </c>
      <c r="BL102">
        <f>IF('06_Normalizacao'!M102="",0,1)</f>
        <v>0</v>
      </c>
      <c r="BM102">
        <f>IF('06_Normalizacao'!N102="",0,1)</f>
        <v>0</v>
      </c>
      <c r="BN102">
        <f>IF('06_Normalizacao'!O102="",0,1)</f>
        <v>0</v>
      </c>
      <c r="BO102">
        <f>IF('06_Normalizacao'!P102="",0,1)</f>
        <v>0</v>
      </c>
      <c r="BP102">
        <f>IF('06_Normalizacao'!Q102="",0,1)</f>
        <v>0</v>
      </c>
      <c r="BQ102">
        <f>IF('06_Normalizacao'!R102="",0,1)</f>
        <v>0</v>
      </c>
      <c r="BR102">
        <f>IF('06_Normalizacao'!S102="",0,1)</f>
        <v>0</v>
      </c>
      <c r="BS102">
        <f>IF('06_Normalizacao'!T102="",0,1)</f>
        <v>0</v>
      </c>
      <c r="BT102">
        <f>IF('06_Normalizacao'!U102="",0,1)</f>
        <v>0</v>
      </c>
    </row>
    <row r="103" spans="1:72">
      <c r="A103" s="6" t="str">
        <f>'03_Base_Indice'!D103</f>
        <v/>
      </c>
      <c r="B103" t="str">
        <f>IFERROR(LOOKUP(2,1/ISNUMBER('03_Base_Indice'!$K103:K103),COLUMN('03_Base_Indice'!$K103:K103)-COLUMN('03_Base_Indice'!$K103)+1),"")</f>
        <v/>
      </c>
      <c r="C103" t="str">
        <f>IFERROR(LOOKUP(2,1/ISNUMBER('03_Base_Indice'!$K103:L103),COLUMN('03_Base_Indice'!$K103:L103)-COLUMN('03_Base_Indice'!$K103)+1),"")</f>
        <v/>
      </c>
      <c r="D103" t="str">
        <f>IFERROR(LOOKUP(2,1/ISNUMBER('03_Base_Indice'!$K103:M103),COLUMN('03_Base_Indice'!$K103:M103)-COLUMN('03_Base_Indice'!$K103)+1),"")</f>
        <v/>
      </c>
      <c r="E103" t="str">
        <f>IFERROR(LOOKUP(2,1/ISNUMBER('03_Base_Indice'!$K103:N103),COLUMN('03_Base_Indice'!$K103:N103)-COLUMN('03_Base_Indice'!$K103)+1),"")</f>
        <v/>
      </c>
      <c r="F103" t="str">
        <f>IFERROR(LOOKUP(2,1/ISNUMBER('03_Base_Indice'!$K103:O103),COLUMN('03_Base_Indice'!$K103:O103)-COLUMN('03_Base_Indice'!$K103)+1),"")</f>
        <v/>
      </c>
      <c r="G103" t="str">
        <f>IFERROR(LOOKUP(2,1/ISNUMBER('03_Base_Indice'!$K103:P103),COLUMN('03_Base_Indice'!$K103:P103)-COLUMN('03_Base_Indice'!$K103)+1),"")</f>
        <v/>
      </c>
      <c r="H103" t="str">
        <f>IFERROR(LOOKUP(2,1/ISNUMBER('03_Base_Indice'!$K103:Q103),COLUMN('03_Base_Indice'!$K103:Q103)-COLUMN('03_Base_Indice'!$K103)+1),"")</f>
        <v/>
      </c>
      <c r="I103" t="str">
        <f>IFERROR(LOOKUP(2,1/ISNUMBER('03_Base_Indice'!$K103:R103),COLUMN('03_Base_Indice'!$K103:R103)-COLUMN('03_Base_Indice'!$K103)+1),"")</f>
        <v/>
      </c>
      <c r="J103" t="str">
        <f>IFERROR(LOOKUP(2,1/ISNUMBER('03_Base_Indice'!$K103:S103),COLUMN('03_Base_Indice'!$K103:S103)-COLUMN('03_Base_Indice'!$K103)+1),"")</f>
        <v/>
      </c>
      <c r="K103" t="str">
        <f>IFERROR(LOOKUP(2,1/ISNUMBER('03_Base_Indice'!$K103:T103),COLUMN('03_Base_Indice'!$K103:T103)-COLUMN('03_Base_Indice'!$K103)+1),"")</f>
        <v/>
      </c>
      <c r="L103" t="str">
        <f>IFERROR(LOOKUP(2,1/ISNUMBER('03_Base_Indice'!$K103:U103),COLUMN('03_Base_Indice'!$K103:U103)-COLUMN('03_Base_Indice'!$K103)+1),"")</f>
        <v/>
      </c>
      <c r="N103" t="str">
        <f>IFERROR(MATCH(TRUE,INDEX(ISNUMBER('03_Base_Indice'!K103:$U103),0),0)+0,"")</f>
        <v/>
      </c>
      <c r="O103" t="str">
        <f>IFERROR(MATCH(TRUE,INDEX(ISNUMBER('03_Base_Indice'!L103:$U103),0),0)+1,"")</f>
        <v/>
      </c>
      <c r="P103" t="str">
        <f>IFERROR(MATCH(TRUE,INDEX(ISNUMBER('03_Base_Indice'!M103:$U103),0),0)+2,"")</f>
        <v/>
      </c>
      <c r="Q103" t="str">
        <f>IFERROR(MATCH(TRUE,INDEX(ISNUMBER('03_Base_Indice'!N103:$U103),0),0)+3,"")</f>
        <v/>
      </c>
      <c r="R103" t="str">
        <f>IFERROR(MATCH(TRUE,INDEX(ISNUMBER('03_Base_Indice'!O103:$U103),0),0)+4,"")</f>
        <v/>
      </c>
      <c r="S103" t="str">
        <f>IFERROR(MATCH(TRUE,INDEX(ISNUMBER('03_Base_Indice'!P103:$U103),0),0)+5,"")</f>
        <v/>
      </c>
      <c r="T103" t="str">
        <f>IFERROR(MATCH(TRUE,INDEX(ISNUMBER('03_Base_Indice'!Q103:$U103),0),0)+6,"")</f>
        <v/>
      </c>
      <c r="U103" t="str">
        <f>IFERROR(MATCH(TRUE,INDEX(ISNUMBER('03_Base_Indice'!R103:$U103),0),0)+7,"")</f>
        <v/>
      </c>
      <c r="V103" t="str">
        <f>IFERROR(MATCH(TRUE,INDEX(ISNUMBER('03_Base_Indice'!S103:$U103),0),0)+8,"")</f>
        <v/>
      </c>
      <c r="W103" t="str">
        <f>IFERROR(MATCH(TRUE,INDEX(ISNUMBER('03_Base_Indice'!T103:$U103),0),0)+9,"")</f>
        <v/>
      </c>
      <c r="X103" t="str">
        <f>IFERROR(MATCH(TRUE,INDEX(ISNUMBER('03_Base_Indice'!U103:$U103),0),0)+10,"")</f>
        <v/>
      </c>
      <c r="Z103" t="str">
        <f>IF(B103="","",INDEX('03_Base_Indice'!$K103:$U103,B103))</f>
        <v/>
      </c>
      <c r="AA103" t="str">
        <f>IF(C103="","",INDEX('03_Base_Indice'!$K103:$U103,C103))</f>
        <v/>
      </c>
      <c r="AB103" t="str">
        <f>IF(D103="","",INDEX('03_Base_Indice'!$K103:$U103,D103))</f>
        <v/>
      </c>
      <c r="AC103" t="str">
        <f>IF(E103="","",INDEX('03_Base_Indice'!$K103:$U103,E103))</f>
        <v/>
      </c>
      <c r="AD103" t="str">
        <f>IF(F103="","",INDEX('03_Base_Indice'!$K103:$U103,F103))</f>
        <v/>
      </c>
      <c r="AE103" t="str">
        <f>IF(G103="","",INDEX('03_Base_Indice'!$K103:$U103,G103))</f>
        <v/>
      </c>
      <c r="AF103" t="str">
        <f>IF(H103="","",INDEX('03_Base_Indice'!$K103:$U103,H103))</f>
        <v/>
      </c>
      <c r="AG103" t="str">
        <f>IF(I103="","",INDEX('03_Base_Indice'!$K103:$U103,I103))</f>
        <v/>
      </c>
      <c r="AH103" t="str">
        <f>IF(J103="","",INDEX('03_Base_Indice'!$K103:$U103,J103))</f>
        <v/>
      </c>
      <c r="AI103" t="str">
        <f>IF(K103="","",INDEX('03_Base_Indice'!$K103:$U103,K103))</f>
        <v/>
      </c>
      <c r="AJ103" t="str">
        <f>IF(L103="","",INDEX('03_Base_Indice'!$K103:$U103,L103))</f>
        <v/>
      </c>
      <c r="AL103" t="str">
        <f>IF(N103="","",INDEX('03_Base_Indice'!$K103:$U103,N103))</f>
        <v/>
      </c>
      <c r="AM103" t="str">
        <f>IF(O103="","",INDEX('03_Base_Indice'!$K103:$U103,O103))</f>
        <v/>
      </c>
      <c r="AN103" t="str">
        <f>IF(P103="","",INDEX('03_Base_Indice'!$K103:$U103,P103))</f>
        <v/>
      </c>
      <c r="AO103" t="str">
        <f>IF(Q103="","",INDEX('03_Base_Indice'!$K103:$U103,Q103))</f>
        <v/>
      </c>
      <c r="AP103" t="str">
        <f>IF(R103="","",INDEX('03_Base_Indice'!$K103:$U103,R103))</f>
        <v/>
      </c>
      <c r="AQ103" t="str">
        <f>IF(S103="","",INDEX('03_Base_Indice'!$K103:$U103,S103))</f>
        <v/>
      </c>
      <c r="AR103" t="str">
        <f>IF(T103="","",INDEX('03_Base_Indice'!$K103:$U103,T103))</f>
        <v/>
      </c>
      <c r="AS103" t="str">
        <f>IF(U103="","",INDEX('03_Base_Indice'!$K103:$U103,U103))</f>
        <v/>
      </c>
      <c r="AT103" t="str">
        <f>IF(V103="","",INDEX('03_Base_Indice'!$K103:$U103,V103))</f>
        <v/>
      </c>
      <c r="AU103" t="str">
        <f>IF(W103="","",INDEX('03_Base_Indice'!$K103:$U103,W103))</f>
        <v/>
      </c>
      <c r="AV103" t="str">
        <f>IF(X103="","",INDEX('03_Base_Indice'!$K103:$U103,X103))</f>
        <v/>
      </c>
      <c r="AX103">
        <f>IF('06_Normalizacao'!K103="",0,'06_Normalizacao'!K103)</f>
        <v>0</v>
      </c>
      <c r="AY103">
        <f>IF('06_Normalizacao'!L103="",0,'06_Normalizacao'!L103)</f>
        <v>0</v>
      </c>
      <c r="AZ103">
        <f>IF('06_Normalizacao'!M103="",0,'06_Normalizacao'!M103)</f>
        <v>0</v>
      </c>
      <c r="BA103">
        <f>IF('06_Normalizacao'!N103="",0,'06_Normalizacao'!N103)</f>
        <v>0</v>
      </c>
      <c r="BB103">
        <f>IF('06_Normalizacao'!O103="",0,'06_Normalizacao'!O103)</f>
        <v>0</v>
      </c>
      <c r="BC103">
        <f>IF('06_Normalizacao'!P103="",0,'06_Normalizacao'!P103)</f>
        <v>0</v>
      </c>
      <c r="BD103">
        <f>IF('06_Normalizacao'!Q103="",0,'06_Normalizacao'!Q103)</f>
        <v>0</v>
      </c>
      <c r="BE103">
        <f>IF('06_Normalizacao'!R103="",0,'06_Normalizacao'!R103)</f>
        <v>0</v>
      </c>
      <c r="BF103">
        <f>IF('06_Normalizacao'!S103="",0,'06_Normalizacao'!S103)</f>
        <v>0</v>
      </c>
      <c r="BG103">
        <f>IF('06_Normalizacao'!T103="",0,'06_Normalizacao'!T103)</f>
        <v>0</v>
      </c>
      <c r="BH103">
        <f>IF('06_Normalizacao'!U103="",0,'06_Normalizacao'!U103)</f>
        <v>0</v>
      </c>
      <c r="BJ103">
        <f>IF('06_Normalizacao'!K103="",0,1)</f>
        <v>0</v>
      </c>
      <c r="BK103">
        <f>IF('06_Normalizacao'!L103="",0,1)</f>
        <v>0</v>
      </c>
      <c r="BL103">
        <f>IF('06_Normalizacao'!M103="",0,1)</f>
        <v>0</v>
      </c>
      <c r="BM103">
        <f>IF('06_Normalizacao'!N103="",0,1)</f>
        <v>0</v>
      </c>
      <c r="BN103">
        <f>IF('06_Normalizacao'!O103="",0,1)</f>
        <v>0</v>
      </c>
      <c r="BO103">
        <f>IF('06_Normalizacao'!P103="",0,1)</f>
        <v>0</v>
      </c>
      <c r="BP103">
        <f>IF('06_Normalizacao'!Q103="",0,1)</f>
        <v>0</v>
      </c>
      <c r="BQ103">
        <f>IF('06_Normalizacao'!R103="",0,1)</f>
        <v>0</v>
      </c>
      <c r="BR103">
        <f>IF('06_Normalizacao'!S103="",0,1)</f>
        <v>0</v>
      </c>
      <c r="BS103">
        <f>IF('06_Normalizacao'!T103="",0,1)</f>
        <v>0</v>
      </c>
      <c r="BT103">
        <f>IF('06_Normalizacao'!U103="",0,1)</f>
        <v>0</v>
      </c>
    </row>
    <row r="104" spans="1:72">
      <c r="A104" s="6" t="str">
        <f>'03_Base_Indice'!D104</f>
        <v/>
      </c>
      <c r="B104" t="str">
        <f>IFERROR(LOOKUP(2,1/ISNUMBER('03_Base_Indice'!$K104:K104),COLUMN('03_Base_Indice'!$K104:K104)-COLUMN('03_Base_Indice'!$K104)+1),"")</f>
        <v/>
      </c>
      <c r="C104" t="str">
        <f>IFERROR(LOOKUP(2,1/ISNUMBER('03_Base_Indice'!$K104:L104),COLUMN('03_Base_Indice'!$K104:L104)-COLUMN('03_Base_Indice'!$K104)+1),"")</f>
        <v/>
      </c>
      <c r="D104" t="str">
        <f>IFERROR(LOOKUP(2,1/ISNUMBER('03_Base_Indice'!$K104:M104),COLUMN('03_Base_Indice'!$K104:M104)-COLUMN('03_Base_Indice'!$K104)+1),"")</f>
        <v/>
      </c>
      <c r="E104" t="str">
        <f>IFERROR(LOOKUP(2,1/ISNUMBER('03_Base_Indice'!$K104:N104),COLUMN('03_Base_Indice'!$K104:N104)-COLUMN('03_Base_Indice'!$K104)+1),"")</f>
        <v/>
      </c>
      <c r="F104" t="str">
        <f>IFERROR(LOOKUP(2,1/ISNUMBER('03_Base_Indice'!$K104:O104),COLUMN('03_Base_Indice'!$K104:O104)-COLUMN('03_Base_Indice'!$K104)+1),"")</f>
        <v/>
      </c>
      <c r="G104" t="str">
        <f>IFERROR(LOOKUP(2,1/ISNUMBER('03_Base_Indice'!$K104:P104),COLUMN('03_Base_Indice'!$K104:P104)-COLUMN('03_Base_Indice'!$K104)+1),"")</f>
        <v/>
      </c>
      <c r="H104" t="str">
        <f>IFERROR(LOOKUP(2,1/ISNUMBER('03_Base_Indice'!$K104:Q104),COLUMN('03_Base_Indice'!$K104:Q104)-COLUMN('03_Base_Indice'!$K104)+1),"")</f>
        <v/>
      </c>
      <c r="I104" t="str">
        <f>IFERROR(LOOKUP(2,1/ISNUMBER('03_Base_Indice'!$K104:R104),COLUMN('03_Base_Indice'!$K104:R104)-COLUMN('03_Base_Indice'!$K104)+1),"")</f>
        <v/>
      </c>
      <c r="J104" t="str">
        <f>IFERROR(LOOKUP(2,1/ISNUMBER('03_Base_Indice'!$K104:S104),COLUMN('03_Base_Indice'!$K104:S104)-COLUMN('03_Base_Indice'!$K104)+1),"")</f>
        <v/>
      </c>
      <c r="K104" t="str">
        <f>IFERROR(LOOKUP(2,1/ISNUMBER('03_Base_Indice'!$K104:T104),COLUMN('03_Base_Indice'!$K104:T104)-COLUMN('03_Base_Indice'!$K104)+1),"")</f>
        <v/>
      </c>
      <c r="L104" t="str">
        <f>IFERROR(LOOKUP(2,1/ISNUMBER('03_Base_Indice'!$K104:U104),COLUMN('03_Base_Indice'!$K104:U104)-COLUMN('03_Base_Indice'!$K104)+1),"")</f>
        <v/>
      </c>
      <c r="N104" t="str">
        <f>IFERROR(MATCH(TRUE,INDEX(ISNUMBER('03_Base_Indice'!K104:$U104),0),0)+0,"")</f>
        <v/>
      </c>
      <c r="O104" t="str">
        <f>IFERROR(MATCH(TRUE,INDEX(ISNUMBER('03_Base_Indice'!L104:$U104),0),0)+1,"")</f>
        <v/>
      </c>
      <c r="P104" t="str">
        <f>IFERROR(MATCH(TRUE,INDEX(ISNUMBER('03_Base_Indice'!M104:$U104),0),0)+2,"")</f>
        <v/>
      </c>
      <c r="Q104" t="str">
        <f>IFERROR(MATCH(TRUE,INDEX(ISNUMBER('03_Base_Indice'!N104:$U104),0),0)+3,"")</f>
        <v/>
      </c>
      <c r="R104" t="str">
        <f>IFERROR(MATCH(TRUE,INDEX(ISNUMBER('03_Base_Indice'!O104:$U104),0),0)+4,"")</f>
        <v/>
      </c>
      <c r="S104" t="str">
        <f>IFERROR(MATCH(TRUE,INDEX(ISNUMBER('03_Base_Indice'!P104:$U104),0),0)+5,"")</f>
        <v/>
      </c>
      <c r="T104" t="str">
        <f>IFERROR(MATCH(TRUE,INDEX(ISNUMBER('03_Base_Indice'!Q104:$U104),0),0)+6,"")</f>
        <v/>
      </c>
      <c r="U104" t="str">
        <f>IFERROR(MATCH(TRUE,INDEX(ISNUMBER('03_Base_Indice'!R104:$U104),0),0)+7,"")</f>
        <v/>
      </c>
      <c r="V104" t="str">
        <f>IFERROR(MATCH(TRUE,INDEX(ISNUMBER('03_Base_Indice'!S104:$U104),0),0)+8,"")</f>
        <v/>
      </c>
      <c r="W104" t="str">
        <f>IFERROR(MATCH(TRUE,INDEX(ISNUMBER('03_Base_Indice'!T104:$U104),0),0)+9,"")</f>
        <v/>
      </c>
      <c r="X104" t="str">
        <f>IFERROR(MATCH(TRUE,INDEX(ISNUMBER('03_Base_Indice'!U104:$U104),0),0)+10,"")</f>
        <v/>
      </c>
      <c r="Z104" t="str">
        <f>IF(B104="","",INDEX('03_Base_Indice'!$K104:$U104,B104))</f>
        <v/>
      </c>
      <c r="AA104" t="str">
        <f>IF(C104="","",INDEX('03_Base_Indice'!$K104:$U104,C104))</f>
        <v/>
      </c>
      <c r="AB104" t="str">
        <f>IF(D104="","",INDEX('03_Base_Indice'!$K104:$U104,D104))</f>
        <v/>
      </c>
      <c r="AC104" t="str">
        <f>IF(E104="","",INDEX('03_Base_Indice'!$K104:$U104,E104))</f>
        <v/>
      </c>
      <c r="AD104" t="str">
        <f>IF(F104="","",INDEX('03_Base_Indice'!$K104:$U104,F104))</f>
        <v/>
      </c>
      <c r="AE104" t="str">
        <f>IF(G104="","",INDEX('03_Base_Indice'!$K104:$U104,G104))</f>
        <v/>
      </c>
      <c r="AF104" t="str">
        <f>IF(H104="","",INDEX('03_Base_Indice'!$K104:$U104,H104))</f>
        <v/>
      </c>
      <c r="AG104" t="str">
        <f>IF(I104="","",INDEX('03_Base_Indice'!$K104:$U104,I104))</f>
        <v/>
      </c>
      <c r="AH104" t="str">
        <f>IF(J104="","",INDEX('03_Base_Indice'!$K104:$U104,J104))</f>
        <v/>
      </c>
      <c r="AI104" t="str">
        <f>IF(K104="","",INDEX('03_Base_Indice'!$K104:$U104,K104))</f>
        <v/>
      </c>
      <c r="AJ104" t="str">
        <f>IF(L104="","",INDEX('03_Base_Indice'!$K104:$U104,L104))</f>
        <v/>
      </c>
      <c r="AL104" t="str">
        <f>IF(N104="","",INDEX('03_Base_Indice'!$K104:$U104,N104))</f>
        <v/>
      </c>
      <c r="AM104" t="str">
        <f>IF(O104="","",INDEX('03_Base_Indice'!$K104:$U104,O104))</f>
        <v/>
      </c>
      <c r="AN104" t="str">
        <f>IF(P104="","",INDEX('03_Base_Indice'!$K104:$U104,P104))</f>
        <v/>
      </c>
      <c r="AO104" t="str">
        <f>IF(Q104="","",INDEX('03_Base_Indice'!$K104:$U104,Q104))</f>
        <v/>
      </c>
      <c r="AP104" t="str">
        <f>IF(R104="","",INDEX('03_Base_Indice'!$K104:$U104,R104))</f>
        <v/>
      </c>
      <c r="AQ104" t="str">
        <f>IF(S104="","",INDEX('03_Base_Indice'!$K104:$U104,S104))</f>
        <v/>
      </c>
      <c r="AR104" t="str">
        <f>IF(T104="","",INDEX('03_Base_Indice'!$K104:$U104,T104))</f>
        <v/>
      </c>
      <c r="AS104" t="str">
        <f>IF(U104="","",INDEX('03_Base_Indice'!$K104:$U104,U104))</f>
        <v/>
      </c>
      <c r="AT104" t="str">
        <f>IF(V104="","",INDEX('03_Base_Indice'!$K104:$U104,V104))</f>
        <v/>
      </c>
      <c r="AU104" t="str">
        <f>IF(W104="","",INDEX('03_Base_Indice'!$K104:$U104,W104))</f>
        <v/>
      </c>
      <c r="AV104" t="str">
        <f>IF(X104="","",INDEX('03_Base_Indice'!$K104:$U104,X104))</f>
        <v/>
      </c>
      <c r="AX104">
        <f>IF('06_Normalizacao'!K104="",0,'06_Normalizacao'!K104)</f>
        <v>0</v>
      </c>
      <c r="AY104">
        <f>IF('06_Normalizacao'!L104="",0,'06_Normalizacao'!L104)</f>
        <v>0</v>
      </c>
      <c r="AZ104">
        <f>IF('06_Normalizacao'!M104="",0,'06_Normalizacao'!M104)</f>
        <v>0</v>
      </c>
      <c r="BA104">
        <f>IF('06_Normalizacao'!N104="",0,'06_Normalizacao'!N104)</f>
        <v>0</v>
      </c>
      <c r="BB104">
        <f>IF('06_Normalizacao'!O104="",0,'06_Normalizacao'!O104)</f>
        <v>0</v>
      </c>
      <c r="BC104">
        <f>IF('06_Normalizacao'!P104="",0,'06_Normalizacao'!P104)</f>
        <v>0</v>
      </c>
      <c r="BD104">
        <f>IF('06_Normalizacao'!Q104="",0,'06_Normalizacao'!Q104)</f>
        <v>0</v>
      </c>
      <c r="BE104">
        <f>IF('06_Normalizacao'!R104="",0,'06_Normalizacao'!R104)</f>
        <v>0</v>
      </c>
      <c r="BF104">
        <f>IF('06_Normalizacao'!S104="",0,'06_Normalizacao'!S104)</f>
        <v>0</v>
      </c>
      <c r="BG104">
        <f>IF('06_Normalizacao'!T104="",0,'06_Normalizacao'!T104)</f>
        <v>0</v>
      </c>
      <c r="BH104">
        <f>IF('06_Normalizacao'!U104="",0,'06_Normalizacao'!U104)</f>
        <v>0</v>
      </c>
      <c r="BJ104">
        <f>IF('06_Normalizacao'!K104="",0,1)</f>
        <v>0</v>
      </c>
      <c r="BK104">
        <f>IF('06_Normalizacao'!L104="",0,1)</f>
        <v>0</v>
      </c>
      <c r="BL104">
        <f>IF('06_Normalizacao'!M104="",0,1)</f>
        <v>0</v>
      </c>
      <c r="BM104">
        <f>IF('06_Normalizacao'!N104="",0,1)</f>
        <v>0</v>
      </c>
      <c r="BN104">
        <f>IF('06_Normalizacao'!O104="",0,1)</f>
        <v>0</v>
      </c>
      <c r="BO104">
        <f>IF('06_Normalizacao'!P104="",0,1)</f>
        <v>0</v>
      </c>
      <c r="BP104">
        <f>IF('06_Normalizacao'!Q104="",0,1)</f>
        <v>0</v>
      </c>
      <c r="BQ104">
        <f>IF('06_Normalizacao'!R104="",0,1)</f>
        <v>0</v>
      </c>
      <c r="BR104">
        <f>IF('06_Normalizacao'!S104="",0,1)</f>
        <v>0</v>
      </c>
      <c r="BS104">
        <f>IF('06_Normalizacao'!T104="",0,1)</f>
        <v>0</v>
      </c>
      <c r="BT104">
        <f>IF('06_Normalizacao'!U104="",0,1)</f>
        <v>0</v>
      </c>
    </row>
    <row r="105" spans="1:72">
      <c r="A105" s="6" t="str">
        <f>'03_Base_Indice'!D105</f>
        <v/>
      </c>
      <c r="B105" t="str">
        <f>IFERROR(LOOKUP(2,1/ISNUMBER('03_Base_Indice'!$K105:K105),COLUMN('03_Base_Indice'!$K105:K105)-COLUMN('03_Base_Indice'!$K105)+1),"")</f>
        <v/>
      </c>
      <c r="C105" t="str">
        <f>IFERROR(LOOKUP(2,1/ISNUMBER('03_Base_Indice'!$K105:L105),COLUMN('03_Base_Indice'!$K105:L105)-COLUMN('03_Base_Indice'!$K105)+1),"")</f>
        <v/>
      </c>
      <c r="D105" t="str">
        <f>IFERROR(LOOKUP(2,1/ISNUMBER('03_Base_Indice'!$K105:M105),COLUMN('03_Base_Indice'!$K105:M105)-COLUMN('03_Base_Indice'!$K105)+1),"")</f>
        <v/>
      </c>
      <c r="E105" t="str">
        <f>IFERROR(LOOKUP(2,1/ISNUMBER('03_Base_Indice'!$K105:N105),COLUMN('03_Base_Indice'!$K105:N105)-COLUMN('03_Base_Indice'!$K105)+1),"")</f>
        <v/>
      </c>
      <c r="F105" t="str">
        <f>IFERROR(LOOKUP(2,1/ISNUMBER('03_Base_Indice'!$K105:O105),COLUMN('03_Base_Indice'!$K105:O105)-COLUMN('03_Base_Indice'!$K105)+1),"")</f>
        <v/>
      </c>
      <c r="G105" t="str">
        <f>IFERROR(LOOKUP(2,1/ISNUMBER('03_Base_Indice'!$K105:P105),COLUMN('03_Base_Indice'!$K105:P105)-COLUMN('03_Base_Indice'!$K105)+1),"")</f>
        <v/>
      </c>
      <c r="H105" t="str">
        <f>IFERROR(LOOKUP(2,1/ISNUMBER('03_Base_Indice'!$K105:Q105),COLUMN('03_Base_Indice'!$K105:Q105)-COLUMN('03_Base_Indice'!$K105)+1),"")</f>
        <v/>
      </c>
      <c r="I105" t="str">
        <f>IFERROR(LOOKUP(2,1/ISNUMBER('03_Base_Indice'!$K105:R105),COLUMN('03_Base_Indice'!$K105:R105)-COLUMN('03_Base_Indice'!$K105)+1),"")</f>
        <v/>
      </c>
      <c r="J105" t="str">
        <f>IFERROR(LOOKUP(2,1/ISNUMBER('03_Base_Indice'!$K105:S105),COLUMN('03_Base_Indice'!$K105:S105)-COLUMN('03_Base_Indice'!$K105)+1),"")</f>
        <v/>
      </c>
      <c r="K105" t="str">
        <f>IFERROR(LOOKUP(2,1/ISNUMBER('03_Base_Indice'!$K105:T105),COLUMN('03_Base_Indice'!$K105:T105)-COLUMN('03_Base_Indice'!$K105)+1),"")</f>
        <v/>
      </c>
      <c r="L105" t="str">
        <f>IFERROR(LOOKUP(2,1/ISNUMBER('03_Base_Indice'!$K105:U105),COLUMN('03_Base_Indice'!$K105:U105)-COLUMN('03_Base_Indice'!$K105)+1),"")</f>
        <v/>
      </c>
      <c r="N105" t="str">
        <f>IFERROR(MATCH(TRUE,INDEX(ISNUMBER('03_Base_Indice'!K105:$U105),0),0)+0,"")</f>
        <v/>
      </c>
      <c r="O105" t="str">
        <f>IFERROR(MATCH(TRUE,INDEX(ISNUMBER('03_Base_Indice'!L105:$U105),0),0)+1,"")</f>
        <v/>
      </c>
      <c r="P105" t="str">
        <f>IFERROR(MATCH(TRUE,INDEX(ISNUMBER('03_Base_Indice'!M105:$U105),0),0)+2,"")</f>
        <v/>
      </c>
      <c r="Q105" t="str">
        <f>IFERROR(MATCH(TRUE,INDEX(ISNUMBER('03_Base_Indice'!N105:$U105),0),0)+3,"")</f>
        <v/>
      </c>
      <c r="R105" t="str">
        <f>IFERROR(MATCH(TRUE,INDEX(ISNUMBER('03_Base_Indice'!O105:$U105),0),0)+4,"")</f>
        <v/>
      </c>
      <c r="S105" t="str">
        <f>IFERROR(MATCH(TRUE,INDEX(ISNUMBER('03_Base_Indice'!P105:$U105),0),0)+5,"")</f>
        <v/>
      </c>
      <c r="T105" t="str">
        <f>IFERROR(MATCH(TRUE,INDEX(ISNUMBER('03_Base_Indice'!Q105:$U105),0),0)+6,"")</f>
        <v/>
      </c>
      <c r="U105" t="str">
        <f>IFERROR(MATCH(TRUE,INDEX(ISNUMBER('03_Base_Indice'!R105:$U105),0),0)+7,"")</f>
        <v/>
      </c>
      <c r="V105" t="str">
        <f>IFERROR(MATCH(TRUE,INDEX(ISNUMBER('03_Base_Indice'!S105:$U105),0),0)+8,"")</f>
        <v/>
      </c>
      <c r="W105" t="str">
        <f>IFERROR(MATCH(TRUE,INDEX(ISNUMBER('03_Base_Indice'!T105:$U105),0),0)+9,"")</f>
        <v/>
      </c>
      <c r="X105" t="str">
        <f>IFERROR(MATCH(TRUE,INDEX(ISNUMBER('03_Base_Indice'!U105:$U105),0),0)+10,"")</f>
        <v/>
      </c>
      <c r="Z105" t="str">
        <f>IF(B105="","",INDEX('03_Base_Indice'!$K105:$U105,B105))</f>
        <v/>
      </c>
      <c r="AA105" t="str">
        <f>IF(C105="","",INDEX('03_Base_Indice'!$K105:$U105,C105))</f>
        <v/>
      </c>
      <c r="AB105" t="str">
        <f>IF(D105="","",INDEX('03_Base_Indice'!$K105:$U105,D105))</f>
        <v/>
      </c>
      <c r="AC105" t="str">
        <f>IF(E105="","",INDEX('03_Base_Indice'!$K105:$U105,E105))</f>
        <v/>
      </c>
      <c r="AD105" t="str">
        <f>IF(F105="","",INDEX('03_Base_Indice'!$K105:$U105,F105))</f>
        <v/>
      </c>
      <c r="AE105" t="str">
        <f>IF(G105="","",INDEX('03_Base_Indice'!$K105:$U105,G105))</f>
        <v/>
      </c>
      <c r="AF105" t="str">
        <f>IF(H105="","",INDEX('03_Base_Indice'!$K105:$U105,H105))</f>
        <v/>
      </c>
      <c r="AG105" t="str">
        <f>IF(I105="","",INDEX('03_Base_Indice'!$K105:$U105,I105))</f>
        <v/>
      </c>
      <c r="AH105" t="str">
        <f>IF(J105="","",INDEX('03_Base_Indice'!$K105:$U105,J105))</f>
        <v/>
      </c>
      <c r="AI105" t="str">
        <f>IF(K105="","",INDEX('03_Base_Indice'!$K105:$U105,K105))</f>
        <v/>
      </c>
      <c r="AJ105" t="str">
        <f>IF(L105="","",INDEX('03_Base_Indice'!$K105:$U105,L105))</f>
        <v/>
      </c>
      <c r="AL105" t="str">
        <f>IF(N105="","",INDEX('03_Base_Indice'!$K105:$U105,N105))</f>
        <v/>
      </c>
      <c r="AM105" t="str">
        <f>IF(O105="","",INDEX('03_Base_Indice'!$K105:$U105,O105))</f>
        <v/>
      </c>
      <c r="AN105" t="str">
        <f>IF(P105="","",INDEX('03_Base_Indice'!$K105:$U105,P105))</f>
        <v/>
      </c>
      <c r="AO105" t="str">
        <f>IF(Q105="","",INDEX('03_Base_Indice'!$K105:$U105,Q105))</f>
        <v/>
      </c>
      <c r="AP105" t="str">
        <f>IF(R105="","",INDEX('03_Base_Indice'!$K105:$U105,R105))</f>
        <v/>
      </c>
      <c r="AQ105" t="str">
        <f>IF(S105="","",INDEX('03_Base_Indice'!$K105:$U105,S105))</f>
        <v/>
      </c>
      <c r="AR105" t="str">
        <f>IF(T105="","",INDEX('03_Base_Indice'!$K105:$U105,T105))</f>
        <v/>
      </c>
      <c r="AS105" t="str">
        <f>IF(U105="","",INDEX('03_Base_Indice'!$K105:$U105,U105))</f>
        <v/>
      </c>
      <c r="AT105" t="str">
        <f>IF(V105="","",INDEX('03_Base_Indice'!$K105:$U105,V105))</f>
        <v/>
      </c>
      <c r="AU105" t="str">
        <f>IF(W105="","",INDEX('03_Base_Indice'!$K105:$U105,W105))</f>
        <v/>
      </c>
      <c r="AV105" t="str">
        <f>IF(X105="","",INDEX('03_Base_Indice'!$K105:$U105,X105))</f>
        <v/>
      </c>
      <c r="AX105">
        <f>IF('06_Normalizacao'!K105="",0,'06_Normalizacao'!K105)</f>
        <v>0</v>
      </c>
      <c r="AY105">
        <f>IF('06_Normalizacao'!L105="",0,'06_Normalizacao'!L105)</f>
        <v>0</v>
      </c>
      <c r="AZ105">
        <f>IF('06_Normalizacao'!M105="",0,'06_Normalizacao'!M105)</f>
        <v>0</v>
      </c>
      <c r="BA105">
        <f>IF('06_Normalizacao'!N105="",0,'06_Normalizacao'!N105)</f>
        <v>0</v>
      </c>
      <c r="BB105">
        <f>IF('06_Normalizacao'!O105="",0,'06_Normalizacao'!O105)</f>
        <v>0</v>
      </c>
      <c r="BC105">
        <f>IF('06_Normalizacao'!P105="",0,'06_Normalizacao'!P105)</f>
        <v>0</v>
      </c>
      <c r="BD105">
        <f>IF('06_Normalizacao'!Q105="",0,'06_Normalizacao'!Q105)</f>
        <v>0</v>
      </c>
      <c r="BE105">
        <f>IF('06_Normalizacao'!R105="",0,'06_Normalizacao'!R105)</f>
        <v>0</v>
      </c>
      <c r="BF105">
        <f>IF('06_Normalizacao'!S105="",0,'06_Normalizacao'!S105)</f>
        <v>0</v>
      </c>
      <c r="BG105">
        <f>IF('06_Normalizacao'!T105="",0,'06_Normalizacao'!T105)</f>
        <v>0</v>
      </c>
      <c r="BH105">
        <f>IF('06_Normalizacao'!U105="",0,'06_Normalizacao'!U105)</f>
        <v>0</v>
      </c>
      <c r="BJ105">
        <f>IF('06_Normalizacao'!K105="",0,1)</f>
        <v>0</v>
      </c>
      <c r="BK105">
        <f>IF('06_Normalizacao'!L105="",0,1)</f>
        <v>0</v>
      </c>
      <c r="BL105">
        <f>IF('06_Normalizacao'!M105="",0,1)</f>
        <v>0</v>
      </c>
      <c r="BM105">
        <f>IF('06_Normalizacao'!N105="",0,1)</f>
        <v>0</v>
      </c>
      <c r="BN105">
        <f>IF('06_Normalizacao'!O105="",0,1)</f>
        <v>0</v>
      </c>
      <c r="BO105">
        <f>IF('06_Normalizacao'!P105="",0,1)</f>
        <v>0</v>
      </c>
      <c r="BP105">
        <f>IF('06_Normalizacao'!Q105="",0,1)</f>
        <v>0</v>
      </c>
      <c r="BQ105">
        <f>IF('06_Normalizacao'!R105="",0,1)</f>
        <v>0</v>
      </c>
      <c r="BR105">
        <f>IF('06_Normalizacao'!S105="",0,1)</f>
        <v>0</v>
      </c>
      <c r="BS105">
        <f>IF('06_Normalizacao'!T105="",0,1)</f>
        <v>0</v>
      </c>
      <c r="BT105">
        <f>IF('06_Normalizacao'!U105="",0,1)</f>
        <v>0</v>
      </c>
    </row>
    <row r="106" spans="1:72">
      <c r="A106" s="6" t="str">
        <f>'03_Base_Indice'!D106</f>
        <v/>
      </c>
      <c r="B106" t="str">
        <f>IFERROR(LOOKUP(2,1/ISNUMBER('03_Base_Indice'!$K106:K106),COLUMN('03_Base_Indice'!$K106:K106)-COLUMN('03_Base_Indice'!$K106)+1),"")</f>
        <v/>
      </c>
      <c r="C106" t="str">
        <f>IFERROR(LOOKUP(2,1/ISNUMBER('03_Base_Indice'!$K106:L106),COLUMN('03_Base_Indice'!$K106:L106)-COLUMN('03_Base_Indice'!$K106)+1),"")</f>
        <v/>
      </c>
      <c r="D106" t="str">
        <f>IFERROR(LOOKUP(2,1/ISNUMBER('03_Base_Indice'!$K106:M106),COLUMN('03_Base_Indice'!$K106:M106)-COLUMN('03_Base_Indice'!$K106)+1),"")</f>
        <v/>
      </c>
      <c r="E106" t="str">
        <f>IFERROR(LOOKUP(2,1/ISNUMBER('03_Base_Indice'!$K106:N106),COLUMN('03_Base_Indice'!$K106:N106)-COLUMN('03_Base_Indice'!$K106)+1),"")</f>
        <v/>
      </c>
      <c r="F106" t="str">
        <f>IFERROR(LOOKUP(2,1/ISNUMBER('03_Base_Indice'!$K106:O106),COLUMN('03_Base_Indice'!$K106:O106)-COLUMN('03_Base_Indice'!$K106)+1),"")</f>
        <v/>
      </c>
      <c r="G106" t="str">
        <f>IFERROR(LOOKUP(2,1/ISNUMBER('03_Base_Indice'!$K106:P106),COLUMN('03_Base_Indice'!$K106:P106)-COLUMN('03_Base_Indice'!$K106)+1),"")</f>
        <v/>
      </c>
      <c r="H106" t="str">
        <f>IFERROR(LOOKUP(2,1/ISNUMBER('03_Base_Indice'!$K106:Q106),COLUMN('03_Base_Indice'!$K106:Q106)-COLUMN('03_Base_Indice'!$K106)+1),"")</f>
        <v/>
      </c>
      <c r="I106" t="str">
        <f>IFERROR(LOOKUP(2,1/ISNUMBER('03_Base_Indice'!$K106:R106),COLUMN('03_Base_Indice'!$K106:R106)-COLUMN('03_Base_Indice'!$K106)+1),"")</f>
        <v/>
      </c>
      <c r="J106" t="str">
        <f>IFERROR(LOOKUP(2,1/ISNUMBER('03_Base_Indice'!$K106:S106),COLUMN('03_Base_Indice'!$K106:S106)-COLUMN('03_Base_Indice'!$K106)+1),"")</f>
        <v/>
      </c>
      <c r="K106" t="str">
        <f>IFERROR(LOOKUP(2,1/ISNUMBER('03_Base_Indice'!$K106:T106),COLUMN('03_Base_Indice'!$K106:T106)-COLUMN('03_Base_Indice'!$K106)+1),"")</f>
        <v/>
      </c>
      <c r="L106" t="str">
        <f>IFERROR(LOOKUP(2,1/ISNUMBER('03_Base_Indice'!$K106:U106),COLUMN('03_Base_Indice'!$K106:U106)-COLUMN('03_Base_Indice'!$K106)+1),"")</f>
        <v/>
      </c>
      <c r="N106" t="str">
        <f>IFERROR(MATCH(TRUE,INDEX(ISNUMBER('03_Base_Indice'!K106:$U106),0),0)+0,"")</f>
        <v/>
      </c>
      <c r="O106" t="str">
        <f>IFERROR(MATCH(TRUE,INDEX(ISNUMBER('03_Base_Indice'!L106:$U106),0),0)+1,"")</f>
        <v/>
      </c>
      <c r="P106" t="str">
        <f>IFERROR(MATCH(TRUE,INDEX(ISNUMBER('03_Base_Indice'!M106:$U106),0),0)+2,"")</f>
        <v/>
      </c>
      <c r="Q106" t="str">
        <f>IFERROR(MATCH(TRUE,INDEX(ISNUMBER('03_Base_Indice'!N106:$U106),0),0)+3,"")</f>
        <v/>
      </c>
      <c r="R106" t="str">
        <f>IFERROR(MATCH(TRUE,INDEX(ISNUMBER('03_Base_Indice'!O106:$U106),0),0)+4,"")</f>
        <v/>
      </c>
      <c r="S106" t="str">
        <f>IFERROR(MATCH(TRUE,INDEX(ISNUMBER('03_Base_Indice'!P106:$U106),0),0)+5,"")</f>
        <v/>
      </c>
      <c r="T106" t="str">
        <f>IFERROR(MATCH(TRUE,INDEX(ISNUMBER('03_Base_Indice'!Q106:$U106),0),0)+6,"")</f>
        <v/>
      </c>
      <c r="U106" t="str">
        <f>IFERROR(MATCH(TRUE,INDEX(ISNUMBER('03_Base_Indice'!R106:$U106),0),0)+7,"")</f>
        <v/>
      </c>
      <c r="V106" t="str">
        <f>IFERROR(MATCH(TRUE,INDEX(ISNUMBER('03_Base_Indice'!S106:$U106),0),0)+8,"")</f>
        <v/>
      </c>
      <c r="W106" t="str">
        <f>IFERROR(MATCH(TRUE,INDEX(ISNUMBER('03_Base_Indice'!T106:$U106),0),0)+9,"")</f>
        <v/>
      </c>
      <c r="X106" t="str">
        <f>IFERROR(MATCH(TRUE,INDEX(ISNUMBER('03_Base_Indice'!U106:$U106),0),0)+10,"")</f>
        <v/>
      </c>
      <c r="Z106" t="str">
        <f>IF(B106="","",INDEX('03_Base_Indice'!$K106:$U106,B106))</f>
        <v/>
      </c>
      <c r="AA106" t="str">
        <f>IF(C106="","",INDEX('03_Base_Indice'!$K106:$U106,C106))</f>
        <v/>
      </c>
      <c r="AB106" t="str">
        <f>IF(D106="","",INDEX('03_Base_Indice'!$K106:$U106,D106))</f>
        <v/>
      </c>
      <c r="AC106" t="str">
        <f>IF(E106="","",INDEX('03_Base_Indice'!$K106:$U106,E106))</f>
        <v/>
      </c>
      <c r="AD106" t="str">
        <f>IF(F106="","",INDEX('03_Base_Indice'!$K106:$U106,F106))</f>
        <v/>
      </c>
      <c r="AE106" t="str">
        <f>IF(G106="","",INDEX('03_Base_Indice'!$K106:$U106,G106))</f>
        <v/>
      </c>
      <c r="AF106" t="str">
        <f>IF(H106="","",INDEX('03_Base_Indice'!$K106:$U106,H106))</f>
        <v/>
      </c>
      <c r="AG106" t="str">
        <f>IF(I106="","",INDEX('03_Base_Indice'!$K106:$U106,I106))</f>
        <v/>
      </c>
      <c r="AH106" t="str">
        <f>IF(J106="","",INDEX('03_Base_Indice'!$K106:$U106,J106))</f>
        <v/>
      </c>
      <c r="AI106" t="str">
        <f>IF(K106="","",INDEX('03_Base_Indice'!$K106:$U106,K106))</f>
        <v/>
      </c>
      <c r="AJ106" t="str">
        <f>IF(L106="","",INDEX('03_Base_Indice'!$K106:$U106,L106))</f>
        <v/>
      </c>
      <c r="AL106" t="str">
        <f>IF(N106="","",INDEX('03_Base_Indice'!$K106:$U106,N106))</f>
        <v/>
      </c>
      <c r="AM106" t="str">
        <f>IF(O106="","",INDEX('03_Base_Indice'!$K106:$U106,O106))</f>
        <v/>
      </c>
      <c r="AN106" t="str">
        <f>IF(P106="","",INDEX('03_Base_Indice'!$K106:$U106,P106))</f>
        <v/>
      </c>
      <c r="AO106" t="str">
        <f>IF(Q106="","",INDEX('03_Base_Indice'!$K106:$U106,Q106))</f>
        <v/>
      </c>
      <c r="AP106" t="str">
        <f>IF(R106="","",INDEX('03_Base_Indice'!$K106:$U106,R106))</f>
        <v/>
      </c>
      <c r="AQ106" t="str">
        <f>IF(S106="","",INDEX('03_Base_Indice'!$K106:$U106,S106))</f>
        <v/>
      </c>
      <c r="AR106" t="str">
        <f>IF(T106="","",INDEX('03_Base_Indice'!$K106:$U106,T106))</f>
        <v/>
      </c>
      <c r="AS106" t="str">
        <f>IF(U106="","",INDEX('03_Base_Indice'!$K106:$U106,U106))</f>
        <v/>
      </c>
      <c r="AT106" t="str">
        <f>IF(V106="","",INDEX('03_Base_Indice'!$K106:$U106,V106))</f>
        <v/>
      </c>
      <c r="AU106" t="str">
        <f>IF(W106="","",INDEX('03_Base_Indice'!$K106:$U106,W106))</f>
        <v/>
      </c>
      <c r="AV106" t="str">
        <f>IF(X106="","",INDEX('03_Base_Indice'!$K106:$U106,X106))</f>
        <v/>
      </c>
      <c r="AX106">
        <f>IF('06_Normalizacao'!K106="",0,'06_Normalizacao'!K106)</f>
        <v>0</v>
      </c>
      <c r="AY106">
        <f>IF('06_Normalizacao'!L106="",0,'06_Normalizacao'!L106)</f>
        <v>0</v>
      </c>
      <c r="AZ106">
        <f>IF('06_Normalizacao'!M106="",0,'06_Normalizacao'!M106)</f>
        <v>0</v>
      </c>
      <c r="BA106">
        <f>IF('06_Normalizacao'!N106="",0,'06_Normalizacao'!N106)</f>
        <v>0</v>
      </c>
      <c r="BB106">
        <f>IF('06_Normalizacao'!O106="",0,'06_Normalizacao'!O106)</f>
        <v>0</v>
      </c>
      <c r="BC106">
        <f>IF('06_Normalizacao'!P106="",0,'06_Normalizacao'!P106)</f>
        <v>0</v>
      </c>
      <c r="BD106">
        <f>IF('06_Normalizacao'!Q106="",0,'06_Normalizacao'!Q106)</f>
        <v>0</v>
      </c>
      <c r="BE106">
        <f>IF('06_Normalizacao'!R106="",0,'06_Normalizacao'!R106)</f>
        <v>0</v>
      </c>
      <c r="BF106">
        <f>IF('06_Normalizacao'!S106="",0,'06_Normalizacao'!S106)</f>
        <v>0</v>
      </c>
      <c r="BG106">
        <f>IF('06_Normalizacao'!T106="",0,'06_Normalizacao'!T106)</f>
        <v>0</v>
      </c>
      <c r="BH106">
        <f>IF('06_Normalizacao'!U106="",0,'06_Normalizacao'!U106)</f>
        <v>0</v>
      </c>
      <c r="BJ106">
        <f>IF('06_Normalizacao'!K106="",0,1)</f>
        <v>0</v>
      </c>
      <c r="BK106">
        <f>IF('06_Normalizacao'!L106="",0,1)</f>
        <v>0</v>
      </c>
      <c r="BL106">
        <f>IF('06_Normalizacao'!M106="",0,1)</f>
        <v>0</v>
      </c>
      <c r="BM106">
        <f>IF('06_Normalizacao'!N106="",0,1)</f>
        <v>0</v>
      </c>
      <c r="BN106">
        <f>IF('06_Normalizacao'!O106="",0,1)</f>
        <v>0</v>
      </c>
      <c r="BO106">
        <f>IF('06_Normalizacao'!P106="",0,1)</f>
        <v>0</v>
      </c>
      <c r="BP106">
        <f>IF('06_Normalizacao'!Q106="",0,1)</f>
        <v>0</v>
      </c>
      <c r="BQ106">
        <f>IF('06_Normalizacao'!R106="",0,1)</f>
        <v>0</v>
      </c>
      <c r="BR106">
        <f>IF('06_Normalizacao'!S106="",0,1)</f>
        <v>0</v>
      </c>
      <c r="BS106">
        <f>IF('06_Normalizacao'!T106="",0,1)</f>
        <v>0</v>
      </c>
      <c r="BT106">
        <f>IF('06_Normalizacao'!U106="",0,1)</f>
        <v>0</v>
      </c>
    </row>
    <row r="107" spans="1:72">
      <c r="A107" s="6" t="str">
        <f>'03_Base_Indice'!D107</f>
        <v/>
      </c>
      <c r="B107" t="str">
        <f>IFERROR(LOOKUP(2,1/ISNUMBER('03_Base_Indice'!$K107:K107),COLUMN('03_Base_Indice'!$K107:K107)-COLUMN('03_Base_Indice'!$K107)+1),"")</f>
        <v/>
      </c>
      <c r="C107" t="str">
        <f>IFERROR(LOOKUP(2,1/ISNUMBER('03_Base_Indice'!$K107:L107),COLUMN('03_Base_Indice'!$K107:L107)-COLUMN('03_Base_Indice'!$K107)+1),"")</f>
        <v/>
      </c>
      <c r="D107" t="str">
        <f>IFERROR(LOOKUP(2,1/ISNUMBER('03_Base_Indice'!$K107:M107),COLUMN('03_Base_Indice'!$K107:M107)-COLUMN('03_Base_Indice'!$K107)+1),"")</f>
        <v/>
      </c>
      <c r="E107" t="str">
        <f>IFERROR(LOOKUP(2,1/ISNUMBER('03_Base_Indice'!$K107:N107),COLUMN('03_Base_Indice'!$K107:N107)-COLUMN('03_Base_Indice'!$K107)+1),"")</f>
        <v/>
      </c>
      <c r="F107" t="str">
        <f>IFERROR(LOOKUP(2,1/ISNUMBER('03_Base_Indice'!$K107:O107),COLUMN('03_Base_Indice'!$K107:O107)-COLUMN('03_Base_Indice'!$K107)+1),"")</f>
        <v/>
      </c>
      <c r="G107" t="str">
        <f>IFERROR(LOOKUP(2,1/ISNUMBER('03_Base_Indice'!$K107:P107),COLUMN('03_Base_Indice'!$K107:P107)-COLUMN('03_Base_Indice'!$K107)+1),"")</f>
        <v/>
      </c>
      <c r="H107" t="str">
        <f>IFERROR(LOOKUP(2,1/ISNUMBER('03_Base_Indice'!$K107:Q107),COLUMN('03_Base_Indice'!$K107:Q107)-COLUMN('03_Base_Indice'!$K107)+1),"")</f>
        <v/>
      </c>
      <c r="I107" t="str">
        <f>IFERROR(LOOKUP(2,1/ISNUMBER('03_Base_Indice'!$K107:R107),COLUMN('03_Base_Indice'!$K107:R107)-COLUMN('03_Base_Indice'!$K107)+1),"")</f>
        <v/>
      </c>
      <c r="J107" t="str">
        <f>IFERROR(LOOKUP(2,1/ISNUMBER('03_Base_Indice'!$K107:S107),COLUMN('03_Base_Indice'!$K107:S107)-COLUMN('03_Base_Indice'!$K107)+1),"")</f>
        <v/>
      </c>
      <c r="K107" t="str">
        <f>IFERROR(LOOKUP(2,1/ISNUMBER('03_Base_Indice'!$K107:T107),COLUMN('03_Base_Indice'!$K107:T107)-COLUMN('03_Base_Indice'!$K107)+1),"")</f>
        <v/>
      </c>
      <c r="L107" t="str">
        <f>IFERROR(LOOKUP(2,1/ISNUMBER('03_Base_Indice'!$K107:U107),COLUMN('03_Base_Indice'!$K107:U107)-COLUMN('03_Base_Indice'!$K107)+1),"")</f>
        <v/>
      </c>
      <c r="N107" t="str">
        <f>IFERROR(MATCH(TRUE,INDEX(ISNUMBER('03_Base_Indice'!K107:$U107),0),0)+0,"")</f>
        <v/>
      </c>
      <c r="O107" t="str">
        <f>IFERROR(MATCH(TRUE,INDEX(ISNUMBER('03_Base_Indice'!L107:$U107),0),0)+1,"")</f>
        <v/>
      </c>
      <c r="P107" t="str">
        <f>IFERROR(MATCH(TRUE,INDEX(ISNUMBER('03_Base_Indice'!M107:$U107),0),0)+2,"")</f>
        <v/>
      </c>
      <c r="Q107" t="str">
        <f>IFERROR(MATCH(TRUE,INDEX(ISNUMBER('03_Base_Indice'!N107:$U107),0),0)+3,"")</f>
        <v/>
      </c>
      <c r="R107" t="str">
        <f>IFERROR(MATCH(TRUE,INDEX(ISNUMBER('03_Base_Indice'!O107:$U107),0),0)+4,"")</f>
        <v/>
      </c>
      <c r="S107" t="str">
        <f>IFERROR(MATCH(TRUE,INDEX(ISNUMBER('03_Base_Indice'!P107:$U107),0),0)+5,"")</f>
        <v/>
      </c>
      <c r="T107" t="str">
        <f>IFERROR(MATCH(TRUE,INDEX(ISNUMBER('03_Base_Indice'!Q107:$U107),0),0)+6,"")</f>
        <v/>
      </c>
      <c r="U107" t="str">
        <f>IFERROR(MATCH(TRUE,INDEX(ISNUMBER('03_Base_Indice'!R107:$U107),0),0)+7,"")</f>
        <v/>
      </c>
      <c r="V107" t="str">
        <f>IFERROR(MATCH(TRUE,INDEX(ISNUMBER('03_Base_Indice'!S107:$U107),0),0)+8,"")</f>
        <v/>
      </c>
      <c r="W107" t="str">
        <f>IFERROR(MATCH(TRUE,INDEX(ISNUMBER('03_Base_Indice'!T107:$U107),0),0)+9,"")</f>
        <v/>
      </c>
      <c r="X107" t="str">
        <f>IFERROR(MATCH(TRUE,INDEX(ISNUMBER('03_Base_Indice'!U107:$U107),0),0)+10,"")</f>
        <v/>
      </c>
      <c r="Z107" t="str">
        <f>IF(B107="","",INDEX('03_Base_Indice'!$K107:$U107,B107))</f>
        <v/>
      </c>
      <c r="AA107" t="str">
        <f>IF(C107="","",INDEX('03_Base_Indice'!$K107:$U107,C107))</f>
        <v/>
      </c>
      <c r="AB107" t="str">
        <f>IF(D107="","",INDEX('03_Base_Indice'!$K107:$U107,D107))</f>
        <v/>
      </c>
      <c r="AC107" t="str">
        <f>IF(E107="","",INDEX('03_Base_Indice'!$K107:$U107,E107))</f>
        <v/>
      </c>
      <c r="AD107" t="str">
        <f>IF(F107="","",INDEX('03_Base_Indice'!$K107:$U107,F107))</f>
        <v/>
      </c>
      <c r="AE107" t="str">
        <f>IF(G107="","",INDEX('03_Base_Indice'!$K107:$U107,G107))</f>
        <v/>
      </c>
      <c r="AF107" t="str">
        <f>IF(H107="","",INDEX('03_Base_Indice'!$K107:$U107,H107))</f>
        <v/>
      </c>
      <c r="AG107" t="str">
        <f>IF(I107="","",INDEX('03_Base_Indice'!$K107:$U107,I107))</f>
        <v/>
      </c>
      <c r="AH107" t="str">
        <f>IF(J107="","",INDEX('03_Base_Indice'!$K107:$U107,J107))</f>
        <v/>
      </c>
      <c r="AI107" t="str">
        <f>IF(K107="","",INDEX('03_Base_Indice'!$K107:$U107,K107))</f>
        <v/>
      </c>
      <c r="AJ107" t="str">
        <f>IF(L107="","",INDEX('03_Base_Indice'!$K107:$U107,L107))</f>
        <v/>
      </c>
      <c r="AL107" t="str">
        <f>IF(N107="","",INDEX('03_Base_Indice'!$K107:$U107,N107))</f>
        <v/>
      </c>
      <c r="AM107" t="str">
        <f>IF(O107="","",INDEX('03_Base_Indice'!$K107:$U107,O107))</f>
        <v/>
      </c>
      <c r="AN107" t="str">
        <f>IF(P107="","",INDEX('03_Base_Indice'!$K107:$U107,P107))</f>
        <v/>
      </c>
      <c r="AO107" t="str">
        <f>IF(Q107="","",INDEX('03_Base_Indice'!$K107:$U107,Q107))</f>
        <v/>
      </c>
      <c r="AP107" t="str">
        <f>IF(R107="","",INDEX('03_Base_Indice'!$K107:$U107,R107))</f>
        <v/>
      </c>
      <c r="AQ107" t="str">
        <f>IF(S107="","",INDEX('03_Base_Indice'!$K107:$U107,S107))</f>
        <v/>
      </c>
      <c r="AR107" t="str">
        <f>IF(T107="","",INDEX('03_Base_Indice'!$K107:$U107,T107))</f>
        <v/>
      </c>
      <c r="AS107" t="str">
        <f>IF(U107="","",INDEX('03_Base_Indice'!$K107:$U107,U107))</f>
        <v/>
      </c>
      <c r="AT107" t="str">
        <f>IF(V107="","",INDEX('03_Base_Indice'!$K107:$U107,V107))</f>
        <v/>
      </c>
      <c r="AU107" t="str">
        <f>IF(W107="","",INDEX('03_Base_Indice'!$K107:$U107,W107))</f>
        <v/>
      </c>
      <c r="AV107" t="str">
        <f>IF(X107="","",INDEX('03_Base_Indice'!$K107:$U107,X107))</f>
        <v/>
      </c>
      <c r="AX107">
        <f>IF('06_Normalizacao'!K107="",0,'06_Normalizacao'!K107)</f>
        <v>0</v>
      </c>
      <c r="AY107">
        <f>IF('06_Normalizacao'!L107="",0,'06_Normalizacao'!L107)</f>
        <v>0</v>
      </c>
      <c r="AZ107">
        <f>IF('06_Normalizacao'!M107="",0,'06_Normalizacao'!M107)</f>
        <v>0</v>
      </c>
      <c r="BA107">
        <f>IF('06_Normalizacao'!N107="",0,'06_Normalizacao'!N107)</f>
        <v>0</v>
      </c>
      <c r="BB107">
        <f>IF('06_Normalizacao'!O107="",0,'06_Normalizacao'!O107)</f>
        <v>0</v>
      </c>
      <c r="BC107">
        <f>IF('06_Normalizacao'!P107="",0,'06_Normalizacao'!P107)</f>
        <v>0</v>
      </c>
      <c r="BD107">
        <f>IF('06_Normalizacao'!Q107="",0,'06_Normalizacao'!Q107)</f>
        <v>0</v>
      </c>
      <c r="BE107">
        <f>IF('06_Normalizacao'!R107="",0,'06_Normalizacao'!R107)</f>
        <v>0</v>
      </c>
      <c r="BF107">
        <f>IF('06_Normalizacao'!S107="",0,'06_Normalizacao'!S107)</f>
        <v>0</v>
      </c>
      <c r="BG107">
        <f>IF('06_Normalizacao'!T107="",0,'06_Normalizacao'!T107)</f>
        <v>0</v>
      </c>
      <c r="BH107">
        <f>IF('06_Normalizacao'!U107="",0,'06_Normalizacao'!U107)</f>
        <v>0</v>
      </c>
      <c r="BJ107">
        <f>IF('06_Normalizacao'!K107="",0,1)</f>
        <v>0</v>
      </c>
      <c r="BK107">
        <f>IF('06_Normalizacao'!L107="",0,1)</f>
        <v>0</v>
      </c>
      <c r="BL107">
        <f>IF('06_Normalizacao'!M107="",0,1)</f>
        <v>0</v>
      </c>
      <c r="BM107">
        <f>IF('06_Normalizacao'!N107="",0,1)</f>
        <v>0</v>
      </c>
      <c r="BN107">
        <f>IF('06_Normalizacao'!O107="",0,1)</f>
        <v>0</v>
      </c>
      <c r="BO107">
        <f>IF('06_Normalizacao'!P107="",0,1)</f>
        <v>0</v>
      </c>
      <c r="BP107">
        <f>IF('06_Normalizacao'!Q107="",0,1)</f>
        <v>0</v>
      </c>
      <c r="BQ107">
        <f>IF('06_Normalizacao'!R107="",0,1)</f>
        <v>0</v>
      </c>
      <c r="BR107">
        <f>IF('06_Normalizacao'!S107="",0,1)</f>
        <v>0</v>
      </c>
      <c r="BS107">
        <f>IF('06_Normalizacao'!T107="",0,1)</f>
        <v>0</v>
      </c>
      <c r="BT107">
        <f>IF('06_Normalizacao'!U107="",0,1)</f>
        <v>0</v>
      </c>
    </row>
    <row r="108" spans="1:72">
      <c r="A108" s="6" t="str">
        <f>'03_Base_Indice'!D108</f>
        <v/>
      </c>
      <c r="B108" t="str">
        <f>IFERROR(LOOKUP(2,1/ISNUMBER('03_Base_Indice'!$K108:K108),COLUMN('03_Base_Indice'!$K108:K108)-COLUMN('03_Base_Indice'!$K108)+1),"")</f>
        <v/>
      </c>
      <c r="C108" t="str">
        <f>IFERROR(LOOKUP(2,1/ISNUMBER('03_Base_Indice'!$K108:L108),COLUMN('03_Base_Indice'!$K108:L108)-COLUMN('03_Base_Indice'!$K108)+1),"")</f>
        <v/>
      </c>
      <c r="D108" t="str">
        <f>IFERROR(LOOKUP(2,1/ISNUMBER('03_Base_Indice'!$K108:M108),COLUMN('03_Base_Indice'!$K108:M108)-COLUMN('03_Base_Indice'!$K108)+1),"")</f>
        <v/>
      </c>
      <c r="E108" t="str">
        <f>IFERROR(LOOKUP(2,1/ISNUMBER('03_Base_Indice'!$K108:N108),COLUMN('03_Base_Indice'!$K108:N108)-COLUMN('03_Base_Indice'!$K108)+1),"")</f>
        <v/>
      </c>
      <c r="F108" t="str">
        <f>IFERROR(LOOKUP(2,1/ISNUMBER('03_Base_Indice'!$K108:O108),COLUMN('03_Base_Indice'!$K108:O108)-COLUMN('03_Base_Indice'!$K108)+1),"")</f>
        <v/>
      </c>
      <c r="G108" t="str">
        <f>IFERROR(LOOKUP(2,1/ISNUMBER('03_Base_Indice'!$K108:P108),COLUMN('03_Base_Indice'!$K108:P108)-COLUMN('03_Base_Indice'!$K108)+1),"")</f>
        <v/>
      </c>
      <c r="H108" t="str">
        <f>IFERROR(LOOKUP(2,1/ISNUMBER('03_Base_Indice'!$K108:Q108),COLUMN('03_Base_Indice'!$K108:Q108)-COLUMN('03_Base_Indice'!$K108)+1),"")</f>
        <v/>
      </c>
      <c r="I108" t="str">
        <f>IFERROR(LOOKUP(2,1/ISNUMBER('03_Base_Indice'!$K108:R108),COLUMN('03_Base_Indice'!$K108:R108)-COLUMN('03_Base_Indice'!$K108)+1),"")</f>
        <v/>
      </c>
      <c r="J108" t="str">
        <f>IFERROR(LOOKUP(2,1/ISNUMBER('03_Base_Indice'!$K108:S108),COLUMN('03_Base_Indice'!$K108:S108)-COLUMN('03_Base_Indice'!$K108)+1),"")</f>
        <v/>
      </c>
      <c r="K108" t="str">
        <f>IFERROR(LOOKUP(2,1/ISNUMBER('03_Base_Indice'!$K108:T108),COLUMN('03_Base_Indice'!$K108:T108)-COLUMN('03_Base_Indice'!$K108)+1),"")</f>
        <v/>
      </c>
      <c r="L108" t="str">
        <f>IFERROR(LOOKUP(2,1/ISNUMBER('03_Base_Indice'!$K108:U108),COLUMN('03_Base_Indice'!$K108:U108)-COLUMN('03_Base_Indice'!$K108)+1),"")</f>
        <v/>
      </c>
      <c r="N108" t="str">
        <f>IFERROR(MATCH(TRUE,INDEX(ISNUMBER('03_Base_Indice'!K108:$U108),0),0)+0,"")</f>
        <v/>
      </c>
      <c r="O108" t="str">
        <f>IFERROR(MATCH(TRUE,INDEX(ISNUMBER('03_Base_Indice'!L108:$U108),0),0)+1,"")</f>
        <v/>
      </c>
      <c r="P108" t="str">
        <f>IFERROR(MATCH(TRUE,INDEX(ISNUMBER('03_Base_Indice'!M108:$U108),0),0)+2,"")</f>
        <v/>
      </c>
      <c r="Q108" t="str">
        <f>IFERROR(MATCH(TRUE,INDEX(ISNUMBER('03_Base_Indice'!N108:$U108),0),0)+3,"")</f>
        <v/>
      </c>
      <c r="R108" t="str">
        <f>IFERROR(MATCH(TRUE,INDEX(ISNUMBER('03_Base_Indice'!O108:$U108),0),0)+4,"")</f>
        <v/>
      </c>
      <c r="S108" t="str">
        <f>IFERROR(MATCH(TRUE,INDEX(ISNUMBER('03_Base_Indice'!P108:$U108),0),0)+5,"")</f>
        <v/>
      </c>
      <c r="T108" t="str">
        <f>IFERROR(MATCH(TRUE,INDEX(ISNUMBER('03_Base_Indice'!Q108:$U108),0),0)+6,"")</f>
        <v/>
      </c>
      <c r="U108" t="str">
        <f>IFERROR(MATCH(TRUE,INDEX(ISNUMBER('03_Base_Indice'!R108:$U108),0),0)+7,"")</f>
        <v/>
      </c>
      <c r="V108" t="str">
        <f>IFERROR(MATCH(TRUE,INDEX(ISNUMBER('03_Base_Indice'!S108:$U108),0),0)+8,"")</f>
        <v/>
      </c>
      <c r="W108" t="str">
        <f>IFERROR(MATCH(TRUE,INDEX(ISNUMBER('03_Base_Indice'!T108:$U108),0),0)+9,"")</f>
        <v/>
      </c>
      <c r="X108" t="str">
        <f>IFERROR(MATCH(TRUE,INDEX(ISNUMBER('03_Base_Indice'!U108:$U108),0),0)+10,"")</f>
        <v/>
      </c>
      <c r="Z108" t="str">
        <f>IF(B108="","",INDEX('03_Base_Indice'!$K108:$U108,B108))</f>
        <v/>
      </c>
      <c r="AA108" t="str">
        <f>IF(C108="","",INDEX('03_Base_Indice'!$K108:$U108,C108))</f>
        <v/>
      </c>
      <c r="AB108" t="str">
        <f>IF(D108="","",INDEX('03_Base_Indice'!$K108:$U108,D108))</f>
        <v/>
      </c>
      <c r="AC108" t="str">
        <f>IF(E108="","",INDEX('03_Base_Indice'!$K108:$U108,E108))</f>
        <v/>
      </c>
      <c r="AD108" t="str">
        <f>IF(F108="","",INDEX('03_Base_Indice'!$K108:$U108,F108))</f>
        <v/>
      </c>
      <c r="AE108" t="str">
        <f>IF(G108="","",INDEX('03_Base_Indice'!$K108:$U108,G108))</f>
        <v/>
      </c>
      <c r="AF108" t="str">
        <f>IF(H108="","",INDEX('03_Base_Indice'!$K108:$U108,H108))</f>
        <v/>
      </c>
      <c r="AG108" t="str">
        <f>IF(I108="","",INDEX('03_Base_Indice'!$K108:$U108,I108))</f>
        <v/>
      </c>
      <c r="AH108" t="str">
        <f>IF(J108="","",INDEX('03_Base_Indice'!$K108:$U108,J108))</f>
        <v/>
      </c>
      <c r="AI108" t="str">
        <f>IF(K108="","",INDEX('03_Base_Indice'!$K108:$U108,K108))</f>
        <v/>
      </c>
      <c r="AJ108" t="str">
        <f>IF(L108="","",INDEX('03_Base_Indice'!$K108:$U108,L108))</f>
        <v/>
      </c>
      <c r="AL108" t="str">
        <f>IF(N108="","",INDEX('03_Base_Indice'!$K108:$U108,N108))</f>
        <v/>
      </c>
      <c r="AM108" t="str">
        <f>IF(O108="","",INDEX('03_Base_Indice'!$K108:$U108,O108))</f>
        <v/>
      </c>
      <c r="AN108" t="str">
        <f>IF(P108="","",INDEX('03_Base_Indice'!$K108:$U108,P108))</f>
        <v/>
      </c>
      <c r="AO108" t="str">
        <f>IF(Q108="","",INDEX('03_Base_Indice'!$K108:$U108,Q108))</f>
        <v/>
      </c>
      <c r="AP108" t="str">
        <f>IF(R108="","",INDEX('03_Base_Indice'!$K108:$U108,R108))</f>
        <v/>
      </c>
      <c r="AQ108" t="str">
        <f>IF(S108="","",INDEX('03_Base_Indice'!$K108:$U108,S108))</f>
        <v/>
      </c>
      <c r="AR108" t="str">
        <f>IF(T108="","",INDEX('03_Base_Indice'!$K108:$U108,T108))</f>
        <v/>
      </c>
      <c r="AS108" t="str">
        <f>IF(U108="","",INDEX('03_Base_Indice'!$K108:$U108,U108))</f>
        <v/>
      </c>
      <c r="AT108" t="str">
        <f>IF(V108="","",INDEX('03_Base_Indice'!$K108:$U108,V108))</f>
        <v/>
      </c>
      <c r="AU108" t="str">
        <f>IF(W108="","",INDEX('03_Base_Indice'!$K108:$U108,W108))</f>
        <v/>
      </c>
      <c r="AV108" t="str">
        <f>IF(X108="","",INDEX('03_Base_Indice'!$K108:$U108,X108))</f>
        <v/>
      </c>
      <c r="AX108">
        <f>IF('06_Normalizacao'!K108="",0,'06_Normalizacao'!K108)</f>
        <v>0</v>
      </c>
      <c r="AY108">
        <f>IF('06_Normalizacao'!L108="",0,'06_Normalizacao'!L108)</f>
        <v>0</v>
      </c>
      <c r="AZ108">
        <f>IF('06_Normalizacao'!M108="",0,'06_Normalizacao'!M108)</f>
        <v>0</v>
      </c>
      <c r="BA108">
        <f>IF('06_Normalizacao'!N108="",0,'06_Normalizacao'!N108)</f>
        <v>0</v>
      </c>
      <c r="BB108">
        <f>IF('06_Normalizacao'!O108="",0,'06_Normalizacao'!O108)</f>
        <v>0</v>
      </c>
      <c r="BC108">
        <f>IF('06_Normalizacao'!P108="",0,'06_Normalizacao'!P108)</f>
        <v>0</v>
      </c>
      <c r="BD108">
        <f>IF('06_Normalizacao'!Q108="",0,'06_Normalizacao'!Q108)</f>
        <v>0</v>
      </c>
      <c r="BE108">
        <f>IF('06_Normalizacao'!R108="",0,'06_Normalizacao'!R108)</f>
        <v>0</v>
      </c>
      <c r="BF108">
        <f>IF('06_Normalizacao'!S108="",0,'06_Normalizacao'!S108)</f>
        <v>0</v>
      </c>
      <c r="BG108">
        <f>IF('06_Normalizacao'!T108="",0,'06_Normalizacao'!T108)</f>
        <v>0</v>
      </c>
      <c r="BH108">
        <f>IF('06_Normalizacao'!U108="",0,'06_Normalizacao'!U108)</f>
        <v>0</v>
      </c>
      <c r="BJ108">
        <f>IF('06_Normalizacao'!K108="",0,1)</f>
        <v>0</v>
      </c>
      <c r="BK108">
        <f>IF('06_Normalizacao'!L108="",0,1)</f>
        <v>0</v>
      </c>
      <c r="BL108">
        <f>IF('06_Normalizacao'!M108="",0,1)</f>
        <v>0</v>
      </c>
      <c r="BM108">
        <f>IF('06_Normalizacao'!N108="",0,1)</f>
        <v>0</v>
      </c>
      <c r="BN108">
        <f>IF('06_Normalizacao'!O108="",0,1)</f>
        <v>0</v>
      </c>
      <c r="BO108">
        <f>IF('06_Normalizacao'!P108="",0,1)</f>
        <v>0</v>
      </c>
      <c r="BP108">
        <f>IF('06_Normalizacao'!Q108="",0,1)</f>
        <v>0</v>
      </c>
      <c r="BQ108">
        <f>IF('06_Normalizacao'!R108="",0,1)</f>
        <v>0</v>
      </c>
      <c r="BR108">
        <f>IF('06_Normalizacao'!S108="",0,1)</f>
        <v>0</v>
      </c>
      <c r="BS108">
        <f>IF('06_Normalizacao'!T108="",0,1)</f>
        <v>0</v>
      </c>
      <c r="BT108">
        <f>IF('06_Normalizacao'!U108="",0,1)</f>
        <v>0</v>
      </c>
    </row>
    <row r="109" spans="1:72">
      <c r="A109" s="6" t="str">
        <f>'03_Base_Indice'!D109</f>
        <v/>
      </c>
      <c r="B109" t="str">
        <f>IFERROR(LOOKUP(2,1/ISNUMBER('03_Base_Indice'!$K109:K109),COLUMN('03_Base_Indice'!$K109:K109)-COLUMN('03_Base_Indice'!$K109)+1),"")</f>
        <v/>
      </c>
      <c r="C109" t="str">
        <f>IFERROR(LOOKUP(2,1/ISNUMBER('03_Base_Indice'!$K109:L109),COLUMN('03_Base_Indice'!$K109:L109)-COLUMN('03_Base_Indice'!$K109)+1),"")</f>
        <v/>
      </c>
      <c r="D109" t="str">
        <f>IFERROR(LOOKUP(2,1/ISNUMBER('03_Base_Indice'!$K109:M109),COLUMN('03_Base_Indice'!$K109:M109)-COLUMN('03_Base_Indice'!$K109)+1),"")</f>
        <v/>
      </c>
      <c r="E109" t="str">
        <f>IFERROR(LOOKUP(2,1/ISNUMBER('03_Base_Indice'!$K109:N109),COLUMN('03_Base_Indice'!$K109:N109)-COLUMN('03_Base_Indice'!$K109)+1),"")</f>
        <v/>
      </c>
      <c r="F109" t="str">
        <f>IFERROR(LOOKUP(2,1/ISNUMBER('03_Base_Indice'!$K109:O109),COLUMN('03_Base_Indice'!$K109:O109)-COLUMN('03_Base_Indice'!$K109)+1),"")</f>
        <v/>
      </c>
      <c r="G109" t="str">
        <f>IFERROR(LOOKUP(2,1/ISNUMBER('03_Base_Indice'!$K109:P109),COLUMN('03_Base_Indice'!$K109:P109)-COLUMN('03_Base_Indice'!$K109)+1),"")</f>
        <v/>
      </c>
      <c r="H109" t="str">
        <f>IFERROR(LOOKUP(2,1/ISNUMBER('03_Base_Indice'!$K109:Q109),COLUMN('03_Base_Indice'!$K109:Q109)-COLUMN('03_Base_Indice'!$K109)+1),"")</f>
        <v/>
      </c>
      <c r="I109" t="str">
        <f>IFERROR(LOOKUP(2,1/ISNUMBER('03_Base_Indice'!$K109:R109),COLUMN('03_Base_Indice'!$K109:R109)-COLUMN('03_Base_Indice'!$K109)+1),"")</f>
        <v/>
      </c>
      <c r="J109" t="str">
        <f>IFERROR(LOOKUP(2,1/ISNUMBER('03_Base_Indice'!$K109:S109),COLUMN('03_Base_Indice'!$K109:S109)-COLUMN('03_Base_Indice'!$K109)+1),"")</f>
        <v/>
      </c>
      <c r="K109" t="str">
        <f>IFERROR(LOOKUP(2,1/ISNUMBER('03_Base_Indice'!$K109:T109),COLUMN('03_Base_Indice'!$K109:T109)-COLUMN('03_Base_Indice'!$K109)+1),"")</f>
        <v/>
      </c>
      <c r="L109" t="str">
        <f>IFERROR(LOOKUP(2,1/ISNUMBER('03_Base_Indice'!$K109:U109),COLUMN('03_Base_Indice'!$K109:U109)-COLUMN('03_Base_Indice'!$K109)+1),"")</f>
        <v/>
      </c>
      <c r="N109" t="str">
        <f>IFERROR(MATCH(TRUE,INDEX(ISNUMBER('03_Base_Indice'!K109:$U109),0),0)+0,"")</f>
        <v/>
      </c>
      <c r="O109" t="str">
        <f>IFERROR(MATCH(TRUE,INDEX(ISNUMBER('03_Base_Indice'!L109:$U109),0),0)+1,"")</f>
        <v/>
      </c>
      <c r="P109" t="str">
        <f>IFERROR(MATCH(TRUE,INDEX(ISNUMBER('03_Base_Indice'!M109:$U109),0),0)+2,"")</f>
        <v/>
      </c>
      <c r="Q109" t="str">
        <f>IFERROR(MATCH(TRUE,INDEX(ISNUMBER('03_Base_Indice'!N109:$U109),0),0)+3,"")</f>
        <v/>
      </c>
      <c r="R109" t="str">
        <f>IFERROR(MATCH(TRUE,INDEX(ISNUMBER('03_Base_Indice'!O109:$U109),0),0)+4,"")</f>
        <v/>
      </c>
      <c r="S109" t="str">
        <f>IFERROR(MATCH(TRUE,INDEX(ISNUMBER('03_Base_Indice'!P109:$U109),0),0)+5,"")</f>
        <v/>
      </c>
      <c r="T109" t="str">
        <f>IFERROR(MATCH(TRUE,INDEX(ISNUMBER('03_Base_Indice'!Q109:$U109),0),0)+6,"")</f>
        <v/>
      </c>
      <c r="U109" t="str">
        <f>IFERROR(MATCH(TRUE,INDEX(ISNUMBER('03_Base_Indice'!R109:$U109),0),0)+7,"")</f>
        <v/>
      </c>
      <c r="V109" t="str">
        <f>IFERROR(MATCH(TRUE,INDEX(ISNUMBER('03_Base_Indice'!S109:$U109),0),0)+8,"")</f>
        <v/>
      </c>
      <c r="W109" t="str">
        <f>IFERROR(MATCH(TRUE,INDEX(ISNUMBER('03_Base_Indice'!T109:$U109),0),0)+9,"")</f>
        <v/>
      </c>
      <c r="X109" t="str">
        <f>IFERROR(MATCH(TRUE,INDEX(ISNUMBER('03_Base_Indice'!U109:$U109),0),0)+10,"")</f>
        <v/>
      </c>
      <c r="Z109" t="str">
        <f>IF(B109="","",INDEX('03_Base_Indice'!$K109:$U109,B109))</f>
        <v/>
      </c>
      <c r="AA109" t="str">
        <f>IF(C109="","",INDEX('03_Base_Indice'!$K109:$U109,C109))</f>
        <v/>
      </c>
      <c r="AB109" t="str">
        <f>IF(D109="","",INDEX('03_Base_Indice'!$K109:$U109,D109))</f>
        <v/>
      </c>
      <c r="AC109" t="str">
        <f>IF(E109="","",INDEX('03_Base_Indice'!$K109:$U109,E109))</f>
        <v/>
      </c>
      <c r="AD109" t="str">
        <f>IF(F109="","",INDEX('03_Base_Indice'!$K109:$U109,F109))</f>
        <v/>
      </c>
      <c r="AE109" t="str">
        <f>IF(G109="","",INDEX('03_Base_Indice'!$K109:$U109,G109))</f>
        <v/>
      </c>
      <c r="AF109" t="str">
        <f>IF(H109="","",INDEX('03_Base_Indice'!$K109:$U109,H109))</f>
        <v/>
      </c>
      <c r="AG109" t="str">
        <f>IF(I109="","",INDEX('03_Base_Indice'!$K109:$U109,I109))</f>
        <v/>
      </c>
      <c r="AH109" t="str">
        <f>IF(J109="","",INDEX('03_Base_Indice'!$K109:$U109,J109))</f>
        <v/>
      </c>
      <c r="AI109" t="str">
        <f>IF(K109="","",INDEX('03_Base_Indice'!$K109:$U109,K109))</f>
        <v/>
      </c>
      <c r="AJ109" t="str">
        <f>IF(L109="","",INDEX('03_Base_Indice'!$K109:$U109,L109))</f>
        <v/>
      </c>
      <c r="AL109" t="str">
        <f>IF(N109="","",INDEX('03_Base_Indice'!$K109:$U109,N109))</f>
        <v/>
      </c>
      <c r="AM109" t="str">
        <f>IF(O109="","",INDEX('03_Base_Indice'!$K109:$U109,O109))</f>
        <v/>
      </c>
      <c r="AN109" t="str">
        <f>IF(P109="","",INDEX('03_Base_Indice'!$K109:$U109,P109))</f>
        <v/>
      </c>
      <c r="AO109" t="str">
        <f>IF(Q109="","",INDEX('03_Base_Indice'!$K109:$U109,Q109))</f>
        <v/>
      </c>
      <c r="AP109" t="str">
        <f>IF(R109="","",INDEX('03_Base_Indice'!$K109:$U109,R109))</f>
        <v/>
      </c>
      <c r="AQ109" t="str">
        <f>IF(S109="","",INDEX('03_Base_Indice'!$K109:$U109,S109))</f>
        <v/>
      </c>
      <c r="AR109" t="str">
        <f>IF(T109="","",INDEX('03_Base_Indice'!$K109:$U109,T109))</f>
        <v/>
      </c>
      <c r="AS109" t="str">
        <f>IF(U109="","",INDEX('03_Base_Indice'!$K109:$U109,U109))</f>
        <v/>
      </c>
      <c r="AT109" t="str">
        <f>IF(V109="","",INDEX('03_Base_Indice'!$K109:$U109,V109))</f>
        <v/>
      </c>
      <c r="AU109" t="str">
        <f>IF(W109="","",INDEX('03_Base_Indice'!$K109:$U109,W109))</f>
        <v/>
      </c>
      <c r="AV109" t="str">
        <f>IF(X109="","",INDEX('03_Base_Indice'!$K109:$U109,X109))</f>
        <v/>
      </c>
      <c r="AX109">
        <f>IF('06_Normalizacao'!K109="",0,'06_Normalizacao'!K109)</f>
        <v>0</v>
      </c>
      <c r="AY109">
        <f>IF('06_Normalizacao'!L109="",0,'06_Normalizacao'!L109)</f>
        <v>0</v>
      </c>
      <c r="AZ109">
        <f>IF('06_Normalizacao'!M109="",0,'06_Normalizacao'!M109)</f>
        <v>0</v>
      </c>
      <c r="BA109">
        <f>IF('06_Normalizacao'!N109="",0,'06_Normalizacao'!N109)</f>
        <v>0</v>
      </c>
      <c r="BB109">
        <f>IF('06_Normalizacao'!O109="",0,'06_Normalizacao'!O109)</f>
        <v>0</v>
      </c>
      <c r="BC109">
        <f>IF('06_Normalizacao'!P109="",0,'06_Normalizacao'!P109)</f>
        <v>0</v>
      </c>
      <c r="BD109">
        <f>IF('06_Normalizacao'!Q109="",0,'06_Normalizacao'!Q109)</f>
        <v>0</v>
      </c>
      <c r="BE109">
        <f>IF('06_Normalizacao'!R109="",0,'06_Normalizacao'!R109)</f>
        <v>0</v>
      </c>
      <c r="BF109">
        <f>IF('06_Normalizacao'!S109="",0,'06_Normalizacao'!S109)</f>
        <v>0</v>
      </c>
      <c r="BG109">
        <f>IF('06_Normalizacao'!T109="",0,'06_Normalizacao'!T109)</f>
        <v>0</v>
      </c>
      <c r="BH109">
        <f>IF('06_Normalizacao'!U109="",0,'06_Normalizacao'!U109)</f>
        <v>0</v>
      </c>
      <c r="BJ109">
        <f>IF('06_Normalizacao'!K109="",0,1)</f>
        <v>0</v>
      </c>
      <c r="BK109">
        <f>IF('06_Normalizacao'!L109="",0,1)</f>
        <v>0</v>
      </c>
      <c r="BL109">
        <f>IF('06_Normalizacao'!M109="",0,1)</f>
        <v>0</v>
      </c>
      <c r="BM109">
        <f>IF('06_Normalizacao'!N109="",0,1)</f>
        <v>0</v>
      </c>
      <c r="BN109">
        <f>IF('06_Normalizacao'!O109="",0,1)</f>
        <v>0</v>
      </c>
      <c r="BO109">
        <f>IF('06_Normalizacao'!P109="",0,1)</f>
        <v>0</v>
      </c>
      <c r="BP109">
        <f>IF('06_Normalizacao'!Q109="",0,1)</f>
        <v>0</v>
      </c>
      <c r="BQ109">
        <f>IF('06_Normalizacao'!R109="",0,1)</f>
        <v>0</v>
      </c>
      <c r="BR109">
        <f>IF('06_Normalizacao'!S109="",0,1)</f>
        <v>0</v>
      </c>
      <c r="BS109">
        <f>IF('06_Normalizacao'!T109="",0,1)</f>
        <v>0</v>
      </c>
      <c r="BT109">
        <f>IF('06_Normalizacao'!U109="",0,1)</f>
        <v>0</v>
      </c>
    </row>
    <row r="110" spans="1:72">
      <c r="A110" s="6" t="str">
        <f>'03_Base_Indice'!D110</f>
        <v/>
      </c>
      <c r="B110" t="str">
        <f>IFERROR(LOOKUP(2,1/ISNUMBER('03_Base_Indice'!$K110:K110),COLUMN('03_Base_Indice'!$K110:K110)-COLUMN('03_Base_Indice'!$K110)+1),"")</f>
        <v/>
      </c>
      <c r="C110" t="str">
        <f>IFERROR(LOOKUP(2,1/ISNUMBER('03_Base_Indice'!$K110:L110),COLUMN('03_Base_Indice'!$K110:L110)-COLUMN('03_Base_Indice'!$K110)+1),"")</f>
        <v/>
      </c>
      <c r="D110" t="str">
        <f>IFERROR(LOOKUP(2,1/ISNUMBER('03_Base_Indice'!$K110:M110),COLUMN('03_Base_Indice'!$K110:M110)-COLUMN('03_Base_Indice'!$K110)+1),"")</f>
        <v/>
      </c>
      <c r="E110" t="str">
        <f>IFERROR(LOOKUP(2,1/ISNUMBER('03_Base_Indice'!$K110:N110),COLUMN('03_Base_Indice'!$K110:N110)-COLUMN('03_Base_Indice'!$K110)+1),"")</f>
        <v/>
      </c>
      <c r="F110" t="str">
        <f>IFERROR(LOOKUP(2,1/ISNUMBER('03_Base_Indice'!$K110:O110),COLUMN('03_Base_Indice'!$K110:O110)-COLUMN('03_Base_Indice'!$K110)+1),"")</f>
        <v/>
      </c>
      <c r="G110" t="str">
        <f>IFERROR(LOOKUP(2,1/ISNUMBER('03_Base_Indice'!$K110:P110),COLUMN('03_Base_Indice'!$K110:P110)-COLUMN('03_Base_Indice'!$K110)+1),"")</f>
        <v/>
      </c>
      <c r="H110" t="str">
        <f>IFERROR(LOOKUP(2,1/ISNUMBER('03_Base_Indice'!$K110:Q110),COLUMN('03_Base_Indice'!$K110:Q110)-COLUMN('03_Base_Indice'!$K110)+1),"")</f>
        <v/>
      </c>
      <c r="I110" t="str">
        <f>IFERROR(LOOKUP(2,1/ISNUMBER('03_Base_Indice'!$K110:R110),COLUMN('03_Base_Indice'!$K110:R110)-COLUMN('03_Base_Indice'!$K110)+1),"")</f>
        <v/>
      </c>
      <c r="J110" t="str">
        <f>IFERROR(LOOKUP(2,1/ISNUMBER('03_Base_Indice'!$K110:S110),COLUMN('03_Base_Indice'!$K110:S110)-COLUMN('03_Base_Indice'!$K110)+1),"")</f>
        <v/>
      </c>
      <c r="K110" t="str">
        <f>IFERROR(LOOKUP(2,1/ISNUMBER('03_Base_Indice'!$K110:T110),COLUMN('03_Base_Indice'!$K110:T110)-COLUMN('03_Base_Indice'!$K110)+1),"")</f>
        <v/>
      </c>
      <c r="L110" t="str">
        <f>IFERROR(LOOKUP(2,1/ISNUMBER('03_Base_Indice'!$K110:U110),COLUMN('03_Base_Indice'!$K110:U110)-COLUMN('03_Base_Indice'!$K110)+1),"")</f>
        <v/>
      </c>
      <c r="N110" t="str">
        <f>IFERROR(MATCH(TRUE,INDEX(ISNUMBER('03_Base_Indice'!K110:$U110),0),0)+0,"")</f>
        <v/>
      </c>
      <c r="O110" t="str">
        <f>IFERROR(MATCH(TRUE,INDEX(ISNUMBER('03_Base_Indice'!L110:$U110),0),0)+1,"")</f>
        <v/>
      </c>
      <c r="P110" t="str">
        <f>IFERROR(MATCH(TRUE,INDEX(ISNUMBER('03_Base_Indice'!M110:$U110),0),0)+2,"")</f>
        <v/>
      </c>
      <c r="Q110" t="str">
        <f>IFERROR(MATCH(TRUE,INDEX(ISNUMBER('03_Base_Indice'!N110:$U110),0),0)+3,"")</f>
        <v/>
      </c>
      <c r="R110" t="str">
        <f>IFERROR(MATCH(TRUE,INDEX(ISNUMBER('03_Base_Indice'!O110:$U110),0),0)+4,"")</f>
        <v/>
      </c>
      <c r="S110" t="str">
        <f>IFERROR(MATCH(TRUE,INDEX(ISNUMBER('03_Base_Indice'!P110:$U110),0),0)+5,"")</f>
        <v/>
      </c>
      <c r="T110" t="str">
        <f>IFERROR(MATCH(TRUE,INDEX(ISNUMBER('03_Base_Indice'!Q110:$U110),0),0)+6,"")</f>
        <v/>
      </c>
      <c r="U110" t="str">
        <f>IFERROR(MATCH(TRUE,INDEX(ISNUMBER('03_Base_Indice'!R110:$U110),0),0)+7,"")</f>
        <v/>
      </c>
      <c r="V110" t="str">
        <f>IFERROR(MATCH(TRUE,INDEX(ISNUMBER('03_Base_Indice'!S110:$U110),0),0)+8,"")</f>
        <v/>
      </c>
      <c r="W110" t="str">
        <f>IFERROR(MATCH(TRUE,INDEX(ISNUMBER('03_Base_Indice'!T110:$U110),0),0)+9,"")</f>
        <v/>
      </c>
      <c r="X110" t="str">
        <f>IFERROR(MATCH(TRUE,INDEX(ISNUMBER('03_Base_Indice'!U110:$U110),0),0)+10,"")</f>
        <v/>
      </c>
      <c r="Z110" t="str">
        <f>IF(B110="","",INDEX('03_Base_Indice'!$K110:$U110,B110))</f>
        <v/>
      </c>
      <c r="AA110" t="str">
        <f>IF(C110="","",INDEX('03_Base_Indice'!$K110:$U110,C110))</f>
        <v/>
      </c>
      <c r="AB110" t="str">
        <f>IF(D110="","",INDEX('03_Base_Indice'!$K110:$U110,D110))</f>
        <v/>
      </c>
      <c r="AC110" t="str">
        <f>IF(E110="","",INDEX('03_Base_Indice'!$K110:$U110,E110))</f>
        <v/>
      </c>
      <c r="AD110" t="str">
        <f>IF(F110="","",INDEX('03_Base_Indice'!$K110:$U110,F110))</f>
        <v/>
      </c>
      <c r="AE110" t="str">
        <f>IF(G110="","",INDEX('03_Base_Indice'!$K110:$U110,G110))</f>
        <v/>
      </c>
      <c r="AF110" t="str">
        <f>IF(H110="","",INDEX('03_Base_Indice'!$K110:$U110,H110))</f>
        <v/>
      </c>
      <c r="AG110" t="str">
        <f>IF(I110="","",INDEX('03_Base_Indice'!$K110:$U110,I110))</f>
        <v/>
      </c>
      <c r="AH110" t="str">
        <f>IF(J110="","",INDEX('03_Base_Indice'!$K110:$U110,J110))</f>
        <v/>
      </c>
      <c r="AI110" t="str">
        <f>IF(K110="","",INDEX('03_Base_Indice'!$K110:$U110,K110))</f>
        <v/>
      </c>
      <c r="AJ110" t="str">
        <f>IF(L110="","",INDEX('03_Base_Indice'!$K110:$U110,L110))</f>
        <v/>
      </c>
      <c r="AL110" t="str">
        <f>IF(N110="","",INDEX('03_Base_Indice'!$K110:$U110,N110))</f>
        <v/>
      </c>
      <c r="AM110" t="str">
        <f>IF(O110="","",INDEX('03_Base_Indice'!$K110:$U110,O110))</f>
        <v/>
      </c>
      <c r="AN110" t="str">
        <f>IF(P110="","",INDEX('03_Base_Indice'!$K110:$U110,P110))</f>
        <v/>
      </c>
      <c r="AO110" t="str">
        <f>IF(Q110="","",INDEX('03_Base_Indice'!$K110:$U110,Q110))</f>
        <v/>
      </c>
      <c r="AP110" t="str">
        <f>IF(R110="","",INDEX('03_Base_Indice'!$K110:$U110,R110))</f>
        <v/>
      </c>
      <c r="AQ110" t="str">
        <f>IF(S110="","",INDEX('03_Base_Indice'!$K110:$U110,S110))</f>
        <v/>
      </c>
      <c r="AR110" t="str">
        <f>IF(T110="","",INDEX('03_Base_Indice'!$K110:$U110,T110))</f>
        <v/>
      </c>
      <c r="AS110" t="str">
        <f>IF(U110="","",INDEX('03_Base_Indice'!$K110:$U110,U110))</f>
        <v/>
      </c>
      <c r="AT110" t="str">
        <f>IF(V110="","",INDEX('03_Base_Indice'!$K110:$U110,V110))</f>
        <v/>
      </c>
      <c r="AU110" t="str">
        <f>IF(W110="","",INDEX('03_Base_Indice'!$K110:$U110,W110))</f>
        <v/>
      </c>
      <c r="AV110" t="str">
        <f>IF(X110="","",INDEX('03_Base_Indice'!$K110:$U110,X110))</f>
        <v/>
      </c>
      <c r="AX110">
        <f>IF('06_Normalizacao'!K110="",0,'06_Normalizacao'!K110)</f>
        <v>0</v>
      </c>
      <c r="AY110">
        <f>IF('06_Normalizacao'!L110="",0,'06_Normalizacao'!L110)</f>
        <v>0</v>
      </c>
      <c r="AZ110">
        <f>IF('06_Normalizacao'!M110="",0,'06_Normalizacao'!M110)</f>
        <v>0</v>
      </c>
      <c r="BA110">
        <f>IF('06_Normalizacao'!N110="",0,'06_Normalizacao'!N110)</f>
        <v>0</v>
      </c>
      <c r="BB110">
        <f>IF('06_Normalizacao'!O110="",0,'06_Normalizacao'!O110)</f>
        <v>0</v>
      </c>
      <c r="BC110">
        <f>IF('06_Normalizacao'!P110="",0,'06_Normalizacao'!P110)</f>
        <v>0</v>
      </c>
      <c r="BD110">
        <f>IF('06_Normalizacao'!Q110="",0,'06_Normalizacao'!Q110)</f>
        <v>0</v>
      </c>
      <c r="BE110">
        <f>IF('06_Normalizacao'!R110="",0,'06_Normalizacao'!R110)</f>
        <v>0</v>
      </c>
      <c r="BF110">
        <f>IF('06_Normalizacao'!S110="",0,'06_Normalizacao'!S110)</f>
        <v>0</v>
      </c>
      <c r="BG110">
        <f>IF('06_Normalizacao'!T110="",0,'06_Normalizacao'!T110)</f>
        <v>0</v>
      </c>
      <c r="BH110">
        <f>IF('06_Normalizacao'!U110="",0,'06_Normalizacao'!U110)</f>
        <v>0</v>
      </c>
      <c r="BJ110">
        <f>IF('06_Normalizacao'!K110="",0,1)</f>
        <v>0</v>
      </c>
      <c r="BK110">
        <f>IF('06_Normalizacao'!L110="",0,1)</f>
        <v>0</v>
      </c>
      <c r="BL110">
        <f>IF('06_Normalizacao'!M110="",0,1)</f>
        <v>0</v>
      </c>
      <c r="BM110">
        <f>IF('06_Normalizacao'!N110="",0,1)</f>
        <v>0</v>
      </c>
      <c r="BN110">
        <f>IF('06_Normalizacao'!O110="",0,1)</f>
        <v>0</v>
      </c>
      <c r="BO110">
        <f>IF('06_Normalizacao'!P110="",0,1)</f>
        <v>0</v>
      </c>
      <c r="BP110">
        <f>IF('06_Normalizacao'!Q110="",0,1)</f>
        <v>0</v>
      </c>
      <c r="BQ110">
        <f>IF('06_Normalizacao'!R110="",0,1)</f>
        <v>0</v>
      </c>
      <c r="BR110">
        <f>IF('06_Normalizacao'!S110="",0,1)</f>
        <v>0</v>
      </c>
      <c r="BS110">
        <f>IF('06_Normalizacao'!T110="",0,1)</f>
        <v>0</v>
      </c>
      <c r="BT110">
        <f>IF('06_Normalizacao'!U110="",0,1)</f>
        <v>0</v>
      </c>
    </row>
    <row r="111" spans="1:72">
      <c r="A111" s="6" t="str">
        <f>'03_Base_Indice'!D111</f>
        <v/>
      </c>
      <c r="B111" t="str">
        <f>IFERROR(LOOKUP(2,1/ISNUMBER('03_Base_Indice'!$K111:K111),COLUMN('03_Base_Indice'!$K111:K111)-COLUMN('03_Base_Indice'!$K111)+1),"")</f>
        <v/>
      </c>
      <c r="C111" t="str">
        <f>IFERROR(LOOKUP(2,1/ISNUMBER('03_Base_Indice'!$K111:L111),COLUMN('03_Base_Indice'!$K111:L111)-COLUMN('03_Base_Indice'!$K111)+1),"")</f>
        <v/>
      </c>
      <c r="D111" t="str">
        <f>IFERROR(LOOKUP(2,1/ISNUMBER('03_Base_Indice'!$K111:M111),COLUMN('03_Base_Indice'!$K111:M111)-COLUMN('03_Base_Indice'!$K111)+1),"")</f>
        <v/>
      </c>
      <c r="E111" t="str">
        <f>IFERROR(LOOKUP(2,1/ISNUMBER('03_Base_Indice'!$K111:N111),COLUMN('03_Base_Indice'!$K111:N111)-COLUMN('03_Base_Indice'!$K111)+1),"")</f>
        <v/>
      </c>
      <c r="F111" t="str">
        <f>IFERROR(LOOKUP(2,1/ISNUMBER('03_Base_Indice'!$K111:O111),COLUMN('03_Base_Indice'!$K111:O111)-COLUMN('03_Base_Indice'!$K111)+1),"")</f>
        <v/>
      </c>
      <c r="G111" t="str">
        <f>IFERROR(LOOKUP(2,1/ISNUMBER('03_Base_Indice'!$K111:P111),COLUMN('03_Base_Indice'!$K111:P111)-COLUMN('03_Base_Indice'!$K111)+1),"")</f>
        <v/>
      </c>
      <c r="H111" t="str">
        <f>IFERROR(LOOKUP(2,1/ISNUMBER('03_Base_Indice'!$K111:Q111),COLUMN('03_Base_Indice'!$K111:Q111)-COLUMN('03_Base_Indice'!$K111)+1),"")</f>
        <v/>
      </c>
      <c r="I111" t="str">
        <f>IFERROR(LOOKUP(2,1/ISNUMBER('03_Base_Indice'!$K111:R111),COLUMN('03_Base_Indice'!$K111:R111)-COLUMN('03_Base_Indice'!$K111)+1),"")</f>
        <v/>
      </c>
      <c r="J111" t="str">
        <f>IFERROR(LOOKUP(2,1/ISNUMBER('03_Base_Indice'!$K111:S111),COLUMN('03_Base_Indice'!$K111:S111)-COLUMN('03_Base_Indice'!$K111)+1),"")</f>
        <v/>
      </c>
      <c r="K111" t="str">
        <f>IFERROR(LOOKUP(2,1/ISNUMBER('03_Base_Indice'!$K111:T111),COLUMN('03_Base_Indice'!$K111:T111)-COLUMN('03_Base_Indice'!$K111)+1),"")</f>
        <v/>
      </c>
      <c r="L111" t="str">
        <f>IFERROR(LOOKUP(2,1/ISNUMBER('03_Base_Indice'!$K111:U111),COLUMN('03_Base_Indice'!$K111:U111)-COLUMN('03_Base_Indice'!$K111)+1),"")</f>
        <v/>
      </c>
      <c r="N111" t="str">
        <f>IFERROR(MATCH(TRUE,INDEX(ISNUMBER('03_Base_Indice'!K111:$U111),0),0)+0,"")</f>
        <v/>
      </c>
      <c r="O111" t="str">
        <f>IFERROR(MATCH(TRUE,INDEX(ISNUMBER('03_Base_Indice'!L111:$U111),0),0)+1,"")</f>
        <v/>
      </c>
      <c r="P111" t="str">
        <f>IFERROR(MATCH(TRUE,INDEX(ISNUMBER('03_Base_Indice'!M111:$U111),0),0)+2,"")</f>
        <v/>
      </c>
      <c r="Q111" t="str">
        <f>IFERROR(MATCH(TRUE,INDEX(ISNUMBER('03_Base_Indice'!N111:$U111),0),0)+3,"")</f>
        <v/>
      </c>
      <c r="R111" t="str">
        <f>IFERROR(MATCH(TRUE,INDEX(ISNUMBER('03_Base_Indice'!O111:$U111),0),0)+4,"")</f>
        <v/>
      </c>
      <c r="S111" t="str">
        <f>IFERROR(MATCH(TRUE,INDEX(ISNUMBER('03_Base_Indice'!P111:$U111),0),0)+5,"")</f>
        <v/>
      </c>
      <c r="T111" t="str">
        <f>IFERROR(MATCH(TRUE,INDEX(ISNUMBER('03_Base_Indice'!Q111:$U111),0),0)+6,"")</f>
        <v/>
      </c>
      <c r="U111" t="str">
        <f>IFERROR(MATCH(TRUE,INDEX(ISNUMBER('03_Base_Indice'!R111:$U111),0),0)+7,"")</f>
        <v/>
      </c>
      <c r="V111" t="str">
        <f>IFERROR(MATCH(TRUE,INDEX(ISNUMBER('03_Base_Indice'!S111:$U111),0),0)+8,"")</f>
        <v/>
      </c>
      <c r="W111" t="str">
        <f>IFERROR(MATCH(TRUE,INDEX(ISNUMBER('03_Base_Indice'!T111:$U111),0),0)+9,"")</f>
        <v/>
      </c>
      <c r="X111" t="str">
        <f>IFERROR(MATCH(TRUE,INDEX(ISNUMBER('03_Base_Indice'!U111:$U111),0),0)+10,"")</f>
        <v/>
      </c>
      <c r="Z111" t="str">
        <f>IF(B111="","",INDEX('03_Base_Indice'!$K111:$U111,B111))</f>
        <v/>
      </c>
      <c r="AA111" t="str">
        <f>IF(C111="","",INDEX('03_Base_Indice'!$K111:$U111,C111))</f>
        <v/>
      </c>
      <c r="AB111" t="str">
        <f>IF(D111="","",INDEX('03_Base_Indice'!$K111:$U111,D111))</f>
        <v/>
      </c>
      <c r="AC111" t="str">
        <f>IF(E111="","",INDEX('03_Base_Indice'!$K111:$U111,E111))</f>
        <v/>
      </c>
      <c r="AD111" t="str">
        <f>IF(F111="","",INDEX('03_Base_Indice'!$K111:$U111,F111))</f>
        <v/>
      </c>
      <c r="AE111" t="str">
        <f>IF(G111="","",INDEX('03_Base_Indice'!$K111:$U111,G111))</f>
        <v/>
      </c>
      <c r="AF111" t="str">
        <f>IF(H111="","",INDEX('03_Base_Indice'!$K111:$U111,H111))</f>
        <v/>
      </c>
      <c r="AG111" t="str">
        <f>IF(I111="","",INDEX('03_Base_Indice'!$K111:$U111,I111))</f>
        <v/>
      </c>
      <c r="AH111" t="str">
        <f>IF(J111="","",INDEX('03_Base_Indice'!$K111:$U111,J111))</f>
        <v/>
      </c>
      <c r="AI111" t="str">
        <f>IF(K111="","",INDEX('03_Base_Indice'!$K111:$U111,K111))</f>
        <v/>
      </c>
      <c r="AJ111" t="str">
        <f>IF(L111="","",INDEX('03_Base_Indice'!$K111:$U111,L111))</f>
        <v/>
      </c>
      <c r="AL111" t="str">
        <f>IF(N111="","",INDEX('03_Base_Indice'!$K111:$U111,N111))</f>
        <v/>
      </c>
      <c r="AM111" t="str">
        <f>IF(O111="","",INDEX('03_Base_Indice'!$K111:$U111,O111))</f>
        <v/>
      </c>
      <c r="AN111" t="str">
        <f>IF(P111="","",INDEX('03_Base_Indice'!$K111:$U111,P111))</f>
        <v/>
      </c>
      <c r="AO111" t="str">
        <f>IF(Q111="","",INDEX('03_Base_Indice'!$K111:$U111,Q111))</f>
        <v/>
      </c>
      <c r="AP111" t="str">
        <f>IF(R111="","",INDEX('03_Base_Indice'!$K111:$U111,R111))</f>
        <v/>
      </c>
      <c r="AQ111" t="str">
        <f>IF(S111="","",INDEX('03_Base_Indice'!$K111:$U111,S111))</f>
        <v/>
      </c>
      <c r="AR111" t="str">
        <f>IF(T111="","",INDEX('03_Base_Indice'!$K111:$U111,T111))</f>
        <v/>
      </c>
      <c r="AS111" t="str">
        <f>IF(U111="","",INDEX('03_Base_Indice'!$K111:$U111,U111))</f>
        <v/>
      </c>
      <c r="AT111" t="str">
        <f>IF(V111="","",INDEX('03_Base_Indice'!$K111:$U111,V111))</f>
        <v/>
      </c>
      <c r="AU111" t="str">
        <f>IF(W111="","",INDEX('03_Base_Indice'!$K111:$U111,W111))</f>
        <v/>
      </c>
      <c r="AV111" t="str">
        <f>IF(X111="","",INDEX('03_Base_Indice'!$K111:$U111,X111))</f>
        <v/>
      </c>
      <c r="AX111">
        <f>IF('06_Normalizacao'!K111="",0,'06_Normalizacao'!K111)</f>
        <v>0</v>
      </c>
      <c r="AY111">
        <f>IF('06_Normalizacao'!L111="",0,'06_Normalizacao'!L111)</f>
        <v>0</v>
      </c>
      <c r="AZ111">
        <f>IF('06_Normalizacao'!M111="",0,'06_Normalizacao'!M111)</f>
        <v>0</v>
      </c>
      <c r="BA111">
        <f>IF('06_Normalizacao'!N111="",0,'06_Normalizacao'!N111)</f>
        <v>0</v>
      </c>
      <c r="BB111">
        <f>IF('06_Normalizacao'!O111="",0,'06_Normalizacao'!O111)</f>
        <v>0</v>
      </c>
      <c r="BC111">
        <f>IF('06_Normalizacao'!P111="",0,'06_Normalizacao'!P111)</f>
        <v>0</v>
      </c>
      <c r="BD111">
        <f>IF('06_Normalizacao'!Q111="",0,'06_Normalizacao'!Q111)</f>
        <v>0</v>
      </c>
      <c r="BE111">
        <f>IF('06_Normalizacao'!R111="",0,'06_Normalizacao'!R111)</f>
        <v>0</v>
      </c>
      <c r="BF111">
        <f>IF('06_Normalizacao'!S111="",0,'06_Normalizacao'!S111)</f>
        <v>0</v>
      </c>
      <c r="BG111">
        <f>IF('06_Normalizacao'!T111="",0,'06_Normalizacao'!T111)</f>
        <v>0</v>
      </c>
      <c r="BH111">
        <f>IF('06_Normalizacao'!U111="",0,'06_Normalizacao'!U111)</f>
        <v>0</v>
      </c>
      <c r="BJ111">
        <f>IF('06_Normalizacao'!K111="",0,1)</f>
        <v>0</v>
      </c>
      <c r="BK111">
        <f>IF('06_Normalizacao'!L111="",0,1)</f>
        <v>0</v>
      </c>
      <c r="BL111">
        <f>IF('06_Normalizacao'!M111="",0,1)</f>
        <v>0</v>
      </c>
      <c r="BM111">
        <f>IF('06_Normalizacao'!N111="",0,1)</f>
        <v>0</v>
      </c>
      <c r="BN111">
        <f>IF('06_Normalizacao'!O111="",0,1)</f>
        <v>0</v>
      </c>
      <c r="BO111">
        <f>IF('06_Normalizacao'!P111="",0,1)</f>
        <v>0</v>
      </c>
      <c r="BP111">
        <f>IF('06_Normalizacao'!Q111="",0,1)</f>
        <v>0</v>
      </c>
      <c r="BQ111">
        <f>IF('06_Normalizacao'!R111="",0,1)</f>
        <v>0</v>
      </c>
      <c r="BR111">
        <f>IF('06_Normalizacao'!S111="",0,1)</f>
        <v>0</v>
      </c>
      <c r="BS111">
        <f>IF('06_Normalizacao'!T111="",0,1)</f>
        <v>0</v>
      </c>
      <c r="BT111">
        <f>IF('06_Normalizacao'!U111="",0,1)</f>
        <v>0</v>
      </c>
    </row>
    <row r="112" spans="1:72">
      <c r="A112" s="6" t="str">
        <f>'03_Base_Indice'!D112</f>
        <v/>
      </c>
      <c r="B112" t="str">
        <f>IFERROR(LOOKUP(2,1/ISNUMBER('03_Base_Indice'!$K112:K112),COLUMN('03_Base_Indice'!$K112:K112)-COLUMN('03_Base_Indice'!$K112)+1),"")</f>
        <v/>
      </c>
      <c r="C112" t="str">
        <f>IFERROR(LOOKUP(2,1/ISNUMBER('03_Base_Indice'!$K112:L112),COLUMN('03_Base_Indice'!$K112:L112)-COLUMN('03_Base_Indice'!$K112)+1),"")</f>
        <v/>
      </c>
      <c r="D112" t="str">
        <f>IFERROR(LOOKUP(2,1/ISNUMBER('03_Base_Indice'!$K112:M112),COLUMN('03_Base_Indice'!$K112:M112)-COLUMN('03_Base_Indice'!$K112)+1),"")</f>
        <v/>
      </c>
      <c r="E112" t="str">
        <f>IFERROR(LOOKUP(2,1/ISNUMBER('03_Base_Indice'!$K112:N112),COLUMN('03_Base_Indice'!$K112:N112)-COLUMN('03_Base_Indice'!$K112)+1),"")</f>
        <v/>
      </c>
      <c r="F112" t="str">
        <f>IFERROR(LOOKUP(2,1/ISNUMBER('03_Base_Indice'!$K112:O112),COLUMN('03_Base_Indice'!$K112:O112)-COLUMN('03_Base_Indice'!$K112)+1),"")</f>
        <v/>
      </c>
      <c r="G112" t="str">
        <f>IFERROR(LOOKUP(2,1/ISNUMBER('03_Base_Indice'!$K112:P112),COLUMN('03_Base_Indice'!$K112:P112)-COLUMN('03_Base_Indice'!$K112)+1),"")</f>
        <v/>
      </c>
      <c r="H112" t="str">
        <f>IFERROR(LOOKUP(2,1/ISNUMBER('03_Base_Indice'!$K112:Q112),COLUMN('03_Base_Indice'!$K112:Q112)-COLUMN('03_Base_Indice'!$K112)+1),"")</f>
        <v/>
      </c>
      <c r="I112" t="str">
        <f>IFERROR(LOOKUP(2,1/ISNUMBER('03_Base_Indice'!$K112:R112),COLUMN('03_Base_Indice'!$K112:R112)-COLUMN('03_Base_Indice'!$K112)+1),"")</f>
        <v/>
      </c>
      <c r="J112" t="str">
        <f>IFERROR(LOOKUP(2,1/ISNUMBER('03_Base_Indice'!$K112:S112),COLUMN('03_Base_Indice'!$K112:S112)-COLUMN('03_Base_Indice'!$K112)+1),"")</f>
        <v/>
      </c>
      <c r="K112" t="str">
        <f>IFERROR(LOOKUP(2,1/ISNUMBER('03_Base_Indice'!$K112:T112),COLUMN('03_Base_Indice'!$K112:T112)-COLUMN('03_Base_Indice'!$K112)+1),"")</f>
        <v/>
      </c>
      <c r="L112" t="str">
        <f>IFERROR(LOOKUP(2,1/ISNUMBER('03_Base_Indice'!$K112:U112),COLUMN('03_Base_Indice'!$K112:U112)-COLUMN('03_Base_Indice'!$K112)+1),"")</f>
        <v/>
      </c>
      <c r="N112" t="str">
        <f>IFERROR(MATCH(TRUE,INDEX(ISNUMBER('03_Base_Indice'!K112:$U112),0),0)+0,"")</f>
        <v/>
      </c>
      <c r="O112" t="str">
        <f>IFERROR(MATCH(TRUE,INDEX(ISNUMBER('03_Base_Indice'!L112:$U112),0),0)+1,"")</f>
        <v/>
      </c>
      <c r="P112" t="str">
        <f>IFERROR(MATCH(TRUE,INDEX(ISNUMBER('03_Base_Indice'!M112:$U112),0),0)+2,"")</f>
        <v/>
      </c>
      <c r="Q112" t="str">
        <f>IFERROR(MATCH(TRUE,INDEX(ISNUMBER('03_Base_Indice'!N112:$U112),0),0)+3,"")</f>
        <v/>
      </c>
      <c r="R112" t="str">
        <f>IFERROR(MATCH(TRUE,INDEX(ISNUMBER('03_Base_Indice'!O112:$U112),0),0)+4,"")</f>
        <v/>
      </c>
      <c r="S112" t="str">
        <f>IFERROR(MATCH(TRUE,INDEX(ISNUMBER('03_Base_Indice'!P112:$U112),0),0)+5,"")</f>
        <v/>
      </c>
      <c r="T112" t="str">
        <f>IFERROR(MATCH(TRUE,INDEX(ISNUMBER('03_Base_Indice'!Q112:$U112),0),0)+6,"")</f>
        <v/>
      </c>
      <c r="U112" t="str">
        <f>IFERROR(MATCH(TRUE,INDEX(ISNUMBER('03_Base_Indice'!R112:$U112),0),0)+7,"")</f>
        <v/>
      </c>
      <c r="V112" t="str">
        <f>IFERROR(MATCH(TRUE,INDEX(ISNUMBER('03_Base_Indice'!S112:$U112),0),0)+8,"")</f>
        <v/>
      </c>
      <c r="W112" t="str">
        <f>IFERROR(MATCH(TRUE,INDEX(ISNUMBER('03_Base_Indice'!T112:$U112),0),0)+9,"")</f>
        <v/>
      </c>
      <c r="X112" t="str">
        <f>IFERROR(MATCH(TRUE,INDEX(ISNUMBER('03_Base_Indice'!U112:$U112),0),0)+10,"")</f>
        <v/>
      </c>
      <c r="Z112" t="str">
        <f>IF(B112="","",INDEX('03_Base_Indice'!$K112:$U112,B112))</f>
        <v/>
      </c>
      <c r="AA112" t="str">
        <f>IF(C112="","",INDEX('03_Base_Indice'!$K112:$U112,C112))</f>
        <v/>
      </c>
      <c r="AB112" t="str">
        <f>IF(D112="","",INDEX('03_Base_Indice'!$K112:$U112,D112))</f>
        <v/>
      </c>
      <c r="AC112" t="str">
        <f>IF(E112="","",INDEX('03_Base_Indice'!$K112:$U112,E112))</f>
        <v/>
      </c>
      <c r="AD112" t="str">
        <f>IF(F112="","",INDEX('03_Base_Indice'!$K112:$U112,F112))</f>
        <v/>
      </c>
      <c r="AE112" t="str">
        <f>IF(G112="","",INDEX('03_Base_Indice'!$K112:$U112,G112))</f>
        <v/>
      </c>
      <c r="AF112" t="str">
        <f>IF(H112="","",INDEX('03_Base_Indice'!$K112:$U112,H112))</f>
        <v/>
      </c>
      <c r="AG112" t="str">
        <f>IF(I112="","",INDEX('03_Base_Indice'!$K112:$U112,I112))</f>
        <v/>
      </c>
      <c r="AH112" t="str">
        <f>IF(J112="","",INDEX('03_Base_Indice'!$K112:$U112,J112))</f>
        <v/>
      </c>
      <c r="AI112" t="str">
        <f>IF(K112="","",INDEX('03_Base_Indice'!$K112:$U112,K112))</f>
        <v/>
      </c>
      <c r="AJ112" t="str">
        <f>IF(L112="","",INDEX('03_Base_Indice'!$K112:$U112,L112))</f>
        <v/>
      </c>
      <c r="AL112" t="str">
        <f>IF(N112="","",INDEX('03_Base_Indice'!$K112:$U112,N112))</f>
        <v/>
      </c>
      <c r="AM112" t="str">
        <f>IF(O112="","",INDEX('03_Base_Indice'!$K112:$U112,O112))</f>
        <v/>
      </c>
      <c r="AN112" t="str">
        <f>IF(P112="","",INDEX('03_Base_Indice'!$K112:$U112,P112))</f>
        <v/>
      </c>
      <c r="AO112" t="str">
        <f>IF(Q112="","",INDEX('03_Base_Indice'!$K112:$U112,Q112))</f>
        <v/>
      </c>
      <c r="AP112" t="str">
        <f>IF(R112="","",INDEX('03_Base_Indice'!$K112:$U112,R112))</f>
        <v/>
      </c>
      <c r="AQ112" t="str">
        <f>IF(S112="","",INDEX('03_Base_Indice'!$K112:$U112,S112))</f>
        <v/>
      </c>
      <c r="AR112" t="str">
        <f>IF(T112="","",INDEX('03_Base_Indice'!$K112:$U112,T112))</f>
        <v/>
      </c>
      <c r="AS112" t="str">
        <f>IF(U112="","",INDEX('03_Base_Indice'!$K112:$U112,U112))</f>
        <v/>
      </c>
      <c r="AT112" t="str">
        <f>IF(V112="","",INDEX('03_Base_Indice'!$K112:$U112,V112))</f>
        <v/>
      </c>
      <c r="AU112" t="str">
        <f>IF(W112="","",INDEX('03_Base_Indice'!$K112:$U112,W112))</f>
        <v/>
      </c>
      <c r="AV112" t="str">
        <f>IF(X112="","",INDEX('03_Base_Indice'!$K112:$U112,X112))</f>
        <v/>
      </c>
      <c r="AX112">
        <f>IF('06_Normalizacao'!K112="",0,'06_Normalizacao'!K112)</f>
        <v>0</v>
      </c>
      <c r="AY112">
        <f>IF('06_Normalizacao'!L112="",0,'06_Normalizacao'!L112)</f>
        <v>0</v>
      </c>
      <c r="AZ112">
        <f>IF('06_Normalizacao'!M112="",0,'06_Normalizacao'!M112)</f>
        <v>0</v>
      </c>
      <c r="BA112">
        <f>IF('06_Normalizacao'!N112="",0,'06_Normalizacao'!N112)</f>
        <v>0</v>
      </c>
      <c r="BB112">
        <f>IF('06_Normalizacao'!O112="",0,'06_Normalizacao'!O112)</f>
        <v>0</v>
      </c>
      <c r="BC112">
        <f>IF('06_Normalizacao'!P112="",0,'06_Normalizacao'!P112)</f>
        <v>0</v>
      </c>
      <c r="BD112">
        <f>IF('06_Normalizacao'!Q112="",0,'06_Normalizacao'!Q112)</f>
        <v>0</v>
      </c>
      <c r="BE112">
        <f>IF('06_Normalizacao'!R112="",0,'06_Normalizacao'!R112)</f>
        <v>0</v>
      </c>
      <c r="BF112">
        <f>IF('06_Normalizacao'!S112="",0,'06_Normalizacao'!S112)</f>
        <v>0</v>
      </c>
      <c r="BG112">
        <f>IF('06_Normalizacao'!T112="",0,'06_Normalizacao'!T112)</f>
        <v>0</v>
      </c>
      <c r="BH112">
        <f>IF('06_Normalizacao'!U112="",0,'06_Normalizacao'!U112)</f>
        <v>0</v>
      </c>
      <c r="BJ112">
        <f>IF('06_Normalizacao'!K112="",0,1)</f>
        <v>0</v>
      </c>
      <c r="BK112">
        <f>IF('06_Normalizacao'!L112="",0,1)</f>
        <v>0</v>
      </c>
      <c r="BL112">
        <f>IF('06_Normalizacao'!M112="",0,1)</f>
        <v>0</v>
      </c>
      <c r="BM112">
        <f>IF('06_Normalizacao'!N112="",0,1)</f>
        <v>0</v>
      </c>
      <c r="BN112">
        <f>IF('06_Normalizacao'!O112="",0,1)</f>
        <v>0</v>
      </c>
      <c r="BO112">
        <f>IF('06_Normalizacao'!P112="",0,1)</f>
        <v>0</v>
      </c>
      <c r="BP112">
        <f>IF('06_Normalizacao'!Q112="",0,1)</f>
        <v>0</v>
      </c>
      <c r="BQ112">
        <f>IF('06_Normalizacao'!R112="",0,1)</f>
        <v>0</v>
      </c>
      <c r="BR112">
        <f>IF('06_Normalizacao'!S112="",0,1)</f>
        <v>0</v>
      </c>
      <c r="BS112">
        <f>IF('06_Normalizacao'!T112="",0,1)</f>
        <v>0</v>
      </c>
      <c r="BT112">
        <f>IF('06_Normalizacao'!U112="",0,1)</f>
        <v>0</v>
      </c>
    </row>
    <row r="113" spans="1:72">
      <c r="A113" s="6" t="str">
        <f>'03_Base_Indice'!D113</f>
        <v/>
      </c>
      <c r="B113" t="str">
        <f>IFERROR(LOOKUP(2,1/ISNUMBER('03_Base_Indice'!$K113:K113),COLUMN('03_Base_Indice'!$K113:K113)-COLUMN('03_Base_Indice'!$K113)+1),"")</f>
        <v/>
      </c>
      <c r="C113" t="str">
        <f>IFERROR(LOOKUP(2,1/ISNUMBER('03_Base_Indice'!$K113:L113),COLUMN('03_Base_Indice'!$K113:L113)-COLUMN('03_Base_Indice'!$K113)+1),"")</f>
        <v/>
      </c>
      <c r="D113" t="str">
        <f>IFERROR(LOOKUP(2,1/ISNUMBER('03_Base_Indice'!$K113:M113),COLUMN('03_Base_Indice'!$K113:M113)-COLUMN('03_Base_Indice'!$K113)+1),"")</f>
        <v/>
      </c>
      <c r="E113" t="str">
        <f>IFERROR(LOOKUP(2,1/ISNUMBER('03_Base_Indice'!$K113:N113),COLUMN('03_Base_Indice'!$K113:N113)-COLUMN('03_Base_Indice'!$K113)+1),"")</f>
        <v/>
      </c>
      <c r="F113" t="str">
        <f>IFERROR(LOOKUP(2,1/ISNUMBER('03_Base_Indice'!$K113:O113),COLUMN('03_Base_Indice'!$K113:O113)-COLUMN('03_Base_Indice'!$K113)+1),"")</f>
        <v/>
      </c>
      <c r="G113" t="str">
        <f>IFERROR(LOOKUP(2,1/ISNUMBER('03_Base_Indice'!$K113:P113),COLUMN('03_Base_Indice'!$K113:P113)-COLUMN('03_Base_Indice'!$K113)+1),"")</f>
        <v/>
      </c>
      <c r="H113" t="str">
        <f>IFERROR(LOOKUP(2,1/ISNUMBER('03_Base_Indice'!$K113:Q113),COLUMN('03_Base_Indice'!$K113:Q113)-COLUMN('03_Base_Indice'!$K113)+1),"")</f>
        <v/>
      </c>
      <c r="I113" t="str">
        <f>IFERROR(LOOKUP(2,1/ISNUMBER('03_Base_Indice'!$K113:R113),COLUMN('03_Base_Indice'!$K113:R113)-COLUMN('03_Base_Indice'!$K113)+1),"")</f>
        <v/>
      </c>
      <c r="J113" t="str">
        <f>IFERROR(LOOKUP(2,1/ISNUMBER('03_Base_Indice'!$K113:S113),COLUMN('03_Base_Indice'!$K113:S113)-COLUMN('03_Base_Indice'!$K113)+1),"")</f>
        <v/>
      </c>
      <c r="K113" t="str">
        <f>IFERROR(LOOKUP(2,1/ISNUMBER('03_Base_Indice'!$K113:T113),COLUMN('03_Base_Indice'!$K113:T113)-COLUMN('03_Base_Indice'!$K113)+1),"")</f>
        <v/>
      </c>
      <c r="L113" t="str">
        <f>IFERROR(LOOKUP(2,1/ISNUMBER('03_Base_Indice'!$K113:U113),COLUMN('03_Base_Indice'!$K113:U113)-COLUMN('03_Base_Indice'!$K113)+1),"")</f>
        <v/>
      </c>
      <c r="N113" t="str">
        <f>IFERROR(MATCH(TRUE,INDEX(ISNUMBER('03_Base_Indice'!K113:$U113),0),0)+0,"")</f>
        <v/>
      </c>
      <c r="O113" t="str">
        <f>IFERROR(MATCH(TRUE,INDEX(ISNUMBER('03_Base_Indice'!L113:$U113),0),0)+1,"")</f>
        <v/>
      </c>
      <c r="P113" t="str">
        <f>IFERROR(MATCH(TRUE,INDEX(ISNUMBER('03_Base_Indice'!M113:$U113),0),0)+2,"")</f>
        <v/>
      </c>
      <c r="Q113" t="str">
        <f>IFERROR(MATCH(TRUE,INDEX(ISNUMBER('03_Base_Indice'!N113:$U113),0),0)+3,"")</f>
        <v/>
      </c>
      <c r="R113" t="str">
        <f>IFERROR(MATCH(TRUE,INDEX(ISNUMBER('03_Base_Indice'!O113:$U113),0),0)+4,"")</f>
        <v/>
      </c>
      <c r="S113" t="str">
        <f>IFERROR(MATCH(TRUE,INDEX(ISNUMBER('03_Base_Indice'!P113:$U113),0),0)+5,"")</f>
        <v/>
      </c>
      <c r="T113" t="str">
        <f>IFERROR(MATCH(TRUE,INDEX(ISNUMBER('03_Base_Indice'!Q113:$U113),0),0)+6,"")</f>
        <v/>
      </c>
      <c r="U113" t="str">
        <f>IFERROR(MATCH(TRUE,INDEX(ISNUMBER('03_Base_Indice'!R113:$U113),0),0)+7,"")</f>
        <v/>
      </c>
      <c r="V113" t="str">
        <f>IFERROR(MATCH(TRUE,INDEX(ISNUMBER('03_Base_Indice'!S113:$U113),0),0)+8,"")</f>
        <v/>
      </c>
      <c r="W113" t="str">
        <f>IFERROR(MATCH(TRUE,INDEX(ISNUMBER('03_Base_Indice'!T113:$U113),0),0)+9,"")</f>
        <v/>
      </c>
      <c r="X113" t="str">
        <f>IFERROR(MATCH(TRUE,INDEX(ISNUMBER('03_Base_Indice'!U113:$U113),0),0)+10,"")</f>
        <v/>
      </c>
      <c r="Z113" t="str">
        <f>IF(B113="","",INDEX('03_Base_Indice'!$K113:$U113,B113))</f>
        <v/>
      </c>
      <c r="AA113" t="str">
        <f>IF(C113="","",INDEX('03_Base_Indice'!$K113:$U113,C113))</f>
        <v/>
      </c>
      <c r="AB113" t="str">
        <f>IF(D113="","",INDEX('03_Base_Indice'!$K113:$U113,D113))</f>
        <v/>
      </c>
      <c r="AC113" t="str">
        <f>IF(E113="","",INDEX('03_Base_Indice'!$K113:$U113,E113))</f>
        <v/>
      </c>
      <c r="AD113" t="str">
        <f>IF(F113="","",INDEX('03_Base_Indice'!$K113:$U113,F113))</f>
        <v/>
      </c>
      <c r="AE113" t="str">
        <f>IF(G113="","",INDEX('03_Base_Indice'!$K113:$U113,G113))</f>
        <v/>
      </c>
      <c r="AF113" t="str">
        <f>IF(H113="","",INDEX('03_Base_Indice'!$K113:$U113,H113))</f>
        <v/>
      </c>
      <c r="AG113" t="str">
        <f>IF(I113="","",INDEX('03_Base_Indice'!$K113:$U113,I113))</f>
        <v/>
      </c>
      <c r="AH113" t="str">
        <f>IF(J113="","",INDEX('03_Base_Indice'!$K113:$U113,J113))</f>
        <v/>
      </c>
      <c r="AI113" t="str">
        <f>IF(K113="","",INDEX('03_Base_Indice'!$K113:$U113,K113))</f>
        <v/>
      </c>
      <c r="AJ113" t="str">
        <f>IF(L113="","",INDEX('03_Base_Indice'!$K113:$U113,L113))</f>
        <v/>
      </c>
      <c r="AL113" t="str">
        <f>IF(N113="","",INDEX('03_Base_Indice'!$K113:$U113,N113))</f>
        <v/>
      </c>
      <c r="AM113" t="str">
        <f>IF(O113="","",INDEX('03_Base_Indice'!$K113:$U113,O113))</f>
        <v/>
      </c>
      <c r="AN113" t="str">
        <f>IF(P113="","",INDEX('03_Base_Indice'!$K113:$U113,P113))</f>
        <v/>
      </c>
      <c r="AO113" t="str">
        <f>IF(Q113="","",INDEX('03_Base_Indice'!$K113:$U113,Q113))</f>
        <v/>
      </c>
      <c r="AP113" t="str">
        <f>IF(R113="","",INDEX('03_Base_Indice'!$K113:$U113,R113))</f>
        <v/>
      </c>
      <c r="AQ113" t="str">
        <f>IF(S113="","",INDEX('03_Base_Indice'!$K113:$U113,S113))</f>
        <v/>
      </c>
      <c r="AR113" t="str">
        <f>IF(T113="","",INDEX('03_Base_Indice'!$K113:$U113,T113))</f>
        <v/>
      </c>
      <c r="AS113" t="str">
        <f>IF(U113="","",INDEX('03_Base_Indice'!$K113:$U113,U113))</f>
        <v/>
      </c>
      <c r="AT113" t="str">
        <f>IF(V113="","",INDEX('03_Base_Indice'!$K113:$U113,V113))</f>
        <v/>
      </c>
      <c r="AU113" t="str">
        <f>IF(W113="","",INDEX('03_Base_Indice'!$K113:$U113,W113))</f>
        <v/>
      </c>
      <c r="AV113" t="str">
        <f>IF(X113="","",INDEX('03_Base_Indice'!$K113:$U113,X113))</f>
        <v/>
      </c>
      <c r="AX113">
        <f>IF('06_Normalizacao'!K113="",0,'06_Normalizacao'!K113)</f>
        <v>0</v>
      </c>
      <c r="AY113">
        <f>IF('06_Normalizacao'!L113="",0,'06_Normalizacao'!L113)</f>
        <v>0</v>
      </c>
      <c r="AZ113">
        <f>IF('06_Normalizacao'!M113="",0,'06_Normalizacao'!M113)</f>
        <v>0</v>
      </c>
      <c r="BA113">
        <f>IF('06_Normalizacao'!N113="",0,'06_Normalizacao'!N113)</f>
        <v>0</v>
      </c>
      <c r="BB113">
        <f>IF('06_Normalizacao'!O113="",0,'06_Normalizacao'!O113)</f>
        <v>0</v>
      </c>
      <c r="BC113">
        <f>IF('06_Normalizacao'!P113="",0,'06_Normalizacao'!P113)</f>
        <v>0</v>
      </c>
      <c r="BD113">
        <f>IF('06_Normalizacao'!Q113="",0,'06_Normalizacao'!Q113)</f>
        <v>0</v>
      </c>
      <c r="BE113">
        <f>IF('06_Normalizacao'!R113="",0,'06_Normalizacao'!R113)</f>
        <v>0</v>
      </c>
      <c r="BF113">
        <f>IF('06_Normalizacao'!S113="",0,'06_Normalizacao'!S113)</f>
        <v>0</v>
      </c>
      <c r="BG113">
        <f>IF('06_Normalizacao'!T113="",0,'06_Normalizacao'!T113)</f>
        <v>0</v>
      </c>
      <c r="BH113">
        <f>IF('06_Normalizacao'!U113="",0,'06_Normalizacao'!U113)</f>
        <v>0</v>
      </c>
      <c r="BJ113">
        <f>IF('06_Normalizacao'!K113="",0,1)</f>
        <v>0</v>
      </c>
      <c r="BK113">
        <f>IF('06_Normalizacao'!L113="",0,1)</f>
        <v>0</v>
      </c>
      <c r="BL113">
        <f>IF('06_Normalizacao'!M113="",0,1)</f>
        <v>0</v>
      </c>
      <c r="BM113">
        <f>IF('06_Normalizacao'!N113="",0,1)</f>
        <v>0</v>
      </c>
      <c r="BN113">
        <f>IF('06_Normalizacao'!O113="",0,1)</f>
        <v>0</v>
      </c>
      <c r="BO113">
        <f>IF('06_Normalizacao'!P113="",0,1)</f>
        <v>0</v>
      </c>
      <c r="BP113">
        <f>IF('06_Normalizacao'!Q113="",0,1)</f>
        <v>0</v>
      </c>
      <c r="BQ113">
        <f>IF('06_Normalizacao'!R113="",0,1)</f>
        <v>0</v>
      </c>
      <c r="BR113">
        <f>IF('06_Normalizacao'!S113="",0,1)</f>
        <v>0</v>
      </c>
      <c r="BS113">
        <f>IF('06_Normalizacao'!T113="",0,1)</f>
        <v>0</v>
      </c>
      <c r="BT113">
        <f>IF('06_Normalizacao'!U113="",0,1)</f>
        <v>0</v>
      </c>
    </row>
    <row r="114" spans="1:72">
      <c r="A114" s="6" t="str">
        <f>'03_Base_Indice'!D114</f>
        <v/>
      </c>
      <c r="B114" t="str">
        <f>IFERROR(LOOKUP(2,1/ISNUMBER('03_Base_Indice'!$K114:K114),COLUMN('03_Base_Indice'!$K114:K114)-COLUMN('03_Base_Indice'!$K114)+1),"")</f>
        <v/>
      </c>
      <c r="C114" t="str">
        <f>IFERROR(LOOKUP(2,1/ISNUMBER('03_Base_Indice'!$K114:L114),COLUMN('03_Base_Indice'!$K114:L114)-COLUMN('03_Base_Indice'!$K114)+1),"")</f>
        <v/>
      </c>
      <c r="D114" t="str">
        <f>IFERROR(LOOKUP(2,1/ISNUMBER('03_Base_Indice'!$K114:M114),COLUMN('03_Base_Indice'!$K114:M114)-COLUMN('03_Base_Indice'!$K114)+1),"")</f>
        <v/>
      </c>
      <c r="E114" t="str">
        <f>IFERROR(LOOKUP(2,1/ISNUMBER('03_Base_Indice'!$K114:N114),COLUMN('03_Base_Indice'!$K114:N114)-COLUMN('03_Base_Indice'!$K114)+1),"")</f>
        <v/>
      </c>
      <c r="F114" t="str">
        <f>IFERROR(LOOKUP(2,1/ISNUMBER('03_Base_Indice'!$K114:O114),COLUMN('03_Base_Indice'!$K114:O114)-COLUMN('03_Base_Indice'!$K114)+1),"")</f>
        <v/>
      </c>
      <c r="G114" t="str">
        <f>IFERROR(LOOKUP(2,1/ISNUMBER('03_Base_Indice'!$K114:P114),COLUMN('03_Base_Indice'!$K114:P114)-COLUMN('03_Base_Indice'!$K114)+1),"")</f>
        <v/>
      </c>
      <c r="H114" t="str">
        <f>IFERROR(LOOKUP(2,1/ISNUMBER('03_Base_Indice'!$K114:Q114),COLUMN('03_Base_Indice'!$K114:Q114)-COLUMN('03_Base_Indice'!$K114)+1),"")</f>
        <v/>
      </c>
      <c r="I114" t="str">
        <f>IFERROR(LOOKUP(2,1/ISNUMBER('03_Base_Indice'!$K114:R114),COLUMN('03_Base_Indice'!$K114:R114)-COLUMN('03_Base_Indice'!$K114)+1),"")</f>
        <v/>
      </c>
      <c r="J114" t="str">
        <f>IFERROR(LOOKUP(2,1/ISNUMBER('03_Base_Indice'!$K114:S114),COLUMN('03_Base_Indice'!$K114:S114)-COLUMN('03_Base_Indice'!$K114)+1),"")</f>
        <v/>
      </c>
      <c r="K114" t="str">
        <f>IFERROR(LOOKUP(2,1/ISNUMBER('03_Base_Indice'!$K114:T114),COLUMN('03_Base_Indice'!$K114:T114)-COLUMN('03_Base_Indice'!$K114)+1),"")</f>
        <v/>
      </c>
      <c r="L114" t="str">
        <f>IFERROR(LOOKUP(2,1/ISNUMBER('03_Base_Indice'!$K114:U114),COLUMN('03_Base_Indice'!$K114:U114)-COLUMN('03_Base_Indice'!$K114)+1),"")</f>
        <v/>
      </c>
      <c r="N114" t="str">
        <f>IFERROR(MATCH(TRUE,INDEX(ISNUMBER('03_Base_Indice'!K114:$U114),0),0)+0,"")</f>
        <v/>
      </c>
      <c r="O114" t="str">
        <f>IFERROR(MATCH(TRUE,INDEX(ISNUMBER('03_Base_Indice'!L114:$U114),0),0)+1,"")</f>
        <v/>
      </c>
      <c r="P114" t="str">
        <f>IFERROR(MATCH(TRUE,INDEX(ISNUMBER('03_Base_Indice'!M114:$U114),0),0)+2,"")</f>
        <v/>
      </c>
      <c r="Q114" t="str">
        <f>IFERROR(MATCH(TRUE,INDEX(ISNUMBER('03_Base_Indice'!N114:$U114),0),0)+3,"")</f>
        <v/>
      </c>
      <c r="R114" t="str">
        <f>IFERROR(MATCH(TRUE,INDEX(ISNUMBER('03_Base_Indice'!O114:$U114),0),0)+4,"")</f>
        <v/>
      </c>
      <c r="S114" t="str">
        <f>IFERROR(MATCH(TRUE,INDEX(ISNUMBER('03_Base_Indice'!P114:$U114),0),0)+5,"")</f>
        <v/>
      </c>
      <c r="T114" t="str">
        <f>IFERROR(MATCH(TRUE,INDEX(ISNUMBER('03_Base_Indice'!Q114:$U114),0),0)+6,"")</f>
        <v/>
      </c>
      <c r="U114" t="str">
        <f>IFERROR(MATCH(TRUE,INDEX(ISNUMBER('03_Base_Indice'!R114:$U114),0),0)+7,"")</f>
        <v/>
      </c>
      <c r="V114" t="str">
        <f>IFERROR(MATCH(TRUE,INDEX(ISNUMBER('03_Base_Indice'!S114:$U114),0),0)+8,"")</f>
        <v/>
      </c>
      <c r="W114" t="str">
        <f>IFERROR(MATCH(TRUE,INDEX(ISNUMBER('03_Base_Indice'!T114:$U114),0),0)+9,"")</f>
        <v/>
      </c>
      <c r="X114" t="str">
        <f>IFERROR(MATCH(TRUE,INDEX(ISNUMBER('03_Base_Indice'!U114:$U114),0),0)+10,"")</f>
        <v/>
      </c>
      <c r="Z114" t="str">
        <f>IF(B114="","",INDEX('03_Base_Indice'!$K114:$U114,B114))</f>
        <v/>
      </c>
      <c r="AA114" t="str">
        <f>IF(C114="","",INDEX('03_Base_Indice'!$K114:$U114,C114))</f>
        <v/>
      </c>
      <c r="AB114" t="str">
        <f>IF(D114="","",INDEX('03_Base_Indice'!$K114:$U114,D114))</f>
        <v/>
      </c>
      <c r="AC114" t="str">
        <f>IF(E114="","",INDEX('03_Base_Indice'!$K114:$U114,E114))</f>
        <v/>
      </c>
      <c r="AD114" t="str">
        <f>IF(F114="","",INDEX('03_Base_Indice'!$K114:$U114,F114))</f>
        <v/>
      </c>
      <c r="AE114" t="str">
        <f>IF(G114="","",INDEX('03_Base_Indice'!$K114:$U114,G114))</f>
        <v/>
      </c>
      <c r="AF114" t="str">
        <f>IF(H114="","",INDEX('03_Base_Indice'!$K114:$U114,H114))</f>
        <v/>
      </c>
      <c r="AG114" t="str">
        <f>IF(I114="","",INDEX('03_Base_Indice'!$K114:$U114,I114))</f>
        <v/>
      </c>
      <c r="AH114" t="str">
        <f>IF(J114="","",INDEX('03_Base_Indice'!$K114:$U114,J114))</f>
        <v/>
      </c>
      <c r="AI114" t="str">
        <f>IF(K114="","",INDEX('03_Base_Indice'!$K114:$U114,K114))</f>
        <v/>
      </c>
      <c r="AJ114" t="str">
        <f>IF(L114="","",INDEX('03_Base_Indice'!$K114:$U114,L114))</f>
        <v/>
      </c>
      <c r="AL114" t="str">
        <f>IF(N114="","",INDEX('03_Base_Indice'!$K114:$U114,N114))</f>
        <v/>
      </c>
      <c r="AM114" t="str">
        <f>IF(O114="","",INDEX('03_Base_Indice'!$K114:$U114,O114))</f>
        <v/>
      </c>
      <c r="AN114" t="str">
        <f>IF(P114="","",INDEX('03_Base_Indice'!$K114:$U114,P114))</f>
        <v/>
      </c>
      <c r="AO114" t="str">
        <f>IF(Q114="","",INDEX('03_Base_Indice'!$K114:$U114,Q114))</f>
        <v/>
      </c>
      <c r="AP114" t="str">
        <f>IF(R114="","",INDEX('03_Base_Indice'!$K114:$U114,R114))</f>
        <v/>
      </c>
      <c r="AQ114" t="str">
        <f>IF(S114="","",INDEX('03_Base_Indice'!$K114:$U114,S114))</f>
        <v/>
      </c>
      <c r="AR114" t="str">
        <f>IF(T114="","",INDEX('03_Base_Indice'!$K114:$U114,T114))</f>
        <v/>
      </c>
      <c r="AS114" t="str">
        <f>IF(U114="","",INDEX('03_Base_Indice'!$K114:$U114,U114))</f>
        <v/>
      </c>
      <c r="AT114" t="str">
        <f>IF(V114="","",INDEX('03_Base_Indice'!$K114:$U114,V114))</f>
        <v/>
      </c>
      <c r="AU114" t="str">
        <f>IF(W114="","",INDEX('03_Base_Indice'!$K114:$U114,W114))</f>
        <v/>
      </c>
      <c r="AV114" t="str">
        <f>IF(X114="","",INDEX('03_Base_Indice'!$K114:$U114,X114))</f>
        <v/>
      </c>
      <c r="AX114">
        <f>IF('06_Normalizacao'!K114="",0,'06_Normalizacao'!K114)</f>
        <v>0</v>
      </c>
      <c r="AY114">
        <f>IF('06_Normalizacao'!L114="",0,'06_Normalizacao'!L114)</f>
        <v>0</v>
      </c>
      <c r="AZ114">
        <f>IF('06_Normalizacao'!M114="",0,'06_Normalizacao'!M114)</f>
        <v>0</v>
      </c>
      <c r="BA114">
        <f>IF('06_Normalizacao'!N114="",0,'06_Normalizacao'!N114)</f>
        <v>0</v>
      </c>
      <c r="BB114">
        <f>IF('06_Normalizacao'!O114="",0,'06_Normalizacao'!O114)</f>
        <v>0</v>
      </c>
      <c r="BC114">
        <f>IF('06_Normalizacao'!P114="",0,'06_Normalizacao'!P114)</f>
        <v>0</v>
      </c>
      <c r="BD114">
        <f>IF('06_Normalizacao'!Q114="",0,'06_Normalizacao'!Q114)</f>
        <v>0</v>
      </c>
      <c r="BE114">
        <f>IF('06_Normalizacao'!R114="",0,'06_Normalizacao'!R114)</f>
        <v>0</v>
      </c>
      <c r="BF114">
        <f>IF('06_Normalizacao'!S114="",0,'06_Normalizacao'!S114)</f>
        <v>0</v>
      </c>
      <c r="BG114">
        <f>IF('06_Normalizacao'!T114="",0,'06_Normalizacao'!T114)</f>
        <v>0</v>
      </c>
      <c r="BH114">
        <f>IF('06_Normalizacao'!U114="",0,'06_Normalizacao'!U114)</f>
        <v>0</v>
      </c>
      <c r="BJ114">
        <f>IF('06_Normalizacao'!K114="",0,1)</f>
        <v>0</v>
      </c>
      <c r="BK114">
        <f>IF('06_Normalizacao'!L114="",0,1)</f>
        <v>0</v>
      </c>
      <c r="BL114">
        <f>IF('06_Normalizacao'!M114="",0,1)</f>
        <v>0</v>
      </c>
      <c r="BM114">
        <f>IF('06_Normalizacao'!N114="",0,1)</f>
        <v>0</v>
      </c>
      <c r="BN114">
        <f>IF('06_Normalizacao'!O114="",0,1)</f>
        <v>0</v>
      </c>
      <c r="BO114">
        <f>IF('06_Normalizacao'!P114="",0,1)</f>
        <v>0</v>
      </c>
      <c r="BP114">
        <f>IF('06_Normalizacao'!Q114="",0,1)</f>
        <v>0</v>
      </c>
      <c r="BQ114">
        <f>IF('06_Normalizacao'!R114="",0,1)</f>
        <v>0</v>
      </c>
      <c r="BR114">
        <f>IF('06_Normalizacao'!S114="",0,1)</f>
        <v>0</v>
      </c>
      <c r="BS114">
        <f>IF('06_Normalizacao'!T114="",0,1)</f>
        <v>0</v>
      </c>
      <c r="BT114">
        <f>IF('06_Normalizacao'!U114="",0,1)</f>
        <v>0</v>
      </c>
    </row>
    <row r="118" spans="1:72">
      <c r="A118" s="4" t="s">
        <v>2230</v>
      </c>
    </row>
    <row r="120" spans="1:72">
      <c r="A120" s="6" t="str">
        <f>'07_Subindices'!A5</f>
        <v>Governança</v>
      </c>
      <c r="B120">
        <f>IF('07_Subindices'!$B5&lt;&gt;1,0,IF('07_Subindices'!F5="",0,IF('07_Subindices'!F5&lt;='01_Criterios'!$C$9,0,LN('07_Subindices'!F5)*'07_Subindices'!$C5)))</f>
        <v>3.311119416584849</v>
      </c>
      <c r="C120">
        <f>IF('07_Subindices'!$B5&lt;&gt;1,0,IF('07_Subindices'!G5="",0,IF('07_Subindices'!G5&lt;='01_Criterios'!$C$9,0,LN('07_Subindices'!G5)*'07_Subindices'!$C5)))</f>
        <v>3.3331736689605034</v>
      </c>
      <c r="D120">
        <f>IF('07_Subindices'!$B5&lt;&gt;1,0,IF('07_Subindices'!H5="",0,IF('07_Subindices'!H5&lt;='01_Criterios'!$C$9,0,LN('07_Subindices'!H5)*'07_Subindices'!$C5)))</f>
        <v>3.3225834905217213</v>
      </c>
      <c r="E120">
        <f>IF('07_Subindices'!$B5&lt;&gt;1,0,IF('07_Subindices'!I5="",0,IF('07_Subindices'!I5&lt;='01_Criterios'!$C$9,0,LN('07_Subindices'!I5)*'07_Subindices'!$C5)))</f>
        <v>3.3867923387631129</v>
      </c>
      <c r="F120">
        <f>IF('07_Subindices'!$B5&lt;&gt;1,0,IF('07_Subindices'!J5="",0,IF('07_Subindices'!J5&lt;='01_Criterios'!$C$9,0,LN('07_Subindices'!J5)*'07_Subindices'!$C5)))</f>
        <v>3.4556282420708624</v>
      </c>
      <c r="G120">
        <f>IF('07_Subindices'!$B5&lt;&gt;1,0,IF('07_Subindices'!K5="",0,IF('07_Subindices'!K5&lt;='01_Criterios'!$C$9,0,LN('07_Subindices'!K5)*'07_Subindices'!$C5)))</f>
        <v>3.4280977147927221</v>
      </c>
      <c r="H120">
        <f>IF('07_Subindices'!$B5&lt;&gt;1,0,IF('07_Subindices'!L5="",0,IF('07_Subindices'!L5&lt;='01_Criterios'!$C$9,0,LN('07_Subindices'!L5)*'07_Subindices'!$C5)))</f>
        <v>3.4372156005053962</v>
      </c>
      <c r="I120">
        <f>IF('07_Subindices'!$B5&lt;&gt;1,0,IF('07_Subindices'!M5="",0,IF('07_Subindices'!M5&lt;='01_Criterios'!$C$9,0,LN('07_Subindices'!M5)*'07_Subindices'!$C5)))</f>
        <v>3.4967009245888083</v>
      </c>
      <c r="J120">
        <f>IF('07_Subindices'!$B5&lt;&gt;1,0,IF('07_Subindices'!N5="",0,IF('07_Subindices'!N5&lt;='01_Criterios'!$C$9,0,LN('07_Subindices'!N5)*'07_Subindices'!$C5)))</f>
        <v>3.5156381626471784</v>
      </c>
      <c r="K120">
        <f>IF('07_Subindices'!$B5&lt;&gt;1,0,IF('07_Subindices'!O5="",0,IF('07_Subindices'!O5&lt;='01_Criterios'!$C$9,0,LN('07_Subindices'!O5)*'07_Subindices'!$C5)))</f>
        <v>3.5023633404534946</v>
      </c>
      <c r="L120">
        <f>IF('07_Subindices'!$B5&lt;&gt;1,0,IF('07_Subindices'!P5="",0,IF('07_Subindices'!P5&lt;='01_Criterios'!$C$9,0,LN('07_Subindices'!P5)*'07_Subindices'!$C5)))</f>
        <v>3.5023633404534946</v>
      </c>
      <c r="N120">
        <f>IF('07_Subindices'!$B5&lt;&gt;1,0,IF('07_Subindices'!F5="",0,'07_Subindices'!$C5))</f>
        <v>1</v>
      </c>
      <c r="O120">
        <f>IF('07_Subindices'!$B5&lt;&gt;1,0,IF('07_Subindices'!G5="",0,'07_Subindices'!$C5))</f>
        <v>1</v>
      </c>
      <c r="P120">
        <f>IF('07_Subindices'!$B5&lt;&gt;1,0,IF('07_Subindices'!H5="",0,'07_Subindices'!$C5))</f>
        <v>1</v>
      </c>
      <c r="Q120">
        <f>IF('07_Subindices'!$B5&lt;&gt;1,0,IF('07_Subindices'!I5="",0,'07_Subindices'!$C5))</f>
        <v>1</v>
      </c>
      <c r="R120">
        <f>IF('07_Subindices'!$B5&lt;&gt;1,0,IF('07_Subindices'!J5="",0,'07_Subindices'!$C5))</f>
        <v>1</v>
      </c>
      <c r="S120">
        <f>IF('07_Subindices'!$B5&lt;&gt;1,0,IF('07_Subindices'!K5="",0,'07_Subindices'!$C5))</f>
        <v>1</v>
      </c>
      <c r="T120">
        <f>IF('07_Subindices'!$B5&lt;&gt;1,0,IF('07_Subindices'!L5="",0,'07_Subindices'!$C5))</f>
        <v>1</v>
      </c>
      <c r="U120">
        <f>IF('07_Subindices'!$B5&lt;&gt;1,0,IF('07_Subindices'!M5="",0,'07_Subindices'!$C5))</f>
        <v>1</v>
      </c>
      <c r="V120">
        <f>IF('07_Subindices'!$B5&lt;&gt;1,0,IF('07_Subindices'!N5="",0,'07_Subindices'!$C5))</f>
        <v>1</v>
      </c>
      <c r="W120">
        <f>IF('07_Subindices'!$B5&lt;&gt;1,0,IF('07_Subindices'!O5="",0,'07_Subindices'!$C5))</f>
        <v>1</v>
      </c>
      <c r="X120">
        <f>IF('07_Subindices'!$B5&lt;&gt;1,0,IF('07_Subindices'!P5="",0,'07_Subindices'!$C5))</f>
        <v>1</v>
      </c>
      <c r="Z120">
        <f>IF('07_Subindices'!$B5&lt;&gt;1,0,IF('07_Subindices'!F5="",0,1))</f>
        <v>1</v>
      </c>
      <c r="AA120">
        <f>IF('07_Subindices'!$B5&lt;&gt;1,0,IF('07_Subindices'!G5="",0,1))</f>
        <v>1</v>
      </c>
      <c r="AB120">
        <f>IF('07_Subindices'!$B5&lt;&gt;1,0,IF('07_Subindices'!H5="",0,1))</f>
        <v>1</v>
      </c>
      <c r="AC120">
        <f>IF('07_Subindices'!$B5&lt;&gt;1,0,IF('07_Subindices'!I5="",0,1))</f>
        <v>1</v>
      </c>
      <c r="AD120">
        <f>IF('07_Subindices'!$B5&lt;&gt;1,0,IF('07_Subindices'!J5="",0,1))</f>
        <v>1</v>
      </c>
      <c r="AE120">
        <f>IF('07_Subindices'!$B5&lt;&gt;1,0,IF('07_Subindices'!K5="",0,1))</f>
        <v>1</v>
      </c>
      <c r="AF120">
        <f>IF('07_Subindices'!$B5&lt;&gt;1,0,IF('07_Subindices'!L5="",0,1))</f>
        <v>1</v>
      </c>
      <c r="AG120">
        <f>IF('07_Subindices'!$B5&lt;&gt;1,0,IF('07_Subindices'!M5="",0,1))</f>
        <v>1</v>
      </c>
      <c r="AH120">
        <f>IF('07_Subindices'!$B5&lt;&gt;1,0,IF('07_Subindices'!N5="",0,1))</f>
        <v>1</v>
      </c>
      <c r="AI120">
        <f>IF('07_Subindices'!$B5&lt;&gt;1,0,IF('07_Subindices'!O5="",0,1))</f>
        <v>1</v>
      </c>
      <c r="AJ120">
        <f>IF('07_Subindices'!$B5&lt;&gt;1,0,IF('07_Subindices'!P5="",0,1))</f>
        <v>1</v>
      </c>
      <c r="AL120">
        <f>IF('07_Subindices'!$B5&lt;&gt;1,0,IF('07_Subindices'!F5="",0,IF('07_Subindices'!F5&lt;='01_Criterios'!$C$9,1,0)))</f>
        <v>0</v>
      </c>
      <c r="AM120">
        <f>IF('07_Subindices'!$B5&lt;&gt;1,0,IF('07_Subindices'!G5="",0,IF('07_Subindices'!G5&lt;='01_Criterios'!$C$9,1,0)))</f>
        <v>0</v>
      </c>
      <c r="AN120">
        <f>IF('07_Subindices'!$B5&lt;&gt;1,0,IF('07_Subindices'!H5="",0,IF('07_Subindices'!H5&lt;='01_Criterios'!$C$9,1,0)))</f>
        <v>0</v>
      </c>
      <c r="AO120">
        <f>IF('07_Subindices'!$B5&lt;&gt;1,0,IF('07_Subindices'!I5="",0,IF('07_Subindices'!I5&lt;='01_Criterios'!$C$9,1,0)))</f>
        <v>0</v>
      </c>
      <c r="AP120">
        <f>IF('07_Subindices'!$B5&lt;&gt;1,0,IF('07_Subindices'!J5="",0,IF('07_Subindices'!J5&lt;='01_Criterios'!$C$9,1,0)))</f>
        <v>0</v>
      </c>
      <c r="AQ120">
        <f>IF('07_Subindices'!$B5&lt;&gt;1,0,IF('07_Subindices'!K5="",0,IF('07_Subindices'!K5&lt;='01_Criterios'!$C$9,1,0)))</f>
        <v>0</v>
      </c>
      <c r="AR120">
        <f>IF('07_Subindices'!$B5&lt;&gt;1,0,IF('07_Subindices'!L5="",0,IF('07_Subindices'!L5&lt;='01_Criterios'!$C$9,1,0)))</f>
        <v>0</v>
      </c>
      <c r="AS120">
        <f>IF('07_Subindices'!$B5&lt;&gt;1,0,IF('07_Subindices'!M5="",0,IF('07_Subindices'!M5&lt;='01_Criterios'!$C$9,1,0)))</f>
        <v>0</v>
      </c>
      <c r="AT120">
        <f>IF('07_Subindices'!$B5&lt;&gt;1,0,IF('07_Subindices'!N5="",0,IF('07_Subindices'!N5&lt;='01_Criterios'!$C$9,1,0)))</f>
        <v>0</v>
      </c>
      <c r="AU120">
        <f>IF('07_Subindices'!$B5&lt;&gt;1,0,IF('07_Subindices'!O5="",0,IF('07_Subindices'!O5&lt;='01_Criterios'!$C$9,1,0)))</f>
        <v>0</v>
      </c>
      <c r="AV120">
        <f>IF('07_Subindices'!$B5&lt;&gt;1,0,IF('07_Subindices'!P5="",0,IF('07_Subindices'!P5&lt;='01_Criterios'!$C$9,1,0)))</f>
        <v>0</v>
      </c>
    </row>
    <row r="121" spans="1:72">
      <c r="A121" s="6" t="str">
        <f>'07_Subindices'!A6</f>
        <v>Macroeconomia</v>
      </c>
      <c r="B121">
        <f>IF('07_Subindices'!$B6&lt;&gt;1,0,IF('07_Subindices'!F6="",0,IF('07_Subindices'!F6&lt;='01_Criterios'!$C$9,0,LN('07_Subindices'!F6)*'07_Subindices'!$C6)))</f>
        <v>3.8945465399164161</v>
      </c>
      <c r="C121">
        <f>IF('07_Subindices'!$B6&lt;&gt;1,0,IF('07_Subindices'!G6="",0,IF('07_Subindices'!G6&lt;='01_Criterios'!$C$9,0,LN('07_Subindices'!G6)*'07_Subindices'!$C6)))</f>
        <v>3.7949562777239785</v>
      </c>
      <c r="D121">
        <f>IF('07_Subindices'!$B6&lt;&gt;1,0,IF('07_Subindices'!H6="",0,IF('07_Subindices'!H6&lt;='01_Criterios'!$C$9,0,LN('07_Subindices'!H6)*'07_Subindices'!$C6)))</f>
        <v>3.8406846390444715</v>
      </c>
      <c r="E121">
        <f>IF('07_Subindices'!$B6&lt;&gt;1,0,IF('07_Subindices'!I6="",0,IF('07_Subindices'!I6&lt;='01_Criterios'!$C$9,0,LN('07_Subindices'!I6)*'07_Subindices'!$C6)))</f>
        <v>3.8090669513775643</v>
      </c>
      <c r="F121">
        <f>IF('07_Subindices'!$B6&lt;&gt;1,0,IF('07_Subindices'!J6="",0,IF('07_Subindices'!J6&lt;='01_Criterios'!$C$9,0,LN('07_Subindices'!J6)*'07_Subindices'!$C6)))</f>
        <v>3.7863471756306732</v>
      </c>
      <c r="G121">
        <f>IF('07_Subindices'!$B6&lt;&gt;1,0,IF('07_Subindices'!K6="",0,IF('07_Subindices'!K6&lt;='01_Criterios'!$C$9,0,LN('07_Subindices'!K6)*'07_Subindices'!$C6)))</f>
        <v>3.4984019491963956</v>
      </c>
      <c r="H121">
        <f>IF('07_Subindices'!$B6&lt;&gt;1,0,IF('07_Subindices'!L6="",0,IF('07_Subindices'!L6&lt;='01_Criterios'!$C$9,0,LN('07_Subindices'!L6)*'07_Subindices'!$C6)))</f>
        <v>3.8855887303080316</v>
      </c>
      <c r="I121">
        <f>IF('07_Subindices'!$B6&lt;&gt;1,0,IF('07_Subindices'!M6="",0,IF('07_Subindices'!M6&lt;='01_Criterios'!$C$9,0,LN('07_Subindices'!M6)*'07_Subindices'!$C6)))</f>
        <v>3.9046003266839899</v>
      </c>
      <c r="J121">
        <f>IF('07_Subindices'!$B6&lt;&gt;1,0,IF('07_Subindices'!N6="",0,IF('07_Subindices'!N6&lt;='01_Criterios'!$C$9,0,LN('07_Subindices'!N6)*'07_Subindices'!$C6)))</f>
        <v>3.8557358184037493</v>
      </c>
      <c r="K121">
        <f>IF('07_Subindices'!$B6&lt;&gt;1,0,IF('07_Subindices'!O6="",0,IF('07_Subindices'!O6&lt;='01_Criterios'!$C$9,0,LN('07_Subindices'!O6)*'07_Subindices'!$C6)))</f>
        <v>3.8835471817205005</v>
      </c>
      <c r="L121">
        <f>IF('07_Subindices'!$B6&lt;&gt;1,0,IF('07_Subindices'!P6="",0,IF('07_Subindices'!P6&lt;='01_Criterios'!$C$9,0,LN('07_Subindices'!P6)*'07_Subindices'!$C6)))</f>
        <v>3.9051949168693443</v>
      </c>
      <c r="N121">
        <f>IF('07_Subindices'!$B6&lt;&gt;1,0,IF('07_Subindices'!F6="",0,'07_Subindices'!$C6))</f>
        <v>1</v>
      </c>
      <c r="O121">
        <f>IF('07_Subindices'!$B6&lt;&gt;1,0,IF('07_Subindices'!G6="",0,'07_Subindices'!$C6))</f>
        <v>1</v>
      </c>
      <c r="P121">
        <f>IF('07_Subindices'!$B6&lt;&gt;1,0,IF('07_Subindices'!H6="",0,'07_Subindices'!$C6))</f>
        <v>1</v>
      </c>
      <c r="Q121">
        <f>IF('07_Subindices'!$B6&lt;&gt;1,0,IF('07_Subindices'!I6="",0,'07_Subindices'!$C6))</f>
        <v>1</v>
      </c>
      <c r="R121">
        <f>IF('07_Subindices'!$B6&lt;&gt;1,0,IF('07_Subindices'!J6="",0,'07_Subindices'!$C6))</f>
        <v>1</v>
      </c>
      <c r="S121">
        <f>IF('07_Subindices'!$B6&lt;&gt;1,0,IF('07_Subindices'!K6="",0,'07_Subindices'!$C6))</f>
        <v>1</v>
      </c>
      <c r="T121">
        <f>IF('07_Subindices'!$B6&lt;&gt;1,0,IF('07_Subindices'!L6="",0,'07_Subindices'!$C6))</f>
        <v>1</v>
      </c>
      <c r="U121">
        <f>IF('07_Subindices'!$B6&lt;&gt;1,0,IF('07_Subindices'!M6="",0,'07_Subindices'!$C6))</f>
        <v>1</v>
      </c>
      <c r="V121">
        <f>IF('07_Subindices'!$B6&lt;&gt;1,0,IF('07_Subindices'!N6="",0,'07_Subindices'!$C6))</f>
        <v>1</v>
      </c>
      <c r="W121">
        <f>IF('07_Subindices'!$B6&lt;&gt;1,0,IF('07_Subindices'!O6="",0,'07_Subindices'!$C6))</f>
        <v>1</v>
      </c>
      <c r="X121">
        <f>IF('07_Subindices'!$B6&lt;&gt;1,0,IF('07_Subindices'!P6="",0,'07_Subindices'!$C6))</f>
        <v>1</v>
      </c>
      <c r="Z121">
        <f>IF('07_Subindices'!$B6&lt;&gt;1,0,IF('07_Subindices'!F6="",0,1))</f>
        <v>1</v>
      </c>
      <c r="AA121">
        <f>IF('07_Subindices'!$B6&lt;&gt;1,0,IF('07_Subindices'!G6="",0,1))</f>
        <v>1</v>
      </c>
      <c r="AB121">
        <f>IF('07_Subindices'!$B6&lt;&gt;1,0,IF('07_Subindices'!H6="",0,1))</f>
        <v>1</v>
      </c>
      <c r="AC121">
        <f>IF('07_Subindices'!$B6&lt;&gt;1,0,IF('07_Subindices'!I6="",0,1))</f>
        <v>1</v>
      </c>
      <c r="AD121">
        <f>IF('07_Subindices'!$B6&lt;&gt;1,0,IF('07_Subindices'!J6="",0,1))</f>
        <v>1</v>
      </c>
      <c r="AE121">
        <f>IF('07_Subindices'!$B6&lt;&gt;1,0,IF('07_Subindices'!K6="",0,1))</f>
        <v>1</v>
      </c>
      <c r="AF121">
        <f>IF('07_Subindices'!$B6&lt;&gt;1,0,IF('07_Subindices'!L6="",0,1))</f>
        <v>1</v>
      </c>
      <c r="AG121">
        <f>IF('07_Subindices'!$B6&lt;&gt;1,0,IF('07_Subindices'!M6="",0,1))</f>
        <v>1</v>
      </c>
      <c r="AH121">
        <f>IF('07_Subindices'!$B6&lt;&gt;1,0,IF('07_Subindices'!N6="",0,1))</f>
        <v>1</v>
      </c>
      <c r="AI121">
        <f>IF('07_Subindices'!$B6&lt;&gt;1,0,IF('07_Subindices'!O6="",0,1))</f>
        <v>1</v>
      </c>
      <c r="AJ121">
        <f>IF('07_Subindices'!$B6&lt;&gt;1,0,IF('07_Subindices'!P6="",0,1))</f>
        <v>1</v>
      </c>
      <c r="AL121">
        <f>IF('07_Subindices'!$B6&lt;&gt;1,0,IF('07_Subindices'!F6="",0,IF('07_Subindices'!F6&lt;='01_Criterios'!$C$9,1,0)))</f>
        <v>0</v>
      </c>
      <c r="AM121">
        <f>IF('07_Subindices'!$B6&lt;&gt;1,0,IF('07_Subindices'!G6="",0,IF('07_Subindices'!G6&lt;='01_Criterios'!$C$9,1,0)))</f>
        <v>0</v>
      </c>
      <c r="AN121">
        <f>IF('07_Subindices'!$B6&lt;&gt;1,0,IF('07_Subindices'!H6="",0,IF('07_Subindices'!H6&lt;='01_Criterios'!$C$9,1,0)))</f>
        <v>0</v>
      </c>
      <c r="AO121">
        <f>IF('07_Subindices'!$B6&lt;&gt;1,0,IF('07_Subindices'!I6="",0,IF('07_Subindices'!I6&lt;='01_Criterios'!$C$9,1,0)))</f>
        <v>0</v>
      </c>
      <c r="AP121">
        <f>IF('07_Subindices'!$B6&lt;&gt;1,0,IF('07_Subindices'!J6="",0,IF('07_Subindices'!J6&lt;='01_Criterios'!$C$9,1,0)))</f>
        <v>0</v>
      </c>
      <c r="AQ121">
        <f>IF('07_Subindices'!$B6&lt;&gt;1,0,IF('07_Subindices'!K6="",0,IF('07_Subindices'!K6&lt;='01_Criterios'!$C$9,1,0)))</f>
        <v>0</v>
      </c>
      <c r="AR121">
        <f>IF('07_Subindices'!$B6&lt;&gt;1,0,IF('07_Subindices'!L6="",0,IF('07_Subindices'!L6&lt;='01_Criterios'!$C$9,1,0)))</f>
        <v>0</v>
      </c>
      <c r="AS121">
        <f>IF('07_Subindices'!$B6&lt;&gt;1,0,IF('07_Subindices'!M6="",0,IF('07_Subindices'!M6&lt;='01_Criterios'!$C$9,1,0)))</f>
        <v>0</v>
      </c>
      <c r="AT121">
        <f>IF('07_Subindices'!$B6&lt;&gt;1,0,IF('07_Subindices'!N6="",0,IF('07_Subindices'!N6&lt;='01_Criterios'!$C$9,1,0)))</f>
        <v>0</v>
      </c>
      <c r="AU121">
        <f>IF('07_Subindices'!$B6&lt;&gt;1,0,IF('07_Subindices'!O6="",0,IF('07_Subindices'!O6&lt;='01_Criterios'!$C$9,1,0)))</f>
        <v>0</v>
      </c>
      <c r="AV121">
        <f>IF('07_Subindices'!$B6&lt;&gt;1,0,IF('07_Subindices'!P6="",0,IF('07_Subindices'!P6&lt;='01_Criterios'!$C$9,1,0)))</f>
        <v>0</v>
      </c>
    </row>
    <row r="122" spans="1:72">
      <c r="A122" s="6" t="str">
        <f>'07_Subindices'!A7</f>
        <v>Capital Humano</v>
      </c>
      <c r="B122">
        <f>IF('07_Subindices'!$B7&lt;&gt;1,0,IF('07_Subindices'!F7="",0,IF('07_Subindices'!F7&lt;='01_Criterios'!$C$9,0,LN('07_Subindices'!F7)*'07_Subindices'!$C7)))</f>
        <v>3.9215580893184283</v>
      </c>
      <c r="C122">
        <f>IF('07_Subindices'!$B7&lt;&gt;1,0,IF('07_Subindices'!G7="",0,IF('07_Subindices'!G7&lt;='01_Criterios'!$C$9,0,LN('07_Subindices'!G7)*'07_Subindices'!$C7)))</f>
        <v>4.0406272750420991</v>
      </c>
      <c r="D122">
        <f>IF('07_Subindices'!$B7&lt;&gt;1,0,IF('07_Subindices'!H7="",0,IF('07_Subindices'!H7&lt;='01_Criterios'!$C$9,0,LN('07_Subindices'!H7)*'07_Subindices'!$C7)))</f>
        <v>4.0355017822523083</v>
      </c>
      <c r="E122">
        <f>IF('07_Subindices'!$B7&lt;&gt;1,0,IF('07_Subindices'!I7="",0,IF('07_Subindices'!I7&lt;='01_Criterios'!$C$9,0,LN('07_Subindices'!I7)*'07_Subindices'!$C7)))</f>
        <v>4.0299363345018202</v>
      </c>
      <c r="F122">
        <f>IF('07_Subindices'!$B7&lt;&gt;1,0,IF('07_Subindices'!J7="",0,IF('07_Subindices'!J7&lt;='01_Criterios'!$C$9,0,LN('07_Subindices'!J7)*'07_Subindices'!$C7)))</f>
        <v>4.0307455929852214</v>
      </c>
      <c r="G122">
        <f>IF('07_Subindices'!$B7&lt;&gt;1,0,IF('07_Subindices'!K7="",0,IF('07_Subindices'!K7&lt;='01_Criterios'!$C$9,0,LN('07_Subindices'!K7)*'07_Subindices'!$C7)))</f>
        <v>4.0591480885062516</v>
      </c>
      <c r="H122">
        <f>IF('07_Subindices'!$B7&lt;&gt;1,0,IF('07_Subindices'!L7="",0,IF('07_Subindices'!L7&lt;='01_Criterios'!$C$9,0,LN('07_Subindices'!L7)*'07_Subindices'!$C7)))</f>
        <v>4.0429613090464738</v>
      </c>
      <c r="I122">
        <f>IF('07_Subindices'!$B7&lt;&gt;1,0,IF('07_Subindices'!M7="",0,IF('07_Subindices'!M7&lt;='01_Criterios'!$C$9,0,LN('07_Subindices'!M7)*'07_Subindices'!$C7)))</f>
        <v>4.0612616413167686</v>
      </c>
      <c r="J122">
        <f>IF('07_Subindices'!$B7&lt;&gt;1,0,IF('07_Subindices'!N7="",0,IF('07_Subindices'!N7&lt;='01_Criterios'!$C$9,0,LN('07_Subindices'!N7)*'07_Subindices'!$C7)))</f>
        <v>4.0722475776211651</v>
      </c>
      <c r="K122">
        <f>IF('07_Subindices'!$B7&lt;&gt;1,0,IF('07_Subindices'!O7="",0,IF('07_Subindices'!O7&lt;='01_Criterios'!$C$9,0,LN('07_Subindices'!O7)*'07_Subindices'!$C7)))</f>
        <v>4.0765736977739317</v>
      </c>
      <c r="L122">
        <f>IF('07_Subindices'!$B7&lt;&gt;1,0,IF('07_Subindices'!P7="",0,IF('07_Subindices'!P7&lt;='01_Criterios'!$C$9,0,LN('07_Subindices'!P7)*'07_Subindices'!$C7)))</f>
        <v>4.0784099394851827</v>
      </c>
      <c r="N122">
        <f>IF('07_Subindices'!$B7&lt;&gt;1,0,IF('07_Subindices'!F7="",0,'07_Subindices'!$C7))</f>
        <v>1</v>
      </c>
      <c r="O122">
        <f>IF('07_Subindices'!$B7&lt;&gt;1,0,IF('07_Subindices'!G7="",0,'07_Subindices'!$C7))</f>
        <v>1</v>
      </c>
      <c r="P122">
        <f>IF('07_Subindices'!$B7&lt;&gt;1,0,IF('07_Subindices'!H7="",0,'07_Subindices'!$C7))</f>
        <v>1</v>
      </c>
      <c r="Q122">
        <f>IF('07_Subindices'!$B7&lt;&gt;1,0,IF('07_Subindices'!I7="",0,'07_Subindices'!$C7))</f>
        <v>1</v>
      </c>
      <c r="R122">
        <f>IF('07_Subindices'!$B7&lt;&gt;1,0,IF('07_Subindices'!J7="",0,'07_Subindices'!$C7))</f>
        <v>1</v>
      </c>
      <c r="S122">
        <f>IF('07_Subindices'!$B7&lt;&gt;1,0,IF('07_Subindices'!K7="",0,'07_Subindices'!$C7))</f>
        <v>1</v>
      </c>
      <c r="T122">
        <f>IF('07_Subindices'!$B7&lt;&gt;1,0,IF('07_Subindices'!L7="",0,'07_Subindices'!$C7))</f>
        <v>1</v>
      </c>
      <c r="U122">
        <f>IF('07_Subindices'!$B7&lt;&gt;1,0,IF('07_Subindices'!M7="",0,'07_Subindices'!$C7))</f>
        <v>1</v>
      </c>
      <c r="V122">
        <f>IF('07_Subindices'!$B7&lt;&gt;1,0,IF('07_Subindices'!N7="",0,'07_Subindices'!$C7))</f>
        <v>1</v>
      </c>
      <c r="W122">
        <f>IF('07_Subindices'!$B7&lt;&gt;1,0,IF('07_Subindices'!O7="",0,'07_Subindices'!$C7))</f>
        <v>1</v>
      </c>
      <c r="X122">
        <f>IF('07_Subindices'!$B7&lt;&gt;1,0,IF('07_Subindices'!P7="",0,'07_Subindices'!$C7))</f>
        <v>1</v>
      </c>
      <c r="Z122">
        <f>IF('07_Subindices'!$B7&lt;&gt;1,0,IF('07_Subindices'!F7="",0,1))</f>
        <v>1</v>
      </c>
      <c r="AA122">
        <f>IF('07_Subindices'!$B7&lt;&gt;1,0,IF('07_Subindices'!G7="",0,1))</f>
        <v>1</v>
      </c>
      <c r="AB122">
        <f>IF('07_Subindices'!$B7&lt;&gt;1,0,IF('07_Subindices'!H7="",0,1))</f>
        <v>1</v>
      </c>
      <c r="AC122">
        <f>IF('07_Subindices'!$B7&lt;&gt;1,0,IF('07_Subindices'!I7="",0,1))</f>
        <v>1</v>
      </c>
      <c r="AD122">
        <f>IF('07_Subindices'!$B7&lt;&gt;1,0,IF('07_Subindices'!J7="",0,1))</f>
        <v>1</v>
      </c>
      <c r="AE122">
        <f>IF('07_Subindices'!$B7&lt;&gt;1,0,IF('07_Subindices'!K7="",0,1))</f>
        <v>1</v>
      </c>
      <c r="AF122">
        <f>IF('07_Subindices'!$B7&lt;&gt;1,0,IF('07_Subindices'!L7="",0,1))</f>
        <v>1</v>
      </c>
      <c r="AG122">
        <f>IF('07_Subindices'!$B7&lt;&gt;1,0,IF('07_Subindices'!M7="",0,1))</f>
        <v>1</v>
      </c>
      <c r="AH122">
        <f>IF('07_Subindices'!$B7&lt;&gt;1,0,IF('07_Subindices'!N7="",0,1))</f>
        <v>1</v>
      </c>
      <c r="AI122">
        <f>IF('07_Subindices'!$B7&lt;&gt;1,0,IF('07_Subindices'!O7="",0,1))</f>
        <v>1</v>
      </c>
      <c r="AJ122">
        <f>IF('07_Subindices'!$B7&lt;&gt;1,0,IF('07_Subindices'!P7="",0,1))</f>
        <v>1</v>
      </c>
      <c r="AL122">
        <f>IF('07_Subindices'!$B7&lt;&gt;1,0,IF('07_Subindices'!F7="",0,IF('07_Subindices'!F7&lt;='01_Criterios'!$C$9,1,0)))</f>
        <v>0</v>
      </c>
      <c r="AM122">
        <f>IF('07_Subindices'!$B7&lt;&gt;1,0,IF('07_Subindices'!G7="",0,IF('07_Subindices'!G7&lt;='01_Criterios'!$C$9,1,0)))</f>
        <v>0</v>
      </c>
      <c r="AN122">
        <f>IF('07_Subindices'!$B7&lt;&gt;1,0,IF('07_Subindices'!H7="",0,IF('07_Subindices'!H7&lt;='01_Criterios'!$C$9,1,0)))</f>
        <v>0</v>
      </c>
      <c r="AO122">
        <f>IF('07_Subindices'!$B7&lt;&gt;1,0,IF('07_Subindices'!I7="",0,IF('07_Subindices'!I7&lt;='01_Criterios'!$C$9,1,0)))</f>
        <v>0</v>
      </c>
      <c r="AP122">
        <f>IF('07_Subindices'!$B7&lt;&gt;1,0,IF('07_Subindices'!J7="",0,IF('07_Subindices'!J7&lt;='01_Criterios'!$C$9,1,0)))</f>
        <v>0</v>
      </c>
      <c r="AQ122">
        <f>IF('07_Subindices'!$B7&lt;&gt;1,0,IF('07_Subindices'!K7="",0,IF('07_Subindices'!K7&lt;='01_Criterios'!$C$9,1,0)))</f>
        <v>0</v>
      </c>
      <c r="AR122">
        <f>IF('07_Subindices'!$B7&lt;&gt;1,0,IF('07_Subindices'!L7="",0,IF('07_Subindices'!L7&lt;='01_Criterios'!$C$9,1,0)))</f>
        <v>0</v>
      </c>
      <c r="AS122">
        <f>IF('07_Subindices'!$B7&lt;&gt;1,0,IF('07_Subindices'!M7="",0,IF('07_Subindices'!M7&lt;='01_Criterios'!$C$9,1,0)))</f>
        <v>0</v>
      </c>
      <c r="AT122">
        <f>IF('07_Subindices'!$B7&lt;&gt;1,0,IF('07_Subindices'!N7="",0,IF('07_Subindices'!N7&lt;='01_Criterios'!$C$9,1,0)))</f>
        <v>0</v>
      </c>
      <c r="AU122">
        <f>IF('07_Subindices'!$B7&lt;&gt;1,0,IF('07_Subindices'!O7="",0,IF('07_Subindices'!O7&lt;='01_Criterios'!$C$9,1,0)))</f>
        <v>0</v>
      </c>
      <c r="AV122">
        <f>IF('07_Subindices'!$B7&lt;&gt;1,0,IF('07_Subindices'!P7="",0,IF('07_Subindices'!P7&lt;='01_Criterios'!$C$9,1,0)))</f>
        <v>0</v>
      </c>
    </row>
    <row r="123" spans="1:72">
      <c r="A123" s="6" t="str">
        <f>'07_Subindices'!A8</f>
        <v>Inclusão Social</v>
      </c>
      <c r="B123">
        <f>IF('07_Subindices'!$B8&lt;&gt;1,0,IF('07_Subindices'!F8="",0,IF('07_Subindices'!F8&lt;='01_Criterios'!$C$9,0,LN('07_Subindices'!F8)*'07_Subindices'!$C8)))</f>
        <v>3.9272729035468132</v>
      </c>
      <c r="C123">
        <f>IF('07_Subindices'!$B8&lt;&gt;1,0,IF('07_Subindices'!G8="",0,IF('07_Subindices'!G8&lt;='01_Criterios'!$C$9,0,LN('07_Subindices'!G8)*'07_Subindices'!$C8)))</f>
        <v>3.8616356416493449</v>
      </c>
      <c r="D123">
        <f>IF('07_Subindices'!$B8&lt;&gt;1,0,IF('07_Subindices'!H8="",0,IF('07_Subindices'!H8&lt;='01_Criterios'!$C$9,0,LN('07_Subindices'!H8)*'07_Subindices'!$C8)))</f>
        <v>3.7544868265014655</v>
      </c>
      <c r="E123">
        <f>IF('07_Subindices'!$B8&lt;&gt;1,0,IF('07_Subindices'!I8="",0,IF('07_Subindices'!I8&lt;='01_Criterios'!$C$9,0,LN('07_Subindices'!I8)*'07_Subindices'!$C8)))</f>
        <v>3.7414036607678267</v>
      </c>
      <c r="F123">
        <f>IF('07_Subindices'!$B8&lt;&gt;1,0,IF('07_Subindices'!J8="",0,IF('07_Subindices'!J8&lt;='01_Criterios'!$C$9,0,LN('07_Subindices'!J8)*'07_Subindices'!$C8)))</f>
        <v>3.7547236957032775</v>
      </c>
      <c r="G123">
        <f>IF('07_Subindices'!$B8&lt;&gt;1,0,IF('07_Subindices'!K8="",0,IF('07_Subindices'!K8&lt;='01_Criterios'!$C$9,0,LN('07_Subindices'!K8)*'07_Subindices'!$C8)))</f>
        <v>3.740402607139437</v>
      </c>
      <c r="H123">
        <f>IF('07_Subindices'!$B8&lt;&gt;1,0,IF('07_Subindices'!L8="",0,IF('07_Subindices'!L8&lt;='01_Criterios'!$C$9,0,LN('07_Subindices'!L8)*'07_Subindices'!$C8)))</f>
        <v>3.7297925625605157</v>
      </c>
      <c r="I123">
        <f>IF('07_Subindices'!$B8&lt;&gt;1,0,IF('07_Subindices'!M8="",0,IF('07_Subindices'!M8&lt;='01_Criterios'!$C$9,0,LN('07_Subindices'!M8)*'07_Subindices'!$C8)))</f>
        <v>3.7857447396205037</v>
      </c>
      <c r="J123">
        <f>IF('07_Subindices'!$B8&lt;&gt;1,0,IF('07_Subindices'!N8="",0,IF('07_Subindices'!N8&lt;='01_Criterios'!$C$9,0,LN('07_Subindices'!N8)*'07_Subindices'!$C8)))</f>
        <v>3.8176258186804786</v>
      </c>
      <c r="K123">
        <f>IF('07_Subindices'!$B8&lt;&gt;1,0,IF('07_Subindices'!O8="",0,IF('07_Subindices'!O8&lt;='01_Criterios'!$C$9,0,LN('07_Subindices'!O8)*'07_Subindices'!$C8)))</f>
        <v>3.9047700157134986</v>
      </c>
      <c r="L123">
        <f>IF('07_Subindices'!$B8&lt;&gt;1,0,IF('07_Subindices'!P8="",0,IF('07_Subindices'!P8&lt;='01_Criterios'!$C$9,0,LN('07_Subindices'!P8)*'07_Subindices'!$C8)))</f>
        <v>3.9001351387152901</v>
      </c>
      <c r="N123">
        <f>IF('07_Subindices'!$B8&lt;&gt;1,0,IF('07_Subindices'!F8="",0,'07_Subindices'!$C8))</f>
        <v>1</v>
      </c>
      <c r="O123">
        <f>IF('07_Subindices'!$B8&lt;&gt;1,0,IF('07_Subindices'!G8="",0,'07_Subindices'!$C8))</f>
        <v>1</v>
      </c>
      <c r="P123">
        <f>IF('07_Subindices'!$B8&lt;&gt;1,0,IF('07_Subindices'!H8="",0,'07_Subindices'!$C8))</f>
        <v>1</v>
      </c>
      <c r="Q123">
        <f>IF('07_Subindices'!$B8&lt;&gt;1,0,IF('07_Subindices'!I8="",0,'07_Subindices'!$C8))</f>
        <v>1</v>
      </c>
      <c r="R123">
        <f>IF('07_Subindices'!$B8&lt;&gt;1,0,IF('07_Subindices'!J8="",0,'07_Subindices'!$C8))</f>
        <v>1</v>
      </c>
      <c r="S123">
        <f>IF('07_Subindices'!$B8&lt;&gt;1,0,IF('07_Subindices'!K8="",0,'07_Subindices'!$C8))</f>
        <v>1</v>
      </c>
      <c r="T123">
        <f>IF('07_Subindices'!$B8&lt;&gt;1,0,IF('07_Subindices'!L8="",0,'07_Subindices'!$C8))</f>
        <v>1</v>
      </c>
      <c r="U123">
        <f>IF('07_Subindices'!$B8&lt;&gt;1,0,IF('07_Subindices'!M8="",0,'07_Subindices'!$C8))</f>
        <v>1</v>
      </c>
      <c r="V123">
        <f>IF('07_Subindices'!$B8&lt;&gt;1,0,IF('07_Subindices'!N8="",0,'07_Subindices'!$C8))</f>
        <v>1</v>
      </c>
      <c r="W123">
        <f>IF('07_Subindices'!$B8&lt;&gt;1,0,IF('07_Subindices'!O8="",0,'07_Subindices'!$C8))</f>
        <v>1</v>
      </c>
      <c r="X123">
        <f>IF('07_Subindices'!$B8&lt;&gt;1,0,IF('07_Subindices'!P8="",0,'07_Subindices'!$C8))</f>
        <v>1</v>
      </c>
      <c r="Z123">
        <f>IF('07_Subindices'!$B8&lt;&gt;1,0,IF('07_Subindices'!F8="",0,1))</f>
        <v>1</v>
      </c>
      <c r="AA123">
        <f>IF('07_Subindices'!$B8&lt;&gt;1,0,IF('07_Subindices'!G8="",0,1))</f>
        <v>1</v>
      </c>
      <c r="AB123">
        <f>IF('07_Subindices'!$B8&lt;&gt;1,0,IF('07_Subindices'!H8="",0,1))</f>
        <v>1</v>
      </c>
      <c r="AC123">
        <f>IF('07_Subindices'!$B8&lt;&gt;1,0,IF('07_Subindices'!I8="",0,1))</f>
        <v>1</v>
      </c>
      <c r="AD123">
        <f>IF('07_Subindices'!$B8&lt;&gt;1,0,IF('07_Subindices'!J8="",0,1))</f>
        <v>1</v>
      </c>
      <c r="AE123">
        <f>IF('07_Subindices'!$B8&lt;&gt;1,0,IF('07_Subindices'!K8="",0,1))</f>
        <v>1</v>
      </c>
      <c r="AF123">
        <f>IF('07_Subindices'!$B8&lt;&gt;1,0,IF('07_Subindices'!L8="",0,1))</f>
        <v>1</v>
      </c>
      <c r="AG123">
        <f>IF('07_Subindices'!$B8&lt;&gt;1,0,IF('07_Subindices'!M8="",0,1))</f>
        <v>1</v>
      </c>
      <c r="AH123">
        <f>IF('07_Subindices'!$B8&lt;&gt;1,0,IF('07_Subindices'!N8="",0,1))</f>
        <v>1</v>
      </c>
      <c r="AI123">
        <f>IF('07_Subindices'!$B8&lt;&gt;1,0,IF('07_Subindices'!O8="",0,1))</f>
        <v>1</v>
      </c>
      <c r="AJ123">
        <f>IF('07_Subindices'!$B8&lt;&gt;1,0,IF('07_Subindices'!P8="",0,1))</f>
        <v>1</v>
      </c>
      <c r="AL123">
        <f>IF('07_Subindices'!$B8&lt;&gt;1,0,IF('07_Subindices'!F8="",0,IF('07_Subindices'!F8&lt;='01_Criterios'!$C$9,1,0)))</f>
        <v>0</v>
      </c>
      <c r="AM123">
        <f>IF('07_Subindices'!$B8&lt;&gt;1,0,IF('07_Subindices'!G8="",0,IF('07_Subindices'!G8&lt;='01_Criterios'!$C$9,1,0)))</f>
        <v>0</v>
      </c>
      <c r="AN123">
        <f>IF('07_Subindices'!$B8&lt;&gt;1,0,IF('07_Subindices'!H8="",0,IF('07_Subindices'!H8&lt;='01_Criterios'!$C$9,1,0)))</f>
        <v>0</v>
      </c>
      <c r="AO123">
        <f>IF('07_Subindices'!$B8&lt;&gt;1,0,IF('07_Subindices'!I8="",0,IF('07_Subindices'!I8&lt;='01_Criterios'!$C$9,1,0)))</f>
        <v>0</v>
      </c>
      <c r="AP123">
        <f>IF('07_Subindices'!$B8&lt;&gt;1,0,IF('07_Subindices'!J8="",0,IF('07_Subindices'!J8&lt;='01_Criterios'!$C$9,1,0)))</f>
        <v>0</v>
      </c>
      <c r="AQ123">
        <f>IF('07_Subindices'!$B8&lt;&gt;1,0,IF('07_Subindices'!K8="",0,IF('07_Subindices'!K8&lt;='01_Criterios'!$C$9,1,0)))</f>
        <v>0</v>
      </c>
      <c r="AR123">
        <f>IF('07_Subindices'!$B8&lt;&gt;1,0,IF('07_Subindices'!L8="",0,IF('07_Subindices'!L8&lt;='01_Criterios'!$C$9,1,0)))</f>
        <v>0</v>
      </c>
      <c r="AS123">
        <f>IF('07_Subindices'!$B8&lt;&gt;1,0,IF('07_Subindices'!M8="",0,IF('07_Subindices'!M8&lt;='01_Criterios'!$C$9,1,0)))</f>
        <v>0</v>
      </c>
      <c r="AT123">
        <f>IF('07_Subindices'!$B8&lt;&gt;1,0,IF('07_Subindices'!N8="",0,IF('07_Subindices'!N8&lt;='01_Criterios'!$C$9,1,0)))</f>
        <v>0</v>
      </c>
      <c r="AU123">
        <f>IF('07_Subindices'!$B8&lt;&gt;1,0,IF('07_Subindices'!O8="",0,IF('07_Subindices'!O8&lt;='01_Criterios'!$C$9,1,0)))</f>
        <v>0</v>
      </c>
      <c r="AV123">
        <f>IF('07_Subindices'!$B8&lt;&gt;1,0,IF('07_Subindices'!P8="",0,IF('07_Subindices'!P8&lt;='01_Criterios'!$C$9,1,0)))</f>
        <v>0</v>
      </c>
    </row>
    <row r="124" spans="1:72">
      <c r="A124" s="6" t="str">
        <f>'07_Subindices'!A9</f>
        <v>Infraestruturas</v>
      </c>
      <c r="B124">
        <f>IF('07_Subindices'!$B9&lt;&gt;1,0,IF('07_Subindices'!F9="",0,IF('07_Subindices'!F9&lt;='01_Criterios'!$C$9,0,LN('07_Subindices'!F9)*'07_Subindices'!$C9)))</f>
        <v>3.828414324401118</v>
      </c>
      <c r="C124">
        <f>IF('07_Subindices'!$B9&lt;&gt;1,0,IF('07_Subindices'!G9="",0,IF('07_Subindices'!G9&lt;='01_Criterios'!$C$9,0,LN('07_Subindices'!G9)*'07_Subindices'!$C9)))</f>
        <v>3.6705603976323253</v>
      </c>
      <c r="D124">
        <f>IF('07_Subindices'!$B9&lt;&gt;1,0,IF('07_Subindices'!H9="",0,IF('07_Subindices'!H9&lt;='01_Criterios'!$C$9,0,LN('07_Subindices'!H9)*'07_Subindices'!$C9)))</f>
        <v>3.7996103284935128</v>
      </c>
      <c r="E124">
        <f>IF('07_Subindices'!$B9&lt;&gt;1,0,IF('07_Subindices'!I9="",0,IF('07_Subindices'!I9&lt;='01_Criterios'!$C$9,0,LN('07_Subindices'!I9)*'07_Subindices'!$C9)))</f>
        <v>3.7407420276258683</v>
      </c>
      <c r="F124">
        <f>IF('07_Subindices'!$B9&lt;&gt;1,0,IF('07_Subindices'!J9="",0,IF('07_Subindices'!J9&lt;='01_Criterios'!$C$9,0,LN('07_Subindices'!J9)*'07_Subindices'!$C9)))</f>
        <v>3.8034325215048361</v>
      </c>
      <c r="G124">
        <f>IF('07_Subindices'!$B9&lt;&gt;1,0,IF('07_Subindices'!K9="",0,IF('07_Subindices'!K9&lt;='01_Criterios'!$C$9,0,LN('07_Subindices'!K9)*'07_Subindices'!$C9)))</f>
        <v>3.7441390913102897</v>
      </c>
      <c r="H124">
        <f>IF('07_Subindices'!$B9&lt;&gt;1,0,IF('07_Subindices'!L9="",0,IF('07_Subindices'!L9&lt;='01_Criterios'!$C$9,0,LN('07_Subindices'!L9)*'07_Subindices'!$C9)))</f>
        <v>3.785994562711203</v>
      </c>
      <c r="I124">
        <f>IF('07_Subindices'!$B9&lt;&gt;1,0,IF('07_Subindices'!M9="",0,IF('07_Subindices'!M9&lt;='01_Criterios'!$C$9,0,LN('07_Subindices'!M9)*'07_Subindices'!$C9)))</f>
        <v>3.8245578426867177</v>
      </c>
      <c r="J124">
        <f>IF('07_Subindices'!$B9&lt;&gt;1,0,IF('07_Subindices'!N9="",0,IF('07_Subindices'!N9&lt;='01_Criterios'!$C$9,0,LN('07_Subindices'!N9)*'07_Subindices'!$C9)))</f>
        <v>3.8338412966986075</v>
      </c>
      <c r="K124">
        <f>IF('07_Subindices'!$B9&lt;&gt;1,0,IF('07_Subindices'!O9="",0,IF('07_Subindices'!O9&lt;='01_Criterios'!$C$9,0,LN('07_Subindices'!O9)*'07_Subindices'!$C9)))</f>
        <v>3.8708805953910779</v>
      </c>
      <c r="L124">
        <f>IF('07_Subindices'!$B9&lt;&gt;1,0,IF('07_Subindices'!P9="",0,IF('07_Subindices'!P9&lt;='01_Criterios'!$C$9,0,LN('07_Subindices'!P9)*'07_Subindices'!$C9)))</f>
        <v>3.8708805953910779</v>
      </c>
      <c r="N124">
        <f>IF('07_Subindices'!$B9&lt;&gt;1,0,IF('07_Subindices'!F9="",0,'07_Subindices'!$C9))</f>
        <v>1</v>
      </c>
      <c r="O124">
        <f>IF('07_Subindices'!$B9&lt;&gt;1,0,IF('07_Subindices'!G9="",0,'07_Subindices'!$C9))</f>
        <v>1</v>
      </c>
      <c r="P124">
        <f>IF('07_Subindices'!$B9&lt;&gt;1,0,IF('07_Subindices'!H9="",0,'07_Subindices'!$C9))</f>
        <v>1</v>
      </c>
      <c r="Q124">
        <f>IF('07_Subindices'!$B9&lt;&gt;1,0,IF('07_Subindices'!I9="",0,'07_Subindices'!$C9))</f>
        <v>1</v>
      </c>
      <c r="R124">
        <f>IF('07_Subindices'!$B9&lt;&gt;1,0,IF('07_Subindices'!J9="",0,'07_Subindices'!$C9))</f>
        <v>1</v>
      </c>
      <c r="S124">
        <f>IF('07_Subindices'!$B9&lt;&gt;1,0,IF('07_Subindices'!K9="",0,'07_Subindices'!$C9))</f>
        <v>1</v>
      </c>
      <c r="T124">
        <f>IF('07_Subindices'!$B9&lt;&gt;1,0,IF('07_Subindices'!L9="",0,'07_Subindices'!$C9))</f>
        <v>1</v>
      </c>
      <c r="U124">
        <f>IF('07_Subindices'!$B9&lt;&gt;1,0,IF('07_Subindices'!M9="",0,'07_Subindices'!$C9))</f>
        <v>1</v>
      </c>
      <c r="V124">
        <f>IF('07_Subindices'!$B9&lt;&gt;1,0,IF('07_Subindices'!N9="",0,'07_Subindices'!$C9))</f>
        <v>1</v>
      </c>
      <c r="W124">
        <f>IF('07_Subindices'!$B9&lt;&gt;1,0,IF('07_Subindices'!O9="",0,'07_Subindices'!$C9))</f>
        <v>1</v>
      </c>
      <c r="X124">
        <f>IF('07_Subindices'!$B9&lt;&gt;1,0,IF('07_Subindices'!P9="",0,'07_Subindices'!$C9))</f>
        <v>1</v>
      </c>
      <c r="Z124">
        <f>IF('07_Subindices'!$B9&lt;&gt;1,0,IF('07_Subindices'!F9="",0,1))</f>
        <v>1</v>
      </c>
      <c r="AA124">
        <f>IF('07_Subindices'!$B9&lt;&gt;1,0,IF('07_Subindices'!G9="",0,1))</f>
        <v>1</v>
      </c>
      <c r="AB124">
        <f>IF('07_Subindices'!$B9&lt;&gt;1,0,IF('07_Subindices'!H9="",0,1))</f>
        <v>1</v>
      </c>
      <c r="AC124">
        <f>IF('07_Subindices'!$B9&lt;&gt;1,0,IF('07_Subindices'!I9="",0,1))</f>
        <v>1</v>
      </c>
      <c r="AD124">
        <f>IF('07_Subindices'!$B9&lt;&gt;1,0,IF('07_Subindices'!J9="",0,1))</f>
        <v>1</v>
      </c>
      <c r="AE124">
        <f>IF('07_Subindices'!$B9&lt;&gt;1,0,IF('07_Subindices'!K9="",0,1))</f>
        <v>1</v>
      </c>
      <c r="AF124">
        <f>IF('07_Subindices'!$B9&lt;&gt;1,0,IF('07_Subindices'!L9="",0,1))</f>
        <v>1</v>
      </c>
      <c r="AG124">
        <f>IF('07_Subindices'!$B9&lt;&gt;1,0,IF('07_Subindices'!M9="",0,1))</f>
        <v>1</v>
      </c>
      <c r="AH124">
        <f>IF('07_Subindices'!$B9&lt;&gt;1,0,IF('07_Subindices'!N9="",0,1))</f>
        <v>1</v>
      </c>
      <c r="AI124">
        <f>IF('07_Subindices'!$B9&lt;&gt;1,0,IF('07_Subindices'!O9="",0,1))</f>
        <v>1</v>
      </c>
      <c r="AJ124">
        <f>IF('07_Subindices'!$B9&lt;&gt;1,0,IF('07_Subindices'!P9="",0,1))</f>
        <v>1</v>
      </c>
      <c r="AL124">
        <f>IF('07_Subindices'!$B9&lt;&gt;1,0,IF('07_Subindices'!F9="",0,IF('07_Subindices'!F9&lt;='01_Criterios'!$C$9,1,0)))</f>
        <v>0</v>
      </c>
      <c r="AM124">
        <f>IF('07_Subindices'!$B9&lt;&gt;1,0,IF('07_Subindices'!G9="",0,IF('07_Subindices'!G9&lt;='01_Criterios'!$C$9,1,0)))</f>
        <v>0</v>
      </c>
      <c r="AN124">
        <f>IF('07_Subindices'!$B9&lt;&gt;1,0,IF('07_Subindices'!H9="",0,IF('07_Subindices'!H9&lt;='01_Criterios'!$C$9,1,0)))</f>
        <v>0</v>
      </c>
      <c r="AO124">
        <f>IF('07_Subindices'!$B9&lt;&gt;1,0,IF('07_Subindices'!I9="",0,IF('07_Subindices'!I9&lt;='01_Criterios'!$C$9,1,0)))</f>
        <v>0</v>
      </c>
      <c r="AP124">
        <f>IF('07_Subindices'!$B9&lt;&gt;1,0,IF('07_Subindices'!J9="",0,IF('07_Subindices'!J9&lt;='01_Criterios'!$C$9,1,0)))</f>
        <v>0</v>
      </c>
      <c r="AQ124">
        <f>IF('07_Subindices'!$B9&lt;&gt;1,0,IF('07_Subindices'!K9="",0,IF('07_Subindices'!K9&lt;='01_Criterios'!$C$9,1,0)))</f>
        <v>0</v>
      </c>
      <c r="AR124">
        <f>IF('07_Subindices'!$B9&lt;&gt;1,0,IF('07_Subindices'!L9="",0,IF('07_Subindices'!L9&lt;='01_Criterios'!$C$9,1,0)))</f>
        <v>0</v>
      </c>
      <c r="AS124">
        <f>IF('07_Subindices'!$B9&lt;&gt;1,0,IF('07_Subindices'!M9="",0,IF('07_Subindices'!M9&lt;='01_Criterios'!$C$9,1,0)))</f>
        <v>0</v>
      </c>
      <c r="AT124">
        <f>IF('07_Subindices'!$B9&lt;&gt;1,0,IF('07_Subindices'!N9="",0,IF('07_Subindices'!N9&lt;='01_Criterios'!$C$9,1,0)))</f>
        <v>0</v>
      </c>
      <c r="AU124">
        <f>IF('07_Subindices'!$B9&lt;&gt;1,0,IF('07_Subindices'!O9="",0,IF('07_Subindices'!O9&lt;='01_Criterios'!$C$9,1,0)))</f>
        <v>0</v>
      </c>
      <c r="AV124">
        <f>IF('07_Subindices'!$B9&lt;&gt;1,0,IF('07_Subindices'!P9="",0,IF('07_Subindices'!P9&lt;='01_Criterios'!$C$9,1,0)))</f>
        <v>0</v>
      </c>
    </row>
    <row r="125" spans="1:72">
      <c r="A125" s="6" t="str">
        <f>'07_Subindices'!A10</f>
        <v>Mercado Trabalho</v>
      </c>
      <c r="B125">
        <f>IF('07_Subindices'!$B10&lt;&gt;1,0,IF('07_Subindices'!F10="",0,IF('07_Subindices'!F10&lt;='01_Criterios'!$C$9,0,LN('07_Subindices'!F10)*'07_Subindices'!$C10)))</f>
        <v>4.1759901508826331</v>
      </c>
      <c r="C125">
        <f>IF('07_Subindices'!$B10&lt;&gt;1,0,IF('07_Subindices'!G10="",0,IF('07_Subindices'!G10&lt;='01_Criterios'!$C$9,0,LN('07_Subindices'!G10)*'07_Subindices'!$C10)))</f>
        <v>4.1548666873909532</v>
      </c>
      <c r="D125">
        <f>IF('07_Subindices'!$B10&lt;&gt;1,0,IF('07_Subindices'!H10="",0,IF('07_Subindices'!H10&lt;='01_Criterios'!$C$9,0,LN('07_Subindices'!H10)*'07_Subindices'!$C10)))</f>
        <v>4.1502704428441062</v>
      </c>
      <c r="E125">
        <f>IF('07_Subindices'!$B10&lt;&gt;1,0,IF('07_Subindices'!I10="",0,IF('07_Subindices'!I10&lt;='01_Criterios'!$C$9,0,LN('07_Subindices'!I10)*'07_Subindices'!$C10)))</f>
        <v>4.1428912338023087</v>
      </c>
      <c r="F125">
        <f>IF('07_Subindices'!$B10&lt;&gt;1,0,IF('07_Subindices'!J10="",0,IF('07_Subindices'!J10&lt;='01_Criterios'!$C$9,0,LN('07_Subindices'!J10)*'07_Subindices'!$C10)))</f>
        <v>4.1428608715459765</v>
      </c>
      <c r="G125">
        <f>IF('07_Subindices'!$B10&lt;&gt;1,0,IF('07_Subindices'!K10="",0,IF('07_Subindices'!K10&lt;='01_Criterios'!$C$9,0,LN('07_Subindices'!K10)*'07_Subindices'!$C10)))</f>
        <v>4.0810407842072545</v>
      </c>
      <c r="H125">
        <f>IF('07_Subindices'!$B10&lt;&gt;1,0,IF('07_Subindices'!L10="",0,IF('07_Subindices'!L10&lt;='01_Criterios'!$C$9,0,LN('07_Subindices'!L10)*'07_Subindices'!$C10)))</f>
        <v>4.138308218523254</v>
      </c>
      <c r="I125">
        <f>IF('07_Subindices'!$B10&lt;&gt;1,0,IF('07_Subindices'!M10="",0,IF('07_Subindices'!M10&lt;='01_Criterios'!$C$9,0,LN('07_Subindices'!M10)*'07_Subindices'!$C10)))</f>
        <v>4.2068006538064973</v>
      </c>
      <c r="J125">
        <f>IF('07_Subindices'!$B10&lt;&gt;1,0,IF('07_Subindices'!N10="",0,IF('07_Subindices'!N10&lt;='01_Criterios'!$C$9,0,LN('07_Subindices'!N10)*'07_Subindices'!$C10)))</f>
        <v>4.2000058166771499</v>
      </c>
      <c r="K125">
        <f>IF('07_Subindices'!$B10&lt;&gt;1,0,IF('07_Subindices'!O10="",0,IF('07_Subindices'!O10&lt;='01_Criterios'!$C$9,0,LN('07_Subindices'!O10)*'07_Subindices'!$C10)))</f>
        <v>4.2056013529423506</v>
      </c>
      <c r="L125">
        <f>IF('07_Subindices'!$B10&lt;&gt;1,0,IF('07_Subindices'!P10="",0,IF('07_Subindices'!P10&lt;='01_Criterios'!$C$9,0,LN('07_Subindices'!P10)*'07_Subindices'!$C10)))</f>
        <v>4.1903644850188808</v>
      </c>
      <c r="N125">
        <f>IF('07_Subindices'!$B10&lt;&gt;1,0,IF('07_Subindices'!F10="",0,'07_Subindices'!$C10))</f>
        <v>1</v>
      </c>
      <c r="O125">
        <f>IF('07_Subindices'!$B10&lt;&gt;1,0,IF('07_Subindices'!G10="",0,'07_Subindices'!$C10))</f>
        <v>1</v>
      </c>
      <c r="P125">
        <f>IF('07_Subindices'!$B10&lt;&gt;1,0,IF('07_Subindices'!H10="",0,'07_Subindices'!$C10))</f>
        <v>1</v>
      </c>
      <c r="Q125">
        <f>IF('07_Subindices'!$B10&lt;&gt;1,0,IF('07_Subindices'!I10="",0,'07_Subindices'!$C10))</f>
        <v>1</v>
      </c>
      <c r="R125">
        <f>IF('07_Subindices'!$B10&lt;&gt;1,0,IF('07_Subindices'!J10="",0,'07_Subindices'!$C10))</f>
        <v>1</v>
      </c>
      <c r="S125">
        <f>IF('07_Subindices'!$B10&lt;&gt;1,0,IF('07_Subindices'!K10="",0,'07_Subindices'!$C10))</f>
        <v>1</v>
      </c>
      <c r="T125">
        <f>IF('07_Subindices'!$B10&lt;&gt;1,0,IF('07_Subindices'!L10="",0,'07_Subindices'!$C10))</f>
        <v>1</v>
      </c>
      <c r="U125">
        <f>IF('07_Subindices'!$B10&lt;&gt;1,0,IF('07_Subindices'!M10="",0,'07_Subindices'!$C10))</f>
        <v>1</v>
      </c>
      <c r="V125">
        <f>IF('07_Subindices'!$B10&lt;&gt;1,0,IF('07_Subindices'!N10="",0,'07_Subindices'!$C10))</f>
        <v>1</v>
      </c>
      <c r="W125">
        <f>IF('07_Subindices'!$B10&lt;&gt;1,0,IF('07_Subindices'!O10="",0,'07_Subindices'!$C10))</f>
        <v>1</v>
      </c>
      <c r="X125">
        <f>IF('07_Subindices'!$B10&lt;&gt;1,0,IF('07_Subindices'!P10="",0,'07_Subindices'!$C10))</f>
        <v>1</v>
      </c>
      <c r="Z125">
        <f>IF('07_Subindices'!$B10&lt;&gt;1,0,IF('07_Subindices'!F10="",0,1))</f>
        <v>1</v>
      </c>
      <c r="AA125">
        <f>IF('07_Subindices'!$B10&lt;&gt;1,0,IF('07_Subindices'!G10="",0,1))</f>
        <v>1</v>
      </c>
      <c r="AB125">
        <f>IF('07_Subindices'!$B10&lt;&gt;1,0,IF('07_Subindices'!H10="",0,1))</f>
        <v>1</v>
      </c>
      <c r="AC125">
        <f>IF('07_Subindices'!$B10&lt;&gt;1,0,IF('07_Subindices'!I10="",0,1))</f>
        <v>1</v>
      </c>
      <c r="AD125">
        <f>IF('07_Subindices'!$B10&lt;&gt;1,0,IF('07_Subindices'!J10="",0,1))</f>
        <v>1</v>
      </c>
      <c r="AE125">
        <f>IF('07_Subindices'!$B10&lt;&gt;1,0,IF('07_Subindices'!K10="",0,1))</f>
        <v>1</v>
      </c>
      <c r="AF125">
        <f>IF('07_Subindices'!$B10&lt;&gt;1,0,IF('07_Subindices'!L10="",0,1))</f>
        <v>1</v>
      </c>
      <c r="AG125">
        <f>IF('07_Subindices'!$B10&lt;&gt;1,0,IF('07_Subindices'!M10="",0,1))</f>
        <v>1</v>
      </c>
      <c r="AH125">
        <f>IF('07_Subindices'!$B10&lt;&gt;1,0,IF('07_Subindices'!N10="",0,1))</f>
        <v>1</v>
      </c>
      <c r="AI125">
        <f>IF('07_Subindices'!$B10&lt;&gt;1,0,IF('07_Subindices'!O10="",0,1))</f>
        <v>1</v>
      </c>
      <c r="AJ125">
        <f>IF('07_Subindices'!$B10&lt;&gt;1,0,IF('07_Subindices'!P10="",0,1))</f>
        <v>1</v>
      </c>
      <c r="AL125">
        <f>IF('07_Subindices'!$B10&lt;&gt;1,0,IF('07_Subindices'!F10="",0,IF('07_Subindices'!F10&lt;='01_Criterios'!$C$9,1,0)))</f>
        <v>0</v>
      </c>
      <c r="AM125">
        <f>IF('07_Subindices'!$B10&lt;&gt;1,0,IF('07_Subindices'!G10="",0,IF('07_Subindices'!G10&lt;='01_Criterios'!$C$9,1,0)))</f>
        <v>0</v>
      </c>
      <c r="AN125">
        <f>IF('07_Subindices'!$B10&lt;&gt;1,0,IF('07_Subindices'!H10="",0,IF('07_Subindices'!H10&lt;='01_Criterios'!$C$9,1,0)))</f>
        <v>0</v>
      </c>
      <c r="AO125">
        <f>IF('07_Subindices'!$B10&lt;&gt;1,0,IF('07_Subindices'!I10="",0,IF('07_Subindices'!I10&lt;='01_Criterios'!$C$9,1,0)))</f>
        <v>0</v>
      </c>
      <c r="AP125">
        <f>IF('07_Subindices'!$B10&lt;&gt;1,0,IF('07_Subindices'!J10="",0,IF('07_Subindices'!J10&lt;='01_Criterios'!$C$9,1,0)))</f>
        <v>0</v>
      </c>
      <c r="AQ125">
        <f>IF('07_Subindices'!$B10&lt;&gt;1,0,IF('07_Subindices'!K10="",0,IF('07_Subindices'!K10&lt;='01_Criterios'!$C$9,1,0)))</f>
        <v>0</v>
      </c>
      <c r="AR125">
        <f>IF('07_Subindices'!$B10&lt;&gt;1,0,IF('07_Subindices'!L10="",0,IF('07_Subindices'!L10&lt;='01_Criterios'!$C$9,1,0)))</f>
        <v>0</v>
      </c>
      <c r="AS125">
        <f>IF('07_Subindices'!$B10&lt;&gt;1,0,IF('07_Subindices'!M10="",0,IF('07_Subindices'!M10&lt;='01_Criterios'!$C$9,1,0)))</f>
        <v>0</v>
      </c>
      <c r="AT125">
        <f>IF('07_Subindices'!$B10&lt;&gt;1,0,IF('07_Subindices'!N10="",0,IF('07_Subindices'!N10&lt;='01_Criterios'!$C$9,1,0)))</f>
        <v>0</v>
      </c>
      <c r="AU125">
        <f>IF('07_Subindices'!$B10&lt;&gt;1,0,IF('07_Subindices'!O10="",0,IF('07_Subindices'!O10&lt;='01_Criterios'!$C$9,1,0)))</f>
        <v>0</v>
      </c>
      <c r="AV125">
        <f>IF('07_Subindices'!$B10&lt;&gt;1,0,IF('07_Subindices'!P10="",0,IF('07_Subindices'!P10&lt;='01_Criterios'!$C$9,1,0)))</f>
        <v>0</v>
      </c>
    </row>
    <row r="126" spans="1:72">
      <c r="A126" s="6" t="str">
        <f>'07_Subindices'!A11</f>
        <v>Saúde/Alimentar</v>
      </c>
      <c r="B126">
        <f>IF('07_Subindices'!$B11&lt;&gt;1,0,IF('07_Subindices'!F11="",0,IF('07_Subindices'!F11&lt;='01_Criterios'!$C$9,0,LN('07_Subindices'!F11)*'07_Subindices'!$C11)))</f>
        <v>4.08167887715953</v>
      </c>
      <c r="C126">
        <f>IF('07_Subindices'!$B11&lt;&gt;1,0,IF('07_Subindices'!G11="",0,IF('07_Subindices'!G11&lt;='01_Criterios'!$C$9,0,LN('07_Subindices'!G11)*'07_Subindices'!$C11)))</f>
        <v>4.0652908072169334</v>
      </c>
      <c r="D126">
        <f>IF('07_Subindices'!$B11&lt;&gt;1,0,IF('07_Subindices'!H11="",0,IF('07_Subindices'!H11&lt;='01_Criterios'!$C$9,0,LN('07_Subindices'!H11)*'07_Subindices'!$C11)))</f>
        <v>4.0562963371844791</v>
      </c>
      <c r="E126">
        <f>IF('07_Subindices'!$B11&lt;&gt;1,0,IF('07_Subindices'!I11="",0,IF('07_Subindices'!I11&lt;='01_Criterios'!$C$9,0,LN('07_Subindices'!I11)*'07_Subindices'!$C11)))</f>
        <v>4.064720790813201</v>
      </c>
      <c r="F126">
        <f>IF('07_Subindices'!$B11&lt;&gt;1,0,IF('07_Subindices'!J11="",0,IF('07_Subindices'!J11&lt;='01_Criterios'!$C$9,0,LN('07_Subindices'!J11)*'07_Subindices'!$C11)))</f>
        <v>4.0645720761476651</v>
      </c>
      <c r="G126">
        <f>IF('07_Subindices'!$B11&lt;&gt;1,0,IF('07_Subindices'!K11="",0,IF('07_Subindices'!K11&lt;='01_Criterios'!$C$9,0,LN('07_Subindices'!K11)*'07_Subindices'!$C11)))</f>
        <v>4.0630285307074621</v>
      </c>
      <c r="H126">
        <f>IF('07_Subindices'!$B11&lt;&gt;1,0,IF('07_Subindices'!L11="",0,IF('07_Subindices'!L11&lt;='01_Criterios'!$C$9,0,LN('07_Subindices'!L11)*'07_Subindices'!$C11)))</f>
        <v>4.0343077679008292</v>
      </c>
      <c r="I126">
        <f>IF('07_Subindices'!$B11&lt;&gt;1,0,IF('07_Subindices'!M11="",0,IF('07_Subindices'!M11&lt;='01_Criterios'!$C$9,0,LN('07_Subindices'!M11)*'07_Subindices'!$C11)))</f>
        <v>4.03203708329184</v>
      </c>
      <c r="J126">
        <f>IF('07_Subindices'!$B11&lt;&gt;1,0,IF('07_Subindices'!N11="",0,IF('07_Subindices'!N11&lt;='01_Criterios'!$C$9,0,LN('07_Subindices'!N11)*'07_Subindices'!$C11)))</f>
        <v>4.0648393610570084</v>
      </c>
      <c r="K126">
        <f>IF('07_Subindices'!$B11&lt;&gt;1,0,IF('07_Subindices'!O11="",0,IF('07_Subindices'!O11&lt;='01_Criterios'!$C$9,0,LN('07_Subindices'!O11)*'07_Subindices'!$C11)))</f>
        <v>4.0396692334605451</v>
      </c>
      <c r="L126">
        <f>IF('07_Subindices'!$B11&lt;&gt;1,0,IF('07_Subindices'!P11="",0,IF('07_Subindices'!P11&lt;='01_Criterios'!$C$9,0,LN('07_Subindices'!P11)*'07_Subindices'!$C11)))</f>
        <v>4.0434342712379454</v>
      </c>
      <c r="N126">
        <f>IF('07_Subindices'!$B11&lt;&gt;1,0,IF('07_Subindices'!F11="",0,'07_Subindices'!$C11))</f>
        <v>1</v>
      </c>
      <c r="O126">
        <f>IF('07_Subindices'!$B11&lt;&gt;1,0,IF('07_Subindices'!G11="",0,'07_Subindices'!$C11))</f>
        <v>1</v>
      </c>
      <c r="P126">
        <f>IF('07_Subindices'!$B11&lt;&gt;1,0,IF('07_Subindices'!H11="",0,'07_Subindices'!$C11))</f>
        <v>1</v>
      </c>
      <c r="Q126">
        <f>IF('07_Subindices'!$B11&lt;&gt;1,0,IF('07_Subindices'!I11="",0,'07_Subindices'!$C11))</f>
        <v>1</v>
      </c>
      <c r="R126">
        <f>IF('07_Subindices'!$B11&lt;&gt;1,0,IF('07_Subindices'!J11="",0,'07_Subindices'!$C11))</f>
        <v>1</v>
      </c>
      <c r="S126">
        <f>IF('07_Subindices'!$B11&lt;&gt;1,0,IF('07_Subindices'!K11="",0,'07_Subindices'!$C11))</f>
        <v>1</v>
      </c>
      <c r="T126">
        <f>IF('07_Subindices'!$B11&lt;&gt;1,0,IF('07_Subindices'!L11="",0,'07_Subindices'!$C11))</f>
        <v>1</v>
      </c>
      <c r="U126">
        <f>IF('07_Subindices'!$B11&lt;&gt;1,0,IF('07_Subindices'!M11="",0,'07_Subindices'!$C11))</f>
        <v>1</v>
      </c>
      <c r="V126">
        <f>IF('07_Subindices'!$B11&lt;&gt;1,0,IF('07_Subindices'!N11="",0,'07_Subindices'!$C11))</f>
        <v>1</v>
      </c>
      <c r="W126">
        <f>IF('07_Subindices'!$B11&lt;&gt;1,0,IF('07_Subindices'!O11="",0,'07_Subindices'!$C11))</f>
        <v>1</v>
      </c>
      <c r="X126">
        <f>IF('07_Subindices'!$B11&lt;&gt;1,0,IF('07_Subindices'!P11="",0,'07_Subindices'!$C11))</f>
        <v>1</v>
      </c>
      <c r="Z126">
        <f>IF('07_Subindices'!$B11&lt;&gt;1,0,IF('07_Subindices'!F11="",0,1))</f>
        <v>1</v>
      </c>
      <c r="AA126">
        <f>IF('07_Subindices'!$B11&lt;&gt;1,0,IF('07_Subindices'!G11="",0,1))</f>
        <v>1</v>
      </c>
      <c r="AB126">
        <f>IF('07_Subindices'!$B11&lt;&gt;1,0,IF('07_Subindices'!H11="",0,1))</f>
        <v>1</v>
      </c>
      <c r="AC126">
        <f>IF('07_Subindices'!$B11&lt;&gt;1,0,IF('07_Subindices'!I11="",0,1))</f>
        <v>1</v>
      </c>
      <c r="AD126">
        <f>IF('07_Subindices'!$B11&lt;&gt;1,0,IF('07_Subindices'!J11="",0,1))</f>
        <v>1</v>
      </c>
      <c r="AE126">
        <f>IF('07_Subindices'!$B11&lt;&gt;1,0,IF('07_Subindices'!K11="",0,1))</f>
        <v>1</v>
      </c>
      <c r="AF126">
        <f>IF('07_Subindices'!$B11&lt;&gt;1,0,IF('07_Subindices'!L11="",0,1))</f>
        <v>1</v>
      </c>
      <c r="AG126">
        <f>IF('07_Subindices'!$B11&lt;&gt;1,0,IF('07_Subindices'!M11="",0,1))</f>
        <v>1</v>
      </c>
      <c r="AH126">
        <f>IF('07_Subindices'!$B11&lt;&gt;1,0,IF('07_Subindices'!N11="",0,1))</f>
        <v>1</v>
      </c>
      <c r="AI126">
        <f>IF('07_Subindices'!$B11&lt;&gt;1,0,IF('07_Subindices'!O11="",0,1))</f>
        <v>1</v>
      </c>
      <c r="AJ126">
        <f>IF('07_Subindices'!$B11&lt;&gt;1,0,IF('07_Subindices'!P11="",0,1))</f>
        <v>1</v>
      </c>
      <c r="AL126">
        <f>IF('07_Subindices'!$B11&lt;&gt;1,0,IF('07_Subindices'!F11="",0,IF('07_Subindices'!F11&lt;='01_Criterios'!$C$9,1,0)))</f>
        <v>0</v>
      </c>
      <c r="AM126">
        <f>IF('07_Subindices'!$B11&lt;&gt;1,0,IF('07_Subindices'!G11="",0,IF('07_Subindices'!G11&lt;='01_Criterios'!$C$9,1,0)))</f>
        <v>0</v>
      </c>
      <c r="AN126">
        <f>IF('07_Subindices'!$B11&lt;&gt;1,0,IF('07_Subindices'!H11="",0,IF('07_Subindices'!H11&lt;='01_Criterios'!$C$9,1,0)))</f>
        <v>0</v>
      </c>
      <c r="AO126">
        <f>IF('07_Subindices'!$B11&lt;&gt;1,0,IF('07_Subindices'!I11="",0,IF('07_Subindices'!I11&lt;='01_Criterios'!$C$9,1,0)))</f>
        <v>0</v>
      </c>
      <c r="AP126">
        <f>IF('07_Subindices'!$B11&lt;&gt;1,0,IF('07_Subindices'!J11="",0,IF('07_Subindices'!J11&lt;='01_Criterios'!$C$9,1,0)))</f>
        <v>0</v>
      </c>
      <c r="AQ126">
        <f>IF('07_Subindices'!$B11&lt;&gt;1,0,IF('07_Subindices'!K11="",0,IF('07_Subindices'!K11&lt;='01_Criterios'!$C$9,1,0)))</f>
        <v>0</v>
      </c>
      <c r="AR126">
        <f>IF('07_Subindices'!$B11&lt;&gt;1,0,IF('07_Subindices'!L11="",0,IF('07_Subindices'!L11&lt;='01_Criterios'!$C$9,1,0)))</f>
        <v>0</v>
      </c>
      <c r="AS126">
        <f>IF('07_Subindices'!$B11&lt;&gt;1,0,IF('07_Subindices'!M11="",0,IF('07_Subindices'!M11&lt;='01_Criterios'!$C$9,1,0)))</f>
        <v>0</v>
      </c>
      <c r="AT126">
        <f>IF('07_Subindices'!$B11&lt;&gt;1,0,IF('07_Subindices'!N11="",0,IF('07_Subindices'!N11&lt;='01_Criterios'!$C$9,1,0)))</f>
        <v>0</v>
      </c>
      <c r="AU126">
        <f>IF('07_Subindices'!$B11&lt;&gt;1,0,IF('07_Subindices'!O11="",0,IF('07_Subindices'!O11&lt;='01_Criterios'!$C$9,1,0)))</f>
        <v>0</v>
      </c>
      <c r="AV126">
        <f>IF('07_Subindices'!$B11&lt;&gt;1,0,IF('07_Subindices'!P11="",0,IF('07_Subindices'!P11&lt;='01_Criterios'!$C$9,1,0)))</f>
        <v>0</v>
      </c>
    </row>
    <row r="127" spans="1:72">
      <c r="A127" s="6" t="str">
        <f>'07_Subindices'!A12</f>
        <v>Diversificação</v>
      </c>
      <c r="B127">
        <f>IF('07_Subindices'!$B12&lt;&gt;1,0,IF('07_Subindices'!F12="",0,IF('07_Subindices'!F12&lt;='01_Criterios'!$C$9,0,LN('07_Subindices'!F12)*'07_Subindices'!$C12)))</f>
        <v>2.9951541601163747</v>
      </c>
      <c r="C127">
        <f>IF('07_Subindices'!$B12&lt;&gt;1,0,IF('07_Subindices'!G12="",0,IF('07_Subindices'!G12&lt;='01_Criterios'!$C$9,0,LN('07_Subindices'!G12)*'07_Subindices'!$C12)))</f>
        <v>3.1560886528153236</v>
      </c>
      <c r="D127">
        <f>IF('07_Subindices'!$B12&lt;&gt;1,0,IF('07_Subindices'!H12="",0,IF('07_Subindices'!H12&lt;='01_Criterios'!$C$9,0,LN('07_Subindices'!H12)*'07_Subindices'!$C12)))</f>
        <v>3.2044195766890899</v>
      </c>
      <c r="E127">
        <f>IF('07_Subindices'!$B12&lt;&gt;1,0,IF('07_Subindices'!I12="",0,IF('07_Subindices'!I12&lt;='01_Criterios'!$C$9,0,LN('07_Subindices'!I12)*'07_Subindices'!$C12)))</f>
        <v>3.1434337881584846</v>
      </c>
      <c r="F127">
        <f>IF('07_Subindices'!$B12&lt;&gt;1,0,IF('07_Subindices'!J12="",0,IF('07_Subindices'!J12&lt;='01_Criterios'!$C$9,0,LN('07_Subindices'!J12)*'07_Subindices'!$C12)))</f>
        <v>3.0835244192129267</v>
      </c>
      <c r="G127">
        <f>IF('07_Subindices'!$B12&lt;&gt;1,0,IF('07_Subindices'!K12="",0,IF('07_Subindices'!K12&lt;='01_Criterios'!$C$9,0,LN('07_Subindices'!K12)*'07_Subindices'!$C12)))</f>
        <v>2.8450131724126928</v>
      </c>
      <c r="H127">
        <f>IF('07_Subindices'!$B12&lt;&gt;1,0,IF('07_Subindices'!L12="",0,IF('07_Subindices'!L12&lt;='01_Criterios'!$C$9,0,LN('07_Subindices'!L12)*'07_Subindices'!$C12)))</f>
        <v>3.2007896286007416</v>
      </c>
      <c r="I127">
        <f>IF('07_Subindices'!$B12&lt;&gt;1,0,IF('07_Subindices'!M12="",0,IF('07_Subindices'!M12&lt;='01_Criterios'!$C$9,0,LN('07_Subindices'!M12)*'07_Subindices'!$C12)))</f>
        <v>3.1290629608813854</v>
      </c>
      <c r="J127">
        <f>IF('07_Subindices'!$B12&lt;&gt;1,0,IF('07_Subindices'!N12="",0,IF('07_Subindices'!N12&lt;='01_Criterios'!$C$9,0,LN('07_Subindices'!N12)*'07_Subindices'!$C12)))</f>
        <v>3.1412371281039215</v>
      </c>
      <c r="K127">
        <f>IF('07_Subindices'!$B12&lt;&gt;1,0,IF('07_Subindices'!O12="",0,IF('07_Subindices'!O12&lt;='01_Criterios'!$C$9,0,LN('07_Subindices'!O12)*'07_Subindices'!$C12)))</f>
        <v>3.2126572879562447</v>
      </c>
      <c r="L127">
        <f>IF('07_Subindices'!$B12&lt;&gt;1,0,IF('07_Subindices'!P12="",0,IF('07_Subindices'!P12&lt;='01_Criterios'!$C$9,0,LN('07_Subindices'!P12)*'07_Subindices'!$C12)))</f>
        <v>3.2132229110887405</v>
      </c>
      <c r="N127">
        <f>IF('07_Subindices'!$B12&lt;&gt;1,0,IF('07_Subindices'!F12="",0,'07_Subindices'!$C12))</f>
        <v>1</v>
      </c>
      <c r="O127">
        <f>IF('07_Subindices'!$B12&lt;&gt;1,0,IF('07_Subindices'!G12="",0,'07_Subindices'!$C12))</f>
        <v>1</v>
      </c>
      <c r="P127">
        <f>IF('07_Subindices'!$B12&lt;&gt;1,0,IF('07_Subindices'!H12="",0,'07_Subindices'!$C12))</f>
        <v>1</v>
      </c>
      <c r="Q127">
        <f>IF('07_Subindices'!$B12&lt;&gt;1,0,IF('07_Subindices'!I12="",0,'07_Subindices'!$C12))</f>
        <v>1</v>
      </c>
      <c r="R127">
        <f>IF('07_Subindices'!$B12&lt;&gt;1,0,IF('07_Subindices'!J12="",0,'07_Subindices'!$C12))</f>
        <v>1</v>
      </c>
      <c r="S127">
        <f>IF('07_Subindices'!$B12&lt;&gt;1,0,IF('07_Subindices'!K12="",0,'07_Subindices'!$C12))</f>
        <v>1</v>
      </c>
      <c r="T127">
        <f>IF('07_Subindices'!$B12&lt;&gt;1,0,IF('07_Subindices'!L12="",0,'07_Subindices'!$C12))</f>
        <v>1</v>
      </c>
      <c r="U127">
        <f>IF('07_Subindices'!$B12&lt;&gt;1,0,IF('07_Subindices'!M12="",0,'07_Subindices'!$C12))</f>
        <v>1</v>
      </c>
      <c r="V127">
        <f>IF('07_Subindices'!$B12&lt;&gt;1,0,IF('07_Subindices'!N12="",0,'07_Subindices'!$C12))</f>
        <v>1</v>
      </c>
      <c r="W127">
        <f>IF('07_Subindices'!$B12&lt;&gt;1,0,IF('07_Subindices'!O12="",0,'07_Subindices'!$C12))</f>
        <v>1</v>
      </c>
      <c r="X127">
        <f>IF('07_Subindices'!$B12&lt;&gt;1,0,IF('07_Subindices'!P12="",0,'07_Subindices'!$C12))</f>
        <v>1</v>
      </c>
      <c r="Z127">
        <f>IF('07_Subindices'!$B12&lt;&gt;1,0,IF('07_Subindices'!F12="",0,1))</f>
        <v>1</v>
      </c>
      <c r="AA127">
        <f>IF('07_Subindices'!$B12&lt;&gt;1,0,IF('07_Subindices'!G12="",0,1))</f>
        <v>1</v>
      </c>
      <c r="AB127">
        <f>IF('07_Subindices'!$B12&lt;&gt;1,0,IF('07_Subindices'!H12="",0,1))</f>
        <v>1</v>
      </c>
      <c r="AC127">
        <f>IF('07_Subindices'!$B12&lt;&gt;1,0,IF('07_Subindices'!I12="",0,1))</f>
        <v>1</v>
      </c>
      <c r="AD127">
        <f>IF('07_Subindices'!$B12&lt;&gt;1,0,IF('07_Subindices'!J12="",0,1))</f>
        <v>1</v>
      </c>
      <c r="AE127">
        <f>IF('07_Subindices'!$B12&lt;&gt;1,0,IF('07_Subindices'!K12="",0,1))</f>
        <v>1</v>
      </c>
      <c r="AF127">
        <f>IF('07_Subindices'!$B12&lt;&gt;1,0,IF('07_Subindices'!L12="",0,1))</f>
        <v>1</v>
      </c>
      <c r="AG127">
        <f>IF('07_Subindices'!$B12&lt;&gt;1,0,IF('07_Subindices'!M12="",0,1))</f>
        <v>1</v>
      </c>
      <c r="AH127">
        <f>IF('07_Subindices'!$B12&lt;&gt;1,0,IF('07_Subindices'!N12="",0,1))</f>
        <v>1</v>
      </c>
      <c r="AI127">
        <f>IF('07_Subindices'!$B12&lt;&gt;1,0,IF('07_Subindices'!O12="",0,1))</f>
        <v>1</v>
      </c>
      <c r="AJ127">
        <f>IF('07_Subindices'!$B12&lt;&gt;1,0,IF('07_Subindices'!P12="",0,1))</f>
        <v>1</v>
      </c>
      <c r="AL127">
        <f>IF('07_Subindices'!$B12&lt;&gt;1,0,IF('07_Subindices'!F12="",0,IF('07_Subindices'!F12&lt;='01_Criterios'!$C$9,1,0)))</f>
        <v>0</v>
      </c>
      <c r="AM127">
        <f>IF('07_Subindices'!$B12&lt;&gt;1,0,IF('07_Subindices'!G12="",0,IF('07_Subindices'!G12&lt;='01_Criterios'!$C$9,1,0)))</f>
        <v>0</v>
      </c>
      <c r="AN127">
        <f>IF('07_Subindices'!$B12&lt;&gt;1,0,IF('07_Subindices'!H12="",0,IF('07_Subindices'!H12&lt;='01_Criterios'!$C$9,1,0)))</f>
        <v>0</v>
      </c>
      <c r="AO127">
        <f>IF('07_Subindices'!$B12&lt;&gt;1,0,IF('07_Subindices'!I12="",0,IF('07_Subindices'!I12&lt;='01_Criterios'!$C$9,1,0)))</f>
        <v>0</v>
      </c>
      <c r="AP127">
        <f>IF('07_Subindices'!$B12&lt;&gt;1,0,IF('07_Subindices'!J12="",0,IF('07_Subindices'!J12&lt;='01_Criterios'!$C$9,1,0)))</f>
        <v>0</v>
      </c>
      <c r="AQ127">
        <f>IF('07_Subindices'!$B12&lt;&gt;1,0,IF('07_Subindices'!K12="",0,IF('07_Subindices'!K12&lt;='01_Criterios'!$C$9,1,0)))</f>
        <v>0</v>
      </c>
      <c r="AR127">
        <f>IF('07_Subindices'!$B12&lt;&gt;1,0,IF('07_Subindices'!L12="",0,IF('07_Subindices'!L12&lt;='01_Criterios'!$C$9,1,0)))</f>
        <v>0</v>
      </c>
      <c r="AS127">
        <f>IF('07_Subindices'!$B12&lt;&gt;1,0,IF('07_Subindices'!M12="",0,IF('07_Subindices'!M12&lt;='01_Criterios'!$C$9,1,0)))</f>
        <v>0</v>
      </c>
      <c r="AT127">
        <f>IF('07_Subindices'!$B12&lt;&gt;1,0,IF('07_Subindices'!N12="",0,IF('07_Subindices'!N12&lt;='01_Criterios'!$C$9,1,0)))</f>
        <v>0</v>
      </c>
      <c r="AU127">
        <f>IF('07_Subindices'!$B12&lt;&gt;1,0,IF('07_Subindices'!O12="",0,IF('07_Subindices'!O12&lt;='01_Criterios'!$C$9,1,0)))</f>
        <v>0</v>
      </c>
      <c r="AV127">
        <f>IF('07_Subindices'!$B12&lt;&gt;1,0,IF('07_Subindices'!P12="",0,IF('07_Subindices'!P12&lt;='01_Criterios'!$C$9,1,0)))</f>
        <v>0</v>
      </c>
    </row>
    <row r="128" spans="1:72">
      <c r="A128" s="6" t="str">
        <f>'07_Subindices'!A13</f>
        <v>Ambiente</v>
      </c>
      <c r="B128">
        <f>IF('07_Subindices'!$B13&lt;&gt;1,0,IF('07_Subindices'!F13="",0,IF('07_Subindices'!F13&lt;='01_Criterios'!$C$9,0,LN('07_Subindices'!F13)*'07_Subindices'!$C13)))</f>
        <v>0</v>
      </c>
      <c r="C128">
        <f>IF('07_Subindices'!$B13&lt;&gt;1,0,IF('07_Subindices'!G13="",0,IF('07_Subindices'!G13&lt;='01_Criterios'!$C$9,0,LN('07_Subindices'!G13)*'07_Subindices'!$C13)))</f>
        <v>0</v>
      </c>
      <c r="D128">
        <f>IF('07_Subindices'!$B13&lt;&gt;1,0,IF('07_Subindices'!H13="",0,IF('07_Subindices'!H13&lt;='01_Criterios'!$C$9,0,LN('07_Subindices'!H13)*'07_Subindices'!$C13)))</f>
        <v>0</v>
      </c>
      <c r="E128">
        <f>IF('07_Subindices'!$B13&lt;&gt;1,0,IF('07_Subindices'!I13="",0,IF('07_Subindices'!I13&lt;='01_Criterios'!$C$9,0,LN('07_Subindices'!I13)*'07_Subindices'!$C13)))</f>
        <v>0</v>
      </c>
      <c r="F128">
        <f>IF('07_Subindices'!$B13&lt;&gt;1,0,IF('07_Subindices'!J13="",0,IF('07_Subindices'!J13&lt;='01_Criterios'!$C$9,0,LN('07_Subindices'!J13)*'07_Subindices'!$C13)))</f>
        <v>0</v>
      </c>
      <c r="G128">
        <f>IF('07_Subindices'!$B13&lt;&gt;1,0,IF('07_Subindices'!K13="",0,IF('07_Subindices'!K13&lt;='01_Criterios'!$C$9,0,LN('07_Subindices'!K13)*'07_Subindices'!$C13)))</f>
        <v>0</v>
      </c>
      <c r="H128">
        <f>IF('07_Subindices'!$B13&lt;&gt;1,0,IF('07_Subindices'!L13="",0,IF('07_Subindices'!L13&lt;='01_Criterios'!$C$9,0,LN('07_Subindices'!L13)*'07_Subindices'!$C13)))</f>
        <v>0</v>
      </c>
      <c r="I128">
        <f>IF('07_Subindices'!$B13&lt;&gt;1,0,IF('07_Subindices'!M13="",0,IF('07_Subindices'!M13&lt;='01_Criterios'!$C$9,0,LN('07_Subindices'!M13)*'07_Subindices'!$C13)))</f>
        <v>0</v>
      </c>
      <c r="J128">
        <f>IF('07_Subindices'!$B13&lt;&gt;1,0,IF('07_Subindices'!N13="",0,IF('07_Subindices'!N13&lt;='01_Criterios'!$C$9,0,LN('07_Subindices'!N13)*'07_Subindices'!$C13)))</f>
        <v>0</v>
      </c>
      <c r="K128">
        <f>IF('07_Subindices'!$B13&lt;&gt;1,0,IF('07_Subindices'!O13="",0,IF('07_Subindices'!O13&lt;='01_Criterios'!$C$9,0,LN('07_Subindices'!O13)*'07_Subindices'!$C13)))</f>
        <v>0</v>
      </c>
      <c r="L128">
        <f>IF('07_Subindices'!$B13&lt;&gt;1,0,IF('07_Subindices'!P13="",0,IF('07_Subindices'!P13&lt;='01_Criterios'!$C$9,0,LN('07_Subindices'!P13)*'07_Subindices'!$C13)))</f>
        <v>0</v>
      </c>
      <c r="N128">
        <f>IF('07_Subindices'!$B13&lt;&gt;1,0,IF('07_Subindices'!F13="",0,'07_Subindices'!$C13))</f>
        <v>0</v>
      </c>
      <c r="O128">
        <f>IF('07_Subindices'!$B13&lt;&gt;1,0,IF('07_Subindices'!G13="",0,'07_Subindices'!$C13))</f>
        <v>0</v>
      </c>
      <c r="P128">
        <f>IF('07_Subindices'!$B13&lt;&gt;1,0,IF('07_Subindices'!H13="",0,'07_Subindices'!$C13))</f>
        <v>0</v>
      </c>
      <c r="Q128">
        <f>IF('07_Subindices'!$B13&lt;&gt;1,0,IF('07_Subindices'!I13="",0,'07_Subindices'!$C13))</f>
        <v>0</v>
      </c>
      <c r="R128">
        <f>IF('07_Subindices'!$B13&lt;&gt;1,0,IF('07_Subindices'!J13="",0,'07_Subindices'!$C13))</f>
        <v>0</v>
      </c>
      <c r="S128">
        <f>IF('07_Subindices'!$B13&lt;&gt;1,0,IF('07_Subindices'!K13="",0,'07_Subindices'!$C13))</f>
        <v>0</v>
      </c>
      <c r="T128">
        <f>IF('07_Subindices'!$B13&lt;&gt;1,0,IF('07_Subindices'!L13="",0,'07_Subindices'!$C13))</f>
        <v>0</v>
      </c>
      <c r="U128">
        <f>IF('07_Subindices'!$B13&lt;&gt;1,0,IF('07_Subindices'!M13="",0,'07_Subindices'!$C13))</f>
        <v>0</v>
      </c>
      <c r="V128">
        <f>IF('07_Subindices'!$B13&lt;&gt;1,0,IF('07_Subindices'!N13="",0,'07_Subindices'!$C13))</f>
        <v>0</v>
      </c>
      <c r="W128">
        <f>IF('07_Subindices'!$B13&lt;&gt;1,0,IF('07_Subindices'!O13="",0,'07_Subindices'!$C13))</f>
        <v>0</v>
      </c>
      <c r="X128">
        <f>IF('07_Subindices'!$B13&lt;&gt;1,0,IF('07_Subindices'!P13="",0,'07_Subindices'!$C13))</f>
        <v>0</v>
      </c>
      <c r="Z128">
        <f>IF('07_Subindices'!$B13&lt;&gt;1,0,IF('07_Subindices'!F13="",0,1))</f>
        <v>0</v>
      </c>
      <c r="AA128">
        <f>IF('07_Subindices'!$B13&lt;&gt;1,0,IF('07_Subindices'!G13="",0,1))</f>
        <v>0</v>
      </c>
      <c r="AB128">
        <f>IF('07_Subindices'!$B13&lt;&gt;1,0,IF('07_Subindices'!H13="",0,1))</f>
        <v>0</v>
      </c>
      <c r="AC128">
        <f>IF('07_Subindices'!$B13&lt;&gt;1,0,IF('07_Subindices'!I13="",0,1))</f>
        <v>0</v>
      </c>
      <c r="AD128">
        <f>IF('07_Subindices'!$B13&lt;&gt;1,0,IF('07_Subindices'!J13="",0,1))</f>
        <v>0</v>
      </c>
      <c r="AE128">
        <f>IF('07_Subindices'!$B13&lt;&gt;1,0,IF('07_Subindices'!K13="",0,1))</f>
        <v>0</v>
      </c>
      <c r="AF128">
        <f>IF('07_Subindices'!$B13&lt;&gt;1,0,IF('07_Subindices'!L13="",0,1))</f>
        <v>0</v>
      </c>
      <c r="AG128">
        <f>IF('07_Subindices'!$B13&lt;&gt;1,0,IF('07_Subindices'!M13="",0,1))</f>
        <v>0</v>
      </c>
      <c r="AH128">
        <f>IF('07_Subindices'!$B13&lt;&gt;1,0,IF('07_Subindices'!N13="",0,1))</f>
        <v>0</v>
      </c>
      <c r="AI128">
        <f>IF('07_Subindices'!$B13&lt;&gt;1,0,IF('07_Subindices'!O13="",0,1))</f>
        <v>0</v>
      </c>
      <c r="AJ128">
        <f>IF('07_Subindices'!$B13&lt;&gt;1,0,IF('07_Subindices'!P13="",0,1))</f>
        <v>0</v>
      </c>
      <c r="AL128">
        <f>IF('07_Subindices'!$B13&lt;&gt;1,0,IF('07_Subindices'!F13="",0,IF('07_Subindices'!F13&lt;='01_Criterios'!$C$9,1,0)))</f>
        <v>0</v>
      </c>
      <c r="AM128">
        <f>IF('07_Subindices'!$B13&lt;&gt;1,0,IF('07_Subindices'!G13="",0,IF('07_Subindices'!G13&lt;='01_Criterios'!$C$9,1,0)))</f>
        <v>0</v>
      </c>
      <c r="AN128">
        <f>IF('07_Subindices'!$B13&lt;&gt;1,0,IF('07_Subindices'!H13="",0,IF('07_Subindices'!H13&lt;='01_Criterios'!$C$9,1,0)))</f>
        <v>0</v>
      </c>
      <c r="AO128">
        <f>IF('07_Subindices'!$B13&lt;&gt;1,0,IF('07_Subindices'!I13="",0,IF('07_Subindices'!I13&lt;='01_Criterios'!$C$9,1,0)))</f>
        <v>0</v>
      </c>
      <c r="AP128">
        <f>IF('07_Subindices'!$B13&lt;&gt;1,0,IF('07_Subindices'!J13="",0,IF('07_Subindices'!J13&lt;='01_Criterios'!$C$9,1,0)))</f>
        <v>0</v>
      </c>
      <c r="AQ128">
        <f>IF('07_Subindices'!$B13&lt;&gt;1,0,IF('07_Subindices'!K13="",0,IF('07_Subindices'!K13&lt;='01_Criterios'!$C$9,1,0)))</f>
        <v>0</v>
      </c>
      <c r="AR128">
        <f>IF('07_Subindices'!$B13&lt;&gt;1,0,IF('07_Subindices'!L13="",0,IF('07_Subindices'!L13&lt;='01_Criterios'!$C$9,1,0)))</f>
        <v>0</v>
      </c>
      <c r="AS128">
        <f>IF('07_Subindices'!$B13&lt;&gt;1,0,IF('07_Subindices'!M13="",0,IF('07_Subindices'!M13&lt;='01_Criterios'!$C$9,1,0)))</f>
        <v>0</v>
      </c>
      <c r="AT128">
        <f>IF('07_Subindices'!$B13&lt;&gt;1,0,IF('07_Subindices'!N13="",0,IF('07_Subindices'!N13&lt;='01_Criterios'!$C$9,1,0)))</f>
        <v>0</v>
      </c>
      <c r="AU128">
        <f>IF('07_Subindices'!$B13&lt;&gt;1,0,IF('07_Subindices'!O13="",0,IF('07_Subindices'!O13&lt;='01_Criterios'!$C$9,1,0)))</f>
        <v>0</v>
      </c>
      <c r="AV128">
        <f>IF('07_Subindices'!$B13&lt;&gt;1,0,IF('07_Subindices'!P13="",0,IF('07_Subindices'!P13&lt;='01_Criterios'!$C$9,1,0)))</f>
        <v>0</v>
      </c>
    </row>
    <row r="129" spans="1:48">
      <c r="A129" s="6" t="str">
        <f>'07_Subindices'!A14</f>
        <v>Demografia</v>
      </c>
      <c r="B129">
        <f>IF('07_Subindices'!$B14&lt;&gt;1,0,IF('07_Subindices'!F14="",0,IF('07_Subindices'!F14&lt;='01_Criterios'!$C$9,0,LN('07_Subindices'!F14)*'07_Subindices'!$C14)))</f>
        <v>0</v>
      </c>
      <c r="C129">
        <f>IF('07_Subindices'!$B14&lt;&gt;1,0,IF('07_Subindices'!G14="",0,IF('07_Subindices'!G14&lt;='01_Criterios'!$C$9,0,LN('07_Subindices'!G14)*'07_Subindices'!$C14)))</f>
        <v>0</v>
      </c>
      <c r="D129">
        <f>IF('07_Subindices'!$B14&lt;&gt;1,0,IF('07_Subindices'!H14="",0,IF('07_Subindices'!H14&lt;='01_Criterios'!$C$9,0,LN('07_Subindices'!H14)*'07_Subindices'!$C14)))</f>
        <v>0</v>
      </c>
      <c r="E129">
        <f>IF('07_Subindices'!$B14&lt;&gt;1,0,IF('07_Subindices'!I14="",0,IF('07_Subindices'!I14&lt;='01_Criterios'!$C$9,0,LN('07_Subindices'!I14)*'07_Subindices'!$C14)))</f>
        <v>0</v>
      </c>
      <c r="F129">
        <f>IF('07_Subindices'!$B14&lt;&gt;1,0,IF('07_Subindices'!J14="",0,IF('07_Subindices'!J14&lt;='01_Criterios'!$C$9,0,LN('07_Subindices'!J14)*'07_Subindices'!$C14)))</f>
        <v>0</v>
      </c>
      <c r="G129">
        <f>IF('07_Subindices'!$B14&lt;&gt;1,0,IF('07_Subindices'!K14="",0,IF('07_Subindices'!K14&lt;='01_Criterios'!$C$9,0,LN('07_Subindices'!K14)*'07_Subindices'!$C14)))</f>
        <v>0</v>
      </c>
      <c r="H129">
        <f>IF('07_Subindices'!$B14&lt;&gt;1,0,IF('07_Subindices'!L14="",0,IF('07_Subindices'!L14&lt;='01_Criterios'!$C$9,0,LN('07_Subindices'!L14)*'07_Subindices'!$C14)))</f>
        <v>0</v>
      </c>
      <c r="I129">
        <f>IF('07_Subindices'!$B14&lt;&gt;1,0,IF('07_Subindices'!M14="",0,IF('07_Subindices'!M14&lt;='01_Criterios'!$C$9,0,LN('07_Subindices'!M14)*'07_Subindices'!$C14)))</f>
        <v>0</v>
      </c>
      <c r="J129">
        <f>IF('07_Subindices'!$B14&lt;&gt;1,0,IF('07_Subindices'!N14="",0,IF('07_Subindices'!N14&lt;='01_Criterios'!$C$9,0,LN('07_Subindices'!N14)*'07_Subindices'!$C14)))</f>
        <v>0</v>
      </c>
      <c r="K129">
        <f>IF('07_Subindices'!$B14&lt;&gt;1,0,IF('07_Subindices'!O14="",0,IF('07_Subindices'!O14&lt;='01_Criterios'!$C$9,0,LN('07_Subindices'!O14)*'07_Subindices'!$C14)))</f>
        <v>0</v>
      </c>
      <c r="L129">
        <f>IF('07_Subindices'!$B14&lt;&gt;1,0,IF('07_Subindices'!P14="",0,IF('07_Subindices'!P14&lt;='01_Criterios'!$C$9,0,LN('07_Subindices'!P14)*'07_Subindices'!$C14)))</f>
        <v>0</v>
      </c>
      <c r="N129">
        <f>IF('07_Subindices'!$B14&lt;&gt;1,0,IF('07_Subindices'!F14="",0,'07_Subindices'!$C14))</f>
        <v>0</v>
      </c>
      <c r="O129">
        <f>IF('07_Subindices'!$B14&lt;&gt;1,0,IF('07_Subindices'!G14="",0,'07_Subindices'!$C14))</f>
        <v>0</v>
      </c>
      <c r="P129">
        <f>IF('07_Subindices'!$B14&lt;&gt;1,0,IF('07_Subindices'!H14="",0,'07_Subindices'!$C14))</f>
        <v>0</v>
      </c>
      <c r="Q129">
        <f>IF('07_Subindices'!$B14&lt;&gt;1,0,IF('07_Subindices'!I14="",0,'07_Subindices'!$C14))</f>
        <v>0</v>
      </c>
      <c r="R129">
        <f>IF('07_Subindices'!$B14&lt;&gt;1,0,IF('07_Subindices'!J14="",0,'07_Subindices'!$C14))</f>
        <v>0</v>
      </c>
      <c r="S129">
        <f>IF('07_Subindices'!$B14&lt;&gt;1,0,IF('07_Subindices'!K14="",0,'07_Subindices'!$C14))</f>
        <v>0</v>
      </c>
      <c r="T129">
        <f>IF('07_Subindices'!$B14&lt;&gt;1,0,IF('07_Subindices'!L14="",0,'07_Subindices'!$C14))</f>
        <v>0</v>
      </c>
      <c r="U129">
        <f>IF('07_Subindices'!$B14&lt;&gt;1,0,IF('07_Subindices'!M14="",0,'07_Subindices'!$C14))</f>
        <v>0</v>
      </c>
      <c r="V129">
        <f>IF('07_Subindices'!$B14&lt;&gt;1,0,IF('07_Subindices'!N14="",0,'07_Subindices'!$C14))</f>
        <v>0</v>
      </c>
      <c r="W129">
        <f>IF('07_Subindices'!$B14&lt;&gt;1,0,IF('07_Subindices'!O14="",0,'07_Subindices'!$C14))</f>
        <v>0</v>
      </c>
      <c r="X129">
        <f>IF('07_Subindices'!$B14&lt;&gt;1,0,IF('07_Subindices'!P14="",0,'07_Subindices'!$C14))</f>
        <v>0</v>
      </c>
      <c r="Z129">
        <f>IF('07_Subindices'!$B14&lt;&gt;1,0,IF('07_Subindices'!F14="",0,1))</f>
        <v>0</v>
      </c>
      <c r="AA129">
        <f>IF('07_Subindices'!$B14&lt;&gt;1,0,IF('07_Subindices'!G14="",0,1))</f>
        <v>0</v>
      </c>
      <c r="AB129">
        <f>IF('07_Subindices'!$B14&lt;&gt;1,0,IF('07_Subindices'!H14="",0,1))</f>
        <v>0</v>
      </c>
      <c r="AC129">
        <f>IF('07_Subindices'!$B14&lt;&gt;1,0,IF('07_Subindices'!I14="",0,1))</f>
        <v>0</v>
      </c>
      <c r="AD129">
        <f>IF('07_Subindices'!$B14&lt;&gt;1,0,IF('07_Subindices'!J14="",0,1))</f>
        <v>0</v>
      </c>
      <c r="AE129">
        <f>IF('07_Subindices'!$B14&lt;&gt;1,0,IF('07_Subindices'!K14="",0,1))</f>
        <v>0</v>
      </c>
      <c r="AF129">
        <f>IF('07_Subindices'!$B14&lt;&gt;1,0,IF('07_Subindices'!L14="",0,1))</f>
        <v>0</v>
      </c>
      <c r="AG129">
        <f>IF('07_Subindices'!$B14&lt;&gt;1,0,IF('07_Subindices'!M14="",0,1))</f>
        <v>0</v>
      </c>
      <c r="AH129">
        <f>IF('07_Subindices'!$B14&lt;&gt;1,0,IF('07_Subindices'!N14="",0,1))</f>
        <v>0</v>
      </c>
      <c r="AI129">
        <f>IF('07_Subindices'!$B14&lt;&gt;1,0,IF('07_Subindices'!O14="",0,1))</f>
        <v>0</v>
      </c>
      <c r="AJ129">
        <f>IF('07_Subindices'!$B14&lt;&gt;1,0,IF('07_Subindices'!P14="",0,1))</f>
        <v>0</v>
      </c>
      <c r="AL129">
        <f>IF('07_Subindices'!$B14&lt;&gt;1,0,IF('07_Subindices'!F14="",0,IF('07_Subindices'!F14&lt;='01_Criterios'!$C$9,1,0)))</f>
        <v>0</v>
      </c>
      <c r="AM129">
        <f>IF('07_Subindices'!$B14&lt;&gt;1,0,IF('07_Subindices'!G14="",0,IF('07_Subindices'!G14&lt;='01_Criterios'!$C$9,1,0)))</f>
        <v>0</v>
      </c>
      <c r="AN129">
        <f>IF('07_Subindices'!$B14&lt;&gt;1,0,IF('07_Subindices'!H14="",0,IF('07_Subindices'!H14&lt;='01_Criterios'!$C$9,1,0)))</f>
        <v>0</v>
      </c>
      <c r="AO129">
        <f>IF('07_Subindices'!$B14&lt;&gt;1,0,IF('07_Subindices'!I14="",0,IF('07_Subindices'!I14&lt;='01_Criterios'!$C$9,1,0)))</f>
        <v>0</v>
      </c>
      <c r="AP129">
        <f>IF('07_Subindices'!$B14&lt;&gt;1,0,IF('07_Subindices'!J14="",0,IF('07_Subindices'!J14&lt;='01_Criterios'!$C$9,1,0)))</f>
        <v>0</v>
      </c>
      <c r="AQ129">
        <f>IF('07_Subindices'!$B14&lt;&gt;1,0,IF('07_Subindices'!K14="",0,IF('07_Subindices'!K14&lt;='01_Criterios'!$C$9,1,0)))</f>
        <v>0</v>
      </c>
      <c r="AR129">
        <f>IF('07_Subindices'!$B14&lt;&gt;1,0,IF('07_Subindices'!L14="",0,IF('07_Subindices'!L14&lt;='01_Criterios'!$C$9,1,0)))</f>
        <v>0</v>
      </c>
      <c r="AS129">
        <f>IF('07_Subindices'!$B14&lt;&gt;1,0,IF('07_Subindices'!M14="",0,IF('07_Subindices'!M14&lt;='01_Criterios'!$C$9,1,0)))</f>
        <v>0</v>
      </c>
      <c r="AT129">
        <f>IF('07_Subindices'!$B14&lt;&gt;1,0,IF('07_Subindices'!N14="",0,IF('07_Subindices'!N14&lt;='01_Criterios'!$C$9,1,0)))</f>
        <v>0</v>
      </c>
      <c r="AU129">
        <f>IF('07_Subindices'!$B14&lt;&gt;1,0,IF('07_Subindices'!O14="",0,IF('07_Subindices'!O14&lt;='01_Criterios'!$C$9,1,0)))</f>
        <v>0</v>
      </c>
      <c r="AV129">
        <f>IF('07_Subindices'!$B14&lt;&gt;1,0,IF('07_Subindices'!P14="",0,IF('07_Subindices'!P14&lt;='01_Criterios'!$C$9,1,0)))</f>
        <v>0</v>
      </c>
    </row>
    <row r="130" spans="1:48">
      <c r="A130" s="6" t="str">
        <f>'07_Subindices'!A15</f>
        <v>Digital/Inovação</v>
      </c>
      <c r="B130">
        <f>IF('07_Subindices'!$B15&lt;&gt;1,0,IF('07_Subindices'!F15="",0,IF('07_Subindices'!F15&lt;='01_Criterios'!$C$9,0,LN('07_Subindices'!F15)*'07_Subindices'!$C15)))</f>
        <v>0</v>
      </c>
      <c r="C130">
        <f>IF('07_Subindices'!$B15&lt;&gt;1,0,IF('07_Subindices'!G15="",0,IF('07_Subindices'!G15&lt;='01_Criterios'!$C$9,0,LN('07_Subindices'!G15)*'07_Subindices'!$C15)))</f>
        <v>0</v>
      </c>
      <c r="D130">
        <f>IF('07_Subindices'!$B15&lt;&gt;1,0,IF('07_Subindices'!H15="",0,IF('07_Subindices'!H15&lt;='01_Criterios'!$C$9,0,LN('07_Subindices'!H15)*'07_Subindices'!$C15)))</f>
        <v>0</v>
      </c>
      <c r="E130">
        <f>IF('07_Subindices'!$B15&lt;&gt;1,0,IF('07_Subindices'!I15="",0,IF('07_Subindices'!I15&lt;='01_Criterios'!$C$9,0,LN('07_Subindices'!I15)*'07_Subindices'!$C15)))</f>
        <v>0</v>
      </c>
      <c r="F130">
        <f>IF('07_Subindices'!$B15&lt;&gt;1,0,IF('07_Subindices'!J15="",0,IF('07_Subindices'!J15&lt;='01_Criterios'!$C$9,0,LN('07_Subindices'!J15)*'07_Subindices'!$C15)))</f>
        <v>0</v>
      </c>
      <c r="G130">
        <f>IF('07_Subindices'!$B15&lt;&gt;1,0,IF('07_Subindices'!K15="",0,IF('07_Subindices'!K15&lt;='01_Criterios'!$C$9,0,LN('07_Subindices'!K15)*'07_Subindices'!$C15)))</f>
        <v>0</v>
      </c>
      <c r="H130">
        <f>IF('07_Subindices'!$B15&lt;&gt;1,0,IF('07_Subindices'!L15="",0,IF('07_Subindices'!L15&lt;='01_Criterios'!$C$9,0,LN('07_Subindices'!L15)*'07_Subindices'!$C15)))</f>
        <v>0</v>
      </c>
      <c r="I130">
        <f>IF('07_Subindices'!$B15&lt;&gt;1,0,IF('07_Subindices'!M15="",0,IF('07_Subindices'!M15&lt;='01_Criterios'!$C$9,0,LN('07_Subindices'!M15)*'07_Subindices'!$C15)))</f>
        <v>0</v>
      </c>
      <c r="J130">
        <f>IF('07_Subindices'!$B15&lt;&gt;1,0,IF('07_Subindices'!N15="",0,IF('07_Subindices'!N15&lt;='01_Criterios'!$C$9,0,LN('07_Subindices'!N15)*'07_Subindices'!$C15)))</f>
        <v>0</v>
      </c>
      <c r="K130">
        <f>IF('07_Subindices'!$B15&lt;&gt;1,0,IF('07_Subindices'!O15="",0,IF('07_Subindices'!O15&lt;='01_Criterios'!$C$9,0,LN('07_Subindices'!O15)*'07_Subindices'!$C15)))</f>
        <v>0</v>
      </c>
      <c r="L130">
        <f>IF('07_Subindices'!$B15&lt;&gt;1,0,IF('07_Subindices'!P15="",0,IF('07_Subindices'!P15&lt;='01_Criterios'!$C$9,0,LN('07_Subindices'!P15)*'07_Subindices'!$C15)))</f>
        <v>0</v>
      </c>
      <c r="N130">
        <f>IF('07_Subindices'!$B15&lt;&gt;1,0,IF('07_Subindices'!F15="",0,'07_Subindices'!$C15))</f>
        <v>0</v>
      </c>
      <c r="O130">
        <f>IF('07_Subindices'!$B15&lt;&gt;1,0,IF('07_Subindices'!G15="",0,'07_Subindices'!$C15))</f>
        <v>0</v>
      </c>
      <c r="P130">
        <f>IF('07_Subindices'!$B15&lt;&gt;1,0,IF('07_Subindices'!H15="",0,'07_Subindices'!$C15))</f>
        <v>0</v>
      </c>
      <c r="Q130">
        <f>IF('07_Subindices'!$B15&lt;&gt;1,0,IF('07_Subindices'!I15="",0,'07_Subindices'!$C15))</f>
        <v>0</v>
      </c>
      <c r="R130">
        <f>IF('07_Subindices'!$B15&lt;&gt;1,0,IF('07_Subindices'!J15="",0,'07_Subindices'!$C15))</f>
        <v>0</v>
      </c>
      <c r="S130">
        <f>IF('07_Subindices'!$B15&lt;&gt;1,0,IF('07_Subindices'!K15="",0,'07_Subindices'!$C15))</f>
        <v>0</v>
      </c>
      <c r="T130">
        <f>IF('07_Subindices'!$B15&lt;&gt;1,0,IF('07_Subindices'!L15="",0,'07_Subindices'!$C15))</f>
        <v>0</v>
      </c>
      <c r="U130">
        <f>IF('07_Subindices'!$B15&lt;&gt;1,0,IF('07_Subindices'!M15="",0,'07_Subindices'!$C15))</f>
        <v>0</v>
      </c>
      <c r="V130">
        <f>IF('07_Subindices'!$B15&lt;&gt;1,0,IF('07_Subindices'!N15="",0,'07_Subindices'!$C15))</f>
        <v>0</v>
      </c>
      <c r="W130">
        <f>IF('07_Subindices'!$B15&lt;&gt;1,0,IF('07_Subindices'!O15="",0,'07_Subindices'!$C15))</f>
        <v>0</v>
      </c>
      <c r="X130">
        <f>IF('07_Subindices'!$B15&lt;&gt;1,0,IF('07_Subindices'!P15="",0,'07_Subindices'!$C15))</f>
        <v>0</v>
      </c>
      <c r="Z130">
        <f>IF('07_Subindices'!$B15&lt;&gt;1,0,IF('07_Subindices'!F15="",0,1))</f>
        <v>0</v>
      </c>
      <c r="AA130">
        <f>IF('07_Subindices'!$B15&lt;&gt;1,0,IF('07_Subindices'!G15="",0,1))</f>
        <v>0</v>
      </c>
      <c r="AB130">
        <f>IF('07_Subindices'!$B15&lt;&gt;1,0,IF('07_Subindices'!H15="",0,1))</f>
        <v>0</v>
      </c>
      <c r="AC130">
        <f>IF('07_Subindices'!$B15&lt;&gt;1,0,IF('07_Subindices'!I15="",0,1))</f>
        <v>0</v>
      </c>
      <c r="AD130">
        <f>IF('07_Subindices'!$B15&lt;&gt;1,0,IF('07_Subindices'!J15="",0,1))</f>
        <v>0</v>
      </c>
      <c r="AE130">
        <f>IF('07_Subindices'!$B15&lt;&gt;1,0,IF('07_Subindices'!K15="",0,1))</f>
        <v>0</v>
      </c>
      <c r="AF130">
        <f>IF('07_Subindices'!$B15&lt;&gt;1,0,IF('07_Subindices'!L15="",0,1))</f>
        <v>0</v>
      </c>
      <c r="AG130">
        <f>IF('07_Subindices'!$B15&lt;&gt;1,0,IF('07_Subindices'!M15="",0,1))</f>
        <v>0</v>
      </c>
      <c r="AH130">
        <f>IF('07_Subindices'!$B15&lt;&gt;1,0,IF('07_Subindices'!N15="",0,1))</f>
        <v>0</v>
      </c>
      <c r="AI130">
        <f>IF('07_Subindices'!$B15&lt;&gt;1,0,IF('07_Subindices'!O15="",0,1))</f>
        <v>0</v>
      </c>
      <c r="AJ130">
        <f>IF('07_Subindices'!$B15&lt;&gt;1,0,IF('07_Subindices'!P15="",0,1))</f>
        <v>0</v>
      </c>
      <c r="AL130">
        <f>IF('07_Subindices'!$B15&lt;&gt;1,0,IF('07_Subindices'!F15="",0,IF('07_Subindices'!F15&lt;='01_Criterios'!$C$9,1,0)))</f>
        <v>0</v>
      </c>
      <c r="AM130">
        <f>IF('07_Subindices'!$B15&lt;&gt;1,0,IF('07_Subindices'!G15="",0,IF('07_Subindices'!G15&lt;='01_Criterios'!$C$9,1,0)))</f>
        <v>0</v>
      </c>
      <c r="AN130">
        <f>IF('07_Subindices'!$B15&lt;&gt;1,0,IF('07_Subindices'!H15="",0,IF('07_Subindices'!H15&lt;='01_Criterios'!$C$9,1,0)))</f>
        <v>0</v>
      </c>
      <c r="AO130">
        <f>IF('07_Subindices'!$B15&lt;&gt;1,0,IF('07_Subindices'!I15="",0,IF('07_Subindices'!I15&lt;='01_Criterios'!$C$9,1,0)))</f>
        <v>0</v>
      </c>
      <c r="AP130">
        <f>IF('07_Subindices'!$B15&lt;&gt;1,0,IF('07_Subindices'!J15="",0,IF('07_Subindices'!J15&lt;='01_Criterios'!$C$9,1,0)))</f>
        <v>0</v>
      </c>
      <c r="AQ130">
        <f>IF('07_Subindices'!$B15&lt;&gt;1,0,IF('07_Subindices'!K15="",0,IF('07_Subindices'!K15&lt;='01_Criterios'!$C$9,1,0)))</f>
        <v>0</v>
      </c>
      <c r="AR130">
        <f>IF('07_Subindices'!$B15&lt;&gt;1,0,IF('07_Subindices'!L15="",0,IF('07_Subindices'!L15&lt;='01_Criterios'!$C$9,1,0)))</f>
        <v>0</v>
      </c>
      <c r="AS130">
        <f>IF('07_Subindices'!$B15&lt;&gt;1,0,IF('07_Subindices'!M15="",0,IF('07_Subindices'!M15&lt;='01_Criterios'!$C$9,1,0)))</f>
        <v>0</v>
      </c>
      <c r="AT130">
        <f>IF('07_Subindices'!$B15&lt;&gt;1,0,IF('07_Subindices'!N15="",0,IF('07_Subindices'!N15&lt;='01_Criterios'!$C$9,1,0)))</f>
        <v>0</v>
      </c>
      <c r="AU130">
        <f>IF('07_Subindices'!$B15&lt;&gt;1,0,IF('07_Subindices'!O15="",0,IF('07_Subindices'!O15&lt;='01_Criterios'!$C$9,1,0)))</f>
        <v>0</v>
      </c>
      <c r="AV130">
        <f>IF('07_Subindices'!$B15&lt;&gt;1,0,IF('07_Subindices'!P15="",0,IF('07_Subindices'!P15&lt;='01_Criterios'!$C$9,1,0)))</f>
        <v>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dimension ref="A1:N31"/>
  <sheetViews>
    <sheetView showGridLines="0" workbookViewId="0">
      <pane xSplit="1" ySplit="4" topLeftCell="B5" activePane="bottomRight" state="frozen"/>
    </sheetView>
  </sheetViews>
  <sheetFormatPr defaultRowHeight="14.5"/>
  <cols>
    <col min="1" max="1" width="30" customWidth="1"/>
    <col min="2" max="12" width="9" customWidth="1"/>
    <col min="13" max="13" width="20" customWidth="1"/>
    <col min="14" max="14" width="24" customWidth="1"/>
  </cols>
  <sheetData>
    <row r="1">
      <c r="A1" s="3" t="inlineStr">
        <is>
          <t xml:space="preserve">← Painel</t>
        </is>
      </c>
    </row>
    <row r="2" ht="21" customHeight="1">
      <c r="A2" s="1" t="inlineStr">
        <is>
          <t xml:space="preserve">ESCALA COMUM DE EVOLUÇÃO  ·  base 2015 = 100</t>
        </is>
      </c>
    </row>
    <row r="3">
      <c r="A3" s="2" t="inlineStr">
        <is>
          <t xml:space="preserve">Cada dimensão é reexpressa face ao seu próprio valor de 2015. Torna as trajectórias comparáveis entre dimensões — o que os níveis não permitem.</t>
        </is>
      </c>
    </row>
    <row r="4" ht="28" customHeight="1">
      <c r="A4" s="11" t="inlineStr">
        <is>
          <t xml:space="preserve">Dimensão</t>
        </is>
      </c>
      <c r="B4" s="11" t="inlineStr">
        <is>
          <t xml:space="preserve">2015</t>
        </is>
      </c>
      <c r="C4" s="11" t="inlineStr">
        <is>
          <t xml:space="preserve">2016</t>
        </is>
      </c>
      <c r="D4" s="11" t="inlineStr">
        <is>
          <t xml:space="preserve">2017</t>
        </is>
      </c>
      <c r="E4" s="11" t="inlineStr">
        <is>
          <t xml:space="preserve">2018</t>
        </is>
      </c>
      <c r="F4" s="11" t="inlineStr">
        <is>
          <t xml:space="preserve">2019</t>
        </is>
      </c>
      <c r="G4" s="11" t="inlineStr">
        <is>
          <t xml:space="preserve">2020</t>
        </is>
      </c>
      <c r="H4" s="11" t="inlineStr">
        <is>
          <t xml:space="preserve">2021</t>
        </is>
      </c>
      <c r="I4" s="11" t="inlineStr">
        <is>
          <t xml:space="preserve">2022</t>
        </is>
      </c>
      <c r="J4" s="11" t="inlineStr">
        <is>
          <t xml:space="preserve">2023</t>
        </is>
      </c>
      <c r="K4" s="11" t="inlineStr">
        <is>
          <t xml:space="preserve">2024</t>
        </is>
      </c>
      <c r="L4" s="11" t="inlineStr">
        <is>
          <t xml:space="preserve">2025</t>
        </is>
      </c>
      <c r="M4" s="11" t="inlineStr">
        <is>
          <t xml:space="preserve">Variação acumulada (%)</t>
        </is>
      </c>
      <c r="N4" s="11" t="inlineStr">
        <is>
          <t xml:space="preserve">Leitura</t>
        </is>
      </c>
    </row>
    <row r="5">
      <c r="A5" s="8" t="inlineStr">
        <is>
          <t xml:space="preserve">Governança</t>
        </is>
      </c>
      <c r="B5" s="33">
        <f>IFERROR(ROUND(100*'07_Subindices'!F5/'07_Subindices'!$F$5,1),"")</f>
      </c>
      <c r="C5" s="33">
        <f>IFERROR(ROUND(100*'07_Subindices'!G5/'07_Subindices'!$F$5,1),"")</f>
      </c>
      <c r="D5" s="33">
        <f>IFERROR(ROUND(100*'07_Subindices'!H5/'07_Subindices'!$F$5,1),"")</f>
      </c>
      <c r="E5" s="33">
        <f>IFERROR(ROUND(100*'07_Subindices'!I5/'07_Subindices'!$F$5,1),"")</f>
      </c>
      <c r="F5" s="33">
        <f>IFERROR(ROUND(100*'07_Subindices'!J5/'07_Subindices'!$F$5,1),"")</f>
      </c>
      <c r="G5" s="33">
        <f>IFERROR(ROUND(100*'07_Subindices'!K5/'07_Subindices'!$F$5,1),"")</f>
      </c>
      <c r="H5" s="33">
        <f>IFERROR(ROUND(100*'07_Subindices'!L5/'07_Subindices'!$F$5,1),"")</f>
      </c>
      <c r="I5" s="33">
        <f>IFERROR(ROUND(100*'07_Subindices'!M5/'07_Subindices'!$F$5,1),"")</f>
      </c>
      <c r="J5" s="33">
        <f>IFERROR(ROUND(100*'07_Subindices'!N5/'07_Subindices'!$F$5,1),"")</f>
      </c>
      <c r="K5" s="33">
        <f>IFERROR(ROUND(100*'07_Subindices'!O5/'07_Subindices'!$F$5,1),"")</f>
      </c>
      <c r="L5" s="33">
        <f>IFERROR(ROUND(100*'07_Subindices'!P5/'07_Subindices'!$F$5,1),"")</f>
      </c>
      <c r="M5" s="33">
        <f>IFERROR(ROUND(L5-100,1),"")</f>
      </c>
      <c r="N5" s="8">
        <f>IF(M5="","",IF(M5&gt;=10,"Progresso forte",IF(M5&gt;=2,"Progresso moderado",IF(M5&gt;-2,"Praticamente estável",IF(M5&gt;-10,"Recuo moderado","Recuo forte")))))</f>
      </c>
    </row>
    <row r="6">
      <c r="A6" s="8" t="inlineStr">
        <is>
          <t xml:space="preserve">Macroeconomia</t>
        </is>
      </c>
      <c r="B6" s="33">
        <f>IFERROR(ROUND(100*'07_Subindices'!F6/'07_Subindices'!$F$6,1),"")</f>
      </c>
      <c r="C6" s="33">
        <f>IFERROR(ROUND(100*'07_Subindices'!G6/'07_Subindices'!$F$6,1),"")</f>
      </c>
      <c r="D6" s="33">
        <f>IFERROR(ROUND(100*'07_Subindices'!H6/'07_Subindices'!$F$6,1),"")</f>
      </c>
      <c r="E6" s="33">
        <f>IFERROR(ROUND(100*'07_Subindices'!I6/'07_Subindices'!$F$6,1),"")</f>
      </c>
      <c r="F6" s="33">
        <f>IFERROR(ROUND(100*'07_Subindices'!J6/'07_Subindices'!$F$6,1),"")</f>
      </c>
      <c r="G6" s="33">
        <f>IFERROR(ROUND(100*'07_Subindices'!K6/'07_Subindices'!$F$6,1),"")</f>
      </c>
      <c r="H6" s="33">
        <f>IFERROR(ROUND(100*'07_Subindices'!L6/'07_Subindices'!$F$6,1),"")</f>
      </c>
      <c r="I6" s="33">
        <f>IFERROR(ROUND(100*'07_Subindices'!M6/'07_Subindices'!$F$6,1),"")</f>
      </c>
      <c r="J6" s="33">
        <f>IFERROR(ROUND(100*'07_Subindices'!N6/'07_Subindices'!$F$6,1),"")</f>
      </c>
      <c r="K6" s="33">
        <f>IFERROR(ROUND(100*'07_Subindices'!O6/'07_Subindices'!$F$6,1),"")</f>
      </c>
      <c r="L6" s="33">
        <f>IFERROR(ROUND(100*'07_Subindices'!P6/'07_Subindices'!$F$6,1),"")</f>
      </c>
      <c r="M6" s="33">
        <f>IFERROR(ROUND(L6-100,1),"")</f>
      </c>
      <c r="N6" s="8">
        <f>IF(M6="","",IF(M6&gt;=10,"Progresso forte",IF(M6&gt;=2,"Progresso moderado",IF(M6&gt;-2,"Praticamente estável",IF(M6&gt;-10,"Recuo moderado","Recuo forte")))))</f>
      </c>
    </row>
    <row r="7">
      <c r="A7" s="8" t="inlineStr">
        <is>
          <t xml:space="preserve">Capital Humano</t>
        </is>
      </c>
      <c r="B7" s="33">
        <f>IFERROR(ROUND(100*'07_Subindices'!F7/'07_Subindices'!$F$7,1),"")</f>
      </c>
      <c r="C7" s="33">
        <f>IFERROR(ROUND(100*'07_Subindices'!G7/'07_Subindices'!$F$7,1),"")</f>
      </c>
      <c r="D7" s="33">
        <f>IFERROR(ROUND(100*'07_Subindices'!H7/'07_Subindices'!$F$7,1),"")</f>
      </c>
      <c r="E7" s="33">
        <f>IFERROR(ROUND(100*'07_Subindices'!I7/'07_Subindices'!$F$7,1),"")</f>
      </c>
      <c r="F7" s="33">
        <f>IFERROR(ROUND(100*'07_Subindices'!J7/'07_Subindices'!$F$7,1),"")</f>
      </c>
      <c r="G7" s="33">
        <f>IFERROR(ROUND(100*'07_Subindices'!K7/'07_Subindices'!$F$7,1),"")</f>
      </c>
      <c r="H7" s="33">
        <f>IFERROR(ROUND(100*'07_Subindices'!L7/'07_Subindices'!$F$7,1),"")</f>
      </c>
      <c r="I7" s="33">
        <f>IFERROR(ROUND(100*'07_Subindices'!M7/'07_Subindices'!$F$7,1),"")</f>
      </c>
      <c r="J7" s="33">
        <f>IFERROR(ROUND(100*'07_Subindices'!N7/'07_Subindices'!$F$7,1),"")</f>
      </c>
      <c r="K7" s="33">
        <f>IFERROR(ROUND(100*'07_Subindices'!O7/'07_Subindices'!$F$7,1),"")</f>
      </c>
      <c r="L7" s="33">
        <f>IFERROR(ROUND(100*'07_Subindices'!P7/'07_Subindices'!$F$7,1),"")</f>
      </c>
      <c r="M7" s="33">
        <f>IFERROR(ROUND(L7-100,1),"")</f>
      </c>
      <c r="N7" s="8">
        <f>IF(M7="","",IF(M7&gt;=10,"Progresso forte",IF(M7&gt;=2,"Progresso moderado",IF(M7&gt;-2,"Praticamente estável",IF(M7&gt;-10,"Recuo moderado","Recuo forte")))))</f>
      </c>
    </row>
    <row r="8">
      <c r="A8" s="8" t="inlineStr">
        <is>
          <t xml:space="preserve">Inclusão Social</t>
        </is>
      </c>
      <c r="B8" s="33">
        <f>IFERROR(ROUND(100*'07_Subindices'!F8/'07_Subindices'!$F$8,1),"")</f>
      </c>
      <c r="C8" s="33">
        <f>IFERROR(ROUND(100*'07_Subindices'!G8/'07_Subindices'!$F$8,1),"")</f>
      </c>
      <c r="D8" s="33">
        <f>IFERROR(ROUND(100*'07_Subindices'!H8/'07_Subindices'!$F$8,1),"")</f>
      </c>
      <c r="E8" s="33">
        <f>IFERROR(ROUND(100*'07_Subindices'!I8/'07_Subindices'!$F$8,1),"")</f>
      </c>
      <c r="F8" s="33">
        <f>IFERROR(ROUND(100*'07_Subindices'!J8/'07_Subindices'!$F$8,1),"")</f>
      </c>
      <c r="G8" s="33">
        <f>IFERROR(ROUND(100*'07_Subindices'!K8/'07_Subindices'!$F$8,1),"")</f>
      </c>
      <c r="H8" s="33">
        <f>IFERROR(ROUND(100*'07_Subindices'!L8/'07_Subindices'!$F$8,1),"")</f>
      </c>
      <c r="I8" s="33">
        <f>IFERROR(ROUND(100*'07_Subindices'!M8/'07_Subindices'!$F$8,1),"")</f>
      </c>
      <c r="J8" s="33">
        <f>IFERROR(ROUND(100*'07_Subindices'!N8/'07_Subindices'!$F$8,1),"")</f>
      </c>
      <c r="K8" s="33">
        <f>IFERROR(ROUND(100*'07_Subindices'!O8/'07_Subindices'!$F$8,1),"")</f>
      </c>
      <c r="L8" s="33">
        <f>IFERROR(ROUND(100*'07_Subindices'!P8/'07_Subindices'!$F$8,1),"")</f>
      </c>
      <c r="M8" s="33">
        <f>IFERROR(ROUND(L8-100,1),"")</f>
      </c>
      <c r="N8" s="8">
        <f>IF(M8="","",IF(M8&gt;=10,"Progresso forte",IF(M8&gt;=2,"Progresso moderado",IF(M8&gt;-2,"Praticamente estável",IF(M8&gt;-10,"Recuo moderado","Recuo forte")))))</f>
      </c>
    </row>
    <row r="9">
      <c r="A9" s="8" t="inlineStr">
        <is>
          <t xml:space="preserve">Infraestruturas</t>
        </is>
      </c>
      <c r="B9" s="33">
        <f>IFERROR(ROUND(100*'07_Subindices'!F9/'07_Subindices'!$F$9,1),"")</f>
      </c>
      <c r="C9" s="33">
        <f>IFERROR(ROUND(100*'07_Subindices'!G9/'07_Subindices'!$F$9,1),"")</f>
      </c>
      <c r="D9" s="33">
        <f>IFERROR(ROUND(100*'07_Subindices'!H9/'07_Subindices'!$F$9,1),"")</f>
      </c>
      <c r="E9" s="33">
        <f>IFERROR(ROUND(100*'07_Subindices'!I9/'07_Subindices'!$F$9,1),"")</f>
      </c>
      <c r="F9" s="33">
        <f>IFERROR(ROUND(100*'07_Subindices'!J9/'07_Subindices'!$F$9,1),"")</f>
      </c>
      <c r="G9" s="33">
        <f>IFERROR(ROUND(100*'07_Subindices'!K9/'07_Subindices'!$F$9,1),"")</f>
      </c>
      <c r="H9" s="33">
        <f>IFERROR(ROUND(100*'07_Subindices'!L9/'07_Subindices'!$F$9,1),"")</f>
      </c>
      <c r="I9" s="33">
        <f>IFERROR(ROUND(100*'07_Subindices'!M9/'07_Subindices'!$F$9,1),"")</f>
      </c>
      <c r="J9" s="33">
        <f>IFERROR(ROUND(100*'07_Subindices'!N9/'07_Subindices'!$F$9,1),"")</f>
      </c>
      <c r="K9" s="33">
        <f>IFERROR(ROUND(100*'07_Subindices'!O9/'07_Subindices'!$F$9,1),"")</f>
      </c>
      <c r="L9" s="33">
        <f>IFERROR(ROUND(100*'07_Subindices'!P9/'07_Subindices'!$F$9,1),"")</f>
      </c>
      <c r="M9" s="33">
        <f>IFERROR(ROUND(L9-100,1),"")</f>
      </c>
      <c r="N9" s="8">
        <f>IF(M9="","",IF(M9&gt;=10,"Progresso forte",IF(M9&gt;=2,"Progresso moderado",IF(M9&gt;-2,"Praticamente estável",IF(M9&gt;-10,"Recuo moderado","Recuo forte")))))</f>
      </c>
    </row>
    <row r="10">
      <c r="A10" s="8" t="inlineStr">
        <is>
          <t xml:space="preserve">Mercado Trabalho</t>
        </is>
      </c>
      <c r="B10" s="33">
        <f>IFERROR(ROUND(100*'07_Subindices'!F10/'07_Subindices'!$F$10,1),"")</f>
      </c>
      <c r="C10" s="33">
        <f>IFERROR(ROUND(100*'07_Subindices'!G10/'07_Subindices'!$F$10,1),"")</f>
      </c>
      <c r="D10" s="33">
        <f>IFERROR(ROUND(100*'07_Subindices'!H10/'07_Subindices'!$F$10,1),"")</f>
      </c>
      <c r="E10" s="33">
        <f>IFERROR(ROUND(100*'07_Subindices'!I10/'07_Subindices'!$F$10,1),"")</f>
      </c>
      <c r="F10" s="33">
        <f>IFERROR(ROUND(100*'07_Subindices'!J10/'07_Subindices'!$F$10,1),"")</f>
      </c>
      <c r="G10" s="33">
        <f>IFERROR(ROUND(100*'07_Subindices'!K10/'07_Subindices'!$F$10,1),"")</f>
      </c>
      <c r="H10" s="33">
        <f>IFERROR(ROUND(100*'07_Subindices'!L10/'07_Subindices'!$F$10,1),"")</f>
      </c>
      <c r="I10" s="33">
        <f>IFERROR(ROUND(100*'07_Subindices'!M10/'07_Subindices'!$F$10,1),"")</f>
      </c>
      <c r="J10" s="33">
        <f>IFERROR(ROUND(100*'07_Subindices'!N10/'07_Subindices'!$F$10,1),"")</f>
      </c>
      <c r="K10" s="33">
        <f>IFERROR(ROUND(100*'07_Subindices'!O10/'07_Subindices'!$F$10,1),"")</f>
      </c>
      <c r="L10" s="33">
        <f>IFERROR(ROUND(100*'07_Subindices'!P10/'07_Subindices'!$F$10,1),"")</f>
      </c>
      <c r="M10" s="33">
        <f>IFERROR(ROUND(L10-100,1),"")</f>
      </c>
      <c r="N10" s="8">
        <f>IF(M10="","",IF(M10&gt;=10,"Progresso forte",IF(M10&gt;=2,"Progresso moderado",IF(M10&gt;-2,"Praticamente estável",IF(M10&gt;-10,"Recuo moderado","Recuo forte")))))</f>
      </c>
    </row>
    <row r="11">
      <c r="A11" s="8" t="inlineStr">
        <is>
          <t xml:space="preserve">Saúde/Alimentar</t>
        </is>
      </c>
      <c r="B11" s="33">
        <f>IFERROR(ROUND(100*'07_Subindices'!F11/'07_Subindices'!$F$11,1),"")</f>
      </c>
      <c r="C11" s="33">
        <f>IFERROR(ROUND(100*'07_Subindices'!G11/'07_Subindices'!$F$11,1),"")</f>
      </c>
      <c r="D11" s="33">
        <f>IFERROR(ROUND(100*'07_Subindices'!H11/'07_Subindices'!$F$11,1),"")</f>
      </c>
      <c r="E11" s="33">
        <f>IFERROR(ROUND(100*'07_Subindices'!I11/'07_Subindices'!$F$11,1),"")</f>
      </c>
      <c r="F11" s="33">
        <f>IFERROR(ROUND(100*'07_Subindices'!J11/'07_Subindices'!$F$11,1),"")</f>
      </c>
      <c r="G11" s="33">
        <f>IFERROR(ROUND(100*'07_Subindices'!K11/'07_Subindices'!$F$11,1),"")</f>
      </c>
      <c r="H11" s="33">
        <f>IFERROR(ROUND(100*'07_Subindices'!L11/'07_Subindices'!$F$11,1),"")</f>
      </c>
      <c r="I11" s="33">
        <f>IFERROR(ROUND(100*'07_Subindices'!M11/'07_Subindices'!$F$11,1),"")</f>
      </c>
      <c r="J11" s="33">
        <f>IFERROR(ROUND(100*'07_Subindices'!N11/'07_Subindices'!$F$11,1),"")</f>
      </c>
      <c r="K11" s="33">
        <f>IFERROR(ROUND(100*'07_Subindices'!O11/'07_Subindices'!$F$11,1),"")</f>
      </c>
      <c r="L11" s="33">
        <f>IFERROR(ROUND(100*'07_Subindices'!P11/'07_Subindices'!$F$11,1),"")</f>
      </c>
      <c r="M11" s="33">
        <f>IFERROR(ROUND(L11-100,1),"")</f>
      </c>
      <c r="N11" s="8">
        <f>IF(M11="","",IF(M11&gt;=10,"Progresso forte",IF(M11&gt;=2,"Progresso moderado",IF(M11&gt;-2,"Praticamente estável",IF(M11&gt;-10,"Recuo moderado","Recuo forte")))))</f>
      </c>
    </row>
    <row r="12">
      <c r="A12" s="8" t="inlineStr">
        <is>
          <t xml:space="preserve">Diversificação</t>
        </is>
      </c>
      <c r="B12" s="33">
        <f>IFERROR(ROUND(100*'07_Subindices'!F12/'07_Subindices'!$F$12,1),"")</f>
      </c>
      <c r="C12" s="33">
        <f>IFERROR(ROUND(100*'07_Subindices'!G12/'07_Subindices'!$F$12,1),"")</f>
      </c>
      <c r="D12" s="33">
        <f>IFERROR(ROUND(100*'07_Subindices'!H12/'07_Subindices'!$F$12,1),"")</f>
      </c>
      <c r="E12" s="33">
        <f>IFERROR(ROUND(100*'07_Subindices'!I12/'07_Subindices'!$F$12,1),"")</f>
      </c>
      <c r="F12" s="33">
        <f>IFERROR(ROUND(100*'07_Subindices'!J12/'07_Subindices'!$F$12,1),"")</f>
      </c>
      <c r="G12" s="33">
        <f>IFERROR(ROUND(100*'07_Subindices'!K12/'07_Subindices'!$F$12,1),"")</f>
      </c>
      <c r="H12" s="33">
        <f>IFERROR(ROUND(100*'07_Subindices'!L12/'07_Subindices'!$F$12,1),"")</f>
      </c>
      <c r="I12" s="33">
        <f>IFERROR(ROUND(100*'07_Subindices'!M12/'07_Subindices'!$F$12,1),"")</f>
      </c>
      <c r="J12" s="33">
        <f>IFERROR(ROUND(100*'07_Subindices'!N12/'07_Subindices'!$F$12,1),"")</f>
      </c>
      <c r="K12" s="33">
        <f>IFERROR(ROUND(100*'07_Subindices'!O12/'07_Subindices'!$F$12,1),"")</f>
      </c>
      <c r="L12" s="33">
        <f>IFERROR(ROUND(100*'07_Subindices'!P12/'07_Subindices'!$F$12,1),"")</f>
      </c>
      <c r="M12" s="33">
        <f>IFERROR(ROUND(L12-100,1),"")</f>
      </c>
      <c r="N12" s="8">
        <f>IF(M12="","",IF(M12&gt;=10,"Progresso forte",IF(M12&gt;=2,"Progresso moderado",IF(M12&gt;-2,"Praticamente estável",IF(M12&gt;-10,"Recuo moderado","Recuo forte")))))</f>
      </c>
    </row>
    <row r="13">
      <c r="A13" s="53" t="inlineStr">
        <is>
          <t xml:space="preserve">IGDA-BDA (índice global)</t>
        </is>
      </c>
      <c r="B13" s="9">
        <f>IFERROR(ROUND(100*'07_Subindices'!F18/'07_Subindices'!$F$18,1),"")</f>
      </c>
      <c r="C13" s="9">
        <f>IFERROR(ROUND(100*'07_Subindices'!G18/'07_Subindices'!$F$18,1),"")</f>
      </c>
      <c r="D13" s="9">
        <f>IFERROR(ROUND(100*'07_Subindices'!H18/'07_Subindices'!$F$18,1),"")</f>
      </c>
      <c r="E13" s="9">
        <f>IFERROR(ROUND(100*'07_Subindices'!I18/'07_Subindices'!$F$18,1),"")</f>
      </c>
      <c r="F13" s="9">
        <f>IFERROR(ROUND(100*'07_Subindices'!J18/'07_Subindices'!$F$18,1),"")</f>
      </c>
      <c r="G13" s="9">
        <f>IFERROR(ROUND(100*'07_Subindices'!K18/'07_Subindices'!$F$18,1),"")</f>
      </c>
      <c r="H13" s="9">
        <f>IFERROR(ROUND(100*'07_Subindices'!L18/'07_Subindices'!$F$18,1),"")</f>
      </c>
      <c r="I13" s="9">
        <f>IFERROR(ROUND(100*'07_Subindices'!M18/'07_Subindices'!$F$18,1),"")</f>
      </c>
      <c r="J13" s="9">
        <f>IFERROR(ROUND(100*'07_Subindices'!N18/'07_Subindices'!$F$18,1),"")</f>
      </c>
      <c r="K13" s="9">
        <f>IFERROR(ROUND(100*'07_Subindices'!O18/'07_Subindices'!$F$18,1),"")</f>
      </c>
      <c r="L13" s="9">
        <f>IFERROR(ROUND(100*'07_Subindices'!P18/'07_Subindices'!$F$18,1),"")</f>
      </c>
      <c r="M13" s="9">
        <f>IFERROR(ROUND(L13-100,1),"")</f>
      </c>
      <c r="N13" s="53" t="inlineStr">
        <is>
          <t xml:space="preserve">Agregado — não é uma dimensão</t>
        </is>
      </c>
    </row>
    <row r="15" ht="18" customHeight="1">
      <c r="A15" s="1" t="inlineStr">
        <is>
          <t xml:space="preserve">DIAGNÓSTICO DE AMPLITUDE</t>
        </is>
      </c>
    </row>
    <row r="16">
      <c r="A16" s="2" t="inlineStr">
        <is>
          <t xml:space="preserve">Amplitude que cada subíndice percorre na sua própria escala. Amplitudes muito diferentes explicam por que os níveis não são comparáveis entre dimensões.</t>
        </is>
      </c>
    </row>
    <row r="17" ht="28" customHeight="1">
      <c r="A17" s="11" t="inlineStr">
        <is>
          <t xml:space="preserve">Dimensão</t>
        </is>
      </c>
      <c r="B17" s="11" t="inlineStr">
        <is>
          <t xml:space="preserve">Mínimo</t>
        </is>
      </c>
      <c r="C17" s="11" t="inlineStr">
        <is>
          <t xml:space="preserve">Máximo</t>
        </is>
      </c>
      <c r="D17" s="11" t="inlineStr">
        <is>
          <t xml:space="preserve">Amplitude (pts)</t>
        </is>
      </c>
      <c r="E17" s="11" t="inlineStr">
        <is>
          <t xml:space="preserve">Ano do mínimo</t>
        </is>
      </c>
      <c r="F17" s="11" t="inlineStr">
        <is>
          <t xml:space="preserve">Ano do máximo</t>
        </is>
      </c>
    </row>
    <row r="18">
      <c r="A18" s="8" t="inlineStr">
        <is>
          <t xml:space="preserve">Governança</t>
        </is>
      </c>
      <c r="B18" s="33">
        <f>IFERROR(ROUND(MIN('07_Subindices'!$F$5:$P$5),1),"")</f>
      </c>
      <c r="C18" s="33">
        <f>IFERROR(ROUND(MAX('07_Subindices'!$F$5:$P$5),1),"")</f>
      </c>
      <c r="D18" s="33">
        <f>IFERROR(ROUND(C18-B18,1),"")</f>
      </c>
      <c r="E18" s="33">
        <f>IFERROR(INDEX('07_Subindices'!$F$4:$P$4,MATCH(MIN('07_Subindices'!$F$5:$P$5),'07_Subindices'!$F$5:$P$5,0)),"")</f>
      </c>
      <c r="F18" s="33">
        <f>IFERROR(INDEX('07_Subindices'!$F$4:$P$4,MATCH(MAX('07_Subindices'!$F$5:$P$5),'07_Subindices'!$F$5:$P$5,0)),"")</f>
      </c>
    </row>
    <row r="19">
      <c r="A19" s="8" t="inlineStr">
        <is>
          <t xml:space="preserve">Macroeconomia</t>
        </is>
      </c>
      <c r="B19" s="33">
        <f>IFERROR(ROUND(MIN('07_Subindices'!$F$6:$P$6),1),"")</f>
      </c>
      <c r="C19" s="33">
        <f>IFERROR(ROUND(MAX('07_Subindices'!$F$6:$P$6),1),"")</f>
      </c>
      <c r="D19" s="33">
        <f>IFERROR(ROUND(C19-B19,1),"")</f>
      </c>
      <c r="E19" s="33">
        <f>IFERROR(INDEX('07_Subindices'!$F$4:$P$4,MATCH(MIN('07_Subindices'!$F$6:$P$6),'07_Subindices'!$F$6:$P$6,0)),"")</f>
      </c>
      <c r="F19" s="33">
        <f>IFERROR(INDEX('07_Subindices'!$F$4:$P$4,MATCH(MAX('07_Subindices'!$F$6:$P$6),'07_Subindices'!$F$6:$P$6,0)),"")</f>
      </c>
    </row>
    <row r="20">
      <c r="A20" s="8" t="inlineStr">
        <is>
          <t xml:space="preserve">Capital Humano</t>
        </is>
      </c>
      <c r="B20" s="33">
        <f>IFERROR(ROUND(MIN('07_Subindices'!$F$7:$P$7),1),"")</f>
      </c>
      <c r="C20" s="33">
        <f>IFERROR(ROUND(MAX('07_Subindices'!$F$7:$P$7),1),"")</f>
      </c>
      <c r="D20" s="33">
        <f>IFERROR(ROUND(C20-B20,1),"")</f>
      </c>
      <c r="E20" s="33">
        <f>IFERROR(INDEX('07_Subindices'!$F$4:$P$4,MATCH(MIN('07_Subindices'!$F$7:$P$7),'07_Subindices'!$F$7:$P$7,0)),"")</f>
      </c>
      <c r="F20" s="33">
        <f>IFERROR(INDEX('07_Subindices'!$F$4:$P$4,MATCH(MAX('07_Subindices'!$F$7:$P$7),'07_Subindices'!$F$7:$P$7,0)),"")</f>
      </c>
    </row>
    <row r="21">
      <c r="A21" s="8" t="inlineStr">
        <is>
          <t xml:space="preserve">Inclusão Social</t>
        </is>
      </c>
      <c r="B21" s="33">
        <f>IFERROR(ROUND(MIN('07_Subindices'!$F$8:$P$8),1),"")</f>
      </c>
      <c r="C21" s="33">
        <f>IFERROR(ROUND(MAX('07_Subindices'!$F$8:$P$8),1),"")</f>
      </c>
      <c r="D21" s="33">
        <f>IFERROR(ROUND(C21-B21,1),"")</f>
      </c>
      <c r="E21" s="33">
        <f>IFERROR(INDEX('07_Subindices'!$F$4:$P$4,MATCH(MIN('07_Subindices'!$F$8:$P$8),'07_Subindices'!$F$8:$P$8,0)),"")</f>
      </c>
      <c r="F21" s="33">
        <f>IFERROR(INDEX('07_Subindices'!$F$4:$P$4,MATCH(MAX('07_Subindices'!$F$8:$P$8),'07_Subindices'!$F$8:$P$8,0)),"")</f>
      </c>
    </row>
    <row r="22">
      <c r="A22" s="8" t="inlineStr">
        <is>
          <t xml:space="preserve">Infraestruturas</t>
        </is>
      </c>
      <c r="B22" s="33">
        <f>IFERROR(ROUND(MIN('07_Subindices'!$F$9:$P$9),1),"")</f>
      </c>
      <c r="C22" s="33">
        <f>IFERROR(ROUND(MAX('07_Subindices'!$F$9:$P$9),1),"")</f>
      </c>
      <c r="D22" s="33">
        <f>IFERROR(ROUND(C22-B22,1),"")</f>
      </c>
      <c r="E22" s="33">
        <f>IFERROR(INDEX('07_Subindices'!$F$4:$P$4,MATCH(MIN('07_Subindices'!$F$9:$P$9),'07_Subindices'!$F$9:$P$9,0)),"")</f>
      </c>
      <c r="F22" s="33">
        <f>IFERROR(INDEX('07_Subindices'!$F$4:$P$4,MATCH(MAX('07_Subindices'!$F$9:$P$9),'07_Subindices'!$F$9:$P$9,0)),"")</f>
      </c>
    </row>
    <row r="23">
      <c r="A23" s="8" t="inlineStr">
        <is>
          <t xml:space="preserve">Mercado Trabalho</t>
        </is>
      </c>
      <c r="B23" s="33">
        <f>IFERROR(ROUND(MIN('07_Subindices'!$F$10:$P$10),1),"")</f>
      </c>
      <c r="C23" s="33">
        <f>IFERROR(ROUND(MAX('07_Subindices'!$F$10:$P$10),1),"")</f>
      </c>
      <c r="D23" s="33">
        <f>IFERROR(ROUND(C23-B23,1),"")</f>
      </c>
      <c r="E23" s="33">
        <f>IFERROR(INDEX('07_Subindices'!$F$4:$P$4,MATCH(MIN('07_Subindices'!$F$10:$P$10),'07_Subindices'!$F$10:$P$10,0)),"")</f>
      </c>
      <c r="F23" s="33">
        <f>IFERROR(INDEX('07_Subindices'!$F$4:$P$4,MATCH(MAX('07_Subindices'!$F$10:$P$10),'07_Subindices'!$F$10:$P$10,0)),"")</f>
      </c>
    </row>
    <row r="24">
      <c r="A24" s="8" t="inlineStr">
        <is>
          <t xml:space="preserve">Saúde/Alimentar</t>
        </is>
      </c>
      <c r="B24" s="33">
        <f>IFERROR(ROUND(MIN('07_Subindices'!$F$11:$P$11),1),"")</f>
      </c>
      <c r="C24" s="33">
        <f>IFERROR(ROUND(MAX('07_Subindices'!$F$11:$P$11),1),"")</f>
      </c>
      <c r="D24" s="33">
        <f>IFERROR(ROUND(C24-B24,1),"")</f>
      </c>
      <c r="E24" s="33">
        <f>IFERROR(INDEX('07_Subindices'!$F$4:$P$4,MATCH(MIN('07_Subindices'!$F$11:$P$11),'07_Subindices'!$F$11:$P$11,0)),"")</f>
      </c>
      <c r="F24" s="33">
        <f>IFERROR(INDEX('07_Subindices'!$F$4:$P$4,MATCH(MAX('07_Subindices'!$F$11:$P$11),'07_Subindices'!$F$11:$P$11,0)),"")</f>
      </c>
    </row>
    <row r="25">
      <c r="A25" s="8" t="inlineStr">
        <is>
          <t xml:space="preserve">Diversificação</t>
        </is>
      </c>
      <c r="B25" s="33">
        <f>IFERROR(ROUND(MIN('07_Subindices'!$F$12:$P$12),1),"")</f>
      </c>
      <c r="C25" s="33">
        <f>IFERROR(ROUND(MAX('07_Subindices'!$F$12:$P$12),1),"")</f>
      </c>
      <c r="D25" s="33">
        <f>IFERROR(ROUND(C25-B25,1),"")</f>
      </c>
      <c r="E25" s="33">
        <f>IFERROR(INDEX('07_Subindices'!$F$4:$P$4,MATCH(MIN('07_Subindices'!$F$12:$P$12),'07_Subindices'!$F$12:$P$12,0)),"")</f>
      </c>
      <c r="F25" s="33">
        <f>IFERROR(INDEX('07_Subindices'!$F$4:$P$4,MATCH(MAX('07_Subindices'!$F$12:$P$12),'07_Subindices'!$F$12:$P$12,0)),"")</f>
      </c>
    </row>
    <row r="27">
      <c r="A27" s="1" t="inlineStr">
        <is>
          <t xml:space="preserve">COMO LER ESTA FOLHA</t>
        </is>
      </c>
    </row>
    <row r="28">
      <c r="A28" s="2" t="inlineStr">
        <is>
          <t xml:space="preserve">Permite: comparar o ritmo de progresso entre dimensões; identificar que dimensões aceleram ou recuam; medir cada dimensão face a si própria.</t>
        </is>
      </c>
    </row>
    <row r="29">
      <c r="A29" s="2" t="inlineStr">
        <is>
          <t xml:space="preserve">Não permite: comparar níveis entre dimensões. Um valor de 120 na Diversificação e 104 no Mercado de Trabalho significa que a primeira cresceu mais desde 2015 — não que esteja num patamar superior.</t>
        </is>
      </c>
    </row>
    <row r="30">
      <c r="A30" s="2" t="inlineStr">
        <is>
          <t xml:space="preserve">Cálculo: Índice(t) = 100 × Subíndice(t) ÷ Subíndice(2015). Todas as células são fórmulas ligadas a 07_Subindices; qualquer recalibração propaga-se automaticamente.</t>
        </is>
      </c>
    </row>
    <row r="31">
      <c r="A31" s="2" t="inlineStr">
        <is>
          <t xml:space="preserve">Referência: rebasing de índices, prática corrente do INE, Eurostat e FMI. A comparabilidade de níveis exigiria um referencial externo (grupo de países pares), não disponível nesta versão do construtor.</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62224FACC55B64EA3EE420510FDFE23" ma:contentTypeVersion="3" ma:contentTypeDescription="Criar um novo documento." ma:contentTypeScope="" ma:versionID="85087ee57eed0a7cc3a70fcbab29a502">
  <xsd:schema xmlns:xsd="http://www.w3.org/2001/XMLSchema" xmlns:xs="http://www.w3.org/2001/XMLSchema" xmlns:p="http://schemas.microsoft.com/office/2006/metadata/properties" xmlns:ns2="083a1b34-388c-4e4c-aa22-c8ea837a5423" targetNamespace="http://schemas.microsoft.com/office/2006/metadata/properties" ma:root="true" ma:fieldsID="701bb8e69e6708ee3a9090365a1778b9" ns2:_="">
    <xsd:import namespace="083a1b34-388c-4e4c-aa22-c8ea837a542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3a1b34-388c-4e4c-aa22-c8ea837a54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3A8C79-5533-420B-94F1-39D8856848F1}"/>
</file>

<file path=customXml/itemProps2.xml><?xml version="1.0" encoding="utf-8"?>
<ds:datastoreItem xmlns:ds="http://schemas.openxmlformats.org/officeDocument/2006/customXml" ds:itemID="{8EC8ECC6-EC80-4287-9E86-1341180BFA80}"/>
</file>

<file path=customXml/itemProps3.xml><?xml version="1.0" encoding="utf-8"?>
<ds:datastoreItem xmlns:ds="http://schemas.openxmlformats.org/officeDocument/2006/customXml" ds:itemID="{6A6C4972-ACC5-4DD5-B104-5DC1788E82E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IGDA-BDA — Construtor do Índice — Selecção Final</dc:title>
  <dc:subject/>
  <dc:creator>Banco de Desenvolvimento de Angola</dc:creator>
  <cp:keywords/>
  <dc:description>Índice Global de Desenvolvimento de Angola (IGDA-BDA): construtor com selecção automática de indicadores.</dc:description>
  <cp:lastModifiedBy>dmsao3@hotmail.com</cp:lastModifiedBy>
  <cp:revision/>
  <dcterms:created xsi:type="dcterms:W3CDTF">2026-06-12T12:08:44Z</dcterms:created>
  <dcterms:modified xsi:type="dcterms:W3CDTF">2026-07-09T15:54:04Z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0x010100762224FACC55B64EA3EE420510FDFE23</vt:lpwstr>
  </property>
</Properties>
</file>