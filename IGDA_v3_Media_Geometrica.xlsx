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nstruções" sheetId="1" state="visible" r:id="rId3"/>
    <sheet name="Input_Dados" sheetId="2" state="visible" r:id="rId4"/>
    <sheet name="Parametros" sheetId="3" state="visible" r:id="rId5"/>
    <sheet name="Normalizacao" sheetId="4" state="visible" r:id="rId6"/>
    <sheet name="Subindices" sheetId="5" state="visible" r:id="rId7"/>
    <sheet name="Indice_Glob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Descontinuado - esta em implementação o Business Ready. (B-Ready)</t>
        </r>
      </text>
    </comment>
  </commentList>
</comments>
</file>

<file path=xl/sharedStrings.xml><?xml version="1.0" encoding="utf-8"?>
<sst xmlns="http://schemas.openxmlformats.org/spreadsheetml/2006/main" count="506" uniqueCount="193">
  <si>
    <t xml:space="preserve">ÍNDICE DE DESENVOLVIMENTO DE ANGOLA (IGDA-BDA)</t>
  </si>
  <si>
    <t xml:space="preserve">INSTRUÇÕES DE UTILIZAÇÃO</t>
  </si>
  <si>
    <t xml:space="preserve">1. ESTRUTURA DO FICHEIRO</t>
  </si>
  <si>
    <t xml:space="preserve">   Este ficheiro está organizado nas seguintes folhas:</t>
  </si>
  <si>
    <t xml:space="preserve">   • Instruções - Esta folha com orientações de utilização</t>
  </si>
  <si>
    <t xml:space="preserve">   • Input_Dados - Onde deve introduzir os valores dos indicadores (células azuis)</t>
  </si>
  <si>
    <t xml:space="preserve">   • Parametros - Definição de pesos, mínimos e máximos para normalização</t>
  </si>
  <si>
    <t xml:space="preserve">   • Normalizacao - Cálculo automático da normalização (0-100)</t>
  </si>
  <si>
    <t xml:space="preserve">   • Subindices - Cálculo dos 7 subíndices temáticos</t>
  </si>
  <si>
    <t xml:space="preserve">   • Indice_Global - Cálculo do IGDA-BDA e dashboard</t>
  </si>
  <si>
    <t xml:space="preserve">2. COMO UTILIZAR</t>
  </si>
  <si>
    <t xml:space="preserve">   a) Vá à folha 'Input_Dados' e introduza os valores dos indicadores (pode modificar os indicadores)</t>
  </si>
  <si>
    <t xml:space="preserve">   b) Os anos disponíveis são 2015-2025 (pode ajustar conforme necessário)</t>
  </si>
  <si>
    <t xml:space="preserve">   c) Na folha 'Parametros' pode ajustar os pesos de cada indicador e subíndice</t>
  </si>
  <si>
    <t xml:space="preserve">   d) Os resultados são calculados automaticamente nas folhas seguintes (ou seja, sheets a laranja, introduzimos, sheets a azul são os nossos outputs</t>
  </si>
  <si>
    <t xml:space="preserve">3. CONVENÇÕES DE CORES</t>
  </si>
  <si>
    <t xml:space="preserve">   • Laranja - Células de input (introduza dados aqui)</t>
  </si>
  <si>
    <t xml:space="preserve">   • Azul - Fórmulas e cálculos automáticos</t>
  </si>
  <si>
    <t xml:space="preserve">4. METODOLOGIA</t>
  </si>
  <si>
    <t xml:space="preserve">   • Normalização: escala 0-100 usando Min-Max</t>
  </si>
  <si>
    <t xml:space="preserve">   • Indicadores 'negativos' são invertidos (ex: pobreza, inflação)</t>
  </si>
  <si>
    <t xml:space="preserve">   • Subíndices: MÉDIA ARITMÉTICA PONDERADA dos indicadores disponíveis (pesos em Parametros col. E)</t>
  </si>
  <si>
    <t xml:space="preserve">   • Índice Global: MÉDIA GEOMÉTRICA PONDERADA dos subíndices disponíveis (penaliza o desequilíbrio)</t>
  </si>
  <si>
    <t xml:space="preserve">5. OS 7 SUBÍNDICES</t>
  </si>
  <si>
    <t xml:space="preserve">   1. Governança e Estado de Direito</t>
  </si>
  <si>
    <t xml:space="preserve">   2. Estabilidade Macroeconómica e Fiscal</t>
  </si>
  <si>
    <t xml:space="preserve">   3. Capital Humano (Educação e Saúde)</t>
  </si>
  <si>
    <t xml:space="preserve">   4. Inclusão Social e Protecção Social</t>
  </si>
  <si>
    <t xml:space="preserve">   5. Infraestruturas e Serviços Básicos</t>
  </si>
  <si>
    <t xml:space="preserve">   6. Mercado de Trabalho e Produtividade</t>
  </si>
  <si>
    <t xml:space="preserve">   7. Segurança Alimentar e Saúde Pública</t>
  </si>
  <si>
    <t xml:space="preserve">Versão revista (Output 1): corrige denominador dinâmico (só conta dimensões com dados),</t>
  </si>
  <si>
    <t xml:space="preserve">Desenvolvido para o Banco de Desenvolvimento de Angola (BDA)</t>
  </si>
  <si>
    <t xml:space="preserve">Alinhado com o PDN 2023-2027</t>
  </si>
  <si>
    <t xml:space="preserve">NOTA DE REVISÃO — Output 2 (Média Geométrica Ponderada):</t>
  </si>
  <si>
    <t xml:space="preserve">  - C1/C3: mesmas correções do Output 1 (denominador dinâmico + limiar de cobertura).</t>
  </si>
  <si>
    <t xml:space="preserve">  - Índice Global = exp( Σ peso·ln(subíndice) / Σ peso ), só sobre subíndices com dados.</t>
  </si>
  <si>
    <t xml:space="preserve">  - Propriedade: penaliza fortemente o desequilíbrio entre dimensões (estilo IDH/PNUD).</t>
  </si>
  <si>
    <t xml:space="preserve">  - Salvaguarda: se algum subíndice presente for &lt;= 0, o IGDA desse ano é 0.</t>
  </si>
  <si>
    <t xml:space="preserve">  - Subíndices continuam a ser média aritmética ponderada dos indicadores (igual ao Output 1).</t>
  </si>
  <si>
    <t xml:space="preserve">Subíndice</t>
  </si>
  <si>
    <t xml:space="preserve">Indicador</t>
  </si>
  <si>
    <t xml:space="preserve">Unidade</t>
  </si>
  <si>
    <t xml:space="preserve">Sentido</t>
  </si>
  <si>
    <t xml:space="preserve">Fonte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</si>
  <si>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</si>
  <si>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</si>
  <si>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</si>
  <si>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</si>
  <si>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</si>
  <si>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</si>
  <si>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</si>
  <si>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</si>
  <si>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</si>
  <si>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</si>
  <si>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</si>
  <si>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1. Governança</t>
  </si>
  <si>
    <t xml:space="preserve">Índice de Percepção da Corrupção</t>
  </si>
  <si>
    <t xml:space="preserve">0-100</t>
  </si>
  <si>
    <t xml:space="preserve">+</t>
  </si>
  <si>
    <t xml:space="preserve">Transparency Int.</t>
  </si>
  <si>
    <t xml:space="preserve">Angola - Corruption Perceptions Index 2023 | countryeconomy.com</t>
  </si>
  <si>
    <t xml:space="preserve">WGI - Estado de Direito</t>
  </si>
  <si>
    <t xml:space="preserve">-2.5 a 2.5</t>
  </si>
  <si>
    <t xml:space="preserve">Banco Mundial</t>
  </si>
  <si>
    <t xml:space="preserve">Angola's Income Inequality (2018) – Trends &amp; Historical Data</t>
  </si>
  <si>
    <t xml:space="preserve">WGI - Eficiência do Governo</t>
  </si>
  <si>
    <t xml:space="preserve">Estabilidade Política (WGI)</t>
  </si>
  <si>
    <t xml:space="preserve">Doing Business / Ease of Business</t>
  </si>
  <si>
    <t xml:space="preserve">Internet Users in Angola | 2025 Trends &amp; Rankings | World View Data</t>
  </si>
  <si>
    <t xml:space="preserve">2. Macroeconomia</t>
  </si>
  <si>
    <t xml:space="preserve">Taxa de Crescimento do PIB</t>
  </si>
  <si>
    <t xml:space="preserve">%</t>
  </si>
  <si>
    <t xml:space="preserve">INE/MEP</t>
  </si>
  <si>
    <t xml:space="preserve">Repositório de Conhecimento Aberto</t>
  </si>
  <si>
    <t xml:space="preserve">PIB per Capita (USD)</t>
  </si>
  <si>
    <t xml:space="preserve">USD</t>
  </si>
  <si>
    <t xml:space="preserve">Inflação (IPC)</t>
  </si>
  <si>
    <t xml:space="preserve">-</t>
  </si>
  <si>
    <t xml:space="preserve">INE/BNA</t>
  </si>
  <si>
    <t xml:space="preserve">Dívida Pública (% do PIB)</t>
  </si>
  <si>
    <t xml:space="preserve">MINFIN</t>
  </si>
  <si>
    <t xml:space="preserve">PUBLIC DEBT STATISTICAL BULLETIN AS OF []</t>
  </si>
  <si>
    <t xml:space="preserve">Saldo Orçamental (% do PIB)</t>
  </si>
  <si>
    <t xml:space="preserve">IDE não-petrolífero (% PIB)</t>
  </si>
  <si>
    <t xml:space="preserve">AIPEX/BNA</t>
  </si>
  <si>
    <t xml:space="preserve">Reservas Internacionais (meses)</t>
  </si>
  <si>
    <t xml:space="preserve">Meses</t>
  </si>
  <si>
    <t xml:space="preserve">BNA</t>
  </si>
  <si>
    <t xml:space="preserve">3. Capital Humano</t>
  </si>
  <si>
    <t xml:space="preserve">Índice de Desenvolvimento Humano</t>
  </si>
  <si>
    <t xml:space="preserve">0-1</t>
  </si>
  <si>
    <t xml:space="preserve">PNUD</t>
  </si>
  <si>
    <t xml:space="preserve">Relatório do Desenvolvimento Humano (RDH) 2023-2024 | United Nations Development Programme</t>
  </si>
  <si>
    <t xml:space="preserve">Esperança Média de Vida</t>
  </si>
  <si>
    <t xml:space="preserve">Anos</t>
  </si>
  <si>
    <t xml:space="preserve">INE/OMS</t>
  </si>
  <si>
    <t xml:space="preserve">Life Expectancy at Birth, Total for Angola (SPDYNLE00INAGO) | FRED | St. Louis Fed</t>
  </si>
  <si>
    <t xml:space="preserve">Taxa de Alfabetização (+15 anos)</t>
  </si>
  <si>
    <t xml:space="preserve">INE/MED</t>
  </si>
  <si>
    <t xml:space="preserve">Taxa de Matrícula (primário)</t>
  </si>
  <si>
    <t xml:space="preserve">MED</t>
  </si>
  <si>
    <t xml:space="preserve">Anos Médios de Escolaridade</t>
  </si>
  <si>
    <t xml:space="preserve">UNESCO</t>
  </si>
  <si>
    <t xml:space="preserve">Mortalidade Infantil (por 1000)</t>
  </si>
  <si>
    <t xml:space="preserve">‰</t>
  </si>
  <si>
    <t xml:space="preserve">INE/MINSA</t>
  </si>
  <si>
    <t xml:space="preserve">4. Inclusão Social</t>
  </si>
  <si>
    <t xml:space="preserve">Taxa de Pobreza (&lt; 2.15 USD/dia)</t>
  </si>
  <si>
    <t xml:space="preserve">INE/BM</t>
  </si>
  <si>
    <t xml:space="preserve">UNdata | record view | Poverty headcount ratio at $2.15 a day (2017 PPP) (% of population)</t>
  </si>
  <si>
    <t xml:space="preserve">Índice de Gini</t>
  </si>
  <si>
    <t xml:space="preserve">Gini index - Angola | Data</t>
  </si>
  <si>
    <t xml:space="preserve">Cobertura Protecção Social</t>
  </si>
  <si>
    <t xml:space="preserve">INSS</t>
  </si>
  <si>
    <t xml:space="preserve">Global Gender Gap Index</t>
  </si>
  <si>
    <t xml:space="preserve">WEF</t>
  </si>
  <si>
    <t xml:space="preserve">Angola - Global Gender Gap Index 2024 | countryeconomy.com</t>
  </si>
  <si>
    <t xml:space="preserve">RNB per Capita (USD)</t>
  </si>
  <si>
    <t xml:space="preserve">INE</t>
  </si>
  <si>
    <t xml:space="preserve">GNI per capita, Atlas method (current US$) - Angola | Data</t>
  </si>
  <si>
    <t xml:space="preserve">5. Infraestruturas</t>
  </si>
  <si>
    <t xml:space="preserve">Taxa de Electrificação</t>
  </si>
  <si>
    <t xml:space="preserve">MINEA</t>
  </si>
  <si>
    <t xml:space="preserve">Angola - Access To Electricity (% Of Population) - 2026 Data 2027 Forecast 1990-2023 Historical</t>
  </si>
  <si>
    <t xml:space="preserve">Acesso a Água Potável</t>
  </si>
  <si>
    <t xml:space="preserve">MINEA/INE</t>
  </si>
  <si>
    <t xml:space="preserve">Access to Basic Drinking Water in Angola | 2025 Trends &amp; Rankings | World View Data</t>
  </si>
  <si>
    <t xml:space="preserve">Acesso a Saneamento Básico</t>
  </si>
  <si>
    <t xml:space="preserve">People using at least basic sanitation services (% of population) - Angola | Data</t>
  </si>
  <si>
    <t xml:space="preserve">Cobertura de Rede 4G</t>
  </si>
  <si>
    <t xml:space="preserve">INACOM</t>
  </si>
  <si>
    <t xml:space="preserve">Não tem estatísticas anuais </t>
  </si>
  <si>
    <t xml:space="preserve">Utilizadores de Internet (%)</t>
  </si>
  <si>
    <t xml:space="preserve">Table Data - Internet users for Angola | FRED | St. Louis Fed</t>
  </si>
  <si>
    <t xml:space="preserve">Densidade Rodoviária (km/1000km²)</t>
  </si>
  <si>
    <t xml:space="preserve">km</t>
  </si>
  <si>
    <t xml:space="preserve">MINTRANS</t>
  </si>
  <si>
    <t xml:space="preserve">World Bank Document</t>
  </si>
  <si>
    <t xml:space="preserve">6. Mercado Trabalho</t>
  </si>
  <si>
    <t xml:space="preserve">Taxa de Emprego</t>
  </si>
  <si>
    <t xml:space="preserve">Taxa de Desemprego</t>
  </si>
  <si>
    <t xml:space="preserve">Desemprego Juvenil (15-25)</t>
  </si>
  <si>
    <t xml:space="preserve">Emprego Informal (%)</t>
  </si>
  <si>
    <t xml:space="preserve">Taxa de Formalização</t>
  </si>
  <si>
    <t xml:space="preserve">Crescimento da Produtividade</t>
  </si>
  <si>
    <t xml:space="preserve">7. Seg. Alimentar/Saúde</t>
  </si>
  <si>
    <t xml:space="preserve">Índice Global Seg. Alimentar</t>
  </si>
  <si>
    <t xml:space="preserve">EIU</t>
  </si>
  <si>
    <t xml:space="preserve">Indicadores Segurança Alimentar</t>
  </si>
  <si>
    <t xml:space="preserve">Prevalência de Desnutrição</t>
  </si>
  <si>
    <t xml:space="preserve">MINSA/FAO</t>
  </si>
  <si>
    <t xml:space="preserve">Angola Prevalence of undernourishment - data, chart | TheGlobalEconomy.com</t>
  </si>
  <si>
    <t xml:space="preserve">Mortalidade Materna (por 100k)</t>
  </si>
  <si>
    <t xml:space="preserve">por 100k</t>
  </si>
  <si>
    <t xml:space="preserve">MINSA/OMS</t>
  </si>
  <si>
    <t xml:space="preserve">Lifetime risk of maternal death (%) - Angola | Data</t>
  </si>
  <si>
    <t xml:space="preserve">Despesas Saúde (% PIB)</t>
  </si>
  <si>
    <t xml:space="preserve">MINFIN/OMS</t>
  </si>
  <si>
    <t xml:space="preserve">Angola Health spending as percent of GDP - data, chart | TheGlobalEconomy.com</t>
  </si>
  <si>
    <t xml:space="preserve">Camas Hospitalares (por 1000)</t>
  </si>
  <si>
    <t xml:space="preserve">por 1000</t>
  </si>
  <si>
    <t xml:space="preserve">MINSA</t>
  </si>
  <si>
    <t xml:space="preserve">Cobertura Vacinal (%)</t>
  </si>
  <si>
    <t xml:space="preserve">https://cdn.who.int/media/docs/default-source/country-profiles/immunization/2024-country-profiles/immunization-2024-ago.pdf?utm_source=chatgpt.co</t>
  </si>
  <si>
    <t xml:space="preserve">RIL USD </t>
  </si>
  <si>
    <t xml:space="preserve">Importações </t>
  </si>
  <si>
    <t xml:space="preserve">Meses de Importação</t>
  </si>
  <si>
    <t xml:space="preserve">PARÂMETROS DE NORMALIZAÇÃO E PONDERAÇÃO</t>
  </si>
  <si>
    <t xml:space="preserve">Mínimo Teórico</t>
  </si>
  <si>
    <t xml:space="preserve">Máximo Teórico</t>
  </si>
  <si>
    <t xml:space="preserve">Meta 2027</t>
  </si>
  <si>
    <t xml:space="preserve">Peso no Subíndice</t>
  </si>
  <si>
    <t xml:space="preserve">Desemprego Juvenil</t>
  </si>
  <si>
    <t xml:space="preserve">Limiar de Cobertura Mínima por Subíndice (fração 0-1)</t>
  </si>
  <si>
    <t xml:space="preserve">Nº Mínimo de Subíndices para calcular o IGDA (de 7)</t>
  </si>
  <si>
    <t xml:space="preserve">PESOS DOS SUBÍNDICES</t>
  </si>
  <si>
    <t xml:space="preserve">Peso</t>
  </si>
  <si>
    <t xml:space="preserve">1. Governança e Estado de Direito</t>
  </si>
  <si>
    <t xml:space="preserve">2. Estabilidade Macroeconómica</t>
  </si>
  <si>
    <t xml:space="preserve">6. Mercado de Trabalho</t>
  </si>
  <si>
    <t xml:space="preserve">7. Segurança Alimentar e Saúde</t>
  </si>
  <si>
    <t xml:space="preserve">4. Inclusão Social e Protecção</t>
  </si>
  <si>
    <t xml:space="preserve">5. Infraestruturas e Serviços</t>
  </si>
  <si>
    <t xml:space="preserve">DIAGNÓSTICO DE COBERTURA (nº de indicadores com dados / total)</t>
  </si>
  <si>
    <t xml:space="preserve">Subíndices com dados (de 7)</t>
  </si>
  <si>
    <t xml:space="preserve">EVOLUÇÃO DO ÍNDICE DE DESENVOLVIMENTO DE ANGOLA (IGDA-BDA)</t>
  </si>
  <si>
    <t xml:space="preserve">Componente</t>
  </si>
  <si>
    <t xml:space="preserve">EVOLUÇÃO DO IGDA-BDA (Índice Global)</t>
  </si>
  <si>
    <t xml:space="preserve">Variação Anual (p.p.)</t>
  </si>
  <si>
    <t xml:space="preserve">SEMÁFORO DE DESEMPENHO</t>
  </si>
  <si>
    <t xml:space="preserve">≥ 70: Bom | 50-70: Moderado | &lt; 50: Fraco</t>
  </si>
  <si>
    <t xml:space="preserve">EVOLUÇÃO DOS SUB ÍNDICES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</si>
</sst>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.0"/>
    <numFmt numFmtId="167" formatCode="0.0"/>
    <numFmt numFmtId="168" formatCode="General"/>
    <numFmt numFmtId="169" formatCode="\+0.0;\-0.0;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1"/>
      <charset val="1"/>
    </font>
    <font>
      <b val="true"/>
      <sz val="14"/>
      <name val="Cambria"/>
      <family val="1"/>
      <charset val="1"/>
    </font>
    <font>
      <b val="true"/>
      <sz val="12"/>
      <name val="Cambria"/>
      <family val="1"/>
      <charset val="1"/>
    </font>
    <font>
      <sz val="11"/>
      <name val="Cambria"/>
      <family val="1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1"/>
      <charset val="1"/>
    </font>
    <font>
      <sz val="11"/>
      <color rgb="FF0000FF"/>
      <name val="Cambria"/>
      <family val="1"/>
      <charset val="1"/>
    </font>
    <font>
      <u val="single"/>
      <sz val="11"/>
      <color theme="10"/>
      <name val="Calibri"/>
      <family val="2"/>
      <charset val="1"/>
    </font>
    <font>
      <b val="true"/>
      <sz val="11"/>
      <color rgb="FF0000FF"/>
      <name val="Cambria"/>
      <family val="1"/>
      <charset val="1"/>
    </font>
    <font>
      <sz val="11"/>
      <color rgb="FFFF0000"/>
      <name val="Calibri"/>
      <family val="2"/>
      <charset val="1"/>
    </font>
    <font>
      <sz val="11"/>
      <color rgb="FFFF0000"/>
      <name val="Cambria"/>
      <family val="1"/>
      <charset val="1"/>
    </font>
    <font>
      <sz val="11"/>
      <name val="Calibri"/>
      <family val="2"/>
      <charset val="1"/>
    </font>
    <font>
      <sz val="10"/>
      <name val="Arial"/>
      <family val="2"/>
    </font>
    <font>
      <b val="true"/>
      <sz val="11"/>
      <color rgb="FF0000FF"/>
      <name val="Cambria"/>
      <family val="0"/>
      <charset val="1"/>
    </font>
    <font>
      <sz val="11"/>
      <color rgb="FF008000"/>
      <name val="Cambria"/>
      <family val="1"/>
      <charset val="1"/>
    </font>
    <font>
      <b val="true"/>
      <sz val="11"/>
      <name val="Cambria"/>
      <family val="1"/>
      <charset val="1"/>
    </font>
    <font>
      <sz val="9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9"/>
      <color rgb="FF59595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DBEEF4"/>
      </patternFill>
    </fill>
    <fill>
      <patternFill patternType="solid">
        <fgColor theme="9" tint="0.7999"/>
        <bgColor rgb="FFEEECE1"/>
      </patternFill>
    </fill>
    <fill>
      <patternFill patternType="solid">
        <fgColor rgb="FFE2EFDA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theme="8" tint="0.7999"/>
        <bgColor rgb="FFDDEBF7"/>
      </patternFill>
    </fill>
    <fill>
      <patternFill patternType="solid">
        <fgColor rgb="FFF4B084"/>
        <bgColor rgb="FFF79646"/>
      </patternFill>
    </fill>
    <fill>
      <patternFill patternType="solid">
        <fgColor theme="2"/>
        <bgColor rgb="FFE2EFDA"/>
      </patternFill>
    </fill>
    <fill>
      <patternFill patternType="solid">
        <fgColor theme="9"/>
        <bgColor rgb="FFFF8080"/>
      </patternFill>
    </fill>
    <fill>
      <patternFill patternType="solid">
        <fgColor theme="9" tint="-0.25"/>
        <bgColor rgb="FFF7964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FF0000"/>
      </font>
    </dxf>
    <dxf>
      <font>
        <color rgb="FF0070C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DEADA"/>
      <rgbColor rgb="FFDBEEF4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EEECE1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79646"/>
      <rgbColor rgb="FFE46C0A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Indice_Global!$C$8</c:f>
              <c:strCache>
                <c:ptCount val="1"/>
                <c:pt idx="0">
                  <c:v>4. Inclusão Social e Protecção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Indice_Global!$E$8:$O$8</c:f>
              <c:numCache>
                <c:formatCode>0.0</c:formatCode>
                <c:ptCount val="11"/>
                <c:pt idx="3">
                  <c:v>41.1468903940887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647759"/>
        <c:axId val="29833440"/>
      </c:lineChart>
      <c:catAx>
        <c:axId val="296477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833440"/>
        <c:crosses val="autoZero"/>
        <c:auto val="1"/>
        <c:lblAlgn val="ctr"/>
        <c:lblOffset val="100"/>
        <c:noMultiLvlLbl val="0"/>
      </c:catAx>
      <c:valAx>
        <c:axId val="298334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6477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Indice_Global!$C$5</c:f>
              <c:strCache>
                <c:ptCount val="1"/>
                <c:pt idx="0">
                  <c:v>1. Governança e Estado de Direito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Indice_Global!$E$5:$N$5</c:f>
              <c:numCache>
                <c:formatCode>0.0</c:formatCode>
                <c:ptCount val="10"/>
                <c:pt idx="0">
                  <c:v>29.195776</c:v>
                </c:pt>
                <c:pt idx="1">
                  <c:v>30.4408436</c:v>
                </c:pt>
                <c:pt idx="2">
                  <c:v>30.1338572</c:v>
                </c:pt>
                <c:pt idx="3">
                  <c:v>32.1187036</c:v>
                </c:pt>
                <c:pt idx="4">
                  <c:v>34.4345256</c:v>
                </c:pt>
                <c:pt idx="5">
                  <c:v>33.3534896</c:v>
                </c:pt>
                <c:pt idx="6">
                  <c:v>30.6183945</c:v>
                </c:pt>
                <c:pt idx="7">
                  <c:v>33.0673875</c:v>
                </c:pt>
                <c:pt idx="8">
                  <c:v>34.068444</c:v>
                </c:pt>
                <c:pt idx="9">
                  <c:v>32.8573595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211111"/>
        <c:axId val="48709131"/>
      </c:lineChart>
      <c:catAx>
        <c:axId val="452111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709131"/>
        <c:crosses val="autoZero"/>
        <c:auto val="1"/>
        <c:lblAlgn val="ctr"/>
        <c:lblOffset val="100"/>
        <c:noMultiLvlLbl val="0"/>
      </c:catAx>
      <c:valAx>
        <c:axId val="487091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2111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71188704445717"/>
          <c:y val="0.194854407658556"/>
          <c:w val="0.858423964892196"/>
          <c:h val="0.720781810929398"/>
        </c:manualLayout>
      </c:layout>
      <c:lineChart>
        <c:grouping val="standard"/>
        <c:varyColors val="0"/>
        <c:ser>
          <c:idx val="0"/>
          <c:order val="0"/>
          <c:tx>
            <c:strRef>
              <c:f>Indice_Global!$C$10</c:f>
              <c:strCache>
                <c:ptCount val="1"/>
                <c:pt idx="0">
                  <c:v>6. Mercado de Trabalho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Indice_Global!$E$10:$O$10</c:f>
              <c:numCache>
                <c:formatCode>0.0</c:formatCode>
                <c:ptCount val="11"/>
                <c:pt idx="4">
                  <c:v>37.9222091383309</c:v>
                </c:pt>
                <c:pt idx="5">
                  <c:v>33.9263586466607</c:v>
                </c:pt>
                <c:pt idx="6">
                  <c:v>33.9887452474615</c:v>
                </c:pt>
                <c:pt idx="7">
                  <c:v>35.6711664897935</c:v>
                </c:pt>
                <c:pt idx="8">
                  <c:v>33.9928507739101</c:v>
                </c:pt>
                <c:pt idx="9">
                  <c:v>34.8033993307397</c:v>
                </c:pt>
                <c:pt idx="10">
                  <c:v>39.1195949108194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156323"/>
        <c:axId val="8284249"/>
      </c:lineChart>
      <c:catAx>
        <c:axId val="581563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84249"/>
        <c:crosses val="autoZero"/>
        <c:auto val="1"/>
        <c:lblAlgn val="ctr"/>
        <c:lblOffset val="100"/>
        <c:noMultiLvlLbl val="0"/>
      </c:catAx>
      <c:valAx>
        <c:axId val="82842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81563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Indice_Global!$C$11</c:f>
              <c:strCache>
                <c:ptCount val="1"/>
                <c:pt idx="0">
                  <c:v>7. Segurança Alimentar e Saúde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Indice_Global!$E$11:$O$11</c:f>
              <c:numCache>
                <c:formatCode>0.0</c:formatCode>
                <c:ptCount val="11"/>
                <c:pt idx="0">
                  <c:v>37.45</c:v>
                </c:pt>
                <c:pt idx="1">
                  <c:v>46.3666666666667</c:v>
                </c:pt>
                <c:pt idx="2">
                  <c:v>40.32</c:v>
                </c:pt>
                <c:pt idx="3">
                  <c:v>49.8666666666667</c:v>
                </c:pt>
                <c:pt idx="4">
                  <c:v>47.7833333333333</c:v>
                </c:pt>
                <c:pt idx="5">
                  <c:v>46.55</c:v>
                </c:pt>
                <c:pt idx="6">
                  <c:v>45.85</c:v>
                </c:pt>
                <c:pt idx="7">
                  <c:v>39.1066666666667</c:v>
                </c:pt>
                <c:pt idx="8">
                  <c:v>62.2333333333333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389718"/>
        <c:axId val="87119059"/>
      </c:lineChart>
      <c:catAx>
        <c:axId val="103897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119059"/>
        <c:crosses val="autoZero"/>
        <c:auto val="1"/>
        <c:lblAlgn val="ctr"/>
        <c:lblOffset val="100"/>
        <c:noMultiLvlLbl val="0"/>
      </c:catAx>
      <c:valAx>
        <c:axId val="871190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3897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Indice_Global!$C$9</c:f>
              <c:strCache>
                <c:ptCount val="1"/>
                <c:pt idx="0">
                  <c:v>5. Infraestruturas e Serviços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Indice_Global!$E$4:$N$4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Indice_Global!$E$9:$N$9</c:f>
              <c:numCache>
                <c:formatCode>0.0</c:formatCode>
                <c:ptCount val="10"/>
                <c:pt idx="0">
                  <c:v>38.86</c:v>
                </c:pt>
                <c:pt idx="1">
                  <c:v>39.42</c:v>
                </c:pt>
                <c:pt idx="2">
                  <c:v>40.34</c:v>
                </c:pt>
                <c:pt idx="3">
                  <c:v>41.78</c:v>
                </c:pt>
                <c:pt idx="4">
                  <c:v>42.72</c:v>
                </c:pt>
                <c:pt idx="5">
                  <c:v>44.16</c:v>
                </c:pt>
                <c:pt idx="6">
                  <c:v>45.18</c:v>
                </c:pt>
                <c:pt idx="7">
                  <c:v>45.84</c:v>
                </c:pt>
                <c:pt idx="8">
                  <c:v>42.3666666666667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381931"/>
        <c:axId val="32172602"/>
      </c:lineChart>
      <c:catAx>
        <c:axId val="923819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172602"/>
        <c:crosses val="autoZero"/>
        <c:auto val="1"/>
        <c:lblAlgn val="ctr"/>
        <c:lblOffset val="100"/>
        <c:noMultiLvlLbl val="0"/>
      </c:catAx>
      <c:valAx>
        <c:axId val="321726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3819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7176241480039"/>
          <c:y val="0.194852201890207"/>
          <c:w val="0.85842259006816"/>
          <c:h val="0.720691735371003"/>
        </c:manualLayout>
      </c:layout>
      <c:lineChart>
        <c:grouping val="standard"/>
        <c:varyColors val="0"/>
        <c:ser>
          <c:idx val="0"/>
          <c:order val="0"/>
          <c:tx>
            <c:strRef>
              <c:f>Indice_Global!$C$6</c:f>
              <c:strCache>
                <c:ptCount val="1"/>
                <c:pt idx="0">
                  <c:v>2. Estabilidade Macroeconómica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Indice_Global!$E$6:$O$6</c:f>
              <c:numCache>
                <c:formatCode>0.0</c:formatCode>
                <c:ptCount val="11"/>
                <c:pt idx="0">
                  <c:v>54.790501741137</c:v>
                </c:pt>
                <c:pt idx="1">
                  <c:v>45.7137763144078</c:v>
                </c:pt>
                <c:pt idx="2">
                  <c:v>52.2171456484666</c:v>
                </c:pt>
                <c:pt idx="3">
                  <c:v>47.3789091158789</c:v>
                </c:pt>
                <c:pt idx="4">
                  <c:v>48.3875498707694</c:v>
                </c:pt>
                <c:pt idx="5">
                  <c:v>40.36850918558</c:v>
                </c:pt>
                <c:pt idx="6">
                  <c:v>51.7480216643385</c:v>
                </c:pt>
                <c:pt idx="7">
                  <c:v>54.9379889125653</c:v>
                </c:pt>
                <c:pt idx="8">
                  <c:v>47.8806962579294</c:v>
                </c:pt>
                <c:pt idx="9">
                  <c:v>51.1238415985467</c:v>
                </c:pt>
                <c:pt idx="10">
                  <c:v>66.6499422060095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98572"/>
        <c:axId val="9292797"/>
      </c:lineChart>
      <c:catAx>
        <c:axId val="39985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92797"/>
        <c:crosses val="autoZero"/>
        <c:auto val="1"/>
        <c:lblAlgn val="ctr"/>
        <c:lblOffset val="100"/>
        <c:noMultiLvlLbl val="0"/>
      </c:catAx>
      <c:valAx>
        <c:axId val="929279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985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71804301794272"/>
          <c:y val="0.194859194859195"/>
          <c:w val="0.858352836286638"/>
          <c:h val="0.720657720657721"/>
        </c:manualLayout>
      </c:layout>
      <c:lineChart>
        <c:grouping val="standard"/>
        <c:varyColors val="0"/>
        <c:ser>
          <c:idx val="0"/>
          <c:order val="0"/>
          <c:tx>
            <c:strRef>
              <c:f>Indice_Global!$C$7</c:f>
              <c:strCache>
                <c:ptCount val="1"/>
                <c:pt idx="0">
                  <c:v>3. Capital Humano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Indice_Global!$E$7:$O$7</c:f>
              <c:numCache>
                <c:formatCode>0.0</c:formatCode>
                <c:ptCount val="11"/>
                <c:pt idx="2">
                  <c:v>55.7296296296296</c:v>
                </c:pt>
                <c:pt idx="3">
                  <c:v>56.0074074074074</c:v>
                </c:pt>
                <c:pt idx="4">
                  <c:v>56.5888888888889</c:v>
                </c:pt>
                <c:pt idx="5">
                  <c:v>56.9407407407407</c:v>
                </c:pt>
                <c:pt idx="6">
                  <c:v>57.2051851851852</c:v>
                </c:pt>
                <c:pt idx="7">
                  <c:v>57.6244444444444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08693"/>
        <c:axId val="80508548"/>
      </c:lineChart>
      <c:catAx>
        <c:axId val="36086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0508548"/>
        <c:crosses val="autoZero"/>
        <c:auto val="1"/>
        <c:lblAlgn val="ctr"/>
        <c:lblOffset val="100"/>
        <c:noMultiLvlLbl val="0"/>
      </c:catAx>
      <c:valAx>
        <c:axId val="805085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086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71517202481669"/>
          <c:y val="0.194841012329656"/>
          <c:w val="0.858432036097011"/>
          <c:h val="0.720798182998053"/>
        </c:manualLayout>
      </c:layout>
      <c:lineChart>
        <c:grouping val="standard"/>
        <c:varyColors val="0"/>
        <c:ser>
          <c:idx val="0"/>
          <c:order val="0"/>
          <c:tx>
            <c:strRef>
              <c:f>Indice_Global!$C$13</c:f>
              <c:strCache>
                <c:ptCount val="1"/>
                <c:pt idx="0">
                  <c:v>EVOLUÇÃO DO IGDA-BDA (Índice Global)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Indice_Global!$E$13:$O$13</c:f>
              <c:numCache>
                <c:formatCode>0.0</c:formatCode>
                <c:ptCount val="11"/>
                <c:pt idx="0">
                  <c:v>39.0611459047375</c:v>
                </c:pt>
                <c:pt idx="1">
                  <c:v>39.9352648917981</c:v>
                </c:pt>
                <c:pt idx="2">
                  <c:v>42.7407447747962</c:v>
                </c:pt>
                <c:pt idx="3">
                  <c:v>44.0504877386266</c:v>
                </c:pt>
                <c:pt idx="4">
                  <c:v>44.0429806992642</c:v>
                </c:pt>
                <c:pt idx="5">
                  <c:v>41.8166126756519</c:v>
                </c:pt>
                <c:pt idx="6">
                  <c:v>43.068066673501</c:v>
                </c:pt>
                <c:pt idx="7">
                  <c:v>43.4125555719357</c:v>
                </c:pt>
                <c:pt idx="8">
                  <c:v>42.9526081979237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482047"/>
        <c:axId val="78465434"/>
      </c:lineChart>
      <c:catAx>
        <c:axId val="874820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465434"/>
        <c:crosses val="autoZero"/>
        <c:auto val="1"/>
        <c:lblAlgn val="ctr"/>
        <c:lblOffset val="100"/>
        <c:noMultiLvlLbl val="0"/>
      </c:catAx>
      <c:valAx>
        <c:axId val="784654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4820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133200</xdr:colOff>
      <xdr:row>54</xdr:row>
      <xdr:rowOff>42840</xdr:rowOff>
    </xdr:from>
    <xdr:to>
      <xdr:col>11</xdr:col>
      <xdr:colOff>523080</xdr:colOff>
      <xdr:row>64</xdr:row>
      <xdr:rowOff>180360</xdr:rowOff>
    </xdr:to>
    <xdr:graphicFrame>
      <xdr:nvGraphicFramePr>
        <xdr:cNvPr id="0" name="Chart 1"/>
        <xdr:cNvGraphicFramePr/>
      </xdr:nvGraphicFramePr>
      <xdr:xfrm>
        <a:off x="6904080" y="10577520"/>
        <a:ext cx="3773160" cy="194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85680</xdr:colOff>
      <xdr:row>43</xdr:row>
      <xdr:rowOff>42840</xdr:rowOff>
    </xdr:from>
    <xdr:to>
      <xdr:col>3</xdr:col>
      <xdr:colOff>266040</xdr:colOff>
      <xdr:row>53</xdr:row>
      <xdr:rowOff>18360</xdr:rowOff>
    </xdr:to>
    <xdr:graphicFrame>
      <xdr:nvGraphicFramePr>
        <xdr:cNvPr id="1" name="Chart 2"/>
        <xdr:cNvGraphicFramePr/>
      </xdr:nvGraphicFramePr>
      <xdr:xfrm>
        <a:off x="686880" y="8586720"/>
        <a:ext cx="3249000" cy="178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123840</xdr:colOff>
      <xdr:row>66</xdr:row>
      <xdr:rowOff>42840</xdr:rowOff>
    </xdr:from>
    <xdr:to>
      <xdr:col>11</xdr:col>
      <xdr:colOff>513720</xdr:colOff>
      <xdr:row>76</xdr:row>
      <xdr:rowOff>37440</xdr:rowOff>
    </xdr:to>
    <xdr:graphicFrame>
      <xdr:nvGraphicFramePr>
        <xdr:cNvPr id="2" name="Chart 3"/>
        <xdr:cNvGraphicFramePr/>
      </xdr:nvGraphicFramePr>
      <xdr:xfrm>
        <a:off x="6894720" y="12749040"/>
        <a:ext cx="3773160" cy="180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762120</xdr:colOff>
      <xdr:row>43</xdr:row>
      <xdr:rowOff>90360</xdr:rowOff>
    </xdr:from>
    <xdr:to>
      <xdr:col>20</xdr:col>
      <xdr:colOff>475560</xdr:colOff>
      <xdr:row>53</xdr:row>
      <xdr:rowOff>75240</xdr:rowOff>
    </xdr:to>
    <xdr:graphicFrame>
      <xdr:nvGraphicFramePr>
        <xdr:cNvPr id="3" name="Chart 4"/>
        <xdr:cNvGraphicFramePr/>
      </xdr:nvGraphicFramePr>
      <xdr:xfrm>
        <a:off x="13453920" y="8634240"/>
        <a:ext cx="3354480" cy="179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38160</xdr:colOff>
      <xdr:row>66</xdr:row>
      <xdr:rowOff>61920</xdr:rowOff>
    </xdr:from>
    <xdr:to>
      <xdr:col>3</xdr:col>
      <xdr:colOff>227880</xdr:colOff>
      <xdr:row>76</xdr:row>
      <xdr:rowOff>46800</xdr:rowOff>
    </xdr:to>
    <xdr:graphicFrame>
      <xdr:nvGraphicFramePr>
        <xdr:cNvPr id="4" name="Chart 5"/>
        <xdr:cNvGraphicFramePr/>
      </xdr:nvGraphicFramePr>
      <xdr:xfrm>
        <a:off x="639360" y="12768120"/>
        <a:ext cx="3258360" cy="179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171360</xdr:colOff>
      <xdr:row>43</xdr:row>
      <xdr:rowOff>38160</xdr:rowOff>
    </xdr:from>
    <xdr:to>
      <xdr:col>11</xdr:col>
      <xdr:colOff>484920</xdr:colOff>
      <xdr:row>53</xdr:row>
      <xdr:rowOff>18360</xdr:rowOff>
    </xdr:to>
    <xdr:graphicFrame>
      <xdr:nvGraphicFramePr>
        <xdr:cNvPr id="5" name="Chart 6"/>
        <xdr:cNvGraphicFramePr/>
      </xdr:nvGraphicFramePr>
      <xdr:xfrm>
        <a:off x="6942240" y="8582040"/>
        <a:ext cx="3696840" cy="178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76320</xdr:colOff>
      <xdr:row>54</xdr:row>
      <xdr:rowOff>76320</xdr:rowOff>
    </xdr:from>
    <xdr:to>
      <xdr:col>3</xdr:col>
      <xdr:colOff>237600</xdr:colOff>
      <xdr:row>64</xdr:row>
      <xdr:rowOff>171000</xdr:rowOff>
    </xdr:to>
    <xdr:graphicFrame>
      <xdr:nvGraphicFramePr>
        <xdr:cNvPr id="6" name="Chart 7"/>
        <xdr:cNvGraphicFramePr/>
      </xdr:nvGraphicFramePr>
      <xdr:xfrm>
        <a:off x="677520" y="10611000"/>
        <a:ext cx="3229920" cy="190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47520</xdr:colOff>
      <xdr:row>19</xdr:row>
      <xdr:rowOff>38160</xdr:rowOff>
    </xdr:from>
    <xdr:to>
      <xdr:col>5</xdr:col>
      <xdr:colOff>675360</xdr:colOff>
      <xdr:row>29</xdr:row>
      <xdr:rowOff>180360</xdr:rowOff>
    </xdr:to>
    <xdr:graphicFrame>
      <xdr:nvGraphicFramePr>
        <xdr:cNvPr id="7" name="Chart 8"/>
        <xdr:cNvGraphicFramePr/>
      </xdr:nvGraphicFramePr>
      <xdr:xfrm>
        <a:off x="648720" y="3562560"/>
        <a:ext cx="5105880" cy="221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untryeconomy.com/government/corruption-perceptions-index/angola?utm_source=chatgpt.com" TargetMode="External"/><Relationship Id="rId3" Type="http://schemas.openxmlformats.org/officeDocument/2006/relationships/hyperlink" Target="https://worldscorecard.com/scorecards/angolan-scorecard/gini-index/" TargetMode="External"/><Relationship Id="rId4" Type="http://schemas.openxmlformats.org/officeDocument/2006/relationships/hyperlink" Target="https://www.worldviewdata.com/countries/angola/internet-users" TargetMode="External"/><Relationship Id="rId5" Type="http://schemas.openxmlformats.org/officeDocument/2006/relationships/hyperlink" Target="https://openknowledge.worldbank.org/entities/publication/e467c3d0-8a41-5a34-a43a-1ad1d932017e" TargetMode="External"/><Relationship Id="rId6" Type="http://schemas.openxmlformats.org/officeDocument/2006/relationships/hyperlink" Target="https://www.ucm.minfin.gov.ao/cs/groups/public/documents/document/aw40/ota4/~edisp/minfin4908360.pdf?utm_source=chatgpt.com" TargetMode="External"/><Relationship Id="rId7" Type="http://schemas.openxmlformats.org/officeDocument/2006/relationships/hyperlink" Target="https://www.undp.org/pt/angola/publications/relatorio-do-desenvolvimento-humano-rdh-2023-2024?utm_source=chatgpt.com" TargetMode="External"/><Relationship Id="rId8" Type="http://schemas.openxmlformats.org/officeDocument/2006/relationships/hyperlink" Target="https://fred.stlouisfed.org/series/SPDYNLE00INAGO" TargetMode="External"/><Relationship Id="rId9" Type="http://schemas.openxmlformats.org/officeDocument/2006/relationships/hyperlink" Target="https://data.un.org/Data.aspx?d=WDI&amp;f=Indicator_Code%3ASI.POV.DDAY" TargetMode="External"/><Relationship Id="rId10" Type="http://schemas.openxmlformats.org/officeDocument/2006/relationships/hyperlink" Target="https://data.worldbank.org/indicator/SI.POV.GINI?locations=AO&amp;utm_source=chatgpt.com" TargetMode="External"/><Relationship Id="rId11" Type="http://schemas.openxmlformats.org/officeDocument/2006/relationships/hyperlink" Target="https://countryeconomy.com/demography/global-gender-gap-index/angola?utm_source=chatgpt.com" TargetMode="External"/><Relationship Id="rId12" Type="http://schemas.openxmlformats.org/officeDocument/2006/relationships/hyperlink" Target="https://data.worldbank.org/indicator/NY.GNP.PCAP.CD?locations=AO&amp;utm_source=chatgpt.com" TargetMode="External"/><Relationship Id="rId13" Type="http://schemas.openxmlformats.org/officeDocument/2006/relationships/hyperlink" Target="https://tradingeconomics.com/angola/access-to-electricity-percent-of-population-wb-data.html" TargetMode="External"/><Relationship Id="rId14" Type="http://schemas.openxmlformats.org/officeDocument/2006/relationships/hyperlink" Target="https://www.worldviewdata.com/countries/angola/access-basic-water" TargetMode="External"/><Relationship Id="rId15" Type="http://schemas.openxmlformats.org/officeDocument/2006/relationships/hyperlink" Target="https://data.worldbank.org/indicator/SH.STA.BASS.ZS?locations=AO" TargetMode="External"/><Relationship Id="rId16" Type="http://schemas.openxmlformats.org/officeDocument/2006/relationships/hyperlink" Target="https://fred.stlouisfed.org/data/ITNETUSERP2AGO" TargetMode="External"/><Relationship Id="rId17" Type="http://schemas.openxmlformats.org/officeDocument/2006/relationships/hyperlink" Target="https://documents1.worldbank.org/curated/en/099020924085520061/pdf/P1715491e430de07319a89140a3587e25be.pdf?utm_source=chatgpt.com" TargetMode="External"/><Relationship Id="rId18" Type="http://schemas.openxmlformats.org/officeDocument/2006/relationships/hyperlink" Target="https://chatgpt.com/c/697b1752-ece4-8331-bd69-580d7a126d46" TargetMode="External"/><Relationship Id="rId19" Type="http://schemas.openxmlformats.org/officeDocument/2006/relationships/hyperlink" Target="https://www.theglobaleconomy.com/Angola/prevalence_undernourishment/?utm_source=chatgpt.com" TargetMode="External"/><Relationship Id="rId20" Type="http://schemas.openxmlformats.org/officeDocument/2006/relationships/hyperlink" Target="https://data.worldbank.org/indicator/SH.MMR.RISK.ZS?locations=AO&amp;view=chart&amp;utm_source=chatgpt.com" TargetMode="External"/><Relationship Id="rId21" Type="http://schemas.openxmlformats.org/officeDocument/2006/relationships/hyperlink" Target="https://www.theglobaleconomy.com/Angola/health_spending_as_percent_of_gdp/?utm_source=chatgpt.com" TargetMode="External"/><Relationship Id="rId2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1" activeCellId="0" sqref="A41"/>
    </sheetView>
  </sheetViews>
  <sheetFormatPr defaultColWidth="8.53515625" defaultRowHeight="14.25" zeroHeight="false" outlineLevelRow="0" outlineLevelCol="0"/>
  <cols>
    <col collapsed="false" customWidth="true" hidden="false" outlineLevel="0" max="1" min="1" style="1" width="100"/>
  </cols>
  <sheetData>
    <row r="1" customFormat="false" ht="19.5" hidden="false" customHeight="true" outlineLevel="0" collapsed="false">
      <c r="A1" s="2" t="s">
        <v>0</v>
      </c>
    </row>
    <row r="3" customFormat="false" ht="17.25" hidden="false" customHeight="true" outlineLevel="0" collapsed="false">
      <c r="A3" s="3" t="s">
        <v>1</v>
      </c>
    </row>
    <row r="5" customFormat="false" ht="15" hidden="false" customHeight="true" outlineLevel="0" collapsed="false">
      <c r="A5" s="4" t="s">
        <v>2</v>
      </c>
    </row>
    <row r="6" customFormat="false" ht="14.25" hidden="false" customHeight="true" outlineLevel="0" collapsed="false">
      <c r="A6" s="1" t="s">
        <v>3</v>
      </c>
    </row>
    <row r="7" customFormat="false" ht="14.25" hidden="false" customHeight="true" outlineLevel="0" collapsed="false">
      <c r="A7" s="5" t="s">
        <v>4</v>
      </c>
    </row>
    <row r="8" customFormat="false" ht="14.25" hidden="false" customHeight="true" outlineLevel="0" collapsed="false">
      <c r="A8" s="5" t="s">
        <v>5</v>
      </c>
    </row>
    <row r="9" customFormat="false" ht="14.25" hidden="false" customHeight="true" outlineLevel="0" collapsed="false">
      <c r="A9" s="5" t="s">
        <v>6</v>
      </c>
    </row>
    <row r="10" customFormat="false" ht="14.25" hidden="false" customHeight="true" outlineLevel="0" collapsed="false">
      <c r="A10" s="5" t="s">
        <v>7</v>
      </c>
    </row>
    <row r="11" customFormat="false" ht="14.25" hidden="false" customHeight="true" outlineLevel="0" collapsed="false">
      <c r="A11" s="5" t="s">
        <v>8</v>
      </c>
    </row>
    <row r="12" customFormat="false" ht="14.25" hidden="false" customHeight="true" outlineLevel="0" collapsed="false">
      <c r="A12" s="5" t="s">
        <v>9</v>
      </c>
    </row>
    <row r="14" customFormat="false" ht="15" hidden="false" customHeight="true" outlineLevel="0" collapsed="false">
      <c r="A14" s="4" t="s">
        <v>10</v>
      </c>
    </row>
    <row r="15" customFormat="false" ht="14.25" hidden="false" customHeight="true" outlineLevel="0" collapsed="false">
      <c r="A15" s="1" t="s">
        <v>11</v>
      </c>
    </row>
    <row r="16" customFormat="false" ht="14.25" hidden="false" customHeight="true" outlineLevel="0" collapsed="false">
      <c r="A16" s="1" t="s">
        <v>12</v>
      </c>
    </row>
    <row r="17" customFormat="false" ht="14.25" hidden="false" customHeight="true" outlineLevel="0" collapsed="false">
      <c r="A17" s="1" t="s">
        <v>13</v>
      </c>
    </row>
    <row r="18" customFormat="false" ht="14.25" hidden="false" customHeight="true" outlineLevel="0" collapsed="false">
      <c r="A18" s="1" t="s">
        <v>14</v>
      </c>
    </row>
    <row r="20" customFormat="false" ht="15" hidden="false" customHeight="true" outlineLevel="0" collapsed="false">
      <c r="A20" s="4" t="s">
        <v>15</v>
      </c>
    </row>
    <row r="21" customFormat="false" ht="14.25" hidden="false" customHeight="true" outlineLevel="0" collapsed="false">
      <c r="A21" s="5" t="s">
        <v>16</v>
      </c>
    </row>
    <row r="22" customFormat="false" ht="14.25" hidden="false" customHeight="true" outlineLevel="0" collapsed="false">
      <c r="A22" s="5" t="s">
        <v>17</v>
      </c>
    </row>
    <row r="24" customFormat="false" ht="15" hidden="false" customHeight="true" outlineLevel="0" collapsed="false">
      <c r="A24" s="4" t="s">
        <v>18</v>
      </c>
    </row>
    <row r="25" customFormat="false" ht="14.25" hidden="false" customHeight="true" outlineLevel="0" collapsed="false">
      <c r="A25" s="5" t="s">
        <v>19</v>
      </c>
    </row>
    <row r="26" customFormat="false" ht="14.25" hidden="false" customHeight="true" outlineLevel="0" collapsed="false">
      <c r="A26" s="5" t="s">
        <v>20</v>
      </c>
    </row>
    <row r="27" customFormat="false" ht="14.25" hidden="false" customHeight="true" outlineLevel="0" collapsed="false">
      <c r="A27" s="5" t="s">
        <v>21</v>
      </c>
    </row>
    <row r="28" customFormat="false" ht="14.25" hidden="false" customHeight="true" outlineLevel="0" collapsed="false">
      <c r="A28" s="5" t="s">
        <v>22</v>
      </c>
    </row>
    <row r="30" customFormat="false" ht="15" hidden="false" customHeight="true" outlineLevel="0" collapsed="false">
      <c r="A30" s="4" t="s">
        <v>23</v>
      </c>
    </row>
    <row r="31" customFormat="false" ht="14.25" hidden="false" customHeight="true" outlineLevel="0" collapsed="false">
      <c r="A31" s="1" t="s">
        <v>24</v>
      </c>
    </row>
    <row r="32" customFormat="false" ht="14.25" hidden="false" customHeight="true" outlineLevel="0" collapsed="false">
      <c r="A32" s="1" t="s">
        <v>25</v>
      </c>
    </row>
    <row r="33" customFormat="false" ht="14.25" hidden="false" customHeight="true" outlineLevel="0" collapsed="false">
      <c r="A33" s="1" t="s">
        <v>26</v>
      </c>
    </row>
    <row r="34" customFormat="false" ht="14.25" hidden="false" customHeight="true" outlineLevel="0" collapsed="false">
      <c r="A34" s="1" t="s">
        <v>27</v>
      </c>
    </row>
    <row r="35" customFormat="false" ht="14.25" hidden="false" customHeight="true" outlineLevel="0" collapsed="false">
      <c r="A35" s="1" t="s">
        <v>28</v>
      </c>
    </row>
    <row r="36" customFormat="false" ht="14.25" hidden="false" customHeight="true" outlineLevel="0" collapsed="false">
      <c r="A36" s="1" t="s">
        <v>29</v>
      </c>
    </row>
    <row r="37" customFormat="false" ht="14.25" hidden="false" customHeight="true" outlineLevel="0" collapsed="false">
      <c r="A37" s="1" t="s">
        <v>30</v>
      </c>
    </row>
    <row r="38" customFormat="false" ht="14.25" hidden="false" customHeight="true" outlineLevel="0" collapsed="false">
      <c r="A38" s="1" t="s">
        <v>31</v>
      </c>
    </row>
    <row r="39" customFormat="false" ht="14.25" hidden="false" customHeight="true" outlineLevel="0" collapsed="false">
      <c r="A39" s="1" t="s">
        <v>32</v>
      </c>
    </row>
    <row r="40" customFormat="false" ht="14.25" hidden="false" customHeight="true" outlineLevel="0" collapsed="false">
      <c r="A40" s="1" t="s">
        <v>33</v>
      </c>
    </row>
    <row r="42" customFormat="false" ht="14.25" hidden="false" customHeight="true" outlineLevel="0" collapsed="false">
      <c r="A42" s="6" t="s">
        <v>34</v>
      </c>
    </row>
    <row r="43" customFormat="false" ht="14.25" hidden="false" customHeight="true" outlineLevel="0" collapsed="false">
      <c r="A43" s="1" t="s">
        <v>35</v>
      </c>
    </row>
    <row r="44" customFormat="false" ht="14.25" hidden="false" customHeight="true" outlineLevel="0" collapsed="false">
      <c r="A44" s="1" t="s">
        <v>36</v>
      </c>
    </row>
    <row r="45" customFormat="false" ht="14.25" hidden="false" customHeight="true" outlineLevel="0" collapsed="false">
      <c r="A45" s="1" t="s">
        <v>37</v>
      </c>
    </row>
    <row r="46" customFormat="false" ht="14.25" hidden="false" customHeight="true" outlineLevel="0" collapsed="false">
      <c r="A46" s="1" t="s">
        <v>38</v>
      </c>
    </row>
    <row r="47" customFormat="false" ht="14.25" hidden="false" customHeight="true" outlineLevel="0" collapsed="false">
      <c r="A47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EADA"/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S32" activeCellId="0" sqref="S32"/>
    </sheetView>
  </sheetViews>
  <sheetFormatPr defaultColWidth="8.53515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20"/>
    <col collapsed="false" customWidth="true" hidden="false" outlineLevel="0" max="16" min="6" style="1" width="12"/>
  </cols>
  <sheetData>
    <row r="1" customFormat="false" ht="14.25" hidden="false" customHeight="true" outlineLevel="0" collapsed="false">
      <c r="A1" s="7" t="s">
        <v>40</v>
      </c>
      <c r="B1" s="7" t="s">
        <v>41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51</v>
      </c>
      <c r="M1" s="7" t="s">
        <v>52</v>
      </c>
      <c r="N1" s="7" t="s">
        <v>53</v>
      </c>
      <c r="O1" s="7" t="s">
        <v>54</v>
      </c>
      <c r="P1" s="7" t="s">
        <v>55</v>
      </c>
    </row>
    <row r="2" customFormat="false" ht="14.25" hidden="false" customHeight="true" outlineLevel="0" collapsed="false">
      <c r="A2" s="8" t="s">
        <v>56</v>
      </c>
      <c r="B2" s="8" t="s">
        <v>57</v>
      </c>
      <c r="C2" s="9" t="s">
        <v>58</v>
      </c>
      <c r="D2" s="9" t="s">
        <v>59</v>
      </c>
      <c r="E2" s="8" t="s">
        <v>60</v>
      </c>
      <c r="F2" s="10" t="n">
        <v>15</v>
      </c>
      <c r="G2" s="10" t="n">
        <v>18</v>
      </c>
      <c r="H2" s="10" t="n">
        <v>19</v>
      </c>
      <c r="I2" s="10" t="n">
        <v>19</v>
      </c>
      <c r="J2" s="10" t="n">
        <v>26</v>
      </c>
      <c r="K2" s="10" t="n">
        <v>27</v>
      </c>
      <c r="L2" s="10" t="n">
        <v>29</v>
      </c>
      <c r="M2" s="10" t="n">
        <v>33</v>
      </c>
      <c r="N2" s="10" t="n">
        <v>33</v>
      </c>
      <c r="O2" s="10" t="n">
        <v>32</v>
      </c>
      <c r="P2" s="10"/>
      <c r="Q2" s="11" t="s">
        <v>61</v>
      </c>
    </row>
    <row r="3" customFormat="false" ht="14.25" hidden="false" customHeight="true" outlineLevel="0" collapsed="false">
      <c r="A3" s="8" t="s">
        <v>56</v>
      </c>
      <c r="B3" s="8" t="s">
        <v>62</v>
      </c>
      <c r="C3" s="9" t="s">
        <v>63</v>
      </c>
      <c r="D3" s="9" t="s">
        <v>59</v>
      </c>
      <c r="E3" s="8" t="s">
        <v>64</v>
      </c>
      <c r="F3" s="12" t="n">
        <v>-1.3086297</v>
      </c>
      <c r="G3" s="12" t="n">
        <v>-1.3287764</v>
      </c>
      <c r="H3" s="12" t="n">
        <v>-1.3317055</v>
      </c>
      <c r="I3" s="12" t="n">
        <v>-1.1105522</v>
      </c>
      <c r="J3" s="12" t="n">
        <v>-1.0519682</v>
      </c>
      <c r="K3" s="12" t="n">
        <v>-0.9475038</v>
      </c>
      <c r="L3" s="12" t="n">
        <v>-1.0980135</v>
      </c>
      <c r="M3" s="12" t="n">
        <v>-1.1625439</v>
      </c>
      <c r="N3" s="12" t="n">
        <v>-1.1944432</v>
      </c>
      <c r="O3" s="12" t="n">
        <v>-1.1697408</v>
      </c>
      <c r="P3" s="10"/>
      <c r="Q3" s="11" t="s">
        <v>65</v>
      </c>
    </row>
    <row r="4" customFormat="false" ht="14.25" hidden="false" customHeight="true" outlineLevel="0" collapsed="false">
      <c r="A4" s="8" t="s">
        <v>56</v>
      </c>
      <c r="B4" s="8" t="s">
        <v>66</v>
      </c>
      <c r="C4" s="9" t="s">
        <v>63</v>
      </c>
      <c r="D4" s="9" t="s">
        <v>59</v>
      </c>
      <c r="E4" s="8" t="s">
        <v>64</v>
      </c>
      <c r="F4" s="12" t="n">
        <v>-0.9378237</v>
      </c>
      <c r="G4" s="12" t="n">
        <v>-0.9493847</v>
      </c>
      <c r="H4" s="12" t="n">
        <v>-0.9681157</v>
      </c>
      <c r="I4" s="12" t="n">
        <v>-0.9784602</v>
      </c>
      <c r="J4" s="12" t="n">
        <v>-0.9116965</v>
      </c>
      <c r="K4" s="12" t="n">
        <v>-1.0163604</v>
      </c>
      <c r="L4" s="12" t="n">
        <v>-0.9347008</v>
      </c>
      <c r="M4" s="12" t="n">
        <v>-0.8325718</v>
      </c>
      <c r="N4" s="12" t="n">
        <v>-0.8287026</v>
      </c>
      <c r="O4" s="12" t="n">
        <v>-0.7851909</v>
      </c>
      <c r="P4" s="10"/>
    </row>
    <row r="5" customFormat="false" ht="14.25" hidden="false" customHeight="true" outlineLevel="0" collapsed="false">
      <c r="A5" s="8" t="s">
        <v>56</v>
      </c>
      <c r="B5" s="8" t="s">
        <v>67</v>
      </c>
      <c r="C5" s="9" t="s">
        <v>63</v>
      </c>
      <c r="D5" s="9" t="s">
        <v>59</v>
      </c>
      <c r="E5" s="8" t="s">
        <v>64</v>
      </c>
      <c r="F5" s="12" t="n">
        <v>-0.5591026</v>
      </c>
      <c r="G5" s="12" t="n">
        <v>-0.434628</v>
      </c>
      <c r="H5" s="12" t="n">
        <v>-0.5372145</v>
      </c>
      <c r="I5" s="12" t="n">
        <v>-0.4058117</v>
      </c>
      <c r="J5" s="12" t="n">
        <v>-0.4207039</v>
      </c>
      <c r="K5" s="12" t="n">
        <v>-0.6427634</v>
      </c>
      <c r="L5" s="12" t="n">
        <v>-0.7936068</v>
      </c>
      <c r="M5" s="12" t="n">
        <v>-0.5414068</v>
      </c>
      <c r="N5" s="12" t="n">
        <v>-0.3131654</v>
      </c>
      <c r="O5" s="12" t="n">
        <v>-0.5735964</v>
      </c>
      <c r="P5" s="10"/>
    </row>
    <row r="6" customFormat="false" ht="14.25" hidden="false" customHeight="true" outlineLevel="0" collapsed="false">
      <c r="A6" s="8" t="s">
        <v>56</v>
      </c>
      <c r="B6" s="8" t="s">
        <v>68</v>
      </c>
      <c r="C6" s="9" t="s">
        <v>58</v>
      </c>
      <c r="D6" s="9" t="s">
        <v>59</v>
      </c>
      <c r="E6" s="8" t="s">
        <v>64</v>
      </c>
      <c r="F6" s="10" t="n">
        <v>37.09</v>
      </c>
      <c r="G6" s="10" t="n">
        <v>38.46</v>
      </c>
      <c r="H6" s="10" t="n">
        <v>38.41</v>
      </c>
      <c r="I6" s="10" t="n">
        <v>41.49</v>
      </c>
      <c r="J6" s="10" t="n">
        <v>43.86</v>
      </c>
      <c r="K6" s="10" t="n">
        <v>41.9</v>
      </c>
      <c r="L6" s="10"/>
      <c r="M6" s="10"/>
      <c r="N6" s="10"/>
      <c r="O6" s="10"/>
      <c r="P6" s="10"/>
      <c r="Q6" s="11" t="s">
        <v>69</v>
      </c>
    </row>
    <row r="7" customFormat="false" ht="14.25" hidden="false" customHeight="true" outlineLevel="0" collapsed="false">
      <c r="A7" s="13" t="s">
        <v>70</v>
      </c>
      <c r="B7" s="13" t="s">
        <v>71</v>
      </c>
      <c r="C7" s="14" t="s">
        <v>72</v>
      </c>
      <c r="D7" s="14" t="s">
        <v>59</v>
      </c>
      <c r="E7" s="13" t="s">
        <v>73</v>
      </c>
      <c r="F7" s="12" t="n">
        <v>0.763177710915002</v>
      </c>
      <c r="G7" s="12" t="n">
        <v>-1.70053036291191</v>
      </c>
      <c r="H7" s="12" t="n">
        <v>-0.149396225572446</v>
      </c>
      <c r="I7" s="12" t="n">
        <v>-0.594411226982544</v>
      </c>
      <c r="J7" s="12" t="n">
        <v>-0.204680245744498</v>
      </c>
      <c r="K7" s="12" t="n">
        <v>-4.04244724639634</v>
      </c>
      <c r="L7" s="12" t="n">
        <v>2.102752519234</v>
      </c>
      <c r="M7" s="12" t="n">
        <v>4.21600258475125</v>
      </c>
      <c r="N7" s="12" t="n">
        <v>1.26330814020123</v>
      </c>
      <c r="O7" s="12" t="n">
        <v>4.42390664406894</v>
      </c>
      <c r="P7" s="10"/>
      <c r="Q7" s="11" t="s">
        <v>74</v>
      </c>
    </row>
    <row r="8" customFormat="false" ht="14.25" hidden="false" customHeight="true" outlineLevel="0" collapsed="false">
      <c r="A8" s="13" t="s">
        <v>70</v>
      </c>
      <c r="B8" s="13" t="s">
        <v>75</v>
      </c>
      <c r="C8" s="14" t="s">
        <v>76</v>
      </c>
      <c r="D8" s="14" t="s">
        <v>59</v>
      </c>
      <c r="E8" s="13" t="s">
        <v>73</v>
      </c>
      <c r="F8" s="12" t="n">
        <v>4400.13408995522</v>
      </c>
      <c r="G8" s="12" t="n">
        <v>4136.77627211431</v>
      </c>
      <c r="H8" s="12" t="n">
        <v>4955.1921569679</v>
      </c>
      <c r="I8" s="12" t="n">
        <v>3214.80179088296</v>
      </c>
      <c r="J8" s="12" t="n">
        <v>2397.76131828422</v>
      </c>
      <c r="K8" s="12" t="n">
        <v>1902.31839616148</v>
      </c>
      <c r="L8" s="12" t="n">
        <v>2990.86034201674</v>
      </c>
      <c r="M8" s="12" t="n">
        <v>3935.50100865928</v>
      </c>
      <c r="N8" s="12" t="n">
        <v>2773.00618718299</v>
      </c>
      <c r="O8" s="12" t="n">
        <v>3181.62426384473</v>
      </c>
      <c r="P8" s="10"/>
    </row>
    <row r="9" customFormat="false" ht="14.25" hidden="false" customHeight="true" outlineLevel="0" collapsed="false">
      <c r="A9" s="13" t="s">
        <v>70</v>
      </c>
      <c r="B9" s="13" t="s">
        <v>77</v>
      </c>
      <c r="C9" s="14" t="s">
        <v>72</v>
      </c>
      <c r="D9" s="14" t="s">
        <v>78</v>
      </c>
      <c r="E9" s="13" t="s">
        <v>79</v>
      </c>
      <c r="F9" s="12" t="n">
        <v>12.0942682565683</v>
      </c>
      <c r="G9" s="12" t="n">
        <v>41.1211348072546</v>
      </c>
      <c r="H9" s="12" t="n">
        <v>23.6665496721406</v>
      </c>
      <c r="I9" s="12" t="n">
        <v>18.6011046514686</v>
      </c>
      <c r="J9" s="12" t="n">
        <v>16.8972880591422</v>
      </c>
      <c r="K9" s="12" t="n">
        <v>25.0965301660938</v>
      </c>
      <c r="L9" s="12" t="n">
        <v>27.0299437979771</v>
      </c>
      <c r="M9" s="12" t="n">
        <v>13.8604754279988</v>
      </c>
      <c r="N9" s="12" t="n">
        <v>20.0071603523629</v>
      </c>
      <c r="O9" s="12" t="n">
        <v>26.4803389098066</v>
      </c>
      <c r="P9" s="12" t="n">
        <v>15.6972203105233</v>
      </c>
    </row>
    <row r="10" customFormat="false" ht="14.25" hidden="false" customHeight="true" outlineLevel="0" collapsed="false">
      <c r="A10" s="13" t="s">
        <v>70</v>
      </c>
      <c r="B10" s="13" t="s">
        <v>80</v>
      </c>
      <c r="C10" s="14" t="s">
        <v>72</v>
      </c>
      <c r="D10" s="14" t="s">
        <v>78</v>
      </c>
      <c r="E10" s="13" t="s">
        <v>81</v>
      </c>
      <c r="F10" s="10" t="n">
        <v>50</v>
      </c>
      <c r="G10" s="10" t="n">
        <v>67</v>
      </c>
      <c r="H10" s="10" t="n">
        <v>60</v>
      </c>
      <c r="I10" s="10" t="n">
        <v>83</v>
      </c>
      <c r="J10" s="10" t="n">
        <v>101</v>
      </c>
      <c r="K10" s="10" t="n">
        <v>119</v>
      </c>
      <c r="L10" s="10" t="n">
        <v>74</v>
      </c>
      <c r="M10" s="10" t="n">
        <v>56</v>
      </c>
      <c r="N10" s="10" t="n">
        <v>72</v>
      </c>
      <c r="O10" s="10" t="n">
        <v>60</v>
      </c>
      <c r="P10" s="10" t="n">
        <v>63</v>
      </c>
      <c r="Q10" s="11" t="s">
        <v>82</v>
      </c>
    </row>
    <row r="11" customFormat="false" ht="14.25" hidden="false" customHeight="true" outlineLevel="0" collapsed="false">
      <c r="A11" s="13" t="s">
        <v>70</v>
      </c>
      <c r="B11" s="13" t="s">
        <v>83</v>
      </c>
      <c r="C11" s="14" t="s">
        <v>72</v>
      </c>
      <c r="D11" s="14" t="s">
        <v>59</v>
      </c>
      <c r="E11" s="13" t="s">
        <v>81</v>
      </c>
      <c r="F11" s="10" t="n">
        <v>-2</v>
      </c>
      <c r="G11" s="10" t="n">
        <v>-3</v>
      </c>
      <c r="H11" s="10" t="n">
        <v>1.5</v>
      </c>
      <c r="I11" s="10" t="n">
        <v>-0.5</v>
      </c>
      <c r="J11" s="10" t="n">
        <v>0.5</v>
      </c>
      <c r="K11" s="10" t="n">
        <v>-5</v>
      </c>
      <c r="L11" s="10" t="n">
        <v>1.5</v>
      </c>
      <c r="M11" s="10" t="n">
        <v>0.7</v>
      </c>
      <c r="N11" s="10" t="n">
        <v>-1.9</v>
      </c>
      <c r="O11" s="10" t="n">
        <v>-1.5</v>
      </c>
      <c r="P11" s="10" t="n">
        <v>-1.65</v>
      </c>
    </row>
    <row r="12" customFormat="false" ht="14.25" hidden="false" customHeight="true" outlineLevel="0" collapsed="false">
      <c r="A12" s="13" t="s">
        <v>70</v>
      </c>
      <c r="B12" s="13" t="s">
        <v>84</v>
      </c>
      <c r="C12" s="14" t="s">
        <v>72</v>
      </c>
      <c r="D12" s="14" t="s">
        <v>59</v>
      </c>
      <c r="E12" s="13" t="s">
        <v>85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customFormat="false" ht="14.25" hidden="false" customHeight="true" outlineLevel="0" collapsed="false">
      <c r="A13" s="13" t="s">
        <v>70</v>
      </c>
      <c r="B13" s="13" t="s">
        <v>86</v>
      </c>
      <c r="C13" s="14" t="s">
        <v>87</v>
      </c>
      <c r="D13" s="14" t="s">
        <v>59</v>
      </c>
      <c r="E13" s="13" t="s">
        <v>88</v>
      </c>
      <c r="F13" s="12" t="n">
        <f aca="false">+F47</f>
        <v>7.71776315606183</v>
      </c>
      <c r="G13" s="12" t="n">
        <f aca="false">+G47</f>
        <v>11.389499993942</v>
      </c>
      <c r="H13" s="12" t="n">
        <f aca="false">+H47</f>
        <v>7.74097139830412</v>
      </c>
      <c r="I13" s="12" t="n">
        <f aca="false">+I47</f>
        <v>7.49566455214411</v>
      </c>
      <c r="J13" s="12" t="n">
        <f aca="false">+J47</f>
        <v>9.2620704681116</v>
      </c>
      <c r="K13" s="12" t="n">
        <f aca="false">+K47</f>
        <v>11.7883291694099</v>
      </c>
      <c r="L13" s="12" t="n">
        <f aca="false">+L47</f>
        <v>9.8750392382472</v>
      </c>
      <c r="M13" s="12" t="n">
        <f aca="false">+M47</f>
        <v>6.15901163054049</v>
      </c>
      <c r="N13" s="12" t="n">
        <f aca="false">+N47</f>
        <v>7.46032331427649</v>
      </c>
      <c r="O13" s="12" t="n">
        <f aca="false">+O47</f>
        <v>8.34169684731709</v>
      </c>
      <c r="P13" s="12" t="n">
        <f aca="false">+P47</f>
        <v>10.3913051334102</v>
      </c>
      <c r="Q13" s="11"/>
    </row>
    <row r="14" customFormat="false" ht="14.25" hidden="false" customHeight="true" outlineLevel="0" collapsed="false">
      <c r="A14" s="8" t="s">
        <v>89</v>
      </c>
      <c r="B14" s="8" t="s">
        <v>90</v>
      </c>
      <c r="C14" s="9" t="s">
        <v>91</v>
      </c>
      <c r="D14" s="9" t="s">
        <v>59</v>
      </c>
      <c r="E14" s="8" t="s">
        <v>92</v>
      </c>
      <c r="F14" s="10" t="n">
        <v>0.591</v>
      </c>
      <c r="G14" s="10" t="n">
        <v>0.595</v>
      </c>
      <c r="H14" s="10" t="n">
        <v>0.597</v>
      </c>
      <c r="I14" s="10" t="n">
        <v>0.598</v>
      </c>
      <c r="J14" s="10" t="n">
        <v>0.597</v>
      </c>
      <c r="K14" s="10" t="n">
        <v>0.594</v>
      </c>
      <c r="L14" s="10" t="n">
        <v>0.59</v>
      </c>
      <c r="M14" s="10" t="n">
        <v>0.591</v>
      </c>
      <c r="N14" s="10" t="n">
        <v>0.616</v>
      </c>
      <c r="O14" s="10"/>
      <c r="P14" s="10"/>
      <c r="Q14" s="11" t="s">
        <v>93</v>
      </c>
    </row>
    <row r="15" customFormat="false" ht="14.25" hidden="false" customHeight="true" outlineLevel="0" collapsed="false">
      <c r="A15" s="8" t="s">
        <v>89</v>
      </c>
      <c r="B15" s="8" t="s">
        <v>94</v>
      </c>
      <c r="C15" s="9" t="s">
        <v>95</v>
      </c>
      <c r="D15" s="9" t="s">
        <v>59</v>
      </c>
      <c r="E15" s="8" t="s">
        <v>96</v>
      </c>
      <c r="F15" s="15" t="n">
        <v>61.042</v>
      </c>
      <c r="G15" s="15" t="n">
        <v>61.619</v>
      </c>
      <c r="H15" s="15" t="n">
        <v>61.7</v>
      </c>
      <c r="I15" s="15" t="n">
        <v>61.7</v>
      </c>
      <c r="J15" s="15" t="n">
        <v>62.2</v>
      </c>
      <c r="K15" s="15" t="n">
        <v>62.48</v>
      </c>
      <c r="L15" s="15" t="n">
        <v>62.72</v>
      </c>
      <c r="M15" s="15" t="n">
        <v>62.95</v>
      </c>
      <c r="N15" s="15" t="n">
        <v>64.617</v>
      </c>
      <c r="O15" s="15" t="n">
        <v>64</v>
      </c>
      <c r="P15" s="15" t="n">
        <v>65</v>
      </c>
      <c r="Q15" s="11" t="s">
        <v>97</v>
      </c>
    </row>
    <row r="16" customFormat="false" ht="14.25" hidden="false" customHeight="true" outlineLevel="0" collapsed="false">
      <c r="A16" s="8" t="s">
        <v>89</v>
      </c>
      <c r="B16" s="8" t="s">
        <v>98</v>
      </c>
      <c r="C16" s="9" t="s">
        <v>72</v>
      </c>
      <c r="D16" s="9" t="s">
        <v>59</v>
      </c>
      <c r="E16" s="8" t="s">
        <v>99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customFormat="false" ht="14.25" hidden="false" customHeight="true" outlineLevel="0" collapsed="false">
      <c r="A17" s="8" t="s">
        <v>89</v>
      </c>
      <c r="B17" s="8" t="s">
        <v>100</v>
      </c>
      <c r="C17" s="9" t="s">
        <v>72</v>
      </c>
      <c r="D17" s="9" t="s">
        <v>59</v>
      </c>
      <c r="E17" s="8" t="s">
        <v>101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customFormat="false" ht="14.25" hidden="false" customHeight="true" outlineLevel="0" collapsed="false">
      <c r="A18" s="8" t="s">
        <v>89</v>
      </c>
      <c r="B18" s="8" t="s">
        <v>102</v>
      </c>
      <c r="C18" s="9" t="s">
        <v>95</v>
      </c>
      <c r="D18" s="9" t="s">
        <v>59</v>
      </c>
      <c r="E18" s="8" t="s">
        <v>103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customFormat="false" ht="14.25" hidden="false" customHeight="true" outlineLevel="0" collapsed="false">
      <c r="A19" s="8" t="s">
        <v>89</v>
      </c>
      <c r="B19" s="8" t="s">
        <v>104</v>
      </c>
      <c r="C19" s="9" t="s">
        <v>105</v>
      </c>
      <c r="D19" s="9" t="s">
        <v>78</v>
      </c>
      <c r="E19" s="8" t="s">
        <v>106</v>
      </c>
      <c r="F19" s="10"/>
      <c r="G19" s="10"/>
      <c r="H19" s="15" t="n">
        <v>61.1</v>
      </c>
      <c r="I19" s="15" t="n">
        <v>60</v>
      </c>
      <c r="J19" s="15" t="n">
        <v>58.9</v>
      </c>
      <c r="K19" s="15" t="n">
        <v>57.8</v>
      </c>
      <c r="L19" s="15" t="n">
        <v>56.81</v>
      </c>
      <c r="M19" s="15" t="n">
        <v>55.84</v>
      </c>
      <c r="N19" s="10"/>
      <c r="O19" s="10"/>
      <c r="P19" s="10"/>
    </row>
    <row r="20" customFormat="false" ht="14.25" hidden="false" customHeight="true" outlineLevel="0" collapsed="false">
      <c r="A20" s="13" t="s">
        <v>107</v>
      </c>
      <c r="B20" s="13" t="s">
        <v>108</v>
      </c>
      <c r="C20" s="14" t="s">
        <v>72</v>
      </c>
      <c r="D20" s="14" t="s">
        <v>78</v>
      </c>
      <c r="E20" s="13" t="s">
        <v>109</v>
      </c>
      <c r="F20" s="10"/>
      <c r="G20" s="16"/>
      <c r="H20" s="10"/>
      <c r="I20" s="16" t="n">
        <v>31.1</v>
      </c>
      <c r="J20" s="10"/>
      <c r="K20" s="10"/>
      <c r="L20" s="10"/>
      <c r="M20" s="10"/>
      <c r="N20" s="10"/>
      <c r="O20" s="10"/>
      <c r="P20" s="16"/>
      <c r="Q20" s="11" t="s">
        <v>110</v>
      </c>
    </row>
    <row r="21" customFormat="false" ht="14.25" hidden="false" customHeight="true" outlineLevel="0" collapsed="false">
      <c r="A21" s="13" t="s">
        <v>107</v>
      </c>
      <c r="B21" s="17" t="s">
        <v>111</v>
      </c>
      <c r="C21" s="18" t="s">
        <v>58</v>
      </c>
      <c r="D21" s="18" t="s">
        <v>78</v>
      </c>
      <c r="E21" s="17" t="s">
        <v>109</v>
      </c>
      <c r="F21" s="10"/>
      <c r="G21" s="10"/>
      <c r="H21" s="10"/>
      <c r="I21" s="10" t="n">
        <v>51.3</v>
      </c>
      <c r="J21" s="10"/>
      <c r="K21" s="10"/>
      <c r="L21" s="10"/>
      <c r="M21" s="10"/>
      <c r="N21" s="10"/>
      <c r="O21" s="10"/>
      <c r="P21" s="10"/>
      <c r="Q21" s="11" t="s">
        <v>112</v>
      </c>
    </row>
    <row r="22" customFormat="false" ht="14.25" hidden="false" customHeight="true" outlineLevel="0" collapsed="false">
      <c r="A22" s="13" t="s">
        <v>107</v>
      </c>
      <c r="B22" s="17" t="s">
        <v>113</v>
      </c>
      <c r="C22" s="18" t="s">
        <v>72</v>
      </c>
      <c r="D22" s="18" t="s">
        <v>59</v>
      </c>
      <c r="E22" s="17" t="s">
        <v>114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customFormat="false" ht="14.25" hidden="false" customHeight="true" outlineLevel="0" collapsed="false">
      <c r="A23" s="13" t="s">
        <v>107</v>
      </c>
      <c r="B23" s="13" t="s">
        <v>115</v>
      </c>
      <c r="C23" s="14" t="s">
        <v>91</v>
      </c>
      <c r="D23" s="14" t="s">
        <v>59</v>
      </c>
      <c r="E23" s="13" t="s">
        <v>116</v>
      </c>
      <c r="F23" s="10" t="n">
        <v>0.637</v>
      </c>
      <c r="G23" s="10" t="n">
        <v>0.643</v>
      </c>
      <c r="H23" s="10" t="n">
        <v>0.64</v>
      </c>
      <c r="I23" s="10" t="n">
        <v>0.633</v>
      </c>
      <c r="J23" s="10"/>
      <c r="K23" s="10" t="n">
        <v>0.66</v>
      </c>
      <c r="L23" s="10" t="n">
        <v>0.657</v>
      </c>
      <c r="M23" s="10" t="n">
        <v>0.638</v>
      </c>
      <c r="N23" s="10" t="n">
        <v>0.656</v>
      </c>
      <c r="O23" s="10" t="n">
        <v>0.668</v>
      </c>
      <c r="P23" s="10" t="n">
        <v>0.668</v>
      </c>
      <c r="Q23" s="11" t="s">
        <v>117</v>
      </c>
    </row>
    <row r="24" customFormat="false" ht="14.25" hidden="false" customHeight="true" outlineLevel="0" collapsed="false">
      <c r="A24" s="13" t="s">
        <v>107</v>
      </c>
      <c r="B24" s="13" t="s">
        <v>118</v>
      </c>
      <c r="C24" s="14" t="s">
        <v>76</v>
      </c>
      <c r="D24" s="14" t="s">
        <v>59</v>
      </c>
      <c r="E24" s="13" t="s">
        <v>119</v>
      </c>
      <c r="F24" s="12" t="n">
        <v>2350</v>
      </c>
      <c r="G24" s="12" t="n">
        <v>3100</v>
      </c>
      <c r="H24" s="12" t="n">
        <v>2850</v>
      </c>
      <c r="I24" s="12" t="n">
        <v>2450</v>
      </c>
      <c r="J24" s="12" t="n">
        <v>2300</v>
      </c>
      <c r="K24" s="12" t="n">
        <v>2250</v>
      </c>
      <c r="L24" s="12" t="n">
        <v>2300</v>
      </c>
      <c r="M24" s="12" t="n">
        <v>2400</v>
      </c>
      <c r="N24" s="12" t="n">
        <v>2500</v>
      </c>
      <c r="O24" s="12" t="n">
        <v>2840</v>
      </c>
      <c r="P24" s="12" t="n">
        <v>2900</v>
      </c>
      <c r="Q24" s="11" t="s">
        <v>120</v>
      </c>
    </row>
    <row r="25" customFormat="false" ht="14.25" hidden="false" customHeight="true" outlineLevel="0" collapsed="false">
      <c r="A25" s="8" t="s">
        <v>121</v>
      </c>
      <c r="B25" s="8" t="s">
        <v>122</v>
      </c>
      <c r="C25" s="9" t="s">
        <v>72</v>
      </c>
      <c r="D25" s="9" t="s">
        <v>59</v>
      </c>
      <c r="E25" s="8" t="s">
        <v>123</v>
      </c>
      <c r="F25" s="10" t="n">
        <v>42</v>
      </c>
      <c r="G25" s="10" t="n">
        <v>41.8</v>
      </c>
      <c r="H25" s="10" t="n">
        <v>42.9</v>
      </c>
      <c r="I25" s="10" t="n">
        <v>45.3</v>
      </c>
      <c r="J25" s="10" t="n">
        <v>45.6</v>
      </c>
      <c r="K25" s="10" t="n">
        <v>47</v>
      </c>
      <c r="L25" s="10" t="n">
        <v>48.2</v>
      </c>
      <c r="M25" s="10" t="n">
        <v>48.5</v>
      </c>
      <c r="N25" s="10" t="n">
        <v>51.1</v>
      </c>
      <c r="O25" s="10"/>
      <c r="P25" s="10"/>
      <c r="Q25" s="11" t="s">
        <v>124</v>
      </c>
    </row>
    <row r="26" customFormat="false" ht="14.25" hidden="false" customHeight="true" outlineLevel="0" collapsed="false">
      <c r="A26" s="8" t="s">
        <v>121</v>
      </c>
      <c r="B26" s="8" t="s">
        <v>125</v>
      </c>
      <c r="C26" s="9" t="s">
        <v>72</v>
      </c>
      <c r="D26" s="9" t="s">
        <v>59</v>
      </c>
      <c r="E26" s="8" t="s">
        <v>126</v>
      </c>
      <c r="F26" s="10" t="n">
        <v>54.3</v>
      </c>
      <c r="G26" s="10" t="n">
        <v>55.1</v>
      </c>
      <c r="H26" s="10" t="n">
        <v>55.8</v>
      </c>
      <c r="I26" s="10" t="n">
        <v>56.6</v>
      </c>
      <c r="J26" s="10" t="n">
        <v>56.9</v>
      </c>
      <c r="K26" s="10" t="n">
        <v>57.2</v>
      </c>
      <c r="L26" s="10" t="n">
        <v>57.4</v>
      </c>
      <c r="M26" s="10" t="n">
        <v>57.7</v>
      </c>
      <c r="N26" s="10"/>
      <c r="O26" s="10"/>
      <c r="P26" s="10"/>
      <c r="Q26" s="11" t="s">
        <v>127</v>
      </c>
    </row>
    <row r="27" customFormat="false" ht="14.25" hidden="false" customHeight="true" outlineLevel="0" collapsed="false">
      <c r="A27" s="8" t="s">
        <v>121</v>
      </c>
      <c r="B27" s="8" t="s">
        <v>128</v>
      </c>
      <c r="C27" s="9" t="s">
        <v>72</v>
      </c>
      <c r="D27" s="9" t="s">
        <v>59</v>
      </c>
      <c r="E27" s="8" t="s">
        <v>126</v>
      </c>
      <c r="F27" s="10" t="n">
        <v>47</v>
      </c>
      <c r="G27" s="10" t="n">
        <v>48</v>
      </c>
      <c r="H27" s="10" t="n">
        <v>48</v>
      </c>
      <c r="I27" s="10" t="n">
        <v>49</v>
      </c>
      <c r="J27" s="10" t="n">
        <v>50</v>
      </c>
      <c r="K27" s="10" t="n">
        <v>50</v>
      </c>
      <c r="L27" s="10" t="n">
        <v>50</v>
      </c>
      <c r="M27" s="10" t="n">
        <v>50</v>
      </c>
      <c r="N27" s="10"/>
      <c r="O27" s="10"/>
      <c r="P27" s="10"/>
      <c r="Q27" s="11" t="s">
        <v>129</v>
      </c>
    </row>
    <row r="28" customFormat="false" ht="14.25" hidden="false" customHeight="true" outlineLevel="0" collapsed="false">
      <c r="A28" s="19" t="s">
        <v>121</v>
      </c>
      <c r="B28" s="19" t="s">
        <v>130</v>
      </c>
      <c r="C28" s="20" t="s">
        <v>72</v>
      </c>
      <c r="D28" s="20" t="s">
        <v>59</v>
      </c>
      <c r="E28" s="19" t="s">
        <v>131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" t="s">
        <v>132</v>
      </c>
    </row>
    <row r="29" customFormat="false" ht="14.25" hidden="false" customHeight="true" outlineLevel="0" collapsed="false">
      <c r="A29" s="8" t="s">
        <v>121</v>
      </c>
      <c r="B29" s="8" t="s">
        <v>133</v>
      </c>
      <c r="C29" s="9" t="s">
        <v>72</v>
      </c>
      <c r="D29" s="9" t="s">
        <v>59</v>
      </c>
      <c r="E29" s="8" t="s">
        <v>131</v>
      </c>
      <c r="F29" s="10" t="n">
        <v>22</v>
      </c>
      <c r="G29" s="10" t="n">
        <v>23.2</v>
      </c>
      <c r="H29" s="10" t="n">
        <v>26</v>
      </c>
      <c r="I29" s="10" t="n">
        <v>29</v>
      </c>
      <c r="J29" s="10" t="n">
        <v>32.1</v>
      </c>
      <c r="K29" s="10" t="n">
        <v>36.6</v>
      </c>
      <c r="L29" s="10" t="n">
        <v>39.3</v>
      </c>
      <c r="M29" s="10" t="n">
        <v>42</v>
      </c>
      <c r="N29" s="10" t="n">
        <v>44</v>
      </c>
      <c r="O29" s="10"/>
      <c r="P29" s="10"/>
      <c r="Q29" s="11" t="s">
        <v>134</v>
      </c>
    </row>
    <row r="30" customFormat="false" ht="14.25" hidden="false" customHeight="true" outlineLevel="0" collapsed="false">
      <c r="A30" s="8" t="s">
        <v>121</v>
      </c>
      <c r="B30" s="8" t="s">
        <v>135</v>
      </c>
      <c r="C30" s="9" t="s">
        <v>136</v>
      </c>
      <c r="D30" s="9" t="s">
        <v>59</v>
      </c>
      <c r="E30" s="8" t="s">
        <v>137</v>
      </c>
      <c r="F30" s="10" t="n">
        <v>29</v>
      </c>
      <c r="G30" s="10" t="n">
        <v>29</v>
      </c>
      <c r="H30" s="10" t="n">
        <v>29</v>
      </c>
      <c r="I30" s="10" t="n">
        <v>29</v>
      </c>
      <c r="J30" s="10" t="n">
        <v>29</v>
      </c>
      <c r="K30" s="10" t="n">
        <v>30</v>
      </c>
      <c r="L30" s="10" t="n">
        <v>31</v>
      </c>
      <c r="M30" s="10" t="n">
        <v>31</v>
      </c>
      <c r="N30" s="10" t="n">
        <v>32</v>
      </c>
      <c r="O30" s="10" t="n">
        <v>33</v>
      </c>
      <c r="P30" s="10"/>
      <c r="Q30" s="11" t="s">
        <v>138</v>
      </c>
    </row>
    <row r="31" customFormat="false" ht="14.25" hidden="false" customHeight="true" outlineLevel="0" collapsed="false">
      <c r="A31" s="13" t="s">
        <v>139</v>
      </c>
      <c r="B31" s="13" t="s">
        <v>140</v>
      </c>
      <c r="C31" s="14" t="s">
        <v>72</v>
      </c>
      <c r="D31" s="14" t="s">
        <v>59</v>
      </c>
      <c r="E31" s="13" t="s">
        <v>119</v>
      </c>
      <c r="F31" s="10"/>
      <c r="G31" s="10"/>
      <c r="H31" s="10"/>
      <c r="I31" s="10"/>
      <c r="J31" s="12" t="n">
        <v>61.1901621160791</v>
      </c>
      <c r="K31" s="12" t="n">
        <v>60.774758729572</v>
      </c>
      <c r="L31" s="12" t="n">
        <v>61.4914681422329</v>
      </c>
      <c r="M31" s="12" t="n">
        <v>62.7156133390014</v>
      </c>
      <c r="N31" s="12" t="n">
        <v>60.65331506458</v>
      </c>
      <c r="O31" s="12" t="n">
        <v>61.6661477026761</v>
      </c>
      <c r="P31" s="12" t="n">
        <v>64.4412865666951</v>
      </c>
    </row>
    <row r="32" customFormat="false" ht="14.25" hidden="false" customHeight="true" outlineLevel="0" collapsed="false">
      <c r="A32" s="13" t="s">
        <v>139</v>
      </c>
      <c r="B32" s="13" t="s">
        <v>141</v>
      </c>
      <c r="C32" s="14" t="s">
        <v>72</v>
      </c>
      <c r="D32" s="14" t="s">
        <v>78</v>
      </c>
      <c r="E32" s="13" t="s">
        <v>119</v>
      </c>
      <c r="F32" s="10"/>
      <c r="G32" s="10"/>
      <c r="H32" s="10"/>
      <c r="I32" s="10"/>
      <c r="J32" s="12" t="n">
        <v>30.2088468491282</v>
      </c>
      <c r="K32" s="12" t="n">
        <v>32.1810870719272</v>
      </c>
      <c r="L32" s="12" t="n">
        <v>32.3207259246896</v>
      </c>
      <c r="M32" s="12" t="n">
        <v>30.1553364850786</v>
      </c>
      <c r="N32" s="12" t="n">
        <v>31.8528608979976</v>
      </c>
      <c r="O32" s="12" t="n">
        <v>31.4663526244194</v>
      </c>
      <c r="P32" s="12" t="n">
        <v>26.8606109770713</v>
      </c>
    </row>
    <row r="33" customFormat="false" ht="14.25" hidden="false" customHeight="true" outlineLevel="0" collapsed="false">
      <c r="A33" s="17" t="s">
        <v>139</v>
      </c>
      <c r="B33" s="17" t="s">
        <v>142</v>
      </c>
      <c r="C33" s="18" t="s">
        <v>72</v>
      </c>
      <c r="D33" s="18" t="s">
        <v>78</v>
      </c>
      <c r="E33" s="17" t="s">
        <v>119</v>
      </c>
      <c r="F33" s="10"/>
      <c r="G33" s="10"/>
      <c r="H33" s="10"/>
      <c r="I33" s="10"/>
      <c r="J33" s="21"/>
      <c r="K33" s="21"/>
      <c r="L33" s="21"/>
      <c r="M33" s="21"/>
      <c r="N33" s="21"/>
      <c r="O33" s="21"/>
      <c r="P33" s="21"/>
    </row>
    <row r="34" customFormat="false" ht="14.25" hidden="false" customHeight="true" outlineLevel="0" collapsed="false">
      <c r="A34" s="22" t="s">
        <v>139</v>
      </c>
      <c r="B34" s="22" t="s">
        <v>143</v>
      </c>
      <c r="C34" s="23" t="s">
        <v>72</v>
      </c>
      <c r="D34" s="23" t="s">
        <v>78</v>
      </c>
      <c r="E34" s="22" t="s">
        <v>119</v>
      </c>
      <c r="F34" s="10"/>
      <c r="G34" s="10"/>
      <c r="H34" s="10"/>
      <c r="I34" s="10"/>
      <c r="J34" s="12" t="n">
        <v>74.5418159322495</v>
      </c>
      <c r="K34" s="12" t="n">
        <v>80.3535749995373</v>
      </c>
      <c r="L34" s="12" t="n">
        <v>80.4475176515038</v>
      </c>
      <c r="M34" s="12" t="n">
        <v>79.8601372048351</v>
      </c>
      <c r="N34" s="12" t="n">
        <v>80.4880950864722</v>
      </c>
      <c r="O34" s="12" t="n">
        <v>79.7599225654393</v>
      </c>
      <c r="P34" s="12" t="n">
        <v>77.1208424846374</v>
      </c>
    </row>
    <row r="35" customFormat="false" ht="14.25" hidden="false" customHeight="true" outlineLevel="0" collapsed="false">
      <c r="A35" s="13" t="s">
        <v>139</v>
      </c>
      <c r="B35" s="13" t="s">
        <v>144</v>
      </c>
      <c r="C35" s="14" t="s">
        <v>72</v>
      </c>
      <c r="D35" s="14" t="s">
        <v>59</v>
      </c>
      <c r="E35" s="13" t="s">
        <v>114</v>
      </c>
      <c r="F35" s="10"/>
      <c r="G35" s="10"/>
      <c r="H35" s="10"/>
      <c r="I35" s="10"/>
      <c r="J35" s="12" t="n">
        <v>25.4581840677505</v>
      </c>
      <c r="K35" s="12" t="n">
        <v>19.6464250004627</v>
      </c>
      <c r="L35" s="12" t="n">
        <v>19.5524823484962</v>
      </c>
      <c r="M35" s="12" t="n">
        <v>20.1398627951649</v>
      </c>
      <c r="N35" s="12" t="n">
        <v>19.5119049135278</v>
      </c>
      <c r="O35" s="12" t="n">
        <v>20.2400774345607</v>
      </c>
      <c r="P35" s="12" t="n">
        <v>22.8791575153626</v>
      </c>
    </row>
    <row r="36" customFormat="false" ht="14.25" hidden="false" customHeight="true" outlineLevel="0" collapsed="false">
      <c r="A36" s="17" t="s">
        <v>139</v>
      </c>
      <c r="B36" s="17" t="s">
        <v>145</v>
      </c>
      <c r="C36" s="18" t="s">
        <v>72</v>
      </c>
      <c r="D36" s="18" t="s">
        <v>59</v>
      </c>
      <c r="E36" s="17" t="s">
        <v>73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customFormat="false" ht="28.5" hidden="false" customHeight="true" outlineLevel="0" collapsed="false">
      <c r="A37" s="8" t="s">
        <v>146</v>
      </c>
      <c r="B37" s="8" t="s">
        <v>147</v>
      </c>
      <c r="C37" s="9" t="s">
        <v>58</v>
      </c>
      <c r="D37" s="9" t="s">
        <v>59</v>
      </c>
      <c r="E37" s="8" t="s">
        <v>148</v>
      </c>
      <c r="F37" s="10" t="n">
        <v>35.1</v>
      </c>
      <c r="G37" s="10"/>
      <c r="H37" s="10"/>
      <c r="I37" s="10"/>
      <c r="J37" s="10"/>
      <c r="K37" s="10"/>
      <c r="L37" s="10"/>
      <c r="M37" s="10"/>
      <c r="N37" s="10"/>
      <c r="O37" s="10" t="n">
        <v>26</v>
      </c>
      <c r="P37" s="10" t="n">
        <v>29.7</v>
      </c>
      <c r="Q37" s="11" t="s">
        <v>149</v>
      </c>
    </row>
    <row r="38" customFormat="false" ht="28.5" hidden="false" customHeight="true" outlineLevel="0" collapsed="false">
      <c r="A38" s="8" t="s">
        <v>146</v>
      </c>
      <c r="B38" s="8" t="s">
        <v>150</v>
      </c>
      <c r="C38" s="9" t="s">
        <v>72</v>
      </c>
      <c r="D38" s="9" t="s">
        <v>78</v>
      </c>
      <c r="E38" s="8" t="s">
        <v>151</v>
      </c>
      <c r="F38" s="10"/>
      <c r="G38" s="10" t="n">
        <v>15.2</v>
      </c>
      <c r="H38" s="10" t="n">
        <v>15.4</v>
      </c>
      <c r="I38" s="10" t="n">
        <v>15.9</v>
      </c>
      <c r="J38" s="10" t="n">
        <v>18.2</v>
      </c>
      <c r="K38" s="10" t="n">
        <v>20.8</v>
      </c>
      <c r="L38" s="10" t="n">
        <v>22.6</v>
      </c>
      <c r="M38" s="10" t="n">
        <v>23.1</v>
      </c>
      <c r="N38" s="10" t="n">
        <v>22.5</v>
      </c>
      <c r="O38" s="10"/>
      <c r="P38" s="10"/>
      <c r="Q38" s="11" t="s">
        <v>152</v>
      </c>
    </row>
    <row r="39" customFormat="false" ht="28.5" hidden="false" customHeight="true" outlineLevel="0" collapsed="false">
      <c r="A39" s="8" t="s">
        <v>146</v>
      </c>
      <c r="B39" s="8" t="s">
        <v>153</v>
      </c>
      <c r="C39" s="9" t="s">
        <v>154</v>
      </c>
      <c r="D39" s="9" t="s">
        <v>78</v>
      </c>
      <c r="E39" s="8" t="s">
        <v>155</v>
      </c>
      <c r="F39" s="10" t="n">
        <v>477</v>
      </c>
      <c r="G39" s="10" t="n">
        <v>442</v>
      </c>
      <c r="H39" s="10" t="n">
        <v>400</v>
      </c>
      <c r="I39" s="10" t="n">
        <v>370</v>
      </c>
      <c r="J39" s="10" t="n">
        <v>330</v>
      </c>
      <c r="K39" s="10" t="n">
        <v>300</v>
      </c>
      <c r="L39" s="10" t="n">
        <v>290</v>
      </c>
      <c r="M39" s="10" t="n">
        <v>250</v>
      </c>
      <c r="N39" s="10" t="n">
        <v>183</v>
      </c>
      <c r="O39" s="10" t="n">
        <v>185</v>
      </c>
      <c r="P39" s="10" t="n">
        <v>170</v>
      </c>
      <c r="Q39" s="11" t="s">
        <v>156</v>
      </c>
    </row>
    <row r="40" customFormat="false" ht="28.5" hidden="false" customHeight="true" outlineLevel="0" collapsed="false">
      <c r="A40" s="8" t="s">
        <v>146</v>
      </c>
      <c r="B40" s="8" t="s">
        <v>157</v>
      </c>
      <c r="C40" s="9" t="s">
        <v>72</v>
      </c>
      <c r="D40" s="9" t="s">
        <v>59</v>
      </c>
      <c r="E40" s="8" t="s">
        <v>158</v>
      </c>
      <c r="F40" s="10" t="n">
        <v>2.61</v>
      </c>
      <c r="G40" s="10" t="n">
        <v>2.71</v>
      </c>
      <c r="H40" s="10" t="n">
        <v>2.79</v>
      </c>
      <c r="I40" s="10" t="n">
        <v>2.59</v>
      </c>
      <c r="J40" s="10" t="n">
        <v>2.48</v>
      </c>
      <c r="K40" s="10" t="n">
        <v>3.27</v>
      </c>
      <c r="L40" s="10" t="n">
        <v>3.09</v>
      </c>
      <c r="M40" s="10" t="n">
        <v>2.93</v>
      </c>
      <c r="N40" s="10"/>
      <c r="O40" s="10"/>
      <c r="P40" s="10"/>
      <c r="Q40" s="11" t="s">
        <v>159</v>
      </c>
    </row>
    <row r="41" customFormat="false" ht="28.5" hidden="false" customHeight="true" outlineLevel="0" collapsed="false">
      <c r="A41" s="8" t="s">
        <v>146</v>
      </c>
      <c r="B41" s="8" t="s">
        <v>160</v>
      </c>
      <c r="C41" s="9" t="s">
        <v>161</v>
      </c>
      <c r="D41" s="9" t="s">
        <v>59</v>
      </c>
      <c r="E41" s="8" t="s">
        <v>162</v>
      </c>
      <c r="F41" s="10"/>
      <c r="G41" s="10"/>
      <c r="H41" s="10" t="n">
        <v>0.38</v>
      </c>
      <c r="I41" s="10"/>
      <c r="J41" s="10"/>
      <c r="K41" s="10"/>
      <c r="L41" s="10"/>
      <c r="M41" s="10" t="n">
        <v>1.02</v>
      </c>
      <c r="N41" s="10"/>
      <c r="O41" s="10"/>
      <c r="P41" s="10"/>
    </row>
    <row r="42" customFormat="false" ht="28.5" hidden="false" customHeight="true" outlineLevel="0" collapsed="false">
      <c r="A42" s="8" t="s">
        <v>146</v>
      </c>
      <c r="B42" s="8" t="s">
        <v>163</v>
      </c>
      <c r="C42" s="9" t="s">
        <v>72</v>
      </c>
      <c r="D42" s="9" t="s">
        <v>59</v>
      </c>
      <c r="E42" s="8" t="s">
        <v>155</v>
      </c>
      <c r="F42" s="10" t="n">
        <v>45</v>
      </c>
      <c r="G42" s="10" t="n">
        <v>42</v>
      </c>
      <c r="H42" s="10" t="n">
        <v>50</v>
      </c>
      <c r="I42" s="10" t="n">
        <v>51</v>
      </c>
      <c r="J42" s="10" t="n">
        <v>44</v>
      </c>
      <c r="K42" s="10" t="n">
        <v>36</v>
      </c>
      <c r="L42" s="10" t="n">
        <v>37</v>
      </c>
      <c r="M42" s="10" t="n">
        <v>37</v>
      </c>
      <c r="N42" s="10" t="n">
        <v>50</v>
      </c>
      <c r="O42" s="10"/>
      <c r="P42" s="10"/>
      <c r="Q42" s="1" t="s">
        <v>164</v>
      </c>
    </row>
    <row r="44" customFormat="false" ht="14.25" hidden="false" customHeight="true" outlineLevel="0" collapsed="false">
      <c r="F44" s="24" t="str">
        <f aca="false">+F1</f>
        <v>2015</v>
      </c>
      <c r="G44" s="24" t="str">
        <f aca="false">+G1</f>
        <v>2016</v>
      </c>
      <c r="H44" s="24" t="str">
        <f aca="false">+H1</f>
        <v>2017</v>
      </c>
      <c r="I44" s="24" t="str">
        <f aca="false">+I1</f>
        <v>2018</v>
      </c>
      <c r="J44" s="24" t="str">
        <f aca="false">+J1</f>
        <v>2019</v>
      </c>
      <c r="K44" s="24" t="str">
        <f aca="false">+K1</f>
        <v>2020</v>
      </c>
      <c r="L44" s="24" t="str">
        <f aca="false">+L1</f>
        <v>2021</v>
      </c>
      <c r="M44" s="24" t="str">
        <f aca="false">+M1</f>
        <v>2022</v>
      </c>
      <c r="N44" s="24" t="str">
        <f aca="false">+N1</f>
        <v>2023</v>
      </c>
      <c r="O44" s="24" t="str">
        <f aca="false">+O1</f>
        <v>2024</v>
      </c>
      <c r="P44" s="24" t="str">
        <f aca="false">+P1</f>
        <v>2025</v>
      </c>
    </row>
    <row r="45" customFormat="false" ht="14.25" hidden="false" customHeight="true" outlineLevel="0" collapsed="false">
      <c r="E45" s="1" t="s">
        <v>165</v>
      </c>
      <c r="F45" s="25" t="n">
        <v>24419.4945769281</v>
      </c>
      <c r="G45" s="25" t="n">
        <v>24352.5421611924</v>
      </c>
      <c r="H45" s="25" t="n">
        <v>18227.7538926888</v>
      </c>
      <c r="I45" s="25" t="n">
        <v>16170.2444812668</v>
      </c>
      <c r="J45" s="25" t="n">
        <v>17211.4961132013</v>
      </c>
      <c r="K45" s="25" t="n">
        <v>14878.5291185065</v>
      </c>
      <c r="L45" s="25" t="n">
        <v>15508.1002773204</v>
      </c>
      <c r="M45" s="25" t="n">
        <v>14660.6030086975</v>
      </c>
      <c r="N45" s="25" t="n">
        <v>14726.5738166091</v>
      </c>
      <c r="O45" s="25" t="n">
        <v>15767.5624666015</v>
      </c>
      <c r="P45" s="25" t="n">
        <v>15236.538632391</v>
      </c>
    </row>
    <row r="46" customFormat="false" ht="14.25" hidden="false" customHeight="true" outlineLevel="0" collapsed="false">
      <c r="E46" s="1" t="s">
        <v>166</v>
      </c>
      <c r="F46" s="25" t="n">
        <v>37968.7649125352</v>
      </c>
      <c r="G46" s="25" t="n">
        <v>25657.8871846653</v>
      </c>
      <c r="H46" s="25" t="n">
        <v>28256.5372558004</v>
      </c>
      <c r="I46" s="25" t="n">
        <v>25887.3556074086</v>
      </c>
      <c r="J46" s="25" t="n">
        <v>22299.3286511375</v>
      </c>
      <c r="K46" s="25" t="n">
        <v>15145.6874724356</v>
      </c>
      <c r="L46" s="25" t="n">
        <v>18845.2115316229</v>
      </c>
      <c r="M46" s="25" t="n">
        <v>28564.1993647171</v>
      </c>
      <c r="N46" s="25" t="n">
        <v>23687.8320623357</v>
      </c>
      <c r="O46" s="25" t="n">
        <v>22682.5252778244</v>
      </c>
      <c r="P46" s="25" t="n">
        <v>17595.331985857</v>
      </c>
    </row>
    <row r="47" customFormat="false" ht="14.25" hidden="false" customHeight="true" outlineLevel="0" collapsed="false">
      <c r="E47" s="26" t="s">
        <v>167</v>
      </c>
      <c r="F47" s="27" t="n">
        <f aca="false">+(F45*12)/F46</f>
        <v>7.71776315606183</v>
      </c>
      <c r="G47" s="27" t="n">
        <f aca="false">+(G45*12)/G46</f>
        <v>11.389499993942</v>
      </c>
      <c r="H47" s="27" t="n">
        <f aca="false">+(H45*12)/H46</f>
        <v>7.74097139830412</v>
      </c>
      <c r="I47" s="27" t="n">
        <f aca="false">+(I45*12)/I46</f>
        <v>7.49566455214411</v>
      </c>
      <c r="J47" s="27" t="n">
        <f aca="false">+(J45*12)/J46</f>
        <v>9.2620704681116</v>
      </c>
      <c r="K47" s="27" t="n">
        <f aca="false">+(K45*12)/K46</f>
        <v>11.7883291694099</v>
      </c>
      <c r="L47" s="27" t="n">
        <f aca="false">+(L45*12)/L46</f>
        <v>9.8750392382472</v>
      </c>
      <c r="M47" s="27" t="n">
        <f aca="false">+(M45*12)/M46</f>
        <v>6.15901163054049</v>
      </c>
      <c r="N47" s="27" t="n">
        <f aca="false">+(N45*12)/N46</f>
        <v>7.46032331427649</v>
      </c>
      <c r="O47" s="27" t="n">
        <f aca="false">+(O45*12)/O46</f>
        <v>8.34169684731709</v>
      </c>
      <c r="P47" s="27" t="n">
        <f aca="false">+(P45*12)/P46</f>
        <v>10.3913051334102</v>
      </c>
    </row>
  </sheetData>
  <hyperlinks>
    <hyperlink ref="Q2" r:id="rId2" display="Angola - Corruption Perceptions Index 2023 | countryeconomy.com"/>
    <hyperlink ref="Q3" r:id="rId3" display="Angola's Income Inequality (2018) – Trends &amp; Historical Data"/>
    <hyperlink ref="Q6" r:id="rId4" display="Internet Users in Angola | 2025 Trends &amp; Rankings | World View Data"/>
    <hyperlink ref="Q7" r:id="rId5" display="Repositório de Conhecimento Aberto"/>
    <hyperlink ref="Q10" r:id="rId6" display="PUBLIC DEBT STATISTICAL BULLETIN AS OF []"/>
    <hyperlink ref="Q14" r:id="rId7" display="Relatório do Desenvolvimento Humano (RDH) 2023-2024 | United Nations Development Programme"/>
    <hyperlink ref="Q15" r:id="rId8" display="Life Expectancy at Birth, Total for Angola (SPDYNLE00INAGO) | FRED | St. Louis Fed"/>
    <hyperlink ref="Q20" r:id="rId9" display="UNdata | record view | Poverty headcount ratio at $2.15 a day (2017 PPP) (% of population)"/>
    <hyperlink ref="Q21" r:id="rId10" display="Gini index - Angola | Data"/>
    <hyperlink ref="Q23" r:id="rId11" display="Angola - Global Gender Gap Index 2024 | countryeconomy.com"/>
    <hyperlink ref="Q24" r:id="rId12" display="GNI per capita, Atlas method (current US$) - Angola | Data"/>
    <hyperlink ref="Q25" r:id="rId13" display="Angola - Access To Electricity (% Of Population) - 2026 Data 2027 Forecast 1990-2023 Historical"/>
    <hyperlink ref="Q26" r:id="rId14" display="Access to Basic Drinking Water in Angola | 2025 Trends &amp; Rankings | World View Data"/>
    <hyperlink ref="Q27" r:id="rId15" display="People using at least basic sanitation services (% of population) - Angola | Data"/>
    <hyperlink ref="Q29" r:id="rId16" display="Table Data - Internet users for Angola | FRED | St. Louis Fed"/>
    <hyperlink ref="Q30" r:id="rId17" display="World Bank Document"/>
    <hyperlink ref="Q37" r:id="rId18" display="Indicadores Segurança Alimentar"/>
    <hyperlink ref="Q38" r:id="rId19" display="Angola Prevalence of undernourishment - data, chart | TheGlobalEconomy.com"/>
    <hyperlink ref="Q39" r:id="rId20" display="Lifetime risk of maternal death (%) - Angola | Data"/>
    <hyperlink ref="Q40" r:id="rId21" display="Angola Health spending as percent of GDP - data, chart | TheGlobalEconomy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EADA"/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515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3" min="2" style="1" width="18"/>
    <col collapsed="false" customWidth="true" hidden="false" outlineLevel="0" max="4" min="4" style="1" width="15"/>
    <col collapsed="false" customWidth="true" hidden="false" outlineLevel="0" max="5" min="5" style="1" width="20"/>
  </cols>
  <sheetData>
    <row r="1" customFormat="false" ht="17.25" hidden="false" customHeight="true" outlineLevel="0" collapsed="false">
      <c r="A1" s="28" t="s">
        <v>168</v>
      </c>
      <c r="B1" s="28"/>
      <c r="C1" s="28"/>
      <c r="D1" s="28"/>
      <c r="E1" s="28"/>
      <c r="F1" s="28"/>
      <c r="G1" s="28"/>
      <c r="H1" s="28"/>
    </row>
    <row r="3" customFormat="false" ht="14.25" hidden="false" customHeight="true" outlineLevel="0" collapsed="false">
      <c r="A3" s="7" t="s">
        <v>41</v>
      </c>
      <c r="B3" s="7" t="s">
        <v>169</v>
      </c>
      <c r="C3" s="7" t="s">
        <v>170</v>
      </c>
      <c r="D3" s="7" t="s">
        <v>171</v>
      </c>
      <c r="E3" s="7" t="s">
        <v>172</v>
      </c>
    </row>
    <row r="4" customFormat="false" ht="14.25" hidden="false" customHeight="true" outlineLevel="0" collapsed="false">
      <c r="A4" s="29" t="s">
        <v>57</v>
      </c>
      <c r="B4" s="10" t="n">
        <v>0</v>
      </c>
      <c r="C4" s="10" t="n">
        <v>100</v>
      </c>
      <c r="D4" s="10" t="n">
        <v>35</v>
      </c>
      <c r="E4" s="10" t="n">
        <v>1</v>
      </c>
    </row>
    <row r="5" customFormat="false" ht="14.25" hidden="false" customHeight="true" outlineLevel="0" collapsed="false">
      <c r="A5" s="29" t="s">
        <v>62</v>
      </c>
      <c r="B5" s="10" t="n">
        <v>-2.5</v>
      </c>
      <c r="C5" s="10" t="n">
        <v>2.5</v>
      </c>
      <c r="D5" s="10" t="n">
        <v>0</v>
      </c>
      <c r="E5" s="10" t="n">
        <v>1</v>
      </c>
    </row>
    <row r="6" customFormat="false" ht="14.25" hidden="false" customHeight="true" outlineLevel="0" collapsed="false">
      <c r="A6" s="29" t="s">
        <v>66</v>
      </c>
      <c r="B6" s="10" t="n">
        <v>-2.5</v>
      </c>
      <c r="C6" s="10" t="n">
        <v>2.5</v>
      </c>
      <c r="D6" s="10" t="n">
        <v>0</v>
      </c>
      <c r="E6" s="10" t="n">
        <v>1</v>
      </c>
    </row>
    <row r="7" customFormat="false" ht="14.25" hidden="false" customHeight="true" outlineLevel="0" collapsed="false">
      <c r="A7" s="29" t="s">
        <v>67</v>
      </c>
      <c r="B7" s="10" t="n">
        <v>-2.5</v>
      </c>
      <c r="C7" s="10" t="n">
        <v>2.5</v>
      </c>
      <c r="D7" s="10" t="n">
        <v>0</v>
      </c>
      <c r="E7" s="10" t="n">
        <v>1</v>
      </c>
    </row>
    <row r="8" customFormat="false" ht="14.25" hidden="false" customHeight="true" outlineLevel="0" collapsed="false">
      <c r="A8" s="29" t="s">
        <v>68</v>
      </c>
      <c r="B8" s="10" t="n">
        <v>0</v>
      </c>
      <c r="C8" s="10" t="n">
        <v>100</v>
      </c>
      <c r="D8" s="10" t="n">
        <v>55</v>
      </c>
      <c r="E8" s="10" t="n">
        <v>1</v>
      </c>
    </row>
    <row r="9" customFormat="false" ht="14.25" hidden="false" customHeight="true" outlineLevel="0" collapsed="false">
      <c r="A9" s="29" t="s">
        <v>71</v>
      </c>
      <c r="B9" s="10" t="n">
        <v>-10</v>
      </c>
      <c r="C9" s="10" t="n">
        <v>15</v>
      </c>
      <c r="D9" s="10" t="n">
        <v>5</v>
      </c>
      <c r="E9" s="10" t="n">
        <v>1</v>
      </c>
    </row>
    <row r="10" customFormat="false" ht="14.25" hidden="false" customHeight="true" outlineLevel="0" collapsed="false">
      <c r="A10" s="29" t="s">
        <v>75</v>
      </c>
      <c r="B10" s="10" t="n">
        <v>500</v>
      </c>
      <c r="C10" s="10" t="n">
        <v>15000</v>
      </c>
      <c r="D10" s="10" t="n">
        <v>5000</v>
      </c>
      <c r="E10" s="10" t="n">
        <v>1</v>
      </c>
    </row>
    <row r="11" customFormat="false" ht="14.25" hidden="false" customHeight="true" outlineLevel="0" collapsed="false">
      <c r="A11" s="29" t="s">
        <v>77</v>
      </c>
      <c r="B11" s="10" t="n">
        <v>0</v>
      </c>
      <c r="C11" s="10" t="n">
        <v>50</v>
      </c>
      <c r="D11" s="10" t="n">
        <v>10</v>
      </c>
      <c r="E11" s="10" t="n">
        <v>1</v>
      </c>
    </row>
    <row r="12" customFormat="false" ht="14.25" hidden="false" customHeight="true" outlineLevel="0" collapsed="false">
      <c r="A12" s="29" t="s">
        <v>80</v>
      </c>
      <c r="B12" s="10" t="n">
        <v>0</v>
      </c>
      <c r="C12" s="10" t="n">
        <v>150</v>
      </c>
      <c r="D12" s="10" t="n">
        <v>60</v>
      </c>
      <c r="E12" s="10" t="n">
        <v>1</v>
      </c>
    </row>
    <row r="13" customFormat="false" ht="14.25" hidden="false" customHeight="true" outlineLevel="0" collapsed="false">
      <c r="A13" s="29" t="s">
        <v>83</v>
      </c>
      <c r="B13" s="10" t="n">
        <v>-15</v>
      </c>
      <c r="C13" s="10" t="n">
        <v>10</v>
      </c>
      <c r="D13" s="10" t="n">
        <v>0</v>
      </c>
      <c r="E13" s="10" t="n">
        <v>1</v>
      </c>
    </row>
    <row r="14" customFormat="false" ht="14.25" hidden="false" customHeight="true" outlineLevel="0" collapsed="false">
      <c r="A14" s="29" t="s">
        <v>84</v>
      </c>
      <c r="B14" s="10" t="n">
        <v>0</v>
      </c>
      <c r="C14" s="10" t="n">
        <v>10</v>
      </c>
      <c r="D14" s="10" t="n">
        <v>3</v>
      </c>
      <c r="E14" s="10" t="n">
        <v>1</v>
      </c>
    </row>
    <row r="15" customFormat="false" ht="14.25" hidden="false" customHeight="true" outlineLevel="0" collapsed="false">
      <c r="A15" s="29" t="s">
        <v>86</v>
      </c>
      <c r="B15" s="10" t="n">
        <v>0</v>
      </c>
      <c r="C15" s="10" t="n">
        <v>12</v>
      </c>
      <c r="D15" s="10" t="n">
        <v>6</v>
      </c>
      <c r="E15" s="10" t="n">
        <v>1</v>
      </c>
    </row>
    <row r="16" customFormat="false" ht="14.25" hidden="false" customHeight="true" outlineLevel="0" collapsed="false">
      <c r="A16" s="29" t="s">
        <v>90</v>
      </c>
      <c r="B16" s="10" t="n">
        <v>0</v>
      </c>
      <c r="C16" s="10" t="n">
        <v>1</v>
      </c>
      <c r="D16" s="10" t="n">
        <v>0.6</v>
      </c>
      <c r="E16" s="10" t="n">
        <v>1</v>
      </c>
    </row>
    <row r="17" customFormat="false" ht="14.25" hidden="false" customHeight="true" outlineLevel="0" collapsed="false">
      <c r="A17" s="29" t="s">
        <v>94</v>
      </c>
      <c r="B17" s="10" t="n">
        <v>40</v>
      </c>
      <c r="C17" s="10" t="n">
        <v>85</v>
      </c>
      <c r="D17" s="10" t="n">
        <v>65</v>
      </c>
      <c r="E17" s="10" t="n">
        <v>1</v>
      </c>
    </row>
    <row r="18" customFormat="false" ht="14.25" hidden="false" customHeight="true" outlineLevel="0" collapsed="false">
      <c r="A18" s="29" t="s">
        <v>98</v>
      </c>
      <c r="B18" s="10" t="n">
        <v>0</v>
      </c>
      <c r="C18" s="10" t="n">
        <v>100</v>
      </c>
      <c r="D18" s="10" t="n">
        <v>75</v>
      </c>
      <c r="E18" s="10" t="n">
        <v>1</v>
      </c>
    </row>
    <row r="19" customFormat="false" ht="14.25" hidden="false" customHeight="true" outlineLevel="0" collapsed="false">
      <c r="A19" s="29" t="s">
        <v>100</v>
      </c>
      <c r="B19" s="10" t="n">
        <v>0</v>
      </c>
      <c r="C19" s="10" t="n">
        <v>100</v>
      </c>
      <c r="D19" s="10" t="n">
        <v>95</v>
      </c>
      <c r="E19" s="10" t="n">
        <v>1</v>
      </c>
    </row>
    <row r="20" customFormat="false" ht="14.25" hidden="false" customHeight="true" outlineLevel="0" collapsed="false">
      <c r="A20" s="29" t="s">
        <v>102</v>
      </c>
      <c r="B20" s="10" t="n">
        <v>0</v>
      </c>
      <c r="C20" s="10" t="n">
        <v>15</v>
      </c>
      <c r="D20" s="10" t="n">
        <v>8</v>
      </c>
      <c r="E20" s="10" t="n">
        <v>1</v>
      </c>
    </row>
    <row r="21" customFormat="false" ht="14.25" hidden="false" customHeight="true" outlineLevel="0" collapsed="false">
      <c r="A21" s="29" t="s">
        <v>104</v>
      </c>
      <c r="B21" s="10" t="n">
        <v>0</v>
      </c>
      <c r="C21" s="10" t="n">
        <v>150</v>
      </c>
      <c r="D21" s="10" t="n">
        <v>40</v>
      </c>
      <c r="E21" s="10" t="n">
        <v>1</v>
      </c>
    </row>
    <row r="22" customFormat="false" ht="14.25" hidden="false" customHeight="true" outlineLevel="0" collapsed="false">
      <c r="A22" s="29" t="s">
        <v>108</v>
      </c>
      <c r="B22" s="10" t="n">
        <v>0</v>
      </c>
      <c r="C22" s="10" t="n">
        <v>80</v>
      </c>
      <c r="D22" s="10" t="n">
        <v>30</v>
      </c>
      <c r="E22" s="10" t="n">
        <v>1</v>
      </c>
    </row>
    <row r="23" customFormat="false" ht="14.25" hidden="false" customHeight="true" outlineLevel="0" collapsed="false">
      <c r="A23" s="29" t="s">
        <v>111</v>
      </c>
      <c r="B23" s="10" t="n">
        <v>0</v>
      </c>
      <c r="C23" s="10" t="n">
        <v>70</v>
      </c>
      <c r="D23" s="10" t="n">
        <v>40</v>
      </c>
      <c r="E23" s="10" t="n">
        <v>1</v>
      </c>
    </row>
    <row r="24" customFormat="false" ht="14.25" hidden="false" customHeight="true" outlineLevel="0" collapsed="false">
      <c r="A24" s="29" t="s">
        <v>113</v>
      </c>
      <c r="B24" s="10" t="n">
        <v>0</v>
      </c>
      <c r="C24" s="10" t="n">
        <v>100</v>
      </c>
      <c r="D24" s="10" t="n">
        <v>40</v>
      </c>
      <c r="E24" s="10" t="n">
        <v>1</v>
      </c>
    </row>
    <row r="25" customFormat="false" ht="14.25" hidden="false" customHeight="true" outlineLevel="0" collapsed="false">
      <c r="A25" s="29" t="s">
        <v>115</v>
      </c>
      <c r="B25" s="10" t="n">
        <v>0</v>
      </c>
      <c r="C25" s="10" t="n">
        <v>1</v>
      </c>
      <c r="D25" s="10" t="n">
        <v>0.7</v>
      </c>
      <c r="E25" s="10" t="n">
        <v>1</v>
      </c>
    </row>
    <row r="26" customFormat="false" ht="14.25" hidden="false" customHeight="true" outlineLevel="0" collapsed="false">
      <c r="A26" s="29" t="s">
        <v>118</v>
      </c>
      <c r="B26" s="10" t="n">
        <v>500</v>
      </c>
      <c r="C26" s="10" t="n">
        <v>15000</v>
      </c>
      <c r="D26" s="10" t="n">
        <v>4500</v>
      </c>
      <c r="E26" s="10" t="n">
        <v>1</v>
      </c>
    </row>
    <row r="27" customFormat="false" ht="14.25" hidden="false" customHeight="true" outlineLevel="0" collapsed="false">
      <c r="A27" s="29" t="s">
        <v>122</v>
      </c>
      <c r="B27" s="10" t="n">
        <v>0</v>
      </c>
      <c r="C27" s="10" t="n">
        <v>100</v>
      </c>
      <c r="D27" s="10" t="n">
        <v>60</v>
      </c>
      <c r="E27" s="10" t="n">
        <v>1</v>
      </c>
    </row>
    <row r="28" customFormat="false" ht="14.25" hidden="false" customHeight="true" outlineLevel="0" collapsed="false">
      <c r="A28" s="29" t="s">
        <v>125</v>
      </c>
      <c r="B28" s="10" t="n">
        <v>0</v>
      </c>
      <c r="C28" s="10" t="n">
        <v>100</v>
      </c>
      <c r="D28" s="10" t="n">
        <v>70</v>
      </c>
      <c r="E28" s="10" t="n">
        <v>1</v>
      </c>
    </row>
    <row r="29" customFormat="false" ht="14.25" hidden="false" customHeight="true" outlineLevel="0" collapsed="false">
      <c r="A29" s="29" t="s">
        <v>128</v>
      </c>
      <c r="B29" s="10" t="n">
        <v>0</v>
      </c>
      <c r="C29" s="10" t="n">
        <v>100</v>
      </c>
      <c r="D29" s="10" t="n">
        <v>60</v>
      </c>
      <c r="E29" s="10" t="n">
        <v>1</v>
      </c>
    </row>
    <row r="30" customFormat="false" ht="14.25" hidden="false" customHeight="true" outlineLevel="0" collapsed="false">
      <c r="A30" s="29" t="s">
        <v>130</v>
      </c>
      <c r="B30" s="10" t="n">
        <v>0</v>
      </c>
      <c r="C30" s="10" t="n">
        <v>100</v>
      </c>
      <c r="D30" s="10" t="n">
        <v>70</v>
      </c>
      <c r="E30" s="10" t="n">
        <v>1</v>
      </c>
    </row>
    <row r="31" customFormat="false" ht="14.25" hidden="false" customHeight="true" outlineLevel="0" collapsed="false">
      <c r="A31" s="29" t="s">
        <v>133</v>
      </c>
      <c r="B31" s="10" t="n">
        <v>0</v>
      </c>
      <c r="C31" s="10" t="n">
        <v>100</v>
      </c>
      <c r="D31" s="10" t="n">
        <v>40</v>
      </c>
      <c r="E31" s="10" t="n">
        <v>1</v>
      </c>
    </row>
    <row r="32" customFormat="false" ht="14.25" hidden="false" customHeight="true" outlineLevel="0" collapsed="false">
      <c r="A32" s="29" t="s">
        <v>135</v>
      </c>
      <c r="B32" s="10" t="n">
        <v>0</v>
      </c>
      <c r="C32" s="10" t="n">
        <v>100</v>
      </c>
      <c r="D32" s="10" t="n">
        <v>30</v>
      </c>
      <c r="E32" s="10" t="n">
        <v>1</v>
      </c>
    </row>
    <row r="33" customFormat="false" ht="14.25" hidden="false" customHeight="true" outlineLevel="0" collapsed="false">
      <c r="A33" s="29" t="s">
        <v>140</v>
      </c>
      <c r="B33" s="10" t="n">
        <v>0</v>
      </c>
      <c r="C33" s="10" t="n">
        <v>100</v>
      </c>
      <c r="D33" s="10" t="n">
        <v>65</v>
      </c>
      <c r="E33" s="10" t="n">
        <v>1</v>
      </c>
    </row>
    <row r="34" customFormat="false" ht="14.25" hidden="false" customHeight="true" outlineLevel="0" collapsed="false">
      <c r="A34" s="29" t="s">
        <v>141</v>
      </c>
      <c r="B34" s="10" t="n">
        <v>0</v>
      </c>
      <c r="C34" s="10" t="n">
        <v>50</v>
      </c>
      <c r="D34" s="10" t="n">
        <v>20</v>
      </c>
      <c r="E34" s="10" t="n">
        <v>1</v>
      </c>
    </row>
    <row r="35" customFormat="false" ht="14.25" hidden="false" customHeight="true" outlineLevel="0" collapsed="false">
      <c r="A35" s="29" t="s">
        <v>173</v>
      </c>
      <c r="B35" s="10" t="n">
        <v>0</v>
      </c>
      <c r="C35" s="10" t="n">
        <v>70</v>
      </c>
      <c r="D35" s="10" t="n">
        <v>30</v>
      </c>
      <c r="E35" s="10" t="n">
        <v>1</v>
      </c>
    </row>
    <row r="36" customFormat="false" ht="14.25" hidden="false" customHeight="true" outlineLevel="0" collapsed="false">
      <c r="A36" s="29" t="s">
        <v>143</v>
      </c>
      <c r="B36" s="10" t="n">
        <v>0</v>
      </c>
      <c r="C36" s="10" t="n">
        <v>100</v>
      </c>
      <c r="D36" s="10" t="n">
        <v>50</v>
      </c>
      <c r="E36" s="10" t="n">
        <v>1</v>
      </c>
    </row>
    <row r="37" customFormat="false" ht="14.25" hidden="false" customHeight="true" outlineLevel="0" collapsed="false">
      <c r="A37" s="29" t="s">
        <v>144</v>
      </c>
      <c r="B37" s="10" t="n">
        <v>0</v>
      </c>
      <c r="C37" s="10" t="n">
        <v>100</v>
      </c>
      <c r="D37" s="10" t="n">
        <v>40</v>
      </c>
      <c r="E37" s="10" t="n">
        <v>1</v>
      </c>
    </row>
    <row r="38" customFormat="false" ht="14.25" hidden="false" customHeight="true" outlineLevel="0" collapsed="false">
      <c r="A38" s="29" t="s">
        <v>145</v>
      </c>
      <c r="B38" s="10" t="n">
        <v>-5</v>
      </c>
      <c r="C38" s="10" t="n">
        <v>10</v>
      </c>
      <c r="D38" s="10" t="n">
        <v>3</v>
      </c>
      <c r="E38" s="10" t="n">
        <v>1</v>
      </c>
    </row>
    <row r="39" customFormat="false" ht="14.25" hidden="false" customHeight="true" outlineLevel="0" collapsed="false">
      <c r="A39" s="29" t="s">
        <v>147</v>
      </c>
      <c r="B39" s="10" t="n">
        <v>0</v>
      </c>
      <c r="C39" s="10" t="n">
        <v>100</v>
      </c>
      <c r="D39" s="10" t="n">
        <v>50</v>
      </c>
      <c r="E39" s="10" t="n">
        <v>1</v>
      </c>
    </row>
    <row r="40" customFormat="false" ht="14.25" hidden="false" customHeight="true" outlineLevel="0" collapsed="false">
      <c r="A40" s="29" t="s">
        <v>150</v>
      </c>
      <c r="B40" s="10" t="n">
        <v>0</v>
      </c>
      <c r="C40" s="10" t="n">
        <v>50</v>
      </c>
      <c r="D40" s="10" t="n">
        <v>15</v>
      </c>
      <c r="E40" s="10" t="n">
        <v>1</v>
      </c>
    </row>
    <row r="41" customFormat="false" ht="14.25" hidden="false" customHeight="true" outlineLevel="0" collapsed="false">
      <c r="A41" s="29" t="s">
        <v>153</v>
      </c>
      <c r="B41" s="10" t="n">
        <v>0</v>
      </c>
      <c r="C41" s="10" t="n">
        <v>1000</v>
      </c>
      <c r="D41" s="10" t="n">
        <v>300</v>
      </c>
      <c r="E41" s="10" t="n">
        <v>1</v>
      </c>
    </row>
    <row r="42" customFormat="false" ht="14.25" hidden="false" customHeight="true" outlineLevel="0" collapsed="false">
      <c r="A42" s="29" t="s">
        <v>157</v>
      </c>
      <c r="B42" s="10" t="n">
        <v>0</v>
      </c>
      <c r="C42" s="10" t="n">
        <v>15</v>
      </c>
      <c r="D42" s="10" t="n">
        <v>5</v>
      </c>
      <c r="E42" s="10" t="n">
        <v>1</v>
      </c>
    </row>
    <row r="43" customFormat="false" ht="14.25" hidden="false" customHeight="true" outlineLevel="0" collapsed="false">
      <c r="A43" s="29" t="s">
        <v>160</v>
      </c>
      <c r="B43" s="10" t="n">
        <v>0</v>
      </c>
      <c r="C43" s="10" t="n">
        <v>10</v>
      </c>
      <c r="D43" s="10" t="n">
        <v>2</v>
      </c>
      <c r="E43" s="10" t="n">
        <v>1</v>
      </c>
    </row>
    <row r="44" customFormat="false" ht="14.25" hidden="false" customHeight="true" outlineLevel="0" collapsed="false">
      <c r="A44" s="29" t="s">
        <v>163</v>
      </c>
      <c r="B44" s="10" t="n">
        <v>0</v>
      </c>
      <c r="C44" s="10" t="n">
        <v>100</v>
      </c>
      <c r="D44" s="10" t="n">
        <v>80</v>
      </c>
      <c r="E44" s="10" t="n">
        <v>1</v>
      </c>
    </row>
    <row r="46" customFormat="false" ht="14.25" hidden="false" customHeight="true" outlineLevel="0" collapsed="false">
      <c r="A46" s="6" t="s">
        <v>174</v>
      </c>
      <c r="B46" s="30" t="n">
        <v>0.5</v>
      </c>
    </row>
    <row r="47" customFormat="false" ht="14.25" hidden="false" customHeight="true" outlineLevel="0" collapsed="false">
      <c r="A47" s="6" t="s">
        <v>175</v>
      </c>
      <c r="B47" s="30" t="n">
        <v>4</v>
      </c>
    </row>
    <row r="50" customFormat="false" ht="15" hidden="false" customHeight="true" outlineLevel="0" collapsed="false">
      <c r="A50" s="4" t="s">
        <v>176</v>
      </c>
    </row>
    <row r="51" customFormat="false" ht="14.25" hidden="false" customHeight="true" outlineLevel="0" collapsed="false">
      <c r="A51" s="31" t="s">
        <v>40</v>
      </c>
      <c r="B51" s="31" t="s">
        <v>177</v>
      </c>
    </row>
    <row r="52" customFormat="false" ht="14.25" hidden="false" customHeight="true" outlineLevel="0" collapsed="false">
      <c r="A52" s="32" t="s">
        <v>178</v>
      </c>
      <c r="B52" s="33" t="n">
        <v>1</v>
      </c>
    </row>
    <row r="53" customFormat="false" ht="14.25" hidden="false" customHeight="true" outlineLevel="0" collapsed="false">
      <c r="A53" s="32" t="s">
        <v>179</v>
      </c>
      <c r="B53" s="33" t="n">
        <v>1</v>
      </c>
    </row>
    <row r="54" customFormat="false" ht="14.25" hidden="false" customHeight="true" outlineLevel="0" collapsed="false">
      <c r="A54" s="32" t="s">
        <v>89</v>
      </c>
      <c r="B54" s="33" t="n">
        <v>1</v>
      </c>
    </row>
    <row r="55" customFormat="false" ht="14.25" hidden="false" customHeight="true" outlineLevel="0" collapsed="false">
      <c r="A55" s="32" t="s">
        <v>107</v>
      </c>
      <c r="B55" s="33" t="n">
        <v>1</v>
      </c>
    </row>
    <row r="56" customFormat="false" ht="14.25" hidden="false" customHeight="true" outlineLevel="0" collapsed="false">
      <c r="A56" s="32" t="s">
        <v>121</v>
      </c>
      <c r="B56" s="33" t="n">
        <v>1</v>
      </c>
    </row>
    <row r="57" customFormat="false" ht="14.25" hidden="false" customHeight="true" outlineLevel="0" collapsed="false">
      <c r="A57" s="32" t="s">
        <v>180</v>
      </c>
      <c r="B57" s="33" t="n">
        <v>1</v>
      </c>
    </row>
    <row r="58" customFormat="false" ht="14.25" hidden="false" customHeight="true" outlineLevel="0" collapsed="false">
      <c r="A58" s="32" t="s">
        <v>181</v>
      </c>
      <c r="B58" s="33" t="n">
        <v>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BEEF4"/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53515625" defaultRowHeight="14.2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0"/>
    <col collapsed="false" customWidth="true" hidden="false" outlineLevel="0" max="13" min="3" style="1" width="12"/>
  </cols>
  <sheetData>
    <row r="1" customFormat="false" ht="14.25" hidden="false" customHeight="true" outlineLevel="0" collapsed="false">
      <c r="A1" s="7" t="s">
        <v>41</v>
      </c>
      <c r="B1" s="7" t="s">
        <v>43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  <c r="K1" s="7" t="s">
        <v>53</v>
      </c>
      <c r="L1" s="7" t="s">
        <v>54</v>
      </c>
      <c r="M1" s="7" t="s">
        <v>55</v>
      </c>
    </row>
    <row r="2" customFormat="false" ht="14.25" hidden="false" customHeight="true" outlineLevel="0" collapsed="false">
      <c r="A2" s="32" t="s">
        <v>57</v>
      </c>
      <c r="B2" s="34" t="s">
        <v>59</v>
      </c>
      <c r="C2" s="35" t="n">
        <f aca="false">IF(Input_Dados!F$2="","",MIN(100,MAX(0,(Input_Dados!F$2-Parametros!$B$4)/(Parametros!$C$4-Parametros!$B$4)*100)))</f>
        <v>15</v>
      </c>
      <c r="D2" s="35" t="n">
        <f aca="false">IF(Input_Dados!G$2="","",MIN(100,MAX(0,(Input_Dados!G$2-Parametros!$B$4)/(Parametros!$C$4-Parametros!$B$4)*100)))</f>
        <v>18</v>
      </c>
      <c r="E2" s="35" t="n">
        <f aca="false">IF(Input_Dados!H$2="","",MIN(100,MAX(0,(Input_Dados!H$2-Parametros!$B$4)/(Parametros!$C$4-Parametros!$B$4)*100)))</f>
        <v>19</v>
      </c>
      <c r="F2" s="35" t="n">
        <f aca="false">IF(Input_Dados!I$2="","",MIN(100,MAX(0,(Input_Dados!I$2-Parametros!$B$4)/(Parametros!$C$4-Parametros!$B$4)*100)))</f>
        <v>19</v>
      </c>
      <c r="G2" s="35" t="n">
        <f aca="false">IF(Input_Dados!J$2="","",MIN(100,MAX(0,(Input_Dados!J$2-Parametros!$B$4)/(Parametros!$C$4-Parametros!$B$4)*100)))</f>
        <v>26</v>
      </c>
      <c r="H2" s="35" t="n">
        <f aca="false">IF(Input_Dados!K$2="","",MIN(100,MAX(0,(Input_Dados!K$2-Parametros!$B$4)/(Parametros!$C$4-Parametros!$B$4)*100)))</f>
        <v>27</v>
      </c>
      <c r="I2" s="35" t="n">
        <f aca="false">IF(Input_Dados!L$2="","",MIN(100,MAX(0,(Input_Dados!L$2-Parametros!$B$4)/(Parametros!$C$4-Parametros!$B$4)*100)))</f>
        <v>29</v>
      </c>
      <c r="J2" s="35" t="n">
        <f aca="false">IF(Input_Dados!M$2="","",MIN(100,MAX(0,(Input_Dados!M$2-Parametros!$B$4)/(Parametros!$C$4-Parametros!$B$4)*100)))</f>
        <v>33</v>
      </c>
      <c r="K2" s="35" t="n">
        <f aca="false">IF(Input_Dados!N$2="","",MIN(100,MAX(0,(Input_Dados!N$2-Parametros!$B$4)/(Parametros!$C$4-Parametros!$B$4)*100)))</f>
        <v>33</v>
      </c>
      <c r="L2" s="35" t="n">
        <f aca="false">IF(Input_Dados!O$2="","",MIN(100,MAX(0,(Input_Dados!O$2-Parametros!$B$4)/(Parametros!$C$4-Parametros!$B$4)*100)))</f>
        <v>32</v>
      </c>
      <c r="M2" s="35" t="str">
        <f aca="false">IF(Input_Dados!P$2="","",MIN(100,MAX(0,(Input_Dados!P$2-Parametros!$B$4)/(Parametros!$C$4-Parametros!$B$4)*100)))</f>
        <v/>
      </c>
    </row>
    <row r="3" customFormat="false" ht="14.25" hidden="false" customHeight="true" outlineLevel="0" collapsed="false">
      <c r="A3" s="32" t="s">
        <v>62</v>
      </c>
      <c r="B3" s="34" t="s">
        <v>59</v>
      </c>
      <c r="C3" s="35" t="n">
        <f aca="false">IF(Input_Dados!F$3="","",MIN(100,MAX(0,(Input_Dados!F$3-Parametros!$B$5)/(Parametros!$C$5-Parametros!$B$5)*100)))</f>
        <v>23.827406</v>
      </c>
      <c r="D3" s="35" t="n">
        <f aca="false">IF(Input_Dados!G$3="","",MIN(100,MAX(0,(Input_Dados!G$3-Parametros!$B$5)/(Parametros!$C$5-Parametros!$B$5)*100)))</f>
        <v>23.424472</v>
      </c>
      <c r="E3" s="35" t="n">
        <f aca="false">IF(Input_Dados!H$3="","",MIN(100,MAX(0,(Input_Dados!H$3-Parametros!$B$5)/(Parametros!$C$5-Parametros!$B$5)*100)))</f>
        <v>23.36589</v>
      </c>
      <c r="F3" s="35" t="n">
        <f aca="false">IF(Input_Dados!I$3="","",MIN(100,MAX(0,(Input_Dados!I$3-Parametros!$B$5)/(Parametros!$C$5-Parametros!$B$5)*100)))</f>
        <v>27.788956</v>
      </c>
      <c r="G3" s="35" t="n">
        <f aca="false">IF(Input_Dados!J$3="","",MIN(100,MAX(0,(Input_Dados!J$3-Parametros!$B$5)/(Parametros!$C$5-Parametros!$B$5)*100)))</f>
        <v>28.960636</v>
      </c>
      <c r="H3" s="35" t="n">
        <f aca="false">IF(Input_Dados!K$3="","",MIN(100,MAX(0,(Input_Dados!K$3-Parametros!$B$5)/(Parametros!$C$5-Parametros!$B$5)*100)))</f>
        <v>31.049924</v>
      </c>
      <c r="I3" s="35" t="n">
        <f aca="false">IF(Input_Dados!L$3="","",MIN(100,MAX(0,(Input_Dados!L$3-Parametros!$B$5)/(Parametros!$C$5-Parametros!$B$5)*100)))</f>
        <v>28.03973</v>
      </c>
      <c r="J3" s="35" t="n">
        <f aca="false">IF(Input_Dados!M$3="","",MIN(100,MAX(0,(Input_Dados!M$3-Parametros!$B$5)/(Parametros!$C$5-Parametros!$B$5)*100)))</f>
        <v>26.749122</v>
      </c>
      <c r="K3" s="35" t="n">
        <f aca="false">IF(Input_Dados!N$3="","",MIN(100,MAX(0,(Input_Dados!N$3-Parametros!$B$5)/(Parametros!$C$5-Parametros!$B$5)*100)))</f>
        <v>26.111136</v>
      </c>
      <c r="L3" s="35" t="n">
        <f aca="false">IF(Input_Dados!O$3="","",MIN(100,MAX(0,(Input_Dados!O$3-Parametros!$B$5)/(Parametros!$C$5-Parametros!$B$5)*100)))</f>
        <v>26.605184</v>
      </c>
      <c r="M3" s="35" t="str">
        <f aca="false">IF(Input_Dados!P$3="","",MIN(100,MAX(0,(Input_Dados!P$3-Parametros!$B$5)/(Parametros!$C$5-Parametros!$B$5)*100)))</f>
        <v/>
      </c>
    </row>
    <row r="4" customFormat="false" ht="14.25" hidden="false" customHeight="true" outlineLevel="0" collapsed="false">
      <c r="A4" s="32" t="s">
        <v>66</v>
      </c>
      <c r="B4" s="34" t="s">
        <v>59</v>
      </c>
      <c r="C4" s="35" t="n">
        <f aca="false">IF(Input_Dados!F$4="","",MIN(100,MAX(0,(Input_Dados!F$4-Parametros!$B$6)/(Parametros!$C$6-Parametros!$B$6)*100)))</f>
        <v>31.243526</v>
      </c>
      <c r="D4" s="35" t="n">
        <f aca="false">IF(Input_Dados!G$4="","",MIN(100,MAX(0,(Input_Dados!G$4-Parametros!$B$6)/(Parametros!$C$6-Parametros!$B$6)*100)))</f>
        <v>31.012306</v>
      </c>
      <c r="E4" s="35" t="n">
        <f aca="false">IF(Input_Dados!H$4="","",MIN(100,MAX(0,(Input_Dados!H$4-Parametros!$B$6)/(Parametros!$C$6-Parametros!$B$6)*100)))</f>
        <v>30.637686</v>
      </c>
      <c r="F4" s="35" t="n">
        <f aca="false">IF(Input_Dados!I$4="","",MIN(100,MAX(0,(Input_Dados!I$4-Parametros!$B$6)/(Parametros!$C$6-Parametros!$B$6)*100)))</f>
        <v>30.430796</v>
      </c>
      <c r="G4" s="35" t="n">
        <f aca="false">IF(Input_Dados!J$4="","",MIN(100,MAX(0,(Input_Dados!J$4-Parametros!$B$6)/(Parametros!$C$6-Parametros!$B$6)*100)))</f>
        <v>31.76607</v>
      </c>
      <c r="H4" s="35" t="n">
        <f aca="false">IF(Input_Dados!K$4="","",MIN(100,MAX(0,(Input_Dados!K$4-Parametros!$B$6)/(Parametros!$C$6-Parametros!$B$6)*100)))</f>
        <v>29.672792</v>
      </c>
      <c r="I4" s="35" t="n">
        <f aca="false">IF(Input_Dados!L$4="","",MIN(100,MAX(0,(Input_Dados!L$4-Parametros!$B$6)/(Parametros!$C$6-Parametros!$B$6)*100)))</f>
        <v>31.305984</v>
      </c>
      <c r="J4" s="35" t="n">
        <f aca="false">IF(Input_Dados!M$4="","",MIN(100,MAX(0,(Input_Dados!M$4-Parametros!$B$6)/(Parametros!$C$6-Parametros!$B$6)*100)))</f>
        <v>33.348564</v>
      </c>
      <c r="K4" s="35" t="n">
        <f aca="false">IF(Input_Dados!N$4="","",MIN(100,MAX(0,(Input_Dados!N$4-Parametros!$B$6)/(Parametros!$C$6-Parametros!$B$6)*100)))</f>
        <v>33.425948</v>
      </c>
      <c r="L4" s="35" t="n">
        <f aca="false">IF(Input_Dados!O$4="","",MIN(100,MAX(0,(Input_Dados!O$4-Parametros!$B$6)/(Parametros!$C$6-Parametros!$B$6)*100)))</f>
        <v>34.296182</v>
      </c>
      <c r="M4" s="35" t="str">
        <f aca="false">IF(Input_Dados!P$4="","",MIN(100,MAX(0,(Input_Dados!P$4-Parametros!$B$6)/(Parametros!$C$6-Parametros!$B$6)*100)))</f>
        <v/>
      </c>
    </row>
    <row r="5" customFormat="false" ht="14.25" hidden="false" customHeight="true" outlineLevel="0" collapsed="false">
      <c r="A5" s="32" t="s">
        <v>67</v>
      </c>
      <c r="B5" s="34" t="s">
        <v>59</v>
      </c>
      <c r="C5" s="35" t="n">
        <f aca="false">IF(Input_Dados!F$5="","",MIN(100,MAX(0,(Input_Dados!F$5-Parametros!$B$7)/(Parametros!$C$7-Parametros!$B$7)*100)))</f>
        <v>38.817948</v>
      </c>
      <c r="D5" s="35" t="n">
        <f aca="false">IF(Input_Dados!G$5="","",MIN(100,MAX(0,(Input_Dados!G$5-Parametros!$B$7)/(Parametros!$C$7-Parametros!$B$7)*100)))</f>
        <v>41.30744</v>
      </c>
      <c r="E5" s="35" t="n">
        <f aca="false">IF(Input_Dados!H$5="","",MIN(100,MAX(0,(Input_Dados!H$5-Parametros!$B$7)/(Parametros!$C$7-Parametros!$B$7)*100)))</f>
        <v>39.25571</v>
      </c>
      <c r="F5" s="35" t="n">
        <f aca="false">IF(Input_Dados!I$5="","",MIN(100,MAX(0,(Input_Dados!I$5-Parametros!$B$7)/(Parametros!$C$7-Parametros!$B$7)*100)))</f>
        <v>41.883766</v>
      </c>
      <c r="G5" s="35" t="n">
        <f aca="false">IF(Input_Dados!J$5="","",MIN(100,MAX(0,(Input_Dados!J$5-Parametros!$B$7)/(Parametros!$C$7-Parametros!$B$7)*100)))</f>
        <v>41.585922</v>
      </c>
      <c r="H5" s="35" t="n">
        <f aca="false">IF(Input_Dados!K$5="","",MIN(100,MAX(0,(Input_Dados!K$5-Parametros!$B$7)/(Parametros!$C$7-Parametros!$B$7)*100)))</f>
        <v>37.144732</v>
      </c>
      <c r="I5" s="35" t="n">
        <f aca="false">IF(Input_Dados!L$5="","",MIN(100,MAX(0,(Input_Dados!L$5-Parametros!$B$7)/(Parametros!$C$7-Parametros!$B$7)*100)))</f>
        <v>34.127864</v>
      </c>
      <c r="J5" s="35" t="n">
        <f aca="false">IF(Input_Dados!M$5="","",MIN(100,MAX(0,(Input_Dados!M$5-Parametros!$B$7)/(Parametros!$C$7-Parametros!$B$7)*100)))</f>
        <v>39.171864</v>
      </c>
      <c r="K5" s="35" t="n">
        <f aca="false">IF(Input_Dados!N$5="","",MIN(100,MAX(0,(Input_Dados!N$5-Parametros!$B$7)/(Parametros!$C$7-Parametros!$B$7)*100)))</f>
        <v>43.736692</v>
      </c>
      <c r="L5" s="35" t="n">
        <f aca="false">IF(Input_Dados!O$5="","",MIN(100,MAX(0,(Input_Dados!O$5-Parametros!$B$7)/(Parametros!$C$7-Parametros!$B$7)*100)))</f>
        <v>38.528072</v>
      </c>
      <c r="M5" s="35" t="str">
        <f aca="false">IF(Input_Dados!P$5="","",MIN(100,MAX(0,(Input_Dados!P$5-Parametros!$B$7)/(Parametros!$C$7-Parametros!$B$7)*100)))</f>
        <v/>
      </c>
    </row>
    <row r="6" customFormat="false" ht="14.25" hidden="false" customHeight="true" outlineLevel="0" collapsed="false">
      <c r="A6" s="32" t="s">
        <v>68</v>
      </c>
      <c r="B6" s="34" t="s">
        <v>59</v>
      </c>
      <c r="C6" s="35" t="n">
        <f aca="false">IF(Input_Dados!F$6="","",MIN(100,MAX(0,(Input_Dados!F$6-Parametros!$B$8)/(Parametros!$C$8-Parametros!$B$8)*100)))</f>
        <v>37.09</v>
      </c>
      <c r="D6" s="35" t="n">
        <f aca="false">IF(Input_Dados!G$6="","",MIN(100,MAX(0,(Input_Dados!G$6-Parametros!$B$8)/(Parametros!$C$8-Parametros!$B$8)*100)))</f>
        <v>38.46</v>
      </c>
      <c r="E6" s="35" t="n">
        <f aca="false">IF(Input_Dados!H$6="","",MIN(100,MAX(0,(Input_Dados!H$6-Parametros!$B$8)/(Parametros!$C$8-Parametros!$B$8)*100)))</f>
        <v>38.41</v>
      </c>
      <c r="F6" s="35" t="n">
        <f aca="false">IF(Input_Dados!I$6="","",MIN(100,MAX(0,(Input_Dados!I$6-Parametros!$B$8)/(Parametros!$C$8-Parametros!$B$8)*100)))</f>
        <v>41.49</v>
      </c>
      <c r="G6" s="35" t="n">
        <f aca="false">IF(Input_Dados!J$6="","",MIN(100,MAX(0,(Input_Dados!J$6-Parametros!$B$8)/(Parametros!$C$8-Parametros!$B$8)*100)))</f>
        <v>43.86</v>
      </c>
      <c r="H6" s="35" t="n">
        <f aca="false">IF(Input_Dados!K$6="","",MIN(100,MAX(0,(Input_Dados!K$6-Parametros!$B$8)/(Parametros!$C$8-Parametros!$B$8)*100)))</f>
        <v>41.9</v>
      </c>
      <c r="I6" s="35" t="str">
        <f aca="false">IF(Input_Dados!L$6="","",MIN(100,MAX(0,(Input_Dados!L$6-Parametros!$B$8)/(Parametros!$C$8-Parametros!$B$8)*100)))</f>
        <v/>
      </c>
      <c r="J6" s="35" t="str">
        <f aca="false">IF(Input_Dados!M$6="","",MIN(100,MAX(0,(Input_Dados!M$6-Parametros!$B$8)/(Parametros!$C$8-Parametros!$B$8)*100)))</f>
        <v/>
      </c>
      <c r="K6" s="35" t="str">
        <f aca="false">IF(Input_Dados!N$6="","",MIN(100,MAX(0,(Input_Dados!N$6-Parametros!$B$8)/(Parametros!$C$8-Parametros!$B$8)*100)))</f>
        <v/>
      </c>
      <c r="L6" s="35" t="str">
        <f aca="false">IF(Input_Dados!O$6="","",MIN(100,MAX(0,(Input_Dados!O$6-Parametros!$B$8)/(Parametros!$C$8-Parametros!$B$8)*100)))</f>
        <v/>
      </c>
      <c r="M6" s="35" t="str">
        <f aca="false">IF(Input_Dados!P$6="","",MIN(100,MAX(0,(Input_Dados!P$6-Parametros!$B$8)/(Parametros!$C$8-Parametros!$B$8)*100)))</f>
        <v/>
      </c>
    </row>
    <row r="7" customFormat="false" ht="14.25" hidden="false" customHeight="true" outlineLevel="0" collapsed="false">
      <c r="A7" s="32" t="s">
        <v>71</v>
      </c>
      <c r="B7" s="34" t="s">
        <v>59</v>
      </c>
      <c r="C7" s="35" t="n">
        <f aca="false">IF(Input_Dados!F$7="","",MIN(100,MAX(0,(Input_Dados!F$7-Parametros!$B$9)/(Parametros!$C$9-Parametros!$B$9)*100)))</f>
        <v>43.05271084366</v>
      </c>
      <c r="D7" s="35" t="n">
        <f aca="false">IF(Input_Dados!G$7="","",MIN(100,MAX(0,(Input_Dados!G$7-Parametros!$B$9)/(Parametros!$C$9-Parametros!$B$9)*100)))</f>
        <v>33.1978785483524</v>
      </c>
      <c r="E7" s="35" t="n">
        <f aca="false">IF(Input_Dados!H$7="","",MIN(100,MAX(0,(Input_Dados!H$7-Parametros!$B$9)/(Parametros!$C$9-Parametros!$B$9)*100)))</f>
        <v>39.4024150977102</v>
      </c>
      <c r="F7" s="35" t="n">
        <f aca="false">IF(Input_Dados!I$7="","",MIN(100,MAX(0,(Input_Dados!I$7-Parametros!$B$9)/(Parametros!$C$9-Parametros!$B$9)*100)))</f>
        <v>37.6223550920698</v>
      </c>
      <c r="G7" s="35" t="n">
        <f aca="false">IF(Input_Dados!J$7="","",MIN(100,MAX(0,(Input_Dados!J$7-Parametros!$B$9)/(Parametros!$C$9-Parametros!$B$9)*100)))</f>
        <v>39.181279017022</v>
      </c>
      <c r="H7" s="35" t="n">
        <f aca="false">IF(Input_Dados!K$7="","",MIN(100,MAX(0,(Input_Dados!K$7-Parametros!$B$9)/(Parametros!$C$9-Parametros!$B$9)*100)))</f>
        <v>23.8302110144146</v>
      </c>
      <c r="I7" s="35" t="n">
        <f aca="false">IF(Input_Dados!L$7="","",MIN(100,MAX(0,(Input_Dados!L$7-Parametros!$B$9)/(Parametros!$C$9-Parametros!$B$9)*100)))</f>
        <v>48.411010076936</v>
      </c>
      <c r="J7" s="35" t="n">
        <f aca="false">IF(Input_Dados!M$7="","",MIN(100,MAX(0,(Input_Dados!M$7-Parametros!$B$9)/(Parametros!$C$9-Parametros!$B$9)*100)))</f>
        <v>56.864010339005</v>
      </c>
      <c r="K7" s="35" t="n">
        <f aca="false">IF(Input_Dados!N$7="","",MIN(100,MAX(0,(Input_Dados!N$7-Parametros!$B$9)/(Parametros!$C$9-Parametros!$B$9)*100)))</f>
        <v>45.0532325608049</v>
      </c>
      <c r="L7" s="35" t="n">
        <f aca="false">IF(Input_Dados!O$7="","",MIN(100,MAX(0,(Input_Dados!O$7-Parametros!$B$9)/(Parametros!$C$9-Parametros!$B$9)*100)))</f>
        <v>57.6956265762758</v>
      </c>
      <c r="M7" s="35" t="str">
        <f aca="false">IF(Input_Dados!P$7="","",MIN(100,MAX(0,(Input_Dados!P$7-Parametros!$B$9)/(Parametros!$C$9-Parametros!$B$9)*100)))</f>
        <v/>
      </c>
    </row>
    <row r="8" customFormat="false" ht="14.25" hidden="false" customHeight="true" outlineLevel="0" collapsed="false">
      <c r="A8" s="32" t="s">
        <v>75</v>
      </c>
      <c r="B8" s="34" t="s">
        <v>59</v>
      </c>
      <c r="C8" s="35" t="n">
        <f aca="false">IF(Input_Dados!F$8="","",MIN(100,MAX(0,(Input_Dados!F$8-Parametros!$B$10)/(Parametros!$C$10-Parametros!$B$10)*100)))</f>
        <v>26.8974764824498</v>
      </c>
      <c r="D8" s="35" t="n">
        <f aca="false">IF(Input_Dados!G$8="","",MIN(100,MAX(0,(Input_Dados!G$8-Parametros!$B$10)/(Parametros!$C$10-Parametros!$B$10)*100)))</f>
        <v>25.0812156697539</v>
      </c>
      <c r="E8" s="35" t="n">
        <f aca="false">IF(Input_Dados!H$8="","",MIN(100,MAX(0,(Input_Dados!H$8-Parametros!$B$10)/(Parametros!$C$10-Parametros!$B$10)*100)))</f>
        <v>30.7254631515028</v>
      </c>
      <c r="F8" s="35" t="n">
        <f aca="false">IF(Input_Dados!I$8="","",MIN(100,MAX(0,(Input_Dados!I$8-Parametros!$B$10)/(Parametros!$C$10-Parametros!$B$10)*100)))</f>
        <v>18.7227709716066</v>
      </c>
      <c r="G8" s="35" t="n">
        <f aca="false">IF(Input_Dados!J$8="","",MIN(100,MAX(0,(Input_Dados!J$8-Parametros!$B$10)/(Parametros!$C$10-Parametros!$B$10)*100)))</f>
        <v>13.0880090916153</v>
      </c>
      <c r="H8" s="35" t="n">
        <f aca="false">IF(Input_Dados!K$8="","",MIN(100,MAX(0,(Input_Dados!K$8-Parametros!$B$10)/(Parametros!$C$10-Parametros!$B$10)*100)))</f>
        <v>9.67116135283779</v>
      </c>
      <c r="I8" s="35" t="n">
        <f aca="false">IF(Input_Dados!L$8="","",MIN(100,MAX(0,(Input_Dados!L$8-Parametros!$B$10)/(Parametros!$C$10-Parametros!$B$10)*100)))</f>
        <v>17.1783471863223</v>
      </c>
      <c r="J8" s="35" t="n">
        <f aca="false">IF(Input_Dados!M$8="","",MIN(100,MAX(0,(Input_Dados!M$8-Parametros!$B$10)/(Parametros!$C$10-Parametros!$B$10)*100)))</f>
        <v>23.6931104045468</v>
      </c>
      <c r="K8" s="35" t="n">
        <f aca="false">IF(Input_Dados!N$8="","",MIN(100,MAX(0,(Input_Dados!N$8-Parametros!$B$10)/(Parametros!$C$10-Parametros!$B$10)*100)))</f>
        <v>15.675904739193</v>
      </c>
      <c r="L8" s="35" t="n">
        <f aca="false">IF(Input_Dados!O$8="","",MIN(100,MAX(0,(Input_Dados!O$8-Parametros!$B$10)/(Parametros!$C$10-Parametros!$B$10)*100)))</f>
        <v>18.4939604403085</v>
      </c>
      <c r="M8" s="35" t="str">
        <f aca="false">IF(Input_Dados!P$8="","",MIN(100,MAX(0,(Input_Dados!P$8-Parametros!$B$10)/(Parametros!$C$10-Parametros!$B$10)*100)))</f>
        <v/>
      </c>
    </row>
    <row r="9" customFormat="false" ht="14.25" hidden="false" customHeight="true" outlineLevel="0" collapsed="false">
      <c r="A9" s="32" t="s">
        <v>77</v>
      </c>
      <c r="B9" s="34" t="s">
        <v>78</v>
      </c>
      <c r="C9" s="35" t="n">
        <f aca="false">IF(Input_Dados!F$9="","",MIN(100,MAX(0,(Parametros!$C$11-Input_Dados!F$9)/(Parametros!$C$11-Parametros!$B$11)*100)))</f>
        <v>75.8114634868634</v>
      </c>
      <c r="D9" s="35" t="n">
        <f aca="false">IF(Input_Dados!G$9="","",MIN(100,MAX(0,(Parametros!$C$11-Input_Dados!G$9)/(Parametros!$C$11-Parametros!$B$11)*100)))</f>
        <v>17.7577303854908</v>
      </c>
      <c r="E9" s="35" t="n">
        <f aca="false">IF(Input_Dados!H$9="","",MIN(100,MAX(0,(Parametros!$C$11-Input_Dados!H$9)/(Parametros!$C$11-Parametros!$B$11)*100)))</f>
        <v>52.6669006557188</v>
      </c>
      <c r="F9" s="35" t="n">
        <f aca="false">IF(Input_Dados!I$9="","",MIN(100,MAX(0,(Parametros!$C$11-Input_Dados!I$9)/(Parametros!$C$11-Parametros!$B$11)*100)))</f>
        <v>62.7977906970628</v>
      </c>
      <c r="G9" s="35" t="n">
        <f aca="false">IF(Input_Dados!J$9="","",MIN(100,MAX(0,(Parametros!$C$11-Input_Dados!J$9)/(Parametros!$C$11-Parametros!$B$11)*100)))</f>
        <v>66.2054238817156</v>
      </c>
      <c r="H9" s="35" t="n">
        <f aca="false">IF(Input_Dados!K$9="","",MIN(100,MAX(0,(Parametros!$C$11-Input_Dados!K$9)/(Parametros!$C$11-Parametros!$B$11)*100)))</f>
        <v>49.8069396678124</v>
      </c>
      <c r="I9" s="35" t="n">
        <f aca="false">IF(Input_Dados!L$9="","",MIN(100,MAX(0,(Parametros!$C$11-Input_Dados!L$9)/(Parametros!$C$11-Parametros!$B$11)*100)))</f>
        <v>45.9401124040458</v>
      </c>
      <c r="J9" s="35" t="n">
        <f aca="false">IF(Input_Dados!M$9="","",MIN(100,MAX(0,(Parametros!$C$11-Input_Dados!M$9)/(Parametros!$C$11-Parametros!$B$11)*100)))</f>
        <v>72.2790491440024</v>
      </c>
      <c r="K9" s="35" t="n">
        <f aca="false">IF(Input_Dados!N$9="","",MIN(100,MAX(0,(Parametros!$C$11-Input_Dados!N$9)/(Parametros!$C$11-Parametros!$B$11)*100)))</f>
        <v>59.9856792952742</v>
      </c>
      <c r="L9" s="35" t="n">
        <f aca="false">IF(Input_Dados!O$9="","",MIN(100,MAX(0,(Parametros!$C$11-Input_Dados!O$9)/(Parametros!$C$11-Parametros!$B$11)*100)))</f>
        <v>47.0393221803868</v>
      </c>
      <c r="M9" s="35" t="n">
        <f aca="false">IF(Input_Dados!P$9="","",MIN(100,MAX(0,(Parametros!$C$11-Input_Dados!P$9)/(Parametros!$C$11-Parametros!$B$11)*100)))</f>
        <v>68.6055593789534</v>
      </c>
    </row>
    <row r="10" customFormat="false" ht="14.25" hidden="false" customHeight="true" outlineLevel="0" collapsed="false">
      <c r="A10" s="32" t="s">
        <v>80</v>
      </c>
      <c r="B10" s="34" t="s">
        <v>78</v>
      </c>
      <c r="C10" s="35" t="n">
        <f aca="false">IF(Input_Dados!F$10="","",MIN(100,MAX(0,(Parametros!$C$12-Input_Dados!F$10)/(Parametros!$C$12-Parametros!$B$12)*100)))</f>
        <v>66.6666666666667</v>
      </c>
      <c r="D10" s="35" t="n">
        <f aca="false">IF(Input_Dados!G$10="","",MIN(100,MAX(0,(Parametros!$C$12-Input_Dados!G$10)/(Parametros!$C$12-Parametros!$B$12)*100)))</f>
        <v>55.3333333333333</v>
      </c>
      <c r="E10" s="35" t="n">
        <f aca="false">IF(Input_Dados!H$10="","",MIN(100,MAX(0,(Parametros!$C$12-Input_Dados!H$10)/(Parametros!$C$12-Parametros!$B$12)*100)))</f>
        <v>60</v>
      </c>
      <c r="F10" s="35" t="n">
        <f aca="false">IF(Input_Dados!I$10="","",MIN(100,MAX(0,(Parametros!$C$12-Input_Dados!I$10)/(Parametros!$C$12-Parametros!$B$12)*100)))</f>
        <v>44.6666666666667</v>
      </c>
      <c r="G10" s="35" t="n">
        <f aca="false">IF(Input_Dados!J$10="","",MIN(100,MAX(0,(Parametros!$C$12-Input_Dados!J$10)/(Parametros!$C$12-Parametros!$B$12)*100)))</f>
        <v>32.6666666666667</v>
      </c>
      <c r="H10" s="35" t="n">
        <f aca="false">IF(Input_Dados!K$10="","",MIN(100,MAX(0,(Parametros!$C$12-Input_Dados!K$10)/(Parametros!$C$12-Parametros!$B$12)*100)))</f>
        <v>20.6666666666667</v>
      </c>
      <c r="I10" s="35" t="n">
        <f aca="false">IF(Input_Dados!L$10="","",MIN(100,MAX(0,(Parametros!$C$12-Input_Dados!L$10)/(Parametros!$C$12-Parametros!$B$12)*100)))</f>
        <v>50.6666666666667</v>
      </c>
      <c r="J10" s="35" t="n">
        <f aca="false">IF(Input_Dados!M$10="","",MIN(100,MAX(0,(Parametros!$C$12-Input_Dados!M$10)/(Parametros!$C$12-Parametros!$B$12)*100)))</f>
        <v>62.6666666666667</v>
      </c>
      <c r="K10" s="35" t="n">
        <f aca="false">IF(Input_Dados!N$10="","",MIN(100,MAX(0,(Parametros!$C$12-Input_Dados!N$10)/(Parametros!$C$12-Parametros!$B$12)*100)))</f>
        <v>52</v>
      </c>
      <c r="L10" s="35" t="n">
        <f aca="false">IF(Input_Dados!O$10="","",MIN(100,MAX(0,(Parametros!$C$12-Input_Dados!O$10)/(Parametros!$C$12-Parametros!$B$12)*100)))</f>
        <v>60</v>
      </c>
      <c r="M10" s="35" t="n">
        <f aca="false">IF(Input_Dados!P$10="","",MIN(100,MAX(0,(Parametros!$C$12-Input_Dados!P$10)/(Parametros!$C$12-Parametros!$B$12)*100)))</f>
        <v>58</v>
      </c>
    </row>
    <row r="11" customFormat="false" ht="14.25" hidden="false" customHeight="true" outlineLevel="0" collapsed="false">
      <c r="A11" s="32" t="s">
        <v>83</v>
      </c>
      <c r="B11" s="34" t="s">
        <v>59</v>
      </c>
      <c r="C11" s="35" t="n">
        <f aca="false">IF(Input_Dados!F$11="","",MIN(100,MAX(0,(Input_Dados!F$11-Parametros!$B$13)/(Parametros!$C$13-Parametros!$B$13)*100)))</f>
        <v>52</v>
      </c>
      <c r="D11" s="35" t="n">
        <f aca="false">IF(Input_Dados!G$11="","",MIN(100,MAX(0,(Input_Dados!G$11-Parametros!$B$13)/(Parametros!$C$13-Parametros!$B$13)*100)))</f>
        <v>48</v>
      </c>
      <c r="E11" s="35" t="n">
        <f aca="false">IF(Input_Dados!H$11="","",MIN(100,MAX(0,(Input_Dados!H$11-Parametros!$B$13)/(Parametros!$C$13-Parametros!$B$13)*100)))</f>
        <v>66</v>
      </c>
      <c r="F11" s="35" t="n">
        <f aca="false">IF(Input_Dados!I$11="","",MIN(100,MAX(0,(Input_Dados!I$11-Parametros!$B$13)/(Parametros!$C$13-Parametros!$B$13)*100)))</f>
        <v>58</v>
      </c>
      <c r="G11" s="35" t="n">
        <f aca="false">IF(Input_Dados!J$11="","",MIN(100,MAX(0,(Input_Dados!J$11-Parametros!$B$13)/(Parametros!$C$13-Parametros!$B$13)*100)))</f>
        <v>62</v>
      </c>
      <c r="H11" s="35" t="n">
        <f aca="false">IF(Input_Dados!K$11="","",MIN(100,MAX(0,(Input_Dados!K$11-Parametros!$B$13)/(Parametros!$C$13-Parametros!$B$13)*100)))</f>
        <v>40</v>
      </c>
      <c r="I11" s="35" t="n">
        <f aca="false">IF(Input_Dados!L$11="","",MIN(100,MAX(0,(Input_Dados!L$11-Parametros!$B$13)/(Parametros!$C$13-Parametros!$B$13)*100)))</f>
        <v>66</v>
      </c>
      <c r="J11" s="35" t="n">
        <f aca="false">IF(Input_Dados!M$11="","",MIN(100,MAX(0,(Input_Dados!M$11-Parametros!$B$13)/(Parametros!$C$13-Parametros!$B$13)*100)))</f>
        <v>62.8</v>
      </c>
      <c r="K11" s="35" t="n">
        <f aca="false">IF(Input_Dados!N$11="","",MIN(100,MAX(0,(Input_Dados!N$11-Parametros!$B$13)/(Parametros!$C$13-Parametros!$B$13)*100)))</f>
        <v>52.4</v>
      </c>
      <c r="L11" s="35" t="n">
        <f aca="false">IF(Input_Dados!O$11="","",MIN(100,MAX(0,(Input_Dados!O$11-Parametros!$B$13)/(Parametros!$C$13-Parametros!$B$13)*100)))</f>
        <v>54</v>
      </c>
      <c r="M11" s="35" t="n">
        <f aca="false">IF(Input_Dados!P$11="","",MIN(100,MAX(0,(Input_Dados!P$11-Parametros!$B$13)/(Parametros!$C$13-Parametros!$B$13)*100)))</f>
        <v>53.4</v>
      </c>
    </row>
    <row r="12" customFormat="false" ht="14.25" hidden="false" customHeight="true" outlineLevel="0" collapsed="false">
      <c r="A12" s="32" t="s">
        <v>84</v>
      </c>
      <c r="B12" s="34" t="s">
        <v>59</v>
      </c>
      <c r="C12" s="35" t="str">
        <f aca="false">IF(Input_Dados!F$12="","",MIN(100,MAX(0,(Input_Dados!F$12-Parametros!$B$14)/(Parametros!$C$14-Parametros!$B$14)*100)))</f>
        <v/>
      </c>
      <c r="D12" s="35" t="str">
        <f aca="false">IF(Input_Dados!G$12="","",MIN(100,MAX(0,(Input_Dados!G$12-Parametros!$B$14)/(Parametros!$C$14-Parametros!$B$14)*100)))</f>
        <v/>
      </c>
      <c r="E12" s="35" t="str">
        <f aca="false">IF(Input_Dados!H$12="","",MIN(100,MAX(0,(Input_Dados!H$12-Parametros!$B$14)/(Parametros!$C$14-Parametros!$B$14)*100)))</f>
        <v/>
      </c>
      <c r="F12" s="35" t="str">
        <f aca="false">IF(Input_Dados!I$12="","",MIN(100,MAX(0,(Input_Dados!I$12-Parametros!$B$14)/(Parametros!$C$14-Parametros!$B$14)*100)))</f>
        <v/>
      </c>
      <c r="G12" s="35" t="str">
        <f aca="false">IF(Input_Dados!J$12="","",MIN(100,MAX(0,(Input_Dados!J$12-Parametros!$B$14)/(Parametros!$C$14-Parametros!$B$14)*100)))</f>
        <v/>
      </c>
      <c r="H12" s="35" t="str">
        <f aca="false">IF(Input_Dados!K$12="","",MIN(100,MAX(0,(Input_Dados!K$12-Parametros!$B$14)/(Parametros!$C$14-Parametros!$B$14)*100)))</f>
        <v/>
      </c>
      <c r="I12" s="35" t="str">
        <f aca="false">IF(Input_Dados!L$12="","",MIN(100,MAX(0,(Input_Dados!L$12-Parametros!$B$14)/(Parametros!$C$14-Parametros!$B$14)*100)))</f>
        <v/>
      </c>
      <c r="J12" s="35" t="str">
        <f aca="false">IF(Input_Dados!M$12="","",MIN(100,MAX(0,(Input_Dados!M$12-Parametros!$B$14)/(Parametros!$C$14-Parametros!$B$14)*100)))</f>
        <v/>
      </c>
      <c r="K12" s="35" t="str">
        <f aca="false">IF(Input_Dados!N$12="","",MIN(100,MAX(0,(Input_Dados!N$12-Parametros!$B$14)/(Parametros!$C$14-Parametros!$B$14)*100)))</f>
        <v/>
      </c>
      <c r="L12" s="35" t="str">
        <f aca="false">IF(Input_Dados!O$12="","",MIN(100,MAX(0,(Input_Dados!O$12-Parametros!$B$14)/(Parametros!$C$14-Parametros!$B$14)*100)))</f>
        <v/>
      </c>
      <c r="M12" s="35" t="str">
        <f aca="false">IF(Input_Dados!P$12="","",MIN(100,MAX(0,(Input_Dados!P$12-Parametros!$B$14)/(Parametros!$C$14-Parametros!$B$14)*100)))</f>
        <v/>
      </c>
    </row>
    <row r="13" customFormat="false" ht="14.25" hidden="false" customHeight="true" outlineLevel="0" collapsed="false">
      <c r="A13" s="32" t="s">
        <v>86</v>
      </c>
      <c r="B13" s="34" t="s">
        <v>59</v>
      </c>
      <c r="C13" s="35" t="n">
        <f aca="false">IF(Input_Dados!F$13="","",MIN(100,MAX(0,(Input_Dados!F$13-Parametros!$B$15)/(Parametros!$C$15-Parametros!$B$15)*100)))</f>
        <v>64.3146929671819</v>
      </c>
      <c r="D13" s="35" t="n">
        <f aca="false">IF(Input_Dados!G$13="","",MIN(100,MAX(0,(Input_Dados!G$13-Parametros!$B$15)/(Parametros!$C$15-Parametros!$B$15)*100)))</f>
        <v>94.9124999495163</v>
      </c>
      <c r="E13" s="35" t="n">
        <f aca="false">IF(Input_Dados!H$13="","",MIN(100,MAX(0,(Input_Dados!H$13-Parametros!$B$15)/(Parametros!$C$15-Parametros!$B$15)*100)))</f>
        <v>64.5080949858676</v>
      </c>
      <c r="F13" s="35" t="n">
        <f aca="false">IF(Input_Dados!I$13="","",MIN(100,MAX(0,(Input_Dados!I$13-Parametros!$B$15)/(Parametros!$C$15-Parametros!$B$15)*100)))</f>
        <v>62.4638712678676</v>
      </c>
      <c r="G13" s="35" t="n">
        <f aca="false">IF(Input_Dados!J$13="","",MIN(100,MAX(0,(Input_Dados!J$13-Parametros!$B$15)/(Parametros!$C$15-Parametros!$B$15)*100)))</f>
        <v>77.1839205675967</v>
      </c>
      <c r="H13" s="35" t="n">
        <f aca="false">IF(Input_Dados!K$13="","",MIN(100,MAX(0,(Input_Dados!K$13-Parametros!$B$15)/(Parametros!$C$15-Parametros!$B$15)*100)))</f>
        <v>98.2360764117488</v>
      </c>
      <c r="I13" s="35" t="n">
        <f aca="false">IF(Input_Dados!L$13="","",MIN(100,MAX(0,(Input_Dados!L$13-Parametros!$B$15)/(Parametros!$C$15-Parametros!$B$15)*100)))</f>
        <v>82.29199365206</v>
      </c>
      <c r="J13" s="35" t="n">
        <f aca="false">IF(Input_Dados!M$13="","",MIN(100,MAX(0,(Input_Dados!M$13-Parametros!$B$15)/(Parametros!$C$15-Parametros!$B$15)*100)))</f>
        <v>51.3250969211708</v>
      </c>
      <c r="K13" s="35" t="n">
        <f aca="false">IF(Input_Dados!N$13="","",MIN(100,MAX(0,(Input_Dados!N$13-Parametros!$B$15)/(Parametros!$C$15-Parametros!$B$15)*100)))</f>
        <v>62.1693609523041</v>
      </c>
      <c r="L13" s="35" t="n">
        <f aca="false">IF(Input_Dados!O$13="","",MIN(100,MAX(0,(Input_Dados!O$13-Parametros!$B$15)/(Parametros!$C$15-Parametros!$B$15)*100)))</f>
        <v>69.5141403943091</v>
      </c>
      <c r="M13" s="35" t="n">
        <f aca="false">IF(Input_Dados!P$13="","",MIN(100,MAX(0,(Input_Dados!P$13-Parametros!$B$15)/(Parametros!$C$15-Parametros!$B$15)*100)))</f>
        <v>86.5942094450848</v>
      </c>
    </row>
    <row r="14" customFormat="false" ht="14.25" hidden="false" customHeight="true" outlineLevel="0" collapsed="false">
      <c r="A14" s="32" t="s">
        <v>90</v>
      </c>
      <c r="B14" s="34" t="s">
        <v>59</v>
      </c>
      <c r="C14" s="35" t="n">
        <f aca="false">IF(Input_Dados!F$14="","",MIN(100,MAX(0,(Input_Dados!F$14-Parametros!$B$16)/(Parametros!$C$16-Parametros!$B$16)*100)))</f>
        <v>59.1</v>
      </c>
      <c r="D14" s="35" t="n">
        <f aca="false">IF(Input_Dados!G$14="","",MIN(100,MAX(0,(Input_Dados!G$14-Parametros!$B$16)/(Parametros!$C$16-Parametros!$B$16)*100)))</f>
        <v>59.5</v>
      </c>
      <c r="E14" s="35" t="n">
        <f aca="false">IF(Input_Dados!H$14="","",MIN(100,MAX(0,(Input_Dados!H$14-Parametros!$B$16)/(Parametros!$C$16-Parametros!$B$16)*100)))</f>
        <v>59.7</v>
      </c>
      <c r="F14" s="35" t="n">
        <f aca="false">IF(Input_Dados!I$14="","",MIN(100,MAX(0,(Input_Dados!I$14-Parametros!$B$16)/(Parametros!$C$16-Parametros!$B$16)*100)))</f>
        <v>59.8</v>
      </c>
      <c r="G14" s="35" t="n">
        <f aca="false">IF(Input_Dados!J$14="","",MIN(100,MAX(0,(Input_Dados!J$14-Parametros!$B$16)/(Parametros!$C$16-Parametros!$B$16)*100)))</f>
        <v>59.7</v>
      </c>
      <c r="H14" s="35" t="n">
        <f aca="false">IF(Input_Dados!K$14="","",MIN(100,MAX(0,(Input_Dados!K$14-Parametros!$B$16)/(Parametros!$C$16-Parametros!$B$16)*100)))</f>
        <v>59.4</v>
      </c>
      <c r="I14" s="35" t="n">
        <f aca="false">IF(Input_Dados!L$14="","",MIN(100,MAX(0,(Input_Dados!L$14-Parametros!$B$16)/(Parametros!$C$16-Parametros!$B$16)*100)))</f>
        <v>59</v>
      </c>
      <c r="J14" s="35" t="n">
        <f aca="false">IF(Input_Dados!M$14="","",MIN(100,MAX(0,(Input_Dados!M$14-Parametros!$B$16)/(Parametros!$C$16-Parametros!$B$16)*100)))</f>
        <v>59.1</v>
      </c>
      <c r="K14" s="35" t="n">
        <f aca="false">IF(Input_Dados!N$14="","",MIN(100,MAX(0,(Input_Dados!N$14-Parametros!$B$16)/(Parametros!$C$16-Parametros!$B$16)*100)))</f>
        <v>61.6</v>
      </c>
      <c r="L14" s="35" t="str">
        <f aca="false">IF(Input_Dados!O$14="","",MIN(100,MAX(0,(Input_Dados!O$14-Parametros!$B$16)/(Parametros!$C$16-Parametros!$B$16)*100)))</f>
        <v/>
      </c>
      <c r="M14" s="35" t="str">
        <f aca="false">IF(Input_Dados!P$14="","",MIN(100,MAX(0,(Input_Dados!P$14-Parametros!$B$16)/(Parametros!$C$16-Parametros!$B$16)*100)))</f>
        <v/>
      </c>
    </row>
    <row r="15" customFormat="false" ht="14.25" hidden="false" customHeight="true" outlineLevel="0" collapsed="false">
      <c r="A15" s="32" t="s">
        <v>94</v>
      </c>
      <c r="B15" s="34" t="s">
        <v>59</v>
      </c>
      <c r="C15" s="35" t="n">
        <f aca="false">IF(Input_Dados!F$15="","",MIN(100,MAX(0,(Input_Dados!F$15-Parametros!$B$17)/(Parametros!$C$17-Parametros!$B$17)*100)))</f>
        <v>46.76</v>
      </c>
      <c r="D15" s="35" t="n">
        <f aca="false">IF(Input_Dados!G$15="","",MIN(100,MAX(0,(Input_Dados!G$15-Parametros!$B$17)/(Parametros!$C$17-Parametros!$B$17)*100)))</f>
        <v>48.0422222222222</v>
      </c>
      <c r="E15" s="35" t="n">
        <f aca="false">IF(Input_Dados!H$15="","",MIN(100,MAX(0,(Input_Dados!H$15-Parametros!$B$17)/(Parametros!$C$17-Parametros!$B$17)*100)))</f>
        <v>48.2222222222222</v>
      </c>
      <c r="F15" s="35" t="n">
        <f aca="false">IF(Input_Dados!I$15="","",MIN(100,MAX(0,(Input_Dados!I$15-Parametros!$B$17)/(Parametros!$C$17-Parametros!$B$17)*100)))</f>
        <v>48.2222222222222</v>
      </c>
      <c r="G15" s="35" t="n">
        <f aca="false">IF(Input_Dados!J$15="","",MIN(100,MAX(0,(Input_Dados!J$15-Parametros!$B$17)/(Parametros!$C$17-Parametros!$B$17)*100)))</f>
        <v>49.3333333333333</v>
      </c>
      <c r="H15" s="35" t="n">
        <f aca="false">IF(Input_Dados!K$15="","",MIN(100,MAX(0,(Input_Dados!K$15-Parametros!$B$17)/(Parametros!$C$17-Parametros!$B$17)*100)))</f>
        <v>49.9555555555556</v>
      </c>
      <c r="I15" s="35" t="n">
        <f aca="false">IF(Input_Dados!L$15="","",MIN(100,MAX(0,(Input_Dados!L$15-Parametros!$B$17)/(Parametros!$C$17-Parametros!$B$17)*100)))</f>
        <v>50.4888888888889</v>
      </c>
      <c r="J15" s="35" t="n">
        <f aca="false">IF(Input_Dados!M$15="","",MIN(100,MAX(0,(Input_Dados!M$15-Parametros!$B$17)/(Parametros!$C$17-Parametros!$B$17)*100)))</f>
        <v>51</v>
      </c>
      <c r="K15" s="35" t="n">
        <f aca="false">IF(Input_Dados!N$15="","",MIN(100,MAX(0,(Input_Dados!N$15-Parametros!$B$17)/(Parametros!$C$17-Parametros!$B$17)*100)))</f>
        <v>54.7044444444445</v>
      </c>
      <c r="L15" s="35" t="n">
        <f aca="false">IF(Input_Dados!O$15="","",MIN(100,MAX(0,(Input_Dados!O$15-Parametros!$B$17)/(Parametros!$C$17-Parametros!$B$17)*100)))</f>
        <v>53.3333333333333</v>
      </c>
      <c r="M15" s="35" t="n">
        <f aca="false">IF(Input_Dados!P$15="","",MIN(100,MAX(0,(Input_Dados!P$15-Parametros!$B$17)/(Parametros!$C$17-Parametros!$B$17)*100)))</f>
        <v>55.5555555555556</v>
      </c>
    </row>
    <row r="16" customFormat="false" ht="14.25" hidden="false" customHeight="true" outlineLevel="0" collapsed="false">
      <c r="A16" s="32" t="s">
        <v>98</v>
      </c>
      <c r="B16" s="34" t="s">
        <v>59</v>
      </c>
      <c r="C16" s="35" t="str">
        <f aca="false">IF(Input_Dados!F$16="","",MIN(100,MAX(0,(Input_Dados!F$16-Parametros!$B$18)/(Parametros!$C$18-Parametros!$B$18)*100)))</f>
        <v/>
      </c>
      <c r="D16" s="35" t="str">
        <f aca="false">IF(Input_Dados!G$16="","",MIN(100,MAX(0,(Input_Dados!G$16-Parametros!$B$18)/(Parametros!$C$18-Parametros!$B$18)*100)))</f>
        <v/>
      </c>
      <c r="E16" s="35" t="str">
        <f aca="false">IF(Input_Dados!H$16="","",MIN(100,MAX(0,(Input_Dados!H$16-Parametros!$B$18)/(Parametros!$C$18-Parametros!$B$18)*100)))</f>
        <v/>
      </c>
      <c r="F16" s="35" t="str">
        <f aca="false">IF(Input_Dados!I$16="","",MIN(100,MAX(0,(Input_Dados!I$16-Parametros!$B$18)/(Parametros!$C$18-Parametros!$B$18)*100)))</f>
        <v/>
      </c>
      <c r="G16" s="35" t="str">
        <f aca="false">IF(Input_Dados!J$16="","",MIN(100,MAX(0,(Input_Dados!J$16-Parametros!$B$18)/(Parametros!$C$18-Parametros!$B$18)*100)))</f>
        <v/>
      </c>
      <c r="H16" s="35" t="str">
        <f aca="false">IF(Input_Dados!K$16="","",MIN(100,MAX(0,(Input_Dados!K$16-Parametros!$B$18)/(Parametros!$C$18-Parametros!$B$18)*100)))</f>
        <v/>
      </c>
      <c r="I16" s="35" t="str">
        <f aca="false">IF(Input_Dados!L$16="","",MIN(100,MAX(0,(Input_Dados!L$16-Parametros!$B$18)/(Parametros!$C$18-Parametros!$B$18)*100)))</f>
        <v/>
      </c>
      <c r="J16" s="35" t="str">
        <f aca="false">IF(Input_Dados!M$16="","",MIN(100,MAX(0,(Input_Dados!M$16-Parametros!$B$18)/(Parametros!$C$18-Parametros!$B$18)*100)))</f>
        <v/>
      </c>
      <c r="K16" s="35" t="str">
        <f aca="false">IF(Input_Dados!N$16="","",MIN(100,MAX(0,(Input_Dados!N$16-Parametros!$B$18)/(Parametros!$C$18-Parametros!$B$18)*100)))</f>
        <v/>
      </c>
      <c r="L16" s="35" t="str">
        <f aca="false">IF(Input_Dados!O$16="","",MIN(100,MAX(0,(Input_Dados!O$16-Parametros!$B$18)/(Parametros!$C$18-Parametros!$B$18)*100)))</f>
        <v/>
      </c>
      <c r="M16" s="35" t="str">
        <f aca="false">IF(Input_Dados!P$16="","",MIN(100,MAX(0,(Input_Dados!P$16-Parametros!$B$18)/(Parametros!$C$18-Parametros!$B$18)*100)))</f>
        <v/>
      </c>
    </row>
    <row r="17" customFormat="false" ht="14.25" hidden="false" customHeight="true" outlineLevel="0" collapsed="false">
      <c r="A17" s="32" t="s">
        <v>100</v>
      </c>
      <c r="B17" s="34" t="s">
        <v>59</v>
      </c>
      <c r="C17" s="35" t="str">
        <f aca="false">IF(Input_Dados!F$17="","",MIN(100,MAX(0,(Input_Dados!F$17-Parametros!$B$19)/(Parametros!$C$19-Parametros!$B$19)*100)))</f>
        <v/>
      </c>
      <c r="D17" s="35" t="str">
        <f aca="false">IF(Input_Dados!G$17="","",MIN(100,MAX(0,(Input_Dados!G$17-Parametros!$B$19)/(Parametros!$C$19-Parametros!$B$19)*100)))</f>
        <v/>
      </c>
      <c r="E17" s="35" t="str">
        <f aca="false">IF(Input_Dados!H$17="","",MIN(100,MAX(0,(Input_Dados!H$17-Parametros!$B$19)/(Parametros!$C$19-Parametros!$B$19)*100)))</f>
        <v/>
      </c>
      <c r="F17" s="35" t="str">
        <f aca="false">IF(Input_Dados!I$17="","",MIN(100,MAX(0,(Input_Dados!I$17-Parametros!$B$19)/(Parametros!$C$19-Parametros!$B$19)*100)))</f>
        <v/>
      </c>
      <c r="G17" s="35" t="str">
        <f aca="false">IF(Input_Dados!J$17="","",MIN(100,MAX(0,(Input_Dados!J$17-Parametros!$B$19)/(Parametros!$C$19-Parametros!$B$19)*100)))</f>
        <v/>
      </c>
      <c r="H17" s="35" t="str">
        <f aca="false">IF(Input_Dados!K$17="","",MIN(100,MAX(0,(Input_Dados!K$17-Parametros!$B$19)/(Parametros!$C$19-Parametros!$B$19)*100)))</f>
        <v/>
      </c>
      <c r="I17" s="35" t="str">
        <f aca="false">IF(Input_Dados!L$17="","",MIN(100,MAX(0,(Input_Dados!L$17-Parametros!$B$19)/(Parametros!$C$19-Parametros!$B$19)*100)))</f>
        <v/>
      </c>
      <c r="J17" s="35" t="str">
        <f aca="false">IF(Input_Dados!M$17="","",MIN(100,MAX(0,(Input_Dados!M$17-Parametros!$B$19)/(Parametros!$C$19-Parametros!$B$19)*100)))</f>
        <v/>
      </c>
      <c r="K17" s="35" t="str">
        <f aca="false">IF(Input_Dados!N$17="","",MIN(100,MAX(0,(Input_Dados!N$17-Parametros!$B$19)/(Parametros!$C$19-Parametros!$B$19)*100)))</f>
        <v/>
      </c>
      <c r="L17" s="35" t="str">
        <f aca="false">IF(Input_Dados!O$17="","",MIN(100,MAX(0,(Input_Dados!O$17-Parametros!$B$19)/(Parametros!$C$19-Parametros!$B$19)*100)))</f>
        <v/>
      </c>
      <c r="M17" s="35" t="str">
        <f aca="false">IF(Input_Dados!P$17="","",MIN(100,MAX(0,(Input_Dados!P$17-Parametros!$B$19)/(Parametros!$C$19-Parametros!$B$19)*100)))</f>
        <v/>
      </c>
    </row>
    <row r="18" customFormat="false" ht="14.25" hidden="false" customHeight="true" outlineLevel="0" collapsed="false">
      <c r="A18" s="32" t="s">
        <v>102</v>
      </c>
      <c r="B18" s="34" t="s">
        <v>59</v>
      </c>
      <c r="C18" s="35" t="str">
        <f aca="false">IF(Input_Dados!F$18="","",MIN(100,MAX(0,(Input_Dados!F$18-Parametros!$B$20)/(Parametros!$C$20-Parametros!$B$20)*100)))</f>
        <v/>
      </c>
      <c r="D18" s="35" t="str">
        <f aca="false">IF(Input_Dados!G$18="","",MIN(100,MAX(0,(Input_Dados!G$18-Parametros!$B$20)/(Parametros!$C$20-Parametros!$B$20)*100)))</f>
        <v/>
      </c>
      <c r="E18" s="35" t="str">
        <f aca="false">IF(Input_Dados!H$18="","",MIN(100,MAX(0,(Input_Dados!H$18-Parametros!$B$20)/(Parametros!$C$20-Parametros!$B$20)*100)))</f>
        <v/>
      </c>
      <c r="F18" s="35" t="str">
        <f aca="false">IF(Input_Dados!I$18="","",MIN(100,MAX(0,(Input_Dados!I$18-Parametros!$B$20)/(Parametros!$C$20-Parametros!$B$20)*100)))</f>
        <v/>
      </c>
      <c r="G18" s="35" t="str">
        <f aca="false">IF(Input_Dados!J$18="","",MIN(100,MAX(0,(Input_Dados!J$18-Parametros!$B$20)/(Parametros!$C$20-Parametros!$B$20)*100)))</f>
        <v/>
      </c>
      <c r="H18" s="35" t="str">
        <f aca="false">IF(Input_Dados!K$18="","",MIN(100,MAX(0,(Input_Dados!K$18-Parametros!$B$20)/(Parametros!$C$20-Parametros!$B$20)*100)))</f>
        <v/>
      </c>
      <c r="I18" s="35" t="str">
        <f aca="false">IF(Input_Dados!L$18="","",MIN(100,MAX(0,(Input_Dados!L$18-Parametros!$B$20)/(Parametros!$C$20-Parametros!$B$20)*100)))</f>
        <v/>
      </c>
      <c r="J18" s="35" t="str">
        <f aca="false">IF(Input_Dados!M$18="","",MIN(100,MAX(0,(Input_Dados!M$18-Parametros!$B$20)/(Parametros!$C$20-Parametros!$B$20)*100)))</f>
        <v/>
      </c>
      <c r="K18" s="35" t="str">
        <f aca="false">IF(Input_Dados!N$18="","",MIN(100,MAX(0,(Input_Dados!N$18-Parametros!$B$20)/(Parametros!$C$20-Parametros!$B$20)*100)))</f>
        <v/>
      </c>
      <c r="L18" s="35" t="str">
        <f aca="false">IF(Input_Dados!O$18="","",MIN(100,MAX(0,(Input_Dados!O$18-Parametros!$B$20)/(Parametros!$C$20-Parametros!$B$20)*100)))</f>
        <v/>
      </c>
      <c r="M18" s="35" t="str">
        <f aca="false">IF(Input_Dados!P$18="","",MIN(100,MAX(0,(Input_Dados!P$18-Parametros!$B$20)/(Parametros!$C$20-Parametros!$B$20)*100)))</f>
        <v/>
      </c>
    </row>
    <row r="19" customFormat="false" ht="14.25" hidden="false" customHeight="true" outlineLevel="0" collapsed="false">
      <c r="A19" s="32" t="s">
        <v>104</v>
      </c>
      <c r="B19" s="34" t="s">
        <v>78</v>
      </c>
      <c r="C19" s="35" t="str">
        <f aca="false">IF(Input_Dados!F$19="","",MIN(100,MAX(0,(Parametros!$C$21-Input_Dados!F$19)/(Parametros!$C$21-Parametros!$B$21)*100)))</f>
        <v/>
      </c>
      <c r="D19" s="35" t="str">
        <f aca="false">IF(Input_Dados!G$19="","",MIN(100,MAX(0,(Parametros!$C$21-Input_Dados!G$19)/(Parametros!$C$21-Parametros!$B$21)*100)))</f>
        <v/>
      </c>
      <c r="E19" s="35" t="n">
        <f aca="false">IF(Input_Dados!H$19="","",MIN(100,MAX(0,(Parametros!$C$21-Input_Dados!H$19)/(Parametros!$C$21-Parametros!$B$21)*100)))</f>
        <v>59.2666666666667</v>
      </c>
      <c r="F19" s="35" t="n">
        <f aca="false">IF(Input_Dados!I$19="","",MIN(100,MAX(0,(Parametros!$C$21-Input_Dados!I$19)/(Parametros!$C$21-Parametros!$B$21)*100)))</f>
        <v>60</v>
      </c>
      <c r="G19" s="35" t="n">
        <f aca="false">IF(Input_Dados!J$19="","",MIN(100,MAX(0,(Parametros!$C$21-Input_Dados!J$19)/(Parametros!$C$21-Parametros!$B$21)*100)))</f>
        <v>60.7333333333333</v>
      </c>
      <c r="H19" s="35" t="n">
        <f aca="false">IF(Input_Dados!K$19="","",MIN(100,MAX(0,(Parametros!$C$21-Input_Dados!K$19)/(Parametros!$C$21-Parametros!$B$21)*100)))</f>
        <v>61.4666666666667</v>
      </c>
      <c r="I19" s="35" t="n">
        <f aca="false">IF(Input_Dados!L$19="","",MIN(100,MAX(0,(Parametros!$C$21-Input_Dados!L$19)/(Parametros!$C$21-Parametros!$B$21)*100)))</f>
        <v>62.1266666666667</v>
      </c>
      <c r="J19" s="35" t="n">
        <f aca="false">IF(Input_Dados!M$19="","",MIN(100,MAX(0,(Parametros!$C$21-Input_Dados!M$19)/(Parametros!$C$21-Parametros!$B$21)*100)))</f>
        <v>62.7733333333333</v>
      </c>
      <c r="K19" s="35" t="str">
        <f aca="false">IF(Input_Dados!N$19="","",MIN(100,MAX(0,(Parametros!$C$21-Input_Dados!N$19)/(Parametros!$C$21-Parametros!$B$21)*100)))</f>
        <v/>
      </c>
      <c r="L19" s="35" t="str">
        <f aca="false">IF(Input_Dados!O$19="","",MIN(100,MAX(0,(Parametros!$C$21-Input_Dados!O$19)/(Parametros!$C$21-Parametros!$B$21)*100)))</f>
        <v/>
      </c>
      <c r="M19" s="35" t="str">
        <f aca="false">IF(Input_Dados!P$19="","",MIN(100,MAX(0,(Parametros!$C$21-Input_Dados!P$19)/(Parametros!$C$21-Parametros!$B$21)*100)))</f>
        <v/>
      </c>
    </row>
    <row r="20" customFormat="false" ht="14.25" hidden="false" customHeight="true" outlineLevel="0" collapsed="false">
      <c r="A20" s="32" t="s">
        <v>108</v>
      </c>
      <c r="B20" s="34" t="s">
        <v>78</v>
      </c>
      <c r="C20" s="35" t="str">
        <f aca="false">IF(Input_Dados!F$20="","",MIN(100,MAX(0,(Parametros!$C$22-Input_Dados!F$20)/(Parametros!$C$22-Parametros!$B$22)*100)))</f>
        <v/>
      </c>
      <c r="D20" s="35" t="str">
        <f aca="false">IF(Input_Dados!G$20="","",MIN(100,MAX(0,(Parametros!$C$22-Input_Dados!G$20)/(Parametros!$C$22-Parametros!$B$22)*100)))</f>
        <v/>
      </c>
      <c r="E20" s="35" t="str">
        <f aca="false">IF(Input_Dados!H$20="","",MIN(100,MAX(0,(Parametros!$C$22-Input_Dados!H$20)/(Parametros!$C$22-Parametros!$B$22)*100)))</f>
        <v/>
      </c>
      <c r="F20" s="35" t="n">
        <f aca="false">IF(Input_Dados!I$20="","",MIN(100,MAX(0,(Parametros!$C$22-Input_Dados!I$20)/(Parametros!$C$22-Parametros!$B$22)*100)))</f>
        <v>61.125</v>
      </c>
      <c r="G20" s="35" t="str">
        <f aca="false">IF(Input_Dados!J$20="","",MIN(100,MAX(0,(Parametros!$C$22-Input_Dados!J$20)/(Parametros!$C$22-Parametros!$B$22)*100)))</f>
        <v/>
      </c>
      <c r="H20" s="35" t="str">
        <f aca="false">IF(Input_Dados!K$20="","",MIN(100,MAX(0,(Parametros!$C$22-Input_Dados!K$20)/(Parametros!$C$22-Parametros!$B$22)*100)))</f>
        <v/>
      </c>
      <c r="I20" s="35" t="str">
        <f aca="false">IF(Input_Dados!L$20="","",MIN(100,MAX(0,(Parametros!$C$22-Input_Dados!L$20)/(Parametros!$C$22-Parametros!$B$22)*100)))</f>
        <v/>
      </c>
      <c r="J20" s="35" t="str">
        <f aca="false">IF(Input_Dados!M$20="","",MIN(100,MAX(0,(Parametros!$C$22-Input_Dados!M$20)/(Parametros!$C$22-Parametros!$B$22)*100)))</f>
        <v/>
      </c>
      <c r="K20" s="35" t="str">
        <f aca="false">IF(Input_Dados!N$20="","",MIN(100,MAX(0,(Parametros!$C$22-Input_Dados!N$20)/(Parametros!$C$22-Parametros!$B$22)*100)))</f>
        <v/>
      </c>
      <c r="L20" s="35" t="str">
        <f aca="false">IF(Input_Dados!O$20="","",MIN(100,MAX(0,(Parametros!$C$22-Input_Dados!O$20)/(Parametros!$C$22-Parametros!$B$22)*100)))</f>
        <v/>
      </c>
      <c r="M20" s="35" t="str">
        <f aca="false">IF(Input_Dados!P$20="","",MIN(100,MAX(0,(Parametros!$C$22-Input_Dados!P$20)/(Parametros!$C$22-Parametros!$B$22)*100)))</f>
        <v/>
      </c>
    </row>
    <row r="21" customFormat="false" ht="14.25" hidden="false" customHeight="true" outlineLevel="0" collapsed="false">
      <c r="A21" s="32" t="s">
        <v>111</v>
      </c>
      <c r="B21" s="34" t="s">
        <v>78</v>
      </c>
      <c r="C21" s="35" t="str">
        <f aca="false">IF(Input_Dados!F$21="","",MIN(100,MAX(0,(Parametros!$C$23-Input_Dados!F$21)/(Parametros!$C$23-Parametros!$B$23)*100)))</f>
        <v/>
      </c>
      <c r="D21" s="35" t="str">
        <f aca="false">IF(Input_Dados!G$21="","",MIN(100,MAX(0,(Parametros!$C$23-Input_Dados!G$21)/(Parametros!$C$23-Parametros!$B$23)*100)))</f>
        <v/>
      </c>
      <c r="E21" s="35" t="str">
        <f aca="false">IF(Input_Dados!H$21="","",MIN(100,MAX(0,(Parametros!$C$23-Input_Dados!H$21)/(Parametros!$C$23-Parametros!$B$23)*100)))</f>
        <v/>
      </c>
      <c r="F21" s="35" t="n">
        <f aca="false">IF(Input_Dados!I$21="","",MIN(100,MAX(0,(Parametros!$C$23-Input_Dados!I$21)/(Parametros!$C$23-Parametros!$B$23)*100)))</f>
        <v>26.7142857142857</v>
      </c>
      <c r="G21" s="35" t="str">
        <f aca="false">IF(Input_Dados!J$21="","",MIN(100,MAX(0,(Parametros!$C$23-Input_Dados!J$21)/(Parametros!$C$23-Parametros!$B$23)*100)))</f>
        <v/>
      </c>
      <c r="H21" s="35" t="str">
        <f aca="false">IF(Input_Dados!K$21="","",MIN(100,MAX(0,(Parametros!$C$23-Input_Dados!K$21)/(Parametros!$C$23-Parametros!$B$23)*100)))</f>
        <v/>
      </c>
      <c r="I21" s="35" t="str">
        <f aca="false">IF(Input_Dados!L$21="","",MIN(100,MAX(0,(Parametros!$C$23-Input_Dados!L$21)/(Parametros!$C$23-Parametros!$B$23)*100)))</f>
        <v/>
      </c>
      <c r="J21" s="35" t="str">
        <f aca="false">IF(Input_Dados!M$21="","",MIN(100,MAX(0,(Parametros!$C$23-Input_Dados!M$21)/(Parametros!$C$23-Parametros!$B$23)*100)))</f>
        <v/>
      </c>
      <c r="K21" s="35" t="str">
        <f aca="false">IF(Input_Dados!N$21="","",MIN(100,MAX(0,(Parametros!$C$23-Input_Dados!N$21)/(Parametros!$C$23-Parametros!$B$23)*100)))</f>
        <v/>
      </c>
      <c r="L21" s="35" t="str">
        <f aca="false">IF(Input_Dados!O$21="","",MIN(100,MAX(0,(Parametros!$C$23-Input_Dados!O$21)/(Parametros!$C$23-Parametros!$B$23)*100)))</f>
        <v/>
      </c>
      <c r="M21" s="35" t="str">
        <f aca="false">IF(Input_Dados!P$21="","",MIN(100,MAX(0,(Parametros!$C$23-Input_Dados!P$21)/(Parametros!$C$23-Parametros!$B$23)*100)))</f>
        <v/>
      </c>
    </row>
    <row r="22" customFormat="false" ht="14.25" hidden="false" customHeight="true" outlineLevel="0" collapsed="false">
      <c r="A22" s="32" t="s">
        <v>113</v>
      </c>
      <c r="B22" s="34" t="s">
        <v>59</v>
      </c>
      <c r="C22" s="35" t="str">
        <f aca="false">IF(Input_Dados!F$22="","",MIN(100,MAX(0,(Input_Dados!F$22-Parametros!$B$24)/(Parametros!$C$24-Parametros!$B$24)*100)))</f>
        <v/>
      </c>
      <c r="D22" s="35" t="str">
        <f aca="false">IF(Input_Dados!G$22="","",MIN(100,MAX(0,(Input_Dados!G$22-Parametros!$B$24)/(Parametros!$C$24-Parametros!$B$24)*100)))</f>
        <v/>
      </c>
      <c r="E22" s="35" t="str">
        <f aca="false">IF(Input_Dados!H$22="","",MIN(100,MAX(0,(Input_Dados!H$22-Parametros!$B$24)/(Parametros!$C$24-Parametros!$B$24)*100)))</f>
        <v/>
      </c>
      <c r="F22" s="35" t="str">
        <f aca="false">IF(Input_Dados!I$22="","",MIN(100,MAX(0,(Input_Dados!I$22-Parametros!$B$24)/(Parametros!$C$24-Parametros!$B$24)*100)))</f>
        <v/>
      </c>
      <c r="G22" s="35" t="str">
        <f aca="false">IF(Input_Dados!J$22="","",MIN(100,MAX(0,(Input_Dados!J$22-Parametros!$B$24)/(Parametros!$C$24-Parametros!$B$24)*100)))</f>
        <v/>
      </c>
      <c r="H22" s="35" t="str">
        <f aca="false">IF(Input_Dados!K$22="","",MIN(100,MAX(0,(Input_Dados!K$22-Parametros!$B$24)/(Parametros!$C$24-Parametros!$B$24)*100)))</f>
        <v/>
      </c>
      <c r="I22" s="35" t="str">
        <f aca="false">IF(Input_Dados!L$22="","",MIN(100,MAX(0,(Input_Dados!L$22-Parametros!$B$24)/(Parametros!$C$24-Parametros!$B$24)*100)))</f>
        <v/>
      </c>
      <c r="J22" s="35" t="str">
        <f aca="false">IF(Input_Dados!M$22="","",MIN(100,MAX(0,(Input_Dados!M$22-Parametros!$B$24)/(Parametros!$C$24-Parametros!$B$24)*100)))</f>
        <v/>
      </c>
      <c r="K22" s="35" t="str">
        <f aca="false">IF(Input_Dados!N$22="","",MIN(100,MAX(0,(Input_Dados!N$22-Parametros!$B$24)/(Parametros!$C$24-Parametros!$B$24)*100)))</f>
        <v/>
      </c>
      <c r="L22" s="35" t="str">
        <f aca="false">IF(Input_Dados!O$22="","",MIN(100,MAX(0,(Input_Dados!O$22-Parametros!$B$24)/(Parametros!$C$24-Parametros!$B$24)*100)))</f>
        <v/>
      </c>
      <c r="M22" s="35" t="str">
        <f aca="false">IF(Input_Dados!P$22="","",MIN(100,MAX(0,(Input_Dados!P$22-Parametros!$B$24)/(Parametros!$C$24-Parametros!$B$24)*100)))</f>
        <v/>
      </c>
    </row>
    <row r="23" customFormat="false" ht="14.25" hidden="false" customHeight="true" outlineLevel="0" collapsed="false">
      <c r="A23" s="32" t="s">
        <v>115</v>
      </c>
      <c r="B23" s="34" t="s">
        <v>59</v>
      </c>
      <c r="C23" s="35" t="n">
        <f aca="false">IF(Input_Dados!F$23="","",MIN(100,MAX(0,(Input_Dados!F$23-Parametros!$B$25)/(Parametros!$C$25-Parametros!$B$25)*100)))</f>
        <v>63.7</v>
      </c>
      <c r="D23" s="35" t="n">
        <f aca="false">IF(Input_Dados!G$23="","",MIN(100,MAX(0,(Input_Dados!G$23-Parametros!$B$25)/(Parametros!$C$25-Parametros!$B$25)*100)))</f>
        <v>64.3</v>
      </c>
      <c r="E23" s="35" t="n">
        <f aca="false">IF(Input_Dados!H$23="","",MIN(100,MAX(0,(Input_Dados!H$23-Parametros!$B$25)/(Parametros!$C$25-Parametros!$B$25)*100)))</f>
        <v>64</v>
      </c>
      <c r="F23" s="35" t="n">
        <f aca="false">IF(Input_Dados!I$23="","",MIN(100,MAX(0,(Input_Dados!I$23-Parametros!$B$25)/(Parametros!$C$25-Parametros!$B$25)*100)))</f>
        <v>63.3</v>
      </c>
      <c r="G23" s="35" t="str">
        <f aca="false">IF(Input_Dados!J$23="","",MIN(100,MAX(0,(Input_Dados!J$23-Parametros!$B$25)/(Parametros!$C$25-Parametros!$B$25)*100)))</f>
        <v/>
      </c>
      <c r="H23" s="35" t="n">
        <f aca="false">IF(Input_Dados!K$23="","",MIN(100,MAX(0,(Input_Dados!K$23-Parametros!$B$25)/(Parametros!$C$25-Parametros!$B$25)*100)))</f>
        <v>66</v>
      </c>
      <c r="I23" s="35" t="n">
        <f aca="false">IF(Input_Dados!L$23="","",MIN(100,MAX(0,(Input_Dados!L$23-Parametros!$B$25)/(Parametros!$C$25-Parametros!$B$25)*100)))</f>
        <v>65.7</v>
      </c>
      <c r="J23" s="35" t="n">
        <f aca="false">IF(Input_Dados!M$23="","",MIN(100,MAX(0,(Input_Dados!M$23-Parametros!$B$25)/(Parametros!$C$25-Parametros!$B$25)*100)))</f>
        <v>63.8</v>
      </c>
      <c r="K23" s="35" t="n">
        <f aca="false">IF(Input_Dados!N$23="","",MIN(100,MAX(0,(Input_Dados!N$23-Parametros!$B$25)/(Parametros!$C$25-Parametros!$B$25)*100)))</f>
        <v>65.6</v>
      </c>
      <c r="L23" s="35" t="n">
        <f aca="false">IF(Input_Dados!O$23="","",MIN(100,MAX(0,(Input_Dados!O$23-Parametros!$B$25)/(Parametros!$C$25-Parametros!$B$25)*100)))</f>
        <v>66.8</v>
      </c>
      <c r="M23" s="35" t="n">
        <f aca="false">IF(Input_Dados!P$23="","",MIN(100,MAX(0,(Input_Dados!P$23-Parametros!$B$25)/(Parametros!$C$25-Parametros!$B$25)*100)))</f>
        <v>66.8</v>
      </c>
    </row>
    <row r="24" customFormat="false" ht="14.25" hidden="false" customHeight="true" outlineLevel="0" collapsed="false">
      <c r="A24" s="32" t="s">
        <v>118</v>
      </c>
      <c r="B24" s="34" t="s">
        <v>59</v>
      </c>
      <c r="C24" s="35" t="n">
        <f aca="false">IF(Input_Dados!F$24="","",MIN(100,MAX(0,(Input_Dados!F$24-Parametros!$B$26)/(Parametros!$C$26-Parametros!$B$26)*100)))</f>
        <v>12.7586206896552</v>
      </c>
      <c r="D24" s="35" t="n">
        <f aca="false">IF(Input_Dados!G$24="","",MIN(100,MAX(0,(Input_Dados!G$24-Parametros!$B$26)/(Parametros!$C$26-Parametros!$B$26)*100)))</f>
        <v>17.9310344827586</v>
      </c>
      <c r="E24" s="35" t="n">
        <f aca="false">IF(Input_Dados!H$24="","",MIN(100,MAX(0,(Input_Dados!H$24-Parametros!$B$26)/(Parametros!$C$26-Parametros!$B$26)*100)))</f>
        <v>16.2068965517241</v>
      </c>
      <c r="F24" s="35" t="n">
        <f aca="false">IF(Input_Dados!I$24="","",MIN(100,MAX(0,(Input_Dados!I$24-Parametros!$B$26)/(Parametros!$C$26-Parametros!$B$26)*100)))</f>
        <v>13.448275862069</v>
      </c>
      <c r="G24" s="35" t="n">
        <f aca="false">IF(Input_Dados!J$24="","",MIN(100,MAX(0,(Input_Dados!J$24-Parametros!$B$26)/(Parametros!$C$26-Parametros!$B$26)*100)))</f>
        <v>12.4137931034483</v>
      </c>
      <c r="H24" s="35" t="n">
        <f aca="false">IF(Input_Dados!K$24="","",MIN(100,MAX(0,(Input_Dados!K$24-Parametros!$B$26)/(Parametros!$C$26-Parametros!$B$26)*100)))</f>
        <v>12.0689655172414</v>
      </c>
      <c r="I24" s="35" t="n">
        <f aca="false">IF(Input_Dados!L$24="","",MIN(100,MAX(0,(Input_Dados!L$24-Parametros!$B$26)/(Parametros!$C$26-Parametros!$B$26)*100)))</f>
        <v>12.4137931034483</v>
      </c>
      <c r="J24" s="35" t="n">
        <f aca="false">IF(Input_Dados!M$24="","",MIN(100,MAX(0,(Input_Dados!M$24-Parametros!$B$26)/(Parametros!$C$26-Parametros!$B$26)*100)))</f>
        <v>13.1034482758621</v>
      </c>
      <c r="K24" s="35" t="n">
        <f aca="false">IF(Input_Dados!N$24="","",MIN(100,MAX(0,(Input_Dados!N$24-Parametros!$B$26)/(Parametros!$C$26-Parametros!$B$26)*100)))</f>
        <v>13.7931034482759</v>
      </c>
      <c r="L24" s="35" t="n">
        <f aca="false">IF(Input_Dados!O$24="","",MIN(100,MAX(0,(Input_Dados!O$24-Parametros!$B$26)/(Parametros!$C$26-Parametros!$B$26)*100)))</f>
        <v>16.1379310344828</v>
      </c>
      <c r="M24" s="35" t="n">
        <f aca="false">IF(Input_Dados!P$24="","",MIN(100,MAX(0,(Input_Dados!P$24-Parametros!$B$26)/(Parametros!$C$26-Parametros!$B$26)*100)))</f>
        <v>16.551724137931</v>
      </c>
    </row>
    <row r="25" customFormat="false" ht="14.25" hidden="false" customHeight="true" outlineLevel="0" collapsed="false">
      <c r="A25" s="32" t="s">
        <v>122</v>
      </c>
      <c r="B25" s="34" t="s">
        <v>59</v>
      </c>
      <c r="C25" s="35" t="n">
        <f aca="false">IF(Input_Dados!F$25="","",MIN(100,MAX(0,(Input_Dados!F$25-Parametros!$B$27)/(Parametros!$C$27-Parametros!$B$27)*100)))</f>
        <v>42</v>
      </c>
      <c r="D25" s="35" t="n">
        <f aca="false">IF(Input_Dados!G$25="","",MIN(100,MAX(0,(Input_Dados!G$25-Parametros!$B$27)/(Parametros!$C$27-Parametros!$B$27)*100)))</f>
        <v>41.8</v>
      </c>
      <c r="E25" s="35" t="n">
        <f aca="false">IF(Input_Dados!H$25="","",MIN(100,MAX(0,(Input_Dados!H$25-Parametros!$B$27)/(Parametros!$C$27-Parametros!$B$27)*100)))</f>
        <v>42.9</v>
      </c>
      <c r="F25" s="35" t="n">
        <f aca="false">IF(Input_Dados!I$25="","",MIN(100,MAX(0,(Input_Dados!I$25-Parametros!$B$27)/(Parametros!$C$27-Parametros!$B$27)*100)))</f>
        <v>45.3</v>
      </c>
      <c r="G25" s="35" t="n">
        <f aca="false">IF(Input_Dados!J$25="","",MIN(100,MAX(0,(Input_Dados!J$25-Parametros!$B$27)/(Parametros!$C$27-Parametros!$B$27)*100)))</f>
        <v>45.6</v>
      </c>
      <c r="H25" s="35" t="n">
        <f aca="false">IF(Input_Dados!K$25="","",MIN(100,MAX(0,(Input_Dados!K$25-Parametros!$B$27)/(Parametros!$C$27-Parametros!$B$27)*100)))</f>
        <v>47</v>
      </c>
      <c r="I25" s="35" t="n">
        <f aca="false">IF(Input_Dados!L$25="","",MIN(100,MAX(0,(Input_Dados!L$25-Parametros!$B$27)/(Parametros!$C$27-Parametros!$B$27)*100)))</f>
        <v>48.2</v>
      </c>
      <c r="J25" s="35" t="n">
        <f aca="false">IF(Input_Dados!M$25="","",MIN(100,MAX(0,(Input_Dados!M$25-Parametros!$B$27)/(Parametros!$C$27-Parametros!$B$27)*100)))</f>
        <v>48.5</v>
      </c>
      <c r="K25" s="35" t="n">
        <f aca="false">IF(Input_Dados!N$25="","",MIN(100,MAX(0,(Input_Dados!N$25-Parametros!$B$27)/(Parametros!$C$27-Parametros!$B$27)*100)))</f>
        <v>51.1</v>
      </c>
      <c r="L25" s="35" t="str">
        <f aca="false">IF(Input_Dados!O$25="","",MIN(100,MAX(0,(Input_Dados!O$25-Parametros!$B$27)/(Parametros!$C$27-Parametros!$B$27)*100)))</f>
        <v/>
      </c>
      <c r="M25" s="35" t="str">
        <f aca="false">IF(Input_Dados!P$25="","",MIN(100,MAX(0,(Input_Dados!P$25-Parametros!$B$27)/(Parametros!$C$27-Parametros!$B$27)*100)))</f>
        <v/>
      </c>
    </row>
    <row r="26" customFormat="false" ht="14.25" hidden="false" customHeight="true" outlineLevel="0" collapsed="false">
      <c r="A26" s="32" t="s">
        <v>125</v>
      </c>
      <c r="B26" s="34" t="s">
        <v>59</v>
      </c>
      <c r="C26" s="35" t="n">
        <f aca="false">IF(Input_Dados!F$26="","",MIN(100,MAX(0,(Input_Dados!F$26-Parametros!$B$28)/(Parametros!$C$28-Parametros!$B$28)*100)))</f>
        <v>54.3</v>
      </c>
      <c r="D26" s="35" t="n">
        <f aca="false">IF(Input_Dados!G$26="","",MIN(100,MAX(0,(Input_Dados!G$26-Parametros!$B$28)/(Parametros!$C$28-Parametros!$B$28)*100)))</f>
        <v>55.1</v>
      </c>
      <c r="E26" s="35" t="n">
        <f aca="false">IF(Input_Dados!H$26="","",MIN(100,MAX(0,(Input_Dados!H$26-Parametros!$B$28)/(Parametros!$C$28-Parametros!$B$28)*100)))</f>
        <v>55.8</v>
      </c>
      <c r="F26" s="35" t="n">
        <f aca="false">IF(Input_Dados!I$26="","",MIN(100,MAX(0,(Input_Dados!I$26-Parametros!$B$28)/(Parametros!$C$28-Parametros!$B$28)*100)))</f>
        <v>56.6</v>
      </c>
      <c r="G26" s="35" t="n">
        <f aca="false">IF(Input_Dados!J$26="","",MIN(100,MAX(0,(Input_Dados!J$26-Parametros!$B$28)/(Parametros!$C$28-Parametros!$B$28)*100)))</f>
        <v>56.9</v>
      </c>
      <c r="H26" s="35" t="n">
        <f aca="false">IF(Input_Dados!K$26="","",MIN(100,MAX(0,(Input_Dados!K$26-Parametros!$B$28)/(Parametros!$C$28-Parametros!$B$28)*100)))</f>
        <v>57.2</v>
      </c>
      <c r="I26" s="35" t="n">
        <f aca="false">IF(Input_Dados!L$26="","",MIN(100,MAX(0,(Input_Dados!L$26-Parametros!$B$28)/(Parametros!$C$28-Parametros!$B$28)*100)))</f>
        <v>57.4</v>
      </c>
      <c r="J26" s="35" t="n">
        <f aca="false">IF(Input_Dados!M$26="","",MIN(100,MAX(0,(Input_Dados!M$26-Parametros!$B$28)/(Parametros!$C$28-Parametros!$B$28)*100)))</f>
        <v>57.7</v>
      </c>
      <c r="K26" s="35" t="str">
        <f aca="false">IF(Input_Dados!N$26="","",MIN(100,MAX(0,(Input_Dados!N$26-Parametros!$B$28)/(Parametros!$C$28-Parametros!$B$28)*100)))</f>
        <v/>
      </c>
      <c r="L26" s="35" t="str">
        <f aca="false">IF(Input_Dados!O$26="","",MIN(100,MAX(0,(Input_Dados!O$26-Parametros!$B$28)/(Parametros!$C$28-Parametros!$B$28)*100)))</f>
        <v/>
      </c>
      <c r="M26" s="35" t="str">
        <f aca="false">IF(Input_Dados!P$26="","",MIN(100,MAX(0,(Input_Dados!P$26-Parametros!$B$28)/(Parametros!$C$28-Parametros!$B$28)*100)))</f>
        <v/>
      </c>
    </row>
    <row r="27" customFormat="false" ht="14.25" hidden="false" customHeight="true" outlineLevel="0" collapsed="false">
      <c r="A27" s="32" t="s">
        <v>128</v>
      </c>
      <c r="B27" s="34" t="s">
        <v>59</v>
      </c>
      <c r="C27" s="35" t="n">
        <f aca="false">IF(Input_Dados!F$27="","",MIN(100,MAX(0,(Input_Dados!F$27-Parametros!$B$29)/(Parametros!$C$29-Parametros!$B$29)*100)))</f>
        <v>47</v>
      </c>
      <c r="D27" s="35" t="n">
        <f aca="false">IF(Input_Dados!G$27="","",MIN(100,MAX(0,(Input_Dados!G$27-Parametros!$B$29)/(Parametros!$C$29-Parametros!$B$29)*100)))</f>
        <v>48</v>
      </c>
      <c r="E27" s="35" t="n">
        <f aca="false">IF(Input_Dados!H$27="","",MIN(100,MAX(0,(Input_Dados!H$27-Parametros!$B$29)/(Parametros!$C$29-Parametros!$B$29)*100)))</f>
        <v>48</v>
      </c>
      <c r="F27" s="35" t="n">
        <f aca="false">IF(Input_Dados!I$27="","",MIN(100,MAX(0,(Input_Dados!I$27-Parametros!$B$29)/(Parametros!$C$29-Parametros!$B$29)*100)))</f>
        <v>49</v>
      </c>
      <c r="G27" s="35" t="n">
        <f aca="false">IF(Input_Dados!J$27="","",MIN(100,MAX(0,(Input_Dados!J$27-Parametros!$B$29)/(Parametros!$C$29-Parametros!$B$29)*100)))</f>
        <v>50</v>
      </c>
      <c r="H27" s="35" t="n">
        <f aca="false">IF(Input_Dados!K$27="","",MIN(100,MAX(0,(Input_Dados!K$27-Parametros!$B$29)/(Parametros!$C$29-Parametros!$B$29)*100)))</f>
        <v>50</v>
      </c>
      <c r="I27" s="35" t="n">
        <f aca="false">IF(Input_Dados!L$27="","",MIN(100,MAX(0,(Input_Dados!L$27-Parametros!$B$29)/(Parametros!$C$29-Parametros!$B$29)*100)))</f>
        <v>50</v>
      </c>
      <c r="J27" s="35" t="n">
        <f aca="false">IF(Input_Dados!M$27="","",MIN(100,MAX(0,(Input_Dados!M$27-Parametros!$B$29)/(Parametros!$C$29-Parametros!$B$29)*100)))</f>
        <v>50</v>
      </c>
      <c r="K27" s="35" t="str">
        <f aca="false">IF(Input_Dados!N$27="","",MIN(100,MAX(0,(Input_Dados!N$27-Parametros!$B$29)/(Parametros!$C$29-Parametros!$B$29)*100)))</f>
        <v/>
      </c>
      <c r="L27" s="35" t="str">
        <f aca="false">IF(Input_Dados!O$27="","",MIN(100,MAX(0,(Input_Dados!O$27-Parametros!$B$29)/(Parametros!$C$29-Parametros!$B$29)*100)))</f>
        <v/>
      </c>
      <c r="M27" s="35" t="str">
        <f aca="false">IF(Input_Dados!P$27="","",MIN(100,MAX(0,(Input_Dados!P$27-Parametros!$B$29)/(Parametros!$C$29-Parametros!$B$29)*100)))</f>
        <v/>
      </c>
    </row>
    <row r="28" customFormat="false" ht="14.25" hidden="false" customHeight="true" outlineLevel="0" collapsed="false">
      <c r="A28" s="32" t="s">
        <v>130</v>
      </c>
      <c r="B28" s="34" t="s">
        <v>59</v>
      </c>
      <c r="C28" s="35" t="str">
        <f aca="false">IF(Input_Dados!F$28="","",MIN(100,MAX(0,(Input_Dados!F$28-Parametros!$B$30)/(Parametros!$C$30-Parametros!$B$30)*100)))</f>
        <v/>
      </c>
      <c r="D28" s="35" t="str">
        <f aca="false">IF(Input_Dados!G$28="","",MIN(100,MAX(0,(Input_Dados!G$28-Parametros!$B$30)/(Parametros!$C$30-Parametros!$B$30)*100)))</f>
        <v/>
      </c>
      <c r="E28" s="35" t="str">
        <f aca="false">IF(Input_Dados!H$28="","",MIN(100,MAX(0,(Input_Dados!H$28-Parametros!$B$30)/(Parametros!$C$30-Parametros!$B$30)*100)))</f>
        <v/>
      </c>
      <c r="F28" s="35" t="str">
        <f aca="false">IF(Input_Dados!I$28="","",MIN(100,MAX(0,(Input_Dados!I$28-Parametros!$B$30)/(Parametros!$C$30-Parametros!$B$30)*100)))</f>
        <v/>
      </c>
      <c r="G28" s="35" t="str">
        <f aca="false">IF(Input_Dados!J$28="","",MIN(100,MAX(0,(Input_Dados!J$28-Parametros!$B$30)/(Parametros!$C$30-Parametros!$B$30)*100)))</f>
        <v/>
      </c>
      <c r="H28" s="35" t="str">
        <f aca="false">IF(Input_Dados!K$28="","",MIN(100,MAX(0,(Input_Dados!K$28-Parametros!$B$30)/(Parametros!$C$30-Parametros!$B$30)*100)))</f>
        <v/>
      </c>
      <c r="I28" s="35" t="str">
        <f aca="false">IF(Input_Dados!L$28="","",MIN(100,MAX(0,(Input_Dados!L$28-Parametros!$B$30)/(Parametros!$C$30-Parametros!$B$30)*100)))</f>
        <v/>
      </c>
      <c r="J28" s="35" t="str">
        <f aca="false">IF(Input_Dados!M$28="","",MIN(100,MAX(0,(Input_Dados!M$28-Parametros!$B$30)/(Parametros!$C$30-Parametros!$B$30)*100)))</f>
        <v/>
      </c>
      <c r="K28" s="35" t="str">
        <f aca="false">IF(Input_Dados!N$28="","",MIN(100,MAX(0,(Input_Dados!N$28-Parametros!$B$30)/(Parametros!$C$30-Parametros!$B$30)*100)))</f>
        <v/>
      </c>
      <c r="L28" s="35" t="str">
        <f aca="false">IF(Input_Dados!O$28="","",MIN(100,MAX(0,(Input_Dados!O$28-Parametros!$B$30)/(Parametros!$C$30-Parametros!$B$30)*100)))</f>
        <v/>
      </c>
      <c r="M28" s="35" t="str">
        <f aca="false">IF(Input_Dados!P$28="","",MIN(100,MAX(0,(Input_Dados!P$28-Parametros!$B$30)/(Parametros!$C$30-Parametros!$B$30)*100)))</f>
        <v/>
      </c>
    </row>
    <row r="29" customFormat="false" ht="14.25" hidden="false" customHeight="true" outlineLevel="0" collapsed="false">
      <c r="A29" s="32" t="s">
        <v>133</v>
      </c>
      <c r="B29" s="34" t="s">
        <v>59</v>
      </c>
      <c r="C29" s="35" t="n">
        <f aca="false">IF(Input_Dados!F$29="","",MIN(100,MAX(0,(Input_Dados!F$29-Parametros!$B$31)/(Parametros!$C$31-Parametros!$B$31)*100)))</f>
        <v>22</v>
      </c>
      <c r="D29" s="35" t="n">
        <f aca="false">IF(Input_Dados!G$29="","",MIN(100,MAX(0,(Input_Dados!G$29-Parametros!$B$31)/(Parametros!$C$31-Parametros!$B$31)*100)))</f>
        <v>23.2</v>
      </c>
      <c r="E29" s="35" t="n">
        <f aca="false">IF(Input_Dados!H$29="","",MIN(100,MAX(0,(Input_Dados!H$29-Parametros!$B$31)/(Parametros!$C$31-Parametros!$B$31)*100)))</f>
        <v>26</v>
      </c>
      <c r="F29" s="35" t="n">
        <f aca="false">IF(Input_Dados!I$29="","",MIN(100,MAX(0,(Input_Dados!I$29-Parametros!$B$31)/(Parametros!$C$31-Parametros!$B$31)*100)))</f>
        <v>29</v>
      </c>
      <c r="G29" s="35" t="n">
        <f aca="false">IF(Input_Dados!J$29="","",MIN(100,MAX(0,(Input_Dados!J$29-Parametros!$B$31)/(Parametros!$C$31-Parametros!$B$31)*100)))</f>
        <v>32.1</v>
      </c>
      <c r="H29" s="35" t="n">
        <f aca="false">IF(Input_Dados!K$29="","",MIN(100,MAX(0,(Input_Dados!K$29-Parametros!$B$31)/(Parametros!$C$31-Parametros!$B$31)*100)))</f>
        <v>36.6</v>
      </c>
      <c r="I29" s="35" t="n">
        <f aca="false">IF(Input_Dados!L$29="","",MIN(100,MAX(0,(Input_Dados!L$29-Parametros!$B$31)/(Parametros!$C$31-Parametros!$B$31)*100)))</f>
        <v>39.3</v>
      </c>
      <c r="J29" s="35" t="n">
        <f aca="false">IF(Input_Dados!M$29="","",MIN(100,MAX(0,(Input_Dados!M$29-Parametros!$B$31)/(Parametros!$C$31-Parametros!$B$31)*100)))</f>
        <v>42</v>
      </c>
      <c r="K29" s="35" t="n">
        <f aca="false">IF(Input_Dados!N$29="","",MIN(100,MAX(0,(Input_Dados!N$29-Parametros!$B$31)/(Parametros!$C$31-Parametros!$B$31)*100)))</f>
        <v>44</v>
      </c>
      <c r="L29" s="35" t="str">
        <f aca="false">IF(Input_Dados!O$29="","",MIN(100,MAX(0,(Input_Dados!O$29-Parametros!$B$31)/(Parametros!$C$31-Parametros!$B$31)*100)))</f>
        <v/>
      </c>
      <c r="M29" s="35" t="str">
        <f aca="false">IF(Input_Dados!P$29="","",MIN(100,MAX(0,(Input_Dados!P$29-Parametros!$B$31)/(Parametros!$C$31-Parametros!$B$31)*100)))</f>
        <v/>
      </c>
    </row>
    <row r="30" customFormat="false" ht="14.25" hidden="false" customHeight="true" outlineLevel="0" collapsed="false">
      <c r="A30" s="32" t="s">
        <v>135</v>
      </c>
      <c r="B30" s="34" t="s">
        <v>59</v>
      </c>
      <c r="C30" s="35" t="n">
        <f aca="false">IF(Input_Dados!F$30="","",MIN(100,MAX(0,(Input_Dados!F$30-Parametros!$B$32)/(Parametros!$C$32-Parametros!$B$32)*100)))</f>
        <v>29</v>
      </c>
      <c r="D30" s="35" t="n">
        <f aca="false">IF(Input_Dados!G$30="","",MIN(100,MAX(0,(Input_Dados!G$30-Parametros!$B$32)/(Parametros!$C$32-Parametros!$B$32)*100)))</f>
        <v>29</v>
      </c>
      <c r="E30" s="35" t="n">
        <f aca="false">IF(Input_Dados!H$30="","",MIN(100,MAX(0,(Input_Dados!H$30-Parametros!$B$32)/(Parametros!$C$32-Parametros!$B$32)*100)))</f>
        <v>29</v>
      </c>
      <c r="F30" s="35" t="n">
        <f aca="false">IF(Input_Dados!I$30="","",MIN(100,MAX(0,(Input_Dados!I$30-Parametros!$B$32)/(Parametros!$C$32-Parametros!$B$32)*100)))</f>
        <v>29</v>
      </c>
      <c r="G30" s="35" t="n">
        <f aca="false">IF(Input_Dados!J$30="","",MIN(100,MAX(0,(Input_Dados!J$30-Parametros!$B$32)/(Parametros!$C$32-Parametros!$B$32)*100)))</f>
        <v>29</v>
      </c>
      <c r="H30" s="35" t="n">
        <f aca="false">IF(Input_Dados!K$30="","",MIN(100,MAX(0,(Input_Dados!K$30-Parametros!$B$32)/(Parametros!$C$32-Parametros!$B$32)*100)))</f>
        <v>30</v>
      </c>
      <c r="I30" s="35" t="n">
        <f aca="false">IF(Input_Dados!L$30="","",MIN(100,MAX(0,(Input_Dados!L$30-Parametros!$B$32)/(Parametros!$C$32-Parametros!$B$32)*100)))</f>
        <v>31</v>
      </c>
      <c r="J30" s="35" t="n">
        <f aca="false">IF(Input_Dados!M$30="","",MIN(100,MAX(0,(Input_Dados!M$30-Parametros!$B$32)/(Parametros!$C$32-Parametros!$B$32)*100)))</f>
        <v>31</v>
      </c>
      <c r="K30" s="35" t="n">
        <f aca="false">IF(Input_Dados!N$30="","",MIN(100,MAX(0,(Input_Dados!N$30-Parametros!$B$32)/(Parametros!$C$32-Parametros!$B$32)*100)))</f>
        <v>32</v>
      </c>
      <c r="L30" s="35" t="n">
        <f aca="false">IF(Input_Dados!O$30="","",MIN(100,MAX(0,(Input_Dados!O$30-Parametros!$B$32)/(Parametros!$C$32-Parametros!$B$32)*100)))</f>
        <v>33</v>
      </c>
      <c r="M30" s="35" t="str">
        <f aca="false">IF(Input_Dados!P$30="","",MIN(100,MAX(0,(Input_Dados!P$30-Parametros!$B$32)/(Parametros!$C$32-Parametros!$B$32)*100)))</f>
        <v/>
      </c>
    </row>
    <row r="31" customFormat="false" ht="14.25" hidden="false" customHeight="true" outlineLevel="0" collapsed="false">
      <c r="A31" s="32" t="s">
        <v>140</v>
      </c>
      <c r="B31" s="34" t="s">
        <v>59</v>
      </c>
      <c r="C31" s="35" t="str">
        <f aca="false">IF(Input_Dados!F$31="","",MIN(100,MAX(0,(Input_Dados!F$31-Parametros!$B$33)/(Parametros!$C$33-Parametros!$B$33)*100)))</f>
        <v/>
      </c>
      <c r="D31" s="35" t="str">
        <f aca="false">IF(Input_Dados!G$31="","",MIN(100,MAX(0,(Input_Dados!G$31-Parametros!$B$33)/(Parametros!$C$33-Parametros!$B$33)*100)))</f>
        <v/>
      </c>
      <c r="E31" s="35" t="str">
        <f aca="false">IF(Input_Dados!H$31="","",MIN(100,MAX(0,(Input_Dados!H$31-Parametros!$B$33)/(Parametros!$C$33-Parametros!$B$33)*100)))</f>
        <v/>
      </c>
      <c r="F31" s="35" t="str">
        <f aca="false">IF(Input_Dados!I$31="","",MIN(100,MAX(0,(Input_Dados!I$31-Parametros!$B$33)/(Parametros!$C$33-Parametros!$B$33)*100)))</f>
        <v/>
      </c>
      <c r="G31" s="35" t="n">
        <f aca="false">IF(Input_Dados!J$31="","",MIN(100,MAX(0,(Input_Dados!J$31-Parametros!$B$33)/(Parametros!$C$33-Parametros!$B$33)*100)))</f>
        <v>61.1901621160791</v>
      </c>
      <c r="H31" s="35" t="n">
        <f aca="false">IF(Input_Dados!K$31="","",MIN(100,MAX(0,(Input_Dados!K$31-Parametros!$B$33)/(Parametros!$C$33-Parametros!$B$33)*100)))</f>
        <v>60.774758729572</v>
      </c>
      <c r="I31" s="35" t="n">
        <f aca="false">IF(Input_Dados!L$31="","",MIN(100,MAX(0,(Input_Dados!L$31-Parametros!$B$33)/(Parametros!$C$33-Parametros!$B$33)*100)))</f>
        <v>61.4914681422329</v>
      </c>
      <c r="J31" s="35" t="n">
        <f aca="false">IF(Input_Dados!M$31="","",MIN(100,MAX(0,(Input_Dados!M$31-Parametros!$B$33)/(Parametros!$C$33-Parametros!$B$33)*100)))</f>
        <v>62.7156133390014</v>
      </c>
      <c r="K31" s="35" t="n">
        <f aca="false">IF(Input_Dados!N$31="","",MIN(100,MAX(0,(Input_Dados!N$31-Parametros!$B$33)/(Parametros!$C$33-Parametros!$B$33)*100)))</f>
        <v>60.65331506458</v>
      </c>
      <c r="L31" s="35" t="n">
        <f aca="false">IF(Input_Dados!O$31="","",MIN(100,MAX(0,(Input_Dados!O$31-Parametros!$B$33)/(Parametros!$C$33-Parametros!$B$33)*100)))</f>
        <v>61.6661477026761</v>
      </c>
      <c r="M31" s="35" t="n">
        <f aca="false">IF(Input_Dados!P$31="","",MIN(100,MAX(0,(Input_Dados!P$31-Parametros!$B$33)/(Parametros!$C$33-Parametros!$B$33)*100)))</f>
        <v>64.4412865666951</v>
      </c>
    </row>
    <row r="32" customFormat="false" ht="14.25" hidden="false" customHeight="true" outlineLevel="0" collapsed="false">
      <c r="A32" s="32" t="s">
        <v>141</v>
      </c>
      <c r="B32" s="34" t="s">
        <v>78</v>
      </c>
      <c r="C32" s="35" t="str">
        <f aca="false">IF(Input_Dados!F$32="","",MIN(100,MAX(0,(Parametros!$C$34-Input_Dados!F$32)/(Parametros!$C$34-Parametros!$B$34)*100)))</f>
        <v/>
      </c>
      <c r="D32" s="35" t="str">
        <f aca="false">IF(Input_Dados!G$32="","",MIN(100,MAX(0,(Parametros!$C$34-Input_Dados!G$32)/(Parametros!$C$34-Parametros!$B$34)*100)))</f>
        <v/>
      </c>
      <c r="E32" s="35" t="str">
        <f aca="false">IF(Input_Dados!H$32="","",MIN(100,MAX(0,(Parametros!$C$34-Input_Dados!H$32)/(Parametros!$C$34-Parametros!$B$34)*100)))</f>
        <v/>
      </c>
      <c r="F32" s="35" t="str">
        <f aca="false">IF(Input_Dados!I$32="","",MIN(100,MAX(0,(Parametros!$C$34-Input_Dados!I$32)/(Parametros!$C$34-Parametros!$B$34)*100)))</f>
        <v/>
      </c>
      <c r="G32" s="35" t="n">
        <f aca="false">IF(Input_Dados!J$32="","",MIN(100,MAX(0,(Parametros!$C$34-Input_Dados!J$32)/(Parametros!$C$34-Parametros!$B$34)*100)))</f>
        <v>39.5823063017436</v>
      </c>
      <c r="H32" s="35" t="n">
        <f aca="false">IF(Input_Dados!K$32="","",MIN(100,MAX(0,(Parametros!$C$34-Input_Dados!K$32)/(Parametros!$C$34-Parametros!$B$34)*100)))</f>
        <v>35.6378258561456</v>
      </c>
      <c r="I32" s="35" t="n">
        <f aca="false">IF(Input_Dados!L$32="","",MIN(100,MAX(0,(Parametros!$C$34-Input_Dados!L$32)/(Parametros!$C$34-Parametros!$B$34)*100)))</f>
        <v>35.3585481506208</v>
      </c>
      <c r="J32" s="35" t="n">
        <f aca="false">IF(Input_Dados!M$32="","",MIN(100,MAX(0,(Parametros!$C$34-Input_Dados!M$32)/(Parametros!$C$34-Parametros!$B$34)*100)))</f>
        <v>39.6893270298428</v>
      </c>
      <c r="K32" s="35" t="n">
        <f aca="false">IF(Input_Dados!N$32="","",MIN(100,MAX(0,(Parametros!$C$34-Input_Dados!N$32)/(Parametros!$C$34-Parametros!$B$34)*100)))</f>
        <v>36.2942782040048</v>
      </c>
      <c r="L32" s="35" t="n">
        <f aca="false">IF(Input_Dados!O$32="","",MIN(100,MAX(0,(Parametros!$C$34-Input_Dados!O$32)/(Parametros!$C$34-Parametros!$B$34)*100)))</f>
        <v>37.0672947511612</v>
      </c>
      <c r="M32" s="35" t="n">
        <f aca="false">IF(Input_Dados!P$32="","",MIN(100,MAX(0,(Parametros!$C$34-Input_Dados!P$32)/(Parametros!$C$34-Parametros!$B$34)*100)))</f>
        <v>46.2787780458574</v>
      </c>
    </row>
    <row r="33" customFormat="false" ht="14.25" hidden="false" customHeight="true" outlineLevel="0" collapsed="false">
      <c r="A33" s="32" t="s">
        <v>173</v>
      </c>
      <c r="B33" s="34" t="s">
        <v>78</v>
      </c>
      <c r="C33" s="35" t="str">
        <f aca="false">IF(Input_Dados!F$33="","",MIN(100,MAX(0,(Parametros!$C$35-Input_Dados!F$33)/(Parametros!$C$35-Parametros!$B$35)*100)))</f>
        <v/>
      </c>
      <c r="D33" s="35" t="str">
        <f aca="false">IF(Input_Dados!G$33="","",MIN(100,MAX(0,(Parametros!$C$35-Input_Dados!G$33)/(Parametros!$C$35-Parametros!$B$35)*100)))</f>
        <v/>
      </c>
      <c r="E33" s="35" t="str">
        <f aca="false">IF(Input_Dados!H$33="","",MIN(100,MAX(0,(Parametros!$C$35-Input_Dados!H$33)/(Parametros!$C$35-Parametros!$B$35)*100)))</f>
        <v/>
      </c>
      <c r="F33" s="35" t="str">
        <f aca="false">IF(Input_Dados!I$33="","",MIN(100,MAX(0,(Parametros!$C$35-Input_Dados!I$33)/(Parametros!$C$35-Parametros!$B$35)*100)))</f>
        <v/>
      </c>
      <c r="G33" s="35" t="str">
        <f aca="false">IF(Input_Dados!J$33="","",MIN(100,MAX(0,(Parametros!$C$35-Input_Dados!J$33)/(Parametros!$C$35-Parametros!$B$35)*100)))</f>
        <v/>
      </c>
      <c r="H33" s="35" t="str">
        <f aca="false">IF(Input_Dados!K$33="","",MIN(100,MAX(0,(Parametros!$C$35-Input_Dados!K$33)/(Parametros!$C$35-Parametros!$B$35)*100)))</f>
        <v/>
      </c>
      <c r="I33" s="35" t="str">
        <f aca="false">IF(Input_Dados!L$33="","",MIN(100,MAX(0,(Parametros!$C$35-Input_Dados!L$33)/(Parametros!$C$35-Parametros!$B$35)*100)))</f>
        <v/>
      </c>
      <c r="J33" s="35" t="str">
        <f aca="false">IF(Input_Dados!M$33="","",MIN(100,MAX(0,(Parametros!$C$35-Input_Dados!M$33)/(Parametros!$C$35-Parametros!$B$35)*100)))</f>
        <v/>
      </c>
      <c r="K33" s="35" t="str">
        <f aca="false">IF(Input_Dados!N$33="","",MIN(100,MAX(0,(Parametros!$C$35-Input_Dados!N$33)/(Parametros!$C$35-Parametros!$B$35)*100)))</f>
        <v/>
      </c>
      <c r="L33" s="35" t="str">
        <f aca="false">IF(Input_Dados!O$33="","",MIN(100,MAX(0,(Parametros!$C$35-Input_Dados!O$33)/(Parametros!$C$35-Parametros!$B$35)*100)))</f>
        <v/>
      </c>
      <c r="M33" s="35" t="str">
        <f aca="false">IF(Input_Dados!P$33="","",MIN(100,MAX(0,(Parametros!$C$35-Input_Dados!P$33)/(Parametros!$C$35-Parametros!$B$35)*100)))</f>
        <v/>
      </c>
    </row>
    <row r="34" customFormat="false" ht="14.25" hidden="false" customHeight="true" outlineLevel="0" collapsed="false">
      <c r="A34" s="32" t="s">
        <v>143</v>
      </c>
      <c r="B34" s="34" t="s">
        <v>78</v>
      </c>
      <c r="C34" s="35" t="str">
        <f aca="false">IF(Input_Dados!F$34="","",MIN(100,MAX(0,(Parametros!$C$36-Input_Dados!F$34)/(Parametros!$C$36-Parametros!$B$36)*100)))</f>
        <v/>
      </c>
      <c r="D34" s="35" t="str">
        <f aca="false">IF(Input_Dados!G$34="","",MIN(100,MAX(0,(Parametros!$C$36-Input_Dados!G$34)/(Parametros!$C$36-Parametros!$B$36)*100)))</f>
        <v/>
      </c>
      <c r="E34" s="35" t="str">
        <f aca="false">IF(Input_Dados!H$34="","",MIN(100,MAX(0,(Parametros!$C$36-Input_Dados!H$34)/(Parametros!$C$36-Parametros!$B$36)*100)))</f>
        <v/>
      </c>
      <c r="F34" s="35" t="str">
        <f aca="false">IF(Input_Dados!I$34="","",MIN(100,MAX(0,(Parametros!$C$36-Input_Dados!I$34)/(Parametros!$C$36-Parametros!$B$36)*100)))</f>
        <v/>
      </c>
      <c r="G34" s="35" t="n">
        <f aca="false">IF(Input_Dados!J$34="","",MIN(100,MAX(0,(Parametros!$C$36-Input_Dados!J$34)/(Parametros!$C$36-Parametros!$B$36)*100)))</f>
        <v>25.4581840677505</v>
      </c>
      <c r="H34" s="35" t="n">
        <f aca="false">IF(Input_Dados!K$34="","",MIN(100,MAX(0,(Parametros!$C$36-Input_Dados!K$34)/(Parametros!$C$36-Parametros!$B$36)*100)))</f>
        <v>19.6464250004627</v>
      </c>
      <c r="I34" s="35" t="n">
        <f aca="false">IF(Input_Dados!L$34="","",MIN(100,MAX(0,(Parametros!$C$36-Input_Dados!L$34)/(Parametros!$C$36-Parametros!$B$36)*100)))</f>
        <v>19.5524823484962</v>
      </c>
      <c r="J34" s="35" t="n">
        <f aca="false">IF(Input_Dados!M$34="","",MIN(100,MAX(0,(Parametros!$C$36-Input_Dados!M$34)/(Parametros!$C$36-Parametros!$B$36)*100)))</f>
        <v>20.1398627951649</v>
      </c>
      <c r="K34" s="35" t="n">
        <f aca="false">IF(Input_Dados!N$34="","",MIN(100,MAX(0,(Parametros!$C$36-Input_Dados!N$34)/(Parametros!$C$36-Parametros!$B$36)*100)))</f>
        <v>19.5119049135278</v>
      </c>
      <c r="L34" s="35" t="n">
        <f aca="false">IF(Input_Dados!O$34="","",MIN(100,MAX(0,(Parametros!$C$36-Input_Dados!O$34)/(Parametros!$C$36-Parametros!$B$36)*100)))</f>
        <v>20.2400774345607</v>
      </c>
      <c r="M34" s="35" t="n">
        <f aca="false">IF(Input_Dados!P$34="","",MIN(100,MAX(0,(Parametros!$C$36-Input_Dados!P$34)/(Parametros!$C$36-Parametros!$B$36)*100)))</f>
        <v>22.8791575153626</v>
      </c>
    </row>
    <row r="35" customFormat="false" ht="14.25" hidden="false" customHeight="true" outlineLevel="0" collapsed="false">
      <c r="A35" s="32" t="s">
        <v>144</v>
      </c>
      <c r="B35" s="34" t="s">
        <v>59</v>
      </c>
      <c r="C35" s="35" t="str">
        <f aca="false">IF(Input_Dados!F$35="","",MIN(100,MAX(0,(Input_Dados!F$35-Parametros!$B$37)/(Parametros!$C$37-Parametros!$B$37)*100)))</f>
        <v/>
      </c>
      <c r="D35" s="35" t="str">
        <f aca="false">IF(Input_Dados!G$35="","",MIN(100,MAX(0,(Input_Dados!G$35-Parametros!$B$37)/(Parametros!$C$37-Parametros!$B$37)*100)))</f>
        <v/>
      </c>
      <c r="E35" s="35" t="str">
        <f aca="false">IF(Input_Dados!H$35="","",MIN(100,MAX(0,(Input_Dados!H$35-Parametros!$B$37)/(Parametros!$C$37-Parametros!$B$37)*100)))</f>
        <v/>
      </c>
      <c r="F35" s="35" t="str">
        <f aca="false">IF(Input_Dados!I$35="","",MIN(100,MAX(0,(Input_Dados!I$35-Parametros!$B$37)/(Parametros!$C$37-Parametros!$B$37)*100)))</f>
        <v/>
      </c>
      <c r="G35" s="35" t="n">
        <f aca="false">IF(Input_Dados!J$35="","",MIN(100,MAX(0,(Input_Dados!J$35-Parametros!$B$37)/(Parametros!$C$37-Parametros!$B$37)*100)))</f>
        <v>25.4581840677505</v>
      </c>
      <c r="H35" s="35" t="n">
        <f aca="false">IF(Input_Dados!K$35="","",MIN(100,MAX(0,(Input_Dados!K$35-Parametros!$B$37)/(Parametros!$C$37-Parametros!$B$37)*100)))</f>
        <v>19.6464250004627</v>
      </c>
      <c r="I35" s="35" t="n">
        <f aca="false">IF(Input_Dados!L$35="","",MIN(100,MAX(0,(Input_Dados!L$35-Parametros!$B$37)/(Parametros!$C$37-Parametros!$B$37)*100)))</f>
        <v>19.5524823484962</v>
      </c>
      <c r="J35" s="35" t="n">
        <f aca="false">IF(Input_Dados!M$35="","",MIN(100,MAX(0,(Input_Dados!M$35-Parametros!$B$37)/(Parametros!$C$37-Parametros!$B$37)*100)))</f>
        <v>20.1398627951649</v>
      </c>
      <c r="K35" s="35" t="n">
        <f aca="false">IF(Input_Dados!N$35="","",MIN(100,MAX(0,(Input_Dados!N$35-Parametros!$B$37)/(Parametros!$C$37-Parametros!$B$37)*100)))</f>
        <v>19.5119049135278</v>
      </c>
      <c r="L35" s="35" t="n">
        <f aca="false">IF(Input_Dados!O$35="","",MIN(100,MAX(0,(Input_Dados!O$35-Parametros!$B$37)/(Parametros!$C$37-Parametros!$B$37)*100)))</f>
        <v>20.2400774345607</v>
      </c>
      <c r="M35" s="35" t="n">
        <f aca="false">IF(Input_Dados!P$35="","",MIN(100,MAX(0,(Input_Dados!P$35-Parametros!$B$37)/(Parametros!$C$37-Parametros!$B$37)*100)))</f>
        <v>22.8791575153626</v>
      </c>
    </row>
    <row r="36" customFormat="false" ht="14.25" hidden="false" customHeight="true" outlineLevel="0" collapsed="false">
      <c r="A36" s="32" t="s">
        <v>145</v>
      </c>
      <c r="B36" s="34" t="s">
        <v>59</v>
      </c>
      <c r="C36" s="35" t="str">
        <f aca="false">IF(Input_Dados!F$36="","",MIN(100,MAX(0,(Input_Dados!F$36-Parametros!$B$38)/(Parametros!$C$38-Parametros!$B$38)*100)))</f>
        <v/>
      </c>
      <c r="D36" s="35" t="str">
        <f aca="false">IF(Input_Dados!G$36="","",MIN(100,MAX(0,(Input_Dados!G$36-Parametros!$B$38)/(Parametros!$C$38-Parametros!$B$38)*100)))</f>
        <v/>
      </c>
      <c r="E36" s="35" t="str">
        <f aca="false">IF(Input_Dados!H$36="","",MIN(100,MAX(0,(Input_Dados!H$36-Parametros!$B$38)/(Parametros!$C$38-Parametros!$B$38)*100)))</f>
        <v/>
      </c>
      <c r="F36" s="35" t="str">
        <f aca="false">IF(Input_Dados!I$36="","",MIN(100,MAX(0,(Input_Dados!I$36-Parametros!$B$38)/(Parametros!$C$38-Parametros!$B$38)*100)))</f>
        <v/>
      </c>
      <c r="G36" s="35" t="str">
        <f aca="false">IF(Input_Dados!J$36="","",MIN(100,MAX(0,(Input_Dados!J$36-Parametros!$B$38)/(Parametros!$C$38-Parametros!$B$38)*100)))</f>
        <v/>
      </c>
      <c r="H36" s="35" t="str">
        <f aca="false">IF(Input_Dados!K$36="","",MIN(100,MAX(0,(Input_Dados!K$36-Parametros!$B$38)/(Parametros!$C$38-Parametros!$B$38)*100)))</f>
        <v/>
      </c>
      <c r="I36" s="35" t="str">
        <f aca="false">IF(Input_Dados!L$36="","",MIN(100,MAX(0,(Input_Dados!L$36-Parametros!$B$38)/(Parametros!$C$38-Parametros!$B$38)*100)))</f>
        <v/>
      </c>
      <c r="J36" s="35" t="str">
        <f aca="false">IF(Input_Dados!M$36="","",MIN(100,MAX(0,(Input_Dados!M$36-Parametros!$B$38)/(Parametros!$C$38-Parametros!$B$38)*100)))</f>
        <v/>
      </c>
      <c r="K36" s="35" t="str">
        <f aca="false">IF(Input_Dados!N$36="","",MIN(100,MAX(0,(Input_Dados!N$36-Parametros!$B$38)/(Parametros!$C$38-Parametros!$B$38)*100)))</f>
        <v/>
      </c>
      <c r="L36" s="35" t="str">
        <f aca="false">IF(Input_Dados!O$36="","",MIN(100,MAX(0,(Input_Dados!O$36-Parametros!$B$38)/(Parametros!$C$38-Parametros!$B$38)*100)))</f>
        <v/>
      </c>
      <c r="M36" s="35" t="str">
        <f aca="false">IF(Input_Dados!P$36="","",MIN(100,MAX(0,(Input_Dados!P$36-Parametros!$B$38)/(Parametros!$C$38-Parametros!$B$38)*100)))</f>
        <v/>
      </c>
    </row>
    <row r="37" customFormat="false" ht="14.25" hidden="false" customHeight="true" outlineLevel="0" collapsed="false">
      <c r="A37" s="32" t="s">
        <v>147</v>
      </c>
      <c r="B37" s="34" t="s">
        <v>59</v>
      </c>
      <c r="C37" s="35" t="n">
        <f aca="false">IF(Input_Dados!F$37="","",MIN(100,MAX(0,(Input_Dados!F$37-Parametros!$B$39)/(Parametros!$C$39-Parametros!$B$39)*100)))</f>
        <v>35.1</v>
      </c>
      <c r="D37" s="35" t="str">
        <f aca="false">IF(Input_Dados!G$37="","",MIN(100,MAX(0,(Input_Dados!G$37-Parametros!$B$39)/(Parametros!$C$39-Parametros!$B$39)*100)))</f>
        <v/>
      </c>
      <c r="E37" s="35" t="str">
        <f aca="false">IF(Input_Dados!H$37="","",MIN(100,MAX(0,(Input_Dados!H$37-Parametros!$B$39)/(Parametros!$C$39-Parametros!$B$39)*100)))</f>
        <v/>
      </c>
      <c r="F37" s="35" t="str">
        <f aca="false">IF(Input_Dados!I$37="","",MIN(100,MAX(0,(Input_Dados!I$37-Parametros!$B$39)/(Parametros!$C$39-Parametros!$B$39)*100)))</f>
        <v/>
      </c>
      <c r="G37" s="35" t="str">
        <f aca="false">IF(Input_Dados!J$37="","",MIN(100,MAX(0,(Input_Dados!J$37-Parametros!$B$39)/(Parametros!$C$39-Parametros!$B$39)*100)))</f>
        <v/>
      </c>
      <c r="H37" s="35" t="str">
        <f aca="false">IF(Input_Dados!K$37="","",MIN(100,MAX(0,(Input_Dados!K$37-Parametros!$B$39)/(Parametros!$C$39-Parametros!$B$39)*100)))</f>
        <v/>
      </c>
      <c r="I37" s="35" t="str">
        <f aca="false">IF(Input_Dados!L$37="","",MIN(100,MAX(0,(Input_Dados!L$37-Parametros!$B$39)/(Parametros!$C$39-Parametros!$B$39)*100)))</f>
        <v/>
      </c>
      <c r="J37" s="35" t="str">
        <f aca="false">IF(Input_Dados!M$37="","",MIN(100,MAX(0,(Input_Dados!M$37-Parametros!$B$39)/(Parametros!$C$39-Parametros!$B$39)*100)))</f>
        <v/>
      </c>
      <c r="K37" s="35" t="str">
        <f aca="false">IF(Input_Dados!N$37="","",MIN(100,MAX(0,(Input_Dados!N$37-Parametros!$B$39)/(Parametros!$C$39-Parametros!$B$39)*100)))</f>
        <v/>
      </c>
      <c r="L37" s="35" t="n">
        <f aca="false">IF(Input_Dados!O$37="","",MIN(100,MAX(0,(Input_Dados!O$37-Parametros!$B$39)/(Parametros!$C$39-Parametros!$B$39)*100)))</f>
        <v>26</v>
      </c>
      <c r="M37" s="35" t="n">
        <f aca="false">IF(Input_Dados!P$37="","",MIN(100,MAX(0,(Input_Dados!P$37-Parametros!$B$39)/(Parametros!$C$39-Parametros!$B$39)*100)))</f>
        <v>29.7</v>
      </c>
    </row>
    <row r="38" customFormat="false" ht="14.25" hidden="false" customHeight="true" outlineLevel="0" collapsed="false">
      <c r="A38" s="32" t="s">
        <v>150</v>
      </c>
      <c r="B38" s="34" t="s">
        <v>78</v>
      </c>
      <c r="C38" s="35" t="str">
        <f aca="false">IF(Input_Dados!F$38="","",MIN(100,MAX(0,(Parametros!$C$40-Input_Dados!F$38)/(Parametros!$C$40-Parametros!$B$40)*100)))</f>
        <v/>
      </c>
      <c r="D38" s="35" t="n">
        <f aca="false">IF(Input_Dados!G$38="","",MIN(100,MAX(0,(Parametros!$C$40-Input_Dados!G$38)/(Parametros!$C$40-Parametros!$B$40)*100)))</f>
        <v>69.6</v>
      </c>
      <c r="E38" s="35" t="n">
        <f aca="false">IF(Input_Dados!H$38="","",MIN(100,MAX(0,(Parametros!$C$40-Input_Dados!H$38)/(Parametros!$C$40-Parametros!$B$40)*100)))</f>
        <v>69.2</v>
      </c>
      <c r="F38" s="35" t="n">
        <f aca="false">IF(Input_Dados!I$38="","",MIN(100,MAX(0,(Parametros!$C$40-Input_Dados!I$38)/(Parametros!$C$40-Parametros!$B$40)*100)))</f>
        <v>68.2</v>
      </c>
      <c r="G38" s="35" t="n">
        <f aca="false">IF(Input_Dados!J$38="","",MIN(100,MAX(0,(Parametros!$C$40-Input_Dados!J$38)/(Parametros!$C$40-Parametros!$B$40)*100)))</f>
        <v>63.6</v>
      </c>
      <c r="H38" s="35" t="n">
        <f aca="false">IF(Input_Dados!K$38="","",MIN(100,MAX(0,(Parametros!$C$40-Input_Dados!K$38)/(Parametros!$C$40-Parametros!$B$40)*100)))</f>
        <v>58.4</v>
      </c>
      <c r="I38" s="35" t="n">
        <f aca="false">IF(Input_Dados!L$38="","",MIN(100,MAX(0,(Parametros!$C$40-Input_Dados!L$38)/(Parametros!$C$40-Parametros!$B$40)*100)))</f>
        <v>54.8</v>
      </c>
      <c r="J38" s="35" t="n">
        <f aca="false">IF(Input_Dados!M$38="","",MIN(100,MAX(0,(Parametros!$C$40-Input_Dados!M$38)/(Parametros!$C$40-Parametros!$B$40)*100)))</f>
        <v>53.8</v>
      </c>
      <c r="K38" s="35" t="n">
        <f aca="false">IF(Input_Dados!N$38="","",MIN(100,MAX(0,(Parametros!$C$40-Input_Dados!N$38)/(Parametros!$C$40-Parametros!$B$40)*100)))</f>
        <v>55</v>
      </c>
      <c r="L38" s="35" t="str">
        <f aca="false">IF(Input_Dados!O$38="","",MIN(100,MAX(0,(Parametros!$C$40-Input_Dados!O$38)/(Parametros!$C$40-Parametros!$B$40)*100)))</f>
        <v/>
      </c>
      <c r="M38" s="35" t="str">
        <f aca="false">IF(Input_Dados!P$38="","",MIN(100,MAX(0,(Parametros!$C$40-Input_Dados!P$38)/(Parametros!$C$40-Parametros!$B$40)*100)))</f>
        <v/>
      </c>
    </row>
    <row r="39" customFormat="false" ht="14.25" hidden="false" customHeight="true" outlineLevel="0" collapsed="false">
      <c r="A39" s="32" t="s">
        <v>153</v>
      </c>
      <c r="B39" s="34" t="s">
        <v>78</v>
      </c>
      <c r="C39" s="35" t="n">
        <f aca="false">IF(Input_Dados!F$39="","",MIN(100,MAX(0,(Parametros!$C$41-Input_Dados!F$39)/(Parametros!$C$41-Parametros!$B$41)*100)))</f>
        <v>52.3</v>
      </c>
      <c r="D39" s="35" t="n">
        <f aca="false">IF(Input_Dados!G$39="","",MIN(100,MAX(0,(Parametros!$C$41-Input_Dados!G$39)/(Parametros!$C$41-Parametros!$B$41)*100)))</f>
        <v>55.8</v>
      </c>
      <c r="E39" s="35" t="n">
        <f aca="false">IF(Input_Dados!H$39="","",MIN(100,MAX(0,(Parametros!$C$41-Input_Dados!H$39)/(Parametros!$C$41-Parametros!$B$41)*100)))</f>
        <v>60</v>
      </c>
      <c r="F39" s="35" t="n">
        <f aca="false">IF(Input_Dados!I$39="","",MIN(100,MAX(0,(Parametros!$C$41-Input_Dados!I$39)/(Parametros!$C$41-Parametros!$B$41)*100)))</f>
        <v>63</v>
      </c>
      <c r="G39" s="35" t="n">
        <f aca="false">IF(Input_Dados!J$39="","",MIN(100,MAX(0,(Parametros!$C$41-Input_Dados!J$39)/(Parametros!$C$41-Parametros!$B$41)*100)))</f>
        <v>67</v>
      </c>
      <c r="H39" s="35" t="n">
        <f aca="false">IF(Input_Dados!K$39="","",MIN(100,MAX(0,(Parametros!$C$41-Input_Dados!K$39)/(Parametros!$C$41-Parametros!$B$41)*100)))</f>
        <v>70</v>
      </c>
      <c r="I39" s="35" t="n">
        <f aca="false">IF(Input_Dados!L$39="","",MIN(100,MAX(0,(Parametros!$C$41-Input_Dados!L$39)/(Parametros!$C$41-Parametros!$B$41)*100)))</f>
        <v>71</v>
      </c>
      <c r="J39" s="35" t="n">
        <f aca="false">IF(Input_Dados!M$39="","",MIN(100,MAX(0,(Parametros!$C$41-Input_Dados!M$39)/(Parametros!$C$41-Parametros!$B$41)*100)))</f>
        <v>75</v>
      </c>
      <c r="K39" s="35" t="n">
        <f aca="false">IF(Input_Dados!N$39="","",MIN(100,MAX(0,(Parametros!$C$41-Input_Dados!N$39)/(Parametros!$C$41-Parametros!$B$41)*100)))</f>
        <v>81.7</v>
      </c>
      <c r="L39" s="35" t="n">
        <f aca="false">IF(Input_Dados!O$39="","",MIN(100,MAX(0,(Parametros!$C$41-Input_Dados!O$39)/(Parametros!$C$41-Parametros!$B$41)*100)))</f>
        <v>81.5</v>
      </c>
      <c r="M39" s="35" t="n">
        <f aca="false">IF(Input_Dados!P$39="","",MIN(100,MAX(0,(Parametros!$C$41-Input_Dados!P$39)/(Parametros!$C$41-Parametros!$B$41)*100)))</f>
        <v>83</v>
      </c>
    </row>
    <row r="40" customFormat="false" ht="14.25" hidden="false" customHeight="true" outlineLevel="0" collapsed="false">
      <c r="A40" s="32" t="s">
        <v>157</v>
      </c>
      <c r="B40" s="34" t="s">
        <v>59</v>
      </c>
      <c r="C40" s="35" t="n">
        <f aca="false">IF(Input_Dados!F$40="","",MIN(100,MAX(0,(Input_Dados!F$40-Parametros!$B$42)/(Parametros!$C$42-Parametros!$B$42)*100)))</f>
        <v>17.4</v>
      </c>
      <c r="D40" s="35" t="n">
        <f aca="false">IF(Input_Dados!G$40="","",MIN(100,MAX(0,(Input_Dados!G$40-Parametros!$B$42)/(Parametros!$C$42-Parametros!$B$42)*100)))</f>
        <v>18.0666666666667</v>
      </c>
      <c r="E40" s="35" t="n">
        <f aca="false">IF(Input_Dados!H$40="","",MIN(100,MAX(0,(Input_Dados!H$40-Parametros!$B$42)/(Parametros!$C$42-Parametros!$B$42)*100)))</f>
        <v>18.6</v>
      </c>
      <c r="F40" s="35" t="n">
        <f aca="false">IF(Input_Dados!I$40="","",MIN(100,MAX(0,(Input_Dados!I$40-Parametros!$B$42)/(Parametros!$C$42-Parametros!$B$42)*100)))</f>
        <v>17.2666666666667</v>
      </c>
      <c r="G40" s="35" t="n">
        <f aca="false">IF(Input_Dados!J$40="","",MIN(100,MAX(0,(Input_Dados!J$40-Parametros!$B$42)/(Parametros!$C$42-Parametros!$B$42)*100)))</f>
        <v>16.5333333333333</v>
      </c>
      <c r="H40" s="35" t="n">
        <f aca="false">IF(Input_Dados!K$40="","",MIN(100,MAX(0,(Input_Dados!K$40-Parametros!$B$42)/(Parametros!$C$42-Parametros!$B$42)*100)))</f>
        <v>21.8</v>
      </c>
      <c r="I40" s="35" t="n">
        <f aca="false">IF(Input_Dados!L$40="","",MIN(100,MAX(0,(Input_Dados!L$40-Parametros!$B$42)/(Parametros!$C$42-Parametros!$B$42)*100)))</f>
        <v>20.6</v>
      </c>
      <c r="J40" s="35" t="n">
        <f aca="false">IF(Input_Dados!M$40="","",MIN(100,MAX(0,(Input_Dados!M$40-Parametros!$B$42)/(Parametros!$C$42-Parametros!$B$42)*100)))</f>
        <v>19.5333333333333</v>
      </c>
      <c r="K40" s="35" t="str">
        <f aca="false">IF(Input_Dados!N$40="","",MIN(100,MAX(0,(Input_Dados!N$40-Parametros!$B$42)/(Parametros!$C$42-Parametros!$B$42)*100)))</f>
        <v/>
      </c>
      <c r="L40" s="35" t="str">
        <f aca="false">IF(Input_Dados!O$40="","",MIN(100,MAX(0,(Input_Dados!O$40-Parametros!$B$42)/(Parametros!$C$42-Parametros!$B$42)*100)))</f>
        <v/>
      </c>
      <c r="M40" s="35" t="str">
        <f aca="false">IF(Input_Dados!P$40="","",MIN(100,MAX(0,(Input_Dados!P$40-Parametros!$B$42)/(Parametros!$C$42-Parametros!$B$42)*100)))</f>
        <v/>
      </c>
    </row>
    <row r="41" customFormat="false" ht="14.25" hidden="false" customHeight="true" outlineLevel="0" collapsed="false">
      <c r="A41" s="32" t="s">
        <v>160</v>
      </c>
      <c r="B41" s="34" t="s">
        <v>59</v>
      </c>
      <c r="C41" s="35" t="str">
        <f aca="false">IF(Input_Dados!F$41="","",MIN(100,MAX(0,(Input_Dados!F$41-Parametros!$B$43)/(Parametros!$C$43-Parametros!$B$43)*100)))</f>
        <v/>
      </c>
      <c r="D41" s="35" t="str">
        <f aca="false">IF(Input_Dados!G$41="","",MIN(100,MAX(0,(Input_Dados!G$41-Parametros!$B$43)/(Parametros!$C$43-Parametros!$B$43)*100)))</f>
        <v/>
      </c>
      <c r="E41" s="35" t="n">
        <f aca="false">IF(Input_Dados!H$41="","",MIN(100,MAX(0,(Input_Dados!H$41-Parametros!$B$43)/(Parametros!$C$43-Parametros!$B$43)*100)))</f>
        <v>3.8</v>
      </c>
      <c r="F41" s="35" t="str">
        <f aca="false">IF(Input_Dados!I$41="","",MIN(100,MAX(0,(Input_Dados!I$41-Parametros!$B$43)/(Parametros!$C$43-Parametros!$B$43)*100)))</f>
        <v/>
      </c>
      <c r="G41" s="35" t="str">
        <f aca="false">IF(Input_Dados!J$41="","",MIN(100,MAX(0,(Input_Dados!J$41-Parametros!$B$43)/(Parametros!$C$43-Parametros!$B$43)*100)))</f>
        <v/>
      </c>
      <c r="H41" s="35" t="str">
        <f aca="false">IF(Input_Dados!K$41="","",MIN(100,MAX(0,(Input_Dados!K$41-Parametros!$B$43)/(Parametros!$C$43-Parametros!$B$43)*100)))</f>
        <v/>
      </c>
      <c r="I41" s="35" t="str">
        <f aca="false">IF(Input_Dados!L$41="","",MIN(100,MAX(0,(Input_Dados!L$41-Parametros!$B$43)/(Parametros!$C$43-Parametros!$B$43)*100)))</f>
        <v/>
      </c>
      <c r="J41" s="35" t="n">
        <f aca="false">IF(Input_Dados!M$41="","",MIN(100,MAX(0,(Input_Dados!M$41-Parametros!$B$43)/(Parametros!$C$43-Parametros!$B$43)*100)))</f>
        <v>10.2</v>
      </c>
      <c r="K41" s="35" t="str">
        <f aca="false">IF(Input_Dados!N$41="","",MIN(100,MAX(0,(Input_Dados!N$41-Parametros!$B$43)/(Parametros!$C$43-Parametros!$B$43)*100)))</f>
        <v/>
      </c>
      <c r="L41" s="35" t="str">
        <f aca="false">IF(Input_Dados!O$41="","",MIN(100,MAX(0,(Input_Dados!O$41-Parametros!$B$43)/(Parametros!$C$43-Parametros!$B$43)*100)))</f>
        <v/>
      </c>
      <c r="M41" s="35" t="str">
        <f aca="false">IF(Input_Dados!P$41="","",MIN(100,MAX(0,(Input_Dados!P$41-Parametros!$B$43)/(Parametros!$C$43-Parametros!$B$43)*100)))</f>
        <v/>
      </c>
    </row>
    <row r="42" customFormat="false" ht="14.25" hidden="false" customHeight="true" outlineLevel="0" collapsed="false">
      <c r="A42" s="32" t="s">
        <v>163</v>
      </c>
      <c r="B42" s="34" t="s">
        <v>59</v>
      </c>
      <c r="C42" s="35" t="n">
        <f aca="false">IF(Input_Dados!F$42="","",MIN(100,MAX(0,(Input_Dados!F$42-Parametros!$B$44)/(Parametros!$C$44-Parametros!$B$44)*100)))</f>
        <v>45</v>
      </c>
      <c r="D42" s="35" t="n">
        <f aca="false">IF(Input_Dados!G$42="","",MIN(100,MAX(0,(Input_Dados!G$42-Parametros!$B$44)/(Parametros!$C$44-Parametros!$B$44)*100)))</f>
        <v>42</v>
      </c>
      <c r="E42" s="35" t="n">
        <f aca="false">IF(Input_Dados!H$42="","",MIN(100,MAX(0,(Input_Dados!H$42-Parametros!$B$44)/(Parametros!$C$44-Parametros!$B$44)*100)))</f>
        <v>50</v>
      </c>
      <c r="F42" s="35" t="n">
        <f aca="false">IF(Input_Dados!I$42="","",MIN(100,MAX(0,(Input_Dados!I$42-Parametros!$B$44)/(Parametros!$C$44-Parametros!$B$44)*100)))</f>
        <v>51</v>
      </c>
      <c r="G42" s="35" t="n">
        <f aca="false">IF(Input_Dados!J$42="","",MIN(100,MAX(0,(Input_Dados!J$42-Parametros!$B$44)/(Parametros!$C$44-Parametros!$B$44)*100)))</f>
        <v>44</v>
      </c>
      <c r="H42" s="35" t="n">
        <f aca="false">IF(Input_Dados!K$42="","",MIN(100,MAX(0,(Input_Dados!K$42-Parametros!$B$44)/(Parametros!$C$44-Parametros!$B$44)*100)))</f>
        <v>36</v>
      </c>
      <c r="I42" s="35" t="n">
        <f aca="false">IF(Input_Dados!L$42="","",MIN(100,MAX(0,(Input_Dados!L$42-Parametros!$B$44)/(Parametros!$C$44-Parametros!$B$44)*100)))</f>
        <v>37</v>
      </c>
      <c r="J42" s="35" t="n">
        <f aca="false">IF(Input_Dados!M$42="","",MIN(100,MAX(0,(Input_Dados!M$42-Parametros!$B$44)/(Parametros!$C$44-Parametros!$B$44)*100)))</f>
        <v>37</v>
      </c>
      <c r="K42" s="35" t="n">
        <f aca="false">IF(Input_Dados!N$42="","",MIN(100,MAX(0,(Input_Dados!N$42-Parametros!$B$44)/(Parametros!$C$44-Parametros!$B$44)*100)))</f>
        <v>50</v>
      </c>
      <c r="L42" s="35" t="str">
        <f aca="false">IF(Input_Dados!O$42="","",MIN(100,MAX(0,(Input_Dados!O$42-Parametros!$B$44)/(Parametros!$C$44-Parametros!$B$44)*100)))</f>
        <v/>
      </c>
      <c r="M42" s="35" t="str">
        <f aca="false">IF(Input_Dados!P$42="","",MIN(100,MAX(0,(Input_Dados!P$42-Parametros!$B$44)/(Parametros!$C$44-Parametros!$B$44)*100)))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BEEF4"/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3515625" defaultRowHeight="14.25" zeroHeight="false" outlineLevelRow="0" outlineLevelCol="0"/>
  <cols>
    <col collapsed="false" customWidth="true" hidden="false" outlineLevel="0" max="1" min="1" style="1" width="35"/>
    <col collapsed="false" customWidth="true" hidden="false" outlineLevel="0" max="12" min="2" style="1" width="12"/>
  </cols>
  <sheetData>
    <row r="1" customFormat="false" ht="14.25" hidden="false" customHeight="true" outlineLevel="0" collapsed="false">
      <c r="A1" s="7" t="s">
        <v>40</v>
      </c>
      <c r="B1" s="7" t="s">
        <v>45</v>
      </c>
      <c r="C1" s="7" t="s">
        <v>46</v>
      </c>
      <c r="D1" s="7" t="s">
        <v>47</v>
      </c>
      <c r="E1" s="7" t="s">
        <v>48</v>
      </c>
      <c r="F1" s="7" t="s">
        <v>49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</row>
    <row r="2" customFormat="false" ht="14.25" hidden="false" customHeight="true" outlineLevel="0" collapsed="false">
      <c r="A2" s="36" t="s">
        <v>178</v>
      </c>
      <c r="B2" s="35" t="n">
        <f aca="false">IF(SUMPRODUCT((Normalizacao!C$2:C$6&lt;&gt;"")*1)&lt;Parametros!$B$46*5,"",SUMPRODUCT(IFERROR(Normalizacao!C$2:C$6*Parametros!$E$4:$E$8,0))/SUMPRODUCT((Normalizacao!C$2:C$6&lt;&gt;"")*Parametros!$E$4:$E$8))</f>
        <v>29.195776</v>
      </c>
      <c r="C2" s="35" t="n">
        <f aca="false">IF(SUMPRODUCT((Normalizacao!D$2:D$6&lt;&gt;"")*1)&lt;Parametros!$B$46*5,"",SUMPRODUCT(IFERROR(Normalizacao!D$2:D$6*Parametros!$E$4:$E$8,0))/SUMPRODUCT((Normalizacao!D$2:D$6&lt;&gt;"")*Parametros!$E$4:$E$8))</f>
        <v>30.4408436</v>
      </c>
      <c r="D2" s="35" t="n">
        <f aca="false">IF(SUMPRODUCT((Normalizacao!E$2:E$6&lt;&gt;"")*1)&lt;Parametros!$B$46*5,"",SUMPRODUCT(IFERROR(Normalizacao!E$2:E$6*Parametros!$E$4:$E$8,0))/SUMPRODUCT((Normalizacao!E$2:E$6&lt;&gt;"")*Parametros!$E$4:$E$8))</f>
        <v>30.1338572</v>
      </c>
      <c r="E2" s="35" t="n">
        <f aca="false">IF(SUMPRODUCT((Normalizacao!F$2:F$6&lt;&gt;"")*1)&lt;Parametros!$B$46*5,"",SUMPRODUCT(IFERROR(Normalizacao!F$2:F$6*Parametros!$E$4:$E$8,0))/SUMPRODUCT((Normalizacao!F$2:F$6&lt;&gt;"")*Parametros!$E$4:$E$8))</f>
        <v>32.1187036</v>
      </c>
      <c r="F2" s="35" t="n">
        <f aca="false">IF(SUMPRODUCT((Normalizacao!G$2:G$6&lt;&gt;"")*1)&lt;Parametros!$B$46*5,"",SUMPRODUCT(IFERROR(Normalizacao!G$2:G$6*Parametros!$E$4:$E$8,0))/SUMPRODUCT((Normalizacao!G$2:G$6&lt;&gt;"")*Parametros!$E$4:$E$8))</f>
        <v>34.4345256</v>
      </c>
      <c r="G2" s="35" t="n">
        <f aca="false">IF(SUMPRODUCT((Normalizacao!H$2:H$6&lt;&gt;"")*1)&lt;Parametros!$B$46*5,"",SUMPRODUCT(IFERROR(Normalizacao!H$2:H$6*Parametros!$E$4:$E$8,0))/SUMPRODUCT((Normalizacao!H$2:H$6&lt;&gt;"")*Parametros!$E$4:$E$8))</f>
        <v>33.3534896</v>
      </c>
      <c r="H2" s="35" t="n">
        <f aca="false">IF(SUMPRODUCT((Normalizacao!I$2:I$6&lt;&gt;"")*1)&lt;Parametros!$B$46*5,"",SUMPRODUCT(IFERROR(Normalizacao!I$2:I$6*Parametros!$E$4:$E$8,0))/SUMPRODUCT((Normalizacao!I$2:I$6&lt;&gt;"")*Parametros!$E$4:$E$8))</f>
        <v>30.6183945</v>
      </c>
      <c r="I2" s="35" t="n">
        <f aca="false">IF(SUMPRODUCT((Normalizacao!J$2:J$6&lt;&gt;"")*1)&lt;Parametros!$B$46*5,"",SUMPRODUCT(IFERROR(Normalizacao!J$2:J$6*Parametros!$E$4:$E$8,0))/SUMPRODUCT((Normalizacao!J$2:J$6&lt;&gt;"")*Parametros!$E$4:$E$8))</f>
        <v>33.0673875</v>
      </c>
      <c r="J2" s="35" t="n">
        <f aca="false">IF(SUMPRODUCT((Normalizacao!K$2:K$6&lt;&gt;"")*1)&lt;Parametros!$B$46*5,"",SUMPRODUCT(IFERROR(Normalizacao!K$2:K$6*Parametros!$E$4:$E$8,0))/SUMPRODUCT((Normalizacao!K$2:K$6&lt;&gt;"")*Parametros!$E$4:$E$8))</f>
        <v>34.068444</v>
      </c>
      <c r="K2" s="35" t="n">
        <f aca="false">IF(SUMPRODUCT((Normalizacao!L$2:L$6&lt;&gt;"")*1)&lt;Parametros!$B$46*5,"",SUMPRODUCT(IFERROR(Normalizacao!L$2:L$6*Parametros!$E$4:$E$8,0))/SUMPRODUCT((Normalizacao!L$2:L$6&lt;&gt;"")*Parametros!$E$4:$E$8))</f>
        <v>32.8573595</v>
      </c>
      <c r="L2" s="35" t="str">
        <f aca="false">IF(SUMPRODUCT((Normalizacao!M$2:M$6&lt;&gt;"")*1)&lt;Parametros!$B$46*5,"",SUMPRODUCT(IFERROR(Normalizacao!M$2:M$6*Parametros!$E$4:$E$8,0))/SUMPRODUCT((Normalizacao!M$2:M$6&lt;&gt;"")*Parametros!$E$4:$E$8))</f>
        <v/>
      </c>
    </row>
    <row r="3" customFormat="false" ht="14.25" hidden="false" customHeight="true" outlineLevel="0" collapsed="false">
      <c r="A3" s="37" t="s">
        <v>179</v>
      </c>
      <c r="B3" s="35" t="n">
        <f aca="false">IF(SUMPRODUCT((Normalizacao!C$7:C$13&lt;&gt;"")*1)&lt;Parametros!$B$46*7,"",SUMPRODUCT(IFERROR(Normalizacao!C$7:C$13*Parametros!$E$9:$E$15,0))/SUMPRODUCT((Normalizacao!C$7:C$13&lt;&gt;"")*Parametros!$E$9:$E$15))</f>
        <v>54.790501741137</v>
      </c>
      <c r="C3" s="35" t="n">
        <f aca="false">IF(SUMPRODUCT((Normalizacao!D$7:D$13&lt;&gt;"")*1)&lt;Parametros!$B$46*7,"",SUMPRODUCT(IFERROR(Normalizacao!D$7:D$13*Parametros!$E$9:$E$15,0))/SUMPRODUCT((Normalizacao!D$7:D$13&lt;&gt;"")*Parametros!$E$9:$E$15))</f>
        <v>45.7137763144078</v>
      </c>
      <c r="D3" s="35" t="n">
        <f aca="false">IF(SUMPRODUCT((Normalizacao!E$7:E$13&lt;&gt;"")*1)&lt;Parametros!$B$46*7,"",SUMPRODUCT(IFERROR(Normalizacao!E$7:E$13*Parametros!$E$9:$E$15,0))/SUMPRODUCT((Normalizacao!E$7:E$13&lt;&gt;"")*Parametros!$E$9:$E$15))</f>
        <v>52.2171456484666</v>
      </c>
      <c r="E3" s="35" t="n">
        <f aca="false">IF(SUMPRODUCT((Normalizacao!F$7:F$13&lt;&gt;"")*1)&lt;Parametros!$B$46*7,"",SUMPRODUCT(IFERROR(Normalizacao!F$7:F$13*Parametros!$E$9:$E$15,0))/SUMPRODUCT((Normalizacao!F$7:F$13&lt;&gt;"")*Parametros!$E$9:$E$15))</f>
        <v>47.3789091158789</v>
      </c>
      <c r="F3" s="35" t="n">
        <f aca="false">IF(SUMPRODUCT((Normalizacao!G$7:G$13&lt;&gt;"")*1)&lt;Parametros!$B$46*7,"",SUMPRODUCT(IFERROR(Normalizacao!G$7:G$13*Parametros!$E$9:$E$15,0))/SUMPRODUCT((Normalizacao!G$7:G$13&lt;&gt;"")*Parametros!$E$9:$E$15))</f>
        <v>48.3875498707694</v>
      </c>
      <c r="G3" s="35" t="n">
        <f aca="false">IF(SUMPRODUCT((Normalizacao!H$7:H$13&lt;&gt;"")*1)&lt;Parametros!$B$46*7,"",SUMPRODUCT(IFERROR(Normalizacao!H$7:H$13*Parametros!$E$9:$E$15,0))/SUMPRODUCT((Normalizacao!H$7:H$13&lt;&gt;"")*Parametros!$E$9:$E$15))</f>
        <v>40.36850918558</v>
      </c>
      <c r="H3" s="35" t="n">
        <f aca="false">IF(SUMPRODUCT((Normalizacao!I$7:I$13&lt;&gt;"")*1)&lt;Parametros!$B$46*7,"",SUMPRODUCT(IFERROR(Normalizacao!I$7:I$13*Parametros!$E$9:$E$15,0))/SUMPRODUCT((Normalizacao!I$7:I$13&lt;&gt;"")*Parametros!$E$9:$E$15))</f>
        <v>51.7480216643385</v>
      </c>
      <c r="I3" s="35" t="n">
        <f aca="false">IF(SUMPRODUCT((Normalizacao!J$7:J$13&lt;&gt;"")*1)&lt;Parametros!$B$46*7,"",SUMPRODUCT(IFERROR(Normalizacao!J$7:J$13*Parametros!$E$9:$E$15,0))/SUMPRODUCT((Normalizacao!J$7:J$13&lt;&gt;"")*Parametros!$E$9:$E$15))</f>
        <v>54.9379889125653</v>
      </c>
      <c r="J3" s="35" t="n">
        <f aca="false">IF(SUMPRODUCT((Normalizacao!K$7:K$13&lt;&gt;"")*1)&lt;Parametros!$B$46*7,"",SUMPRODUCT(IFERROR(Normalizacao!K$7:K$13*Parametros!$E$9:$E$15,0))/SUMPRODUCT((Normalizacao!K$7:K$13&lt;&gt;"")*Parametros!$E$9:$E$15))</f>
        <v>47.8806962579294</v>
      </c>
      <c r="K3" s="35" t="n">
        <f aca="false">IF(SUMPRODUCT((Normalizacao!L$7:L$13&lt;&gt;"")*1)&lt;Parametros!$B$46*7,"",SUMPRODUCT(IFERROR(Normalizacao!L$7:L$13*Parametros!$E$9:$E$15,0))/SUMPRODUCT((Normalizacao!L$7:L$13&lt;&gt;"")*Parametros!$E$9:$E$15))</f>
        <v>51.1238415985467</v>
      </c>
      <c r="L3" s="35" t="n">
        <f aca="false">IF(SUMPRODUCT((Normalizacao!M$7:M$13&lt;&gt;"")*1)&lt;Parametros!$B$46*7,"",SUMPRODUCT(IFERROR(Normalizacao!M$7:M$13*Parametros!$E$9:$E$15,0))/SUMPRODUCT((Normalizacao!M$7:M$13&lt;&gt;"")*Parametros!$E$9:$E$15))</f>
        <v>66.6499422060095</v>
      </c>
    </row>
    <row r="4" customFormat="false" ht="14.25" hidden="false" customHeight="true" outlineLevel="0" collapsed="false">
      <c r="A4" s="36" t="s">
        <v>89</v>
      </c>
      <c r="B4" s="35" t="str">
        <f aca="false">IF(SUMPRODUCT((Normalizacao!C$14:C$19&lt;&gt;"")*1)&lt;Parametros!$B$46*6,"",SUMPRODUCT(IFERROR(Normalizacao!C$14:C$19*Parametros!$E$16:$E$21,0))/SUMPRODUCT((Normalizacao!C$14:C$19&lt;&gt;"")*Parametros!$E$16:$E$21))</f>
        <v/>
      </c>
      <c r="C4" s="35" t="str">
        <f aca="false">IF(SUMPRODUCT((Normalizacao!D$14:D$19&lt;&gt;"")*1)&lt;Parametros!$B$46*6,"",SUMPRODUCT(IFERROR(Normalizacao!D$14:D$19*Parametros!$E$16:$E$21,0))/SUMPRODUCT((Normalizacao!D$14:D$19&lt;&gt;"")*Parametros!$E$16:$E$21))</f>
        <v/>
      </c>
      <c r="D4" s="35" t="n">
        <f aca="false">IF(SUMPRODUCT((Normalizacao!E$14:E$19&lt;&gt;"")*1)&lt;Parametros!$B$46*6,"",SUMPRODUCT(IFERROR(Normalizacao!E$14:E$19*Parametros!$E$16:$E$21,0))/SUMPRODUCT((Normalizacao!E$14:E$19&lt;&gt;"")*Parametros!$E$16:$E$21))</f>
        <v>55.7296296296296</v>
      </c>
      <c r="E4" s="35" t="n">
        <f aca="false">IF(SUMPRODUCT((Normalizacao!F$14:F$19&lt;&gt;"")*1)&lt;Parametros!$B$46*6,"",SUMPRODUCT(IFERROR(Normalizacao!F$14:F$19*Parametros!$E$16:$E$21,0))/SUMPRODUCT((Normalizacao!F$14:F$19&lt;&gt;"")*Parametros!$E$16:$E$21))</f>
        <v>56.0074074074074</v>
      </c>
      <c r="F4" s="35" t="n">
        <f aca="false">IF(SUMPRODUCT((Normalizacao!G$14:G$19&lt;&gt;"")*1)&lt;Parametros!$B$46*6,"",SUMPRODUCT(IFERROR(Normalizacao!G$14:G$19*Parametros!$E$16:$E$21,0))/SUMPRODUCT((Normalizacao!G$14:G$19&lt;&gt;"")*Parametros!$E$16:$E$21))</f>
        <v>56.5888888888889</v>
      </c>
      <c r="G4" s="35" t="n">
        <f aca="false">IF(SUMPRODUCT((Normalizacao!H$14:H$19&lt;&gt;"")*1)&lt;Parametros!$B$46*6,"",SUMPRODUCT(IFERROR(Normalizacao!H$14:H$19*Parametros!$E$16:$E$21,0))/SUMPRODUCT((Normalizacao!H$14:H$19&lt;&gt;"")*Parametros!$E$16:$E$21))</f>
        <v>56.9407407407407</v>
      </c>
      <c r="H4" s="35" t="n">
        <f aca="false">IF(SUMPRODUCT((Normalizacao!I$14:I$19&lt;&gt;"")*1)&lt;Parametros!$B$46*6,"",SUMPRODUCT(IFERROR(Normalizacao!I$14:I$19*Parametros!$E$16:$E$21,0))/SUMPRODUCT((Normalizacao!I$14:I$19&lt;&gt;"")*Parametros!$E$16:$E$21))</f>
        <v>57.2051851851852</v>
      </c>
      <c r="I4" s="35" t="n">
        <f aca="false">IF(SUMPRODUCT((Normalizacao!J$14:J$19&lt;&gt;"")*1)&lt;Parametros!$B$46*6,"",SUMPRODUCT(IFERROR(Normalizacao!J$14:J$19*Parametros!$E$16:$E$21,0))/SUMPRODUCT((Normalizacao!J$14:J$19&lt;&gt;"")*Parametros!$E$16:$E$21))</f>
        <v>57.6244444444444</v>
      </c>
      <c r="J4" s="35" t="str">
        <f aca="false">IF(SUMPRODUCT((Normalizacao!K$14:K$19&lt;&gt;"")*1)&lt;Parametros!$B$46*6,"",SUMPRODUCT(IFERROR(Normalizacao!K$14:K$19*Parametros!$E$16:$E$21,0))/SUMPRODUCT((Normalizacao!K$14:K$19&lt;&gt;"")*Parametros!$E$16:$E$21))</f>
        <v/>
      </c>
      <c r="K4" s="35" t="str">
        <f aca="false">IF(SUMPRODUCT((Normalizacao!L$14:L$19&lt;&gt;"")*1)&lt;Parametros!$B$46*6,"",SUMPRODUCT(IFERROR(Normalizacao!L$14:L$19*Parametros!$E$16:$E$21,0))/SUMPRODUCT((Normalizacao!L$14:L$19&lt;&gt;"")*Parametros!$E$16:$E$21))</f>
        <v/>
      </c>
      <c r="L4" s="35" t="str">
        <f aca="false">IF(SUMPRODUCT((Normalizacao!M$14:M$19&lt;&gt;"")*1)&lt;Parametros!$B$46*6,"",SUMPRODUCT(IFERROR(Normalizacao!M$14:M$19*Parametros!$E$16:$E$21,0))/SUMPRODUCT((Normalizacao!M$14:M$19&lt;&gt;"")*Parametros!$E$16:$E$21))</f>
        <v/>
      </c>
    </row>
    <row r="5" customFormat="false" ht="14.25" hidden="false" customHeight="true" outlineLevel="0" collapsed="false">
      <c r="A5" s="37" t="s">
        <v>182</v>
      </c>
      <c r="B5" s="35" t="str">
        <f aca="false">IF(SUMPRODUCT((Normalizacao!C$20:C$24&lt;&gt;"")*1)&lt;Parametros!$B$46*5,"",SUMPRODUCT(IFERROR(Normalizacao!C$20:C$24*Parametros!$E$22:$E$26,0))/SUMPRODUCT((Normalizacao!C$20:C$24&lt;&gt;"")*Parametros!$E$22:$E$26))</f>
        <v/>
      </c>
      <c r="C5" s="35" t="str">
        <f aca="false">IF(SUMPRODUCT((Normalizacao!D$20:D$24&lt;&gt;"")*1)&lt;Parametros!$B$46*5,"",SUMPRODUCT(IFERROR(Normalizacao!D$20:D$24*Parametros!$E$22:$E$26,0))/SUMPRODUCT((Normalizacao!D$20:D$24&lt;&gt;"")*Parametros!$E$22:$E$26))</f>
        <v/>
      </c>
      <c r="D5" s="35" t="str">
        <f aca="false">IF(SUMPRODUCT((Normalizacao!E$20:E$24&lt;&gt;"")*1)&lt;Parametros!$B$46*5,"",SUMPRODUCT(IFERROR(Normalizacao!E$20:E$24*Parametros!$E$22:$E$26,0))/SUMPRODUCT((Normalizacao!E$20:E$24&lt;&gt;"")*Parametros!$E$22:$E$26))</f>
        <v/>
      </c>
      <c r="E5" s="35" t="n">
        <f aca="false">IF(SUMPRODUCT((Normalizacao!F$20:F$24&lt;&gt;"")*1)&lt;Parametros!$B$46*5,"",SUMPRODUCT(IFERROR(Normalizacao!F$20:F$24*Parametros!$E$22:$E$26,0))/SUMPRODUCT((Normalizacao!F$20:F$24&lt;&gt;"")*Parametros!$E$22:$E$26))</f>
        <v>41.1468903940887</v>
      </c>
      <c r="F5" s="35" t="str">
        <f aca="false">IF(SUMPRODUCT((Normalizacao!G$20:G$24&lt;&gt;"")*1)&lt;Parametros!$B$46*5,"",SUMPRODUCT(IFERROR(Normalizacao!G$20:G$24*Parametros!$E$22:$E$26,0))/SUMPRODUCT((Normalizacao!G$20:G$24&lt;&gt;"")*Parametros!$E$22:$E$26))</f>
        <v/>
      </c>
      <c r="G5" s="35" t="str">
        <f aca="false">IF(SUMPRODUCT((Normalizacao!H$20:H$24&lt;&gt;"")*1)&lt;Parametros!$B$46*5,"",SUMPRODUCT(IFERROR(Normalizacao!H$20:H$24*Parametros!$E$22:$E$26,0))/SUMPRODUCT((Normalizacao!H$20:H$24&lt;&gt;"")*Parametros!$E$22:$E$26))</f>
        <v/>
      </c>
      <c r="H5" s="35" t="str">
        <f aca="false">IF(SUMPRODUCT((Normalizacao!I$20:I$24&lt;&gt;"")*1)&lt;Parametros!$B$46*5,"",SUMPRODUCT(IFERROR(Normalizacao!I$20:I$24*Parametros!$E$22:$E$26,0))/SUMPRODUCT((Normalizacao!I$20:I$24&lt;&gt;"")*Parametros!$E$22:$E$26))</f>
        <v/>
      </c>
      <c r="I5" s="35" t="str">
        <f aca="false">IF(SUMPRODUCT((Normalizacao!J$20:J$24&lt;&gt;"")*1)&lt;Parametros!$B$46*5,"",SUMPRODUCT(IFERROR(Normalizacao!J$20:J$24*Parametros!$E$22:$E$26,0))/SUMPRODUCT((Normalizacao!J$20:J$24&lt;&gt;"")*Parametros!$E$22:$E$26))</f>
        <v/>
      </c>
      <c r="J5" s="35" t="str">
        <f aca="false">IF(SUMPRODUCT((Normalizacao!K$20:K$24&lt;&gt;"")*1)&lt;Parametros!$B$46*5,"",SUMPRODUCT(IFERROR(Normalizacao!K$20:K$24*Parametros!$E$22:$E$26,0))/SUMPRODUCT((Normalizacao!K$20:K$24&lt;&gt;"")*Parametros!$E$22:$E$26))</f>
        <v/>
      </c>
      <c r="K5" s="35" t="str">
        <f aca="false">IF(SUMPRODUCT((Normalizacao!L$20:L$24&lt;&gt;"")*1)&lt;Parametros!$B$46*5,"",SUMPRODUCT(IFERROR(Normalizacao!L$20:L$24*Parametros!$E$22:$E$26,0))/SUMPRODUCT((Normalizacao!L$20:L$24&lt;&gt;"")*Parametros!$E$22:$E$26))</f>
        <v/>
      </c>
      <c r="L5" s="35" t="str">
        <f aca="false">IF(SUMPRODUCT((Normalizacao!M$20:M$24&lt;&gt;"")*1)&lt;Parametros!$B$46*5,"",SUMPRODUCT(IFERROR(Normalizacao!M$20:M$24*Parametros!$E$22:$E$26,0))/SUMPRODUCT((Normalizacao!M$20:M$24&lt;&gt;"")*Parametros!$E$22:$E$26))</f>
        <v/>
      </c>
    </row>
    <row r="6" customFormat="false" ht="14.25" hidden="false" customHeight="true" outlineLevel="0" collapsed="false">
      <c r="A6" s="36" t="s">
        <v>183</v>
      </c>
      <c r="B6" s="35" t="n">
        <f aca="false">IF(SUMPRODUCT((Normalizacao!C$25:C$30&lt;&gt;"")*1)&lt;Parametros!$B$46*6,"",SUMPRODUCT(IFERROR(Normalizacao!C$25:C$30*Parametros!$E$27:$E$32,0))/SUMPRODUCT((Normalizacao!C$25:C$30&lt;&gt;"")*Parametros!$E$27:$E$32))</f>
        <v>38.86</v>
      </c>
      <c r="C6" s="35" t="n">
        <f aca="false">IF(SUMPRODUCT((Normalizacao!D$25:D$30&lt;&gt;"")*1)&lt;Parametros!$B$46*6,"",SUMPRODUCT(IFERROR(Normalizacao!D$25:D$30*Parametros!$E$27:$E$32,0))/SUMPRODUCT((Normalizacao!D$25:D$30&lt;&gt;"")*Parametros!$E$27:$E$32))</f>
        <v>39.42</v>
      </c>
      <c r="D6" s="35" t="n">
        <f aca="false">IF(SUMPRODUCT((Normalizacao!E$25:E$30&lt;&gt;"")*1)&lt;Parametros!$B$46*6,"",SUMPRODUCT(IFERROR(Normalizacao!E$25:E$30*Parametros!$E$27:$E$32,0))/SUMPRODUCT((Normalizacao!E$25:E$30&lt;&gt;"")*Parametros!$E$27:$E$32))</f>
        <v>40.34</v>
      </c>
      <c r="E6" s="35" t="n">
        <f aca="false">IF(SUMPRODUCT((Normalizacao!F$25:F$30&lt;&gt;"")*1)&lt;Parametros!$B$46*6,"",SUMPRODUCT(IFERROR(Normalizacao!F$25:F$30*Parametros!$E$27:$E$32,0))/SUMPRODUCT((Normalizacao!F$25:F$30&lt;&gt;"")*Parametros!$E$27:$E$32))</f>
        <v>41.78</v>
      </c>
      <c r="F6" s="35" t="n">
        <f aca="false">IF(SUMPRODUCT((Normalizacao!G$25:G$30&lt;&gt;"")*1)&lt;Parametros!$B$46*6,"",SUMPRODUCT(IFERROR(Normalizacao!G$25:G$30*Parametros!$E$27:$E$32,0))/SUMPRODUCT((Normalizacao!G$25:G$30&lt;&gt;"")*Parametros!$E$27:$E$32))</f>
        <v>42.72</v>
      </c>
      <c r="G6" s="35" t="n">
        <f aca="false">IF(SUMPRODUCT((Normalizacao!H$25:H$30&lt;&gt;"")*1)&lt;Parametros!$B$46*6,"",SUMPRODUCT(IFERROR(Normalizacao!H$25:H$30*Parametros!$E$27:$E$32,0))/SUMPRODUCT((Normalizacao!H$25:H$30&lt;&gt;"")*Parametros!$E$27:$E$32))</f>
        <v>44.16</v>
      </c>
      <c r="H6" s="35" t="n">
        <f aca="false">IF(SUMPRODUCT((Normalizacao!I$25:I$30&lt;&gt;"")*1)&lt;Parametros!$B$46*6,"",SUMPRODUCT(IFERROR(Normalizacao!I$25:I$30*Parametros!$E$27:$E$32,0))/SUMPRODUCT((Normalizacao!I$25:I$30&lt;&gt;"")*Parametros!$E$27:$E$32))</f>
        <v>45.18</v>
      </c>
      <c r="I6" s="35" t="n">
        <f aca="false">IF(SUMPRODUCT((Normalizacao!J$25:J$30&lt;&gt;"")*1)&lt;Parametros!$B$46*6,"",SUMPRODUCT(IFERROR(Normalizacao!J$25:J$30*Parametros!$E$27:$E$32,0))/SUMPRODUCT((Normalizacao!J$25:J$30&lt;&gt;"")*Parametros!$E$27:$E$32))</f>
        <v>45.84</v>
      </c>
      <c r="J6" s="35" t="n">
        <f aca="false">IF(SUMPRODUCT((Normalizacao!K$25:K$30&lt;&gt;"")*1)&lt;Parametros!$B$46*6,"",SUMPRODUCT(IFERROR(Normalizacao!K$25:K$30*Parametros!$E$27:$E$32,0))/SUMPRODUCT((Normalizacao!K$25:K$30&lt;&gt;"")*Parametros!$E$27:$E$32))</f>
        <v>42.3666666666667</v>
      </c>
      <c r="K6" s="35" t="str">
        <f aca="false">IF(SUMPRODUCT((Normalizacao!L$25:L$30&lt;&gt;"")*1)&lt;Parametros!$B$46*6,"",SUMPRODUCT(IFERROR(Normalizacao!L$25:L$30*Parametros!$E$27:$E$32,0))/SUMPRODUCT((Normalizacao!L$25:L$30&lt;&gt;"")*Parametros!$E$27:$E$32))</f>
        <v/>
      </c>
      <c r="L6" s="35" t="str">
        <f aca="false">IF(SUMPRODUCT((Normalizacao!M$25:M$30&lt;&gt;"")*1)&lt;Parametros!$B$46*6,"",SUMPRODUCT(IFERROR(Normalizacao!M$25:M$30*Parametros!$E$27:$E$32,0))/SUMPRODUCT((Normalizacao!M$25:M$30&lt;&gt;"")*Parametros!$E$27:$E$32))</f>
        <v/>
      </c>
    </row>
    <row r="7" customFormat="false" ht="14.25" hidden="false" customHeight="true" outlineLevel="0" collapsed="false">
      <c r="A7" s="37" t="s">
        <v>180</v>
      </c>
      <c r="B7" s="35" t="str">
        <f aca="false">IF(SUMPRODUCT((Normalizacao!C$31:C$36&lt;&gt;"")*1)&lt;Parametros!$B$46*6,"",SUMPRODUCT(IFERROR(Normalizacao!C$31:C$36*Parametros!$E$33:$E$38,0))/SUMPRODUCT((Normalizacao!C$31:C$36&lt;&gt;"")*Parametros!$E$33:$E$38))</f>
        <v/>
      </c>
      <c r="C7" s="35" t="str">
        <f aca="false">IF(SUMPRODUCT((Normalizacao!D$31:D$36&lt;&gt;"")*1)&lt;Parametros!$B$46*6,"",SUMPRODUCT(IFERROR(Normalizacao!D$31:D$36*Parametros!$E$33:$E$38,0))/SUMPRODUCT((Normalizacao!D$31:D$36&lt;&gt;"")*Parametros!$E$33:$E$38))</f>
        <v/>
      </c>
      <c r="D7" s="35" t="str">
        <f aca="false">IF(SUMPRODUCT((Normalizacao!E$31:E$36&lt;&gt;"")*1)&lt;Parametros!$B$46*6,"",SUMPRODUCT(IFERROR(Normalizacao!E$31:E$36*Parametros!$E$33:$E$38,0))/SUMPRODUCT((Normalizacao!E$31:E$36&lt;&gt;"")*Parametros!$E$33:$E$38))</f>
        <v/>
      </c>
      <c r="E7" s="35" t="str">
        <f aca="false">IF(SUMPRODUCT((Normalizacao!F$31:F$36&lt;&gt;"")*1)&lt;Parametros!$B$46*6,"",SUMPRODUCT(IFERROR(Normalizacao!F$31:F$36*Parametros!$E$33:$E$38,0))/SUMPRODUCT((Normalizacao!F$31:F$36&lt;&gt;"")*Parametros!$E$33:$E$38))</f>
        <v/>
      </c>
      <c r="F7" s="35" t="n">
        <f aca="false">IF(SUMPRODUCT((Normalizacao!G$31:G$36&lt;&gt;"")*1)&lt;Parametros!$B$46*6,"",SUMPRODUCT(IFERROR(Normalizacao!G$31:G$36*Parametros!$E$33:$E$38,0))/SUMPRODUCT((Normalizacao!G$31:G$36&lt;&gt;"")*Parametros!$E$33:$E$38))</f>
        <v>37.9222091383309</v>
      </c>
      <c r="G7" s="35" t="n">
        <f aca="false">IF(SUMPRODUCT((Normalizacao!H$31:H$36&lt;&gt;"")*1)&lt;Parametros!$B$46*6,"",SUMPRODUCT(IFERROR(Normalizacao!H$31:H$36*Parametros!$E$33:$E$38,0))/SUMPRODUCT((Normalizacao!H$31:H$36&lt;&gt;"")*Parametros!$E$33:$E$38))</f>
        <v>33.9263586466607</v>
      </c>
      <c r="H7" s="35" t="n">
        <f aca="false">IF(SUMPRODUCT((Normalizacao!I$31:I$36&lt;&gt;"")*1)&lt;Parametros!$B$46*6,"",SUMPRODUCT(IFERROR(Normalizacao!I$31:I$36*Parametros!$E$33:$E$38,0))/SUMPRODUCT((Normalizacao!I$31:I$36&lt;&gt;"")*Parametros!$E$33:$E$38))</f>
        <v>33.9887452474615</v>
      </c>
      <c r="I7" s="35" t="n">
        <f aca="false">IF(SUMPRODUCT((Normalizacao!J$31:J$36&lt;&gt;"")*1)&lt;Parametros!$B$46*6,"",SUMPRODUCT(IFERROR(Normalizacao!J$31:J$36*Parametros!$E$33:$E$38,0))/SUMPRODUCT((Normalizacao!J$31:J$36&lt;&gt;"")*Parametros!$E$33:$E$38))</f>
        <v>35.6711664897935</v>
      </c>
      <c r="J7" s="35" t="n">
        <f aca="false">IF(SUMPRODUCT((Normalizacao!K$31:K$36&lt;&gt;"")*1)&lt;Parametros!$B$46*6,"",SUMPRODUCT(IFERROR(Normalizacao!K$31:K$36*Parametros!$E$33:$E$38,0))/SUMPRODUCT((Normalizacao!K$31:K$36&lt;&gt;"")*Parametros!$E$33:$E$38))</f>
        <v>33.9928507739101</v>
      </c>
      <c r="K7" s="35" t="n">
        <f aca="false">IF(SUMPRODUCT((Normalizacao!L$31:L$36&lt;&gt;"")*1)&lt;Parametros!$B$46*6,"",SUMPRODUCT(IFERROR(Normalizacao!L$31:L$36*Parametros!$E$33:$E$38,0))/SUMPRODUCT((Normalizacao!L$31:L$36&lt;&gt;"")*Parametros!$E$33:$E$38))</f>
        <v>34.8033993307397</v>
      </c>
      <c r="L7" s="35" t="n">
        <f aca="false">IF(SUMPRODUCT((Normalizacao!M$31:M$36&lt;&gt;"")*1)&lt;Parametros!$B$46*6,"",SUMPRODUCT(IFERROR(Normalizacao!M$31:M$36*Parametros!$E$33:$E$38,0))/SUMPRODUCT((Normalizacao!M$31:M$36&lt;&gt;"")*Parametros!$E$33:$E$38))</f>
        <v>39.1195949108194</v>
      </c>
    </row>
    <row r="8" customFormat="false" ht="14.25" hidden="false" customHeight="true" outlineLevel="0" collapsed="false">
      <c r="A8" s="36" t="s">
        <v>181</v>
      </c>
      <c r="B8" s="35" t="n">
        <f aca="false">IF(SUMPRODUCT((Normalizacao!C$37:C$42&lt;&gt;"")*1)&lt;Parametros!$B$46*6,"",SUMPRODUCT(IFERROR(Normalizacao!C$37:C$42*Parametros!$E$39:$E$44,0))/SUMPRODUCT((Normalizacao!C$37:C$42&lt;&gt;"")*Parametros!$E$39:$E$44))</f>
        <v>37.45</v>
      </c>
      <c r="C8" s="35" t="n">
        <f aca="false">IF(SUMPRODUCT((Normalizacao!D$37:D$42&lt;&gt;"")*1)&lt;Parametros!$B$46*6,"",SUMPRODUCT(IFERROR(Normalizacao!D$37:D$42*Parametros!$E$39:$E$44,0))/SUMPRODUCT((Normalizacao!D$37:D$42&lt;&gt;"")*Parametros!$E$39:$E$44))</f>
        <v>46.3666666666667</v>
      </c>
      <c r="D8" s="35" t="n">
        <f aca="false">IF(SUMPRODUCT((Normalizacao!E$37:E$42&lt;&gt;"")*1)&lt;Parametros!$B$46*6,"",SUMPRODUCT(IFERROR(Normalizacao!E$37:E$42*Parametros!$E$39:$E$44,0))/SUMPRODUCT((Normalizacao!E$37:E$42&lt;&gt;"")*Parametros!$E$39:$E$44))</f>
        <v>40.32</v>
      </c>
      <c r="E8" s="35" t="n">
        <f aca="false">IF(SUMPRODUCT((Normalizacao!F$37:F$42&lt;&gt;"")*1)&lt;Parametros!$B$46*6,"",SUMPRODUCT(IFERROR(Normalizacao!F$37:F$42*Parametros!$E$39:$E$44,0))/SUMPRODUCT((Normalizacao!F$37:F$42&lt;&gt;"")*Parametros!$E$39:$E$44))</f>
        <v>49.8666666666667</v>
      </c>
      <c r="F8" s="35" t="n">
        <f aca="false">IF(SUMPRODUCT((Normalizacao!G$37:G$42&lt;&gt;"")*1)&lt;Parametros!$B$46*6,"",SUMPRODUCT(IFERROR(Normalizacao!G$37:G$42*Parametros!$E$39:$E$44,0))/SUMPRODUCT((Normalizacao!G$37:G$42&lt;&gt;"")*Parametros!$E$39:$E$44))</f>
        <v>47.7833333333333</v>
      </c>
      <c r="G8" s="35" t="n">
        <f aca="false">IF(SUMPRODUCT((Normalizacao!H$37:H$42&lt;&gt;"")*1)&lt;Parametros!$B$46*6,"",SUMPRODUCT(IFERROR(Normalizacao!H$37:H$42*Parametros!$E$39:$E$44,0))/SUMPRODUCT((Normalizacao!H$37:H$42&lt;&gt;"")*Parametros!$E$39:$E$44))</f>
        <v>46.55</v>
      </c>
      <c r="H8" s="35" t="n">
        <f aca="false">IF(SUMPRODUCT((Normalizacao!I$37:I$42&lt;&gt;"")*1)&lt;Parametros!$B$46*6,"",SUMPRODUCT(IFERROR(Normalizacao!I$37:I$42*Parametros!$E$39:$E$44,0))/SUMPRODUCT((Normalizacao!I$37:I$42&lt;&gt;"")*Parametros!$E$39:$E$44))</f>
        <v>45.85</v>
      </c>
      <c r="I8" s="35" t="n">
        <f aca="false">IF(SUMPRODUCT((Normalizacao!J$37:J$42&lt;&gt;"")*1)&lt;Parametros!$B$46*6,"",SUMPRODUCT(IFERROR(Normalizacao!J$37:J$42*Parametros!$E$39:$E$44,0))/SUMPRODUCT((Normalizacao!J$37:J$42&lt;&gt;"")*Parametros!$E$39:$E$44))</f>
        <v>39.1066666666667</v>
      </c>
      <c r="J8" s="35" t="n">
        <f aca="false">IF(SUMPRODUCT((Normalizacao!K$37:K$42&lt;&gt;"")*1)&lt;Parametros!$B$46*6,"",SUMPRODUCT(IFERROR(Normalizacao!K$37:K$42*Parametros!$E$39:$E$44,0))/SUMPRODUCT((Normalizacao!K$37:K$42&lt;&gt;"")*Parametros!$E$39:$E$44))</f>
        <v>62.2333333333333</v>
      </c>
      <c r="K8" s="35" t="str">
        <f aca="false">IF(SUMPRODUCT((Normalizacao!L$37:L$42&lt;&gt;"")*1)&lt;Parametros!$B$46*6,"",SUMPRODUCT(IFERROR(Normalizacao!L$37:L$42*Parametros!$E$39:$E$44,0))/SUMPRODUCT((Normalizacao!L$37:L$42&lt;&gt;"")*Parametros!$E$39:$E$44))</f>
        <v/>
      </c>
      <c r="L8" s="35" t="str">
        <f aca="false">IF(SUMPRODUCT((Normalizacao!M$37:M$42&lt;&gt;"")*1)&lt;Parametros!$B$46*6,"",SUMPRODUCT(IFERROR(Normalizacao!M$37:M$42*Parametros!$E$39:$E$44,0))/SUMPRODUCT((Normalizacao!M$37:M$42&lt;&gt;"")*Parametros!$E$39:$E$44))</f>
        <v/>
      </c>
    </row>
    <row r="10" customFormat="false" ht="14.25" hidden="false" customHeight="true" outlineLevel="0" collapsed="false">
      <c r="A10" s="6" t="s">
        <v>184</v>
      </c>
    </row>
    <row r="11" customFormat="false" ht="14.25" hidden="false" customHeight="true" outlineLevel="0" collapsed="false">
      <c r="A11" s="6" t="s">
        <v>40</v>
      </c>
      <c r="B11" s="6" t="s">
        <v>45</v>
      </c>
      <c r="C11" s="6" t="s">
        <v>46</v>
      </c>
      <c r="D11" s="6" t="s">
        <v>47</v>
      </c>
      <c r="E11" s="6" t="s">
        <v>48</v>
      </c>
      <c r="F11" s="6" t="s">
        <v>49</v>
      </c>
      <c r="G11" s="6" t="s">
        <v>50</v>
      </c>
      <c r="H11" s="6" t="s">
        <v>51</v>
      </c>
      <c r="I11" s="6" t="s">
        <v>52</v>
      </c>
      <c r="J11" s="6" t="s">
        <v>53</v>
      </c>
      <c r="K11" s="6" t="s">
        <v>54</v>
      </c>
      <c r="L11" s="6" t="s">
        <v>55</v>
      </c>
    </row>
    <row r="12" customFormat="false" ht="14.25" hidden="false" customHeight="true" outlineLevel="0" collapsed="false">
      <c r="A12" s="1" t="s">
        <v>178</v>
      </c>
      <c r="B12" s="1" t="str">
        <f aca="false">SUMPRODUCT((Normalizacao!C$2:C$6&lt;&gt;"")*1)&amp;"/5"</f>
        <v>5/5</v>
      </c>
      <c r="C12" s="1" t="str">
        <f aca="false">SUMPRODUCT((Normalizacao!D$2:D$6&lt;&gt;"")*1)&amp;"/5"</f>
        <v>5/5</v>
      </c>
      <c r="D12" s="1" t="str">
        <f aca="false">SUMPRODUCT((Normalizacao!E$2:E$6&lt;&gt;"")*1)&amp;"/5"</f>
        <v>5/5</v>
      </c>
      <c r="E12" s="1" t="str">
        <f aca="false">SUMPRODUCT((Normalizacao!F$2:F$6&lt;&gt;"")*1)&amp;"/5"</f>
        <v>5/5</v>
      </c>
      <c r="F12" s="1" t="str">
        <f aca="false">SUMPRODUCT((Normalizacao!G$2:G$6&lt;&gt;"")*1)&amp;"/5"</f>
        <v>5/5</v>
      </c>
      <c r="G12" s="1" t="str">
        <f aca="false">SUMPRODUCT((Normalizacao!H$2:H$6&lt;&gt;"")*1)&amp;"/5"</f>
        <v>5/5</v>
      </c>
      <c r="H12" s="1" t="str">
        <f aca="false">SUMPRODUCT((Normalizacao!I$2:I$6&lt;&gt;"")*1)&amp;"/5"</f>
        <v>4/5</v>
      </c>
      <c r="I12" s="1" t="str">
        <f aca="false">SUMPRODUCT((Normalizacao!J$2:J$6&lt;&gt;"")*1)&amp;"/5"</f>
        <v>4/5</v>
      </c>
      <c r="J12" s="1" t="str">
        <f aca="false">SUMPRODUCT((Normalizacao!K$2:K$6&lt;&gt;"")*1)&amp;"/5"</f>
        <v>4/5</v>
      </c>
      <c r="K12" s="1" t="str">
        <f aca="false">SUMPRODUCT((Normalizacao!L$2:L$6&lt;&gt;"")*1)&amp;"/5"</f>
        <v>4/5</v>
      </c>
      <c r="L12" s="1" t="str">
        <f aca="false">SUMPRODUCT((Normalizacao!M$2:M$6&lt;&gt;"")*1)&amp;"/5"</f>
        <v>0/5</v>
      </c>
    </row>
    <row r="13" customFormat="false" ht="14.25" hidden="false" customHeight="true" outlineLevel="0" collapsed="false">
      <c r="A13" s="1" t="s">
        <v>179</v>
      </c>
      <c r="B13" s="1" t="str">
        <f aca="false">SUMPRODUCT((Normalizacao!C$7:C$13&lt;&gt;"")*1)&amp;"/7"</f>
        <v>6/7</v>
      </c>
      <c r="C13" s="1" t="str">
        <f aca="false">SUMPRODUCT((Normalizacao!D$7:D$13&lt;&gt;"")*1)&amp;"/7"</f>
        <v>6/7</v>
      </c>
      <c r="D13" s="1" t="str">
        <f aca="false">SUMPRODUCT((Normalizacao!E$7:E$13&lt;&gt;"")*1)&amp;"/7"</f>
        <v>6/7</v>
      </c>
      <c r="E13" s="1" t="str">
        <f aca="false">SUMPRODUCT((Normalizacao!F$7:F$13&lt;&gt;"")*1)&amp;"/7"</f>
        <v>6/7</v>
      </c>
      <c r="F13" s="1" t="str">
        <f aca="false">SUMPRODUCT((Normalizacao!G$7:G$13&lt;&gt;"")*1)&amp;"/7"</f>
        <v>6/7</v>
      </c>
      <c r="G13" s="1" t="str">
        <f aca="false">SUMPRODUCT((Normalizacao!H$7:H$13&lt;&gt;"")*1)&amp;"/7"</f>
        <v>6/7</v>
      </c>
      <c r="H13" s="1" t="str">
        <f aca="false">SUMPRODUCT((Normalizacao!I$7:I$13&lt;&gt;"")*1)&amp;"/7"</f>
        <v>6/7</v>
      </c>
      <c r="I13" s="1" t="str">
        <f aca="false">SUMPRODUCT((Normalizacao!J$7:J$13&lt;&gt;"")*1)&amp;"/7"</f>
        <v>6/7</v>
      </c>
      <c r="J13" s="1" t="str">
        <f aca="false">SUMPRODUCT((Normalizacao!K$7:K$13&lt;&gt;"")*1)&amp;"/7"</f>
        <v>6/7</v>
      </c>
      <c r="K13" s="1" t="str">
        <f aca="false">SUMPRODUCT((Normalizacao!L$7:L$13&lt;&gt;"")*1)&amp;"/7"</f>
        <v>6/7</v>
      </c>
      <c r="L13" s="1" t="str">
        <f aca="false">SUMPRODUCT((Normalizacao!M$7:M$13&lt;&gt;"")*1)&amp;"/7"</f>
        <v>4/7</v>
      </c>
    </row>
    <row r="14" customFormat="false" ht="14.25" hidden="false" customHeight="true" outlineLevel="0" collapsed="false">
      <c r="A14" s="1" t="s">
        <v>89</v>
      </c>
      <c r="B14" s="1" t="str">
        <f aca="false">SUMPRODUCT((Normalizacao!C$14:C$19&lt;&gt;"")*1)&amp;"/6"</f>
        <v>2/6</v>
      </c>
      <c r="C14" s="1" t="str">
        <f aca="false">SUMPRODUCT((Normalizacao!D$14:D$19&lt;&gt;"")*1)&amp;"/6"</f>
        <v>2/6</v>
      </c>
      <c r="D14" s="1" t="str">
        <f aca="false">SUMPRODUCT((Normalizacao!E$14:E$19&lt;&gt;"")*1)&amp;"/6"</f>
        <v>3/6</v>
      </c>
      <c r="E14" s="1" t="str">
        <f aca="false">SUMPRODUCT((Normalizacao!F$14:F$19&lt;&gt;"")*1)&amp;"/6"</f>
        <v>3/6</v>
      </c>
      <c r="F14" s="1" t="str">
        <f aca="false">SUMPRODUCT((Normalizacao!G$14:G$19&lt;&gt;"")*1)&amp;"/6"</f>
        <v>3/6</v>
      </c>
      <c r="G14" s="1" t="str">
        <f aca="false">SUMPRODUCT((Normalizacao!H$14:H$19&lt;&gt;"")*1)&amp;"/6"</f>
        <v>3/6</v>
      </c>
      <c r="H14" s="1" t="str">
        <f aca="false">SUMPRODUCT((Normalizacao!I$14:I$19&lt;&gt;"")*1)&amp;"/6"</f>
        <v>3/6</v>
      </c>
      <c r="I14" s="1" t="str">
        <f aca="false">SUMPRODUCT((Normalizacao!J$14:J$19&lt;&gt;"")*1)&amp;"/6"</f>
        <v>3/6</v>
      </c>
      <c r="J14" s="1" t="str">
        <f aca="false">SUMPRODUCT((Normalizacao!K$14:K$19&lt;&gt;"")*1)&amp;"/6"</f>
        <v>2/6</v>
      </c>
      <c r="K14" s="1" t="str">
        <f aca="false">SUMPRODUCT((Normalizacao!L$14:L$19&lt;&gt;"")*1)&amp;"/6"</f>
        <v>1/6</v>
      </c>
      <c r="L14" s="1" t="str">
        <f aca="false">SUMPRODUCT((Normalizacao!M$14:M$19&lt;&gt;"")*1)&amp;"/6"</f>
        <v>1/6</v>
      </c>
    </row>
    <row r="15" customFormat="false" ht="14.25" hidden="false" customHeight="true" outlineLevel="0" collapsed="false">
      <c r="A15" s="1" t="s">
        <v>182</v>
      </c>
      <c r="B15" s="1" t="str">
        <f aca="false">SUMPRODUCT((Normalizacao!C$20:C$24&lt;&gt;"")*1)&amp;"/5"</f>
        <v>2/5</v>
      </c>
      <c r="C15" s="1" t="str">
        <f aca="false">SUMPRODUCT((Normalizacao!D$20:D$24&lt;&gt;"")*1)&amp;"/5"</f>
        <v>2/5</v>
      </c>
      <c r="D15" s="1" t="str">
        <f aca="false">SUMPRODUCT((Normalizacao!E$20:E$24&lt;&gt;"")*1)&amp;"/5"</f>
        <v>2/5</v>
      </c>
      <c r="E15" s="1" t="str">
        <f aca="false">SUMPRODUCT((Normalizacao!F$20:F$24&lt;&gt;"")*1)&amp;"/5"</f>
        <v>4/5</v>
      </c>
      <c r="F15" s="1" t="str">
        <f aca="false">SUMPRODUCT((Normalizacao!G$20:G$24&lt;&gt;"")*1)&amp;"/5"</f>
        <v>1/5</v>
      </c>
      <c r="G15" s="1" t="str">
        <f aca="false">SUMPRODUCT((Normalizacao!H$20:H$24&lt;&gt;"")*1)&amp;"/5"</f>
        <v>2/5</v>
      </c>
      <c r="H15" s="1" t="str">
        <f aca="false">SUMPRODUCT((Normalizacao!I$20:I$24&lt;&gt;"")*1)&amp;"/5"</f>
        <v>2/5</v>
      </c>
      <c r="I15" s="1" t="str">
        <f aca="false">SUMPRODUCT((Normalizacao!J$20:J$24&lt;&gt;"")*1)&amp;"/5"</f>
        <v>2/5</v>
      </c>
      <c r="J15" s="1" t="str">
        <f aca="false">SUMPRODUCT((Normalizacao!K$20:K$24&lt;&gt;"")*1)&amp;"/5"</f>
        <v>2/5</v>
      </c>
      <c r="K15" s="1" t="str">
        <f aca="false">SUMPRODUCT((Normalizacao!L$20:L$24&lt;&gt;"")*1)&amp;"/5"</f>
        <v>2/5</v>
      </c>
      <c r="L15" s="1" t="str">
        <f aca="false">SUMPRODUCT((Normalizacao!M$20:M$24&lt;&gt;"")*1)&amp;"/5"</f>
        <v>2/5</v>
      </c>
    </row>
    <row r="16" customFormat="false" ht="14.25" hidden="false" customHeight="true" outlineLevel="0" collapsed="false">
      <c r="A16" s="1" t="s">
        <v>183</v>
      </c>
      <c r="B16" s="1" t="str">
        <f aca="false">SUMPRODUCT((Normalizacao!C$25:C$30&lt;&gt;"")*1)&amp;"/6"</f>
        <v>5/6</v>
      </c>
      <c r="C16" s="1" t="str">
        <f aca="false">SUMPRODUCT((Normalizacao!D$25:D$30&lt;&gt;"")*1)&amp;"/6"</f>
        <v>5/6</v>
      </c>
      <c r="D16" s="1" t="str">
        <f aca="false">SUMPRODUCT((Normalizacao!E$25:E$30&lt;&gt;"")*1)&amp;"/6"</f>
        <v>5/6</v>
      </c>
      <c r="E16" s="1" t="str">
        <f aca="false">SUMPRODUCT((Normalizacao!F$25:F$30&lt;&gt;"")*1)&amp;"/6"</f>
        <v>5/6</v>
      </c>
      <c r="F16" s="1" t="str">
        <f aca="false">SUMPRODUCT((Normalizacao!G$25:G$30&lt;&gt;"")*1)&amp;"/6"</f>
        <v>5/6</v>
      </c>
      <c r="G16" s="1" t="str">
        <f aca="false">SUMPRODUCT((Normalizacao!H$25:H$30&lt;&gt;"")*1)&amp;"/6"</f>
        <v>5/6</v>
      </c>
      <c r="H16" s="1" t="str">
        <f aca="false">SUMPRODUCT((Normalizacao!I$25:I$30&lt;&gt;"")*1)&amp;"/6"</f>
        <v>5/6</v>
      </c>
      <c r="I16" s="1" t="str">
        <f aca="false">SUMPRODUCT((Normalizacao!J$25:J$30&lt;&gt;"")*1)&amp;"/6"</f>
        <v>5/6</v>
      </c>
      <c r="J16" s="1" t="str">
        <f aca="false">SUMPRODUCT((Normalizacao!K$25:K$30&lt;&gt;"")*1)&amp;"/6"</f>
        <v>3/6</v>
      </c>
      <c r="K16" s="1" t="str">
        <f aca="false">SUMPRODUCT((Normalizacao!L$25:L$30&lt;&gt;"")*1)&amp;"/6"</f>
        <v>1/6</v>
      </c>
      <c r="L16" s="1" t="str">
        <f aca="false">SUMPRODUCT((Normalizacao!M$25:M$30&lt;&gt;"")*1)&amp;"/6"</f>
        <v>0/6</v>
      </c>
    </row>
    <row r="17" customFormat="false" ht="14.25" hidden="false" customHeight="true" outlineLevel="0" collapsed="false">
      <c r="A17" s="1" t="s">
        <v>180</v>
      </c>
      <c r="B17" s="1" t="str">
        <f aca="false">SUMPRODUCT((Normalizacao!C$31:C$36&lt;&gt;"")*1)&amp;"/6"</f>
        <v>0/6</v>
      </c>
      <c r="C17" s="1" t="str">
        <f aca="false">SUMPRODUCT((Normalizacao!D$31:D$36&lt;&gt;"")*1)&amp;"/6"</f>
        <v>0/6</v>
      </c>
      <c r="D17" s="1" t="str">
        <f aca="false">SUMPRODUCT((Normalizacao!E$31:E$36&lt;&gt;"")*1)&amp;"/6"</f>
        <v>0/6</v>
      </c>
      <c r="E17" s="1" t="str">
        <f aca="false">SUMPRODUCT((Normalizacao!F$31:F$36&lt;&gt;"")*1)&amp;"/6"</f>
        <v>0/6</v>
      </c>
      <c r="F17" s="1" t="str">
        <f aca="false">SUMPRODUCT((Normalizacao!G$31:G$36&lt;&gt;"")*1)&amp;"/6"</f>
        <v>4/6</v>
      </c>
      <c r="G17" s="1" t="str">
        <f aca="false">SUMPRODUCT((Normalizacao!H$31:H$36&lt;&gt;"")*1)&amp;"/6"</f>
        <v>4/6</v>
      </c>
      <c r="H17" s="1" t="str">
        <f aca="false">SUMPRODUCT((Normalizacao!I$31:I$36&lt;&gt;"")*1)&amp;"/6"</f>
        <v>4/6</v>
      </c>
      <c r="I17" s="1" t="str">
        <f aca="false">SUMPRODUCT((Normalizacao!J$31:J$36&lt;&gt;"")*1)&amp;"/6"</f>
        <v>4/6</v>
      </c>
      <c r="J17" s="1" t="str">
        <f aca="false">SUMPRODUCT((Normalizacao!K$31:K$36&lt;&gt;"")*1)&amp;"/6"</f>
        <v>4/6</v>
      </c>
      <c r="K17" s="1" t="str">
        <f aca="false">SUMPRODUCT((Normalizacao!L$31:L$36&lt;&gt;"")*1)&amp;"/6"</f>
        <v>4/6</v>
      </c>
      <c r="L17" s="1" t="str">
        <f aca="false">SUMPRODUCT((Normalizacao!M$31:M$36&lt;&gt;"")*1)&amp;"/6"</f>
        <v>4/6</v>
      </c>
    </row>
    <row r="18" customFormat="false" ht="14.25" hidden="false" customHeight="true" outlineLevel="0" collapsed="false">
      <c r="A18" s="1" t="s">
        <v>181</v>
      </c>
      <c r="B18" s="1" t="str">
        <f aca="false">SUMPRODUCT((Normalizacao!C$37:C$42&lt;&gt;"")*1)&amp;"/6"</f>
        <v>4/6</v>
      </c>
      <c r="C18" s="1" t="str">
        <f aca="false">SUMPRODUCT((Normalizacao!D$37:D$42&lt;&gt;"")*1)&amp;"/6"</f>
        <v>4/6</v>
      </c>
      <c r="D18" s="1" t="str">
        <f aca="false">SUMPRODUCT((Normalizacao!E$37:E$42&lt;&gt;"")*1)&amp;"/6"</f>
        <v>5/6</v>
      </c>
      <c r="E18" s="1" t="str">
        <f aca="false">SUMPRODUCT((Normalizacao!F$37:F$42&lt;&gt;"")*1)&amp;"/6"</f>
        <v>4/6</v>
      </c>
      <c r="F18" s="1" t="str">
        <f aca="false">SUMPRODUCT((Normalizacao!G$37:G$42&lt;&gt;"")*1)&amp;"/6"</f>
        <v>4/6</v>
      </c>
      <c r="G18" s="1" t="str">
        <f aca="false">SUMPRODUCT((Normalizacao!H$37:H$42&lt;&gt;"")*1)&amp;"/6"</f>
        <v>4/6</v>
      </c>
      <c r="H18" s="1" t="str">
        <f aca="false">SUMPRODUCT((Normalizacao!I$37:I$42&lt;&gt;"")*1)&amp;"/6"</f>
        <v>4/6</v>
      </c>
      <c r="I18" s="1" t="str">
        <f aca="false">SUMPRODUCT((Normalizacao!J$37:J$42&lt;&gt;"")*1)&amp;"/6"</f>
        <v>5/6</v>
      </c>
      <c r="J18" s="1" t="str">
        <f aca="false">SUMPRODUCT((Normalizacao!K$37:K$42&lt;&gt;"")*1)&amp;"/6"</f>
        <v>3/6</v>
      </c>
      <c r="K18" s="1" t="str">
        <f aca="false">SUMPRODUCT((Normalizacao!L$37:L$42&lt;&gt;"")*1)&amp;"/6"</f>
        <v>2/6</v>
      </c>
      <c r="L18" s="1" t="str">
        <f aca="false">SUMPRODUCT((Normalizacao!M$37:M$42&lt;&gt;"")*1)&amp;"/6"</f>
        <v>2/6</v>
      </c>
    </row>
    <row r="20" customFormat="false" ht="14.25" hidden="false" customHeight="true" outlineLevel="0" collapsed="false">
      <c r="A20" s="6" t="s">
        <v>185</v>
      </c>
      <c r="B20" s="1" t="n">
        <f aca="false">SUMPRODUCT((B2:B8&lt;&gt;"")*1)</f>
        <v>4</v>
      </c>
      <c r="C20" s="1" t="n">
        <f aca="false">SUMPRODUCT((C2:C8&lt;&gt;"")*1)</f>
        <v>4</v>
      </c>
      <c r="D20" s="1" t="n">
        <f aca="false">SUMPRODUCT((D2:D8&lt;&gt;"")*1)</f>
        <v>5</v>
      </c>
      <c r="E20" s="1" t="n">
        <f aca="false">SUMPRODUCT((E2:E8&lt;&gt;"")*1)</f>
        <v>6</v>
      </c>
      <c r="F20" s="1" t="n">
        <f aca="false">SUMPRODUCT((F2:F8&lt;&gt;"")*1)</f>
        <v>6</v>
      </c>
      <c r="G20" s="1" t="n">
        <f aca="false">SUMPRODUCT((G2:G8&lt;&gt;"")*1)</f>
        <v>6</v>
      </c>
      <c r="H20" s="1" t="n">
        <f aca="false">SUMPRODUCT((H2:H8&lt;&gt;"")*1)</f>
        <v>6</v>
      </c>
      <c r="I20" s="1" t="n">
        <f aca="false">SUMPRODUCT((I2:I8&lt;&gt;"")*1)</f>
        <v>6</v>
      </c>
      <c r="J20" s="1" t="n">
        <f aca="false">SUMPRODUCT((J2:J8&lt;&gt;"")*1)</f>
        <v>5</v>
      </c>
      <c r="K20" s="1" t="n">
        <f aca="false">SUMPRODUCT((K2:K8&lt;&gt;"")*1)</f>
        <v>3</v>
      </c>
      <c r="L20" s="1" t="n">
        <f aca="false">SUMPRODUCT((L2:L8&lt;&gt;"")*1)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BEEF4"/>
    <pageSetUpPr fitToPage="false"/>
  </sheetPr>
  <dimension ref="B2:U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42" activeCellId="0" sqref="V42"/>
    </sheetView>
  </sheetViews>
  <sheetFormatPr defaultColWidth="8.53515625" defaultRowHeight="14.25" zeroHeight="false" outlineLevelRow="0" outlineLevelCol="0"/>
  <cols>
    <col collapsed="false" customWidth="true" hidden="false" outlineLevel="0" max="3" min="3" style="1" width="35"/>
    <col collapsed="false" customWidth="true" hidden="false" outlineLevel="0" max="4" min="4" style="1" width="8"/>
    <col collapsed="false" customWidth="true" hidden="false" outlineLevel="0" max="15" min="5" style="1" width="12"/>
    <col collapsed="false" customWidth="true" hidden="false" outlineLevel="0" max="20" min="20" style="1" width="5.53"/>
  </cols>
  <sheetData>
    <row r="2" customFormat="false" ht="19.5" hidden="false" customHeight="true" outlineLevel="0" collapsed="false">
      <c r="C2" s="38" t="s">
        <v>186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customFormat="false" ht="14.25" hidden="false" customHeight="true" outlineLevel="0" collapsed="false">
      <c r="C4" s="7" t="s">
        <v>187</v>
      </c>
      <c r="D4" s="7" t="s">
        <v>177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  <c r="N4" s="7" t="s">
        <v>54</v>
      </c>
      <c r="O4" s="7" t="s">
        <v>55</v>
      </c>
    </row>
    <row r="5" customFormat="false" ht="14.25" hidden="false" customHeight="true" outlineLevel="0" collapsed="false">
      <c r="C5" s="29" t="s">
        <v>178</v>
      </c>
      <c r="D5" s="39" t="n">
        <f aca="false">Parametros!B52</f>
        <v>1</v>
      </c>
      <c r="E5" s="35" t="n">
        <f aca="false">Subindices!B$2</f>
        <v>29.195776</v>
      </c>
      <c r="F5" s="35" t="n">
        <f aca="false">Subindices!C$2</f>
        <v>30.4408436</v>
      </c>
      <c r="G5" s="35" t="n">
        <f aca="false">Subindices!D$2</f>
        <v>30.1338572</v>
      </c>
      <c r="H5" s="35" t="n">
        <f aca="false">Subindices!E$2</f>
        <v>32.1187036</v>
      </c>
      <c r="I5" s="35" t="n">
        <f aca="false">Subindices!F$2</f>
        <v>34.4345256</v>
      </c>
      <c r="J5" s="35" t="n">
        <f aca="false">Subindices!G$2</f>
        <v>33.3534896</v>
      </c>
      <c r="K5" s="35" t="n">
        <f aca="false">Subindices!H$2</f>
        <v>30.6183945</v>
      </c>
      <c r="L5" s="35" t="n">
        <f aca="false">Subindices!I$2</f>
        <v>33.0673875</v>
      </c>
      <c r="M5" s="35" t="n">
        <f aca="false">Subindices!J$2</f>
        <v>34.068444</v>
      </c>
      <c r="N5" s="35" t="n">
        <f aca="false">Subindices!K$2</f>
        <v>32.8573595</v>
      </c>
      <c r="O5" s="35" t="str">
        <f aca="false">Subindices!L$2</f>
        <v/>
      </c>
    </row>
    <row r="6" customFormat="false" ht="14.25" hidden="false" customHeight="true" outlineLevel="0" collapsed="false">
      <c r="C6" s="29" t="s">
        <v>179</v>
      </c>
      <c r="D6" s="39" t="n">
        <f aca="false">Parametros!B53</f>
        <v>1</v>
      </c>
      <c r="E6" s="35" t="n">
        <f aca="false">Subindices!B$3</f>
        <v>54.790501741137</v>
      </c>
      <c r="F6" s="35" t="n">
        <f aca="false">Subindices!C$3</f>
        <v>45.7137763144078</v>
      </c>
      <c r="G6" s="35" t="n">
        <f aca="false">Subindices!D$3</f>
        <v>52.2171456484666</v>
      </c>
      <c r="H6" s="35" t="n">
        <f aca="false">Subindices!E$3</f>
        <v>47.3789091158789</v>
      </c>
      <c r="I6" s="35" t="n">
        <f aca="false">Subindices!F$3</f>
        <v>48.3875498707694</v>
      </c>
      <c r="J6" s="35" t="n">
        <f aca="false">Subindices!G$3</f>
        <v>40.36850918558</v>
      </c>
      <c r="K6" s="35" t="n">
        <f aca="false">Subindices!H$3</f>
        <v>51.7480216643385</v>
      </c>
      <c r="L6" s="35" t="n">
        <f aca="false">Subindices!I$3</f>
        <v>54.9379889125653</v>
      </c>
      <c r="M6" s="35" t="n">
        <f aca="false">Subindices!J$3</f>
        <v>47.8806962579294</v>
      </c>
      <c r="N6" s="35" t="n">
        <f aca="false">Subindices!K$3</f>
        <v>51.1238415985467</v>
      </c>
      <c r="O6" s="35" t="n">
        <f aca="false">Subindices!L$3</f>
        <v>66.6499422060095</v>
      </c>
    </row>
    <row r="7" customFormat="false" ht="14.25" hidden="false" customHeight="true" outlineLevel="0" collapsed="false">
      <c r="C7" s="29" t="s">
        <v>89</v>
      </c>
      <c r="D7" s="39" t="n">
        <f aca="false">Parametros!B54</f>
        <v>1</v>
      </c>
      <c r="E7" s="35" t="str">
        <f aca="false">Subindices!B$4</f>
        <v/>
      </c>
      <c r="F7" s="35" t="str">
        <f aca="false">Subindices!C$4</f>
        <v/>
      </c>
      <c r="G7" s="35" t="n">
        <f aca="false">Subindices!D$4</f>
        <v>55.7296296296296</v>
      </c>
      <c r="H7" s="35" t="n">
        <f aca="false">Subindices!E$4</f>
        <v>56.0074074074074</v>
      </c>
      <c r="I7" s="35" t="n">
        <f aca="false">Subindices!F$4</f>
        <v>56.5888888888889</v>
      </c>
      <c r="J7" s="35" t="n">
        <f aca="false">Subindices!G$4</f>
        <v>56.9407407407407</v>
      </c>
      <c r="K7" s="35" t="n">
        <f aca="false">Subindices!H$4</f>
        <v>57.2051851851852</v>
      </c>
      <c r="L7" s="35" t="n">
        <f aca="false">Subindices!I$4</f>
        <v>57.6244444444444</v>
      </c>
      <c r="M7" s="35" t="str">
        <f aca="false">Subindices!J$4</f>
        <v/>
      </c>
      <c r="N7" s="35" t="str">
        <f aca="false">Subindices!K$4</f>
        <v/>
      </c>
      <c r="O7" s="35" t="str">
        <f aca="false">Subindices!L$4</f>
        <v/>
      </c>
    </row>
    <row r="8" customFormat="false" ht="14.25" hidden="false" customHeight="true" outlineLevel="0" collapsed="false">
      <c r="C8" s="29" t="s">
        <v>182</v>
      </c>
      <c r="D8" s="39" t="n">
        <f aca="false">Parametros!B55</f>
        <v>1</v>
      </c>
      <c r="E8" s="35" t="str">
        <f aca="false">Subindices!B$5</f>
        <v/>
      </c>
      <c r="F8" s="35" t="str">
        <f aca="false">Subindices!C$5</f>
        <v/>
      </c>
      <c r="G8" s="35" t="str">
        <f aca="false">Subindices!D$5</f>
        <v/>
      </c>
      <c r="H8" s="35" t="n">
        <f aca="false">Subindices!E$5</f>
        <v>41.1468903940887</v>
      </c>
      <c r="I8" s="35" t="str">
        <f aca="false">Subindices!F$5</f>
        <v/>
      </c>
      <c r="J8" s="35" t="str">
        <f aca="false">Subindices!G$5</f>
        <v/>
      </c>
      <c r="K8" s="35" t="str">
        <f aca="false">Subindices!H$5</f>
        <v/>
      </c>
      <c r="L8" s="35" t="str">
        <f aca="false">Subindices!I$5</f>
        <v/>
      </c>
      <c r="M8" s="35" t="str">
        <f aca="false">Subindices!J$5</f>
        <v/>
      </c>
      <c r="N8" s="35" t="str">
        <f aca="false">Subindices!K$5</f>
        <v/>
      </c>
      <c r="O8" s="35" t="str">
        <f aca="false">Subindices!L$5</f>
        <v/>
      </c>
    </row>
    <row r="9" customFormat="false" ht="14.25" hidden="false" customHeight="true" outlineLevel="0" collapsed="false">
      <c r="C9" s="29" t="s">
        <v>183</v>
      </c>
      <c r="D9" s="39" t="n">
        <f aca="false">Parametros!B56</f>
        <v>1</v>
      </c>
      <c r="E9" s="35" t="n">
        <f aca="false">Subindices!B$6</f>
        <v>38.86</v>
      </c>
      <c r="F9" s="35" t="n">
        <f aca="false">Subindices!C$6</f>
        <v>39.42</v>
      </c>
      <c r="G9" s="35" t="n">
        <f aca="false">Subindices!D$6</f>
        <v>40.34</v>
      </c>
      <c r="H9" s="35" t="n">
        <f aca="false">Subindices!E$6</f>
        <v>41.78</v>
      </c>
      <c r="I9" s="35" t="n">
        <f aca="false">Subindices!F$6</f>
        <v>42.72</v>
      </c>
      <c r="J9" s="35" t="n">
        <f aca="false">Subindices!G$6</f>
        <v>44.16</v>
      </c>
      <c r="K9" s="35" t="n">
        <f aca="false">Subindices!H$6</f>
        <v>45.18</v>
      </c>
      <c r="L9" s="35" t="n">
        <f aca="false">Subindices!I$6</f>
        <v>45.84</v>
      </c>
      <c r="M9" s="35" t="n">
        <f aca="false">Subindices!J$6</f>
        <v>42.3666666666667</v>
      </c>
      <c r="N9" s="35" t="str">
        <f aca="false">Subindices!K$6</f>
        <v/>
      </c>
      <c r="O9" s="35" t="str">
        <f aca="false">Subindices!L$6</f>
        <v/>
      </c>
    </row>
    <row r="10" customFormat="false" ht="14.25" hidden="false" customHeight="true" outlineLevel="0" collapsed="false">
      <c r="C10" s="29" t="s">
        <v>180</v>
      </c>
      <c r="D10" s="39" t="n">
        <f aca="false">Parametros!B57</f>
        <v>1</v>
      </c>
      <c r="E10" s="35" t="str">
        <f aca="false">Subindices!B$7</f>
        <v/>
      </c>
      <c r="F10" s="35" t="str">
        <f aca="false">Subindices!C$7</f>
        <v/>
      </c>
      <c r="G10" s="35" t="str">
        <f aca="false">Subindices!D$7</f>
        <v/>
      </c>
      <c r="H10" s="35" t="str">
        <f aca="false">Subindices!E$7</f>
        <v/>
      </c>
      <c r="I10" s="35" t="n">
        <f aca="false">Subindices!F$7</f>
        <v>37.9222091383309</v>
      </c>
      <c r="J10" s="35" t="n">
        <f aca="false">Subindices!G$7</f>
        <v>33.9263586466607</v>
      </c>
      <c r="K10" s="35" t="n">
        <f aca="false">Subindices!H$7</f>
        <v>33.9887452474615</v>
      </c>
      <c r="L10" s="35" t="n">
        <f aca="false">Subindices!I$7</f>
        <v>35.6711664897935</v>
      </c>
      <c r="M10" s="35" t="n">
        <f aca="false">Subindices!J$7</f>
        <v>33.9928507739101</v>
      </c>
      <c r="N10" s="35" t="n">
        <f aca="false">Subindices!K$7</f>
        <v>34.8033993307397</v>
      </c>
      <c r="O10" s="35" t="n">
        <f aca="false">Subindices!L$7</f>
        <v>39.1195949108194</v>
      </c>
    </row>
    <row r="11" customFormat="false" ht="14.25" hidden="false" customHeight="true" outlineLevel="0" collapsed="false">
      <c r="C11" s="29" t="s">
        <v>181</v>
      </c>
      <c r="D11" s="39" t="n">
        <f aca="false">Parametros!B58</f>
        <v>1</v>
      </c>
      <c r="E11" s="35" t="n">
        <f aca="false">Subindices!B$8</f>
        <v>37.45</v>
      </c>
      <c r="F11" s="35" t="n">
        <f aca="false">Subindices!C$8</f>
        <v>46.3666666666667</v>
      </c>
      <c r="G11" s="35" t="n">
        <f aca="false">Subindices!D$8</f>
        <v>40.32</v>
      </c>
      <c r="H11" s="35" t="n">
        <f aca="false">Subindices!E$8</f>
        <v>49.8666666666667</v>
      </c>
      <c r="I11" s="35" t="n">
        <f aca="false">Subindices!F$8</f>
        <v>47.7833333333333</v>
      </c>
      <c r="J11" s="35" t="n">
        <f aca="false">Subindices!G$8</f>
        <v>46.55</v>
      </c>
      <c r="K11" s="35" t="n">
        <f aca="false">Subindices!H$8</f>
        <v>45.85</v>
      </c>
      <c r="L11" s="35" t="n">
        <f aca="false">Subindices!I$8</f>
        <v>39.1066666666667</v>
      </c>
      <c r="M11" s="35" t="n">
        <f aca="false">Subindices!J$8</f>
        <v>62.2333333333333</v>
      </c>
      <c r="N11" s="35" t="str">
        <f aca="false">Subindices!K$8</f>
        <v/>
      </c>
      <c r="O11" s="35" t="str">
        <f aca="false">Subindices!L$8</f>
        <v/>
      </c>
    </row>
    <row r="13" customFormat="false" ht="15" hidden="false" customHeight="true" outlineLevel="0" collapsed="false">
      <c r="C13" s="40" t="s">
        <v>188</v>
      </c>
      <c r="D13" s="41"/>
      <c r="E13" s="42" t="n">
        <f aca="false">IF(SUMPRODUCT((E5:E11&lt;&gt;"")*1)&lt;Parametros!$B$47,"",IF(SUMPRODUCT((E5:E11&lt;&gt;"")*(E5:E11&lt;=0))&gt;0,0,EXP(SUMPRODUCT(IFERROR(LN(E5:E11)*$D$5:$D$11,0))/SUMPRODUCT((E5:E11&lt;&gt;"")*$D$5:$D$11))))</f>
        <v>39.0611459047375</v>
      </c>
      <c r="F13" s="42" t="n">
        <f aca="false">IF(SUMPRODUCT((F5:F11&lt;&gt;"")*1)&lt;Parametros!$B$47,"",IF(SUMPRODUCT((F5:F11&lt;&gt;"")*(F5:F11&lt;=0))&gt;0,0,EXP(SUMPRODUCT(IFERROR(LN(F5:F11)*$D$5:$D$11,0))/SUMPRODUCT((F5:F11&lt;&gt;"")*$D$5:$D$11))))</f>
        <v>39.9352648917981</v>
      </c>
      <c r="G13" s="42" t="n">
        <f aca="false">IF(SUMPRODUCT((G5:G11&lt;&gt;"")*1)&lt;Parametros!$B$47,"",IF(SUMPRODUCT((G5:G11&lt;&gt;"")*(G5:G11&lt;=0))&gt;0,0,EXP(SUMPRODUCT(IFERROR(LN(G5:G11)*$D$5:$D$11,0))/SUMPRODUCT((G5:G11&lt;&gt;"")*$D$5:$D$11))))</f>
        <v>42.7407447747962</v>
      </c>
      <c r="H13" s="42" t="n">
        <f aca="false">IF(SUMPRODUCT((H5:H11&lt;&gt;"")*1)&lt;Parametros!$B$47,"",IF(SUMPRODUCT((H5:H11&lt;&gt;"")*(H5:H11&lt;=0))&gt;0,0,EXP(SUMPRODUCT(IFERROR(LN(H5:H11)*$D$5:$D$11,0))/SUMPRODUCT((H5:H11&lt;&gt;"")*$D$5:$D$11))))</f>
        <v>44.0504877386266</v>
      </c>
      <c r="I13" s="42" t="n">
        <f aca="false">IF(SUMPRODUCT((I5:I11&lt;&gt;"")*1)&lt;Parametros!$B$47,"",IF(SUMPRODUCT((I5:I11&lt;&gt;"")*(I5:I11&lt;=0))&gt;0,0,EXP(SUMPRODUCT(IFERROR(LN(I5:I11)*$D$5:$D$11,0))/SUMPRODUCT((I5:I11&lt;&gt;"")*$D$5:$D$11))))</f>
        <v>44.0429806992642</v>
      </c>
      <c r="J13" s="42" t="n">
        <f aca="false">IF(SUMPRODUCT((J5:J11&lt;&gt;"")*1)&lt;Parametros!$B$47,"",IF(SUMPRODUCT((J5:J11&lt;&gt;"")*(J5:J11&lt;=0))&gt;0,0,EXP(SUMPRODUCT(IFERROR(LN(J5:J11)*$D$5:$D$11,0))/SUMPRODUCT((J5:J11&lt;&gt;"")*$D$5:$D$11))))</f>
        <v>41.8166126756519</v>
      </c>
      <c r="K13" s="42" t="n">
        <f aca="false">IF(SUMPRODUCT((K5:K11&lt;&gt;"")*1)&lt;Parametros!$B$47,"",IF(SUMPRODUCT((K5:K11&lt;&gt;"")*(K5:K11&lt;=0))&gt;0,0,EXP(SUMPRODUCT(IFERROR(LN(K5:K11)*$D$5:$D$11,0))/SUMPRODUCT((K5:K11&lt;&gt;"")*$D$5:$D$11))))</f>
        <v>43.068066673501</v>
      </c>
      <c r="L13" s="42" t="n">
        <f aca="false">IF(SUMPRODUCT((L5:L11&lt;&gt;"")*1)&lt;Parametros!$B$47,"",IF(SUMPRODUCT((L5:L11&lt;&gt;"")*(L5:L11&lt;=0))&gt;0,0,EXP(SUMPRODUCT(IFERROR(LN(L5:L11)*$D$5:$D$11,0))/SUMPRODUCT((L5:L11&lt;&gt;"")*$D$5:$D$11))))</f>
        <v>43.4125555719357</v>
      </c>
      <c r="M13" s="42" t="n">
        <f aca="false">IF(SUMPRODUCT((M5:M11&lt;&gt;"")*1)&lt;Parametros!$B$47,"",IF(SUMPRODUCT((M5:M11&lt;&gt;"")*(M5:M11&lt;=0))&gt;0,0,EXP(SUMPRODUCT(IFERROR(LN(M5:M11)*$D$5:$D$11,0))/SUMPRODUCT((M5:M11&lt;&gt;"")*$D$5:$D$11))))</f>
        <v>42.9526081979237</v>
      </c>
      <c r="N13" s="42" t="str">
        <f aca="false">IF(SUMPRODUCT((N5:N11&lt;&gt;"")*1)&lt;Parametros!$B$47,"",IF(SUMPRODUCT((N5:N11&lt;&gt;"")*(N5:N11&lt;=0))&gt;0,0,EXP(SUMPRODUCT(IFERROR(LN(N5:N11)*$D$5:$D$11,0))/SUMPRODUCT((N5:N11&lt;&gt;"")*$D$5:$D$11))))</f>
        <v/>
      </c>
      <c r="O13" s="42" t="str">
        <f aca="false">IF(SUMPRODUCT((O5:O11&lt;&gt;"")*1)&lt;Parametros!$B$47,"",IF(SUMPRODUCT((O5:O11&lt;&gt;"")*(O5:O11&lt;=0))&gt;0,0,EXP(SUMPRODUCT(IFERROR(LN(O5:O11)*$D$5:$D$11,0))/SUMPRODUCT((O5:O11&lt;&gt;"")*$D$5:$D$11))))</f>
        <v/>
      </c>
    </row>
    <row r="14" customFormat="false" ht="14.25" hidden="false" customHeight="true" outlineLevel="0" collapsed="false">
      <c r="E14" s="43" t="str">
        <f aca="false">IF(E13="","",IF(E13&gt;=70,"Bom",IF(E13&gt;=50,"Moderado","Fraco")))</f>
        <v>Fraco</v>
      </c>
      <c r="F14" s="43" t="str">
        <f aca="false">IF(F13="","",IF(F13&gt;=70,"Bom",IF(F13&gt;=50,"Moderado","Fraco")))</f>
        <v>Fraco</v>
      </c>
      <c r="G14" s="43" t="str">
        <f aca="false">IF(G13="","",IF(G13&gt;=70,"Bom",IF(G13&gt;=50,"Moderado","Fraco")))</f>
        <v>Fraco</v>
      </c>
      <c r="H14" s="43" t="str">
        <f aca="false">IF(H13="","",IF(H13&gt;=70,"Bom",IF(H13&gt;=50,"Moderado","Fraco")))</f>
        <v>Fraco</v>
      </c>
      <c r="I14" s="43" t="str">
        <f aca="false">IF(I13="","",IF(I13&gt;=70,"Bom",IF(I13&gt;=50,"Moderado","Fraco")))</f>
        <v>Fraco</v>
      </c>
      <c r="J14" s="43" t="str">
        <f aca="false">IF(J13="","",IF(J13&gt;=70,"Bom",IF(J13&gt;=50,"Moderado","Fraco")))</f>
        <v>Fraco</v>
      </c>
      <c r="K14" s="43" t="str">
        <f aca="false">IF(K13="","",IF(K13&gt;=70,"Bom",IF(K13&gt;=50,"Moderado","Fraco")))</f>
        <v>Fraco</v>
      </c>
      <c r="L14" s="43" t="str">
        <f aca="false">IF(L13="","",IF(L13&gt;=70,"Bom",IF(L13&gt;=50,"Moderado","Fraco")))</f>
        <v>Fraco</v>
      </c>
      <c r="M14" s="43" t="str">
        <f aca="false">IF(M13="","",IF(M13&gt;=70,"Bom",IF(M13&gt;=50,"Moderado","Fraco")))</f>
        <v>Fraco</v>
      </c>
      <c r="N14" s="43" t="str">
        <f aca="false">IF(N13="","",IF(N13&gt;=70,"Bom",IF(N13&gt;=50,"Moderado","Fraco")))</f>
        <v/>
      </c>
      <c r="O14" s="43" t="str">
        <f aca="false">IF(O13="","",IF(O13&gt;=70,"Bom",IF(O13&gt;=50,"Moderado","Fraco")))</f>
        <v/>
      </c>
    </row>
    <row r="15" customFormat="false" ht="14.25" hidden="false" customHeight="true" outlineLevel="0" collapsed="false">
      <c r="C15" s="44" t="s">
        <v>189</v>
      </c>
      <c r="F15" s="45" t="n">
        <f aca="false">IF(OR(F13="",E13=""),"",F13-E13)</f>
        <v>0.874118987060584</v>
      </c>
      <c r="G15" s="45" t="n">
        <f aca="false">IF(OR(G13="",F13=""),"",G13-F13)</f>
        <v>2.80547988299809</v>
      </c>
      <c r="H15" s="45" t="n">
        <f aca="false">IF(OR(H13="",G13=""),"",H13-G13)</f>
        <v>1.3097429638304</v>
      </c>
      <c r="I15" s="45" t="n">
        <f aca="false">IF(OR(I13="",H13=""),"",I13-H13)</f>
        <v>-0.00750703936234487</v>
      </c>
      <c r="J15" s="45" t="n">
        <f aca="false">IF(OR(J13="",I13=""),"",J13-I13)</f>
        <v>-2.22636802361235</v>
      </c>
      <c r="K15" s="45" t="n">
        <f aca="false">IF(OR(K13="",J13=""),"",K13-J13)</f>
        <v>1.25145399784913</v>
      </c>
      <c r="L15" s="45" t="n">
        <f aca="false">IF(OR(L13="",K13=""),"",L13-K13)</f>
        <v>0.344488898434747</v>
      </c>
      <c r="M15" s="45" t="n">
        <f aca="false">IF(OR(M13="",L13=""),"",M13-L13)</f>
        <v>-0.459947374012046</v>
      </c>
      <c r="N15" s="45" t="str">
        <f aca="false">IF(OR(N13="",M13=""),"",N13-M13)</f>
        <v/>
      </c>
      <c r="O15" s="45" t="str">
        <f aca="false">IF(OR(O13="",N13=""),"",O13-N13)</f>
        <v/>
      </c>
    </row>
    <row r="16" customFormat="false" ht="15" hidden="false" customHeight="true" outlineLevel="0" collapsed="false">
      <c r="C16" s="4" t="s">
        <v>190</v>
      </c>
    </row>
    <row r="17" customFormat="false" ht="14.25" hidden="false" customHeight="true" outlineLevel="0" collapsed="false">
      <c r="C17" s="1" t="s">
        <v>191</v>
      </c>
    </row>
    <row r="20" customFormat="false" ht="14.25" hidden="false" customHeight="true" outlineLevel="0" collapsed="false"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</row>
    <row r="21" customFormat="false" ht="14.25" hidden="false" customHeight="true" outlineLevel="0" collapsed="false">
      <c r="B21" s="46"/>
      <c r="C21" s="46"/>
      <c r="D21" s="46"/>
      <c r="E21" s="46"/>
      <c r="F21" s="46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6"/>
      <c r="U21" s="46"/>
    </row>
    <row r="22" customFormat="false" ht="3.75" hidden="false" customHeight="true" outlineLevel="0" collapsed="false"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</row>
    <row r="23" customFormat="false" ht="18.75" hidden="false" customHeight="true" outlineLevel="0" collapsed="false"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</row>
    <row r="24" customFormat="false" ht="18.75" hidden="false" customHeight="true" outlineLevel="0" collapsed="false"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</row>
    <row r="25" customFormat="false" ht="18.75" hidden="false" customHeight="true" outlineLevel="0" collapsed="false"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</row>
    <row r="26" customFormat="false" ht="18.75" hidden="false" customHeight="true" outlineLevel="0" collapsed="false"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</row>
    <row r="27" customFormat="false" ht="18.75" hidden="false" customHeight="true" outlineLevel="0" collapsed="false"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</row>
    <row r="28" customFormat="false" ht="18.75" hidden="false" customHeight="true" outlineLevel="0" collapsed="false"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</row>
    <row r="29" customFormat="false" ht="18.75" hidden="false" customHeight="true" outlineLevel="0" collapsed="false"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 customFormat="false" ht="18.75" hidden="false" customHeight="true" outlineLevel="0" collapsed="false"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customFormat="false" ht="18.75" hidden="false" customHeight="true" outlineLevel="0" collapsed="false"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</row>
    <row r="32" customFormat="false" ht="18.75" hidden="false" customHeight="true" outlineLevel="0" collapsed="false"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</row>
    <row r="33" customFormat="false" ht="18.75" hidden="false" customHeight="true" outlineLevel="0" collapsed="false"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</row>
    <row r="34" customFormat="false" ht="18.75" hidden="false" customHeight="true" outlineLevel="0" collapsed="false"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</row>
    <row r="35" customFormat="false" ht="18.75" hidden="false" customHeight="true" outlineLevel="0" collapsed="false"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customFormat="false" ht="14.25" hidden="false" customHeight="true" outlineLevel="0" collapsed="false"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customFormat="false" ht="14.25" hidden="false" customHeight="true" outlineLevel="0" collapsed="false"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</row>
    <row r="38" customFormat="false" ht="14.25" hidden="false" customHeight="true" outlineLevel="0" collapsed="false"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</row>
    <row r="39" customFormat="false" ht="14.25" hidden="false" customHeight="true" outlineLevel="0" collapsed="false"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</row>
    <row r="41" customFormat="false" ht="19.5" hidden="false" customHeight="true" outlineLevel="0" collapsed="false">
      <c r="B41" s="38" t="s">
        <v>192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</row>
    <row r="43" customFormat="false" ht="14.25" hidden="false" customHeight="true" outlineLevel="0" collapsed="false"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</row>
    <row r="44" customFormat="false" ht="14.25" hidden="false" customHeight="true" outlineLevel="0" collapsed="false"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</row>
    <row r="45" customFormat="false" ht="14.25" hidden="false" customHeight="true" outlineLevel="0" collapsed="false"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customFormat="false" ht="14.25" hidden="false" customHeight="true" outlineLevel="0" collapsed="false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</row>
    <row r="47" customFormat="false" ht="14.25" hidden="false" customHeight="true" outlineLevel="0" collapsed="false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</row>
    <row r="48" customFormat="false" ht="14.25" hidden="false" customHeight="true" outlineLevel="0" collapsed="false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</row>
    <row r="49" customFormat="false" ht="14.25" hidden="false" customHeight="true" outlineLevel="0" collapsed="false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</row>
    <row r="50" customFormat="false" ht="14.25" hidden="false" customHeight="true" outlineLevel="0" collapsed="false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</row>
    <row r="51" customFormat="false" ht="14.25" hidden="false" customHeight="true" outlineLevel="0" collapsed="false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</row>
    <row r="52" customFormat="false" ht="14.25" hidden="false" customHeight="true" outlineLevel="0" collapsed="false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</row>
    <row r="53" customFormat="false" ht="14.25" hidden="false" customHeight="true" outlineLevel="0" collapsed="false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</row>
    <row r="54" customFormat="false" ht="14.25" hidden="false" customHeight="true" outlineLevel="0" collapsed="false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</row>
    <row r="55" customFormat="false" ht="14.25" hidden="false" customHeight="true" outlineLevel="0" collapsed="false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</row>
    <row r="56" customFormat="false" ht="14.25" hidden="false" customHeight="true" outlineLevel="0" collapsed="false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</row>
    <row r="57" customFormat="false" ht="14.25" hidden="false" customHeight="true" outlineLevel="0" collapsed="false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</row>
    <row r="58" customFormat="false" ht="14.25" hidden="false" customHeight="true" outlineLevel="0" collapsed="false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</row>
    <row r="59" customFormat="false" ht="14.25" hidden="false" customHeight="true" outlineLevel="0" collapsed="false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</row>
    <row r="60" customFormat="false" ht="14.25" hidden="false" customHeight="true" outlineLevel="0" collapsed="false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</row>
    <row r="61" customFormat="false" ht="14.25" hidden="false" customHeight="true" outlineLevel="0" collapsed="false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</row>
    <row r="62" customFormat="false" ht="14.25" hidden="false" customHeight="true" outlineLevel="0" collapsed="false"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</row>
    <row r="63" customFormat="false" ht="14.25" hidden="false" customHeight="true" outlineLevel="0" collapsed="false"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</row>
    <row r="64" customFormat="false" ht="14.25" hidden="false" customHeight="true" outlineLevel="0" collapsed="false"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</row>
    <row r="65" customFormat="false" ht="14.25" hidden="false" customHeight="true" outlineLevel="0" collapsed="false"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</row>
    <row r="66" customFormat="false" ht="14.25" hidden="false" customHeight="true" outlineLevel="0" collapsed="false"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</row>
    <row r="67" customFormat="false" ht="14.25" hidden="false" customHeight="true" outlineLevel="0" collapsed="false"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</row>
    <row r="68" customFormat="false" ht="14.25" hidden="false" customHeight="true" outlineLevel="0" collapsed="false"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</row>
    <row r="69" customFormat="false" ht="14.25" hidden="false" customHeight="true" outlineLevel="0" collapsed="false"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</row>
    <row r="70" customFormat="false" ht="14.25" hidden="false" customHeight="true" outlineLevel="0" collapsed="false"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</row>
    <row r="71" customFormat="false" ht="14.25" hidden="false" customHeight="true" outlineLevel="0" collapsed="false"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</row>
    <row r="72" customFormat="false" ht="14.25" hidden="false" customHeight="true" outlineLevel="0" collapsed="false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</row>
    <row r="73" customFormat="false" ht="14.25" hidden="false" customHeight="true" outlineLevel="0" collapsed="false"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</row>
    <row r="74" customFormat="false" ht="14.25" hidden="false" customHeight="true" outlineLevel="0" collapsed="false"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</row>
    <row r="75" customFormat="false" ht="14.25" hidden="false" customHeight="true" outlineLevel="0" collapsed="false"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</row>
    <row r="76" customFormat="false" ht="14.25" hidden="false" customHeight="true" outlineLevel="0" collapsed="false"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</row>
    <row r="77" customFormat="false" ht="14.25" hidden="false" customHeight="true" outlineLevel="0" collapsed="false"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</row>
  </sheetData>
  <mergeCells count="2">
    <mergeCell ref="C2:N2"/>
    <mergeCell ref="B41:U41"/>
  </mergeCells>
  <conditionalFormatting sqref="F15:O15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2026-01-03T13:30:03Z</dcterms:created>
  <dc:creator>openpyxl</dc:creator>
  <dc:description/>
  <dc:language>en-US</dc:language>
  <cp:lastModifiedBy/>
  <dcterms:modified xsi:type="dcterms:W3CDTF">2026-05-16T11:41:40Z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7992e3-e0e1-4341-bf60-8e57bf2032c5_ActionId">
    <vt:lpwstr>bd366fd4-9d63-40bf-8a56-dece0e7d90f2</vt:lpwstr>
  </property>
  <property fmtid="{D5CDD505-2E9C-101B-9397-08002B2CF9AE}" pid="3" name="MSIP_Label_eb7992e3-e0e1-4341-bf60-8e57bf2032c5_ContentBits">
    <vt:lpwstr>0</vt:lpwstr>
  </property>
  <property fmtid="{D5CDD505-2E9C-101B-9397-08002B2CF9AE}" pid="4" name="MSIP_Label_eb7992e3-e0e1-4341-bf60-8e57bf2032c5_Enabled">
    <vt:lpwstr>true</vt:lpwstr>
  </property>
  <property fmtid="{D5CDD505-2E9C-101B-9397-08002B2CF9AE}" pid="5" name="MSIP_Label_eb7992e3-e0e1-4341-bf60-8e57bf2032c5_Method">
    <vt:lpwstr>Privileged</vt:lpwstr>
  </property>
  <property fmtid="{D5CDD505-2E9C-101B-9397-08002B2CF9AE}" pid="6" name="MSIP_Label_eb7992e3-e0e1-4341-bf60-8e57bf2032c5_Name">
    <vt:lpwstr>Informação Pública</vt:lpwstr>
  </property>
  <property fmtid="{D5CDD505-2E9C-101B-9397-08002B2CF9AE}" pid="7" name="MSIP_Label_eb7992e3-e0e1-4341-bf60-8e57bf2032c5_SetDate">
    <vt:lpwstr>2026-05-12T21:04:42Z</vt:lpwstr>
  </property>
  <property fmtid="{D5CDD505-2E9C-101B-9397-08002B2CF9AE}" pid="8" name="MSIP_Label_eb7992e3-e0e1-4341-bf60-8e57bf2032c5_SiteId">
    <vt:lpwstr>c23fa617-d0cf-4c92-a529-5e444a4cc1fa</vt:lpwstr>
  </property>
  <property fmtid="{D5CDD505-2E9C-101B-9397-08002B2CF9AE}" pid="9" name="MSIP_Label_eb7992e3-e0e1-4341-bf60-8e57bf2032c5_Tag">
    <vt:lpwstr>10, 0, 1, 1</vt:lpwstr>
  </property>
</Properties>
</file>