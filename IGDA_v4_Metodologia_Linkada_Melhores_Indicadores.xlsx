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_v4" sheetId="1" state="visible" r:id="rId1"/>
    <sheet xmlns:r="http://schemas.openxmlformats.org/officeDocument/2006/relationships" name="Indicadores_v4" sheetId="2" state="visible" r:id="rId2"/>
    <sheet xmlns:r="http://schemas.openxmlformats.org/officeDocument/2006/relationships" name="Dados_Observados_v4" sheetId="3" state="visible" r:id="rId3"/>
    <sheet xmlns:r="http://schemas.openxmlformats.org/officeDocument/2006/relationships" name="Dados_Ajustados_v4" sheetId="4" state="visible" r:id="rId4"/>
    <sheet xmlns:r="http://schemas.openxmlformats.org/officeDocument/2006/relationships" name="Flags_Ajustamento_v4" sheetId="5" state="visible" r:id="rId5"/>
    <sheet xmlns:r="http://schemas.openxmlformats.org/officeDocument/2006/relationships" name="Normalizacao_v4" sheetId="6" state="visible" r:id="rId6"/>
    <sheet xmlns:r="http://schemas.openxmlformats.org/officeDocument/2006/relationships" name="Subindices_v4" sheetId="7" state="visible" r:id="rId7"/>
    <sheet xmlns:r="http://schemas.openxmlformats.org/officeDocument/2006/relationships" name="IGDA_v4" sheetId="8" state="visible" r:id="rId8"/>
    <sheet xmlns:r="http://schemas.openxmlformats.org/officeDocument/2006/relationships" name="Qualidade_Dados_v4" sheetId="9" state="visible" r:id="rId9"/>
    <sheet xmlns:r="http://schemas.openxmlformats.org/officeDocument/2006/relationships" name="Fontes_v4" sheetId="10" state="visible" r:id="rId10"/>
  </sheets>
  <definedNames>
    <definedName name="_xlnm._FilterDatabase" localSheetId="1" hidden="1">'Indicadores_v4'!$A$4:$P$60</definedName>
    <definedName name="_xlnm._FilterDatabase" localSheetId="2" hidden="1">'Dados_Observados_v4'!$A$4:$T$60</definedName>
    <definedName name="_xlnm._FilterDatabase" localSheetId="3" hidden="1">'Dados_Ajustados_v4'!$A$4:$T$60</definedName>
    <definedName name="_xlnm._FilterDatabase" localSheetId="4" hidden="1">'Flags_Ajustamento_v4'!$A$4:$T$60</definedName>
    <definedName name="_xlnm._FilterDatabase" localSheetId="5" hidden="1">'Normalizacao_v4'!$A$4:$R$60</definedName>
    <definedName name="_xlnm._FilterDatabase" localSheetId="8" hidden="1">'Qualidade_Dados_v4'!$A$4:$I$60</definedName>
    <definedName name="_xlnm._FilterDatabase" localSheetId="9" hidden="1">'Fontes_v4'!$A$4:$E$60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b val="1"/>
      <color rgb="001F2937"/>
      <sz val="12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5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1">
      <alignment vertical="top" wrapText="1"/>
    </xf>
    <xf numFmtId="2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elaIndicadoresV4" displayName="TabelaIndicadoresV4" ref="A4:P60" headerRowCount="1">
  <autoFilter ref="A4:P60"/>
  <tableColumns count="16">
    <tableColumn id="1" name="ID"/>
    <tableColumn id="2" name="Dimensão"/>
    <tableColumn id="3" name="Indicador"/>
    <tableColumn id="4" name="Unidade"/>
    <tableColumn id="5" name="Sentido"/>
    <tableColumn id="6" name="Mínimo"/>
    <tableColumn id="7" name="Máximo"/>
    <tableColumn id="8" name="Meta 2027"/>
    <tableColumn id="9" name="Peso indicador"/>
    <tableColumn id="10" name="Ativo"/>
    <tableColumn id="11" name="Fonte"/>
    <tableColumn id="12" name="Código/API"/>
    <tableColumn id="13" name="Fonte_URL"/>
    <tableColumn id="14" name="Prioridade"/>
    <tableColumn id="15" name="Justificação"/>
    <tableColumn id="16" name="Regra anos em falta"/>
  </tableColumns>
  <tableStyleInfo name="TableStyleMedium2" showRowStripes="1"/>
</table>
</file>

<file path=xl/tables/table2.xml><?xml version="1.0" encoding="utf-8"?>
<table xmlns="http://schemas.openxmlformats.org/spreadsheetml/2006/main" id="2" name="TabelaDadosObservadosV4" displayName="TabelaDadosObservadosV4" ref="A4:T60" headerRowCount="1">
  <autoFilter ref="A4:T60"/>
  <tableColumns count="20">
    <tableColumn id="1" name="ID"/>
    <tableColumn id="2" name="Dimensão"/>
    <tableColumn id="3" name="Indicador"/>
    <tableColumn id="4" name="Fonte"/>
    <tableColumn id="5" name="Código/API"/>
    <tableColumn id="6" name="Estado dados"/>
    <tableColumn id="7" name="Cobertura observada"/>
    <tableColumn id="8" name="Último ano obs."/>
    <tableColumn id="9" name="Nota"/>
    <tableColumn id="10" name="2015"/>
    <tableColumn id="11" name="2016"/>
    <tableColumn id="12" name="2017"/>
    <tableColumn id="13" name="2018"/>
    <tableColumn id="14" name="2019"/>
    <tableColumn id="15" name="2020"/>
    <tableColumn id="16" name="2021"/>
    <tableColumn id="17" name="2022"/>
    <tableColumn id="18" name="2023"/>
    <tableColumn id="19" name="2024"/>
    <tableColumn id="20" name="2025"/>
  </tableColumns>
  <tableStyleInfo name="TableStyleMedium2" showRowStripes="1"/>
</table>
</file>

<file path=xl/tables/table3.xml><?xml version="1.0" encoding="utf-8"?>
<table xmlns="http://schemas.openxmlformats.org/spreadsheetml/2006/main" id="3" name="TabelaDadosAjustadosV4" displayName="TabelaDadosAjustadosV4" ref="A4:T60" headerRowCount="1">
  <autoFilter ref="A4:T60"/>
  <tableColumns count="20">
    <tableColumn id="1" name="ID"/>
    <tableColumn id="2" name="Dimensão"/>
    <tableColumn id="3" name="Indicador"/>
    <tableColumn id="4" name="Fonte"/>
    <tableColumn id="5" name="Código/API"/>
    <tableColumn id="6" name="Estado dados"/>
    <tableColumn id="7" name="Cobertura observada"/>
    <tableColumn id="8" name="Último ano obs."/>
    <tableColumn id="9" name="Nota"/>
    <tableColumn id="10" name="2015"/>
    <tableColumn id="11" name="2016"/>
    <tableColumn id="12" name="2017"/>
    <tableColumn id="13" name="2018"/>
    <tableColumn id="14" name="2019"/>
    <tableColumn id="15" name="2020"/>
    <tableColumn id="16" name="2021"/>
    <tableColumn id="17" name="2022"/>
    <tableColumn id="18" name="2023"/>
    <tableColumn id="19" name="2024"/>
    <tableColumn id="20" name="2025"/>
  </tableColumns>
  <tableStyleInfo name="TableStyleMedium2" showRowStripes="1"/>
</table>
</file>

<file path=xl/tables/table4.xml><?xml version="1.0" encoding="utf-8"?>
<table xmlns="http://schemas.openxmlformats.org/spreadsheetml/2006/main" id="4" name="TabelaFlagsAjustamentoV4" displayName="TabelaFlagsAjustamentoV4" ref="A4:T60" headerRowCount="1">
  <autoFilter ref="A4:T60"/>
  <tableColumns count="20">
    <tableColumn id="1" name="ID"/>
    <tableColumn id="2" name="Dimensão"/>
    <tableColumn id="3" name="Indicador"/>
    <tableColumn id="4" name="Fonte"/>
    <tableColumn id="5" name="Código/API"/>
    <tableColumn id="6" name="Estado dados"/>
    <tableColumn id="7" name="Cobertura observada"/>
    <tableColumn id="8" name="Último ano obs."/>
    <tableColumn id="9" name="Nota"/>
    <tableColumn id="10" name="2015"/>
    <tableColumn id="11" name="2016"/>
    <tableColumn id="12" name="2017"/>
    <tableColumn id="13" name="2018"/>
    <tableColumn id="14" name="2019"/>
    <tableColumn id="15" name="2020"/>
    <tableColumn id="16" name="2021"/>
    <tableColumn id="17" name="2022"/>
    <tableColumn id="18" name="2023"/>
    <tableColumn id="19" name="2024"/>
    <tableColumn id="20" name="2025"/>
  </tableColumns>
  <tableStyleInfo name="TableStyleMedium2" showRowStripes="1"/>
</table>
</file>

<file path=xl/tables/table5.xml><?xml version="1.0" encoding="utf-8"?>
<table xmlns="http://schemas.openxmlformats.org/spreadsheetml/2006/main" id="5" name="TabelaNormalizacaoV4" displayName="TabelaNormalizacaoV4" ref="A4:R60" headerRowCount="1">
  <autoFilter ref="A4:R60"/>
  <tableColumns count="18">
    <tableColumn id="1" name="ID"/>
    <tableColumn id="2" name="Dimensão"/>
    <tableColumn id="3" name="Indicador"/>
    <tableColumn id="4" name="Ativo"/>
    <tableColumn id="5" name="Peso"/>
    <tableColumn id="6" name="Cobertura ajustada"/>
    <tableColumn id="7" name="Nota"/>
    <tableColumn id="8" name="2015"/>
    <tableColumn id="9" name="2016"/>
    <tableColumn id="10" name="2017"/>
    <tableColumn id="11" name="2018"/>
    <tableColumn id="12" name="2019"/>
    <tableColumn id="13" name="2020"/>
    <tableColumn id="14" name="2021"/>
    <tableColumn id="15" name="2022"/>
    <tableColumn id="16" name="2023"/>
    <tableColumn id="17" name="2024"/>
    <tableColumn id="18" name="2025"/>
  </tableColumns>
  <tableStyleInfo name="TableStyleMedium2" showRowStripes="1"/>
</table>
</file>

<file path=xl/tables/table6.xml><?xml version="1.0" encoding="utf-8"?>
<table xmlns="http://schemas.openxmlformats.org/spreadsheetml/2006/main" id="6" name="TabelaQualidadeDadosV4" displayName="TabelaQualidadeDadosV4" ref="A4:I60" headerRowCount="1">
  <autoFilter ref="A4:I60"/>
  <tableColumns count="9">
    <tableColumn id="1" name="ID"/>
    <tableColumn id="2" name="Dimensão"/>
    <tableColumn id="3" name="Indicador"/>
    <tableColumn id="4" name="Observados"/>
    <tableColumn id="5" name="Estimados"/>
    <tableColumn id="6" name="Sem dado"/>
    <tableColumn id="7" name="Cobertura usada"/>
    <tableColumn id="8" name="Último obs."/>
    <tableColumn id="9" name="Fonte"/>
  </tableColumns>
  <tableStyleInfo name="TableStyleMedium2" showRowStripes="1"/>
</table>
</file>

<file path=xl/tables/table7.xml><?xml version="1.0" encoding="utf-8"?>
<table xmlns="http://schemas.openxmlformats.org/spreadsheetml/2006/main" id="7" name="TabelaFontesV4" displayName="TabelaFontesV4" ref="A4:E60" headerRowCount="1">
  <autoFilter ref="A4:E60"/>
  <tableColumns count="5">
    <tableColumn id="1" name="Fonte"/>
    <tableColumn id="2" name="Código/API"/>
    <tableColumn id="3" name="Indicadores"/>
    <tableColumn id="4" name="URL"/>
    <tableColumn id="5" name="Observ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nsparency.org/en/cpi" TargetMode="External" Id="rId1"/><Relationship Type="http://schemas.openxmlformats.org/officeDocument/2006/relationships/hyperlink" Target="https://datacatalogfiles.worldbank.org/ddh-published/0038026/DR0095947/wgidataset_with_sourcedata-2025.xlsx" TargetMode="External" Id="rId2"/><Relationship Type="http://schemas.openxmlformats.org/officeDocument/2006/relationships/hyperlink" Target="https://datacatalogfiles.worldbank.org/ddh-published/0038026/DR0095947/wgidataset_with_sourcedata-2025.xlsx" TargetMode="External" Id="rId3"/><Relationship Type="http://schemas.openxmlformats.org/officeDocument/2006/relationships/hyperlink" Target="https://datacatalogfiles.worldbank.org/ddh-published/0038026/DR0095947/wgidataset_with_sourcedata-2025.xlsx" TargetMode="External" Id="rId4"/><Relationship Type="http://schemas.openxmlformats.org/officeDocument/2006/relationships/hyperlink" Target="https://datacatalogfiles.worldbank.org/ddh-published/0038026/DR0095947/wgidataset_with_sourcedata-2025.xlsx" TargetMode="External" Id="rId5"/><Relationship Type="http://schemas.openxmlformats.org/officeDocument/2006/relationships/hyperlink" Target="https://datacatalogfiles.worldbank.org/ddh-published/0038026/DR0095947/wgidataset_with_sourcedata-2025.xlsx" TargetMode="External" Id="rId6"/><Relationship Type="http://schemas.openxmlformats.org/officeDocument/2006/relationships/hyperlink" Target="https://data.worldbank.org/indicator/NY.GDP.MKTP.KD.ZG?locations=AO" TargetMode="External" Id="rId7"/><Relationship Type="http://schemas.openxmlformats.org/officeDocument/2006/relationships/hyperlink" Target="https://data.worldbank.org/indicator/NY.GDP.PCAP.CD?locations=AO" TargetMode="External" Id="rId8"/><Relationship Type="http://schemas.openxmlformats.org/officeDocument/2006/relationships/hyperlink" Target="https://data.worldbank.org/indicator/FP.CPI.TOTL.ZG?locations=AO" TargetMode="External" Id="rId9"/><Relationship Type="http://schemas.openxmlformats.org/officeDocument/2006/relationships/hyperlink" Target="https://data.worldbank.org/indicator/GC.DOD.TOTL.GD.ZS?locations=AO" TargetMode="External" Id="rId10"/><Relationship Type="http://schemas.openxmlformats.org/officeDocument/2006/relationships/hyperlink" Target="https://data.worldbank.org/indicator/GC.BAL.CASH.GD.ZS?locations=AO" TargetMode="External" Id="rId11"/><Relationship Type="http://schemas.openxmlformats.org/officeDocument/2006/relationships/hyperlink" Target="https://data.worldbank.org/indicator/BN.CAB.XOKA.GD.ZS?locations=AO" TargetMode="External" Id="rId12"/><Relationship Type="http://schemas.openxmlformats.org/officeDocument/2006/relationships/hyperlink" Target="https://data.worldbank.org/indicator/FI.RES.TOTL.MO?locations=AO" TargetMode="External" Id="rId13"/><Relationship Type="http://schemas.openxmlformats.org/officeDocument/2006/relationships/hyperlink" Target="https://data.worldbank.org/indicator/GC.TAX.TOTL.GD.ZS?locations=AO" TargetMode="External" Id="rId14"/><Relationship Type="http://schemas.openxmlformats.org/officeDocument/2006/relationships/hyperlink" Target="https://hdr.undp.org/data-center" TargetMode="External" Id="rId15"/><Relationship Type="http://schemas.openxmlformats.org/officeDocument/2006/relationships/hyperlink" Target="https://data.worldbank.org/indicator/SP.DYN.LE00.IN?locations=AO" TargetMode="External" Id="rId16"/><Relationship Type="http://schemas.openxmlformats.org/officeDocument/2006/relationships/hyperlink" Target="https://data.worldbank.org/indicator/SE.ADT.LITR.ZS?locations=AO" TargetMode="External" Id="rId17"/><Relationship Type="http://schemas.openxmlformats.org/officeDocument/2006/relationships/hyperlink" Target="https://data.worldbank.org/indicator/SE.PRM.CMPT.ZS?locations=AO" TargetMode="External" Id="rId18"/><Relationship Type="http://schemas.openxmlformats.org/officeDocument/2006/relationships/hyperlink" Target="https://data.worldbank.org/indicator/SE.SEC.ENRR?locations=AO" TargetMode="External" Id="rId19"/><Relationship Type="http://schemas.openxmlformats.org/officeDocument/2006/relationships/hyperlink" Target="https://data.worldbank.org/indicator/SE.XPD.TOTL.GD.ZS?locations=AO" TargetMode="External" Id="rId20"/><Relationship Type="http://schemas.openxmlformats.org/officeDocument/2006/relationships/hyperlink" Target="https://data.worldbank.org/indicator/SP.DYN.IMRT.IN?locations=AO" TargetMode="External" Id="rId21"/><Relationship Type="http://schemas.openxmlformats.org/officeDocument/2006/relationships/hyperlink" Target="https://data.worldbank.org/indicator/SI.POV.DDAY?locations=AO" TargetMode="External" Id="rId22"/><Relationship Type="http://schemas.openxmlformats.org/officeDocument/2006/relationships/hyperlink" Target="https://data.worldbank.org/indicator/SI.POV.GINI?locations=AO" TargetMode="External" Id="rId23"/><Relationship Type="http://schemas.openxmlformats.org/officeDocument/2006/relationships/hyperlink" Target="https://data.worldbank.org/indicator/SI.DST.FRST.20?locations=AO" TargetMode="External" Id="rId24"/><Relationship Type="http://schemas.openxmlformats.org/officeDocument/2006/relationships/hyperlink" Target="https://www.weforum.org/publications/global-gender-gap-report-2025/" TargetMode="External" Id="rId25"/><Relationship Type="http://schemas.openxmlformats.org/officeDocument/2006/relationships/hyperlink" Target="https://data.worldbank.org/indicator/SL.TLF.CACT.FE.ZS?locations=AO" TargetMode="External" Id="rId26"/><Relationship Type="http://schemas.openxmlformats.org/officeDocument/2006/relationships/hyperlink" Target="https://data.worldbank.org/indicator/SG.GEN.PARL.ZS?locations=AO" TargetMode="External" Id="rId27"/><Relationship Type="http://schemas.openxmlformats.org/officeDocument/2006/relationships/hyperlink" Target="https://data.worldbank.org/indicator/SL.UEM.NEET.ZS?locations=AO" TargetMode="External" Id="rId28"/><Relationship Type="http://schemas.openxmlformats.org/officeDocument/2006/relationships/hyperlink" Target="https://data.worldbank.org/indicator/NY.GNP.PCAP.CD?locations=AO" TargetMode="External" Id="rId29"/><Relationship Type="http://schemas.openxmlformats.org/officeDocument/2006/relationships/hyperlink" Target="https://data.worldbank.org/indicator/EG.ELC.ACCS.ZS?locations=AO" TargetMode="External" Id="rId30"/><Relationship Type="http://schemas.openxmlformats.org/officeDocument/2006/relationships/hyperlink" Target="https://data.worldbank.org/indicator/EG.ELC.LOSS.ZS?locations=AO" TargetMode="External" Id="rId31"/><Relationship Type="http://schemas.openxmlformats.org/officeDocument/2006/relationships/hyperlink" Target="https://data.worldbank.org/indicator/SH.H2O.BASW.ZS?locations=AO" TargetMode="External" Id="rId32"/><Relationship Type="http://schemas.openxmlformats.org/officeDocument/2006/relationships/hyperlink" Target="https://data.worldbank.org/indicator/SH.STA.BASS.ZS?locations=AO" TargetMode="External" Id="rId33"/><Relationship Type="http://schemas.openxmlformats.org/officeDocument/2006/relationships/hyperlink" Target="https://data.worldbank.org/indicator/EG.CFT.ACCS.ZS?locations=AO" TargetMode="External" Id="rId34"/><Relationship Type="http://schemas.openxmlformats.org/officeDocument/2006/relationships/hyperlink" Target="https://data.worldbank.org/indicator/IT.NET.USER.ZS?locations=AO" TargetMode="External" Id="rId35"/><Relationship Type="http://schemas.openxmlformats.org/officeDocument/2006/relationships/hyperlink" Target="https://data.worldbank.org/indicator/IT.CEL.SETS.P2?locations=AO" TargetMode="External" Id="rId36"/><Relationship Type="http://schemas.openxmlformats.org/officeDocument/2006/relationships/hyperlink" Target="https://data.worldbank.org/indicator/IT.NET.BBND.P2?locations=AO" TargetMode="External" Id="rId37"/><Relationship Type="http://schemas.openxmlformats.org/officeDocument/2006/relationships/hyperlink" Target="https://data.worldbank.org/indicator/SL.EMP.TOTL.SP.ZS?locations=AO" TargetMode="External" Id="rId38"/><Relationship Type="http://schemas.openxmlformats.org/officeDocument/2006/relationships/hyperlink" Target="https://data.worldbank.org/indicator/SL.UEM.TOTL.ZS?locations=AO" TargetMode="External" Id="rId39"/><Relationship Type="http://schemas.openxmlformats.org/officeDocument/2006/relationships/hyperlink" Target="https://data.worldbank.org/indicator/SL.UEM.1524.ZS?locations=AO" TargetMode="External" Id="rId40"/><Relationship Type="http://schemas.openxmlformats.org/officeDocument/2006/relationships/hyperlink" Target="https://data.worldbank.org/indicator/SL.TLF.CACT.ZS?locations=AO" TargetMode="External" Id="rId41"/><Relationship Type="http://schemas.openxmlformats.org/officeDocument/2006/relationships/hyperlink" Target="https://data.worldbank.org/indicator/SL.EMP.VULN.ZS?locations=AO" TargetMode="External" Id="rId42"/><Relationship Type="http://schemas.openxmlformats.org/officeDocument/2006/relationships/hyperlink" Target="https://data.worldbank.org/indicator/SL.EMP.WORK.ZS?locations=AO" TargetMode="External" Id="rId43"/><Relationship Type="http://schemas.openxmlformats.org/officeDocument/2006/relationships/hyperlink" Target="https://data.worldbank.org/indicator/SL.GDP.PCAP.EM.KD?locations=AO" TargetMode="External" Id="rId44"/><Relationship Type="http://schemas.openxmlformats.org/officeDocument/2006/relationships/hyperlink" Target="https://data.worldbank.org/indicator/SN.ITK.DEFC.ZS?locations=AO" TargetMode="External" Id="rId45"/><Relationship Type="http://schemas.openxmlformats.org/officeDocument/2006/relationships/hyperlink" Target="https://data.worldbank.org/indicator/SN.ITK.MSFI.ZS?locations=AO" TargetMode="External" Id="rId46"/><Relationship Type="http://schemas.openxmlformats.org/officeDocument/2006/relationships/hyperlink" Target="https://data.worldbank.org/indicator/SH.STA.MMRT?locations=AO" TargetMode="External" Id="rId47"/><Relationship Type="http://schemas.openxmlformats.org/officeDocument/2006/relationships/hyperlink" Target="https://data.worldbank.org/indicator/SH.DYN.MORT?locations=AO" TargetMode="External" Id="rId48"/><Relationship Type="http://schemas.openxmlformats.org/officeDocument/2006/relationships/hyperlink" Target="https://data.worldbank.org/indicator/SH.XPD.CHEX.GD.ZS?locations=AO" TargetMode="External" Id="rId49"/><Relationship Type="http://schemas.openxmlformats.org/officeDocument/2006/relationships/hyperlink" Target="https://data.worldbank.org/indicator/SH.IMM.IDPT?locations=AO" TargetMode="External" Id="rId50"/><Relationship Type="http://schemas.openxmlformats.org/officeDocument/2006/relationships/hyperlink" Target="https://data.worldbank.org/indicator/SH.MED.PHYS.ZS?locations=AO" TargetMode="External" Id="rId51"/><Relationship Type="http://schemas.openxmlformats.org/officeDocument/2006/relationships/hyperlink" Target="https://data.worldbank.org/indicator/SH.MED.BEDS.ZS?locations=AO" TargetMode="External" Id="rId52"/><Relationship Type="http://schemas.openxmlformats.org/officeDocument/2006/relationships/hyperlink" Target="https://data.worldbank.org/indicator/AG.PRD.FOOD.XD?locations=AO" TargetMode="External" Id="rId53"/><Relationship Type="http://schemas.openxmlformats.org/officeDocument/2006/relationships/table" Target="/xl/tables/table1.xml" Id="rId5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nsparency.org/en/cpi" TargetMode="External" Id="rId1"/><Relationship Type="http://schemas.openxmlformats.org/officeDocument/2006/relationships/hyperlink" Target="https://datacatalogfiles.worldbank.org/ddh-published/0038026/DR0095947/wgidataset_with_sourcedata-2025.xlsx" TargetMode="External" Id="rId2"/><Relationship Type="http://schemas.openxmlformats.org/officeDocument/2006/relationships/hyperlink" Target="https://datacatalogfiles.worldbank.org/ddh-published/0038026/DR0095947/wgidataset_with_sourcedata-2025.xlsx" TargetMode="External" Id="rId3"/><Relationship Type="http://schemas.openxmlformats.org/officeDocument/2006/relationships/hyperlink" Target="https://datacatalogfiles.worldbank.org/ddh-published/0038026/DR0095947/wgidataset_with_sourcedata-2025.xlsx" TargetMode="External" Id="rId4"/><Relationship Type="http://schemas.openxmlformats.org/officeDocument/2006/relationships/hyperlink" Target="https://datacatalogfiles.worldbank.org/ddh-published/0038026/DR0095947/wgidataset_with_sourcedata-2025.xlsx" TargetMode="External" Id="rId5"/><Relationship Type="http://schemas.openxmlformats.org/officeDocument/2006/relationships/hyperlink" Target="https://datacatalogfiles.worldbank.org/ddh-published/0038026/DR0095947/wgidataset_with_sourcedata-2025.xlsx" TargetMode="External" Id="rId6"/><Relationship Type="http://schemas.openxmlformats.org/officeDocument/2006/relationships/hyperlink" Target="https://data.worldbank.org/indicator/NY.GDP.MKTP.KD.ZG?locations=AO" TargetMode="External" Id="rId7"/><Relationship Type="http://schemas.openxmlformats.org/officeDocument/2006/relationships/hyperlink" Target="https://data.worldbank.org/indicator/NY.GDP.PCAP.CD?locations=AO" TargetMode="External" Id="rId8"/><Relationship Type="http://schemas.openxmlformats.org/officeDocument/2006/relationships/hyperlink" Target="https://data.worldbank.org/indicator/FP.CPI.TOTL.ZG?locations=AO" TargetMode="External" Id="rId9"/><Relationship Type="http://schemas.openxmlformats.org/officeDocument/2006/relationships/hyperlink" Target="https://data.worldbank.org/indicator/GC.DOD.TOTL.GD.ZS?locations=AO" TargetMode="External" Id="rId10"/><Relationship Type="http://schemas.openxmlformats.org/officeDocument/2006/relationships/hyperlink" Target="https://data.worldbank.org/indicator/GC.BAL.CASH.GD.ZS?locations=AO" TargetMode="External" Id="rId11"/><Relationship Type="http://schemas.openxmlformats.org/officeDocument/2006/relationships/hyperlink" Target="https://data.worldbank.org/indicator/BN.CAB.XOKA.GD.ZS?locations=AO" TargetMode="External" Id="rId12"/><Relationship Type="http://schemas.openxmlformats.org/officeDocument/2006/relationships/hyperlink" Target="https://data.worldbank.org/indicator/FI.RES.TOTL.MO?locations=AO" TargetMode="External" Id="rId13"/><Relationship Type="http://schemas.openxmlformats.org/officeDocument/2006/relationships/hyperlink" Target="https://data.worldbank.org/indicator/GC.TAX.TOTL.GD.ZS?locations=AO" TargetMode="External" Id="rId14"/><Relationship Type="http://schemas.openxmlformats.org/officeDocument/2006/relationships/hyperlink" Target="https://hdr.undp.org/data-center" TargetMode="External" Id="rId15"/><Relationship Type="http://schemas.openxmlformats.org/officeDocument/2006/relationships/hyperlink" Target="https://data.worldbank.org/indicator/SP.DYN.LE00.IN?locations=AO" TargetMode="External" Id="rId16"/><Relationship Type="http://schemas.openxmlformats.org/officeDocument/2006/relationships/hyperlink" Target="https://data.worldbank.org/indicator/SE.ADT.LITR.ZS?locations=AO" TargetMode="External" Id="rId17"/><Relationship Type="http://schemas.openxmlformats.org/officeDocument/2006/relationships/hyperlink" Target="https://data.worldbank.org/indicator/SE.PRM.CMPT.ZS?locations=AO" TargetMode="External" Id="rId18"/><Relationship Type="http://schemas.openxmlformats.org/officeDocument/2006/relationships/hyperlink" Target="https://data.worldbank.org/indicator/SE.SEC.ENRR?locations=AO" TargetMode="External" Id="rId19"/><Relationship Type="http://schemas.openxmlformats.org/officeDocument/2006/relationships/hyperlink" Target="https://data.worldbank.org/indicator/SE.XPD.TOTL.GD.ZS?locations=AO" TargetMode="External" Id="rId20"/><Relationship Type="http://schemas.openxmlformats.org/officeDocument/2006/relationships/hyperlink" Target="https://data.worldbank.org/indicator/SP.DYN.IMRT.IN?locations=AO" TargetMode="External" Id="rId21"/><Relationship Type="http://schemas.openxmlformats.org/officeDocument/2006/relationships/hyperlink" Target="https://data.worldbank.org/indicator/SI.POV.DDAY?locations=AO" TargetMode="External" Id="rId22"/><Relationship Type="http://schemas.openxmlformats.org/officeDocument/2006/relationships/hyperlink" Target="https://data.worldbank.org/indicator/SI.POV.GINI?locations=AO" TargetMode="External" Id="rId23"/><Relationship Type="http://schemas.openxmlformats.org/officeDocument/2006/relationships/hyperlink" Target="https://data.worldbank.org/indicator/SI.DST.FRST.20?locations=AO" TargetMode="External" Id="rId24"/><Relationship Type="http://schemas.openxmlformats.org/officeDocument/2006/relationships/hyperlink" Target="https://www.weforum.org/publications/global-gender-gap-report-2025/" TargetMode="External" Id="rId25"/><Relationship Type="http://schemas.openxmlformats.org/officeDocument/2006/relationships/hyperlink" Target="https://data.worldbank.org/indicator/SL.TLF.CACT.FE.ZS?locations=AO" TargetMode="External" Id="rId26"/><Relationship Type="http://schemas.openxmlformats.org/officeDocument/2006/relationships/hyperlink" Target="https://data.worldbank.org/indicator/SG.GEN.PARL.ZS?locations=AO" TargetMode="External" Id="rId27"/><Relationship Type="http://schemas.openxmlformats.org/officeDocument/2006/relationships/hyperlink" Target="https://data.worldbank.org/indicator/SL.UEM.NEET.ZS?locations=AO" TargetMode="External" Id="rId28"/><Relationship Type="http://schemas.openxmlformats.org/officeDocument/2006/relationships/hyperlink" Target="https://data.worldbank.org/indicator/NY.GNP.PCAP.CD?locations=AO" TargetMode="External" Id="rId29"/><Relationship Type="http://schemas.openxmlformats.org/officeDocument/2006/relationships/hyperlink" Target="https://data.worldbank.org/indicator/EG.ELC.ACCS.ZS?locations=AO" TargetMode="External" Id="rId30"/><Relationship Type="http://schemas.openxmlformats.org/officeDocument/2006/relationships/hyperlink" Target="https://data.worldbank.org/indicator/EG.ELC.LOSS.ZS?locations=AO" TargetMode="External" Id="rId31"/><Relationship Type="http://schemas.openxmlformats.org/officeDocument/2006/relationships/hyperlink" Target="https://data.worldbank.org/indicator/SH.H2O.BASW.ZS?locations=AO" TargetMode="External" Id="rId32"/><Relationship Type="http://schemas.openxmlformats.org/officeDocument/2006/relationships/hyperlink" Target="https://data.worldbank.org/indicator/SH.STA.BASS.ZS?locations=AO" TargetMode="External" Id="rId33"/><Relationship Type="http://schemas.openxmlformats.org/officeDocument/2006/relationships/hyperlink" Target="https://data.worldbank.org/indicator/EG.CFT.ACCS.ZS?locations=AO" TargetMode="External" Id="rId34"/><Relationship Type="http://schemas.openxmlformats.org/officeDocument/2006/relationships/hyperlink" Target="https://data.worldbank.org/indicator/IT.NET.USER.ZS?locations=AO" TargetMode="External" Id="rId35"/><Relationship Type="http://schemas.openxmlformats.org/officeDocument/2006/relationships/hyperlink" Target="https://data.worldbank.org/indicator/IT.CEL.SETS.P2?locations=AO" TargetMode="External" Id="rId36"/><Relationship Type="http://schemas.openxmlformats.org/officeDocument/2006/relationships/hyperlink" Target="https://data.worldbank.org/indicator/IT.NET.BBND.P2?locations=AO" TargetMode="External" Id="rId37"/><Relationship Type="http://schemas.openxmlformats.org/officeDocument/2006/relationships/hyperlink" Target="https://data.worldbank.org/indicator/SL.EMP.TOTL.SP.ZS?locations=AO" TargetMode="External" Id="rId38"/><Relationship Type="http://schemas.openxmlformats.org/officeDocument/2006/relationships/hyperlink" Target="https://data.worldbank.org/indicator/SL.UEM.TOTL.ZS?locations=AO" TargetMode="External" Id="rId39"/><Relationship Type="http://schemas.openxmlformats.org/officeDocument/2006/relationships/hyperlink" Target="https://data.worldbank.org/indicator/SL.UEM.1524.ZS?locations=AO" TargetMode="External" Id="rId40"/><Relationship Type="http://schemas.openxmlformats.org/officeDocument/2006/relationships/hyperlink" Target="https://data.worldbank.org/indicator/SL.TLF.CACT.ZS?locations=AO" TargetMode="External" Id="rId41"/><Relationship Type="http://schemas.openxmlformats.org/officeDocument/2006/relationships/hyperlink" Target="https://data.worldbank.org/indicator/SL.EMP.VULN.ZS?locations=AO" TargetMode="External" Id="rId42"/><Relationship Type="http://schemas.openxmlformats.org/officeDocument/2006/relationships/hyperlink" Target="https://data.worldbank.org/indicator/SL.EMP.WORK.ZS?locations=AO" TargetMode="External" Id="rId43"/><Relationship Type="http://schemas.openxmlformats.org/officeDocument/2006/relationships/hyperlink" Target="https://data.worldbank.org/indicator/SL.GDP.PCAP.EM.KD?locations=AO" TargetMode="External" Id="rId44"/><Relationship Type="http://schemas.openxmlformats.org/officeDocument/2006/relationships/hyperlink" Target="https://data.worldbank.org/indicator/SN.ITK.DEFC.ZS?locations=AO" TargetMode="External" Id="rId45"/><Relationship Type="http://schemas.openxmlformats.org/officeDocument/2006/relationships/hyperlink" Target="https://data.worldbank.org/indicator/SN.ITK.MSFI.ZS?locations=AO" TargetMode="External" Id="rId46"/><Relationship Type="http://schemas.openxmlformats.org/officeDocument/2006/relationships/hyperlink" Target="https://data.worldbank.org/indicator/SH.STA.MMRT?locations=AO" TargetMode="External" Id="rId47"/><Relationship Type="http://schemas.openxmlformats.org/officeDocument/2006/relationships/hyperlink" Target="https://data.worldbank.org/indicator/SH.DYN.MORT?locations=AO" TargetMode="External" Id="rId48"/><Relationship Type="http://schemas.openxmlformats.org/officeDocument/2006/relationships/hyperlink" Target="https://data.worldbank.org/indicator/SH.XPD.CHEX.GD.ZS?locations=AO" TargetMode="External" Id="rId49"/><Relationship Type="http://schemas.openxmlformats.org/officeDocument/2006/relationships/hyperlink" Target="https://data.worldbank.org/indicator/SH.IMM.IDPT?locations=AO" TargetMode="External" Id="rId50"/><Relationship Type="http://schemas.openxmlformats.org/officeDocument/2006/relationships/hyperlink" Target="https://data.worldbank.org/indicator/SH.MED.PHYS.ZS?locations=AO" TargetMode="External" Id="rId51"/><Relationship Type="http://schemas.openxmlformats.org/officeDocument/2006/relationships/hyperlink" Target="https://data.worldbank.org/indicator/SH.MED.BEDS.ZS?locations=AO" TargetMode="External" Id="rId52"/><Relationship Type="http://schemas.openxmlformats.org/officeDocument/2006/relationships/hyperlink" Target="https://data.worldbank.org/indicator/AG.PRD.FOOD.XD?locations=AO" TargetMode="External" Id="rId53"/><Relationship Type="http://schemas.openxmlformats.org/officeDocument/2006/relationships/table" Target="/xl/tables/table7.xml" Id="rId54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00" customWidth="1" min="2" max="2"/>
    <col width="42" customWidth="1" min="3" max="3"/>
  </cols>
  <sheetData>
    <row r="1">
      <c r="A1" s="1" t="inlineStr">
        <is>
          <t>IGDA-BDA v4 - metodologia linkada</t>
        </is>
      </c>
    </row>
    <row r="2">
      <c r="A2" s="2" t="inlineStr">
        <is>
          <t>Seleciona os melhores indicadores disponíveis por dimensão, separa dados observados de dados ajustados, e identifica todos os anos não observados usados no cálculo.</t>
        </is>
      </c>
    </row>
    <row r="3"/>
    <row r="4">
      <c r="A4" s="3" t="inlineStr">
        <is>
          <t>Parâmetros editáveis</t>
        </is>
      </c>
    </row>
    <row r="5">
      <c r="A5" s="4" t="inlineStr">
        <is>
          <t>Parâmetro</t>
        </is>
      </c>
      <c r="B5" s="4" t="inlineStr">
        <is>
          <t>Valor</t>
        </is>
      </c>
      <c r="C5" s="4" t="inlineStr">
        <is>
          <t>Uso nas fórmulas</t>
        </is>
      </c>
    </row>
    <row r="6">
      <c r="A6" s="5" t="inlineStr">
        <is>
          <t>Ano inicial</t>
        </is>
      </c>
      <c r="B6" s="5" t="n">
        <v>2015</v>
      </c>
      <c r="C6" s="5" t="inlineStr">
        <is>
          <t>Referenciado pelas folhas de dados ajustados, flags, normalização, subíndices e IGDA.</t>
        </is>
      </c>
    </row>
    <row r="7">
      <c r="A7" s="5" t="inlineStr">
        <is>
          <t>Ano final</t>
        </is>
      </c>
      <c r="B7" s="5" t="n">
        <v>2025</v>
      </c>
      <c r="C7" s="5" t="inlineStr">
        <is>
          <t>Referenciado pelas folhas de dados ajustados, flags, normalização, subíndices e IGDA.</t>
        </is>
      </c>
    </row>
    <row r="8">
      <c r="A8" s="5" t="inlineStr">
        <is>
          <t>Escala normalizada mínima</t>
        </is>
      </c>
      <c r="B8" s="5" t="n">
        <v>0</v>
      </c>
      <c r="C8" s="5" t="inlineStr">
        <is>
          <t>Referenciado pelas folhas de dados ajustados, flags, normalização, subíndices e IGDA.</t>
        </is>
      </c>
    </row>
    <row r="9">
      <c r="A9" s="5" t="inlineStr">
        <is>
          <t>Escala normalizada máxima</t>
        </is>
      </c>
      <c r="B9" s="5" t="n">
        <v>100</v>
      </c>
      <c r="C9" s="5" t="inlineStr">
        <is>
          <t>Referenciado pelas folhas de dados ajustados, flags, normalização, subíndices e IGDA.</t>
        </is>
      </c>
    </row>
    <row r="10">
      <c r="A10" s="5" t="inlineStr">
        <is>
          <t>Limiar mínimo de cobertura por subíndice</t>
        </is>
      </c>
      <c r="B10" s="5" t="n">
        <v>0.5</v>
      </c>
      <c r="C10" s="5" t="inlineStr">
        <is>
          <t>Referenciado pelas folhas de dados ajustados, flags, normalização, subíndices e IGDA.</t>
        </is>
      </c>
    </row>
    <row r="11">
      <c r="A11" s="5" t="inlineStr">
        <is>
          <t>Nº mínimo de subíndices para IGDA global</t>
        </is>
      </c>
      <c r="B11" s="5" t="n">
        <v>4</v>
      </c>
      <c r="C11" s="5" t="inlineStr">
        <is>
          <t>Referenciado pelas folhas de dados ajustados, flags, normalização, subíndices e IGDA.</t>
        </is>
      </c>
    </row>
    <row r="12">
      <c r="A12" s="5" t="inlineStr">
        <is>
          <t>Lacuna máxima para interpolação linear (nº de anos sem observação entre dois dados)</t>
        </is>
      </c>
      <c r="B12" s="5" t="n">
        <v>3</v>
      </c>
      <c r="C12" s="5" t="inlineStr">
        <is>
          <t>Referenciado pelas folhas de dados ajustados, flags, normalização, subíndices e IGDA.</t>
        </is>
      </c>
    </row>
    <row r="13">
      <c r="A13" s="5" t="inlineStr">
        <is>
          <t>Carry-forward máximo no fim da série (anos)</t>
        </is>
      </c>
      <c r="B13" s="5" t="n">
        <v>2</v>
      </c>
      <c r="C13" s="5" t="inlineStr">
        <is>
          <t>Referenciado pelas folhas de dados ajustados, flags, normalização, subíndices e IGDA.</t>
        </is>
      </c>
    </row>
    <row r="14">
      <c r="A14" s="5" t="inlineStr">
        <is>
          <t>Carry-backward máximo no início da série (anos)</t>
        </is>
      </c>
      <c r="B14" s="5" t="n">
        <v>1</v>
      </c>
      <c r="C14" s="5" t="inlineStr">
        <is>
          <t>Referenciado pelas folhas de dados ajustados, flags, normalização, subíndices e IGDA.</t>
        </is>
      </c>
    </row>
    <row r="15">
      <c r="A15" s="5" t="inlineStr">
        <is>
          <t>Agregação dos indicadores no subíndice</t>
        </is>
      </c>
      <c r="B15" s="5" t="inlineStr">
        <is>
          <t>Média aritmética ponderada</t>
        </is>
      </c>
      <c r="C15" s="5" t="inlineStr">
        <is>
          <t>Referenciado pelas folhas de dados ajustados, flags, normalização, subíndices e IGDA.</t>
        </is>
      </c>
    </row>
    <row r="16">
      <c r="A16" s="5" t="inlineStr">
        <is>
          <t>Agregação dos subíndices no IGDA</t>
        </is>
      </c>
      <c r="B16" s="5" t="inlineStr">
        <is>
          <t>Média geométrica ponderada</t>
        </is>
      </c>
      <c r="C16" s="5" t="inlineStr">
        <is>
          <t>Referenciado pelas folhas de dados ajustados, flags, normalização, subíndices e IGDA.</t>
        </is>
      </c>
    </row>
    <row r="17"/>
    <row r="18"/>
    <row r="19">
      <c r="A19" s="3" t="inlineStr">
        <is>
          <t>Regras para anos não observáveis</t>
        </is>
      </c>
    </row>
    <row r="20">
      <c r="A20" s="4" t="inlineStr">
        <is>
          <t>Flag</t>
        </is>
      </c>
      <c r="B20" s="4" t="inlineStr">
        <is>
          <t>Descrição</t>
        </is>
      </c>
    </row>
    <row r="21">
      <c r="A21" s="6" t="inlineStr">
        <is>
          <t>OBS</t>
        </is>
      </c>
      <c r="B21" s="2" t="inlineStr">
        <is>
          <t>Valor observado diretamente na fonte usada.</t>
        </is>
      </c>
    </row>
    <row r="22">
      <c r="A22" s="6" t="inlineStr">
        <is>
          <t>EST_INTERP_LINEAR</t>
        </is>
      </c>
      <c r="B22" s="2" t="inlineStr">
        <is>
          <t>Ano sem observação estimado por interpolação linear entre dois anos observados, se a lacuna for menor ou igual a B12.</t>
        </is>
      </c>
    </row>
    <row r="23">
      <c r="A23" s="6" t="inlineStr">
        <is>
          <t>EST_CARRY_FORWARD</t>
        </is>
      </c>
      <c r="B23" s="2" t="inlineStr">
        <is>
          <t>Ano final sem observação preenchido com o último valor observado, até ao limite de B13.</t>
        </is>
      </c>
    </row>
    <row r="24">
      <c r="A24" s="6" t="inlineStr">
        <is>
          <t>EST_CARRY_BACKWARD</t>
        </is>
      </c>
      <c r="B24" s="2" t="inlineStr">
        <is>
          <t>Ano inicial sem observação preenchido com o primeiro valor observado posterior, até ao limite de B14.</t>
        </is>
      </c>
    </row>
    <row r="25">
      <c r="A25" s="6" t="inlineStr">
        <is>
          <t>SEM_DADO</t>
        </is>
      </c>
      <c r="B25" s="2" t="inlineStr">
        <is>
          <t>Sem observação e sem ajustamento permitido; o indicador é ignorado nesse ano.</t>
        </is>
      </c>
    </row>
    <row r="26"/>
    <row r="27"/>
    <row r="28"/>
    <row r="29">
      <c r="A29" s="3" t="inlineStr">
        <is>
          <t>Fórmulas metodológicas</t>
        </is>
      </c>
    </row>
    <row r="30">
      <c r="A30" s="4" t="inlineStr">
        <is>
          <t>Item</t>
        </is>
      </c>
      <c r="B30" s="4" t="inlineStr">
        <is>
          <t>Regra</t>
        </is>
      </c>
    </row>
    <row r="31">
      <c r="A31" s="2" t="inlineStr">
        <is>
          <t>Normalização sentido positivo</t>
        </is>
      </c>
      <c r="B31" s="2" t="inlineStr">
        <is>
          <t>Score = MIN(100, MAX(0, (valor - mínimo) / (máximo - mínimo) * 100))</t>
        </is>
      </c>
    </row>
    <row r="32">
      <c r="A32" s="2" t="inlineStr">
        <is>
          <t>Normalização sentido negativo</t>
        </is>
      </c>
      <c r="B32" s="2" t="inlineStr">
        <is>
          <t>Score = MIN(100, MAX(0, (máximo - valor) / (máximo - mínimo) * 100))</t>
        </is>
      </c>
    </row>
    <row r="33">
      <c r="A33" s="2" t="inlineStr">
        <is>
          <t>Subíndice</t>
        </is>
      </c>
      <c r="B33" s="2" t="inlineStr">
        <is>
          <t>Média aritmética ponderada dos indicadores ativos com score disponível, se cumprir o limiar mínimo de cobertura.</t>
        </is>
      </c>
    </row>
    <row r="34">
      <c r="A34" s="2" t="inlineStr">
        <is>
          <t>IGDA global</t>
        </is>
      </c>
      <c r="B34" s="2" t="inlineStr">
        <is>
          <t>Média geométrica ponderada dos sete subíndices, se houver pelo menos o nº mínimo de subíndices.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P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20" customWidth="1" min="4" max="4"/>
    <col width="10" customWidth="1" min="5" max="5"/>
    <col width="12" customWidth="1" min="6" max="6"/>
    <col width="12" customWidth="1" min="7" max="7"/>
    <col width="14" customWidth="1" min="8" max="8"/>
    <col width="14" customWidth="1" min="9" max="9"/>
    <col width="10" customWidth="1" min="10" max="10"/>
    <col width="28" customWidth="1" min="11" max="11"/>
    <col width="18" customWidth="1" min="12" max="12"/>
    <col width="54" customWidth="1" min="13" max="13"/>
    <col width="12" customWidth="1" min="14" max="14"/>
    <col width="64" customWidth="1" min="15" max="15"/>
    <col width="42" customWidth="1" min="16" max="16"/>
  </cols>
  <sheetData>
    <row r="1">
      <c r="A1" s="1" t="inlineStr">
        <is>
          <t>Indicadores finais selecionados para o IGDA-BDA v4</t>
        </is>
      </c>
    </row>
    <row r="2">
      <c r="A2" s="2" t="inlineStr">
        <is>
          <t>Edite pesos, ativos, mínimos, máximos e metas nesta folha. As demais folhas referenciam estes parâmetros.</t>
        </is>
      </c>
    </row>
    <row r="3"/>
    <row r="4">
      <c r="A4" s="7" t="inlineStr">
        <is>
          <t>ID</t>
        </is>
      </c>
      <c r="B4" s="7" t="inlineStr">
        <is>
          <t>Dimensão</t>
        </is>
      </c>
      <c r="C4" s="7" t="inlineStr">
        <is>
          <t>Indicador</t>
        </is>
      </c>
      <c r="D4" s="7" t="inlineStr">
        <is>
          <t>Unidade</t>
        </is>
      </c>
      <c r="E4" s="7" t="inlineStr">
        <is>
          <t>Sentido</t>
        </is>
      </c>
      <c r="F4" s="7" t="inlineStr">
        <is>
          <t>Mínimo</t>
        </is>
      </c>
      <c r="G4" s="7" t="inlineStr">
        <is>
          <t>Máximo</t>
        </is>
      </c>
      <c r="H4" s="7" t="inlineStr">
        <is>
          <t>Meta 2027</t>
        </is>
      </c>
      <c r="I4" s="7" t="inlineStr">
        <is>
          <t>Peso indicador</t>
        </is>
      </c>
      <c r="J4" s="7" t="inlineStr">
        <is>
          <t>Ativo</t>
        </is>
      </c>
      <c r="K4" s="7" t="inlineStr">
        <is>
          <t>Fonte</t>
        </is>
      </c>
      <c r="L4" s="7" t="inlineStr">
        <is>
          <t>Código/API</t>
        </is>
      </c>
      <c r="M4" s="7" t="inlineStr">
        <is>
          <t>Fonte_URL</t>
        </is>
      </c>
      <c r="N4" s="7" t="inlineStr">
        <is>
          <t>Prioridade</t>
        </is>
      </c>
      <c r="O4" s="7" t="inlineStr">
        <is>
          <t>Justificação</t>
        </is>
      </c>
      <c r="P4" s="7" t="inlineStr">
        <is>
          <t>Regra anos em falta</t>
        </is>
      </c>
    </row>
    <row r="5">
      <c r="A5" s="5" t="inlineStr">
        <is>
          <t>GOV01</t>
        </is>
      </c>
      <c r="B5" s="5" t="inlineStr">
        <is>
          <t>1. Governança e Estado de Direito</t>
        </is>
      </c>
      <c r="C5" s="5" t="inlineStr">
        <is>
          <t>Índice de Percepção da Corrupção</t>
        </is>
      </c>
      <c r="D5" s="5" t="inlineStr">
        <is>
          <t>0-100</t>
        </is>
      </c>
      <c r="E5" s="5" t="inlineStr">
        <is>
          <t>+</t>
        </is>
      </c>
      <c r="F5" s="5" t="n">
        <v>0</v>
      </c>
      <c r="G5" s="5" t="n">
        <v>100</v>
      </c>
      <c r="H5" s="5" t="n">
        <v>35</v>
      </c>
      <c r="I5" s="5" t="n">
        <v>1</v>
      </c>
      <c r="J5" s="5" t="n">
        <v>1</v>
      </c>
      <c r="K5" s="5" t="inlineStr">
        <is>
          <t>Transparency International / ficheiro base</t>
        </is>
      </c>
      <c r="L5" s="5" t="inlineStr"/>
      <c r="M5" s="8" t="inlineStr">
        <is>
          <t>https://www.transparency.org/en/cpi</t>
        </is>
      </c>
      <c r="N5" s="5" t="inlineStr">
        <is>
          <t>Alta</t>
        </is>
      </c>
      <c r="O5" s="5" t="inlineStr">
        <is>
          <t>Referência internacional já usada no modelo original.</t>
        </is>
      </c>
      <c r="P5" s="5" t="inlineStr">
        <is>
          <t>Usa regra global definida em Metodologia_v4!B12:B14</t>
        </is>
      </c>
    </row>
    <row r="6">
      <c r="A6" s="5" t="inlineStr">
        <is>
          <t>GOV02</t>
        </is>
      </c>
      <c r="B6" s="5" t="inlineStr">
        <is>
          <t>1. Governança e Estado de Direito</t>
        </is>
      </c>
      <c r="C6" s="5" t="inlineStr">
        <is>
          <t>WGI - Estado de Direito</t>
        </is>
      </c>
      <c r="D6" s="5" t="inlineStr">
        <is>
          <t>-2.5 a 2.5</t>
        </is>
      </c>
      <c r="E6" s="5" t="inlineStr">
        <is>
          <t>+</t>
        </is>
      </c>
      <c r="F6" s="5" t="n">
        <v>-2.5</v>
      </c>
      <c r="G6" s="5" t="n">
        <v>2.5</v>
      </c>
      <c r="H6" s="5" t="n">
        <v>0</v>
      </c>
      <c r="I6" s="5" t="n">
        <v>1</v>
      </c>
      <c r="J6" s="5" t="n">
        <v>1</v>
      </c>
      <c r="K6" s="5" t="inlineStr">
        <is>
          <t>Worldwide Governance Indicators</t>
        </is>
      </c>
      <c r="L6" s="5" t="inlineStr">
        <is>
          <t>RL.EST</t>
        </is>
      </c>
      <c r="M6" s="8" t="inlineStr">
        <is>
          <t>https://datacatalogfiles.worldbank.org/ddh-published/0038026/DR0095947/wgidataset_with_sourcedata-2025.xlsx</t>
        </is>
      </c>
      <c r="N6" s="5" t="inlineStr">
        <is>
          <t>Alta</t>
        </is>
      </c>
      <c r="O6" s="5" t="inlineStr">
        <is>
          <t>Estado de Direito e execução de regras.</t>
        </is>
      </c>
      <c r="P6" s="5" t="inlineStr">
        <is>
          <t>Usa regra global definida em Metodologia_v4!B12:B14</t>
        </is>
      </c>
    </row>
    <row r="7">
      <c r="A7" s="5" t="inlineStr">
        <is>
          <t>GOV03</t>
        </is>
      </c>
      <c r="B7" s="5" t="inlineStr">
        <is>
          <t>1. Governança e Estado de Direito</t>
        </is>
      </c>
      <c r="C7" s="5" t="inlineStr">
        <is>
          <t>WGI - Eficiência do Governo</t>
        </is>
      </c>
      <c r="D7" s="5" t="inlineStr">
        <is>
          <t>-2.5 a 2.5</t>
        </is>
      </c>
      <c r="E7" s="5" t="inlineStr">
        <is>
          <t>+</t>
        </is>
      </c>
      <c r="F7" s="5" t="n">
        <v>-2.5</v>
      </c>
      <c r="G7" s="5" t="n">
        <v>2.5</v>
      </c>
      <c r="H7" s="5" t="n">
        <v>0</v>
      </c>
      <c r="I7" s="5" t="n">
        <v>1</v>
      </c>
      <c r="J7" s="5" t="n">
        <v>1</v>
      </c>
      <c r="K7" s="5" t="inlineStr">
        <is>
          <t>Worldwide Governance Indicators</t>
        </is>
      </c>
      <c r="L7" s="5" t="inlineStr">
        <is>
          <t>GE.EST</t>
        </is>
      </c>
      <c r="M7" s="8" t="inlineStr">
        <is>
          <t>https://datacatalogfiles.worldbank.org/ddh-published/0038026/DR0095947/wgidataset_with_sourcedata-2025.xlsx</t>
        </is>
      </c>
      <c r="N7" s="5" t="inlineStr">
        <is>
          <t>Alta</t>
        </is>
      </c>
      <c r="O7" s="5" t="inlineStr">
        <is>
          <t>Capacidade do Estado para executar políticas públicas.</t>
        </is>
      </c>
      <c r="P7" s="5" t="inlineStr">
        <is>
          <t>Usa regra global definida em Metodologia_v4!B12:B14</t>
        </is>
      </c>
    </row>
    <row r="8">
      <c r="A8" s="5" t="inlineStr">
        <is>
          <t>GOV04</t>
        </is>
      </c>
      <c r="B8" s="5" t="inlineStr">
        <is>
          <t>1. Governança e Estado de Direito</t>
        </is>
      </c>
      <c r="C8" s="5" t="inlineStr">
        <is>
          <t>WGI - Estabilidade Política</t>
        </is>
      </c>
      <c r="D8" s="5" t="inlineStr">
        <is>
          <t>-2.5 a 2.5</t>
        </is>
      </c>
      <c r="E8" s="5" t="inlineStr">
        <is>
          <t>+</t>
        </is>
      </c>
      <c r="F8" s="5" t="n">
        <v>-2.5</v>
      </c>
      <c r="G8" s="5" t="n">
        <v>2.5</v>
      </c>
      <c r="H8" s="5" t="n">
        <v>0</v>
      </c>
      <c r="I8" s="5" t="n">
        <v>1</v>
      </c>
      <c r="J8" s="5" t="n">
        <v>1</v>
      </c>
      <c r="K8" s="5" t="inlineStr">
        <is>
          <t>Worldwide Governance Indicators</t>
        </is>
      </c>
      <c r="L8" s="5" t="inlineStr">
        <is>
          <t>PV.EST</t>
        </is>
      </c>
      <c r="M8" s="8" t="inlineStr">
        <is>
          <t>https://datacatalogfiles.worldbank.org/ddh-published/0038026/DR0095947/wgidataset_with_sourcedata-2025.xlsx</t>
        </is>
      </c>
      <c r="N8" s="5" t="inlineStr">
        <is>
          <t>Alta</t>
        </is>
      </c>
      <c r="O8" s="5" t="inlineStr">
        <is>
          <t>Risco político, violência e continuidade institucional.</t>
        </is>
      </c>
      <c r="P8" s="5" t="inlineStr">
        <is>
          <t>Usa regra global definida em Metodologia_v4!B12:B14</t>
        </is>
      </c>
    </row>
    <row r="9">
      <c r="A9" s="5" t="inlineStr">
        <is>
          <t>GOV05</t>
        </is>
      </c>
      <c r="B9" s="5" t="inlineStr">
        <is>
          <t>1. Governança e Estado de Direito</t>
        </is>
      </c>
      <c r="C9" s="5" t="inlineStr">
        <is>
          <t>WGI - Qualidade Regulatória</t>
        </is>
      </c>
      <c r="D9" s="5" t="inlineStr">
        <is>
          <t>-2.5 a 2.5</t>
        </is>
      </c>
      <c r="E9" s="5" t="inlineStr">
        <is>
          <t>+</t>
        </is>
      </c>
      <c r="F9" s="5" t="n">
        <v>-2.5</v>
      </c>
      <c r="G9" s="5" t="n">
        <v>2.5</v>
      </c>
      <c r="H9" s="5" t="n">
        <v>0</v>
      </c>
      <c r="I9" s="5" t="n">
        <v>1</v>
      </c>
      <c r="J9" s="5" t="n">
        <v>1</v>
      </c>
      <c r="K9" s="5" t="inlineStr">
        <is>
          <t>Worldwide Governance Indicators</t>
        </is>
      </c>
      <c r="L9" s="5" t="inlineStr">
        <is>
          <t>RQ.EST</t>
        </is>
      </c>
      <c r="M9" s="8" t="inlineStr">
        <is>
          <t>https://datacatalogfiles.worldbank.org/ddh-published/0038026/DR0095947/wgidataset_with_sourcedata-2025.xlsx</t>
        </is>
      </c>
      <c r="N9" s="5" t="inlineStr">
        <is>
          <t>Alta</t>
        </is>
      </c>
      <c r="O9" s="5" t="inlineStr">
        <is>
          <t>Substituto robusto para Doing Business, descontinuado.</t>
        </is>
      </c>
      <c r="P9" s="5" t="inlineStr">
        <is>
          <t>Usa regra global definida em Metodologia_v4!B12:B14</t>
        </is>
      </c>
    </row>
    <row r="10">
      <c r="A10" s="5" t="inlineStr">
        <is>
          <t>GOV06</t>
        </is>
      </c>
      <c r="B10" s="5" t="inlineStr">
        <is>
          <t>1. Governança e Estado de Direito</t>
        </is>
      </c>
      <c r="C10" s="5" t="inlineStr">
        <is>
          <t>WGI - Controlo da Corrupção</t>
        </is>
      </c>
      <c r="D10" s="5" t="inlineStr">
        <is>
          <t>-2.5 a 2.5</t>
        </is>
      </c>
      <c r="E10" s="5" t="inlineStr">
        <is>
          <t>+</t>
        </is>
      </c>
      <c r="F10" s="5" t="n">
        <v>-2.5</v>
      </c>
      <c r="G10" s="5" t="n">
        <v>2.5</v>
      </c>
      <c r="H10" s="5" t="n">
        <v>0</v>
      </c>
      <c r="I10" s="5" t="n">
        <v>1</v>
      </c>
      <c r="J10" s="5" t="n">
        <v>1</v>
      </c>
      <c r="K10" s="5" t="inlineStr">
        <is>
          <t>Worldwide Governance Indicators</t>
        </is>
      </c>
      <c r="L10" s="5" t="inlineStr">
        <is>
          <t>CC.EST</t>
        </is>
      </c>
      <c r="M10" s="8" t="inlineStr">
        <is>
          <t>https://datacatalogfiles.worldbank.org/ddh-published/0038026/DR0095947/wgidataset_with_sourcedata-2025.xlsx</t>
        </is>
      </c>
      <c r="N10" s="5" t="inlineStr">
        <is>
          <t>Alta</t>
        </is>
      </c>
      <c r="O10" s="5" t="inlineStr">
        <is>
          <t>Complementa o CPI com uma métrica WGI coerente.</t>
        </is>
      </c>
      <c r="P10" s="5" t="inlineStr">
        <is>
          <t>Usa regra global definida em Metodologia_v4!B12:B14</t>
        </is>
      </c>
    </row>
    <row r="11">
      <c r="A11" s="5" t="inlineStr">
        <is>
          <t>MAC01</t>
        </is>
      </c>
      <c r="B11" s="5" t="inlineStr">
        <is>
          <t>2. Estabilidade Macroeconómica</t>
        </is>
      </c>
      <c r="C11" s="5" t="inlineStr">
        <is>
          <t>Crescimento real do PIB</t>
        </is>
      </c>
      <c r="D11" s="5" t="inlineStr">
        <is>
          <t>%</t>
        </is>
      </c>
      <c r="E11" s="5" t="inlineStr">
        <is>
          <t>+</t>
        </is>
      </c>
      <c r="F11" s="5" t="n">
        <v>-10</v>
      </c>
      <c r="G11" s="5" t="n">
        <v>15</v>
      </c>
      <c r="H11" s="5" t="n">
        <v>5</v>
      </c>
      <c r="I11" s="5" t="n">
        <v>1</v>
      </c>
      <c r="J11" s="5" t="n">
        <v>1</v>
      </c>
      <c r="K11" s="5" t="inlineStr">
        <is>
          <t>Banco Mundial/WDI</t>
        </is>
      </c>
      <c r="L11" s="5" t="inlineStr">
        <is>
          <t>NY.GDP.MKTP.KD.ZG</t>
        </is>
      </c>
      <c r="M11" s="8" t="inlineStr">
        <is>
          <t>https://data.worldbank.org/indicator/NY.GDP.MKTP.KD.ZG?locations=AO</t>
        </is>
      </c>
      <c r="N11" s="5" t="inlineStr">
        <is>
          <t>Alta</t>
        </is>
      </c>
      <c r="O11" s="5" t="inlineStr">
        <is>
          <t>Dinamismo económico real.</t>
        </is>
      </c>
      <c r="P11" s="5" t="inlineStr">
        <is>
          <t>Usa regra global definida em Metodologia_v4!B12:B14</t>
        </is>
      </c>
    </row>
    <row r="12">
      <c r="A12" s="5" t="inlineStr">
        <is>
          <t>MAC02</t>
        </is>
      </c>
      <c r="B12" s="5" t="inlineStr">
        <is>
          <t>2. Estabilidade Macroeconómica</t>
        </is>
      </c>
      <c r="C12" s="5" t="inlineStr">
        <is>
          <t>PIB per capita</t>
        </is>
      </c>
      <c r="D12" s="5" t="inlineStr">
        <is>
          <t>USD correntes</t>
        </is>
      </c>
      <c r="E12" s="5" t="inlineStr">
        <is>
          <t>+</t>
        </is>
      </c>
      <c r="F12" s="5" t="n">
        <v>500</v>
      </c>
      <c r="G12" s="5" t="n">
        <v>15000</v>
      </c>
      <c r="H12" s="5" t="n">
        <v>5000</v>
      </c>
      <c r="I12" s="5" t="n">
        <v>1</v>
      </c>
      <c r="J12" s="5" t="n">
        <v>1</v>
      </c>
      <c r="K12" s="5" t="inlineStr">
        <is>
          <t>Banco Mundial/WDI</t>
        </is>
      </c>
      <c r="L12" s="5" t="inlineStr">
        <is>
          <t>NY.GDP.PCAP.CD</t>
        </is>
      </c>
      <c r="M12" s="8" t="inlineStr">
        <is>
          <t>https://data.worldbank.org/indicator/NY.GDP.PCAP.CD?locations=AO</t>
        </is>
      </c>
      <c r="N12" s="5" t="inlineStr">
        <is>
          <t>Alta</t>
        </is>
      </c>
      <c r="O12" s="5" t="inlineStr">
        <is>
          <t>Nível médio de rendimento.</t>
        </is>
      </c>
      <c r="P12" s="5" t="inlineStr">
        <is>
          <t>Usa regra global definida em Metodologia_v4!B12:B14</t>
        </is>
      </c>
    </row>
    <row r="13">
      <c r="A13" s="5" t="inlineStr">
        <is>
          <t>MAC03</t>
        </is>
      </c>
      <c r="B13" s="5" t="inlineStr">
        <is>
          <t>2. Estabilidade Macroeconómica</t>
        </is>
      </c>
      <c r="C13" s="5" t="inlineStr">
        <is>
          <t>Inflação, preços ao consumidor</t>
        </is>
      </c>
      <c r="D13" s="5" t="inlineStr">
        <is>
          <t>%</t>
        </is>
      </c>
      <c r="E13" s="5" t="inlineStr">
        <is>
          <t>-</t>
        </is>
      </c>
      <c r="F13" s="5" t="n">
        <v>0</v>
      </c>
      <c r="G13" s="5" t="n">
        <v>50</v>
      </c>
      <c r="H13" s="5" t="n">
        <v>10</v>
      </c>
      <c r="I13" s="5" t="n">
        <v>1</v>
      </c>
      <c r="J13" s="5" t="n">
        <v>1</v>
      </c>
      <c r="K13" s="5" t="inlineStr">
        <is>
          <t>Banco Mundial/WDI</t>
        </is>
      </c>
      <c r="L13" s="5" t="inlineStr">
        <is>
          <t>FP.CPI.TOTL.ZG</t>
        </is>
      </c>
      <c r="M13" s="8" t="inlineStr">
        <is>
          <t>https://data.worldbank.org/indicator/FP.CPI.TOTL.ZG?locations=AO</t>
        </is>
      </c>
      <c r="N13" s="5" t="inlineStr">
        <is>
          <t>Alta</t>
        </is>
      </c>
      <c r="O13" s="5" t="inlineStr">
        <is>
          <t>Estabilidade de preços.</t>
        </is>
      </c>
      <c r="P13" s="5" t="inlineStr">
        <is>
          <t>Usa regra global definida em Metodologia_v4!B12:B14</t>
        </is>
      </c>
    </row>
    <row r="14">
      <c r="A14" s="5" t="inlineStr">
        <is>
          <t>MAC04</t>
        </is>
      </c>
      <c r="B14" s="5" t="inlineStr">
        <is>
          <t>2. Estabilidade Macroeconómica</t>
        </is>
      </c>
      <c r="C14" s="5" t="inlineStr">
        <is>
          <t>Dívida pública do governo central</t>
        </is>
      </c>
      <c r="D14" s="5" t="inlineStr">
        <is>
          <t>% PIB</t>
        </is>
      </c>
      <c r="E14" s="5" t="inlineStr">
        <is>
          <t>-</t>
        </is>
      </c>
      <c r="F14" s="5" t="n">
        <v>0</v>
      </c>
      <c r="G14" s="5" t="n">
        <v>150</v>
      </c>
      <c r="H14" s="5" t="n">
        <v>60</v>
      </c>
      <c r="I14" s="5" t="n">
        <v>1</v>
      </c>
      <c r="J14" s="5" t="n">
        <v>1</v>
      </c>
      <c r="K14" s="5" t="inlineStr">
        <is>
          <t>Banco Mundial/WDI</t>
        </is>
      </c>
      <c r="L14" s="5" t="inlineStr">
        <is>
          <t>GC.DOD.TOTL.GD.ZS</t>
        </is>
      </c>
      <c r="M14" s="8" t="inlineStr">
        <is>
          <t>https://data.worldbank.org/indicator/GC.DOD.TOTL.GD.ZS?locations=AO</t>
        </is>
      </c>
      <c r="N14" s="5" t="inlineStr">
        <is>
          <t>Alta</t>
        </is>
      </c>
      <c r="O14" s="5" t="inlineStr">
        <is>
          <t>Sustentabilidade fiscal.</t>
        </is>
      </c>
      <c r="P14" s="5" t="inlineStr">
        <is>
          <t>Usa regra global definida em Metodologia_v4!B12:B14</t>
        </is>
      </c>
    </row>
    <row r="15">
      <c r="A15" s="5" t="inlineStr">
        <is>
          <t>MAC05</t>
        </is>
      </c>
      <c r="B15" s="5" t="inlineStr">
        <is>
          <t>2. Estabilidade Macroeconómica</t>
        </is>
      </c>
      <c r="C15" s="5" t="inlineStr">
        <is>
          <t>Saldo orçamental de caixa</t>
        </is>
      </c>
      <c r="D15" s="5" t="inlineStr">
        <is>
          <t>% PIB</t>
        </is>
      </c>
      <c r="E15" s="5" t="inlineStr">
        <is>
          <t>+</t>
        </is>
      </c>
      <c r="F15" s="5" t="n">
        <v>-15</v>
      </c>
      <c r="G15" s="5" t="n">
        <v>10</v>
      </c>
      <c r="H15" s="5" t="n">
        <v>0</v>
      </c>
      <c r="I15" s="5" t="n">
        <v>1</v>
      </c>
      <c r="J15" s="5" t="n">
        <v>1</v>
      </c>
      <c r="K15" s="5" t="inlineStr">
        <is>
          <t>Banco Mundial/WDI</t>
        </is>
      </c>
      <c r="L15" s="5" t="inlineStr">
        <is>
          <t>GC.BAL.CASH.GD.ZS</t>
        </is>
      </c>
      <c r="M15" s="8" t="inlineStr">
        <is>
          <t>https://data.worldbank.org/indicator/GC.BAL.CASH.GD.ZS?locations=AO</t>
        </is>
      </c>
      <c r="N15" s="5" t="inlineStr">
        <is>
          <t>Alta</t>
        </is>
      </c>
      <c r="O15" s="5" t="inlineStr">
        <is>
          <t>Equilíbrio fiscal corrente.</t>
        </is>
      </c>
      <c r="P15" s="5" t="inlineStr">
        <is>
          <t>Usa regra global definida em Metodologia_v4!B12:B14</t>
        </is>
      </c>
    </row>
    <row r="16">
      <c r="A16" s="5" t="inlineStr">
        <is>
          <t>MAC06</t>
        </is>
      </c>
      <c r="B16" s="5" t="inlineStr">
        <is>
          <t>2. Estabilidade Macroeconómica</t>
        </is>
      </c>
      <c r="C16" s="5" t="inlineStr">
        <is>
          <t>Saldo da conta corrente</t>
        </is>
      </c>
      <c r="D16" s="5" t="inlineStr">
        <is>
          <t>% PIB</t>
        </is>
      </c>
      <c r="E16" s="5" t="inlineStr">
        <is>
          <t>+</t>
        </is>
      </c>
      <c r="F16" s="5" t="n">
        <v>-30</v>
      </c>
      <c r="G16" s="5" t="n">
        <v>30</v>
      </c>
      <c r="H16" s="5" t="n">
        <v>0</v>
      </c>
      <c r="I16" s="5" t="n">
        <v>1</v>
      </c>
      <c r="J16" s="5" t="n">
        <v>1</v>
      </c>
      <c r="K16" s="5" t="inlineStr">
        <is>
          <t>Banco Mundial/WDI</t>
        </is>
      </c>
      <c r="L16" s="5" t="inlineStr">
        <is>
          <t>BN.CAB.XOKA.GD.ZS</t>
        </is>
      </c>
      <c r="M16" s="8" t="inlineStr">
        <is>
          <t>https://data.worldbank.org/indicator/BN.CAB.XOKA.GD.ZS?locations=AO</t>
        </is>
      </c>
      <c r="N16" s="5" t="inlineStr">
        <is>
          <t>Alta</t>
        </is>
      </c>
      <c r="O16" s="5" t="inlineStr">
        <is>
          <t>Sustentabilidade externa.</t>
        </is>
      </c>
      <c r="P16" s="5" t="inlineStr">
        <is>
          <t>Usa regra global definida em Metodologia_v4!B12:B14</t>
        </is>
      </c>
    </row>
    <row r="17">
      <c r="A17" s="5" t="inlineStr">
        <is>
          <t>MAC07</t>
        </is>
      </c>
      <c r="B17" s="5" t="inlineStr">
        <is>
          <t>2. Estabilidade Macroeconómica</t>
        </is>
      </c>
      <c r="C17" s="5" t="inlineStr">
        <is>
          <t>Reservas internacionais</t>
        </is>
      </c>
      <c r="D17" s="5" t="inlineStr">
        <is>
          <t>meses de importações</t>
        </is>
      </c>
      <c r="E17" s="5" t="inlineStr">
        <is>
          <t>+</t>
        </is>
      </c>
      <c r="F17" s="5" t="n">
        <v>0</v>
      </c>
      <c r="G17" s="5" t="n">
        <v>12</v>
      </c>
      <c r="H17" s="5" t="n">
        <v>6</v>
      </c>
      <c r="I17" s="5" t="n">
        <v>1</v>
      </c>
      <c r="J17" s="5" t="n">
        <v>1</v>
      </c>
      <c r="K17" s="5" t="inlineStr">
        <is>
          <t>Banco Mundial/WDI</t>
        </is>
      </c>
      <c r="L17" s="5" t="inlineStr">
        <is>
          <t>FI.RES.TOTL.MO</t>
        </is>
      </c>
      <c r="M17" s="8" t="inlineStr">
        <is>
          <t>https://data.worldbank.org/indicator/FI.RES.TOTL.MO?locations=AO</t>
        </is>
      </c>
      <c r="N17" s="5" t="inlineStr">
        <is>
          <t>Alta</t>
        </is>
      </c>
      <c r="O17" s="5" t="inlineStr">
        <is>
          <t>Almofada externa contra choques.</t>
        </is>
      </c>
      <c r="P17" s="5" t="inlineStr">
        <is>
          <t>Usa regra global definida em Metodologia_v4!B12:B14</t>
        </is>
      </c>
    </row>
    <row r="18">
      <c r="A18" s="5" t="inlineStr">
        <is>
          <t>MAC08</t>
        </is>
      </c>
      <c r="B18" s="5" t="inlineStr">
        <is>
          <t>2. Estabilidade Macroeconómica</t>
        </is>
      </c>
      <c r="C18" s="5" t="inlineStr">
        <is>
          <t>Receita fiscal</t>
        </is>
      </c>
      <c r="D18" s="5" t="inlineStr">
        <is>
          <t>% PIB</t>
        </is>
      </c>
      <c r="E18" s="5" t="inlineStr">
        <is>
          <t>+</t>
        </is>
      </c>
      <c r="F18" s="5" t="n">
        <v>0</v>
      </c>
      <c r="G18" s="5" t="n">
        <v>40</v>
      </c>
      <c r="H18" s="5" t="n">
        <v>18</v>
      </c>
      <c r="I18" s="5" t="n">
        <v>1</v>
      </c>
      <c r="J18" s="5" t="n">
        <v>1</v>
      </c>
      <c r="K18" s="5" t="inlineStr">
        <is>
          <t>Banco Mundial/WDI</t>
        </is>
      </c>
      <c r="L18" s="5" t="inlineStr">
        <is>
          <t>GC.TAX.TOTL.GD.ZS</t>
        </is>
      </c>
      <c r="M18" s="8" t="inlineStr">
        <is>
          <t>https://data.worldbank.org/indicator/GC.TAX.TOTL.GD.ZS?locations=AO</t>
        </is>
      </c>
      <c r="N18" s="5" t="inlineStr">
        <is>
          <t>Alta</t>
        </is>
      </c>
      <c r="O18" s="5" t="inlineStr">
        <is>
          <t>Capacidade doméstica de financiamento público.</t>
        </is>
      </c>
      <c r="P18" s="5" t="inlineStr">
        <is>
          <t>Usa regra global definida em Metodologia_v4!B12:B14</t>
        </is>
      </c>
    </row>
    <row r="19">
      <c r="A19" s="5" t="inlineStr">
        <is>
          <t>HUM01</t>
        </is>
      </c>
      <c r="B19" s="5" t="inlineStr">
        <is>
          <t>3. Capital Humano</t>
        </is>
      </c>
      <c r="C19" s="5" t="inlineStr">
        <is>
          <t>Índice de Desenvolvimento Humano</t>
        </is>
      </c>
      <c r="D19" s="5" t="inlineStr">
        <is>
          <t>0-1</t>
        </is>
      </c>
      <c r="E19" s="5" t="inlineStr">
        <is>
          <t>+</t>
        </is>
      </c>
      <c r="F19" s="5" t="n">
        <v>0</v>
      </c>
      <c r="G19" s="5" t="n">
        <v>1</v>
      </c>
      <c r="H19" s="5" t="n">
        <v>0.6</v>
      </c>
      <c r="I19" s="5" t="n">
        <v>1</v>
      </c>
      <c r="J19" s="5" t="n">
        <v>1</v>
      </c>
      <c r="K19" s="5" t="inlineStr">
        <is>
          <t>PNUD/HDR / ficheiro base</t>
        </is>
      </c>
      <c r="L19" s="5" t="inlineStr"/>
      <c r="M19" s="8" t="inlineStr">
        <is>
          <t>https://hdr.undp.org/data-center</t>
        </is>
      </c>
      <c r="N19" s="5" t="inlineStr">
        <is>
          <t>Alta</t>
        </is>
      </c>
      <c r="O19" s="5" t="inlineStr">
        <is>
          <t>Indicador sintético de saúde, educação e rendimento.</t>
        </is>
      </c>
      <c r="P19" s="5" t="inlineStr">
        <is>
          <t>Usa regra global definida em Metodologia_v4!B12:B14</t>
        </is>
      </c>
    </row>
    <row r="20">
      <c r="A20" s="5" t="inlineStr">
        <is>
          <t>HUM02</t>
        </is>
      </c>
      <c r="B20" s="5" t="inlineStr">
        <is>
          <t>3. Capital Humano</t>
        </is>
      </c>
      <c r="C20" s="5" t="inlineStr">
        <is>
          <t>Esperança de vida à nascença</t>
        </is>
      </c>
      <c r="D20" s="5" t="inlineStr">
        <is>
          <t>anos</t>
        </is>
      </c>
      <c r="E20" s="5" t="inlineStr">
        <is>
          <t>+</t>
        </is>
      </c>
      <c r="F20" s="5" t="n">
        <v>40</v>
      </c>
      <c r="G20" s="5" t="n">
        <v>85</v>
      </c>
      <c r="H20" s="5" t="n">
        <v>65</v>
      </c>
      <c r="I20" s="5" t="n">
        <v>1</v>
      </c>
      <c r="J20" s="5" t="n">
        <v>1</v>
      </c>
      <c r="K20" s="5" t="inlineStr">
        <is>
          <t>Banco Mundial/WDI</t>
        </is>
      </c>
      <c r="L20" s="5" t="inlineStr">
        <is>
          <t>SP.DYN.LE00.IN</t>
        </is>
      </c>
      <c r="M20" s="8" t="inlineStr">
        <is>
          <t>https://data.worldbank.org/indicator/SP.DYN.LE00.IN?locations=AO</t>
        </is>
      </c>
      <c r="N20" s="5" t="inlineStr">
        <is>
          <t>Alta</t>
        </is>
      </c>
      <c r="O20" s="5" t="inlineStr">
        <is>
          <t>Resultado central de saúde e bem-estar.</t>
        </is>
      </c>
      <c r="P20" s="5" t="inlineStr">
        <is>
          <t>Usa regra global definida em Metodologia_v4!B12:B14</t>
        </is>
      </c>
    </row>
    <row r="21">
      <c r="A21" s="5" t="inlineStr">
        <is>
          <t>HUM03</t>
        </is>
      </c>
      <c r="B21" s="5" t="inlineStr">
        <is>
          <t>3. Capital Humano</t>
        </is>
      </c>
      <c r="C21" s="5" t="inlineStr">
        <is>
          <t>Alfabetização adulta</t>
        </is>
      </c>
      <c r="D21" s="5" t="inlineStr">
        <is>
          <t>%</t>
        </is>
      </c>
      <c r="E21" s="5" t="inlineStr">
        <is>
          <t>+</t>
        </is>
      </c>
      <c r="F21" s="5" t="n">
        <v>0</v>
      </c>
      <c r="G21" s="5" t="n">
        <v>100</v>
      </c>
      <c r="H21" s="5" t="n">
        <v>75</v>
      </c>
      <c r="I21" s="5" t="n">
        <v>1</v>
      </c>
      <c r="J21" s="5" t="n">
        <v>1</v>
      </c>
      <c r="K21" s="5" t="inlineStr">
        <is>
          <t>Banco Mundial/UNESCO</t>
        </is>
      </c>
      <c r="L21" s="5" t="inlineStr">
        <is>
          <t>SE.ADT.LITR.ZS</t>
        </is>
      </c>
      <c r="M21" s="8" t="inlineStr">
        <is>
          <t>https://data.worldbank.org/indicator/SE.ADT.LITR.ZS?locations=AO</t>
        </is>
      </c>
      <c r="N21" s="5" t="inlineStr">
        <is>
          <t>Média</t>
        </is>
      </c>
      <c r="O21" s="5" t="inlineStr">
        <is>
          <t>Competência básica acumulada.</t>
        </is>
      </c>
      <c r="P21" s="5" t="inlineStr">
        <is>
          <t>Usa regra global definida em Metodologia_v4!B12:B14</t>
        </is>
      </c>
    </row>
    <row r="22">
      <c r="A22" s="5" t="inlineStr">
        <is>
          <t>HUM04</t>
        </is>
      </c>
      <c r="B22" s="5" t="inlineStr">
        <is>
          <t>3. Capital Humano</t>
        </is>
      </c>
      <c r="C22" s="5" t="inlineStr">
        <is>
          <t>Conclusão do ensino primário</t>
        </is>
      </c>
      <c r="D22" s="5" t="inlineStr">
        <is>
          <t>%</t>
        </is>
      </c>
      <c r="E22" s="5" t="inlineStr">
        <is>
          <t>+</t>
        </is>
      </c>
      <c r="F22" s="5" t="n">
        <v>0</v>
      </c>
      <c r="G22" s="5" t="n">
        <v>100</v>
      </c>
      <c r="H22" s="5" t="n">
        <v>90</v>
      </c>
      <c r="I22" s="5" t="n">
        <v>1</v>
      </c>
      <c r="J22" s="5" t="n">
        <v>1</v>
      </c>
      <c r="K22" s="5" t="inlineStr">
        <is>
          <t>Banco Mundial/UNESCO</t>
        </is>
      </c>
      <c r="L22" s="5" t="inlineStr">
        <is>
          <t>SE.PRM.CMPT.ZS</t>
        </is>
      </c>
      <c r="M22" s="8" t="inlineStr">
        <is>
          <t>https://data.worldbank.org/indicator/SE.PRM.CMPT.ZS?locations=AO</t>
        </is>
      </c>
      <c r="N22" s="5" t="inlineStr">
        <is>
          <t>Alta</t>
        </is>
      </c>
      <c r="O22" s="5" t="inlineStr">
        <is>
          <t>Resultado educacional mais robusto que matrícula simples.</t>
        </is>
      </c>
      <c r="P22" s="5" t="inlineStr">
        <is>
          <t>Usa regra global definida em Metodologia_v4!B12:B14</t>
        </is>
      </c>
    </row>
    <row r="23">
      <c r="A23" s="5" t="inlineStr">
        <is>
          <t>HUM05</t>
        </is>
      </c>
      <c r="B23" s="5" t="inlineStr">
        <is>
          <t>3. Capital Humano</t>
        </is>
      </c>
      <c r="C23" s="5" t="inlineStr">
        <is>
          <t>Matrícula no ensino secundário</t>
        </is>
      </c>
      <c r="D23" s="5" t="inlineStr">
        <is>
          <t>% bruto</t>
        </is>
      </c>
      <c r="E23" s="5" t="inlineStr">
        <is>
          <t>+</t>
        </is>
      </c>
      <c r="F23" s="5" t="n">
        <v>0</v>
      </c>
      <c r="G23" s="5" t="n">
        <v>150</v>
      </c>
      <c r="H23" s="5" t="n">
        <v>80</v>
      </c>
      <c r="I23" s="5" t="n">
        <v>1</v>
      </c>
      <c r="J23" s="5" t="n">
        <v>1</v>
      </c>
      <c r="K23" s="5" t="inlineStr">
        <is>
          <t>Banco Mundial/UNESCO</t>
        </is>
      </c>
      <c r="L23" s="5" t="inlineStr">
        <is>
          <t>SE.SEC.ENRR</t>
        </is>
      </c>
      <c r="M23" s="8" t="inlineStr">
        <is>
          <t>https://data.worldbank.org/indicator/SE.SEC.ENRR?locations=AO</t>
        </is>
      </c>
      <c r="N23" s="5" t="inlineStr">
        <is>
          <t>Alta</t>
        </is>
      </c>
      <c r="O23" s="5" t="inlineStr">
        <is>
          <t>Continuidade escolar pós-primária.</t>
        </is>
      </c>
      <c r="P23" s="5" t="inlineStr">
        <is>
          <t>Usa regra global definida em Metodologia_v4!B12:B14</t>
        </is>
      </c>
    </row>
    <row r="24">
      <c r="A24" s="5" t="inlineStr">
        <is>
          <t>HUM06</t>
        </is>
      </c>
      <c r="B24" s="5" t="inlineStr">
        <is>
          <t>3. Capital Humano</t>
        </is>
      </c>
      <c r="C24" s="5" t="inlineStr">
        <is>
          <t>Despesa pública em educação</t>
        </is>
      </c>
      <c r="D24" s="5" t="inlineStr">
        <is>
          <t>% PIB</t>
        </is>
      </c>
      <c r="E24" s="5" t="inlineStr">
        <is>
          <t>+</t>
        </is>
      </c>
      <c r="F24" s="5" t="n">
        <v>0</v>
      </c>
      <c r="G24" s="5" t="n">
        <v>10</v>
      </c>
      <c r="H24" s="5" t="n">
        <v>5</v>
      </c>
      <c r="I24" s="5" t="n">
        <v>1</v>
      </c>
      <c r="J24" s="5" t="n">
        <v>1</v>
      </c>
      <c r="K24" s="5" t="inlineStr">
        <is>
          <t>Banco Mundial/UNESCO</t>
        </is>
      </c>
      <c r="L24" s="5" t="inlineStr">
        <is>
          <t>SE.XPD.TOTL.GD.ZS</t>
        </is>
      </c>
      <c r="M24" s="8" t="inlineStr">
        <is>
          <t>https://data.worldbank.org/indicator/SE.XPD.TOTL.GD.ZS?locations=AO</t>
        </is>
      </c>
      <c r="N24" s="5" t="inlineStr">
        <is>
          <t>Média</t>
        </is>
      </c>
      <c r="O24" s="5" t="inlineStr">
        <is>
          <t>Esforço público em educação.</t>
        </is>
      </c>
      <c r="P24" s="5" t="inlineStr">
        <is>
          <t>Usa regra global definida em Metodologia_v4!B12:B14</t>
        </is>
      </c>
    </row>
    <row r="25">
      <c r="A25" s="5" t="inlineStr">
        <is>
          <t>HUM07</t>
        </is>
      </c>
      <c r="B25" s="5" t="inlineStr">
        <is>
          <t>3. Capital Humano</t>
        </is>
      </c>
      <c r="C25" s="5" t="inlineStr">
        <is>
          <t>Mortalidade infantil</t>
        </is>
      </c>
      <c r="D25" s="5" t="inlineStr">
        <is>
          <t>por 1000 nados-vivos</t>
        </is>
      </c>
      <c r="E25" s="5" t="inlineStr">
        <is>
          <t>-</t>
        </is>
      </c>
      <c r="F25" s="5" t="n">
        <v>0</v>
      </c>
      <c r="G25" s="5" t="n">
        <v>150</v>
      </c>
      <c r="H25" s="5" t="n">
        <v>40</v>
      </c>
      <c r="I25" s="5" t="n">
        <v>1</v>
      </c>
      <c r="J25" s="5" t="n">
        <v>1</v>
      </c>
      <c r="K25" s="5" t="inlineStr">
        <is>
          <t>Banco Mundial/WDI</t>
        </is>
      </c>
      <c r="L25" s="5" t="inlineStr">
        <is>
          <t>SP.DYN.IMRT.IN</t>
        </is>
      </c>
      <c r="M25" s="8" t="inlineStr">
        <is>
          <t>https://data.worldbank.org/indicator/SP.DYN.IMRT.IN?locations=AO</t>
        </is>
      </c>
      <c r="N25" s="5" t="inlineStr">
        <is>
          <t>Alta</t>
        </is>
      </c>
      <c r="O25" s="5" t="inlineStr">
        <is>
          <t>Resultado de saúde infantil.</t>
        </is>
      </c>
      <c r="P25" s="5" t="inlineStr">
        <is>
          <t>Usa regra global definida em Metodologia_v4!B12:B14</t>
        </is>
      </c>
    </row>
    <row r="26">
      <c r="A26" s="5" t="inlineStr">
        <is>
          <t>INC01</t>
        </is>
      </c>
      <c r="B26" s="5" t="inlineStr">
        <is>
          <t>4. Inclusão Social e Protecção</t>
        </is>
      </c>
      <c r="C26" s="5" t="inlineStr">
        <is>
          <t>Pobreza internacional</t>
        </is>
      </c>
      <c r="D26" s="5" t="inlineStr">
        <is>
          <t>% pop. abaixo de 3,00 USD/dia PPP 2021</t>
        </is>
      </c>
      <c r="E26" s="5" t="inlineStr">
        <is>
          <t>-</t>
        </is>
      </c>
      <c r="F26" s="5" t="n">
        <v>0</v>
      </c>
      <c r="G26" s="5" t="n">
        <v>90</v>
      </c>
      <c r="H26" s="5" t="n">
        <v>40</v>
      </c>
      <c r="I26" s="5" t="n">
        <v>1</v>
      </c>
      <c r="J26" s="5" t="n">
        <v>1</v>
      </c>
      <c r="K26" s="5" t="inlineStr">
        <is>
          <t>Banco Mundial/PIP</t>
        </is>
      </c>
      <c r="L26" s="5" t="inlineStr">
        <is>
          <t>SI.POV.DDAY</t>
        </is>
      </c>
      <c r="M26" s="8" t="inlineStr">
        <is>
          <t>https://data.worldbank.org/indicator/SI.POV.DDAY?locations=AO</t>
        </is>
      </c>
      <c r="N26" s="5" t="inlineStr">
        <is>
          <t>Alta</t>
        </is>
      </c>
      <c r="O26" s="5" t="inlineStr">
        <is>
          <t>Pobreza monetária internacional atualizada.</t>
        </is>
      </c>
      <c r="P26" s="5" t="inlineStr">
        <is>
          <t>Usa regra global definida em Metodologia_v4!B12:B14</t>
        </is>
      </c>
    </row>
    <row r="27">
      <c r="A27" s="5" t="inlineStr">
        <is>
          <t>INC02</t>
        </is>
      </c>
      <c r="B27" s="5" t="inlineStr">
        <is>
          <t>4. Inclusão Social e Protecção</t>
        </is>
      </c>
      <c r="C27" s="5" t="inlineStr">
        <is>
          <t>Índice de Gini</t>
        </is>
      </c>
      <c r="D27" s="5" t="inlineStr">
        <is>
          <t>0-100</t>
        </is>
      </c>
      <c r="E27" s="5" t="inlineStr">
        <is>
          <t>-</t>
        </is>
      </c>
      <c r="F27" s="5" t="n">
        <v>0</v>
      </c>
      <c r="G27" s="5" t="n">
        <v>70</v>
      </c>
      <c r="H27" s="5" t="n">
        <v>40</v>
      </c>
      <c r="I27" s="5" t="n">
        <v>1</v>
      </c>
      <c r="J27" s="5" t="n">
        <v>1</v>
      </c>
      <c r="K27" s="5" t="inlineStr">
        <is>
          <t>Banco Mundial/PIP</t>
        </is>
      </c>
      <c r="L27" s="5" t="inlineStr">
        <is>
          <t>SI.POV.GINI</t>
        </is>
      </c>
      <c r="M27" s="8" t="inlineStr">
        <is>
          <t>https://data.worldbank.org/indicator/SI.POV.GINI?locations=AO</t>
        </is>
      </c>
      <c r="N27" s="5" t="inlineStr">
        <is>
          <t>Alta</t>
        </is>
      </c>
      <c r="O27" s="5" t="inlineStr">
        <is>
          <t>Desigualdade de rendimento.</t>
        </is>
      </c>
      <c r="P27" s="5" t="inlineStr">
        <is>
          <t>Usa regra global definida em Metodologia_v4!B12:B14</t>
        </is>
      </c>
    </row>
    <row r="28">
      <c r="A28" s="5" t="inlineStr">
        <is>
          <t>INC03</t>
        </is>
      </c>
      <c r="B28" s="5" t="inlineStr">
        <is>
          <t>4. Inclusão Social e Protecção</t>
        </is>
      </c>
      <c r="C28" s="5" t="inlineStr">
        <is>
          <t>Rendimento dos 20% mais pobres</t>
        </is>
      </c>
      <c r="D28" s="5" t="inlineStr">
        <is>
          <t>% rendimento total</t>
        </is>
      </c>
      <c r="E28" s="5" t="inlineStr">
        <is>
          <t>+</t>
        </is>
      </c>
      <c r="F28" s="5" t="n">
        <v>0</v>
      </c>
      <c r="G28" s="5" t="n">
        <v>20</v>
      </c>
      <c r="H28" s="5" t="n">
        <v>7</v>
      </c>
      <c r="I28" s="5" t="n">
        <v>1</v>
      </c>
      <c r="J28" s="5" t="n">
        <v>1</v>
      </c>
      <c r="K28" s="5" t="inlineStr">
        <is>
          <t>Banco Mundial/PIP</t>
        </is>
      </c>
      <c r="L28" s="5" t="inlineStr">
        <is>
          <t>SI.DST.FRST.20</t>
        </is>
      </c>
      <c r="M28" s="8" t="inlineStr">
        <is>
          <t>https://data.worldbank.org/indicator/SI.DST.FRST.20?locations=AO</t>
        </is>
      </c>
      <c r="N28" s="5" t="inlineStr">
        <is>
          <t>Média</t>
        </is>
      </c>
      <c r="O28" s="5" t="inlineStr">
        <is>
          <t>Inclusão distributiva na base da distribuição.</t>
        </is>
      </c>
      <c r="P28" s="5" t="inlineStr">
        <is>
          <t>Usa regra global definida em Metodologia_v4!B12:B14</t>
        </is>
      </c>
    </row>
    <row r="29">
      <c r="A29" s="5" t="inlineStr">
        <is>
          <t>INC04</t>
        </is>
      </c>
      <c r="B29" s="5" t="inlineStr">
        <is>
          <t>4. Inclusão Social e Protecção</t>
        </is>
      </c>
      <c r="C29" s="5" t="inlineStr">
        <is>
          <t>Global Gender Gap Index</t>
        </is>
      </c>
      <c r="D29" s="5" t="inlineStr">
        <is>
          <t>0-1</t>
        </is>
      </c>
      <c r="E29" s="5" t="inlineStr">
        <is>
          <t>+</t>
        </is>
      </c>
      <c r="F29" s="5" t="n">
        <v>0</v>
      </c>
      <c r="G29" s="5" t="n">
        <v>1</v>
      </c>
      <c r="H29" s="5" t="n">
        <v>0.7</v>
      </c>
      <c r="I29" s="5" t="n">
        <v>1</v>
      </c>
      <c r="J29" s="5" t="n">
        <v>1</v>
      </c>
      <c r="K29" s="5" t="inlineStr">
        <is>
          <t>WEF / ficheiro base</t>
        </is>
      </c>
      <c r="L29" s="5" t="inlineStr"/>
      <c r="M29" s="8" t="inlineStr">
        <is>
          <t>https://www.weforum.org/publications/global-gender-gap-report-2025/</t>
        </is>
      </c>
      <c r="N29" s="5" t="inlineStr">
        <is>
          <t>Alta</t>
        </is>
      </c>
      <c r="O29" s="5" t="inlineStr">
        <is>
          <t>Medida internacional de igualdade de género.</t>
        </is>
      </c>
      <c r="P29" s="5" t="inlineStr">
        <is>
          <t>Usa regra global definida em Metodologia_v4!B12:B14</t>
        </is>
      </c>
    </row>
    <row r="30">
      <c r="A30" s="5" t="inlineStr">
        <is>
          <t>INC05</t>
        </is>
      </c>
      <c r="B30" s="5" t="inlineStr">
        <is>
          <t>4. Inclusão Social e Protecção</t>
        </is>
      </c>
      <c r="C30" s="5" t="inlineStr">
        <is>
          <t>Participação feminina na força de trabalho</t>
        </is>
      </c>
      <c r="D30" s="5" t="inlineStr">
        <is>
          <t>%</t>
        </is>
      </c>
      <c r="E30" s="5" t="inlineStr">
        <is>
          <t>+</t>
        </is>
      </c>
      <c r="F30" s="5" t="n">
        <v>0</v>
      </c>
      <c r="G30" s="5" t="n">
        <v>100</v>
      </c>
      <c r="H30" s="5" t="n">
        <v>65</v>
      </c>
      <c r="I30" s="5" t="n">
        <v>1</v>
      </c>
      <c r="J30" s="5" t="n">
        <v>1</v>
      </c>
      <c r="K30" s="5" t="inlineStr">
        <is>
          <t>Banco Mundial/OIT</t>
        </is>
      </c>
      <c r="L30" s="5" t="inlineStr">
        <is>
          <t>SL.TLF.CACT.FE.ZS</t>
        </is>
      </c>
      <c r="M30" s="8" t="inlineStr">
        <is>
          <t>https://data.worldbank.org/indicator/SL.TLF.CACT.FE.ZS?locations=AO</t>
        </is>
      </c>
      <c r="N30" s="5" t="inlineStr">
        <is>
          <t>Alta</t>
        </is>
      </c>
      <c r="O30" s="5" t="inlineStr">
        <is>
          <t>Inclusão económica das mulheres.</t>
        </is>
      </c>
      <c r="P30" s="5" t="inlineStr">
        <is>
          <t>Usa regra global definida em Metodologia_v4!B12:B14</t>
        </is>
      </c>
    </row>
    <row r="31">
      <c r="A31" s="5" t="inlineStr">
        <is>
          <t>INC06</t>
        </is>
      </c>
      <c r="B31" s="5" t="inlineStr">
        <is>
          <t>4. Inclusão Social e Protecção</t>
        </is>
      </c>
      <c r="C31" s="5" t="inlineStr">
        <is>
          <t>Mulheres no parlamento</t>
        </is>
      </c>
      <c r="D31" s="5" t="inlineStr">
        <is>
          <t>% lugares</t>
        </is>
      </c>
      <c r="E31" s="5" t="inlineStr">
        <is>
          <t>+</t>
        </is>
      </c>
      <c r="F31" s="5" t="n">
        <v>0</v>
      </c>
      <c r="G31" s="5" t="n">
        <v>60</v>
      </c>
      <c r="H31" s="5" t="n">
        <v>35</v>
      </c>
      <c r="I31" s="5" t="n">
        <v>1</v>
      </c>
      <c r="J31" s="5" t="n">
        <v>1</v>
      </c>
      <c r="K31" s="5" t="inlineStr">
        <is>
          <t>Banco Mundial/IPU</t>
        </is>
      </c>
      <c r="L31" s="5" t="inlineStr">
        <is>
          <t>SG.GEN.PARL.ZS</t>
        </is>
      </c>
      <c r="M31" s="8" t="inlineStr">
        <is>
          <t>https://data.worldbank.org/indicator/SG.GEN.PARL.ZS?locations=AO</t>
        </is>
      </c>
      <c r="N31" s="5" t="inlineStr">
        <is>
          <t>Média</t>
        </is>
      </c>
      <c r="O31" s="5" t="inlineStr">
        <is>
          <t>Inclusão política de género.</t>
        </is>
      </c>
      <c r="P31" s="5" t="inlineStr">
        <is>
          <t>Usa regra global definida em Metodologia_v4!B12:B14</t>
        </is>
      </c>
    </row>
    <row r="32">
      <c r="A32" s="5" t="inlineStr">
        <is>
          <t>INC07</t>
        </is>
      </c>
      <c r="B32" s="5" t="inlineStr">
        <is>
          <t>4. Inclusão Social e Protecção</t>
        </is>
      </c>
      <c r="C32" s="5" t="inlineStr">
        <is>
          <t>Jovens NEET</t>
        </is>
      </c>
      <c r="D32" s="5" t="inlineStr">
        <is>
          <t>% jovens</t>
        </is>
      </c>
      <c r="E32" s="5" t="inlineStr">
        <is>
          <t>-</t>
        </is>
      </c>
      <c r="F32" s="5" t="n">
        <v>0</v>
      </c>
      <c r="G32" s="5" t="n">
        <v>70</v>
      </c>
      <c r="H32" s="5" t="n">
        <v>30</v>
      </c>
      <c r="I32" s="5" t="n">
        <v>1</v>
      </c>
      <c r="J32" s="5" t="n">
        <v>1</v>
      </c>
      <c r="K32" s="5" t="inlineStr">
        <is>
          <t>Banco Mundial/OIT</t>
        </is>
      </c>
      <c r="L32" s="5" t="inlineStr">
        <is>
          <t>SL.UEM.NEET.ZS</t>
        </is>
      </c>
      <c r="M32" s="8" t="inlineStr">
        <is>
          <t>https://data.worldbank.org/indicator/SL.UEM.NEET.ZS?locations=AO</t>
        </is>
      </c>
      <c r="N32" s="5" t="inlineStr">
        <is>
          <t>Alta</t>
        </is>
      </c>
      <c r="O32" s="5" t="inlineStr">
        <is>
          <t>Jovens fora de educação, emprego e formação.</t>
        </is>
      </c>
      <c r="P32" s="5" t="inlineStr">
        <is>
          <t>Usa regra global definida em Metodologia_v4!B12:B14</t>
        </is>
      </c>
    </row>
    <row r="33">
      <c r="A33" s="5" t="inlineStr">
        <is>
          <t>INC08</t>
        </is>
      </c>
      <c r="B33" s="5" t="inlineStr">
        <is>
          <t>4. Inclusão Social e Protecção</t>
        </is>
      </c>
      <c r="C33" s="5" t="inlineStr">
        <is>
          <t>RNB per capita</t>
        </is>
      </c>
      <c r="D33" s="5" t="inlineStr">
        <is>
          <t>USD correntes</t>
        </is>
      </c>
      <c r="E33" s="5" t="inlineStr">
        <is>
          <t>+</t>
        </is>
      </c>
      <c r="F33" s="5" t="n">
        <v>500</v>
      </c>
      <c r="G33" s="5" t="n">
        <v>15000</v>
      </c>
      <c r="H33" s="5" t="n">
        <v>4500</v>
      </c>
      <c r="I33" s="5" t="n">
        <v>1</v>
      </c>
      <c r="J33" s="5" t="n">
        <v>1</v>
      </c>
      <c r="K33" s="5" t="inlineStr">
        <is>
          <t>Banco Mundial/WDI</t>
        </is>
      </c>
      <c r="L33" s="5" t="inlineStr">
        <is>
          <t>NY.GNP.PCAP.CD</t>
        </is>
      </c>
      <c r="M33" s="8" t="inlineStr">
        <is>
          <t>https://data.worldbank.org/indicator/NY.GNP.PCAP.CD?locations=AO</t>
        </is>
      </c>
      <c r="N33" s="5" t="inlineStr">
        <is>
          <t>Média</t>
        </is>
      </c>
      <c r="O33" s="5" t="inlineStr">
        <is>
          <t>Rendimento nacional médio, já presente na lógica original.</t>
        </is>
      </c>
      <c r="P33" s="5" t="inlineStr">
        <is>
          <t>Usa regra global definida em Metodologia_v4!B12:B14</t>
        </is>
      </c>
    </row>
    <row r="34">
      <c r="A34" s="5" t="inlineStr">
        <is>
          <t>INF01</t>
        </is>
      </c>
      <c r="B34" s="5" t="inlineStr">
        <is>
          <t>5. Infraestruturas e Serviços</t>
        </is>
      </c>
      <c r="C34" s="5" t="inlineStr">
        <is>
          <t>Acesso à eletricidade</t>
        </is>
      </c>
      <c r="D34" s="5" t="inlineStr">
        <is>
          <t>% população</t>
        </is>
      </c>
      <c r="E34" s="5" t="inlineStr">
        <is>
          <t>+</t>
        </is>
      </c>
      <c r="F34" s="5" t="n">
        <v>0</v>
      </c>
      <c r="G34" s="5" t="n">
        <v>100</v>
      </c>
      <c r="H34" s="5" t="n">
        <v>60</v>
      </c>
      <c r="I34" s="5" t="n">
        <v>1</v>
      </c>
      <c r="J34" s="5" t="n">
        <v>1</v>
      </c>
      <c r="K34" s="5" t="inlineStr">
        <is>
          <t>Banco Mundial/IEA</t>
        </is>
      </c>
      <c r="L34" s="5" t="inlineStr">
        <is>
          <t>EG.ELC.ACCS.ZS</t>
        </is>
      </c>
      <c r="M34" s="8" t="inlineStr">
        <is>
          <t>https://data.worldbank.org/indicator/EG.ELC.ACCS.ZS?locations=AO</t>
        </is>
      </c>
      <c r="N34" s="5" t="inlineStr">
        <is>
          <t>Alta</t>
        </is>
      </c>
      <c r="O34" s="5" t="inlineStr">
        <is>
          <t>Acesso básico a energia.</t>
        </is>
      </c>
      <c r="P34" s="5" t="inlineStr">
        <is>
          <t>Usa regra global definida em Metodologia_v4!B12:B14</t>
        </is>
      </c>
    </row>
    <row r="35">
      <c r="A35" s="5" t="inlineStr">
        <is>
          <t>INF02</t>
        </is>
      </c>
      <c r="B35" s="5" t="inlineStr">
        <is>
          <t>5. Infraestruturas e Serviços</t>
        </is>
      </c>
      <c r="C35" s="5" t="inlineStr">
        <is>
          <t>Perdas na rede elétrica</t>
        </is>
      </c>
      <c r="D35" s="5" t="inlineStr">
        <is>
          <t>% produção</t>
        </is>
      </c>
      <c r="E35" s="5" t="inlineStr">
        <is>
          <t>-</t>
        </is>
      </c>
      <c r="F35" s="5" t="n">
        <v>0</v>
      </c>
      <c r="G35" s="5" t="n">
        <v>60</v>
      </c>
      <c r="H35" s="5" t="n">
        <v>15</v>
      </c>
      <c r="I35" s="5" t="n">
        <v>1</v>
      </c>
      <c r="J35" s="5" t="n">
        <v>1</v>
      </c>
      <c r="K35" s="5" t="inlineStr">
        <is>
          <t>Banco Mundial/IEA</t>
        </is>
      </c>
      <c r="L35" s="5" t="inlineStr">
        <is>
          <t>EG.ELC.LOSS.ZS</t>
        </is>
      </c>
      <c r="M35" s="8" t="inlineStr">
        <is>
          <t>https://data.worldbank.org/indicator/EG.ELC.LOSS.ZS?locations=AO</t>
        </is>
      </c>
      <c r="N35" s="5" t="inlineStr">
        <is>
          <t>Média</t>
        </is>
      </c>
      <c r="O35" s="5" t="inlineStr">
        <is>
          <t>Qualidade e eficiência da rede elétrica.</t>
        </is>
      </c>
      <c r="P35" s="5" t="inlineStr">
        <is>
          <t>Usa regra global definida em Metodologia_v4!B12:B14</t>
        </is>
      </c>
    </row>
    <row r="36">
      <c r="A36" s="5" t="inlineStr">
        <is>
          <t>INF03</t>
        </is>
      </c>
      <c r="B36" s="5" t="inlineStr">
        <is>
          <t>5. Infraestruturas e Serviços</t>
        </is>
      </c>
      <c r="C36" s="5" t="inlineStr">
        <is>
          <t>Acesso a água potável básica</t>
        </is>
      </c>
      <c r="D36" s="5" t="inlineStr">
        <is>
          <t>% população</t>
        </is>
      </c>
      <c r="E36" s="5" t="inlineStr">
        <is>
          <t>+</t>
        </is>
      </c>
      <c r="F36" s="5" t="n">
        <v>0</v>
      </c>
      <c r="G36" s="5" t="n">
        <v>100</v>
      </c>
      <c r="H36" s="5" t="n">
        <v>70</v>
      </c>
      <c r="I36" s="5" t="n">
        <v>1</v>
      </c>
      <c r="J36" s="5" t="n">
        <v>1</v>
      </c>
      <c r="K36" s="5" t="inlineStr">
        <is>
          <t>Banco Mundial/JMP</t>
        </is>
      </c>
      <c r="L36" s="5" t="inlineStr">
        <is>
          <t>SH.H2O.BASW.ZS</t>
        </is>
      </c>
      <c r="M36" s="8" t="inlineStr">
        <is>
          <t>https://data.worldbank.org/indicator/SH.H2O.BASW.ZS?locations=AO</t>
        </is>
      </c>
      <c r="N36" s="5" t="inlineStr">
        <is>
          <t>Alta</t>
        </is>
      </c>
      <c r="O36" s="5" t="inlineStr">
        <is>
          <t>Serviço básico essencial.</t>
        </is>
      </c>
      <c r="P36" s="5" t="inlineStr">
        <is>
          <t>Usa regra global definida em Metodologia_v4!B12:B14</t>
        </is>
      </c>
    </row>
    <row r="37">
      <c r="A37" s="5" t="inlineStr">
        <is>
          <t>INF04</t>
        </is>
      </c>
      <c r="B37" s="5" t="inlineStr">
        <is>
          <t>5. Infraestruturas e Serviços</t>
        </is>
      </c>
      <c r="C37" s="5" t="inlineStr">
        <is>
          <t>Acesso a saneamento básico</t>
        </is>
      </c>
      <c r="D37" s="5" t="inlineStr">
        <is>
          <t>% população</t>
        </is>
      </c>
      <c r="E37" s="5" t="inlineStr">
        <is>
          <t>+</t>
        </is>
      </c>
      <c r="F37" s="5" t="n">
        <v>0</v>
      </c>
      <c r="G37" s="5" t="n">
        <v>100</v>
      </c>
      <c r="H37" s="5" t="n">
        <v>60</v>
      </c>
      <c r="I37" s="5" t="n">
        <v>1</v>
      </c>
      <c r="J37" s="5" t="n">
        <v>1</v>
      </c>
      <c r="K37" s="5" t="inlineStr">
        <is>
          <t>Banco Mundial/JMP</t>
        </is>
      </c>
      <c r="L37" s="5" t="inlineStr">
        <is>
          <t>SH.STA.BASS.ZS</t>
        </is>
      </c>
      <c r="M37" s="8" t="inlineStr">
        <is>
          <t>https://data.worldbank.org/indicator/SH.STA.BASS.ZS?locations=AO</t>
        </is>
      </c>
      <c r="N37" s="5" t="inlineStr">
        <is>
          <t>Alta</t>
        </is>
      </c>
      <c r="O37" s="5" t="inlineStr">
        <is>
          <t>Serviço básico com impacto em saúde.</t>
        </is>
      </c>
      <c r="P37" s="5" t="inlineStr">
        <is>
          <t>Usa regra global definida em Metodologia_v4!B12:B14</t>
        </is>
      </c>
    </row>
    <row r="38">
      <c r="A38" s="5" t="inlineStr">
        <is>
          <t>INF05</t>
        </is>
      </c>
      <c r="B38" s="5" t="inlineStr">
        <is>
          <t>5. Infraestruturas e Serviços</t>
        </is>
      </c>
      <c r="C38" s="5" t="inlineStr">
        <is>
          <t>Acesso a energia limpa para cozinhar</t>
        </is>
      </c>
      <c r="D38" s="5" t="inlineStr">
        <is>
          <t>% população</t>
        </is>
      </c>
      <c r="E38" s="5" t="inlineStr">
        <is>
          <t>+</t>
        </is>
      </c>
      <c r="F38" s="5" t="n">
        <v>0</v>
      </c>
      <c r="G38" s="5" t="n">
        <v>100</v>
      </c>
      <c r="H38" s="5" t="n">
        <v>35</v>
      </c>
      <c r="I38" s="5" t="n">
        <v>1</v>
      </c>
      <c r="J38" s="5" t="n">
        <v>1</v>
      </c>
      <c r="K38" s="5" t="inlineStr">
        <is>
          <t>Banco Mundial/OMS</t>
        </is>
      </c>
      <c r="L38" s="5" t="inlineStr">
        <is>
          <t>EG.CFT.ACCS.ZS</t>
        </is>
      </c>
      <c r="M38" s="8" t="inlineStr">
        <is>
          <t>https://data.worldbank.org/indicator/EG.CFT.ACCS.ZS?locations=AO</t>
        </is>
      </c>
      <c r="N38" s="5" t="inlineStr">
        <is>
          <t>Alta</t>
        </is>
      </c>
      <c r="O38" s="5" t="inlineStr">
        <is>
          <t>Infraestrutura doméstica com impacto em saúde e ambiente.</t>
        </is>
      </c>
      <c r="P38" s="5" t="inlineStr">
        <is>
          <t>Usa regra global definida em Metodologia_v4!B12:B14</t>
        </is>
      </c>
    </row>
    <row r="39">
      <c r="A39" s="5" t="inlineStr">
        <is>
          <t>INF06</t>
        </is>
      </c>
      <c r="B39" s="5" t="inlineStr">
        <is>
          <t>5. Infraestruturas e Serviços</t>
        </is>
      </c>
      <c r="C39" s="5" t="inlineStr">
        <is>
          <t>Utilizadores de internet</t>
        </is>
      </c>
      <c r="D39" s="5" t="inlineStr">
        <is>
          <t>% população</t>
        </is>
      </c>
      <c r="E39" s="5" t="inlineStr">
        <is>
          <t>+</t>
        </is>
      </c>
      <c r="F39" s="5" t="n">
        <v>0</v>
      </c>
      <c r="G39" s="5" t="n">
        <v>100</v>
      </c>
      <c r="H39" s="5" t="n">
        <v>40</v>
      </c>
      <c r="I39" s="5" t="n">
        <v>1</v>
      </c>
      <c r="J39" s="5" t="n">
        <v>1</v>
      </c>
      <c r="K39" s="5" t="inlineStr">
        <is>
          <t>Banco Mundial/ITU</t>
        </is>
      </c>
      <c r="L39" s="5" t="inlineStr">
        <is>
          <t>IT.NET.USER.ZS</t>
        </is>
      </c>
      <c r="M39" s="8" t="inlineStr">
        <is>
          <t>https://data.worldbank.org/indicator/IT.NET.USER.ZS?locations=AO</t>
        </is>
      </c>
      <c r="N39" s="5" t="inlineStr">
        <is>
          <t>Alta</t>
        </is>
      </c>
      <c r="O39" s="5" t="inlineStr">
        <is>
          <t>Acesso digital efetivo.</t>
        </is>
      </c>
      <c r="P39" s="5" t="inlineStr">
        <is>
          <t>Usa regra global definida em Metodologia_v4!B12:B14</t>
        </is>
      </c>
    </row>
    <row r="40">
      <c r="A40" s="5" t="inlineStr">
        <is>
          <t>INF07</t>
        </is>
      </c>
      <c r="B40" s="5" t="inlineStr">
        <is>
          <t>5. Infraestruturas e Serviços</t>
        </is>
      </c>
      <c r="C40" s="5" t="inlineStr">
        <is>
          <t>Subscrições móveis</t>
        </is>
      </c>
      <c r="D40" s="5" t="inlineStr">
        <is>
          <t>por 100 habitantes</t>
        </is>
      </c>
      <c r="E40" s="5" t="inlineStr">
        <is>
          <t>+</t>
        </is>
      </c>
      <c r="F40" s="5" t="n">
        <v>0</v>
      </c>
      <c r="G40" s="5" t="n">
        <v>160</v>
      </c>
      <c r="H40" s="5" t="n">
        <v>100</v>
      </c>
      <c r="I40" s="5" t="n">
        <v>1</v>
      </c>
      <c r="J40" s="5" t="n">
        <v>1</v>
      </c>
      <c r="K40" s="5" t="inlineStr">
        <is>
          <t>Banco Mundial/ITU</t>
        </is>
      </c>
      <c r="L40" s="5" t="inlineStr">
        <is>
          <t>IT.CEL.SETS.P2</t>
        </is>
      </c>
      <c r="M40" s="8" t="inlineStr">
        <is>
          <t>https://data.worldbank.org/indicator/IT.CEL.SETS.P2?locations=AO</t>
        </is>
      </c>
      <c r="N40" s="5" t="inlineStr">
        <is>
          <t>Alta</t>
        </is>
      </c>
      <c r="O40" s="5" t="inlineStr">
        <is>
          <t>Infraestrutura e penetração móvel.</t>
        </is>
      </c>
      <c r="P40" s="5" t="inlineStr">
        <is>
          <t>Usa regra global definida em Metodologia_v4!B12:B14</t>
        </is>
      </c>
    </row>
    <row r="41">
      <c r="A41" s="5" t="inlineStr">
        <is>
          <t>INF08</t>
        </is>
      </c>
      <c r="B41" s="5" t="inlineStr">
        <is>
          <t>5. Infraestruturas e Serviços</t>
        </is>
      </c>
      <c r="C41" s="5" t="inlineStr">
        <is>
          <t>Banda larga fixa</t>
        </is>
      </c>
      <c r="D41" s="5" t="inlineStr">
        <is>
          <t>por 100 habitantes</t>
        </is>
      </c>
      <c r="E41" s="5" t="inlineStr">
        <is>
          <t>+</t>
        </is>
      </c>
      <c r="F41" s="5" t="n">
        <v>0</v>
      </c>
      <c r="G41" s="5" t="n">
        <v>50</v>
      </c>
      <c r="H41" s="5" t="n">
        <v>8</v>
      </c>
      <c r="I41" s="5" t="n">
        <v>1</v>
      </c>
      <c r="J41" s="5" t="n">
        <v>1</v>
      </c>
      <c r="K41" s="5" t="inlineStr">
        <is>
          <t>Banco Mundial/ITU</t>
        </is>
      </c>
      <c r="L41" s="5" t="inlineStr">
        <is>
          <t>IT.NET.BBND.P2</t>
        </is>
      </c>
      <c r="M41" s="8" t="inlineStr">
        <is>
          <t>https://data.worldbank.org/indicator/IT.NET.BBND.P2?locations=AO</t>
        </is>
      </c>
      <c r="N41" s="5" t="inlineStr">
        <is>
          <t>Média</t>
        </is>
      </c>
      <c r="O41" s="5" t="inlineStr">
        <is>
          <t>Infraestrutura digital fixa.</t>
        </is>
      </c>
      <c r="P41" s="5" t="inlineStr">
        <is>
          <t>Usa regra global definida em Metodologia_v4!B12:B14</t>
        </is>
      </c>
    </row>
    <row r="42">
      <c r="A42" s="5" t="inlineStr">
        <is>
          <t>INF09</t>
        </is>
      </c>
      <c r="B42" s="5" t="inlineStr">
        <is>
          <t>5. Infraestruturas e Serviços</t>
        </is>
      </c>
      <c r="C42" s="5" t="inlineStr">
        <is>
          <t>Densidade rodoviária</t>
        </is>
      </c>
      <c r="D42" s="5" t="inlineStr">
        <is>
          <t>km/1000 km2</t>
        </is>
      </c>
      <c r="E42" s="5" t="inlineStr">
        <is>
          <t>+</t>
        </is>
      </c>
      <c r="F42" s="5" t="n">
        <v>0</v>
      </c>
      <c r="G42" s="5" t="n">
        <v>100</v>
      </c>
      <c r="H42" s="5" t="n">
        <v>30</v>
      </c>
      <c r="I42" s="5" t="n">
        <v>1</v>
      </c>
      <c r="J42" s="5" t="n">
        <v>1</v>
      </c>
      <c r="K42" s="5" t="inlineStr">
        <is>
          <t>MINTRANS / ficheiro base</t>
        </is>
      </c>
      <c r="L42" s="5" t="inlineStr"/>
      <c r="M42" s="5" t="inlineStr"/>
      <c r="N42" s="5" t="inlineStr">
        <is>
          <t>Média</t>
        </is>
      </c>
      <c r="O42" s="5" t="inlineStr">
        <is>
          <t>Conectividade física territorial.</t>
        </is>
      </c>
      <c r="P42" s="5" t="inlineStr">
        <is>
          <t>Usa regra global definida em Metodologia_v4!B12:B14</t>
        </is>
      </c>
    </row>
    <row r="43">
      <c r="A43" s="5" t="inlineStr">
        <is>
          <t>LAB01</t>
        </is>
      </c>
      <c r="B43" s="5" t="inlineStr">
        <is>
          <t>6. Mercado de Trabalho</t>
        </is>
      </c>
      <c r="C43" s="5" t="inlineStr">
        <is>
          <t>Taxa de emprego</t>
        </is>
      </c>
      <c r="D43" s="5" t="inlineStr">
        <is>
          <t>%</t>
        </is>
      </c>
      <c r="E43" s="5" t="inlineStr">
        <is>
          <t>+</t>
        </is>
      </c>
      <c r="F43" s="5" t="n">
        <v>0</v>
      </c>
      <c r="G43" s="5" t="n">
        <v>100</v>
      </c>
      <c r="H43" s="5" t="n">
        <v>65</v>
      </c>
      <c r="I43" s="5" t="n">
        <v>1</v>
      </c>
      <c r="J43" s="5" t="n">
        <v>1</v>
      </c>
      <c r="K43" s="5" t="inlineStr">
        <is>
          <t>Banco Mundial/OIT</t>
        </is>
      </c>
      <c r="L43" s="5" t="inlineStr">
        <is>
          <t>SL.EMP.TOTL.SP.ZS</t>
        </is>
      </c>
      <c r="M43" s="8" t="inlineStr">
        <is>
          <t>https://data.worldbank.org/indicator/SL.EMP.TOTL.SP.ZS?locations=AO</t>
        </is>
      </c>
      <c r="N43" s="5" t="inlineStr">
        <is>
          <t>Alta</t>
        </is>
      </c>
      <c r="O43" s="5" t="inlineStr">
        <is>
          <t>Emprego face à população em idade ativa.</t>
        </is>
      </c>
      <c r="P43" s="5" t="inlineStr">
        <is>
          <t>Usa regra global definida em Metodologia_v4!B12:B14</t>
        </is>
      </c>
    </row>
    <row r="44">
      <c r="A44" s="5" t="inlineStr">
        <is>
          <t>LAB02</t>
        </is>
      </c>
      <c r="B44" s="5" t="inlineStr">
        <is>
          <t>6. Mercado de Trabalho</t>
        </is>
      </c>
      <c r="C44" s="5" t="inlineStr">
        <is>
          <t>Taxa de desemprego</t>
        </is>
      </c>
      <c r="D44" s="5" t="inlineStr">
        <is>
          <t>%</t>
        </is>
      </c>
      <c r="E44" s="5" t="inlineStr">
        <is>
          <t>-</t>
        </is>
      </c>
      <c r="F44" s="5" t="n">
        <v>0</v>
      </c>
      <c r="G44" s="5" t="n">
        <v>50</v>
      </c>
      <c r="H44" s="5" t="n">
        <v>20</v>
      </c>
      <c r="I44" s="5" t="n">
        <v>1</v>
      </c>
      <c r="J44" s="5" t="n">
        <v>1</v>
      </c>
      <c r="K44" s="5" t="inlineStr">
        <is>
          <t>Banco Mundial/OIT</t>
        </is>
      </c>
      <c r="L44" s="5" t="inlineStr">
        <is>
          <t>SL.UEM.TOTL.ZS</t>
        </is>
      </c>
      <c r="M44" s="8" t="inlineStr">
        <is>
          <t>https://data.worldbank.org/indicator/SL.UEM.TOTL.ZS?locations=AO</t>
        </is>
      </c>
      <c r="N44" s="5" t="inlineStr">
        <is>
          <t>Alta</t>
        </is>
      </c>
      <c r="O44" s="5" t="inlineStr">
        <is>
          <t>Subutilização laboral aberta.</t>
        </is>
      </c>
      <c r="P44" s="5" t="inlineStr">
        <is>
          <t>Usa regra global definida em Metodologia_v4!B12:B14</t>
        </is>
      </c>
    </row>
    <row r="45">
      <c r="A45" s="5" t="inlineStr">
        <is>
          <t>LAB03</t>
        </is>
      </c>
      <c r="B45" s="5" t="inlineStr">
        <is>
          <t>6. Mercado de Trabalho</t>
        </is>
      </c>
      <c r="C45" s="5" t="inlineStr">
        <is>
          <t>Desemprego juvenil</t>
        </is>
      </c>
      <c r="D45" s="5" t="inlineStr">
        <is>
          <t>%</t>
        </is>
      </c>
      <c r="E45" s="5" t="inlineStr">
        <is>
          <t>-</t>
        </is>
      </c>
      <c r="F45" s="5" t="n">
        <v>0</v>
      </c>
      <c r="G45" s="5" t="n">
        <v>70</v>
      </c>
      <c r="H45" s="5" t="n">
        <v>30</v>
      </c>
      <c r="I45" s="5" t="n">
        <v>1</v>
      </c>
      <c r="J45" s="5" t="n">
        <v>1</v>
      </c>
      <c r="K45" s="5" t="inlineStr">
        <is>
          <t>Banco Mundial/OIT</t>
        </is>
      </c>
      <c r="L45" s="5" t="inlineStr">
        <is>
          <t>SL.UEM.1524.ZS</t>
        </is>
      </c>
      <c r="M45" s="8" t="inlineStr">
        <is>
          <t>https://data.worldbank.org/indicator/SL.UEM.1524.ZS?locations=AO</t>
        </is>
      </c>
      <c r="N45" s="5" t="inlineStr">
        <is>
          <t>Alta</t>
        </is>
      </c>
      <c r="O45" s="5" t="inlineStr">
        <is>
          <t>Risco laboral dos jovens.</t>
        </is>
      </c>
      <c r="P45" s="5" t="inlineStr">
        <is>
          <t>Usa regra global definida em Metodologia_v4!B12:B14</t>
        </is>
      </c>
    </row>
    <row r="46">
      <c r="A46" s="5" t="inlineStr">
        <is>
          <t>LAB04</t>
        </is>
      </c>
      <c r="B46" s="5" t="inlineStr">
        <is>
          <t>6. Mercado de Trabalho</t>
        </is>
      </c>
      <c r="C46" s="5" t="inlineStr">
        <is>
          <t>Participação na força de trabalho</t>
        </is>
      </c>
      <c r="D46" s="5" t="inlineStr">
        <is>
          <t>%</t>
        </is>
      </c>
      <c r="E46" s="5" t="inlineStr">
        <is>
          <t>+</t>
        </is>
      </c>
      <c r="F46" s="5" t="n">
        <v>0</v>
      </c>
      <c r="G46" s="5" t="n">
        <v>100</v>
      </c>
      <c r="H46" s="5" t="n">
        <v>70</v>
      </c>
      <c r="I46" s="5" t="n">
        <v>1</v>
      </c>
      <c r="J46" s="5" t="n">
        <v>1</v>
      </c>
      <c r="K46" s="5" t="inlineStr">
        <is>
          <t>Banco Mundial/OIT</t>
        </is>
      </c>
      <c r="L46" s="5" t="inlineStr">
        <is>
          <t>SL.TLF.CACT.ZS</t>
        </is>
      </c>
      <c r="M46" s="8" t="inlineStr">
        <is>
          <t>https://data.worldbank.org/indicator/SL.TLF.CACT.ZS?locations=AO</t>
        </is>
      </c>
      <c r="N46" s="5" t="inlineStr">
        <is>
          <t>Alta</t>
        </is>
      </c>
      <c r="O46" s="5" t="inlineStr">
        <is>
          <t>Oferta laboral ativa.</t>
        </is>
      </c>
      <c r="P46" s="5" t="inlineStr">
        <is>
          <t>Usa regra global definida em Metodologia_v4!B12:B14</t>
        </is>
      </c>
    </row>
    <row r="47">
      <c r="A47" s="5" t="inlineStr">
        <is>
          <t>LAB05</t>
        </is>
      </c>
      <c r="B47" s="5" t="inlineStr">
        <is>
          <t>6. Mercado de Trabalho</t>
        </is>
      </c>
      <c r="C47" s="5" t="inlineStr">
        <is>
          <t>Emprego vulnerável</t>
        </is>
      </c>
      <c r="D47" s="5" t="inlineStr">
        <is>
          <t>% emprego total</t>
        </is>
      </c>
      <c r="E47" s="5" t="inlineStr">
        <is>
          <t>-</t>
        </is>
      </c>
      <c r="F47" s="5" t="n">
        <v>0</v>
      </c>
      <c r="G47" s="5" t="n">
        <v>100</v>
      </c>
      <c r="H47" s="5" t="n">
        <v>50</v>
      </c>
      <c r="I47" s="5" t="n">
        <v>1</v>
      </c>
      <c r="J47" s="5" t="n">
        <v>1</v>
      </c>
      <c r="K47" s="5" t="inlineStr">
        <is>
          <t>Banco Mundial/OIT</t>
        </is>
      </c>
      <c r="L47" s="5" t="inlineStr">
        <is>
          <t>SL.EMP.VULN.ZS</t>
        </is>
      </c>
      <c r="M47" s="8" t="inlineStr">
        <is>
          <t>https://data.worldbank.org/indicator/SL.EMP.VULN.ZS?locations=AO</t>
        </is>
      </c>
      <c r="N47" s="5" t="inlineStr">
        <is>
          <t>Alta</t>
        </is>
      </c>
      <c r="O47" s="5" t="inlineStr">
        <is>
          <t>Qualidade e precariedade do emprego.</t>
        </is>
      </c>
      <c r="P47" s="5" t="inlineStr">
        <is>
          <t>Usa regra global definida em Metodologia_v4!B12:B14</t>
        </is>
      </c>
    </row>
    <row r="48">
      <c r="A48" s="5" t="inlineStr">
        <is>
          <t>LAB06</t>
        </is>
      </c>
      <c r="B48" s="5" t="inlineStr">
        <is>
          <t>6. Mercado de Trabalho</t>
        </is>
      </c>
      <c r="C48" s="5" t="inlineStr">
        <is>
          <t>Trabalhadores assalariados</t>
        </is>
      </c>
      <c r="D48" s="5" t="inlineStr">
        <is>
          <t>% emprego total</t>
        </is>
      </c>
      <c r="E48" s="5" t="inlineStr">
        <is>
          <t>+</t>
        </is>
      </c>
      <c r="F48" s="5" t="n">
        <v>0</v>
      </c>
      <c r="G48" s="5" t="n">
        <v>100</v>
      </c>
      <c r="H48" s="5" t="n">
        <v>50</v>
      </c>
      <c r="I48" s="5" t="n">
        <v>1</v>
      </c>
      <c r="J48" s="5" t="n">
        <v>1</v>
      </c>
      <c r="K48" s="5" t="inlineStr">
        <is>
          <t>Banco Mundial/OIT</t>
        </is>
      </c>
      <c r="L48" s="5" t="inlineStr">
        <is>
          <t>SL.EMP.WORK.ZS</t>
        </is>
      </c>
      <c r="M48" s="8" t="inlineStr">
        <is>
          <t>https://data.worldbank.org/indicator/SL.EMP.WORK.ZS?locations=AO</t>
        </is>
      </c>
      <c r="N48" s="5" t="inlineStr">
        <is>
          <t>Alta</t>
        </is>
      </c>
      <c r="O48" s="5" t="inlineStr">
        <is>
          <t>Proxy de emprego mais formal e protegido.</t>
        </is>
      </c>
      <c r="P48" s="5" t="inlineStr">
        <is>
          <t>Usa regra global definida em Metodologia_v4!B12:B14</t>
        </is>
      </c>
    </row>
    <row r="49">
      <c r="A49" s="5" t="inlineStr">
        <is>
          <t>LAB07</t>
        </is>
      </c>
      <c r="B49" s="5" t="inlineStr">
        <is>
          <t>6. Mercado de Trabalho</t>
        </is>
      </c>
      <c r="C49" s="5" t="inlineStr">
        <is>
          <t>PIB por pessoa empregada</t>
        </is>
      </c>
      <c r="D49" s="5" t="inlineStr">
        <is>
          <t>USD PPP constantes</t>
        </is>
      </c>
      <c r="E49" s="5" t="inlineStr">
        <is>
          <t>+</t>
        </is>
      </c>
      <c r="F49" s="5" t="n">
        <v>1000</v>
      </c>
      <c r="G49" s="5" t="n">
        <v>50000</v>
      </c>
      <c r="H49" s="5" t="n">
        <v>12000</v>
      </c>
      <c r="I49" s="5" t="n">
        <v>1</v>
      </c>
      <c r="J49" s="5" t="n">
        <v>1</v>
      </c>
      <c r="K49" s="5" t="inlineStr">
        <is>
          <t>Banco Mundial/OIT</t>
        </is>
      </c>
      <c r="L49" s="5" t="inlineStr">
        <is>
          <t>SL.GDP.PCAP.EM.KD</t>
        </is>
      </c>
      <c r="M49" s="8" t="inlineStr">
        <is>
          <t>https://data.worldbank.org/indicator/SL.GDP.PCAP.EM.KD?locations=AO</t>
        </is>
      </c>
      <c r="N49" s="5" t="inlineStr">
        <is>
          <t>Alta</t>
        </is>
      </c>
      <c r="O49" s="5" t="inlineStr">
        <is>
          <t>Nível de produtividade laboral.</t>
        </is>
      </c>
      <c r="P49" s="5" t="inlineStr">
        <is>
          <t>Usa regra global definida em Metodologia_v4!B12:B14</t>
        </is>
      </c>
    </row>
    <row r="50">
      <c r="A50" s="5" t="inlineStr">
        <is>
          <t>LAB08</t>
        </is>
      </c>
      <c r="B50" s="5" t="inlineStr">
        <is>
          <t>6. Mercado de Trabalho</t>
        </is>
      </c>
      <c r="C50" s="5" t="inlineStr">
        <is>
          <t>Emprego informal</t>
        </is>
      </c>
      <c r="D50" s="5" t="inlineStr">
        <is>
          <t>% emprego</t>
        </is>
      </c>
      <c r="E50" s="5" t="inlineStr">
        <is>
          <t>-</t>
        </is>
      </c>
      <c r="F50" s="5" t="n">
        <v>0</v>
      </c>
      <c r="G50" s="5" t="n">
        <v>100</v>
      </c>
      <c r="H50" s="5" t="n">
        <v>50</v>
      </c>
      <c r="I50" s="5" t="n">
        <v>1</v>
      </c>
      <c r="J50" s="5" t="n">
        <v>1</v>
      </c>
      <c r="K50" s="5" t="inlineStr">
        <is>
          <t>INE / ficheiro base</t>
        </is>
      </c>
      <c r="L50" s="5" t="inlineStr"/>
      <c r="M50" s="5" t="inlineStr"/>
      <c r="N50" s="5" t="inlineStr">
        <is>
          <t>Alta</t>
        </is>
      </c>
      <c r="O50" s="5" t="inlineStr">
        <is>
          <t>Qualidade institucional do mercado de trabalho.</t>
        </is>
      </c>
      <c r="P50" s="5" t="inlineStr">
        <is>
          <t>Usa regra global definida em Metodologia_v4!B12:B14</t>
        </is>
      </c>
    </row>
    <row r="51">
      <c r="A51" s="5" t="inlineStr">
        <is>
          <t>LAB09</t>
        </is>
      </c>
      <c r="B51" s="5" t="inlineStr">
        <is>
          <t>6. Mercado de Trabalho</t>
        </is>
      </c>
      <c r="C51" s="5" t="inlineStr">
        <is>
          <t>Taxa de formalização</t>
        </is>
      </c>
      <c r="D51" s="5" t="inlineStr">
        <is>
          <t>%</t>
        </is>
      </c>
      <c r="E51" s="5" t="inlineStr">
        <is>
          <t>+</t>
        </is>
      </c>
      <c r="F51" s="5" t="n">
        <v>0</v>
      </c>
      <c r="G51" s="5" t="n">
        <v>100</v>
      </c>
      <c r="H51" s="5" t="n">
        <v>40</v>
      </c>
      <c r="I51" s="5" t="n">
        <v>1</v>
      </c>
      <c r="J51" s="5" t="n">
        <v>1</v>
      </c>
      <c r="K51" s="5" t="inlineStr">
        <is>
          <t>INSS / ficheiro base</t>
        </is>
      </c>
      <c r="L51" s="5" t="inlineStr"/>
      <c r="M51" s="5" t="inlineStr"/>
      <c r="N51" s="5" t="inlineStr">
        <is>
          <t>Média</t>
        </is>
      </c>
      <c r="O51" s="5" t="inlineStr">
        <is>
          <t>Cobertura formal e contributiva.</t>
        </is>
      </c>
      <c r="P51" s="5" t="inlineStr">
        <is>
          <t>Usa regra global definida em Metodologia_v4!B12:B14</t>
        </is>
      </c>
    </row>
    <row r="52">
      <c r="A52" s="5" t="inlineStr">
        <is>
          <t>SAU01</t>
        </is>
      </c>
      <c r="B52" s="5" t="inlineStr">
        <is>
          <t>7. Segurança Alimentar e Saúde</t>
        </is>
      </c>
      <c r="C52" s="5" t="inlineStr">
        <is>
          <t>Prevalência de subalimentação</t>
        </is>
      </c>
      <c r="D52" s="5" t="inlineStr">
        <is>
          <t>% população</t>
        </is>
      </c>
      <c r="E52" s="5" t="inlineStr">
        <is>
          <t>-</t>
        </is>
      </c>
      <c r="F52" s="5" t="n">
        <v>0</v>
      </c>
      <c r="G52" s="5" t="n">
        <v>60</v>
      </c>
      <c r="H52" s="5" t="n">
        <v>20</v>
      </c>
      <c r="I52" s="5" t="n">
        <v>1</v>
      </c>
      <c r="J52" s="5" t="n">
        <v>1</v>
      </c>
      <c r="K52" s="5" t="inlineStr">
        <is>
          <t>Banco Mundial/FAO</t>
        </is>
      </c>
      <c r="L52" s="5" t="inlineStr">
        <is>
          <t>SN.ITK.DEFC.ZS</t>
        </is>
      </c>
      <c r="M52" s="8" t="inlineStr">
        <is>
          <t>https://data.worldbank.org/indicator/SN.ITK.DEFC.ZS?locations=AO</t>
        </is>
      </c>
      <c r="N52" s="5" t="inlineStr">
        <is>
          <t>Alta</t>
        </is>
      </c>
      <c r="O52" s="5" t="inlineStr">
        <is>
          <t>Privação alimentar estrutural.</t>
        </is>
      </c>
      <c r="P52" s="5" t="inlineStr">
        <is>
          <t>Usa regra global definida em Metodologia_v4!B12:B14</t>
        </is>
      </c>
    </row>
    <row r="53">
      <c r="A53" s="5" t="inlineStr">
        <is>
          <t>SAU02</t>
        </is>
      </c>
      <c r="B53" s="5" t="inlineStr">
        <is>
          <t>7. Segurança Alimentar e Saúde</t>
        </is>
      </c>
      <c r="C53" s="5" t="inlineStr">
        <is>
          <t>Insegurança alimentar moderada ou severa</t>
        </is>
      </c>
      <c r="D53" s="5" t="inlineStr">
        <is>
          <t>% população</t>
        </is>
      </c>
      <c r="E53" s="5" t="inlineStr">
        <is>
          <t>-</t>
        </is>
      </c>
      <c r="F53" s="5" t="n">
        <v>0</v>
      </c>
      <c r="G53" s="5" t="n">
        <v>100</v>
      </c>
      <c r="H53" s="5" t="n">
        <v>45</v>
      </c>
      <c r="I53" s="5" t="n">
        <v>1</v>
      </c>
      <c r="J53" s="5" t="n">
        <v>1</v>
      </c>
      <c r="K53" s="5" t="inlineStr">
        <is>
          <t>Banco Mundial/FAO</t>
        </is>
      </c>
      <c r="L53" s="5" t="inlineStr">
        <is>
          <t>SN.ITK.MSFI.ZS</t>
        </is>
      </c>
      <c r="M53" s="8" t="inlineStr">
        <is>
          <t>https://data.worldbank.org/indicator/SN.ITK.MSFI.ZS?locations=AO</t>
        </is>
      </c>
      <c r="N53" s="5" t="inlineStr">
        <is>
          <t>Alta</t>
        </is>
      </c>
      <c r="O53" s="5" t="inlineStr">
        <is>
          <t>Acesso alimentar insuficiente.</t>
        </is>
      </c>
      <c r="P53" s="5" t="inlineStr">
        <is>
          <t>Usa regra global definida em Metodologia_v4!B12:B14</t>
        </is>
      </c>
    </row>
    <row r="54">
      <c r="A54" s="5" t="inlineStr">
        <is>
          <t>SAU03</t>
        </is>
      </c>
      <c r="B54" s="5" t="inlineStr">
        <is>
          <t>7. Segurança Alimentar e Saúde</t>
        </is>
      </c>
      <c r="C54" s="5" t="inlineStr">
        <is>
          <t>Mortalidade materna</t>
        </is>
      </c>
      <c r="D54" s="5" t="inlineStr">
        <is>
          <t>por 100 mil nados-vivos</t>
        </is>
      </c>
      <c r="E54" s="5" t="inlineStr">
        <is>
          <t>-</t>
        </is>
      </c>
      <c r="F54" s="5" t="n">
        <v>0</v>
      </c>
      <c r="G54" s="5" t="n">
        <v>1000</v>
      </c>
      <c r="H54" s="5" t="n">
        <v>300</v>
      </c>
      <c r="I54" s="5" t="n">
        <v>1</v>
      </c>
      <c r="J54" s="5" t="n">
        <v>1</v>
      </c>
      <c r="K54" s="5" t="inlineStr">
        <is>
          <t>Banco Mundial/OMS</t>
        </is>
      </c>
      <c r="L54" s="5" t="inlineStr">
        <is>
          <t>SH.STA.MMRT</t>
        </is>
      </c>
      <c r="M54" s="8" t="inlineStr">
        <is>
          <t>https://data.worldbank.org/indicator/SH.STA.MMRT?locations=AO</t>
        </is>
      </c>
      <c r="N54" s="5" t="inlineStr">
        <is>
          <t>Alta</t>
        </is>
      </c>
      <c r="O54" s="5" t="inlineStr">
        <is>
          <t>Capacidade do sistema de saúde materna.</t>
        </is>
      </c>
      <c r="P54" s="5" t="inlineStr">
        <is>
          <t>Usa regra global definida em Metodologia_v4!B12:B14</t>
        </is>
      </c>
    </row>
    <row r="55">
      <c r="A55" s="5" t="inlineStr">
        <is>
          <t>SAU04</t>
        </is>
      </c>
      <c r="B55" s="5" t="inlineStr">
        <is>
          <t>7. Segurança Alimentar e Saúde</t>
        </is>
      </c>
      <c r="C55" s="5" t="inlineStr">
        <is>
          <t>Mortalidade de menores de 5 anos</t>
        </is>
      </c>
      <c r="D55" s="5" t="inlineStr">
        <is>
          <t>por 1000 nados-vivos</t>
        </is>
      </c>
      <c r="E55" s="5" t="inlineStr">
        <is>
          <t>-</t>
        </is>
      </c>
      <c r="F55" s="5" t="n">
        <v>0</v>
      </c>
      <c r="G55" s="5" t="n">
        <v>200</v>
      </c>
      <c r="H55" s="5" t="n">
        <v>50</v>
      </c>
      <c r="I55" s="5" t="n">
        <v>1</v>
      </c>
      <c r="J55" s="5" t="n">
        <v>1</v>
      </c>
      <c r="K55" s="5" t="inlineStr">
        <is>
          <t>Banco Mundial/UNICEF</t>
        </is>
      </c>
      <c r="L55" s="5" t="inlineStr">
        <is>
          <t>SH.DYN.MORT</t>
        </is>
      </c>
      <c r="M55" s="8" t="inlineStr">
        <is>
          <t>https://data.worldbank.org/indicator/SH.DYN.MORT?locations=AO</t>
        </is>
      </c>
      <c r="N55" s="5" t="inlineStr">
        <is>
          <t>Alta</t>
        </is>
      </c>
      <c r="O55" s="5" t="inlineStr">
        <is>
          <t>Resultado amplo de saúde infantil.</t>
        </is>
      </c>
      <c r="P55" s="5" t="inlineStr">
        <is>
          <t>Usa regra global definida em Metodologia_v4!B12:B14</t>
        </is>
      </c>
    </row>
    <row r="56">
      <c r="A56" s="5" t="inlineStr">
        <is>
          <t>SAU05</t>
        </is>
      </c>
      <c r="B56" s="5" t="inlineStr">
        <is>
          <t>7. Segurança Alimentar e Saúde</t>
        </is>
      </c>
      <c r="C56" s="5" t="inlineStr">
        <is>
          <t>Despesa corrente em saúde</t>
        </is>
      </c>
      <c r="D56" s="5" t="inlineStr">
        <is>
          <t>% PIB</t>
        </is>
      </c>
      <c r="E56" s="5" t="inlineStr">
        <is>
          <t>+</t>
        </is>
      </c>
      <c r="F56" s="5" t="n">
        <v>0</v>
      </c>
      <c r="G56" s="5" t="n">
        <v>15</v>
      </c>
      <c r="H56" s="5" t="n">
        <v>5</v>
      </c>
      <c r="I56" s="5" t="n">
        <v>1</v>
      </c>
      <c r="J56" s="5" t="n">
        <v>1</v>
      </c>
      <c r="K56" s="5" t="inlineStr">
        <is>
          <t>Banco Mundial/OMS</t>
        </is>
      </c>
      <c r="L56" s="5" t="inlineStr">
        <is>
          <t>SH.XPD.CHEX.GD.ZS</t>
        </is>
      </c>
      <c r="M56" s="8" t="inlineStr">
        <is>
          <t>https://data.worldbank.org/indicator/SH.XPD.CHEX.GD.ZS?locations=AO</t>
        </is>
      </c>
      <c r="N56" s="5" t="inlineStr">
        <is>
          <t>Média</t>
        </is>
      </c>
      <c r="O56" s="5" t="inlineStr">
        <is>
          <t>Esforço económico no sistema de saúde.</t>
        </is>
      </c>
      <c r="P56" s="5" t="inlineStr">
        <is>
          <t>Usa regra global definida em Metodologia_v4!B12:B14</t>
        </is>
      </c>
    </row>
    <row r="57">
      <c r="A57" s="5" t="inlineStr">
        <is>
          <t>SAU06</t>
        </is>
      </c>
      <c r="B57" s="5" t="inlineStr">
        <is>
          <t>7. Segurança Alimentar e Saúde</t>
        </is>
      </c>
      <c r="C57" s="5" t="inlineStr">
        <is>
          <t>Vacinação DPT</t>
        </is>
      </c>
      <c r="D57" s="5" t="inlineStr">
        <is>
          <t>% crianças 12-23 meses</t>
        </is>
      </c>
      <c r="E57" s="5" t="inlineStr">
        <is>
          <t>+</t>
        </is>
      </c>
      <c r="F57" s="5" t="n">
        <v>0</v>
      </c>
      <c r="G57" s="5" t="n">
        <v>100</v>
      </c>
      <c r="H57" s="5" t="n">
        <v>85</v>
      </c>
      <c r="I57" s="5" t="n">
        <v>1</v>
      </c>
      <c r="J57" s="5" t="n">
        <v>1</v>
      </c>
      <c r="K57" s="5" t="inlineStr">
        <is>
          <t>Banco Mundial/OMS/UNICEF</t>
        </is>
      </c>
      <c r="L57" s="5" t="inlineStr">
        <is>
          <t>SH.IMM.IDPT</t>
        </is>
      </c>
      <c r="M57" s="8" t="inlineStr">
        <is>
          <t>https://data.worldbank.org/indicator/SH.IMM.IDPT?locations=AO</t>
        </is>
      </c>
      <c r="N57" s="5" t="inlineStr">
        <is>
          <t>Alta</t>
        </is>
      </c>
      <c r="O57" s="5" t="inlineStr">
        <is>
          <t>Cobertura básica de imunização.</t>
        </is>
      </c>
      <c r="P57" s="5" t="inlineStr">
        <is>
          <t>Usa regra global definida em Metodologia_v4!B12:B14</t>
        </is>
      </c>
    </row>
    <row r="58">
      <c r="A58" s="5" t="inlineStr">
        <is>
          <t>SAU07</t>
        </is>
      </c>
      <c r="B58" s="5" t="inlineStr">
        <is>
          <t>7. Segurança Alimentar e Saúde</t>
        </is>
      </c>
      <c r="C58" s="5" t="inlineStr">
        <is>
          <t>Médicos</t>
        </is>
      </c>
      <c r="D58" s="5" t="inlineStr">
        <is>
          <t>por 1000 habitantes</t>
        </is>
      </c>
      <c r="E58" s="5" t="inlineStr">
        <is>
          <t>+</t>
        </is>
      </c>
      <c r="F58" s="5" t="n">
        <v>0</v>
      </c>
      <c r="G58" s="5" t="n">
        <v>5</v>
      </c>
      <c r="H58" s="5" t="n">
        <v>1</v>
      </c>
      <c r="I58" s="5" t="n">
        <v>1</v>
      </c>
      <c r="J58" s="5" t="n">
        <v>1</v>
      </c>
      <c r="K58" s="5" t="inlineStr">
        <is>
          <t>Banco Mundial/OMS</t>
        </is>
      </c>
      <c r="L58" s="5" t="inlineStr">
        <is>
          <t>SH.MED.PHYS.ZS</t>
        </is>
      </c>
      <c r="M58" s="8" t="inlineStr">
        <is>
          <t>https://data.worldbank.org/indicator/SH.MED.PHYS.ZS?locations=AO</t>
        </is>
      </c>
      <c r="N58" s="5" t="inlineStr">
        <is>
          <t>Média</t>
        </is>
      </c>
      <c r="O58" s="5" t="inlineStr">
        <is>
          <t>Capacidade humana do sistema de saúde.</t>
        </is>
      </c>
      <c r="P58" s="5" t="inlineStr">
        <is>
          <t>Usa regra global definida em Metodologia_v4!B12:B14</t>
        </is>
      </c>
    </row>
    <row r="59">
      <c r="A59" s="5" t="inlineStr">
        <is>
          <t>SAU08</t>
        </is>
      </c>
      <c r="B59" s="5" t="inlineStr">
        <is>
          <t>7. Segurança Alimentar e Saúde</t>
        </is>
      </c>
      <c r="C59" s="5" t="inlineStr">
        <is>
          <t>Camas hospitalares</t>
        </is>
      </c>
      <c r="D59" s="5" t="inlineStr">
        <is>
          <t>por 1000 habitantes</t>
        </is>
      </c>
      <c r="E59" s="5" t="inlineStr">
        <is>
          <t>+</t>
        </is>
      </c>
      <c r="F59" s="5" t="n">
        <v>0</v>
      </c>
      <c r="G59" s="5" t="n">
        <v>10</v>
      </c>
      <c r="H59" s="5" t="n">
        <v>2</v>
      </c>
      <c r="I59" s="5" t="n">
        <v>1</v>
      </c>
      <c r="J59" s="5" t="n">
        <v>1</v>
      </c>
      <c r="K59" s="5" t="inlineStr">
        <is>
          <t>Banco Mundial/OMS</t>
        </is>
      </c>
      <c r="L59" s="5" t="inlineStr">
        <is>
          <t>SH.MED.BEDS.ZS</t>
        </is>
      </c>
      <c r="M59" s="8" t="inlineStr">
        <is>
          <t>https://data.worldbank.org/indicator/SH.MED.BEDS.ZS?locations=AO</t>
        </is>
      </c>
      <c r="N59" s="5" t="inlineStr">
        <is>
          <t>Média</t>
        </is>
      </c>
      <c r="O59" s="5" t="inlineStr">
        <is>
          <t>Capacidade física hospitalar.</t>
        </is>
      </c>
      <c r="P59" s="5" t="inlineStr">
        <is>
          <t>Usa regra global definida em Metodologia_v4!B12:B14</t>
        </is>
      </c>
    </row>
    <row r="60">
      <c r="A60" s="5" t="inlineStr">
        <is>
          <t>SAU09</t>
        </is>
      </c>
      <c r="B60" s="5" t="inlineStr">
        <is>
          <t>7. Segurança Alimentar e Saúde</t>
        </is>
      </c>
      <c r="C60" s="5" t="inlineStr">
        <is>
          <t>Índice de produção alimentar</t>
        </is>
      </c>
      <c r="D60" s="5" t="inlineStr">
        <is>
          <t>2014-2016=100</t>
        </is>
      </c>
      <c r="E60" s="5" t="inlineStr">
        <is>
          <t>+</t>
        </is>
      </c>
      <c r="F60" s="5" t="n">
        <v>50</v>
      </c>
      <c r="G60" s="5" t="n">
        <v>150</v>
      </c>
      <c r="H60" s="5" t="n">
        <v>110</v>
      </c>
      <c r="I60" s="5" t="n">
        <v>1</v>
      </c>
      <c r="J60" s="5" t="n">
        <v>1</v>
      </c>
      <c r="K60" s="5" t="inlineStr">
        <is>
          <t>Banco Mundial/FAO</t>
        </is>
      </c>
      <c r="L60" s="5" t="inlineStr">
        <is>
          <t>AG.PRD.FOOD.XD</t>
        </is>
      </c>
      <c r="M60" s="8" t="inlineStr">
        <is>
          <t>https://data.worldbank.org/indicator/AG.PRD.FOOD.XD?locations=AO</t>
        </is>
      </c>
      <c r="N60" s="5" t="inlineStr">
        <is>
          <t>Média</t>
        </is>
      </c>
      <c r="O60" s="5" t="inlineStr">
        <is>
          <t>Disponibilidade doméstica de alimentos.</t>
        </is>
      </c>
      <c r="P60" s="5" t="inlineStr">
        <is>
          <t>Usa regra global definida em Metodologia_v4!B12:B14</t>
        </is>
      </c>
    </row>
  </sheetData>
  <autoFilter ref="A4:P60"/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3" r:id="rId38"/>
    <hyperlink xmlns:r="http://schemas.openxmlformats.org/officeDocument/2006/relationships" ref="M44" r:id="rId39"/>
    <hyperlink xmlns:r="http://schemas.openxmlformats.org/officeDocument/2006/relationships" ref="M45" r:id="rId40"/>
    <hyperlink xmlns:r="http://schemas.openxmlformats.org/officeDocument/2006/relationships" ref="M46" r:id="rId41"/>
    <hyperlink xmlns:r="http://schemas.openxmlformats.org/officeDocument/2006/relationships" ref="M47" r:id="rId42"/>
    <hyperlink xmlns:r="http://schemas.openxmlformats.org/officeDocument/2006/relationships" ref="M48" r:id="rId43"/>
    <hyperlink xmlns:r="http://schemas.openxmlformats.org/officeDocument/2006/relationships" ref="M49" r:id="rId44"/>
    <hyperlink xmlns:r="http://schemas.openxmlformats.org/officeDocument/2006/relationships" ref="M52" r:id="rId45"/>
    <hyperlink xmlns:r="http://schemas.openxmlformats.org/officeDocument/2006/relationships" ref="M53" r:id="rId46"/>
    <hyperlink xmlns:r="http://schemas.openxmlformats.org/officeDocument/2006/relationships" ref="M54" r:id="rId47"/>
    <hyperlink xmlns:r="http://schemas.openxmlformats.org/officeDocument/2006/relationships" ref="M55" r:id="rId48"/>
    <hyperlink xmlns:r="http://schemas.openxmlformats.org/officeDocument/2006/relationships" ref="M56" r:id="rId49"/>
    <hyperlink xmlns:r="http://schemas.openxmlformats.org/officeDocument/2006/relationships" ref="M57" r:id="rId50"/>
    <hyperlink xmlns:r="http://schemas.openxmlformats.org/officeDocument/2006/relationships" ref="M58" r:id="rId51"/>
    <hyperlink xmlns:r="http://schemas.openxmlformats.org/officeDocument/2006/relationships" ref="M59" r:id="rId52"/>
    <hyperlink xmlns:r="http://schemas.openxmlformats.org/officeDocument/2006/relationships" ref="M60" r:id="rId53"/>
  </hyperlinks>
  <pageMargins left="0.75" right="0.75" top="1" bottom="1" header="0.5" footer="0.5"/>
  <tableParts count="1">
    <tablePart xmlns:r="http://schemas.openxmlformats.org/officeDocument/2006/relationships" r:id="rId54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T60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28" customWidth="1" min="4" max="4"/>
    <col width="18" customWidth="1" min="5" max="5"/>
    <col width="32" customWidth="1" min="6" max="6"/>
    <col width="18" customWidth="1" min="7" max="7"/>
    <col width="16" customWidth="1" min="8" max="8"/>
    <col width="46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Dados observados por indicador</t>
        </is>
      </c>
    </row>
    <row r="2">
      <c r="A2" s="2" t="inlineStr">
        <is>
          <t>Apenas valores diretamente observados nas fontes. Não contém estimativas.</t>
        </is>
      </c>
    </row>
    <row r="3"/>
    <row r="4">
      <c r="A4" s="7" t="inlineStr">
        <is>
          <t>ID</t>
        </is>
      </c>
      <c r="B4" s="7" t="inlineStr">
        <is>
          <t>Dimensão</t>
        </is>
      </c>
      <c r="C4" s="7" t="inlineStr">
        <is>
          <t>Indicador</t>
        </is>
      </c>
      <c r="D4" s="7" t="inlineStr">
        <is>
          <t>Fonte</t>
        </is>
      </c>
      <c r="E4" s="7" t="inlineStr">
        <is>
          <t>Código/API</t>
        </is>
      </c>
      <c r="F4" s="7" t="inlineStr">
        <is>
          <t>Estado dados</t>
        </is>
      </c>
      <c r="G4" s="7" t="inlineStr">
        <is>
          <t>Cobertura observada</t>
        </is>
      </c>
      <c r="H4" s="7" t="inlineStr">
        <is>
          <t>Último ano obs.</t>
        </is>
      </c>
      <c r="I4" s="7" t="inlineStr">
        <is>
          <t>Nota</t>
        </is>
      </c>
      <c r="J4" s="7" t="inlineStr">
        <is>
          <t>2015</t>
        </is>
      </c>
      <c r="K4" s="7" t="inlineStr">
        <is>
          <t>2016</t>
        </is>
      </c>
      <c r="L4" s="7" t="inlineStr">
        <is>
          <t>2017</t>
        </is>
      </c>
      <c r="M4" s="7" t="inlineStr">
        <is>
          <t>2018</t>
        </is>
      </c>
      <c r="N4" s="7" t="inlineStr">
        <is>
          <t>2019</t>
        </is>
      </c>
      <c r="O4" s="7" t="inlineStr">
        <is>
          <t>2020</t>
        </is>
      </c>
      <c r="P4" s="7" t="inlineStr">
        <is>
          <t>2021</t>
        </is>
      </c>
      <c r="Q4" s="7" t="inlineStr">
        <is>
          <t>2022</t>
        </is>
      </c>
      <c r="R4" s="7" t="inlineStr">
        <is>
          <t>2023</t>
        </is>
      </c>
      <c r="S4" s="7" t="inlineStr">
        <is>
          <t>2024</t>
        </is>
      </c>
      <c r="T4" s="7" t="inlineStr">
        <is>
          <t>2025</t>
        </is>
      </c>
    </row>
    <row r="5">
      <c r="A5" s="5" t="inlineStr">
        <is>
          <t>GOV01</t>
        </is>
      </c>
      <c r="B5" s="5" t="inlineStr">
        <is>
          <t>1. Governança e Estado de Direito</t>
        </is>
      </c>
      <c r="C5" s="5" t="inlineStr">
        <is>
          <t>Índice de Percepção da Corrupção</t>
        </is>
      </c>
      <c r="D5" s="5" t="inlineStr">
        <is>
          <t>Transparency International / ficheiro base</t>
        </is>
      </c>
      <c r="E5" s="5" t="inlineStr"/>
      <c r="F5" s="5" t="inlineStr">
        <is>
          <t>Série observada do ficheiro base</t>
        </is>
      </c>
      <c r="G5" s="5" t="inlineStr">
        <is>
          <t>10/11</t>
        </is>
      </c>
      <c r="H5" s="5" t="n">
        <v>2024</v>
      </c>
      <c r="I5" s="5" t="inlineStr"/>
      <c r="J5" s="9" t="n">
        <v>15</v>
      </c>
      <c r="K5" s="9" t="n">
        <v>18</v>
      </c>
      <c r="L5" s="9" t="n">
        <v>19</v>
      </c>
      <c r="M5" s="9" t="n">
        <v>19</v>
      </c>
      <c r="N5" s="9" t="n">
        <v>26</v>
      </c>
      <c r="O5" s="9" t="n">
        <v>27</v>
      </c>
      <c r="P5" s="9" t="n">
        <v>29</v>
      </c>
      <c r="Q5" s="9" t="n">
        <v>33</v>
      </c>
      <c r="R5" s="9" t="n">
        <v>33</v>
      </c>
      <c r="S5" s="9" t="n">
        <v>32</v>
      </c>
      <c r="T5" s="9" t="n"/>
    </row>
    <row r="6">
      <c r="A6" s="5" t="inlineStr">
        <is>
          <t>GOV02</t>
        </is>
      </c>
      <c r="B6" s="5" t="inlineStr">
        <is>
          <t>1. Governança e Estado de Direito</t>
        </is>
      </c>
      <c r="C6" s="5" t="inlineStr">
        <is>
          <t>WGI - Estado de Direito</t>
        </is>
      </c>
      <c r="D6" s="5" t="inlineStr">
        <is>
          <t>Worldwide Governance Indicators</t>
        </is>
      </c>
      <c r="E6" s="5" t="inlineStr">
        <is>
          <t>RL.EST</t>
        </is>
      </c>
      <c r="F6" s="5" t="inlineStr">
        <is>
          <t>Fonte oficial WGI 2025</t>
        </is>
      </c>
      <c r="G6" s="5" t="inlineStr">
        <is>
          <t>10/11</t>
        </is>
      </c>
      <c r="H6" s="5" t="n">
        <v>2024</v>
      </c>
      <c r="I6" s="5" t="inlineStr">
        <is>
          <t>Rule of Law: Governance estimate</t>
        </is>
      </c>
      <c r="J6" s="9" t="n">
        <v>-1.3086297</v>
      </c>
      <c r="K6" s="9" t="n">
        <v>-1.3287764</v>
      </c>
      <c r="L6" s="9" t="n">
        <v>-1.3317055</v>
      </c>
      <c r="M6" s="9" t="n">
        <v>-1.1105522</v>
      </c>
      <c r="N6" s="9" t="n">
        <v>-1.0519682</v>
      </c>
      <c r="O6" s="9" t="n">
        <v>-0.9475038</v>
      </c>
      <c r="P6" s="9" t="n">
        <v>-1.0980135</v>
      </c>
      <c r="Q6" s="9" t="n">
        <v>-1.1625439</v>
      </c>
      <c r="R6" s="9" t="n">
        <v>-1.1944432</v>
      </c>
      <c r="S6" s="9" t="n">
        <v>-1.1697408</v>
      </c>
      <c r="T6" s="9" t="n"/>
    </row>
    <row r="7">
      <c r="A7" s="5" t="inlineStr">
        <is>
          <t>GOV03</t>
        </is>
      </c>
      <c r="B7" s="5" t="inlineStr">
        <is>
          <t>1. Governança e Estado de Direito</t>
        </is>
      </c>
      <c r="C7" s="5" t="inlineStr">
        <is>
          <t>WGI - Eficiência do Governo</t>
        </is>
      </c>
      <c r="D7" s="5" t="inlineStr">
        <is>
          <t>Worldwide Governance Indicators</t>
        </is>
      </c>
      <c r="E7" s="5" t="inlineStr">
        <is>
          <t>GE.EST</t>
        </is>
      </c>
      <c r="F7" s="5" t="inlineStr">
        <is>
          <t>Fonte oficial WGI 2025</t>
        </is>
      </c>
      <c r="G7" s="5" t="inlineStr">
        <is>
          <t>10/11</t>
        </is>
      </c>
      <c r="H7" s="5" t="n">
        <v>2024</v>
      </c>
      <c r="I7" s="5" t="inlineStr">
        <is>
          <t>Government Effectiveness: Governance estimate</t>
        </is>
      </c>
      <c r="J7" s="9" t="n">
        <v>-0.9378236999999999</v>
      </c>
      <c r="K7" s="9" t="n">
        <v>-0.9493847</v>
      </c>
      <c r="L7" s="9" t="n">
        <v>-0.9681156999999999</v>
      </c>
      <c r="M7" s="9" t="n">
        <v>-0.9784602</v>
      </c>
      <c r="N7" s="9" t="n">
        <v>-0.9116964999999999</v>
      </c>
      <c r="O7" s="9" t="n">
        <v>-1.0163604</v>
      </c>
      <c r="P7" s="9" t="n">
        <v>-0.9347008</v>
      </c>
      <c r="Q7" s="9" t="n">
        <v>-0.8325718</v>
      </c>
      <c r="R7" s="9" t="n">
        <v>-0.8287026</v>
      </c>
      <c r="S7" s="9" t="n">
        <v>-0.7851908999999999</v>
      </c>
      <c r="T7" s="9" t="n"/>
    </row>
    <row r="8">
      <c r="A8" s="5" t="inlineStr">
        <is>
          <t>GOV04</t>
        </is>
      </c>
      <c r="B8" s="5" t="inlineStr">
        <is>
          <t>1. Governança e Estado de Direito</t>
        </is>
      </c>
      <c r="C8" s="5" t="inlineStr">
        <is>
          <t>WGI - Estabilidade Política</t>
        </is>
      </c>
      <c r="D8" s="5" t="inlineStr">
        <is>
          <t>Worldwide Governance Indicators</t>
        </is>
      </c>
      <c r="E8" s="5" t="inlineStr">
        <is>
          <t>PV.EST</t>
        </is>
      </c>
      <c r="F8" s="5" t="inlineStr">
        <is>
          <t>Fonte oficial WGI 2025</t>
        </is>
      </c>
      <c r="G8" s="5" t="inlineStr">
        <is>
          <t>10/11</t>
        </is>
      </c>
      <c r="H8" s="5" t="n">
        <v>2024</v>
      </c>
      <c r="I8" s="5" t="inlineStr">
        <is>
          <t>Political Stability and Absence of Violence/Terrorism: Governance estimate</t>
        </is>
      </c>
      <c r="J8" s="9" t="n">
        <v>-0.5591026</v>
      </c>
      <c r="K8" s="9" t="n">
        <v>-0.434628</v>
      </c>
      <c r="L8" s="9" t="n">
        <v>-0.5372144999999999</v>
      </c>
      <c r="M8" s="9" t="n">
        <v>-0.4058117</v>
      </c>
      <c r="N8" s="9" t="n">
        <v>-0.4207039</v>
      </c>
      <c r="O8" s="9" t="n">
        <v>-0.6427634</v>
      </c>
      <c r="P8" s="9" t="n">
        <v>-0.7936067999999999</v>
      </c>
      <c r="Q8" s="9" t="n">
        <v>-0.5414068</v>
      </c>
      <c r="R8" s="9" t="n">
        <v>-0.3131654</v>
      </c>
      <c r="S8" s="9" t="n">
        <v>-0.5735964</v>
      </c>
      <c r="T8" s="9" t="n"/>
    </row>
    <row r="9">
      <c r="A9" s="5" t="inlineStr">
        <is>
          <t>GOV05</t>
        </is>
      </c>
      <c r="B9" s="5" t="inlineStr">
        <is>
          <t>1. Governança e Estado de Direito</t>
        </is>
      </c>
      <c r="C9" s="5" t="inlineStr">
        <is>
          <t>WGI - Qualidade Regulatória</t>
        </is>
      </c>
      <c r="D9" s="5" t="inlineStr">
        <is>
          <t>Worldwide Governance Indicators</t>
        </is>
      </c>
      <c r="E9" s="5" t="inlineStr">
        <is>
          <t>RQ.EST</t>
        </is>
      </c>
      <c r="F9" s="5" t="inlineStr">
        <is>
          <t>Fonte oficial WGI 2025</t>
        </is>
      </c>
      <c r="G9" s="5" t="inlineStr">
        <is>
          <t>10/11</t>
        </is>
      </c>
      <c r="H9" s="5" t="n">
        <v>2024</v>
      </c>
      <c r="I9" s="5" t="inlineStr">
        <is>
          <t>Regulatory Quality: Governance estimate</t>
        </is>
      </c>
      <c r="J9" s="9" t="n">
        <v>-1.0904945</v>
      </c>
      <c r="K9" s="9" t="n">
        <v>-1.1804235</v>
      </c>
      <c r="L9" s="9" t="n">
        <v>-1.1799885</v>
      </c>
      <c r="M9" s="9" t="n">
        <v>-1.0624393</v>
      </c>
      <c r="N9" s="9" t="n">
        <v>-0.9960854</v>
      </c>
      <c r="O9" s="9" t="n">
        <v>-1.0388818</v>
      </c>
      <c r="P9" s="9" t="n">
        <v>-0.8486184</v>
      </c>
      <c r="Q9" s="9" t="n">
        <v>-0.8618821</v>
      </c>
      <c r="R9" s="9" t="n">
        <v>-0.904342</v>
      </c>
      <c r="S9" s="9" t="n">
        <v>-0.7730199999999999</v>
      </c>
      <c r="T9" s="9" t="n"/>
    </row>
    <row r="10">
      <c r="A10" s="5" t="inlineStr">
        <is>
          <t>GOV06</t>
        </is>
      </c>
      <c r="B10" s="5" t="inlineStr">
        <is>
          <t>1. Governança e Estado de Direito</t>
        </is>
      </c>
      <c r="C10" s="5" t="inlineStr">
        <is>
          <t>WGI - Controlo da Corrupção</t>
        </is>
      </c>
      <c r="D10" s="5" t="inlineStr">
        <is>
          <t>Worldwide Governance Indicators</t>
        </is>
      </c>
      <c r="E10" s="5" t="inlineStr">
        <is>
          <t>CC.EST</t>
        </is>
      </c>
      <c r="F10" s="5" t="inlineStr">
        <is>
          <t>Fonte oficial WGI 2025</t>
        </is>
      </c>
      <c r="G10" s="5" t="inlineStr">
        <is>
          <t>10/11</t>
        </is>
      </c>
      <c r="H10" s="5" t="n">
        <v>2024</v>
      </c>
      <c r="I10" s="5" t="inlineStr">
        <is>
          <t>Control of Corruption: Governance estimate</t>
        </is>
      </c>
      <c r="J10" s="9" t="n">
        <v>-1.4857649</v>
      </c>
      <c r="K10" s="9" t="n">
        <v>-1.4881942</v>
      </c>
      <c r="L10" s="9" t="n">
        <v>-1.4208093</v>
      </c>
      <c r="M10" s="9" t="n">
        <v>-1.181782</v>
      </c>
      <c r="N10" s="9" t="n">
        <v>-0.9647988</v>
      </c>
      <c r="O10" s="9" t="n">
        <v>-0.8918322999999999</v>
      </c>
      <c r="P10" s="9" t="n">
        <v>-0.6416506</v>
      </c>
      <c r="Q10" s="9" t="n">
        <v>-0.6031537</v>
      </c>
      <c r="R10" s="9" t="n">
        <v>-0.6242518</v>
      </c>
      <c r="S10" s="9" t="n">
        <v>-0.6225792999999999</v>
      </c>
      <c r="T10" s="9" t="n"/>
    </row>
    <row r="11">
      <c r="A11" s="5" t="inlineStr">
        <is>
          <t>MAC01</t>
        </is>
      </c>
      <c r="B11" s="5" t="inlineStr">
        <is>
          <t>2. Estabilidade Macroeconómica</t>
        </is>
      </c>
      <c r="C11" s="5" t="inlineStr">
        <is>
          <t>Crescimento real do PIB</t>
        </is>
      </c>
      <c r="D11" s="5" t="inlineStr">
        <is>
          <t>Banco Mundial/WDI</t>
        </is>
      </c>
      <c r="E11" s="5" t="inlineStr">
        <is>
          <t>NY.GDP.MKTP.KD.ZG</t>
        </is>
      </c>
      <c r="F11" s="5" t="inlineStr">
        <is>
          <t>Fonte Banco Mundial API/CSV</t>
        </is>
      </c>
      <c r="G11" s="5" t="inlineStr">
        <is>
          <t>10/11</t>
        </is>
      </c>
      <c r="H11" s="5" t="n">
        <v>2024</v>
      </c>
      <c r="I11" s="5" t="inlineStr">
        <is>
          <t>GDP growth (annual %)</t>
        </is>
      </c>
      <c r="J11" s="9" t="n">
        <v>0.763177710914789</v>
      </c>
      <c r="K11" s="9" t="n">
        <v>-1.70053036291208</v>
      </c>
      <c r="L11" s="9" t="n">
        <v>-0.149396225571834</v>
      </c>
      <c r="M11" s="9" t="n">
        <v>-0.59441122698307</v>
      </c>
      <c r="N11" s="9" t="n">
        <v>-0.204680245744115</v>
      </c>
      <c r="O11" s="9" t="n">
        <v>-4.04244724639663</v>
      </c>
      <c r="P11" s="9" t="n">
        <v>2.10275251923413</v>
      </c>
      <c r="Q11" s="9" t="n">
        <v>4.21600258475137</v>
      </c>
      <c r="R11" s="9" t="n">
        <v>1.26330814020108</v>
      </c>
      <c r="S11" s="9" t="n">
        <v>4.42390664406875</v>
      </c>
      <c r="T11" s="9" t="n"/>
    </row>
    <row r="12">
      <c r="A12" s="5" t="inlineStr">
        <is>
          <t>MAC02</t>
        </is>
      </c>
      <c r="B12" s="5" t="inlineStr">
        <is>
          <t>2. Estabilidade Macroeconómica</t>
        </is>
      </c>
      <c r="C12" s="5" t="inlineStr">
        <is>
          <t>PIB per capita</t>
        </is>
      </c>
      <c r="D12" s="5" t="inlineStr">
        <is>
          <t>Banco Mundial/WDI</t>
        </is>
      </c>
      <c r="E12" s="5" t="inlineStr">
        <is>
          <t>NY.GDP.PCAP.CD</t>
        </is>
      </c>
      <c r="F12" s="5" t="inlineStr">
        <is>
          <t>Fonte Banco Mundial API/CSV</t>
        </is>
      </c>
      <c r="G12" s="5" t="inlineStr">
        <is>
          <t>10/11</t>
        </is>
      </c>
      <c r="H12" s="5" t="n">
        <v>2024</v>
      </c>
      <c r="I12" s="5" t="inlineStr">
        <is>
          <t>GDP per capita (current US$)</t>
        </is>
      </c>
      <c r="J12" s="9" t="n">
        <v>3641.72893919944</v>
      </c>
      <c r="K12" s="9" t="n">
        <v>2051.81462126253</v>
      </c>
      <c r="L12" s="9" t="n">
        <v>2790.71886869768</v>
      </c>
      <c r="M12" s="9" t="n">
        <v>2860.0936483682</v>
      </c>
      <c r="N12" s="9" t="n">
        <v>2493.67884440177</v>
      </c>
      <c r="O12" s="9" t="n">
        <v>1759.35619918264</v>
      </c>
      <c r="P12" s="9" t="n">
        <v>2303.90812662776</v>
      </c>
      <c r="Q12" s="9" t="n">
        <v>3682.1131513698</v>
      </c>
      <c r="R12" s="9" t="n">
        <v>2916.13663284275</v>
      </c>
      <c r="S12" s="9" t="n">
        <v>2665.87444776753</v>
      </c>
      <c r="T12" s="9" t="n"/>
    </row>
    <row r="13">
      <c r="A13" s="5" t="inlineStr">
        <is>
          <t>MAC03</t>
        </is>
      </c>
      <c r="B13" s="5" t="inlineStr">
        <is>
          <t>2. Estabilidade Macroeconómica</t>
        </is>
      </c>
      <c r="C13" s="5" t="inlineStr">
        <is>
          <t>Inflação, preços ao consumidor</t>
        </is>
      </c>
      <c r="D13" s="5" t="inlineStr">
        <is>
          <t>Banco Mundial/WDI</t>
        </is>
      </c>
      <c r="E13" s="5" t="inlineStr">
        <is>
          <t>FP.CPI.TOTL.ZG</t>
        </is>
      </c>
      <c r="F13" s="5" t="inlineStr">
        <is>
          <t>Fonte Banco Mundial API/CSV</t>
        </is>
      </c>
      <c r="G13" s="5" t="inlineStr">
        <is>
          <t>10/11</t>
        </is>
      </c>
      <c r="H13" s="5" t="n">
        <v>2024</v>
      </c>
      <c r="I13" s="5" t="inlineStr">
        <is>
          <t>Inflation, consumer prices (annual %)</t>
        </is>
      </c>
      <c r="J13" s="9" t="n">
        <v>9.355972155337829</v>
      </c>
      <c r="K13" s="9" t="n">
        <v>30.6944150806719</v>
      </c>
      <c r="L13" s="9" t="n">
        <v>29.8444799015679</v>
      </c>
      <c r="M13" s="9" t="n">
        <v>19.628937970152</v>
      </c>
      <c r="N13" s="9" t="n">
        <v>17.080954143438</v>
      </c>
      <c r="O13" s="9" t="n">
        <v>22.2715392470509</v>
      </c>
      <c r="P13" s="9" t="n">
        <v>25.754294884189</v>
      </c>
      <c r="Q13" s="9" t="n">
        <v>21.3552901320822</v>
      </c>
      <c r="R13" s="9" t="n">
        <v>13.6441017767714</v>
      </c>
      <c r="S13" s="9" t="n">
        <v>28.2404948915772</v>
      </c>
      <c r="T13" s="9" t="n"/>
    </row>
    <row r="14">
      <c r="A14" s="5" t="inlineStr">
        <is>
          <t>MAC04</t>
        </is>
      </c>
      <c r="B14" s="5" t="inlineStr">
        <is>
          <t>2. Estabilidade Macroeconómica</t>
        </is>
      </c>
      <c r="C14" s="5" t="inlineStr">
        <is>
          <t>Dívida pública do governo central</t>
        </is>
      </c>
      <c r="D14" s="5" t="inlineStr">
        <is>
          <t>Banco Mundial/WDI</t>
        </is>
      </c>
      <c r="E14" s="5" t="inlineStr">
        <is>
          <t>GC.DOD.TOTL.GD.ZS</t>
        </is>
      </c>
      <c r="F14" s="5" t="inlineStr">
        <is>
          <t>Sem valores Angola no período; fallback para série do ficheiro base</t>
        </is>
      </c>
      <c r="G14" s="5" t="inlineStr">
        <is>
          <t>11/11</t>
        </is>
      </c>
      <c r="H14" s="5" t="n">
        <v>2025</v>
      </c>
      <c r="I14" s="5" t="inlineStr">
        <is>
          <t>Central government debt, total (% of GDP)</t>
        </is>
      </c>
      <c r="J14" s="9" t="n">
        <v>50</v>
      </c>
      <c r="K14" s="9" t="n">
        <v>67</v>
      </c>
      <c r="L14" s="9" t="n">
        <v>60</v>
      </c>
      <c r="M14" s="9" t="n">
        <v>83</v>
      </c>
      <c r="N14" s="9" t="n">
        <v>101</v>
      </c>
      <c r="O14" s="9" t="n">
        <v>119</v>
      </c>
      <c r="P14" s="9" t="n">
        <v>74</v>
      </c>
      <c r="Q14" s="9" t="n">
        <v>56</v>
      </c>
      <c r="R14" s="9" t="n">
        <v>72</v>
      </c>
      <c r="S14" s="9" t="n">
        <v>60</v>
      </c>
      <c r="T14" s="9" t="n">
        <v>63</v>
      </c>
    </row>
    <row r="15">
      <c r="A15" s="5" t="inlineStr">
        <is>
          <t>MAC05</t>
        </is>
      </c>
      <c r="B15" s="5" t="inlineStr">
        <is>
          <t>2. Estabilidade Macroeconómica</t>
        </is>
      </c>
      <c r="C15" s="5" t="inlineStr">
        <is>
          <t>Saldo orçamental de caixa</t>
        </is>
      </c>
      <c r="D15" s="5" t="inlineStr">
        <is>
          <t>Banco Mundial/WDI</t>
        </is>
      </c>
      <c r="E15" s="5" t="inlineStr">
        <is>
          <t>GC.BAL.CASH.GD.ZS</t>
        </is>
      </c>
      <c r="F15" s="5" t="inlineStr">
        <is>
          <t>Sem valores Angola no período; fallback para série do ficheiro base</t>
        </is>
      </c>
      <c r="G15" s="5" t="inlineStr">
        <is>
          <t>11/11</t>
        </is>
      </c>
      <c r="H15" s="5" t="n">
        <v>2025</v>
      </c>
      <c r="I15" s="5" t="inlineStr">
        <is>
          <t>Cash surplus/deficit (% of GDP)</t>
        </is>
      </c>
      <c r="J15" s="9" t="n">
        <v>-2</v>
      </c>
      <c r="K15" s="9" t="n">
        <v>-3</v>
      </c>
      <c r="L15" s="9" t="n">
        <v>1.5</v>
      </c>
      <c r="M15" s="9" t="n">
        <v>-0.5</v>
      </c>
      <c r="N15" s="9" t="n">
        <v>0.5</v>
      </c>
      <c r="O15" s="9" t="n">
        <v>-5</v>
      </c>
      <c r="P15" s="9" t="n">
        <v>1.5</v>
      </c>
      <c r="Q15" s="9" t="n">
        <v>0.7</v>
      </c>
      <c r="R15" s="9" t="n">
        <v>-1.9</v>
      </c>
      <c r="S15" s="9" t="n">
        <v>-1.5</v>
      </c>
      <c r="T15" s="9" t="n">
        <v>-1.65</v>
      </c>
    </row>
    <row r="16">
      <c r="A16" s="5" t="inlineStr">
        <is>
          <t>MAC06</t>
        </is>
      </c>
      <c r="B16" s="5" t="inlineStr">
        <is>
          <t>2. Estabilidade Macroeconómica</t>
        </is>
      </c>
      <c r="C16" s="5" t="inlineStr">
        <is>
          <t>Saldo da conta corrente</t>
        </is>
      </c>
      <c r="D16" s="5" t="inlineStr">
        <is>
          <t>Banco Mundial/WDI</t>
        </is>
      </c>
      <c r="E16" s="5" t="inlineStr">
        <is>
          <t>BN.CAB.XOKA.GD.ZS</t>
        </is>
      </c>
      <c r="F16" s="5" t="inlineStr">
        <is>
          <t>Fonte Banco Mundial API/CSV</t>
        </is>
      </c>
      <c r="G16" s="5" t="inlineStr">
        <is>
          <t>10/11</t>
        </is>
      </c>
      <c r="H16" s="5" t="n">
        <v>2024</v>
      </c>
      <c r="I16" s="5" t="inlineStr">
        <is>
          <t>Current account balance (% of GDP)</t>
        </is>
      </c>
      <c r="J16" s="9" t="n">
        <v>-10.018075447644</v>
      </c>
      <c r="K16" s="9" t="n">
        <v>-5.15244763778543</v>
      </c>
      <c r="L16" s="9" t="n">
        <v>-0.750047560666891</v>
      </c>
      <c r="M16" s="9" t="n">
        <v>8.269886537633869</v>
      </c>
      <c r="N16" s="9" t="n">
        <v>6.36332599336486</v>
      </c>
      <c r="O16" s="9" t="n">
        <v>1.48153175557465</v>
      </c>
      <c r="P16" s="9" t="n">
        <v>10.557440687931</v>
      </c>
      <c r="Q16" s="9" t="n">
        <v>8.96477515056049</v>
      </c>
      <c r="R16" s="9" t="n">
        <v>3.90508703150085</v>
      </c>
      <c r="S16" s="9" t="n">
        <v>6.24744044837087</v>
      </c>
      <c r="T16" s="9" t="n"/>
    </row>
    <row r="17">
      <c r="A17" s="5" t="inlineStr">
        <is>
          <t>MAC07</t>
        </is>
      </c>
      <c r="B17" s="5" t="inlineStr">
        <is>
          <t>2. Estabilidade Macroeconómica</t>
        </is>
      </c>
      <c r="C17" s="5" t="inlineStr">
        <is>
          <t>Reservas internacionais</t>
        </is>
      </c>
      <c r="D17" s="5" t="inlineStr">
        <is>
          <t>Banco Mundial/WDI</t>
        </is>
      </c>
      <c r="E17" s="5" t="inlineStr">
        <is>
          <t>FI.RES.TOTL.MO</t>
        </is>
      </c>
      <c r="F17" s="5" t="inlineStr">
        <is>
          <t>Fonte Banco Mundial API/CSV</t>
        </is>
      </c>
      <c r="G17" s="5" t="inlineStr">
        <is>
          <t>10/11</t>
        </is>
      </c>
      <c r="H17" s="5" t="n">
        <v>2024</v>
      </c>
      <c r="I17" s="5" t="inlineStr">
        <is>
          <t>Total reserves in months of imports</t>
        </is>
      </c>
      <c r="J17" s="9" t="n">
        <v>6.48204569064841</v>
      </c>
      <c r="K17" s="9" t="n">
        <v>9.08387120490074</v>
      </c>
      <c r="L17" s="9" t="n">
        <v>5.81818691844858</v>
      </c>
      <c r="M17" s="9" t="n">
        <v>5.4126401540864</v>
      </c>
      <c r="N17" s="9" t="n">
        <v>6.42509428996664</v>
      </c>
      <c r="O17" s="9" t="n">
        <v>8.02614772310759</v>
      </c>
      <c r="P17" s="9" t="n">
        <v>6.94915414648974</v>
      </c>
      <c r="Q17" s="9" t="n">
        <v>4.37683286748628</v>
      </c>
      <c r="R17" s="9" t="n">
        <v>5.08927113560432</v>
      </c>
      <c r="S17" s="9" t="n">
        <v>5.51374910579312</v>
      </c>
      <c r="T17" s="9" t="n"/>
    </row>
    <row r="18">
      <c r="A18" s="5" t="inlineStr">
        <is>
          <t>MAC08</t>
        </is>
      </c>
      <c r="B18" s="5" t="inlineStr">
        <is>
          <t>2. Estabilidade Macroeconómica</t>
        </is>
      </c>
      <c r="C18" s="5" t="inlineStr">
        <is>
          <t>Receita fiscal</t>
        </is>
      </c>
      <c r="D18" s="5" t="inlineStr">
        <is>
          <t>Banco Mundial/WDI</t>
        </is>
      </c>
      <c r="E18" s="5" t="inlineStr">
        <is>
          <t>GC.TAX.TOTL.GD.ZS</t>
        </is>
      </c>
      <c r="F18" s="5" t="inlineStr">
        <is>
          <t>Fonte Banco Mundial API/CSV</t>
        </is>
      </c>
      <c r="G18" s="5" t="inlineStr">
        <is>
          <t>10/11</t>
        </is>
      </c>
      <c r="H18" s="5" t="n">
        <v>2024</v>
      </c>
      <c r="I18" s="5" t="inlineStr">
        <is>
          <t>Tax revenue (% of GDP)</t>
        </is>
      </c>
      <c r="J18" s="9" t="n">
        <v>9.70951386996337</v>
      </c>
      <c r="K18" s="9" t="n">
        <v>8.57578671236085</v>
      </c>
      <c r="L18" s="9" t="n">
        <v>8.05553778621351</v>
      </c>
      <c r="M18" s="9" t="n">
        <v>9.928880234027091</v>
      </c>
      <c r="N18" s="9" t="n">
        <v>11.2888521414133</v>
      </c>
      <c r="O18" s="9" t="n">
        <v>20.5176075923938</v>
      </c>
      <c r="P18" s="9" t="n">
        <v>10.7033300728789</v>
      </c>
      <c r="Q18" s="9" t="n">
        <v>12.7318115289851</v>
      </c>
      <c r="R18" s="9" t="n">
        <v>8.86912888123549</v>
      </c>
      <c r="S18" s="9" t="n">
        <v>7.7443637441998</v>
      </c>
      <c r="T18" s="9" t="n"/>
    </row>
    <row r="19">
      <c r="A19" s="5" t="inlineStr">
        <is>
          <t>HUM01</t>
        </is>
      </c>
      <c r="B19" s="5" t="inlineStr">
        <is>
          <t>3. Capital Humano</t>
        </is>
      </c>
      <c r="C19" s="5" t="inlineStr">
        <is>
          <t>Índice de Desenvolvimento Humano</t>
        </is>
      </c>
      <c r="D19" s="5" t="inlineStr">
        <is>
          <t>PNUD/HDR / ficheiro base</t>
        </is>
      </c>
      <c r="E19" s="5" t="inlineStr"/>
      <c r="F19" s="5" t="inlineStr">
        <is>
          <t>Série observada do ficheiro base</t>
        </is>
      </c>
      <c r="G19" s="5" t="inlineStr">
        <is>
          <t>9/11</t>
        </is>
      </c>
      <c r="H19" s="5" t="n">
        <v>2023</v>
      </c>
      <c r="I19" s="5" t="inlineStr"/>
      <c r="J19" s="9" t="n">
        <v>0.591</v>
      </c>
      <c r="K19" s="9" t="n">
        <v>0.595</v>
      </c>
      <c r="L19" s="9" t="n">
        <v>0.597</v>
      </c>
      <c r="M19" s="9" t="n">
        <v>0.598</v>
      </c>
      <c r="N19" s="9" t="n">
        <v>0.597</v>
      </c>
      <c r="O19" s="9" t="n">
        <v>0.594</v>
      </c>
      <c r="P19" s="9" t="n">
        <v>0.59</v>
      </c>
      <c r="Q19" s="9" t="n">
        <v>0.591</v>
      </c>
      <c r="R19" s="9" t="n">
        <v>0.616</v>
      </c>
      <c r="S19" s="9" t="n"/>
      <c r="T19" s="9" t="n"/>
    </row>
    <row r="20">
      <c r="A20" s="5" t="inlineStr">
        <is>
          <t>HUM02</t>
        </is>
      </c>
      <c r="B20" s="5" t="inlineStr">
        <is>
          <t>3. Capital Humano</t>
        </is>
      </c>
      <c r="C20" s="5" t="inlineStr">
        <is>
          <t>Esperança de vida à nascença</t>
        </is>
      </c>
      <c r="D20" s="5" t="inlineStr">
        <is>
          <t>Banco Mundial/WDI</t>
        </is>
      </c>
      <c r="E20" s="5" t="inlineStr">
        <is>
          <t>SP.DYN.LE00.IN</t>
        </is>
      </c>
      <c r="F20" s="5" t="inlineStr">
        <is>
          <t>Fonte Banco Mundial API/CSV</t>
        </is>
      </c>
      <c r="G20" s="5" t="inlineStr">
        <is>
          <t>10/11</t>
        </is>
      </c>
      <c r="H20" s="5" t="n">
        <v>2024</v>
      </c>
      <c r="I20" s="5" t="inlineStr">
        <is>
          <t>Life expectancy at birth, total (years)</t>
        </is>
      </c>
      <c r="J20" s="9" t="n">
        <v>61.042</v>
      </c>
      <c r="K20" s="9" t="n">
        <v>61.619</v>
      </c>
      <c r="L20" s="9" t="n">
        <v>62.122</v>
      </c>
      <c r="M20" s="9" t="n">
        <v>62.622</v>
      </c>
      <c r="N20" s="9" t="n">
        <v>63.051</v>
      </c>
      <c r="O20" s="9" t="n">
        <v>63.116</v>
      </c>
      <c r="P20" s="9" t="n">
        <v>62.958</v>
      </c>
      <c r="Q20" s="9" t="n">
        <v>64.246</v>
      </c>
      <c r="R20" s="9" t="n">
        <v>64.617</v>
      </c>
      <c r="S20" s="9" t="n">
        <v>64.80500000000001</v>
      </c>
      <c r="T20" s="9" t="n"/>
    </row>
    <row r="21">
      <c r="A21" s="5" t="inlineStr">
        <is>
          <t>HUM03</t>
        </is>
      </c>
      <c r="B21" s="5" t="inlineStr">
        <is>
          <t>3. Capital Humano</t>
        </is>
      </c>
      <c r="C21" s="5" t="inlineStr">
        <is>
          <t>Alfabetização adulta</t>
        </is>
      </c>
      <c r="D21" s="5" t="inlineStr">
        <is>
          <t>Banco Mundial/UNESCO</t>
        </is>
      </c>
      <c r="E21" s="5" t="inlineStr">
        <is>
          <t>SE.ADT.LITR.ZS</t>
        </is>
      </c>
      <c r="F21" s="5" t="inlineStr">
        <is>
          <t>Fonte Banco Mundial API/CSV</t>
        </is>
      </c>
      <c r="G21" s="5" t="inlineStr">
        <is>
          <t>2/11</t>
        </is>
      </c>
      <c r="H21" s="5" t="n">
        <v>2023</v>
      </c>
      <c r="I21" s="5" t="inlineStr">
        <is>
          <t>Literacy rate, adult total (% of people ages 15 and above)</t>
        </is>
      </c>
      <c r="J21" s="9" t="n">
        <v>66.2399978637695</v>
      </c>
      <c r="K21" s="9" t="n"/>
      <c r="L21" s="9" t="n"/>
      <c r="M21" s="9" t="n"/>
      <c r="N21" s="9" t="n"/>
      <c r="O21" s="9" t="n"/>
      <c r="P21" s="9" t="n"/>
      <c r="Q21" s="9" t="n"/>
      <c r="R21" s="9" t="n">
        <v>68.1800003051758</v>
      </c>
      <c r="S21" s="9" t="n"/>
      <c r="T21" s="9" t="n"/>
    </row>
    <row r="22">
      <c r="A22" s="5" t="inlineStr">
        <is>
          <t>HUM04</t>
        </is>
      </c>
      <c r="B22" s="5" t="inlineStr">
        <is>
          <t>3. Capital Humano</t>
        </is>
      </c>
      <c r="C22" s="5" t="inlineStr">
        <is>
          <t>Conclusão do ensino primário</t>
        </is>
      </c>
      <c r="D22" s="5" t="inlineStr">
        <is>
          <t>Banco Mundial/UNESCO</t>
        </is>
      </c>
      <c r="E22" s="5" t="inlineStr">
        <is>
          <t>SE.PRM.CMPT.ZS</t>
        </is>
      </c>
      <c r="F22" s="5" t="inlineStr">
        <is>
          <t>Fonte Banco Mundial API/CSV</t>
        </is>
      </c>
      <c r="G22" s="5" t="inlineStr">
        <is>
          <t>2/11</t>
        </is>
      </c>
      <c r="H22" s="5" t="n">
        <v>2023</v>
      </c>
      <c r="I22" s="5" t="inlineStr">
        <is>
          <t>Primary completion rate, total (% of relevant age group)</t>
        </is>
      </c>
      <c r="J22" s="9" t="n"/>
      <c r="K22" s="9" t="n"/>
      <c r="L22" s="9" t="n"/>
      <c r="M22" s="9" t="n"/>
      <c r="N22" s="9" t="n"/>
      <c r="O22" s="9" t="n"/>
      <c r="P22" s="9" t="n">
        <v>60.0259394365677</v>
      </c>
      <c r="Q22" s="9" t="n"/>
      <c r="R22" s="9" t="n">
        <v>47.8556786596463</v>
      </c>
      <c r="S22" s="9" t="n"/>
      <c r="T22" s="9" t="n"/>
    </row>
    <row r="23">
      <c r="A23" s="5" t="inlineStr">
        <is>
          <t>HUM05</t>
        </is>
      </c>
      <c r="B23" s="5" t="inlineStr">
        <is>
          <t>3. Capital Humano</t>
        </is>
      </c>
      <c r="C23" s="5" t="inlineStr">
        <is>
          <t>Matrícula no ensino secundário</t>
        </is>
      </c>
      <c r="D23" s="5" t="inlineStr">
        <is>
          <t>Banco Mundial/UNESCO</t>
        </is>
      </c>
      <c r="E23" s="5" t="inlineStr">
        <is>
          <t>SE.SEC.ENRR</t>
        </is>
      </c>
      <c r="F23" s="5" t="inlineStr">
        <is>
          <t>Fonte Banco Mundial API/CSV</t>
        </is>
      </c>
      <c r="G23" s="5" t="inlineStr">
        <is>
          <t>3/11</t>
        </is>
      </c>
      <c r="H23" s="5" t="n">
        <v>2023</v>
      </c>
      <c r="I23" s="5" t="inlineStr">
        <is>
          <t>School enrollment, secondary (% gross)</t>
        </is>
      </c>
      <c r="J23" s="9" t="n"/>
      <c r="K23" s="9" t="n">
        <v>54.4167987304753</v>
      </c>
      <c r="L23" s="9" t="n"/>
      <c r="M23" s="9" t="n"/>
      <c r="N23" s="9" t="n"/>
      <c r="O23" s="9" t="n"/>
      <c r="P23" s="9" t="n">
        <v>53.1351542727131</v>
      </c>
      <c r="Q23" s="9" t="n"/>
      <c r="R23" s="9" t="n">
        <v>51.4839046246776</v>
      </c>
      <c r="S23" s="9" t="n"/>
      <c r="T23" s="9" t="n"/>
    </row>
    <row r="24">
      <c r="A24" s="5" t="inlineStr">
        <is>
          <t>HUM06</t>
        </is>
      </c>
      <c r="B24" s="5" t="inlineStr">
        <is>
          <t>3. Capital Humano</t>
        </is>
      </c>
      <c r="C24" s="5" t="inlineStr">
        <is>
          <t>Despesa pública em educação</t>
        </is>
      </c>
      <c r="D24" s="5" t="inlineStr">
        <is>
          <t>Banco Mundial/UNESCO</t>
        </is>
      </c>
      <c r="E24" s="5" t="inlineStr">
        <is>
          <t>SE.XPD.TOTL.GD.ZS</t>
        </is>
      </c>
      <c r="F24" s="5" t="inlineStr">
        <is>
          <t>Fonte Banco Mundial API/CSV</t>
        </is>
      </c>
      <c r="G24" s="5" t="inlineStr">
        <is>
          <t>9/11</t>
        </is>
      </c>
      <c r="H24" s="5" t="n">
        <v>2023</v>
      </c>
      <c r="I24" s="5" t="inlineStr">
        <is>
          <t>Government expenditure on education, total (% of GDP)</t>
        </is>
      </c>
      <c r="J24" s="9" t="n">
        <v>3.48689580393413</v>
      </c>
      <c r="K24" s="9" t="n">
        <v>2.75493664582725</v>
      </c>
      <c r="L24" s="9" t="n">
        <v>2.46687881104886</v>
      </c>
      <c r="M24" s="9" t="n">
        <v>2.18351298946275</v>
      </c>
      <c r="N24" s="9" t="n">
        <v>2.07306438181603</v>
      </c>
      <c r="O24" s="9" t="n">
        <v>2.66744733689285</v>
      </c>
      <c r="P24" s="9" t="n">
        <v>2.29719689513241</v>
      </c>
      <c r="Q24" s="9" t="n">
        <v>2.38535898416633</v>
      </c>
      <c r="R24" s="9" t="n">
        <v>2.51273663315785</v>
      </c>
      <c r="S24" s="9" t="n"/>
      <c r="T24" s="9" t="n"/>
    </row>
    <row r="25">
      <c r="A25" s="5" t="inlineStr">
        <is>
          <t>HUM07</t>
        </is>
      </c>
      <c r="B25" s="5" t="inlineStr">
        <is>
          <t>3. Capital Humano</t>
        </is>
      </c>
      <c r="C25" s="5" t="inlineStr">
        <is>
          <t>Mortalidade infantil</t>
        </is>
      </c>
      <c r="D25" s="5" t="inlineStr">
        <is>
          <t>Banco Mundial/WDI</t>
        </is>
      </c>
      <c r="E25" s="5" t="inlineStr">
        <is>
          <t>SP.DYN.IMRT.IN</t>
        </is>
      </c>
      <c r="F25" s="5" t="inlineStr">
        <is>
          <t>Fonte Banco Mundial API/CSV</t>
        </is>
      </c>
      <c r="G25" s="5" t="inlineStr">
        <is>
          <t>10/11</t>
        </is>
      </c>
      <c r="H25" s="5" t="n">
        <v>2024</v>
      </c>
      <c r="I25" s="5" t="inlineStr">
        <is>
          <t>Mortality rate, infant (per 1,000 live births)</t>
        </is>
      </c>
      <c r="J25" s="9" t="n">
        <v>38.8</v>
      </c>
      <c r="K25" s="9" t="n">
        <v>37.6</v>
      </c>
      <c r="L25" s="9" t="n">
        <v>36.7</v>
      </c>
      <c r="M25" s="9" t="n">
        <v>36</v>
      </c>
      <c r="N25" s="9" t="n">
        <v>35.5</v>
      </c>
      <c r="O25" s="9" t="n">
        <v>34.9</v>
      </c>
      <c r="P25" s="9" t="n">
        <v>34.4</v>
      </c>
      <c r="Q25" s="9" t="n">
        <v>33.7</v>
      </c>
      <c r="R25" s="9" t="n">
        <v>33</v>
      </c>
      <c r="S25" s="9" t="n">
        <v>32.1</v>
      </c>
      <c r="T25" s="9" t="n"/>
    </row>
    <row r="26">
      <c r="A26" s="5" t="inlineStr">
        <is>
          <t>INC01</t>
        </is>
      </c>
      <c r="B26" s="5" t="inlineStr">
        <is>
          <t>4. Inclusão Social e Protecção</t>
        </is>
      </c>
      <c r="C26" s="5" t="inlineStr">
        <is>
          <t>Pobreza internacional</t>
        </is>
      </c>
      <c r="D26" s="5" t="inlineStr">
        <is>
          <t>Banco Mundial/PIP</t>
        </is>
      </c>
      <c r="E26" s="5" t="inlineStr">
        <is>
          <t>SI.POV.DDAY</t>
        </is>
      </c>
      <c r="F26" s="5" t="inlineStr">
        <is>
          <t>Fonte Banco Mundial API/CSV</t>
        </is>
      </c>
      <c r="G26" s="5" t="inlineStr">
        <is>
          <t>1/11</t>
        </is>
      </c>
      <c r="H26" s="5" t="n">
        <v>2018</v>
      </c>
      <c r="I26" s="5" t="inlineStr">
        <is>
          <t>Poverty headcount ratio at $3.00 a day (2021 PPP) (% of population)</t>
        </is>
      </c>
      <c r="J26" s="9" t="n"/>
      <c r="K26" s="9" t="n"/>
      <c r="L26" s="9" t="n"/>
      <c r="M26" s="9" t="n">
        <v>39.3</v>
      </c>
      <c r="N26" s="9" t="n"/>
      <c r="O26" s="9" t="n"/>
      <c r="P26" s="9" t="n"/>
      <c r="Q26" s="9" t="n"/>
      <c r="R26" s="9" t="n"/>
      <c r="S26" s="9" t="n"/>
      <c r="T26" s="9" t="n"/>
    </row>
    <row r="27">
      <c r="A27" s="5" t="inlineStr">
        <is>
          <t>INC02</t>
        </is>
      </c>
      <c r="B27" s="5" t="inlineStr">
        <is>
          <t>4. Inclusão Social e Protecção</t>
        </is>
      </c>
      <c r="C27" s="5" t="inlineStr">
        <is>
          <t>Índice de Gini</t>
        </is>
      </c>
      <c r="D27" s="5" t="inlineStr">
        <is>
          <t>Banco Mundial/PIP</t>
        </is>
      </c>
      <c r="E27" s="5" t="inlineStr">
        <is>
          <t>SI.POV.GINI</t>
        </is>
      </c>
      <c r="F27" s="5" t="inlineStr">
        <is>
          <t>Fonte Banco Mundial API/CSV</t>
        </is>
      </c>
      <c r="G27" s="5" t="inlineStr">
        <is>
          <t>1/11</t>
        </is>
      </c>
      <c r="H27" s="5" t="n">
        <v>2018</v>
      </c>
      <c r="I27" s="5" t="inlineStr">
        <is>
          <t>Gini index</t>
        </is>
      </c>
      <c r="J27" s="9" t="n"/>
      <c r="K27" s="9" t="n"/>
      <c r="L27" s="9" t="n"/>
      <c r="M27" s="9" t="n">
        <v>51.3</v>
      </c>
      <c r="N27" s="9" t="n"/>
      <c r="O27" s="9" t="n"/>
      <c r="P27" s="9" t="n"/>
      <c r="Q27" s="9" t="n"/>
      <c r="R27" s="9" t="n"/>
      <c r="S27" s="9" t="n"/>
      <c r="T27" s="9" t="n"/>
    </row>
    <row r="28">
      <c r="A28" s="5" t="inlineStr">
        <is>
          <t>INC03</t>
        </is>
      </c>
      <c r="B28" s="5" t="inlineStr">
        <is>
          <t>4. Inclusão Social e Protecção</t>
        </is>
      </c>
      <c r="C28" s="5" t="inlineStr">
        <is>
          <t>Rendimento dos 20% mais pobres</t>
        </is>
      </c>
      <c r="D28" s="5" t="inlineStr">
        <is>
          <t>Banco Mundial/PIP</t>
        </is>
      </c>
      <c r="E28" s="5" t="inlineStr">
        <is>
          <t>SI.DST.FRST.20</t>
        </is>
      </c>
      <c r="F28" s="5" t="inlineStr">
        <is>
          <t>Fonte Banco Mundial API/CSV</t>
        </is>
      </c>
      <c r="G28" s="5" t="inlineStr">
        <is>
          <t>1/11</t>
        </is>
      </c>
      <c r="H28" s="5" t="n">
        <v>2018</v>
      </c>
      <c r="I28" s="5" t="inlineStr">
        <is>
          <t>Income share held by lowest 20%</t>
        </is>
      </c>
      <c r="J28" s="9" t="n"/>
      <c r="K28" s="9" t="n"/>
      <c r="L28" s="9" t="n"/>
      <c r="M28" s="9" t="n">
        <v>3.8</v>
      </c>
      <c r="N28" s="9" t="n"/>
      <c r="O28" s="9" t="n"/>
      <c r="P28" s="9" t="n"/>
      <c r="Q28" s="9" t="n"/>
      <c r="R28" s="9" t="n"/>
      <c r="S28" s="9" t="n"/>
      <c r="T28" s="9" t="n"/>
    </row>
    <row r="29">
      <c r="A29" s="5" t="inlineStr">
        <is>
          <t>INC04</t>
        </is>
      </c>
      <c r="B29" s="5" t="inlineStr">
        <is>
          <t>4. Inclusão Social e Protecção</t>
        </is>
      </c>
      <c r="C29" s="5" t="inlineStr">
        <is>
          <t>Global Gender Gap Index</t>
        </is>
      </c>
      <c r="D29" s="5" t="inlineStr">
        <is>
          <t>WEF / ficheiro base</t>
        </is>
      </c>
      <c r="E29" s="5" t="inlineStr"/>
      <c r="F29" s="5" t="inlineStr">
        <is>
          <t>Série observada do ficheiro base</t>
        </is>
      </c>
      <c r="G29" s="5" t="inlineStr">
        <is>
          <t>10/11</t>
        </is>
      </c>
      <c r="H29" s="5" t="n">
        <v>2025</v>
      </c>
      <c r="I29" s="5" t="inlineStr"/>
      <c r="J29" s="9" t="n">
        <v>0.637</v>
      </c>
      <c r="K29" s="9" t="n">
        <v>0.643</v>
      </c>
      <c r="L29" s="9" t="n">
        <v>0.64</v>
      </c>
      <c r="M29" s="9" t="n">
        <v>0.633</v>
      </c>
      <c r="N29" s="9" t="n"/>
      <c r="O29" s="9" t="n">
        <v>0.66</v>
      </c>
      <c r="P29" s="9" t="n">
        <v>0.657</v>
      </c>
      <c r="Q29" s="9" t="n">
        <v>0.638</v>
      </c>
      <c r="R29" s="9" t="n">
        <v>0.656</v>
      </c>
      <c r="S29" s="9" t="n">
        <v>0.668</v>
      </c>
      <c r="T29" s="9" t="n">
        <v>0.668</v>
      </c>
    </row>
    <row r="30">
      <c r="A30" s="5" t="inlineStr">
        <is>
          <t>INC05</t>
        </is>
      </c>
      <c r="B30" s="5" t="inlineStr">
        <is>
          <t>4. Inclusão Social e Protecção</t>
        </is>
      </c>
      <c r="C30" s="5" t="inlineStr">
        <is>
          <t>Participação feminina na força de trabalho</t>
        </is>
      </c>
      <c r="D30" s="5" t="inlineStr">
        <is>
          <t>Banco Mundial/OIT</t>
        </is>
      </c>
      <c r="E30" s="5" t="inlineStr">
        <is>
          <t>SL.TLF.CACT.FE.ZS</t>
        </is>
      </c>
      <c r="F30" s="5" t="inlineStr">
        <is>
          <t>Fonte Banco Mundial API/CSV</t>
        </is>
      </c>
      <c r="G30" s="5" t="inlineStr">
        <is>
          <t>11/11</t>
        </is>
      </c>
      <c r="H30" s="5" t="n">
        <v>2025</v>
      </c>
      <c r="I30" s="5" t="inlineStr">
        <is>
          <t>Labor force participation rate, female (% of female population ages 15+) (modeled ILO estimate)</t>
        </is>
      </c>
      <c r="J30" s="9" t="n">
        <v>73.93300000000001</v>
      </c>
      <c r="K30" s="9" t="n">
        <v>73.697</v>
      </c>
      <c r="L30" s="9" t="n">
        <v>73.461</v>
      </c>
      <c r="M30" s="9" t="n">
        <v>73.224</v>
      </c>
      <c r="N30" s="9" t="n">
        <v>72.985</v>
      </c>
      <c r="O30" s="9" t="n">
        <v>71.342</v>
      </c>
      <c r="P30" s="9" t="n">
        <v>74.69499999999999</v>
      </c>
      <c r="Q30" s="9" t="n">
        <v>74.018</v>
      </c>
      <c r="R30" s="9" t="n">
        <v>72.318</v>
      </c>
      <c r="S30" s="9" t="n">
        <v>72.35899999999999</v>
      </c>
      <c r="T30" s="9" t="n">
        <v>72.224</v>
      </c>
    </row>
    <row r="31">
      <c r="A31" s="5" t="inlineStr">
        <is>
          <t>INC06</t>
        </is>
      </c>
      <c r="B31" s="5" t="inlineStr">
        <is>
          <t>4. Inclusão Social e Protecção</t>
        </is>
      </c>
      <c r="C31" s="5" t="inlineStr">
        <is>
          <t>Mulheres no parlamento</t>
        </is>
      </c>
      <c r="D31" s="5" t="inlineStr">
        <is>
          <t>Banco Mundial/IPU</t>
        </is>
      </c>
      <c r="E31" s="5" t="inlineStr">
        <is>
          <t>SG.GEN.PARL.ZS</t>
        </is>
      </c>
      <c r="F31" s="5" t="inlineStr">
        <is>
          <t>Fonte Banco Mundial API/CSV</t>
        </is>
      </c>
      <c r="G31" s="5" t="inlineStr">
        <is>
          <t>11/11</t>
        </is>
      </c>
      <c r="H31" s="5" t="n">
        <v>2025</v>
      </c>
      <c r="I31" s="5" t="inlineStr">
        <is>
          <t>Proportion of seats held by women in national parliaments (%)</t>
        </is>
      </c>
      <c r="J31" s="9" t="n">
        <v>36.8181818181818</v>
      </c>
      <c r="K31" s="9" t="n">
        <v>36.8181818181818</v>
      </c>
      <c r="L31" s="9" t="n">
        <v>30.4545454545455</v>
      </c>
      <c r="M31" s="9" t="n">
        <v>30.4545454545455</v>
      </c>
      <c r="N31" s="9" t="n">
        <v>30</v>
      </c>
      <c r="O31" s="9" t="n">
        <v>30</v>
      </c>
      <c r="P31" s="9" t="n">
        <v>29.5454545454545</v>
      </c>
      <c r="Q31" s="9" t="n">
        <v>33.6363636363636</v>
      </c>
      <c r="R31" s="9" t="n">
        <v>33.6363636363636</v>
      </c>
      <c r="S31" s="9" t="n">
        <v>39.5454545454545</v>
      </c>
      <c r="T31" s="9" t="n">
        <v>39.0909090909091</v>
      </c>
    </row>
    <row r="32">
      <c r="A32" s="5" t="inlineStr">
        <is>
          <t>INC07</t>
        </is>
      </c>
      <c r="B32" s="5" t="inlineStr">
        <is>
          <t>4. Inclusão Social e Protecção</t>
        </is>
      </c>
      <c r="C32" s="5" t="inlineStr">
        <is>
          <t>Jovens NEET</t>
        </is>
      </c>
      <c r="D32" s="5" t="inlineStr">
        <is>
          <t>Banco Mundial/OIT</t>
        </is>
      </c>
      <c r="E32" s="5" t="inlineStr">
        <is>
          <t>SL.UEM.NEET.ZS</t>
        </is>
      </c>
      <c r="F32" s="5" t="inlineStr">
        <is>
          <t>Fonte Banco Mundial API/CSV</t>
        </is>
      </c>
      <c r="G32" s="5" t="inlineStr">
        <is>
          <t>6/11</t>
        </is>
      </c>
      <c r="H32" s="5" t="n">
        <v>2024</v>
      </c>
      <c r="I32" s="5" t="inlineStr">
        <is>
          <t>Share of youth not in education, employment or training, total (% of youth population)</t>
        </is>
      </c>
      <c r="J32" s="9" t="n"/>
      <c r="K32" s="9" t="n"/>
      <c r="L32" s="9" t="n"/>
      <c r="M32" s="9" t="n"/>
      <c r="N32" s="9" t="n">
        <v>22.922</v>
      </c>
      <c r="O32" s="9" t="n">
        <v>27.286</v>
      </c>
      <c r="P32" s="9" t="n">
        <v>28.126</v>
      </c>
      <c r="Q32" s="9" t="n">
        <v>24.766</v>
      </c>
      <c r="R32" s="9" t="n">
        <v>21.383</v>
      </c>
      <c r="S32" s="9" t="n">
        <v>24.564</v>
      </c>
      <c r="T32" s="9" t="n"/>
    </row>
    <row r="33">
      <c r="A33" s="5" t="inlineStr">
        <is>
          <t>INC08</t>
        </is>
      </c>
      <c r="B33" s="5" t="inlineStr">
        <is>
          <t>4. Inclusão Social e Protecção</t>
        </is>
      </c>
      <c r="C33" s="5" t="inlineStr">
        <is>
          <t>RNB per capita</t>
        </is>
      </c>
      <c r="D33" s="5" t="inlineStr">
        <is>
          <t>Banco Mundial/WDI</t>
        </is>
      </c>
      <c r="E33" s="5" t="inlineStr">
        <is>
          <t>NY.GNP.PCAP.CD</t>
        </is>
      </c>
      <c r="F33" s="5" t="inlineStr">
        <is>
          <t>Fonte Banco Mundial API/CSV</t>
        </is>
      </c>
      <c r="G33" s="5" t="inlineStr">
        <is>
          <t>10/11</t>
        </is>
      </c>
      <c r="H33" s="5" t="n">
        <v>2024</v>
      </c>
      <c r="I33" s="5" t="inlineStr">
        <is>
          <t>GNI per capita, Atlas method (current US$)</t>
        </is>
      </c>
      <c r="J33" s="9" t="n">
        <v>4450</v>
      </c>
      <c r="K33" s="9" t="n">
        <v>2910</v>
      </c>
      <c r="L33" s="9" t="n">
        <v>2400</v>
      </c>
      <c r="M33" s="9" t="n">
        <v>2270</v>
      </c>
      <c r="N33" s="9" t="n">
        <v>2440</v>
      </c>
      <c r="O33" s="9" t="n">
        <v>2020</v>
      </c>
      <c r="P33" s="9" t="n">
        <v>1990</v>
      </c>
      <c r="Q33" s="9" t="n">
        <v>2340</v>
      </c>
      <c r="R33" s="9" t="n">
        <v>2700</v>
      </c>
      <c r="S33" s="9" t="n">
        <v>2840</v>
      </c>
      <c r="T33" s="9" t="n"/>
    </row>
    <row r="34">
      <c r="A34" s="5" t="inlineStr">
        <is>
          <t>INF01</t>
        </is>
      </c>
      <c r="B34" s="5" t="inlineStr">
        <is>
          <t>5. Infraestruturas e Serviços</t>
        </is>
      </c>
      <c r="C34" s="5" t="inlineStr">
        <is>
          <t>Acesso à eletricidade</t>
        </is>
      </c>
      <c r="D34" s="5" t="inlineStr">
        <is>
          <t>Banco Mundial/IEA</t>
        </is>
      </c>
      <c r="E34" s="5" t="inlineStr">
        <is>
          <t>EG.ELC.ACCS.ZS</t>
        </is>
      </c>
      <c r="F34" s="5" t="inlineStr">
        <is>
          <t>Fonte Banco Mundial API/CSV</t>
        </is>
      </c>
      <c r="G34" s="5" t="inlineStr">
        <is>
          <t>9/11</t>
        </is>
      </c>
      <c r="H34" s="5" t="n">
        <v>2023</v>
      </c>
      <c r="I34" s="5" t="inlineStr">
        <is>
          <t>Access to electricity (% of population)</t>
        </is>
      </c>
      <c r="J34" s="9" t="n">
        <v>42</v>
      </c>
      <c r="K34" s="9" t="n">
        <v>41.8</v>
      </c>
      <c r="L34" s="9" t="n">
        <v>42.9</v>
      </c>
      <c r="M34" s="9" t="n">
        <v>45.3</v>
      </c>
      <c r="N34" s="9" t="n">
        <v>45.6</v>
      </c>
      <c r="O34" s="9" t="n">
        <v>47</v>
      </c>
      <c r="P34" s="9" t="n">
        <v>48.2</v>
      </c>
      <c r="Q34" s="9" t="n">
        <v>48.5</v>
      </c>
      <c r="R34" s="9" t="n">
        <v>51.1</v>
      </c>
      <c r="S34" s="9" t="n"/>
      <c r="T34" s="9" t="n"/>
    </row>
    <row r="35">
      <c r="A35" s="5" t="inlineStr">
        <is>
          <t>INF02</t>
        </is>
      </c>
      <c r="B35" s="5" t="inlineStr">
        <is>
          <t>5. Infraestruturas e Serviços</t>
        </is>
      </c>
      <c r="C35" s="5" t="inlineStr">
        <is>
          <t>Perdas na rede elétrica</t>
        </is>
      </c>
      <c r="D35" s="5" t="inlineStr">
        <is>
          <t>Banco Mundial/IEA</t>
        </is>
      </c>
      <c r="E35" s="5" t="inlineStr">
        <is>
          <t>EG.ELC.LOSS.ZS</t>
        </is>
      </c>
      <c r="F35" s="5" t="inlineStr">
        <is>
          <t>Fonte Banco Mundial API/CSV</t>
        </is>
      </c>
      <c r="G35" s="5" t="inlineStr">
        <is>
          <t>9/11</t>
        </is>
      </c>
      <c r="H35" s="5" t="n">
        <v>2023</v>
      </c>
      <c r="I35" s="5" t="inlineStr">
        <is>
          <t>Electric power transmission and distribution losses (% of output)</t>
        </is>
      </c>
      <c r="J35" s="9" t="n">
        <v>11.2700699876492</v>
      </c>
      <c r="K35" s="9" t="n">
        <v>11.2669600293363</v>
      </c>
      <c r="L35" s="9" t="n">
        <v>11.2580314740665</v>
      </c>
      <c r="M35" s="9" t="n">
        <v>11.2649128173753</v>
      </c>
      <c r="N35" s="9" t="n">
        <v>11.2629123625458</v>
      </c>
      <c r="O35" s="9" t="n">
        <v>11.2661592364383</v>
      </c>
      <c r="P35" s="9" t="n">
        <v>11.2622876114836</v>
      </c>
      <c r="Q35" s="9" t="n">
        <v>11.2616822429907</v>
      </c>
      <c r="R35" s="9" t="n">
        <v>11.2667982931024</v>
      </c>
      <c r="S35" s="9" t="n"/>
      <c r="T35" s="9" t="n"/>
    </row>
    <row r="36">
      <c r="A36" s="5" t="inlineStr">
        <is>
          <t>INF03</t>
        </is>
      </c>
      <c r="B36" s="5" t="inlineStr">
        <is>
          <t>5. Infraestruturas e Serviços</t>
        </is>
      </c>
      <c r="C36" s="5" t="inlineStr">
        <is>
          <t>Acesso a água potável básica</t>
        </is>
      </c>
      <c r="D36" s="5" t="inlineStr">
        <is>
          <t>Banco Mundial/JMP</t>
        </is>
      </c>
      <c r="E36" s="5" t="inlineStr">
        <is>
          <t>SH.H2O.BASW.ZS</t>
        </is>
      </c>
      <c r="F36" s="5" t="inlineStr">
        <is>
          <t>Fonte Banco Mundial API/CSV</t>
        </is>
      </c>
      <c r="G36" s="5" t="inlineStr">
        <is>
          <t>10/11</t>
        </is>
      </c>
      <c r="H36" s="5" t="n">
        <v>2024</v>
      </c>
      <c r="I36" s="5" t="inlineStr">
        <is>
          <t>People using at least basic drinking water services (% of population)</t>
        </is>
      </c>
      <c r="J36" s="9" t="n">
        <v>58.6196312007677</v>
      </c>
      <c r="K36" s="9" t="n">
        <v>60.1920620185519</v>
      </c>
      <c r="L36" s="9" t="n">
        <v>61.7735122104541</v>
      </c>
      <c r="M36" s="9" t="n">
        <v>63.3627907388021</v>
      </c>
      <c r="N36" s="9" t="n">
        <v>64.1599110373067</v>
      </c>
      <c r="O36" s="9" t="n">
        <v>64.9440305436538</v>
      </c>
      <c r="P36" s="9" t="n">
        <v>65.71625771943501</v>
      </c>
      <c r="Q36" s="9" t="n">
        <v>66.47632731978</v>
      </c>
      <c r="R36" s="9" t="n">
        <v>67.22442525884971</v>
      </c>
      <c r="S36" s="9" t="n">
        <v>67.9607422242112</v>
      </c>
      <c r="T36" s="9" t="n"/>
    </row>
    <row r="37">
      <c r="A37" s="5" t="inlineStr">
        <is>
          <t>INF04</t>
        </is>
      </c>
      <c r="B37" s="5" t="inlineStr">
        <is>
          <t>5. Infraestruturas e Serviços</t>
        </is>
      </c>
      <c r="C37" s="5" t="inlineStr">
        <is>
          <t>Acesso a saneamento básico</t>
        </is>
      </c>
      <c r="D37" s="5" t="inlineStr">
        <is>
          <t>Banco Mundial/JMP</t>
        </is>
      </c>
      <c r="E37" s="5" t="inlineStr">
        <is>
          <t>SH.STA.BASS.ZS</t>
        </is>
      </c>
      <c r="F37" s="5" t="inlineStr">
        <is>
          <t>Fonte Banco Mundial API/CSV</t>
        </is>
      </c>
      <c r="G37" s="5" t="inlineStr">
        <is>
          <t>8/11</t>
        </is>
      </c>
      <c r="H37" s="5" t="n">
        <v>2022</v>
      </c>
      <c r="I37" s="5" t="inlineStr">
        <is>
          <t>People using at least basic sanitation services (% of population)</t>
        </is>
      </c>
      <c r="J37" s="9" t="n">
        <v>46.6837650963553</v>
      </c>
      <c r="K37" s="9" t="n">
        <v>47.555908833618</v>
      </c>
      <c r="L37" s="9" t="n">
        <v>48.4237656848917</v>
      </c>
      <c r="M37" s="9" t="n">
        <v>49.2865229934191</v>
      </c>
      <c r="N37" s="9" t="n">
        <v>49.5470237290202</v>
      </c>
      <c r="O37" s="9" t="n">
        <v>49.8016376564917</v>
      </c>
      <c r="P37" s="9" t="n">
        <v>50.0511353702384</v>
      </c>
      <c r="Q37" s="9" t="n">
        <v>50.2951359158799</v>
      </c>
      <c r="R37" s="9" t="n"/>
      <c r="S37" s="9" t="n"/>
      <c r="T37" s="9" t="n"/>
    </row>
    <row r="38">
      <c r="A38" s="5" t="inlineStr">
        <is>
          <t>INF05</t>
        </is>
      </c>
      <c r="B38" s="5" t="inlineStr">
        <is>
          <t>5. Infraestruturas e Serviços</t>
        </is>
      </c>
      <c r="C38" s="5" t="inlineStr">
        <is>
          <t>Acesso a energia limpa para cozinhar</t>
        </is>
      </c>
      <c r="D38" s="5" t="inlineStr">
        <is>
          <t>Banco Mundial/OMS</t>
        </is>
      </c>
      <c r="E38" s="5" t="inlineStr">
        <is>
          <t>EG.CFT.ACCS.ZS</t>
        </is>
      </c>
      <c r="F38" s="5" t="inlineStr">
        <is>
          <t>Fonte Banco Mundial API/CSV</t>
        </is>
      </c>
      <c r="G38" s="5" t="inlineStr">
        <is>
          <t>9/11</t>
        </is>
      </c>
      <c r="H38" s="5" t="n">
        <v>2023</v>
      </c>
      <c r="I38" s="5" t="inlineStr">
        <is>
          <t>Access to clean fuels and technologies for cooking (% of population)</t>
        </is>
      </c>
      <c r="J38" s="9" t="n">
        <v>47</v>
      </c>
      <c r="K38" s="9" t="n">
        <v>48</v>
      </c>
      <c r="L38" s="9" t="n">
        <v>48.2</v>
      </c>
      <c r="M38" s="9" t="n">
        <v>48.8</v>
      </c>
      <c r="N38" s="9" t="n">
        <v>49.2</v>
      </c>
      <c r="O38" s="9" t="n">
        <v>49.4</v>
      </c>
      <c r="P38" s="9" t="n">
        <v>49.8</v>
      </c>
      <c r="Q38" s="9" t="n">
        <v>50</v>
      </c>
      <c r="R38" s="9" t="n">
        <v>50.2</v>
      </c>
      <c r="S38" s="9" t="n"/>
      <c r="T38" s="9" t="n"/>
    </row>
    <row r="39">
      <c r="A39" s="5" t="inlineStr">
        <is>
          <t>INF06</t>
        </is>
      </c>
      <c r="B39" s="5" t="inlineStr">
        <is>
          <t>5. Infraestruturas e Serviços</t>
        </is>
      </c>
      <c r="C39" s="5" t="inlineStr">
        <is>
          <t>Utilizadores de internet</t>
        </is>
      </c>
      <c r="D39" s="5" t="inlineStr">
        <is>
          <t>Banco Mundial/ITU</t>
        </is>
      </c>
      <c r="E39" s="5" t="inlineStr">
        <is>
          <t>IT.NET.USER.ZS</t>
        </is>
      </c>
      <c r="F39" s="5" t="inlineStr">
        <is>
          <t>Fonte Banco Mundial API/CSV</t>
        </is>
      </c>
      <c r="G39" s="5" t="inlineStr">
        <is>
          <t>10/11</t>
        </is>
      </c>
      <c r="H39" s="5" t="n">
        <v>2024</v>
      </c>
      <c r="I39" s="5" t="inlineStr">
        <is>
          <t>Individuals using the Internet (% of population)</t>
        </is>
      </c>
      <c r="J39" s="9" t="n">
        <v>22</v>
      </c>
      <c r="K39" s="9" t="n">
        <v>23.20000076</v>
      </c>
      <c r="L39" s="9" t="n">
        <v>26</v>
      </c>
      <c r="M39" s="9" t="n">
        <v>29</v>
      </c>
      <c r="N39" s="9" t="n">
        <v>32.12939835</v>
      </c>
      <c r="O39" s="9" t="n">
        <v>33.32089996</v>
      </c>
      <c r="P39" s="9" t="n">
        <v>34.55649948</v>
      </c>
      <c r="Q39" s="9" t="n">
        <v>35.83800125</v>
      </c>
      <c r="R39" s="9" t="n">
        <v>37.88589859</v>
      </c>
      <c r="S39" s="9" t="n">
        <v>40.70479965</v>
      </c>
      <c r="T39" s="9" t="n"/>
    </row>
    <row r="40">
      <c r="A40" s="5" t="inlineStr">
        <is>
          <t>INF07</t>
        </is>
      </c>
      <c r="B40" s="5" t="inlineStr">
        <is>
          <t>5. Infraestruturas e Serviços</t>
        </is>
      </c>
      <c r="C40" s="5" t="inlineStr">
        <is>
          <t>Subscrições móveis</t>
        </is>
      </c>
      <c r="D40" s="5" t="inlineStr">
        <is>
          <t>Banco Mundial/ITU</t>
        </is>
      </c>
      <c r="E40" s="5" t="inlineStr">
        <is>
          <t>IT.CEL.SETS.P2</t>
        </is>
      </c>
      <c r="F40" s="5" t="inlineStr">
        <is>
          <t>Fonte Banco Mundial API/CSV</t>
        </is>
      </c>
      <c r="G40" s="5" t="inlineStr">
        <is>
          <t>10/11</t>
        </is>
      </c>
      <c r="H40" s="5" t="n">
        <v>2024</v>
      </c>
      <c r="I40" s="5" t="inlineStr">
        <is>
          <t>Mobile cellular subscriptions (per 100 people)</t>
        </is>
      </c>
      <c r="J40" s="9" t="n">
        <v>49.3097223014385</v>
      </c>
      <c r="K40" s="9" t="n">
        <v>44.5502272379157</v>
      </c>
      <c r="L40" s="9" t="n">
        <v>44.0682088632918</v>
      </c>
      <c r="M40" s="9" t="n">
        <v>42.4588784507729</v>
      </c>
      <c r="N40" s="9" t="n">
        <v>45.8065312825399</v>
      </c>
      <c r="O40" s="9" t="n">
        <v>43.7804317055698</v>
      </c>
      <c r="P40" s="9" t="n">
        <v>44.3868689341257</v>
      </c>
      <c r="Q40" s="9" t="n">
        <v>66.6008073123779</v>
      </c>
      <c r="R40" s="9" t="n">
        <v>70.0519587723571</v>
      </c>
      <c r="S40" s="9" t="n">
        <v>69.7039467163584</v>
      </c>
      <c r="T40" s="9" t="n"/>
    </row>
    <row r="41">
      <c r="A41" s="5" t="inlineStr">
        <is>
          <t>INF08</t>
        </is>
      </c>
      <c r="B41" s="5" t="inlineStr">
        <is>
          <t>5. Infraestruturas e Serviços</t>
        </is>
      </c>
      <c r="C41" s="5" t="inlineStr">
        <is>
          <t>Banda larga fixa</t>
        </is>
      </c>
      <c r="D41" s="5" t="inlineStr">
        <is>
          <t>Banco Mundial/ITU</t>
        </is>
      </c>
      <c r="E41" s="5" t="inlineStr">
        <is>
          <t>IT.NET.BBND.P2</t>
        </is>
      </c>
      <c r="F41" s="5" t="inlineStr">
        <is>
          <t>Fonte Banco Mundial API/CSV</t>
        </is>
      </c>
      <c r="G41" s="5" t="inlineStr">
        <is>
          <t>10/11</t>
        </is>
      </c>
      <c r="H41" s="5" t="n">
        <v>2024</v>
      </c>
      <c r="I41" s="5" t="inlineStr">
        <is>
          <t>Fixed broadband subscriptions (per 100 people)</t>
        </is>
      </c>
      <c r="J41" s="9" t="n">
        <v>0.545394210158053</v>
      </c>
      <c r="K41" s="9" t="n">
        <v>0.290319010302891</v>
      </c>
      <c r="L41" s="9" t="n">
        <v>0.32055404693903</v>
      </c>
      <c r="M41" s="9" t="n">
        <v>0.350066962955579</v>
      </c>
      <c r="N41" s="9" t="n">
        <v>0.367770426844486</v>
      </c>
      <c r="O41" s="9" t="n">
        <v>0.363264238710965</v>
      </c>
      <c r="P41" s="9" t="n">
        <v>0.39092529517689</v>
      </c>
      <c r="Q41" s="9" t="n">
        <v>0.386698155907211</v>
      </c>
      <c r="R41" s="9" t="n">
        <v>0.373668982990052</v>
      </c>
      <c r="S41" s="9" t="n">
        <v>0.362845240712436</v>
      </c>
      <c r="T41" s="9" t="n"/>
    </row>
    <row r="42">
      <c r="A42" s="5" t="inlineStr">
        <is>
          <t>INF09</t>
        </is>
      </c>
      <c r="B42" s="5" t="inlineStr">
        <is>
          <t>5. Infraestruturas e Serviços</t>
        </is>
      </c>
      <c r="C42" s="5" t="inlineStr">
        <is>
          <t>Densidade rodoviária</t>
        </is>
      </c>
      <c r="D42" s="5" t="inlineStr">
        <is>
          <t>MINTRANS / ficheiro base</t>
        </is>
      </c>
      <c r="E42" s="5" t="inlineStr"/>
      <c r="F42" s="5" t="inlineStr">
        <is>
          <t>Série observada do ficheiro base</t>
        </is>
      </c>
      <c r="G42" s="5" t="inlineStr">
        <is>
          <t>10/11</t>
        </is>
      </c>
      <c r="H42" s="5" t="n">
        <v>2024</v>
      </c>
      <c r="I42" s="5" t="inlineStr"/>
      <c r="J42" s="9" t="n">
        <v>29</v>
      </c>
      <c r="K42" s="9" t="n">
        <v>29</v>
      </c>
      <c r="L42" s="9" t="n">
        <v>29</v>
      </c>
      <c r="M42" s="9" t="n">
        <v>29</v>
      </c>
      <c r="N42" s="9" t="n">
        <v>29</v>
      </c>
      <c r="O42" s="9" t="n">
        <v>30</v>
      </c>
      <c r="P42" s="9" t="n">
        <v>31</v>
      </c>
      <c r="Q42" s="9" t="n">
        <v>31</v>
      </c>
      <c r="R42" s="9" t="n">
        <v>32</v>
      </c>
      <c r="S42" s="9" t="n">
        <v>33</v>
      </c>
      <c r="T42" s="9" t="n"/>
    </row>
    <row r="43">
      <c r="A43" s="5" t="inlineStr">
        <is>
          <t>LAB01</t>
        </is>
      </c>
      <c r="B43" s="5" t="inlineStr">
        <is>
          <t>6. Mercado de Trabalho</t>
        </is>
      </c>
      <c r="C43" s="5" t="inlineStr">
        <is>
          <t>Taxa de emprego</t>
        </is>
      </c>
      <c r="D43" s="5" t="inlineStr">
        <is>
          <t>Banco Mundial/OIT</t>
        </is>
      </c>
      <c r="E43" s="5" t="inlineStr">
        <is>
          <t>SL.EMP.TOTL.SP.ZS</t>
        </is>
      </c>
      <c r="F43" s="5" t="inlineStr">
        <is>
          <t>Fonte Banco Mundial API/CSV</t>
        </is>
      </c>
      <c r="G43" s="5" t="inlineStr">
        <is>
          <t>11/11</t>
        </is>
      </c>
      <c r="H43" s="5" t="n">
        <v>2025</v>
      </c>
      <c r="I43" s="5" t="inlineStr">
        <is>
          <t>Employment to population ratio, 15+, total (%) (modeled ILO estimate)</t>
        </is>
      </c>
      <c r="J43" s="9" t="n">
        <v>63.638</v>
      </c>
      <c r="K43" s="9" t="n">
        <v>63.321</v>
      </c>
      <c r="L43" s="9" t="n">
        <v>63.045</v>
      </c>
      <c r="M43" s="9" t="n">
        <v>62.812</v>
      </c>
      <c r="N43" s="9" t="n">
        <v>62.644</v>
      </c>
      <c r="O43" s="9" t="n">
        <v>61.078</v>
      </c>
      <c r="P43" s="9" t="n">
        <v>64.306</v>
      </c>
      <c r="Q43" s="9" t="n">
        <v>64.619</v>
      </c>
      <c r="R43" s="9" t="n">
        <v>64.369</v>
      </c>
      <c r="S43" s="9" t="n">
        <v>64.383</v>
      </c>
      <c r="T43" s="9" t="n">
        <v>64.236</v>
      </c>
    </row>
    <row r="44">
      <c r="A44" s="5" t="inlineStr">
        <is>
          <t>LAB02</t>
        </is>
      </c>
      <c r="B44" s="5" t="inlineStr">
        <is>
          <t>6. Mercado de Trabalho</t>
        </is>
      </c>
      <c r="C44" s="5" t="inlineStr">
        <is>
          <t>Taxa de desemprego</t>
        </is>
      </c>
      <c r="D44" s="5" t="inlineStr">
        <is>
          <t>Banco Mundial/OIT</t>
        </is>
      </c>
      <c r="E44" s="5" t="inlineStr">
        <is>
          <t>SL.UEM.TOTL.ZS</t>
        </is>
      </c>
      <c r="F44" s="5" t="inlineStr">
        <is>
          <t>Fonte Banco Mundial API/CSV</t>
        </is>
      </c>
      <c r="G44" s="5" t="inlineStr">
        <is>
          <t>11/11</t>
        </is>
      </c>
      <c r="H44" s="5" t="n">
        <v>2025</v>
      </c>
      <c r="I44" s="5" t="inlineStr">
        <is>
          <t>Unemployment, total (% of total labor force) (modeled ILO estimate)</t>
        </is>
      </c>
      <c r="J44" s="9" t="n">
        <v>16.472</v>
      </c>
      <c r="K44" s="9" t="n">
        <v>16.572</v>
      </c>
      <c r="L44" s="9" t="n">
        <v>16.617</v>
      </c>
      <c r="M44" s="9" t="n">
        <v>16.602</v>
      </c>
      <c r="N44" s="9" t="n">
        <v>16.497</v>
      </c>
      <c r="O44" s="9" t="n">
        <v>16.696</v>
      </c>
      <c r="P44" s="9" t="n">
        <v>15.799</v>
      </c>
      <c r="Q44" s="9" t="n">
        <v>14.124</v>
      </c>
      <c r="R44" s="9" t="n">
        <v>14.051</v>
      </c>
      <c r="S44" s="9" t="n">
        <v>14.02</v>
      </c>
      <c r="T44" s="9" t="n">
        <v>14.108</v>
      </c>
    </row>
    <row r="45">
      <c r="A45" s="5" t="inlineStr">
        <is>
          <t>LAB03</t>
        </is>
      </c>
      <c r="B45" s="5" t="inlineStr">
        <is>
          <t>6. Mercado de Trabalho</t>
        </is>
      </c>
      <c r="C45" s="5" t="inlineStr">
        <is>
          <t>Desemprego juvenil</t>
        </is>
      </c>
      <c r="D45" s="5" t="inlineStr">
        <is>
          <t>Banco Mundial/OIT</t>
        </is>
      </c>
      <c r="E45" s="5" t="inlineStr">
        <is>
          <t>SL.UEM.1524.ZS</t>
        </is>
      </c>
      <c r="F45" s="5" t="inlineStr">
        <is>
          <t>Fonte Banco Mundial API/CSV</t>
        </is>
      </c>
      <c r="G45" s="5" t="inlineStr">
        <is>
          <t>11/11</t>
        </is>
      </c>
      <c r="H45" s="5" t="n">
        <v>2025</v>
      </c>
      <c r="I45" s="5" t="inlineStr">
        <is>
          <t>Unemployment, youth total (% of total labor force ages 15-24) (modeled ILO estimate)</t>
        </is>
      </c>
      <c r="J45" s="9" t="n">
        <v>35.122</v>
      </c>
      <c r="K45" s="9" t="n">
        <v>34.483</v>
      </c>
      <c r="L45" s="9" t="n">
        <v>33.725</v>
      </c>
      <c r="M45" s="9" t="n">
        <v>32.855</v>
      </c>
      <c r="N45" s="9" t="n">
        <v>31.832</v>
      </c>
      <c r="O45" s="9" t="n">
        <v>33.076</v>
      </c>
      <c r="P45" s="9" t="n">
        <v>30.171</v>
      </c>
      <c r="Q45" s="9" t="n">
        <v>27.143</v>
      </c>
      <c r="R45" s="9" t="n">
        <v>26.834</v>
      </c>
      <c r="S45" s="9" t="n">
        <v>26.74</v>
      </c>
      <c r="T45" s="9" t="n">
        <v>27.229</v>
      </c>
    </row>
    <row r="46">
      <c r="A46" s="5" t="inlineStr">
        <is>
          <t>LAB04</t>
        </is>
      </c>
      <c r="B46" s="5" t="inlineStr">
        <is>
          <t>6. Mercado de Trabalho</t>
        </is>
      </c>
      <c r="C46" s="5" t="inlineStr">
        <is>
          <t>Participação na força de trabalho</t>
        </is>
      </c>
      <c r="D46" s="5" t="inlineStr">
        <is>
          <t>Banco Mundial/OIT</t>
        </is>
      </c>
      <c r="E46" s="5" t="inlineStr">
        <is>
          <t>SL.TLF.CACT.ZS</t>
        </is>
      </c>
      <c r="F46" s="5" t="inlineStr">
        <is>
          <t>Fonte Banco Mundial API/CSV</t>
        </is>
      </c>
      <c r="G46" s="5" t="inlineStr">
        <is>
          <t>11/11</t>
        </is>
      </c>
      <c r="H46" s="5" t="n">
        <v>2025</v>
      </c>
      <c r="I46" s="5" t="inlineStr">
        <is>
          <t>Labor force participation rate, total (% of total population ages 15+) (modeled ILO estimate)</t>
        </is>
      </c>
      <c r="J46" s="9" t="n">
        <v>76.187</v>
      </c>
      <c r="K46" s="9" t="n">
        <v>75.899</v>
      </c>
      <c r="L46" s="9" t="n">
        <v>75.60899999999999</v>
      </c>
      <c r="M46" s="9" t="n">
        <v>75.316</v>
      </c>
      <c r="N46" s="9" t="n">
        <v>75.021</v>
      </c>
      <c r="O46" s="9" t="n">
        <v>73.319</v>
      </c>
      <c r="P46" s="9" t="n">
        <v>76.372</v>
      </c>
      <c r="Q46" s="9" t="n">
        <v>75.247</v>
      </c>
      <c r="R46" s="9" t="n">
        <v>74.892</v>
      </c>
      <c r="S46" s="9" t="n">
        <v>74.881</v>
      </c>
      <c r="T46" s="9" t="n">
        <v>74.786</v>
      </c>
    </row>
    <row r="47">
      <c r="A47" s="5" t="inlineStr">
        <is>
          <t>LAB05</t>
        </is>
      </c>
      <c r="B47" s="5" t="inlineStr">
        <is>
          <t>6. Mercado de Trabalho</t>
        </is>
      </c>
      <c r="C47" s="5" t="inlineStr">
        <is>
          <t>Emprego vulnerável</t>
        </is>
      </c>
      <c r="D47" s="5" t="inlineStr">
        <is>
          <t>Banco Mundial/OIT</t>
        </is>
      </c>
      <c r="E47" s="5" t="inlineStr">
        <is>
          <t>SL.EMP.VULN.ZS</t>
        </is>
      </c>
      <c r="F47" s="5" t="inlineStr">
        <is>
          <t>Fonte Banco Mundial API/CSV</t>
        </is>
      </c>
      <c r="G47" s="5" t="inlineStr">
        <is>
          <t>11/11</t>
        </is>
      </c>
      <c r="H47" s="5" t="n">
        <v>2025</v>
      </c>
      <c r="I47" s="5" t="inlineStr">
        <is>
          <t>Vulnerable employment, total (% of total employment) (modeled ILO estimate)</t>
        </is>
      </c>
      <c r="J47" s="9" t="n">
        <v>65.2627838048266</v>
      </c>
      <c r="K47" s="9" t="n">
        <v>65.2247980488231</v>
      </c>
      <c r="L47" s="9" t="n">
        <v>65.2211179561194</v>
      </c>
      <c r="M47" s="9" t="n">
        <v>65.26018894209071</v>
      </c>
      <c r="N47" s="9" t="n">
        <v>65.2690021312481</v>
      </c>
      <c r="O47" s="9" t="n">
        <v>65.9410906429964</v>
      </c>
      <c r="P47" s="9" t="n">
        <v>65.7930821615419</v>
      </c>
      <c r="Q47" s="9" t="n">
        <v>66.312487849522</v>
      </c>
      <c r="R47" s="9" t="n">
        <v>66.30957435457709</v>
      </c>
      <c r="S47" s="9" t="n">
        <v>66.2335410114565</v>
      </c>
      <c r="T47" s="9" t="n">
        <v>66.2665952765539</v>
      </c>
    </row>
    <row r="48">
      <c r="A48" s="5" t="inlineStr">
        <is>
          <t>LAB06</t>
        </is>
      </c>
      <c r="B48" s="5" t="inlineStr">
        <is>
          <t>6. Mercado de Trabalho</t>
        </is>
      </c>
      <c r="C48" s="5" t="inlineStr">
        <is>
          <t>Trabalhadores assalariados</t>
        </is>
      </c>
      <c r="D48" s="5" t="inlineStr">
        <is>
          <t>Banco Mundial/OIT</t>
        </is>
      </c>
      <c r="E48" s="5" t="inlineStr">
        <is>
          <t>SL.EMP.WORK.ZS</t>
        </is>
      </c>
      <c r="F48" s="5" t="inlineStr">
        <is>
          <t>Fonte Banco Mundial API/CSV</t>
        </is>
      </c>
      <c r="G48" s="5" t="inlineStr">
        <is>
          <t>11/11</t>
        </is>
      </c>
      <c r="H48" s="5" t="n">
        <v>2025</v>
      </c>
      <c r="I48" s="5" t="inlineStr">
        <is>
          <t>Wage and salaried workers, total (% of total employment) (modeled ILO estimate)</t>
        </is>
      </c>
      <c r="J48" s="9" t="n">
        <v>25.4089966047181</v>
      </c>
      <c r="K48" s="9" t="n">
        <v>25.3856627348342</v>
      </c>
      <c r="L48" s="9" t="n">
        <v>25.3269957783597</v>
      </c>
      <c r="M48" s="9" t="n">
        <v>25.2221428486562</v>
      </c>
      <c r="N48" s="9" t="n">
        <v>25.1526346403042</v>
      </c>
      <c r="O48" s="9" t="n">
        <v>24.5781029253489</v>
      </c>
      <c r="P48" s="9" t="n">
        <v>24.690894820249</v>
      </c>
      <c r="Q48" s="9" t="n">
        <v>24.1548789834013</v>
      </c>
      <c r="R48" s="9" t="n">
        <v>24.1070868145093</v>
      </c>
      <c r="S48" s="9" t="n">
        <v>24.1421508499038</v>
      </c>
      <c r="T48" s="9" t="n">
        <v>24.0950404415573</v>
      </c>
    </row>
    <row r="49">
      <c r="A49" s="5" t="inlineStr">
        <is>
          <t>LAB07</t>
        </is>
      </c>
      <c r="B49" s="5" t="inlineStr">
        <is>
          <t>6. Mercado de Trabalho</t>
        </is>
      </c>
      <c r="C49" s="5" t="inlineStr">
        <is>
          <t>PIB por pessoa empregada</t>
        </is>
      </c>
      <c r="D49" s="5" t="inlineStr">
        <is>
          <t>Banco Mundial/OIT</t>
        </is>
      </c>
      <c r="E49" s="5" t="inlineStr">
        <is>
          <t>SL.GDP.PCAP.EM.KD</t>
        </is>
      </c>
      <c r="F49" s="5" t="inlineStr">
        <is>
          <t>Fonte Banco Mundial API/CSV</t>
        </is>
      </c>
      <c r="G49" s="5" t="inlineStr">
        <is>
          <t>10/11</t>
        </is>
      </c>
      <c r="H49" s="5" t="n">
        <v>2024</v>
      </c>
      <c r="I49" s="5" t="inlineStr">
        <is>
          <t>GDP per person employed (constant 2021 PPP $)</t>
        </is>
      </c>
      <c r="J49" s="9" t="n">
        <v>32713.472952979</v>
      </c>
      <c r="K49" s="9" t="n">
        <v>31187.4718656878</v>
      </c>
      <c r="L49" s="9" t="n">
        <v>30171.6575044905</v>
      </c>
      <c r="M49" s="9" t="n">
        <v>29053.3348953266</v>
      </c>
      <c r="N49" s="9" t="n">
        <v>28059.9533940627</v>
      </c>
      <c r="O49" s="9" t="n">
        <v>26682.7933954204</v>
      </c>
      <c r="P49" s="9" t="n">
        <v>25015.8558860116</v>
      </c>
      <c r="Q49" s="9" t="n">
        <v>25072.6000048665</v>
      </c>
      <c r="R49" s="9" t="n">
        <v>24631.96462192</v>
      </c>
      <c r="S49" s="9" t="n">
        <v>24845.8137735601</v>
      </c>
      <c r="T49" s="9" t="n"/>
    </row>
    <row r="50">
      <c r="A50" s="5" t="inlineStr">
        <is>
          <t>LAB08</t>
        </is>
      </c>
      <c r="B50" s="5" t="inlineStr">
        <is>
          <t>6. Mercado de Trabalho</t>
        </is>
      </c>
      <c r="C50" s="5" t="inlineStr">
        <is>
          <t>Emprego informal</t>
        </is>
      </c>
      <c r="D50" s="5" t="inlineStr">
        <is>
          <t>INE / ficheiro base</t>
        </is>
      </c>
      <c r="E50" s="5" t="inlineStr"/>
      <c r="F50" s="5" t="inlineStr">
        <is>
          <t>Série observada do ficheiro base</t>
        </is>
      </c>
      <c r="G50" s="5" t="inlineStr">
        <is>
          <t>7/11</t>
        </is>
      </c>
      <c r="H50" s="5" t="n">
        <v>2025</v>
      </c>
      <c r="I50" s="5" t="inlineStr"/>
      <c r="J50" s="9" t="n"/>
      <c r="K50" s="9" t="n"/>
      <c r="L50" s="9" t="n"/>
      <c r="M50" s="9" t="n"/>
      <c r="N50" s="9" t="n">
        <v>74.54181593224951</v>
      </c>
      <c r="O50" s="9" t="n">
        <v>80.3535749995373</v>
      </c>
      <c r="P50" s="9" t="n">
        <v>80.4475176515038</v>
      </c>
      <c r="Q50" s="9" t="n">
        <v>79.8601372048351</v>
      </c>
      <c r="R50" s="9" t="n">
        <v>80.4880950864722</v>
      </c>
      <c r="S50" s="9" t="n">
        <v>79.7599225654393</v>
      </c>
      <c r="T50" s="9" t="n">
        <v>77.12084248463739</v>
      </c>
    </row>
    <row r="51">
      <c r="A51" s="5" t="inlineStr">
        <is>
          <t>LAB09</t>
        </is>
      </c>
      <c r="B51" s="5" t="inlineStr">
        <is>
          <t>6. Mercado de Trabalho</t>
        </is>
      </c>
      <c r="C51" s="5" t="inlineStr">
        <is>
          <t>Taxa de formalização</t>
        </is>
      </c>
      <c r="D51" s="5" t="inlineStr">
        <is>
          <t>INSS / ficheiro base</t>
        </is>
      </c>
      <c r="E51" s="5" t="inlineStr"/>
      <c r="F51" s="5" t="inlineStr">
        <is>
          <t>Série observada do ficheiro base</t>
        </is>
      </c>
      <c r="G51" s="5" t="inlineStr">
        <is>
          <t>7/11</t>
        </is>
      </c>
      <c r="H51" s="5" t="n">
        <v>2025</v>
      </c>
      <c r="I51" s="5" t="inlineStr"/>
      <c r="J51" s="9" t="n"/>
      <c r="K51" s="9" t="n"/>
      <c r="L51" s="9" t="n"/>
      <c r="M51" s="9" t="n"/>
      <c r="N51" s="9" t="n">
        <v>25.4581840677505</v>
      </c>
      <c r="O51" s="9" t="n">
        <v>19.6464250004627</v>
      </c>
      <c r="P51" s="9" t="n">
        <v>19.5524823484962</v>
      </c>
      <c r="Q51" s="9" t="n">
        <v>20.1398627951649</v>
      </c>
      <c r="R51" s="9" t="n">
        <v>19.5119049135278</v>
      </c>
      <c r="S51" s="9" t="n">
        <v>20.2400774345607</v>
      </c>
      <c r="T51" s="9" t="n">
        <v>22.8791575153626</v>
      </c>
    </row>
    <row r="52">
      <c r="A52" s="5" t="inlineStr">
        <is>
          <t>SAU01</t>
        </is>
      </c>
      <c r="B52" s="5" t="inlineStr">
        <is>
          <t>7. Segurança Alimentar e Saúde</t>
        </is>
      </c>
      <c r="C52" s="5" t="inlineStr">
        <is>
          <t>Prevalência de subalimentação</t>
        </is>
      </c>
      <c r="D52" s="5" t="inlineStr">
        <is>
          <t>Banco Mundial/FAO</t>
        </is>
      </c>
      <c r="E52" s="5" t="inlineStr">
        <is>
          <t>SN.ITK.DEFC.ZS</t>
        </is>
      </c>
      <c r="F52" s="5" t="inlineStr">
        <is>
          <t>Fonte Banco Mundial API/CSV</t>
        </is>
      </c>
      <c r="G52" s="5" t="inlineStr">
        <is>
          <t>9/11</t>
        </is>
      </c>
      <c r="H52" s="5" t="n">
        <v>2023</v>
      </c>
      <c r="I52" s="5" t="inlineStr">
        <is>
          <t>Prevalence of undernourishment (% of population)</t>
        </is>
      </c>
      <c r="J52" s="9" t="n">
        <v>14.2</v>
      </c>
      <c r="K52" s="9" t="n">
        <v>15.2</v>
      </c>
      <c r="L52" s="9" t="n">
        <v>15.4</v>
      </c>
      <c r="M52" s="9" t="n">
        <v>15.9</v>
      </c>
      <c r="N52" s="9" t="n">
        <v>18.2</v>
      </c>
      <c r="O52" s="9" t="n">
        <v>20.8</v>
      </c>
      <c r="P52" s="9" t="n">
        <v>22.6</v>
      </c>
      <c r="Q52" s="9" t="n">
        <v>23.1</v>
      </c>
      <c r="R52" s="9" t="n">
        <v>22.5</v>
      </c>
      <c r="S52" s="9" t="n"/>
      <c r="T52" s="9" t="n"/>
    </row>
    <row r="53">
      <c r="A53" s="5" t="inlineStr">
        <is>
          <t>SAU02</t>
        </is>
      </c>
      <c r="B53" s="5" t="inlineStr">
        <is>
          <t>7. Segurança Alimentar e Saúde</t>
        </is>
      </c>
      <c r="C53" s="5" t="inlineStr">
        <is>
          <t>Insegurança alimentar moderada ou severa</t>
        </is>
      </c>
      <c r="D53" s="5" t="inlineStr">
        <is>
          <t>Banco Mundial/FAO</t>
        </is>
      </c>
      <c r="E53" s="5" t="inlineStr">
        <is>
          <t>SN.ITK.MSFI.ZS</t>
        </is>
      </c>
      <c r="F53" s="5" t="inlineStr">
        <is>
          <t>Fonte Banco Mundial API/CSV</t>
        </is>
      </c>
      <c r="G53" s="5" t="inlineStr">
        <is>
          <t>3/11</t>
        </is>
      </c>
      <c r="H53" s="5" t="n">
        <v>2021</v>
      </c>
      <c r="I53" s="5" t="inlineStr">
        <is>
          <t>Prevalence of moderate or severe food insecurity in the population (%)</t>
        </is>
      </c>
      <c r="J53" s="9" t="n"/>
      <c r="K53" s="9" t="n"/>
      <c r="L53" s="9" t="n"/>
      <c r="M53" s="9" t="n"/>
      <c r="N53" s="9" t="n">
        <v>73.5</v>
      </c>
      <c r="O53" s="9" t="n">
        <v>77.7</v>
      </c>
      <c r="P53" s="9" t="n">
        <v>78.5</v>
      </c>
      <c r="Q53" s="9" t="n"/>
      <c r="R53" s="9" t="n"/>
      <c r="S53" s="9" t="n"/>
      <c r="T53" s="9" t="n"/>
    </row>
    <row r="54">
      <c r="A54" s="5" t="inlineStr">
        <is>
          <t>SAU03</t>
        </is>
      </c>
      <c r="B54" s="5" t="inlineStr">
        <is>
          <t>7. Segurança Alimentar e Saúde</t>
        </is>
      </c>
      <c r="C54" s="5" t="inlineStr">
        <is>
          <t>Mortalidade materna</t>
        </is>
      </c>
      <c r="D54" s="5" t="inlineStr">
        <is>
          <t>Banco Mundial/OMS</t>
        </is>
      </c>
      <c r="E54" s="5" t="inlineStr">
        <is>
          <t>SH.STA.MMRT</t>
        </is>
      </c>
      <c r="F54" s="5" t="inlineStr">
        <is>
          <t>Fonte Banco Mundial API/CSV</t>
        </is>
      </c>
      <c r="G54" s="5" t="inlineStr">
        <is>
          <t>9/11</t>
        </is>
      </c>
      <c r="H54" s="5" t="n">
        <v>2023</v>
      </c>
      <c r="I54" s="5" t="inlineStr">
        <is>
          <t>Maternal mortality ratio (modeled estimate, per 100,000 live births)</t>
        </is>
      </c>
      <c r="J54" s="9" t="n">
        <v>249</v>
      </c>
      <c r="K54" s="9" t="n">
        <v>236</v>
      </c>
      <c r="L54" s="9" t="n">
        <v>220</v>
      </c>
      <c r="M54" s="9" t="n">
        <v>208</v>
      </c>
      <c r="N54" s="9" t="n">
        <v>202</v>
      </c>
      <c r="O54" s="9" t="n">
        <v>195</v>
      </c>
      <c r="P54" s="9" t="n">
        <v>211</v>
      </c>
      <c r="Q54" s="9" t="n">
        <v>185</v>
      </c>
      <c r="R54" s="9" t="n">
        <v>183</v>
      </c>
      <c r="S54" s="9" t="n"/>
      <c r="T54" s="9" t="n"/>
    </row>
    <row r="55">
      <c r="A55" s="5" t="inlineStr">
        <is>
          <t>SAU04</t>
        </is>
      </c>
      <c r="B55" s="5" t="inlineStr">
        <is>
          <t>7. Segurança Alimentar e Saúde</t>
        </is>
      </c>
      <c r="C55" s="5" t="inlineStr">
        <is>
          <t>Mortalidade de menores de 5 anos</t>
        </is>
      </c>
      <c r="D55" s="5" t="inlineStr">
        <is>
          <t>Banco Mundial/UNICEF</t>
        </is>
      </c>
      <c r="E55" s="5" t="inlineStr">
        <is>
          <t>SH.DYN.MORT</t>
        </is>
      </c>
      <c r="F55" s="5" t="inlineStr">
        <is>
          <t>Fonte Banco Mundial API/CSV</t>
        </is>
      </c>
      <c r="G55" s="5" t="inlineStr">
        <is>
          <t>10/11</t>
        </is>
      </c>
      <c r="H55" s="5" t="n">
        <v>2024</v>
      </c>
      <c r="I55" s="5" t="inlineStr">
        <is>
          <t>Mortality rate, under-5 (per 1,000 live births)</t>
        </is>
      </c>
      <c r="J55" s="9" t="n">
        <v>61.8</v>
      </c>
      <c r="K55" s="9" t="n">
        <v>59.6</v>
      </c>
      <c r="L55" s="9" t="n">
        <v>57.9</v>
      </c>
      <c r="M55" s="9" t="n">
        <v>56.5</v>
      </c>
      <c r="N55" s="9" t="n">
        <v>55.3</v>
      </c>
      <c r="O55" s="9" t="n">
        <v>54.2</v>
      </c>
      <c r="P55" s="9" t="n">
        <v>53.2</v>
      </c>
      <c r="Q55" s="9" t="n">
        <v>51.9</v>
      </c>
      <c r="R55" s="9" t="n">
        <v>50.5</v>
      </c>
      <c r="S55" s="9" t="n">
        <v>49</v>
      </c>
      <c r="T55" s="9" t="n"/>
    </row>
    <row r="56">
      <c r="A56" s="5" t="inlineStr">
        <is>
          <t>SAU05</t>
        </is>
      </c>
      <c r="B56" s="5" t="inlineStr">
        <is>
          <t>7. Segurança Alimentar e Saúde</t>
        </is>
      </c>
      <c r="C56" s="5" t="inlineStr">
        <is>
          <t>Despesa corrente em saúde</t>
        </is>
      </c>
      <c r="D56" s="5" t="inlineStr">
        <is>
          <t>Banco Mundial/OMS</t>
        </is>
      </c>
      <c r="E56" s="5" t="inlineStr">
        <is>
          <t>SH.XPD.CHEX.GD.ZS</t>
        </is>
      </c>
      <c r="F56" s="5" t="inlineStr">
        <is>
          <t>Fonte Banco Mundial API/CSV</t>
        </is>
      </c>
      <c r="G56" s="5" t="inlineStr">
        <is>
          <t>9/11</t>
        </is>
      </c>
      <c r="H56" s="5" t="n">
        <v>2023</v>
      </c>
      <c r="I56" s="5" t="inlineStr">
        <is>
          <t>Current health expenditure (% of GDP)</t>
        </is>
      </c>
      <c r="J56" s="9" t="n">
        <v>2.29966879</v>
      </c>
      <c r="K56" s="9" t="n">
        <v>2.39068723</v>
      </c>
      <c r="L56" s="9" t="n">
        <v>2.4379425</v>
      </c>
      <c r="M56" s="9" t="n">
        <v>2.29887486</v>
      </c>
      <c r="N56" s="9" t="n">
        <v>2.20394278</v>
      </c>
      <c r="O56" s="9" t="n">
        <v>2.81688905</v>
      </c>
      <c r="P56" s="9" t="n">
        <v>2.73987103</v>
      </c>
      <c r="Q56" s="9" t="n">
        <v>2.60041046</v>
      </c>
      <c r="R56" s="9" t="n">
        <v>2.54692864</v>
      </c>
      <c r="S56" s="9" t="n"/>
      <c r="T56" s="9" t="n"/>
    </row>
    <row r="57">
      <c r="A57" s="5" t="inlineStr">
        <is>
          <t>SAU06</t>
        </is>
      </c>
      <c r="B57" s="5" t="inlineStr">
        <is>
          <t>7. Segurança Alimentar e Saúde</t>
        </is>
      </c>
      <c r="C57" s="5" t="inlineStr">
        <is>
          <t>Vacinação DPT</t>
        </is>
      </c>
      <c r="D57" s="5" t="inlineStr">
        <is>
          <t>Banco Mundial/OMS/UNICEF</t>
        </is>
      </c>
      <c r="E57" s="5" t="inlineStr">
        <is>
          <t>SH.IMM.IDPT</t>
        </is>
      </c>
      <c r="F57" s="5" t="inlineStr">
        <is>
          <t>Fonte Banco Mundial API/CSV</t>
        </is>
      </c>
      <c r="G57" s="5" t="inlineStr">
        <is>
          <t>10/11</t>
        </is>
      </c>
      <c r="H57" s="5" t="n">
        <v>2024</v>
      </c>
      <c r="I57" s="5" t="inlineStr">
        <is>
          <t>Immunization, DPT (% of children ages 12-23 months)</t>
        </is>
      </c>
      <c r="J57" s="9" t="n">
        <v>57</v>
      </c>
      <c r="K57" s="9" t="n">
        <v>59</v>
      </c>
      <c r="L57" s="9" t="n">
        <v>58</v>
      </c>
      <c r="M57" s="9" t="n">
        <v>67</v>
      </c>
      <c r="N57" s="9" t="n">
        <v>64</v>
      </c>
      <c r="O57" s="9" t="n">
        <v>59</v>
      </c>
      <c r="P57" s="9" t="n">
        <v>55</v>
      </c>
      <c r="Q57" s="9" t="n">
        <v>54</v>
      </c>
      <c r="R57" s="9" t="n">
        <v>66</v>
      </c>
      <c r="S57" s="9" t="n">
        <v>64</v>
      </c>
      <c r="T57" s="9" t="n"/>
    </row>
    <row r="58">
      <c r="A58" s="5" t="inlineStr">
        <is>
          <t>SAU07</t>
        </is>
      </c>
      <c r="B58" s="5" t="inlineStr">
        <is>
          <t>7. Segurança Alimentar e Saúde</t>
        </is>
      </c>
      <c r="C58" s="5" t="inlineStr">
        <is>
          <t>Médicos</t>
        </is>
      </c>
      <c r="D58" s="5" t="inlineStr">
        <is>
          <t>Banco Mundial/OMS</t>
        </is>
      </c>
      <c r="E58" s="5" t="inlineStr">
        <is>
          <t>SH.MED.PHYS.ZS</t>
        </is>
      </c>
      <c r="F58" s="5" t="inlineStr">
        <is>
          <t>Fonte Banco Mundial API/CSV</t>
        </is>
      </c>
      <c r="G58" s="5" t="inlineStr">
        <is>
          <t>3/11</t>
        </is>
      </c>
      <c r="H58" s="5" t="n">
        <v>2022</v>
      </c>
      <c r="I58" s="5" t="inlineStr">
        <is>
          <t>Physicians (per 1,000 people)</t>
        </is>
      </c>
      <c r="J58" s="9" t="n"/>
      <c r="K58" s="9" t="n"/>
      <c r="L58" s="9" t="n">
        <v>0.212</v>
      </c>
      <c r="M58" s="9" t="n">
        <v>0.211</v>
      </c>
      <c r="N58" s="9" t="n"/>
      <c r="O58" s="9" t="n"/>
      <c r="P58" s="9" t="n"/>
      <c r="Q58" s="9" t="n">
        <v>0.244</v>
      </c>
      <c r="R58" s="9" t="n"/>
      <c r="S58" s="9" t="n"/>
      <c r="T58" s="9" t="n"/>
    </row>
    <row r="59">
      <c r="A59" s="5" t="inlineStr">
        <is>
          <t>SAU08</t>
        </is>
      </c>
      <c r="B59" s="5" t="inlineStr">
        <is>
          <t>7. Segurança Alimentar e Saúde</t>
        </is>
      </c>
      <c r="C59" s="5" t="inlineStr">
        <is>
          <t>Camas hospitalares</t>
        </is>
      </c>
      <c r="D59" s="5" t="inlineStr">
        <is>
          <t>Banco Mundial/OMS</t>
        </is>
      </c>
      <c r="E59" s="5" t="inlineStr">
        <is>
          <t>SH.MED.BEDS.ZS</t>
        </is>
      </c>
      <c r="F59" s="5" t="inlineStr">
        <is>
          <t>Fonte Banco Mundial API/CSV</t>
        </is>
      </c>
      <c r="G59" s="5" t="inlineStr">
        <is>
          <t>1/11</t>
        </is>
      </c>
      <c r="H59" s="5" t="n">
        <v>2019</v>
      </c>
      <c r="I59" s="5" t="inlineStr">
        <is>
          <t>Hospital beds (per 1,000 people)</t>
        </is>
      </c>
      <c r="J59" s="9" t="n"/>
      <c r="K59" s="9" t="n"/>
      <c r="L59" s="9" t="n"/>
      <c r="M59" s="9" t="n"/>
      <c r="N59" s="9" t="n">
        <v>0.75</v>
      </c>
      <c r="O59" s="9" t="n"/>
      <c r="P59" s="9" t="n"/>
      <c r="Q59" s="9" t="n"/>
      <c r="R59" s="9" t="n"/>
      <c r="S59" s="9" t="n"/>
      <c r="T59" s="9" t="n"/>
    </row>
    <row r="60">
      <c r="A60" s="5" t="inlineStr">
        <is>
          <t>SAU09</t>
        </is>
      </c>
      <c r="B60" s="5" t="inlineStr">
        <is>
          <t>7. Segurança Alimentar e Saúde</t>
        </is>
      </c>
      <c r="C60" s="5" t="inlineStr">
        <is>
          <t>Índice de produção alimentar</t>
        </is>
      </c>
      <c r="D60" s="5" t="inlineStr">
        <is>
          <t>Banco Mundial/FAO</t>
        </is>
      </c>
      <c r="E60" s="5" t="inlineStr">
        <is>
          <t>AG.PRD.FOOD.XD</t>
        </is>
      </c>
      <c r="F60" s="5" t="inlineStr">
        <is>
          <t>Fonte Banco Mundial API/CSV</t>
        </is>
      </c>
      <c r="G60" s="5" t="inlineStr">
        <is>
          <t>8/11</t>
        </is>
      </c>
      <c r="H60" s="5" t="n">
        <v>2022</v>
      </c>
      <c r="I60" s="5" t="inlineStr">
        <is>
          <t>Food production index (2014-2016 = 100)</t>
        </is>
      </c>
      <c r="J60" s="9" t="n">
        <v>100.7</v>
      </c>
      <c r="K60" s="9" t="n">
        <v>104.88</v>
      </c>
      <c r="L60" s="9" t="n">
        <v>105.13</v>
      </c>
      <c r="M60" s="9" t="n">
        <v>107.35</v>
      </c>
      <c r="N60" s="9" t="n">
        <v>110.28</v>
      </c>
      <c r="O60" s="9" t="n">
        <v>114.88</v>
      </c>
      <c r="P60" s="9" t="n">
        <v>117.5</v>
      </c>
      <c r="Q60" s="9" t="n">
        <v>124.09</v>
      </c>
      <c r="R60" s="9" t="n"/>
      <c r="S60" s="9" t="n"/>
      <c r="T60" s="9" t="n"/>
    </row>
  </sheetData>
  <autoFilter ref="A4:T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T60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28" customWidth="1" min="4" max="4"/>
    <col width="18" customWidth="1" min="5" max="5"/>
    <col width="32" customWidth="1" min="6" max="6"/>
    <col width="18" customWidth="1" min="7" max="7"/>
    <col width="16" customWidth="1" min="8" max="8"/>
    <col width="46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Dados ajustados usados no cálculo</t>
        </is>
      </c>
    </row>
    <row r="2">
      <c r="A2" s="2" t="inlineStr">
        <is>
          <t>Valores observados + estimativas permitidas pela metodologia. As fórmulas estão ligadas a Metodologia_v4!B12:B14.</t>
        </is>
      </c>
    </row>
    <row r="3"/>
    <row r="4">
      <c r="A4" s="7" t="inlineStr">
        <is>
          <t>ID</t>
        </is>
      </c>
      <c r="B4" s="7" t="inlineStr">
        <is>
          <t>Dimensão</t>
        </is>
      </c>
      <c r="C4" s="7" t="inlineStr">
        <is>
          <t>Indicador</t>
        </is>
      </c>
      <c r="D4" s="7" t="inlineStr">
        <is>
          <t>Fonte</t>
        </is>
      </c>
      <c r="E4" s="7" t="inlineStr">
        <is>
          <t>Código/API</t>
        </is>
      </c>
      <c r="F4" s="7" t="inlineStr">
        <is>
          <t>Estado dados</t>
        </is>
      </c>
      <c r="G4" s="7" t="inlineStr">
        <is>
          <t>Cobertura observada</t>
        </is>
      </c>
      <c r="H4" s="7" t="inlineStr">
        <is>
          <t>Último ano obs.</t>
        </is>
      </c>
      <c r="I4" s="7" t="inlineStr">
        <is>
          <t>Nota</t>
        </is>
      </c>
      <c r="J4" s="7" t="inlineStr">
        <is>
          <t>2015</t>
        </is>
      </c>
      <c r="K4" s="7" t="inlineStr">
        <is>
          <t>2016</t>
        </is>
      </c>
      <c r="L4" s="7" t="inlineStr">
        <is>
          <t>2017</t>
        </is>
      </c>
      <c r="M4" s="7" t="inlineStr">
        <is>
          <t>2018</t>
        </is>
      </c>
      <c r="N4" s="7" t="inlineStr">
        <is>
          <t>2019</t>
        </is>
      </c>
      <c r="O4" s="7" t="inlineStr">
        <is>
          <t>2020</t>
        </is>
      </c>
      <c r="P4" s="7" t="inlineStr">
        <is>
          <t>2021</t>
        </is>
      </c>
      <c r="Q4" s="7" t="inlineStr">
        <is>
          <t>2022</t>
        </is>
      </c>
      <c r="R4" s="7" t="inlineStr">
        <is>
          <t>2023</t>
        </is>
      </c>
      <c r="S4" s="7" t="inlineStr">
        <is>
          <t>2024</t>
        </is>
      </c>
      <c r="T4" s="7" t="inlineStr">
        <is>
          <t>2025</t>
        </is>
      </c>
    </row>
    <row r="5">
      <c r="A5" s="5" t="inlineStr">
        <is>
          <t>GOV01</t>
        </is>
      </c>
      <c r="B5" s="5" t="inlineStr">
        <is>
          <t>1. Governança e Estado de Direito</t>
        </is>
      </c>
      <c r="C5" s="5" t="inlineStr">
        <is>
          <t>Índice de Percepção da Corrupção</t>
        </is>
      </c>
      <c r="D5" s="5" t="inlineStr">
        <is>
          <t>Transparency International / ficheiro base</t>
        </is>
      </c>
      <c r="E5" s="5" t="inlineStr"/>
      <c r="F5" s="5" t="inlineStr">
        <is>
          <t>Série observada do ficheiro base</t>
        </is>
      </c>
      <c r="G5" s="5" t="inlineStr">
        <is>
          <t>10/11</t>
        </is>
      </c>
      <c r="H5" s="5" t="n">
        <v>2024</v>
      </c>
      <c r="I5" s="5" t="inlineStr">
        <is>
          <t>Referenciado pelas regras de Metodologia_v4</t>
        </is>
      </c>
      <c r="J5" s="9">
        <f>IF(Dados_Observados_v4!J5&lt;&gt;"",Dados_Observados_v4!J5,IF(AND(Dados_Observados_v4!K5&lt;&gt;"",(2016-2015)&lt;=Metodologia_v4!$B$14),Dados_Observados_v4!K5,""))</f>
        <v/>
      </c>
      <c r="K5" s="9">
        <f>IF(Dados_Observados_v4!K5&lt;&gt;"",Dados_Observados_v4!K5,IF(AND(Dados_Observados_v4!J5&lt;&gt;"",Dados_Observados_v4!L5&lt;&gt;"",(2017-2015-1)&lt;=Metodologia_v4!$B$12),Dados_Observados_v4!J5+(Dados_Observados_v4!L5-Dados_Observados_v4!J5)*(2016-2015)/(2017-2015),IF(AND(Dados_Observados_v4!J5&lt;&gt;"",(2016-2015)&lt;=Metodologia_v4!$B$13),Dados_Observados_v4!J5,IF(AND(Dados_Observados_v4!L5&lt;&gt;"",(2017-2016)&lt;=Metodologia_v4!$B$14),Dados_Observados_v4!L5,""))))</f>
        <v/>
      </c>
      <c r="L5" s="9">
        <f>IF(Dados_Observados_v4!L5&lt;&gt;"",Dados_Observados_v4!L5,IF(AND(Dados_Observados_v4!K5&lt;&gt;"",Dados_Observados_v4!M5&lt;&gt;"",(2018-2016-1)&lt;=Metodologia_v4!$B$12),Dados_Observados_v4!K5+(Dados_Observados_v4!M5-Dados_Observados_v4!K5)*(2017-2016)/(2018-2016),IF(AND(Dados_Observados_v4!K5&lt;&gt;"",(2017-2016)&lt;=Metodologia_v4!$B$13),Dados_Observados_v4!K5,IF(AND(Dados_Observados_v4!M5&lt;&gt;"",(2018-2017)&lt;=Metodologia_v4!$B$14),Dados_Observados_v4!M5,""))))</f>
        <v/>
      </c>
      <c r="M5" s="9">
        <f>IF(Dados_Observados_v4!M5&lt;&gt;"",Dados_Observados_v4!M5,IF(AND(Dados_Observados_v4!L5&lt;&gt;"",Dados_Observados_v4!N5&lt;&gt;"",(2019-2017-1)&lt;=Metodologia_v4!$B$12),Dados_Observados_v4!L5+(Dados_Observados_v4!N5-Dados_Observados_v4!L5)*(2018-2017)/(2019-2017),IF(AND(Dados_Observados_v4!L5&lt;&gt;"",(2018-2017)&lt;=Metodologia_v4!$B$13),Dados_Observados_v4!L5,IF(AND(Dados_Observados_v4!N5&lt;&gt;"",(2019-2018)&lt;=Metodologia_v4!$B$14),Dados_Observados_v4!N5,""))))</f>
        <v/>
      </c>
      <c r="N5" s="9">
        <f>IF(Dados_Observados_v4!N5&lt;&gt;"",Dados_Observados_v4!N5,IF(AND(Dados_Observados_v4!M5&lt;&gt;"",Dados_Observados_v4!O5&lt;&gt;"",(2020-2018-1)&lt;=Metodologia_v4!$B$12),Dados_Observados_v4!M5+(Dados_Observados_v4!O5-Dados_Observados_v4!M5)*(2019-2018)/(2020-2018),IF(AND(Dados_Observados_v4!M5&lt;&gt;"",(2019-2018)&lt;=Metodologia_v4!$B$13),Dados_Observados_v4!M5,IF(AND(Dados_Observados_v4!O5&lt;&gt;"",(2020-2019)&lt;=Metodologia_v4!$B$14),Dados_Observados_v4!O5,""))))</f>
        <v/>
      </c>
      <c r="O5" s="9">
        <f>IF(Dados_Observados_v4!O5&lt;&gt;"",Dados_Observados_v4!O5,IF(AND(Dados_Observados_v4!N5&lt;&gt;"",Dados_Observados_v4!P5&lt;&gt;"",(2021-2019-1)&lt;=Metodologia_v4!$B$12),Dados_Observados_v4!N5+(Dados_Observados_v4!P5-Dados_Observados_v4!N5)*(2020-2019)/(2021-2019),IF(AND(Dados_Observados_v4!N5&lt;&gt;"",(2020-2019)&lt;=Metodologia_v4!$B$13),Dados_Observados_v4!N5,IF(AND(Dados_Observados_v4!P5&lt;&gt;"",(2021-2020)&lt;=Metodologia_v4!$B$14),Dados_Observados_v4!P5,""))))</f>
        <v/>
      </c>
      <c r="P5" s="9">
        <f>IF(Dados_Observados_v4!P5&lt;&gt;"",Dados_Observados_v4!P5,IF(AND(Dados_Observados_v4!O5&lt;&gt;"",Dados_Observados_v4!Q5&lt;&gt;"",(2022-2020-1)&lt;=Metodologia_v4!$B$12),Dados_Observados_v4!O5+(Dados_Observados_v4!Q5-Dados_Observados_v4!O5)*(2021-2020)/(2022-2020),IF(AND(Dados_Observados_v4!O5&lt;&gt;"",(2021-2020)&lt;=Metodologia_v4!$B$13),Dados_Observados_v4!O5,IF(AND(Dados_Observados_v4!Q5&lt;&gt;"",(2022-2021)&lt;=Metodologia_v4!$B$14),Dados_Observados_v4!Q5,""))))</f>
        <v/>
      </c>
      <c r="Q5" s="9">
        <f>IF(Dados_Observados_v4!Q5&lt;&gt;"",Dados_Observados_v4!Q5,IF(AND(Dados_Observados_v4!P5&lt;&gt;"",Dados_Observados_v4!R5&lt;&gt;"",(2023-2021-1)&lt;=Metodologia_v4!$B$12),Dados_Observados_v4!P5+(Dados_Observados_v4!R5-Dados_Observados_v4!P5)*(2022-2021)/(2023-2021),IF(AND(Dados_Observados_v4!P5&lt;&gt;"",(2022-2021)&lt;=Metodologia_v4!$B$13),Dados_Observados_v4!P5,IF(AND(Dados_Observados_v4!R5&lt;&gt;"",(2023-2022)&lt;=Metodologia_v4!$B$14),Dados_Observados_v4!R5,""))))</f>
        <v/>
      </c>
      <c r="R5" s="9">
        <f>IF(Dados_Observados_v4!R5&lt;&gt;"",Dados_Observados_v4!R5,IF(AND(Dados_Observados_v4!Q5&lt;&gt;"",Dados_Observados_v4!S5&lt;&gt;"",(2024-2022-1)&lt;=Metodologia_v4!$B$12),Dados_Observados_v4!Q5+(Dados_Observados_v4!S5-Dados_Observados_v4!Q5)*(2023-2022)/(2024-2022),IF(AND(Dados_Observados_v4!Q5&lt;&gt;"",(2023-2022)&lt;=Metodologia_v4!$B$13),Dados_Observados_v4!Q5,IF(AND(Dados_Observados_v4!S5&lt;&gt;"",(2024-2023)&lt;=Metodologia_v4!$B$14),Dados_Observados_v4!S5,""))))</f>
        <v/>
      </c>
      <c r="S5" s="9">
        <f>IF(Dados_Observados_v4!S5&lt;&gt;"",Dados_Observados_v4!S5,IF(AND(Dados_Observados_v4!R5&lt;&gt;"",(2024-2023)&lt;=Metodologia_v4!$B$13),Dados_Observados_v4!R5,""))</f>
        <v/>
      </c>
      <c r="T5" s="9">
        <f>IF(Dados_Observados_v4!T5&lt;&gt;"",Dados_Observados_v4!T5,IF(AND(Dados_Observados_v4!S5&lt;&gt;"",(2025-2024)&lt;=Metodologia_v4!$B$13),Dados_Observados_v4!S5,""))</f>
        <v/>
      </c>
    </row>
    <row r="6">
      <c r="A6" s="5" t="inlineStr">
        <is>
          <t>GOV02</t>
        </is>
      </c>
      <c r="B6" s="5" t="inlineStr">
        <is>
          <t>1. Governança e Estado de Direito</t>
        </is>
      </c>
      <c r="C6" s="5" t="inlineStr">
        <is>
          <t>WGI - Estado de Direito</t>
        </is>
      </c>
      <c r="D6" s="5" t="inlineStr">
        <is>
          <t>Worldwide Governance Indicators</t>
        </is>
      </c>
      <c r="E6" s="5" t="inlineStr">
        <is>
          <t>RL.EST</t>
        </is>
      </c>
      <c r="F6" s="5" t="inlineStr">
        <is>
          <t>Fonte oficial WGI 2025</t>
        </is>
      </c>
      <c r="G6" s="5" t="inlineStr">
        <is>
          <t>10/11</t>
        </is>
      </c>
      <c r="H6" s="5" t="n">
        <v>2024</v>
      </c>
      <c r="I6" s="5" t="inlineStr">
        <is>
          <t>Referenciado pelas regras de Metodologia_v4</t>
        </is>
      </c>
      <c r="J6" s="9">
        <f>IF(Dados_Observados_v4!J6&lt;&gt;"",Dados_Observados_v4!J6,IF(AND(Dados_Observados_v4!K6&lt;&gt;"",(2016-2015)&lt;=Metodologia_v4!$B$14),Dados_Observados_v4!K6,""))</f>
        <v/>
      </c>
      <c r="K6" s="9">
        <f>IF(Dados_Observados_v4!K6&lt;&gt;"",Dados_Observados_v4!K6,IF(AND(Dados_Observados_v4!J6&lt;&gt;"",Dados_Observados_v4!L6&lt;&gt;"",(2017-2015-1)&lt;=Metodologia_v4!$B$12),Dados_Observados_v4!J6+(Dados_Observados_v4!L6-Dados_Observados_v4!J6)*(2016-2015)/(2017-2015),IF(AND(Dados_Observados_v4!J6&lt;&gt;"",(2016-2015)&lt;=Metodologia_v4!$B$13),Dados_Observados_v4!J6,IF(AND(Dados_Observados_v4!L6&lt;&gt;"",(2017-2016)&lt;=Metodologia_v4!$B$14),Dados_Observados_v4!L6,""))))</f>
        <v/>
      </c>
      <c r="L6" s="9">
        <f>IF(Dados_Observados_v4!L6&lt;&gt;"",Dados_Observados_v4!L6,IF(AND(Dados_Observados_v4!K6&lt;&gt;"",Dados_Observados_v4!M6&lt;&gt;"",(2018-2016-1)&lt;=Metodologia_v4!$B$12),Dados_Observados_v4!K6+(Dados_Observados_v4!M6-Dados_Observados_v4!K6)*(2017-2016)/(2018-2016),IF(AND(Dados_Observados_v4!K6&lt;&gt;"",(2017-2016)&lt;=Metodologia_v4!$B$13),Dados_Observados_v4!K6,IF(AND(Dados_Observados_v4!M6&lt;&gt;"",(2018-2017)&lt;=Metodologia_v4!$B$14),Dados_Observados_v4!M6,""))))</f>
        <v/>
      </c>
      <c r="M6" s="9">
        <f>IF(Dados_Observados_v4!M6&lt;&gt;"",Dados_Observados_v4!M6,IF(AND(Dados_Observados_v4!L6&lt;&gt;"",Dados_Observados_v4!N6&lt;&gt;"",(2019-2017-1)&lt;=Metodologia_v4!$B$12),Dados_Observados_v4!L6+(Dados_Observados_v4!N6-Dados_Observados_v4!L6)*(2018-2017)/(2019-2017),IF(AND(Dados_Observados_v4!L6&lt;&gt;"",(2018-2017)&lt;=Metodologia_v4!$B$13),Dados_Observados_v4!L6,IF(AND(Dados_Observados_v4!N6&lt;&gt;"",(2019-2018)&lt;=Metodologia_v4!$B$14),Dados_Observados_v4!N6,""))))</f>
        <v/>
      </c>
      <c r="N6" s="9">
        <f>IF(Dados_Observados_v4!N6&lt;&gt;"",Dados_Observados_v4!N6,IF(AND(Dados_Observados_v4!M6&lt;&gt;"",Dados_Observados_v4!O6&lt;&gt;"",(2020-2018-1)&lt;=Metodologia_v4!$B$12),Dados_Observados_v4!M6+(Dados_Observados_v4!O6-Dados_Observados_v4!M6)*(2019-2018)/(2020-2018),IF(AND(Dados_Observados_v4!M6&lt;&gt;"",(2019-2018)&lt;=Metodologia_v4!$B$13),Dados_Observados_v4!M6,IF(AND(Dados_Observados_v4!O6&lt;&gt;"",(2020-2019)&lt;=Metodologia_v4!$B$14),Dados_Observados_v4!O6,""))))</f>
        <v/>
      </c>
      <c r="O6" s="9">
        <f>IF(Dados_Observados_v4!O6&lt;&gt;"",Dados_Observados_v4!O6,IF(AND(Dados_Observados_v4!N6&lt;&gt;"",Dados_Observados_v4!P6&lt;&gt;"",(2021-2019-1)&lt;=Metodologia_v4!$B$12),Dados_Observados_v4!N6+(Dados_Observados_v4!P6-Dados_Observados_v4!N6)*(2020-2019)/(2021-2019),IF(AND(Dados_Observados_v4!N6&lt;&gt;"",(2020-2019)&lt;=Metodologia_v4!$B$13),Dados_Observados_v4!N6,IF(AND(Dados_Observados_v4!P6&lt;&gt;"",(2021-2020)&lt;=Metodologia_v4!$B$14),Dados_Observados_v4!P6,""))))</f>
        <v/>
      </c>
      <c r="P6" s="9">
        <f>IF(Dados_Observados_v4!P6&lt;&gt;"",Dados_Observados_v4!P6,IF(AND(Dados_Observados_v4!O6&lt;&gt;"",Dados_Observados_v4!Q6&lt;&gt;"",(2022-2020-1)&lt;=Metodologia_v4!$B$12),Dados_Observados_v4!O6+(Dados_Observados_v4!Q6-Dados_Observados_v4!O6)*(2021-2020)/(2022-2020),IF(AND(Dados_Observados_v4!O6&lt;&gt;"",(2021-2020)&lt;=Metodologia_v4!$B$13),Dados_Observados_v4!O6,IF(AND(Dados_Observados_v4!Q6&lt;&gt;"",(2022-2021)&lt;=Metodologia_v4!$B$14),Dados_Observados_v4!Q6,""))))</f>
        <v/>
      </c>
      <c r="Q6" s="9">
        <f>IF(Dados_Observados_v4!Q6&lt;&gt;"",Dados_Observados_v4!Q6,IF(AND(Dados_Observados_v4!P6&lt;&gt;"",Dados_Observados_v4!R6&lt;&gt;"",(2023-2021-1)&lt;=Metodologia_v4!$B$12),Dados_Observados_v4!P6+(Dados_Observados_v4!R6-Dados_Observados_v4!P6)*(2022-2021)/(2023-2021),IF(AND(Dados_Observados_v4!P6&lt;&gt;"",(2022-2021)&lt;=Metodologia_v4!$B$13),Dados_Observados_v4!P6,IF(AND(Dados_Observados_v4!R6&lt;&gt;"",(2023-2022)&lt;=Metodologia_v4!$B$14),Dados_Observados_v4!R6,""))))</f>
        <v/>
      </c>
      <c r="R6" s="9">
        <f>IF(Dados_Observados_v4!R6&lt;&gt;"",Dados_Observados_v4!R6,IF(AND(Dados_Observados_v4!Q6&lt;&gt;"",Dados_Observados_v4!S6&lt;&gt;"",(2024-2022-1)&lt;=Metodologia_v4!$B$12),Dados_Observados_v4!Q6+(Dados_Observados_v4!S6-Dados_Observados_v4!Q6)*(2023-2022)/(2024-2022),IF(AND(Dados_Observados_v4!Q6&lt;&gt;"",(2023-2022)&lt;=Metodologia_v4!$B$13),Dados_Observados_v4!Q6,IF(AND(Dados_Observados_v4!S6&lt;&gt;"",(2024-2023)&lt;=Metodologia_v4!$B$14),Dados_Observados_v4!S6,""))))</f>
        <v/>
      </c>
      <c r="S6" s="9">
        <f>IF(Dados_Observados_v4!S6&lt;&gt;"",Dados_Observados_v4!S6,IF(AND(Dados_Observados_v4!R6&lt;&gt;"",(2024-2023)&lt;=Metodologia_v4!$B$13),Dados_Observados_v4!R6,""))</f>
        <v/>
      </c>
      <c r="T6" s="9">
        <f>IF(Dados_Observados_v4!T6&lt;&gt;"",Dados_Observados_v4!T6,IF(AND(Dados_Observados_v4!S6&lt;&gt;"",(2025-2024)&lt;=Metodologia_v4!$B$13),Dados_Observados_v4!S6,""))</f>
        <v/>
      </c>
    </row>
    <row r="7">
      <c r="A7" s="5" t="inlineStr">
        <is>
          <t>GOV03</t>
        </is>
      </c>
      <c r="B7" s="5" t="inlineStr">
        <is>
          <t>1. Governança e Estado de Direito</t>
        </is>
      </c>
      <c r="C7" s="5" t="inlineStr">
        <is>
          <t>WGI - Eficiência do Governo</t>
        </is>
      </c>
      <c r="D7" s="5" t="inlineStr">
        <is>
          <t>Worldwide Governance Indicators</t>
        </is>
      </c>
      <c r="E7" s="5" t="inlineStr">
        <is>
          <t>GE.EST</t>
        </is>
      </c>
      <c r="F7" s="5" t="inlineStr">
        <is>
          <t>Fonte oficial WGI 2025</t>
        </is>
      </c>
      <c r="G7" s="5" t="inlineStr">
        <is>
          <t>10/11</t>
        </is>
      </c>
      <c r="H7" s="5" t="n">
        <v>2024</v>
      </c>
      <c r="I7" s="5" t="inlineStr">
        <is>
          <t>Referenciado pelas regras de Metodologia_v4</t>
        </is>
      </c>
      <c r="J7" s="9">
        <f>IF(Dados_Observados_v4!J7&lt;&gt;"",Dados_Observados_v4!J7,IF(AND(Dados_Observados_v4!K7&lt;&gt;"",(2016-2015)&lt;=Metodologia_v4!$B$14),Dados_Observados_v4!K7,""))</f>
        <v/>
      </c>
      <c r="K7" s="9">
        <f>IF(Dados_Observados_v4!K7&lt;&gt;"",Dados_Observados_v4!K7,IF(AND(Dados_Observados_v4!J7&lt;&gt;"",Dados_Observados_v4!L7&lt;&gt;"",(2017-2015-1)&lt;=Metodologia_v4!$B$12),Dados_Observados_v4!J7+(Dados_Observados_v4!L7-Dados_Observados_v4!J7)*(2016-2015)/(2017-2015),IF(AND(Dados_Observados_v4!J7&lt;&gt;"",(2016-2015)&lt;=Metodologia_v4!$B$13),Dados_Observados_v4!J7,IF(AND(Dados_Observados_v4!L7&lt;&gt;"",(2017-2016)&lt;=Metodologia_v4!$B$14),Dados_Observados_v4!L7,""))))</f>
        <v/>
      </c>
      <c r="L7" s="9">
        <f>IF(Dados_Observados_v4!L7&lt;&gt;"",Dados_Observados_v4!L7,IF(AND(Dados_Observados_v4!K7&lt;&gt;"",Dados_Observados_v4!M7&lt;&gt;"",(2018-2016-1)&lt;=Metodologia_v4!$B$12),Dados_Observados_v4!K7+(Dados_Observados_v4!M7-Dados_Observados_v4!K7)*(2017-2016)/(2018-2016),IF(AND(Dados_Observados_v4!K7&lt;&gt;"",(2017-2016)&lt;=Metodologia_v4!$B$13),Dados_Observados_v4!K7,IF(AND(Dados_Observados_v4!M7&lt;&gt;"",(2018-2017)&lt;=Metodologia_v4!$B$14),Dados_Observados_v4!M7,""))))</f>
        <v/>
      </c>
      <c r="M7" s="9">
        <f>IF(Dados_Observados_v4!M7&lt;&gt;"",Dados_Observados_v4!M7,IF(AND(Dados_Observados_v4!L7&lt;&gt;"",Dados_Observados_v4!N7&lt;&gt;"",(2019-2017-1)&lt;=Metodologia_v4!$B$12),Dados_Observados_v4!L7+(Dados_Observados_v4!N7-Dados_Observados_v4!L7)*(2018-2017)/(2019-2017),IF(AND(Dados_Observados_v4!L7&lt;&gt;"",(2018-2017)&lt;=Metodologia_v4!$B$13),Dados_Observados_v4!L7,IF(AND(Dados_Observados_v4!N7&lt;&gt;"",(2019-2018)&lt;=Metodologia_v4!$B$14),Dados_Observados_v4!N7,""))))</f>
        <v/>
      </c>
      <c r="N7" s="9">
        <f>IF(Dados_Observados_v4!N7&lt;&gt;"",Dados_Observados_v4!N7,IF(AND(Dados_Observados_v4!M7&lt;&gt;"",Dados_Observados_v4!O7&lt;&gt;"",(2020-2018-1)&lt;=Metodologia_v4!$B$12),Dados_Observados_v4!M7+(Dados_Observados_v4!O7-Dados_Observados_v4!M7)*(2019-2018)/(2020-2018),IF(AND(Dados_Observados_v4!M7&lt;&gt;"",(2019-2018)&lt;=Metodologia_v4!$B$13),Dados_Observados_v4!M7,IF(AND(Dados_Observados_v4!O7&lt;&gt;"",(2020-2019)&lt;=Metodologia_v4!$B$14),Dados_Observados_v4!O7,""))))</f>
        <v/>
      </c>
      <c r="O7" s="9">
        <f>IF(Dados_Observados_v4!O7&lt;&gt;"",Dados_Observados_v4!O7,IF(AND(Dados_Observados_v4!N7&lt;&gt;"",Dados_Observados_v4!P7&lt;&gt;"",(2021-2019-1)&lt;=Metodologia_v4!$B$12),Dados_Observados_v4!N7+(Dados_Observados_v4!P7-Dados_Observados_v4!N7)*(2020-2019)/(2021-2019),IF(AND(Dados_Observados_v4!N7&lt;&gt;"",(2020-2019)&lt;=Metodologia_v4!$B$13),Dados_Observados_v4!N7,IF(AND(Dados_Observados_v4!P7&lt;&gt;"",(2021-2020)&lt;=Metodologia_v4!$B$14),Dados_Observados_v4!P7,""))))</f>
        <v/>
      </c>
      <c r="P7" s="9">
        <f>IF(Dados_Observados_v4!P7&lt;&gt;"",Dados_Observados_v4!P7,IF(AND(Dados_Observados_v4!O7&lt;&gt;"",Dados_Observados_v4!Q7&lt;&gt;"",(2022-2020-1)&lt;=Metodologia_v4!$B$12),Dados_Observados_v4!O7+(Dados_Observados_v4!Q7-Dados_Observados_v4!O7)*(2021-2020)/(2022-2020),IF(AND(Dados_Observados_v4!O7&lt;&gt;"",(2021-2020)&lt;=Metodologia_v4!$B$13),Dados_Observados_v4!O7,IF(AND(Dados_Observados_v4!Q7&lt;&gt;"",(2022-2021)&lt;=Metodologia_v4!$B$14),Dados_Observados_v4!Q7,""))))</f>
        <v/>
      </c>
      <c r="Q7" s="9">
        <f>IF(Dados_Observados_v4!Q7&lt;&gt;"",Dados_Observados_v4!Q7,IF(AND(Dados_Observados_v4!P7&lt;&gt;"",Dados_Observados_v4!R7&lt;&gt;"",(2023-2021-1)&lt;=Metodologia_v4!$B$12),Dados_Observados_v4!P7+(Dados_Observados_v4!R7-Dados_Observados_v4!P7)*(2022-2021)/(2023-2021),IF(AND(Dados_Observados_v4!P7&lt;&gt;"",(2022-2021)&lt;=Metodologia_v4!$B$13),Dados_Observados_v4!P7,IF(AND(Dados_Observados_v4!R7&lt;&gt;"",(2023-2022)&lt;=Metodologia_v4!$B$14),Dados_Observados_v4!R7,""))))</f>
        <v/>
      </c>
      <c r="R7" s="9">
        <f>IF(Dados_Observados_v4!R7&lt;&gt;"",Dados_Observados_v4!R7,IF(AND(Dados_Observados_v4!Q7&lt;&gt;"",Dados_Observados_v4!S7&lt;&gt;"",(2024-2022-1)&lt;=Metodologia_v4!$B$12),Dados_Observados_v4!Q7+(Dados_Observados_v4!S7-Dados_Observados_v4!Q7)*(2023-2022)/(2024-2022),IF(AND(Dados_Observados_v4!Q7&lt;&gt;"",(2023-2022)&lt;=Metodologia_v4!$B$13),Dados_Observados_v4!Q7,IF(AND(Dados_Observados_v4!S7&lt;&gt;"",(2024-2023)&lt;=Metodologia_v4!$B$14),Dados_Observados_v4!S7,""))))</f>
        <v/>
      </c>
      <c r="S7" s="9">
        <f>IF(Dados_Observados_v4!S7&lt;&gt;"",Dados_Observados_v4!S7,IF(AND(Dados_Observados_v4!R7&lt;&gt;"",(2024-2023)&lt;=Metodologia_v4!$B$13),Dados_Observados_v4!R7,""))</f>
        <v/>
      </c>
      <c r="T7" s="9">
        <f>IF(Dados_Observados_v4!T7&lt;&gt;"",Dados_Observados_v4!T7,IF(AND(Dados_Observados_v4!S7&lt;&gt;"",(2025-2024)&lt;=Metodologia_v4!$B$13),Dados_Observados_v4!S7,""))</f>
        <v/>
      </c>
    </row>
    <row r="8">
      <c r="A8" s="5" t="inlineStr">
        <is>
          <t>GOV04</t>
        </is>
      </c>
      <c r="B8" s="5" t="inlineStr">
        <is>
          <t>1. Governança e Estado de Direito</t>
        </is>
      </c>
      <c r="C8" s="5" t="inlineStr">
        <is>
          <t>WGI - Estabilidade Política</t>
        </is>
      </c>
      <c r="D8" s="5" t="inlineStr">
        <is>
          <t>Worldwide Governance Indicators</t>
        </is>
      </c>
      <c r="E8" s="5" t="inlineStr">
        <is>
          <t>PV.EST</t>
        </is>
      </c>
      <c r="F8" s="5" t="inlineStr">
        <is>
          <t>Fonte oficial WGI 2025</t>
        </is>
      </c>
      <c r="G8" s="5" t="inlineStr">
        <is>
          <t>10/11</t>
        </is>
      </c>
      <c r="H8" s="5" t="n">
        <v>2024</v>
      </c>
      <c r="I8" s="5" t="inlineStr">
        <is>
          <t>Referenciado pelas regras de Metodologia_v4</t>
        </is>
      </c>
      <c r="J8" s="9">
        <f>IF(Dados_Observados_v4!J8&lt;&gt;"",Dados_Observados_v4!J8,IF(AND(Dados_Observados_v4!K8&lt;&gt;"",(2016-2015)&lt;=Metodologia_v4!$B$14),Dados_Observados_v4!K8,""))</f>
        <v/>
      </c>
      <c r="K8" s="9">
        <f>IF(Dados_Observados_v4!K8&lt;&gt;"",Dados_Observados_v4!K8,IF(AND(Dados_Observados_v4!J8&lt;&gt;"",Dados_Observados_v4!L8&lt;&gt;"",(2017-2015-1)&lt;=Metodologia_v4!$B$12),Dados_Observados_v4!J8+(Dados_Observados_v4!L8-Dados_Observados_v4!J8)*(2016-2015)/(2017-2015),IF(AND(Dados_Observados_v4!J8&lt;&gt;"",(2016-2015)&lt;=Metodologia_v4!$B$13),Dados_Observados_v4!J8,IF(AND(Dados_Observados_v4!L8&lt;&gt;"",(2017-2016)&lt;=Metodologia_v4!$B$14),Dados_Observados_v4!L8,""))))</f>
        <v/>
      </c>
      <c r="L8" s="9">
        <f>IF(Dados_Observados_v4!L8&lt;&gt;"",Dados_Observados_v4!L8,IF(AND(Dados_Observados_v4!K8&lt;&gt;"",Dados_Observados_v4!M8&lt;&gt;"",(2018-2016-1)&lt;=Metodologia_v4!$B$12),Dados_Observados_v4!K8+(Dados_Observados_v4!M8-Dados_Observados_v4!K8)*(2017-2016)/(2018-2016),IF(AND(Dados_Observados_v4!K8&lt;&gt;"",(2017-2016)&lt;=Metodologia_v4!$B$13),Dados_Observados_v4!K8,IF(AND(Dados_Observados_v4!M8&lt;&gt;"",(2018-2017)&lt;=Metodologia_v4!$B$14),Dados_Observados_v4!M8,""))))</f>
        <v/>
      </c>
      <c r="M8" s="9">
        <f>IF(Dados_Observados_v4!M8&lt;&gt;"",Dados_Observados_v4!M8,IF(AND(Dados_Observados_v4!L8&lt;&gt;"",Dados_Observados_v4!N8&lt;&gt;"",(2019-2017-1)&lt;=Metodologia_v4!$B$12),Dados_Observados_v4!L8+(Dados_Observados_v4!N8-Dados_Observados_v4!L8)*(2018-2017)/(2019-2017),IF(AND(Dados_Observados_v4!L8&lt;&gt;"",(2018-2017)&lt;=Metodologia_v4!$B$13),Dados_Observados_v4!L8,IF(AND(Dados_Observados_v4!N8&lt;&gt;"",(2019-2018)&lt;=Metodologia_v4!$B$14),Dados_Observados_v4!N8,""))))</f>
        <v/>
      </c>
      <c r="N8" s="9">
        <f>IF(Dados_Observados_v4!N8&lt;&gt;"",Dados_Observados_v4!N8,IF(AND(Dados_Observados_v4!M8&lt;&gt;"",Dados_Observados_v4!O8&lt;&gt;"",(2020-2018-1)&lt;=Metodologia_v4!$B$12),Dados_Observados_v4!M8+(Dados_Observados_v4!O8-Dados_Observados_v4!M8)*(2019-2018)/(2020-2018),IF(AND(Dados_Observados_v4!M8&lt;&gt;"",(2019-2018)&lt;=Metodologia_v4!$B$13),Dados_Observados_v4!M8,IF(AND(Dados_Observados_v4!O8&lt;&gt;"",(2020-2019)&lt;=Metodologia_v4!$B$14),Dados_Observados_v4!O8,""))))</f>
        <v/>
      </c>
      <c r="O8" s="9">
        <f>IF(Dados_Observados_v4!O8&lt;&gt;"",Dados_Observados_v4!O8,IF(AND(Dados_Observados_v4!N8&lt;&gt;"",Dados_Observados_v4!P8&lt;&gt;"",(2021-2019-1)&lt;=Metodologia_v4!$B$12),Dados_Observados_v4!N8+(Dados_Observados_v4!P8-Dados_Observados_v4!N8)*(2020-2019)/(2021-2019),IF(AND(Dados_Observados_v4!N8&lt;&gt;"",(2020-2019)&lt;=Metodologia_v4!$B$13),Dados_Observados_v4!N8,IF(AND(Dados_Observados_v4!P8&lt;&gt;"",(2021-2020)&lt;=Metodologia_v4!$B$14),Dados_Observados_v4!P8,""))))</f>
        <v/>
      </c>
      <c r="P8" s="9">
        <f>IF(Dados_Observados_v4!P8&lt;&gt;"",Dados_Observados_v4!P8,IF(AND(Dados_Observados_v4!O8&lt;&gt;"",Dados_Observados_v4!Q8&lt;&gt;"",(2022-2020-1)&lt;=Metodologia_v4!$B$12),Dados_Observados_v4!O8+(Dados_Observados_v4!Q8-Dados_Observados_v4!O8)*(2021-2020)/(2022-2020),IF(AND(Dados_Observados_v4!O8&lt;&gt;"",(2021-2020)&lt;=Metodologia_v4!$B$13),Dados_Observados_v4!O8,IF(AND(Dados_Observados_v4!Q8&lt;&gt;"",(2022-2021)&lt;=Metodologia_v4!$B$14),Dados_Observados_v4!Q8,""))))</f>
        <v/>
      </c>
      <c r="Q8" s="9">
        <f>IF(Dados_Observados_v4!Q8&lt;&gt;"",Dados_Observados_v4!Q8,IF(AND(Dados_Observados_v4!P8&lt;&gt;"",Dados_Observados_v4!R8&lt;&gt;"",(2023-2021-1)&lt;=Metodologia_v4!$B$12),Dados_Observados_v4!P8+(Dados_Observados_v4!R8-Dados_Observados_v4!P8)*(2022-2021)/(2023-2021),IF(AND(Dados_Observados_v4!P8&lt;&gt;"",(2022-2021)&lt;=Metodologia_v4!$B$13),Dados_Observados_v4!P8,IF(AND(Dados_Observados_v4!R8&lt;&gt;"",(2023-2022)&lt;=Metodologia_v4!$B$14),Dados_Observados_v4!R8,""))))</f>
        <v/>
      </c>
      <c r="R8" s="9">
        <f>IF(Dados_Observados_v4!R8&lt;&gt;"",Dados_Observados_v4!R8,IF(AND(Dados_Observados_v4!Q8&lt;&gt;"",Dados_Observados_v4!S8&lt;&gt;"",(2024-2022-1)&lt;=Metodologia_v4!$B$12),Dados_Observados_v4!Q8+(Dados_Observados_v4!S8-Dados_Observados_v4!Q8)*(2023-2022)/(2024-2022),IF(AND(Dados_Observados_v4!Q8&lt;&gt;"",(2023-2022)&lt;=Metodologia_v4!$B$13),Dados_Observados_v4!Q8,IF(AND(Dados_Observados_v4!S8&lt;&gt;"",(2024-2023)&lt;=Metodologia_v4!$B$14),Dados_Observados_v4!S8,""))))</f>
        <v/>
      </c>
      <c r="S8" s="9">
        <f>IF(Dados_Observados_v4!S8&lt;&gt;"",Dados_Observados_v4!S8,IF(AND(Dados_Observados_v4!R8&lt;&gt;"",(2024-2023)&lt;=Metodologia_v4!$B$13),Dados_Observados_v4!R8,""))</f>
        <v/>
      </c>
      <c r="T8" s="9">
        <f>IF(Dados_Observados_v4!T8&lt;&gt;"",Dados_Observados_v4!T8,IF(AND(Dados_Observados_v4!S8&lt;&gt;"",(2025-2024)&lt;=Metodologia_v4!$B$13),Dados_Observados_v4!S8,""))</f>
        <v/>
      </c>
    </row>
    <row r="9">
      <c r="A9" s="5" t="inlineStr">
        <is>
          <t>GOV05</t>
        </is>
      </c>
      <c r="B9" s="5" t="inlineStr">
        <is>
          <t>1. Governança e Estado de Direito</t>
        </is>
      </c>
      <c r="C9" s="5" t="inlineStr">
        <is>
          <t>WGI - Qualidade Regulatória</t>
        </is>
      </c>
      <c r="D9" s="5" t="inlineStr">
        <is>
          <t>Worldwide Governance Indicators</t>
        </is>
      </c>
      <c r="E9" s="5" t="inlineStr">
        <is>
          <t>RQ.EST</t>
        </is>
      </c>
      <c r="F9" s="5" t="inlineStr">
        <is>
          <t>Fonte oficial WGI 2025</t>
        </is>
      </c>
      <c r="G9" s="5" t="inlineStr">
        <is>
          <t>10/11</t>
        </is>
      </c>
      <c r="H9" s="5" t="n">
        <v>2024</v>
      </c>
      <c r="I9" s="5" t="inlineStr">
        <is>
          <t>Referenciado pelas regras de Metodologia_v4</t>
        </is>
      </c>
      <c r="J9" s="9">
        <f>IF(Dados_Observados_v4!J9&lt;&gt;"",Dados_Observados_v4!J9,IF(AND(Dados_Observados_v4!K9&lt;&gt;"",(2016-2015)&lt;=Metodologia_v4!$B$14),Dados_Observados_v4!K9,""))</f>
        <v/>
      </c>
      <c r="K9" s="9">
        <f>IF(Dados_Observados_v4!K9&lt;&gt;"",Dados_Observados_v4!K9,IF(AND(Dados_Observados_v4!J9&lt;&gt;"",Dados_Observados_v4!L9&lt;&gt;"",(2017-2015-1)&lt;=Metodologia_v4!$B$12),Dados_Observados_v4!J9+(Dados_Observados_v4!L9-Dados_Observados_v4!J9)*(2016-2015)/(2017-2015),IF(AND(Dados_Observados_v4!J9&lt;&gt;"",(2016-2015)&lt;=Metodologia_v4!$B$13),Dados_Observados_v4!J9,IF(AND(Dados_Observados_v4!L9&lt;&gt;"",(2017-2016)&lt;=Metodologia_v4!$B$14),Dados_Observados_v4!L9,""))))</f>
        <v/>
      </c>
      <c r="L9" s="9">
        <f>IF(Dados_Observados_v4!L9&lt;&gt;"",Dados_Observados_v4!L9,IF(AND(Dados_Observados_v4!K9&lt;&gt;"",Dados_Observados_v4!M9&lt;&gt;"",(2018-2016-1)&lt;=Metodologia_v4!$B$12),Dados_Observados_v4!K9+(Dados_Observados_v4!M9-Dados_Observados_v4!K9)*(2017-2016)/(2018-2016),IF(AND(Dados_Observados_v4!K9&lt;&gt;"",(2017-2016)&lt;=Metodologia_v4!$B$13),Dados_Observados_v4!K9,IF(AND(Dados_Observados_v4!M9&lt;&gt;"",(2018-2017)&lt;=Metodologia_v4!$B$14),Dados_Observados_v4!M9,""))))</f>
        <v/>
      </c>
      <c r="M9" s="9">
        <f>IF(Dados_Observados_v4!M9&lt;&gt;"",Dados_Observados_v4!M9,IF(AND(Dados_Observados_v4!L9&lt;&gt;"",Dados_Observados_v4!N9&lt;&gt;"",(2019-2017-1)&lt;=Metodologia_v4!$B$12),Dados_Observados_v4!L9+(Dados_Observados_v4!N9-Dados_Observados_v4!L9)*(2018-2017)/(2019-2017),IF(AND(Dados_Observados_v4!L9&lt;&gt;"",(2018-2017)&lt;=Metodologia_v4!$B$13),Dados_Observados_v4!L9,IF(AND(Dados_Observados_v4!N9&lt;&gt;"",(2019-2018)&lt;=Metodologia_v4!$B$14),Dados_Observados_v4!N9,""))))</f>
        <v/>
      </c>
      <c r="N9" s="9">
        <f>IF(Dados_Observados_v4!N9&lt;&gt;"",Dados_Observados_v4!N9,IF(AND(Dados_Observados_v4!M9&lt;&gt;"",Dados_Observados_v4!O9&lt;&gt;"",(2020-2018-1)&lt;=Metodologia_v4!$B$12),Dados_Observados_v4!M9+(Dados_Observados_v4!O9-Dados_Observados_v4!M9)*(2019-2018)/(2020-2018),IF(AND(Dados_Observados_v4!M9&lt;&gt;"",(2019-2018)&lt;=Metodologia_v4!$B$13),Dados_Observados_v4!M9,IF(AND(Dados_Observados_v4!O9&lt;&gt;"",(2020-2019)&lt;=Metodologia_v4!$B$14),Dados_Observados_v4!O9,""))))</f>
        <v/>
      </c>
      <c r="O9" s="9">
        <f>IF(Dados_Observados_v4!O9&lt;&gt;"",Dados_Observados_v4!O9,IF(AND(Dados_Observados_v4!N9&lt;&gt;"",Dados_Observados_v4!P9&lt;&gt;"",(2021-2019-1)&lt;=Metodologia_v4!$B$12),Dados_Observados_v4!N9+(Dados_Observados_v4!P9-Dados_Observados_v4!N9)*(2020-2019)/(2021-2019),IF(AND(Dados_Observados_v4!N9&lt;&gt;"",(2020-2019)&lt;=Metodologia_v4!$B$13),Dados_Observados_v4!N9,IF(AND(Dados_Observados_v4!P9&lt;&gt;"",(2021-2020)&lt;=Metodologia_v4!$B$14),Dados_Observados_v4!P9,""))))</f>
        <v/>
      </c>
      <c r="P9" s="9">
        <f>IF(Dados_Observados_v4!P9&lt;&gt;"",Dados_Observados_v4!P9,IF(AND(Dados_Observados_v4!O9&lt;&gt;"",Dados_Observados_v4!Q9&lt;&gt;"",(2022-2020-1)&lt;=Metodologia_v4!$B$12),Dados_Observados_v4!O9+(Dados_Observados_v4!Q9-Dados_Observados_v4!O9)*(2021-2020)/(2022-2020),IF(AND(Dados_Observados_v4!O9&lt;&gt;"",(2021-2020)&lt;=Metodologia_v4!$B$13),Dados_Observados_v4!O9,IF(AND(Dados_Observados_v4!Q9&lt;&gt;"",(2022-2021)&lt;=Metodologia_v4!$B$14),Dados_Observados_v4!Q9,""))))</f>
        <v/>
      </c>
      <c r="Q9" s="9">
        <f>IF(Dados_Observados_v4!Q9&lt;&gt;"",Dados_Observados_v4!Q9,IF(AND(Dados_Observados_v4!P9&lt;&gt;"",Dados_Observados_v4!R9&lt;&gt;"",(2023-2021-1)&lt;=Metodologia_v4!$B$12),Dados_Observados_v4!P9+(Dados_Observados_v4!R9-Dados_Observados_v4!P9)*(2022-2021)/(2023-2021),IF(AND(Dados_Observados_v4!P9&lt;&gt;"",(2022-2021)&lt;=Metodologia_v4!$B$13),Dados_Observados_v4!P9,IF(AND(Dados_Observados_v4!R9&lt;&gt;"",(2023-2022)&lt;=Metodologia_v4!$B$14),Dados_Observados_v4!R9,""))))</f>
        <v/>
      </c>
      <c r="R9" s="9">
        <f>IF(Dados_Observados_v4!R9&lt;&gt;"",Dados_Observados_v4!R9,IF(AND(Dados_Observados_v4!Q9&lt;&gt;"",Dados_Observados_v4!S9&lt;&gt;"",(2024-2022-1)&lt;=Metodologia_v4!$B$12),Dados_Observados_v4!Q9+(Dados_Observados_v4!S9-Dados_Observados_v4!Q9)*(2023-2022)/(2024-2022),IF(AND(Dados_Observados_v4!Q9&lt;&gt;"",(2023-2022)&lt;=Metodologia_v4!$B$13),Dados_Observados_v4!Q9,IF(AND(Dados_Observados_v4!S9&lt;&gt;"",(2024-2023)&lt;=Metodologia_v4!$B$14),Dados_Observados_v4!S9,""))))</f>
        <v/>
      </c>
      <c r="S9" s="9">
        <f>IF(Dados_Observados_v4!S9&lt;&gt;"",Dados_Observados_v4!S9,IF(AND(Dados_Observados_v4!R9&lt;&gt;"",(2024-2023)&lt;=Metodologia_v4!$B$13),Dados_Observados_v4!R9,""))</f>
        <v/>
      </c>
      <c r="T9" s="9">
        <f>IF(Dados_Observados_v4!T9&lt;&gt;"",Dados_Observados_v4!T9,IF(AND(Dados_Observados_v4!S9&lt;&gt;"",(2025-2024)&lt;=Metodologia_v4!$B$13),Dados_Observados_v4!S9,""))</f>
        <v/>
      </c>
    </row>
    <row r="10">
      <c r="A10" s="5" t="inlineStr">
        <is>
          <t>GOV06</t>
        </is>
      </c>
      <c r="B10" s="5" t="inlineStr">
        <is>
          <t>1. Governança e Estado de Direito</t>
        </is>
      </c>
      <c r="C10" s="5" t="inlineStr">
        <is>
          <t>WGI - Controlo da Corrupção</t>
        </is>
      </c>
      <c r="D10" s="5" t="inlineStr">
        <is>
          <t>Worldwide Governance Indicators</t>
        </is>
      </c>
      <c r="E10" s="5" t="inlineStr">
        <is>
          <t>CC.EST</t>
        </is>
      </c>
      <c r="F10" s="5" t="inlineStr">
        <is>
          <t>Fonte oficial WGI 2025</t>
        </is>
      </c>
      <c r="G10" s="5" t="inlineStr">
        <is>
          <t>10/11</t>
        </is>
      </c>
      <c r="H10" s="5" t="n">
        <v>2024</v>
      </c>
      <c r="I10" s="5" t="inlineStr">
        <is>
          <t>Referenciado pelas regras de Metodologia_v4</t>
        </is>
      </c>
      <c r="J10" s="9">
        <f>IF(Dados_Observados_v4!J10&lt;&gt;"",Dados_Observados_v4!J10,IF(AND(Dados_Observados_v4!K10&lt;&gt;"",(2016-2015)&lt;=Metodologia_v4!$B$14),Dados_Observados_v4!K10,""))</f>
        <v/>
      </c>
      <c r="K10" s="9">
        <f>IF(Dados_Observados_v4!K10&lt;&gt;"",Dados_Observados_v4!K10,IF(AND(Dados_Observados_v4!J10&lt;&gt;"",Dados_Observados_v4!L10&lt;&gt;"",(2017-2015-1)&lt;=Metodologia_v4!$B$12),Dados_Observados_v4!J10+(Dados_Observados_v4!L10-Dados_Observados_v4!J10)*(2016-2015)/(2017-2015),IF(AND(Dados_Observados_v4!J10&lt;&gt;"",(2016-2015)&lt;=Metodologia_v4!$B$13),Dados_Observados_v4!J10,IF(AND(Dados_Observados_v4!L10&lt;&gt;"",(2017-2016)&lt;=Metodologia_v4!$B$14),Dados_Observados_v4!L10,""))))</f>
        <v/>
      </c>
      <c r="L10" s="9">
        <f>IF(Dados_Observados_v4!L10&lt;&gt;"",Dados_Observados_v4!L10,IF(AND(Dados_Observados_v4!K10&lt;&gt;"",Dados_Observados_v4!M10&lt;&gt;"",(2018-2016-1)&lt;=Metodologia_v4!$B$12),Dados_Observados_v4!K10+(Dados_Observados_v4!M10-Dados_Observados_v4!K10)*(2017-2016)/(2018-2016),IF(AND(Dados_Observados_v4!K10&lt;&gt;"",(2017-2016)&lt;=Metodologia_v4!$B$13),Dados_Observados_v4!K10,IF(AND(Dados_Observados_v4!M10&lt;&gt;"",(2018-2017)&lt;=Metodologia_v4!$B$14),Dados_Observados_v4!M10,""))))</f>
        <v/>
      </c>
      <c r="M10" s="9">
        <f>IF(Dados_Observados_v4!M10&lt;&gt;"",Dados_Observados_v4!M10,IF(AND(Dados_Observados_v4!L10&lt;&gt;"",Dados_Observados_v4!N10&lt;&gt;"",(2019-2017-1)&lt;=Metodologia_v4!$B$12),Dados_Observados_v4!L10+(Dados_Observados_v4!N10-Dados_Observados_v4!L10)*(2018-2017)/(2019-2017),IF(AND(Dados_Observados_v4!L10&lt;&gt;"",(2018-2017)&lt;=Metodologia_v4!$B$13),Dados_Observados_v4!L10,IF(AND(Dados_Observados_v4!N10&lt;&gt;"",(2019-2018)&lt;=Metodologia_v4!$B$14),Dados_Observados_v4!N10,""))))</f>
        <v/>
      </c>
      <c r="N10" s="9">
        <f>IF(Dados_Observados_v4!N10&lt;&gt;"",Dados_Observados_v4!N10,IF(AND(Dados_Observados_v4!M10&lt;&gt;"",Dados_Observados_v4!O10&lt;&gt;"",(2020-2018-1)&lt;=Metodologia_v4!$B$12),Dados_Observados_v4!M10+(Dados_Observados_v4!O10-Dados_Observados_v4!M10)*(2019-2018)/(2020-2018),IF(AND(Dados_Observados_v4!M10&lt;&gt;"",(2019-2018)&lt;=Metodologia_v4!$B$13),Dados_Observados_v4!M10,IF(AND(Dados_Observados_v4!O10&lt;&gt;"",(2020-2019)&lt;=Metodologia_v4!$B$14),Dados_Observados_v4!O10,""))))</f>
        <v/>
      </c>
      <c r="O10" s="9">
        <f>IF(Dados_Observados_v4!O10&lt;&gt;"",Dados_Observados_v4!O10,IF(AND(Dados_Observados_v4!N10&lt;&gt;"",Dados_Observados_v4!P10&lt;&gt;"",(2021-2019-1)&lt;=Metodologia_v4!$B$12),Dados_Observados_v4!N10+(Dados_Observados_v4!P10-Dados_Observados_v4!N10)*(2020-2019)/(2021-2019),IF(AND(Dados_Observados_v4!N10&lt;&gt;"",(2020-2019)&lt;=Metodologia_v4!$B$13),Dados_Observados_v4!N10,IF(AND(Dados_Observados_v4!P10&lt;&gt;"",(2021-2020)&lt;=Metodologia_v4!$B$14),Dados_Observados_v4!P10,""))))</f>
        <v/>
      </c>
      <c r="P10" s="9">
        <f>IF(Dados_Observados_v4!P10&lt;&gt;"",Dados_Observados_v4!P10,IF(AND(Dados_Observados_v4!O10&lt;&gt;"",Dados_Observados_v4!Q10&lt;&gt;"",(2022-2020-1)&lt;=Metodologia_v4!$B$12),Dados_Observados_v4!O10+(Dados_Observados_v4!Q10-Dados_Observados_v4!O10)*(2021-2020)/(2022-2020),IF(AND(Dados_Observados_v4!O10&lt;&gt;"",(2021-2020)&lt;=Metodologia_v4!$B$13),Dados_Observados_v4!O10,IF(AND(Dados_Observados_v4!Q10&lt;&gt;"",(2022-2021)&lt;=Metodologia_v4!$B$14),Dados_Observados_v4!Q10,""))))</f>
        <v/>
      </c>
      <c r="Q10" s="9">
        <f>IF(Dados_Observados_v4!Q10&lt;&gt;"",Dados_Observados_v4!Q10,IF(AND(Dados_Observados_v4!P10&lt;&gt;"",Dados_Observados_v4!R10&lt;&gt;"",(2023-2021-1)&lt;=Metodologia_v4!$B$12),Dados_Observados_v4!P10+(Dados_Observados_v4!R10-Dados_Observados_v4!P10)*(2022-2021)/(2023-2021),IF(AND(Dados_Observados_v4!P10&lt;&gt;"",(2022-2021)&lt;=Metodologia_v4!$B$13),Dados_Observados_v4!P10,IF(AND(Dados_Observados_v4!R10&lt;&gt;"",(2023-2022)&lt;=Metodologia_v4!$B$14),Dados_Observados_v4!R10,""))))</f>
        <v/>
      </c>
      <c r="R10" s="9">
        <f>IF(Dados_Observados_v4!R10&lt;&gt;"",Dados_Observados_v4!R10,IF(AND(Dados_Observados_v4!Q10&lt;&gt;"",Dados_Observados_v4!S10&lt;&gt;"",(2024-2022-1)&lt;=Metodologia_v4!$B$12),Dados_Observados_v4!Q10+(Dados_Observados_v4!S10-Dados_Observados_v4!Q10)*(2023-2022)/(2024-2022),IF(AND(Dados_Observados_v4!Q10&lt;&gt;"",(2023-2022)&lt;=Metodologia_v4!$B$13),Dados_Observados_v4!Q10,IF(AND(Dados_Observados_v4!S10&lt;&gt;"",(2024-2023)&lt;=Metodologia_v4!$B$14),Dados_Observados_v4!S10,""))))</f>
        <v/>
      </c>
      <c r="S10" s="9">
        <f>IF(Dados_Observados_v4!S10&lt;&gt;"",Dados_Observados_v4!S10,IF(AND(Dados_Observados_v4!R10&lt;&gt;"",(2024-2023)&lt;=Metodologia_v4!$B$13),Dados_Observados_v4!R10,""))</f>
        <v/>
      </c>
      <c r="T10" s="9">
        <f>IF(Dados_Observados_v4!T10&lt;&gt;"",Dados_Observados_v4!T10,IF(AND(Dados_Observados_v4!S10&lt;&gt;"",(2025-2024)&lt;=Metodologia_v4!$B$13),Dados_Observados_v4!S10,""))</f>
        <v/>
      </c>
    </row>
    <row r="11">
      <c r="A11" s="5" t="inlineStr">
        <is>
          <t>MAC01</t>
        </is>
      </c>
      <c r="B11" s="5" t="inlineStr">
        <is>
          <t>2. Estabilidade Macroeconómica</t>
        </is>
      </c>
      <c r="C11" s="5" t="inlineStr">
        <is>
          <t>Crescimento real do PIB</t>
        </is>
      </c>
      <c r="D11" s="5" t="inlineStr">
        <is>
          <t>Banco Mundial/WDI</t>
        </is>
      </c>
      <c r="E11" s="5" t="inlineStr">
        <is>
          <t>NY.GDP.MKTP.KD.ZG</t>
        </is>
      </c>
      <c r="F11" s="5" t="inlineStr">
        <is>
          <t>Fonte Banco Mundial API/CSV</t>
        </is>
      </c>
      <c r="G11" s="5" t="inlineStr">
        <is>
          <t>10/11</t>
        </is>
      </c>
      <c r="H11" s="5" t="n">
        <v>2024</v>
      </c>
      <c r="I11" s="5" t="inlineStr">
        <is>
          <t>Referenciado pelas regras de Metodologia_v4</t>
        </is>
      </c>
      <c r="J11" s="9">
        <f>IF(Dados_Observados_v4!J11&lt;&gt;"",Dados_Observados_v4!J11,IF(AND(Dados_Observados_v4!K11&lt;&gt;"",(2016-2015)&lt;=Metodologia_v4!$B$14),Dados_Observados_v4!K11,""))</f>
        <v/>
      </c>
      <c r="K11" s="9">
        <f>IF(Dados_Observados_v4!K11&lt;&gt;"",Dados_Observados_v4!K11,IF(AND(Dados_Observados_v4!J11&lt;&gt;"",Dados_Observados_v4!L11&lt;&gt;"",(2017-2015-1)&lt;=Metodologia_v4!$B$12),Dados_Observados_v4!J11+(Dados_Observados_v4!L11-Dados_Observados_v4!J11)*(2016-2015)/(2017-2015),IF(AND(Dados_Observados_v4!J11&lt;&gt;"",(2016-2015)&lt;=Metodologia_v4!$B$13),Dados_Observados_v4!J11,IF(AND(Dados_Observados_v4!L11&lt;&gt;"",(2017-2016)&lt;=Metodologia_v4!$B$14),Dados_Observados_v4!L11,""))))</f>
        <v/>
      </c>
      <c r="L11" s="9">
        <f>IF(Dados_Observados_v4!L11&lt;&gt;"",Dados_Observados_v4!L11,IF(AND(Dados_Observados_v4!K11&lt;&gt;"",Dados_Observados_v4!M11&lt;&gt;"",(2018-2016-1)&lt;=Metodologia_v4!$B$12),Dados_Observados_v4!K11+(Dados_Observados_v4!M11-Dados_Observados_v4!K11)*(2017-2016)/(2018-2016),IF(AND(Dados_Observados_v4!K11&lt;&gt;"",(2017-2016)&lt;=Metodologia_v4!$B$13),Dados_Observados_v4!K11,IF(AND(Dados_Observados_v4!M11&lt;&gt;"",(2018-2017)&lt;=Metodologia_v4!$B$14),Dados_Observados_v4!M11,""))))</f>
        <v/>
      </c>
      <c r="M11" s="9">
        <f>IF(Dados_Observados_v4!M11&lt;&gt;"",Dados_Observados_v4!M11,IF(AND(Dados_Observados_v4!L11&lt;&gt;"",Dados_Observados_v4!N11&lt;&gt;"",(2019-2017-1)&lt;=Metodologia_v4!$B$12),Dados_Observados_v4!L11+(Dados_Observados_v4!N11-Dados_Observados_v4!L11)*(2018-2017)/(2019-2017),IF(AND(Dados_Observados_v4!L11&lt;&gt;"",(2018-2017)&lt;=Metodologia_v4!$B$13),Dados_Observados_v4!L11,IF(AND(Dados_Observados_v4!N11&lt;&gt;"",(2019-2018)&lt;=Metodologia_v4!$B$14),Dados_Observados_v4!N11,""))))</f>
        <v/>
      </c>
      <c r="N11" s="9">
        <f>IF(Dados_Observados_v4!N11&lt;&gt;"",Dados_Observados_v4!N11,IF(AND(Dados_Observados_v4!M11&lt;&gt;"",Dados_Observados_v4!O11&lt;&gt;"",(2020-2018-1)&lt;=Metodologia_v4!$B$12),Dados_Observados_v4!M11+(Dados_Observados_v4!O11-Dados_Observados_v4!M11)*(2019-2018)/(2020-2018),IF(AND(Dados_Observados_v4!M11&lt;&gt;"",(2019-2018)&lt;=Metodologia_v4!$B$13),Dados_Observados_v4!M11,IF(AND(Dados_Observados_v4!O11&lt;&gt;"",(2020-2019)&lt;=Metodologia_v4!$B$14),Dados_Observados_v4!O11,""))))</f>
        <v/>
      </c>
      <c r="O11" s="9">
        <f>IF(Dados_Observados_v4!O11&lt;&gt;"",Dados_Observados_v4!O11,IF(AND(Dados_Observados_v4!N11&lt;&gt;"",Dados_Observados_v4!P11&lt;&gt;"",(2021-2019-1)&lt;=Metodologia_v4!$B$12),Dados_Observados_v4!N11+(Dados_Observados_v4!P11-Dados_Observados_v4!N11)*(2020-2019)/(2021-2019),IF(AND(Dados_Observados_v4!N11&lt;&gt;"",(2020-2019)&lt;=Metodologia_v4!$B$13),Dados_Observados_v4!N11,IF(AND(Dados_Observados_v4!P11&lt;&gt;"",(2021-2020)&lt;=Metodologia_v4!$B$14),Dados_Observados_v4!P11,""))))</f>
        <v/>
      </c>
      <c r="P11" s="9">
        <f>IF(Dados_Observados_v4!P11&lt;&gt;"",Dados_Observados_v4!P11,IF(AND(Dados_Observados_v4!O11&lt;&gt;"",Dados_Observados_v4!Q11&lt;&gt;"",(2022-2020-1)&lt;=Metodologia_v4!$B$12),Dados_Observados_v4!O11+(Dados_Observados_v4!Q11-Dados_Observados_v4!O11)*(2021-2020)/(2022-2020),IF(AND(Dados_Observados_v4!O11&lt;&gt;"",(2021-2020)&lt;=Metodologia_v4!$B$13),Dados_Observados_v4!O11,IF(AND(Dados_Observados_v4!Q11&lt;&gt;"",(2022-2021)&lt;=Metodologia_v4!$B$14),Dados_Observados_v4!Q11,""))))</f>
        <v/>
      </c>
      <c r="Q11" s="9">
        <f>IF(Dados_Observados_v4!Q11&lt;&gt;"",Dados_Observados_v4!Q11,IF(AND(Dados_Observados_v4!P11&lt;&gt;"",Dados_Observados_v4!R11&lt;&gt;"",(2023-2021-1)&lt;=Metodologia_v4!$B$12),Dados_Observados_v4!P11+(Dados_Observados_v4!R11-Dados_Observados_v4!P11)*(2022-2021)/(2023-2021),IF(AND(Dados_Observados_v4!P11&lt;&gt;"",(2022-2021)&lt;=Metodologia_v4!$B$13),Dados_Observados_v4!P11,IF(AND(Dados_Observados_v4!R11&lt;&gt;"",(2023-2022)&lt;=Metodologia_v4!$B$14),Dados_Observados_v4!R11,""))))</f>
        <v/>
      </c>
      <c r="R11" s="9">
        <f>IF(Dados_Observados_v4!R11&lt;&gt;"",Dados_Observados_v4!R11,IF(AND(Dados_Observados_v4!Q11&lt;&gt;"",Dados_Observados_v4!S11&lt;&gt;"",(2024-2022-1)&lt;=Metodologia_v4!$B$12),Dados_Observados_v4!Q11+(Dados_Observados_v4!S11-Dados_Observados_v4!Q11)*(2023-2022)/(2024-2022),IF(AND(Dados_Observados_v4!Q11&lt;&gt;"",(2023-2022)&lt;=Metodologia_v4!$B$13),Dados_Observados_v4!Q11,IF(AND(Dados_Observados_v4!S11&lt;&gt;"",(2024-2023)&lt;=Metodologia_v4!$B$14),Dados_Observados_v4!S11,""))))</f>
        <v/>
      </c>
      <c r="S11" s="9">
        <f>IF(Dados_Observados_v4!S11&lt;&gt;"",Dados_Observados_v4!S11,IF(AND(Dados_Observados_v4!R11&lt;&gt;"",(2024-2023)&lt;=Metodologia_v4!$B$13),Dados_Observados_v4!R11,""))</f>
        <v/>
      </c>
      <c r="T11" s="9">
        <f>IF(Dados_Observados_v4!T11&lt;&gt;"",Dados_Observados_v4!T11,IF(AND(Dados_Observados_v4!S11&lt;&gt;"",(2025-2024)&lt;=Metodologia_v4!$B$13),Dados_Observados_v4!S11,""))</f>
        <v/>
      </c>
    </row>
    <row r="12">
      <c r="A12" s="5" t="inlineStr">
        <is>
          <t>MAC02</t>
        </is>
      </c>
      <c r="B12" s="5" t="inlineStr">
        <is>
          <t>2. Estabilidade Macroeconómica</t>
        </is>
      </c>
      <c r="C12" s="5" t="inlineStr">
        <is>
          <t>PIB per capita</t>
        </is>
      </c>
      <c r="D12" s="5" t="inlineStr">
        <is>
          <t>Banco Mundial/WDI</t>
        </is>
      </c>
      <c r="E12" s="5" t="inlineStr">
        <is>
          <t>NY.GDP.PCAP.CD</t>
        </is>
      </c>
      <c r="F12" s="5" t="inlineStr">
        <is>
          <t>Fonte Banco Mundial API/CSV</t>
        </is>
      </c>
      <c r="G12" s="5" t="inlineStr">
        <is>
          <t>10/11</t>
        </is>
      </c>
      <c r="H12" s="5" t="n">
        <v>2024</v>
      </c>
      <c r="I12" s="5" t="inlineStr">
        <is>
          <t>Referenciado pelas regras de Metodologia_v4</t>
        </is>
      </c>
      <c r="J12" s="9">
        <f>IF(Dados_Observados_v4!J12&lt;&gt;"",Dados_Observados_v4!J12,IF(AND(Dados_Observados_v4!K12&lt;&gt;"",(2016-2015)&lt;=Metodologia_v4!$B$14),Dados_Observados_v4!K12,""))</f>
        <v/>
      </c>
      <c r="K12" s="9">
        <f>IF(Dados_Observados_v4!K12&lt;&gt;"",Dados_Observados_v4!K12,IF(AND(Dados_Observados_v4!J12&lt;&gt;"",Dados_Observados_v4!L12&lt;&gt;"",(2017-2015-1)&lt;=Metodologia_v4!$B$12),Dados_Observados_v4!J12+(Dados_Observados_v4!L12-Dados_Observados_v4!J12)*(2016-2015)/(2017-2015),IF(AND(Dados_Observados_v4!J12&lt;&gt;"",(2016-2015)&lt;=Metodologia_v4!$B$13),Dados_Observados_v4!J12,IF(AND(Dados_Observados_v4!L12&lt;&gt;"",(2017-2016)&lt;=Metodologia_v4!$B$14),Dados_Observados_v4!L12,""))))</f>
        <v/>
      </c>
      <c r="L12" s="9">
        <f>IF(Dados_Observados_v4!L12&lt;&gt;"",Dados_Observados_v4!L12,IF(AND(Dados_Observados_v4!K12&lt;&gt;"",Dados_Observados_v4!M12&lt;&gt;"",(2018-2016-1)&lt;=Metodologia_v4!$B$12),Dados_Observados_v4!K12+(Dados_Observados_v4!M12-Dados_Observados_v4!K12)*(2017-2016)/(2018-2016),IF(AND(Dados_Observados_v4!K12&lt;&gt;"",(2017-2016)&lt;=Metodologia_v4!$B$13),Dados_Observados_v4!K12,IF(AND(Dados_Observados_v4!M12&lt;&gt;"",(2018-2017)&lt;=Metodologia_v4!$B$14),Dados_Observados_v4!M12,""))))</f>
        <v/>
      </c>
      <c r="M12" s="9">
        <f>IF(Dados_Observados_v4!M12&lt;&gt;"",Dados_Observados_v4!M12,IF(AND(Dados_Observados_v4!L12&lt;&gt;"",Dados_Observados_v4!N12&lt;&gt;"",(2019-2017-1)&lt;=Metodologia_v4!$B$12),Dados_Observados_v4!L12+(Dados_Observados_v4!N12-Dados_Observados_v4!L12)*(2018-2017)/(2019-2017),IF(AND(Dados_Observados_v4!L12&lt;&gt;"",(2018-2017)&lt;=Metodologia_v4!$B$13),Dados_Observados_v4!L12,IF(AND(Dados_Observados_v4!N12&lt;&gt;"",(2019-2018)&lt;=Metodologia_v4!$B$14),Dados_Observados_v4!N12,""))))</f>
        <v/>
      </c>
      <c r="N12" s="9">
        <f>IF(Dados_Observados_v4!N12&lt;&gt;"",Dados_Observados_v4!N12,IF(AND(Dados_Observados_v4!M12&lt;&gt;"",Dados_Observados_v4!O12&lt;&gt;"",(2020-2018-1)&lt;=Metodologia_v4!$B$12),Dados_Observados_v4!M12+(Dados_Observados_v4!O12-Dados_Observados_v4!M12)*(2019-2018)/(2020-2018),IF(AND(Dados_Observados_v4!M12&lt;&gt;"",(2019-2018)&lt;=Metodologia_v4!$B$13),Dados_Observados_v4!M12,IF(AND(Dados_Observados_v4!O12&lt;&gt;"",(2020-2019)&lt;=Metodologia_v4!$B$14),Dados_Observados_v4!O12,""))))</f>
        <v/>
      </c>
      <c r="O12" s="9">
        <f>IF(Dados_Observados_v4!O12&lt;&gt;"",Dados_Observados_v4!O12,IF(AND(Dados_Observados_v4!N12&lt;&gt;"",Dados_Observados_v4!P12&lt;&gt;"",(2021-2019-1)&lt;=Metodologia_v4!$B$12),Dados_Observados_v4!N12+(Dados_Observados_v4!P12-Dados_Observados_v4!N12)*(2020-2019)/(2021-2019),IF(AND(Dados_Observados_v4!N12&lt;&gt;"",(2020-2019)&lt;=Metodologia_v4!$B$13),Dados_Observados_v4!N12,IF(AND(Dados_Observados_v4!P12&lt;&gt;"",(2021-2020)&lt;=Metodologia_v4!$B$14),Dados_Observados_v4!P12,""))))</f>
        <v/>
      </c>
      <c r="P12" s="9">
        <f>IF(Dados_Observados_v4!P12&lt;&gt;"",Dados_Observados_v4!P12,IF(AND(Dados_Observados_v4!O12&lt;&gt;"",Dados_Observados_v4!Q12&lt;&gt;"",(2022-2020-1)&lt;=Metodologia_v4!$B$12),Dados_Observados_v4!O12+(Dados_Observados_v4!Q12-Dados_Observados_v4!O12)*(2021-2020)/(2022-2020),IF(AND(Dados_Observados_v4!O12&lt;&gt;"",(2021-2020)&lt;=Metodologia_v4!$B$13),Dados_Observados_v4!O12,IF(AND(Dados_Observados_v4!Q12&lt;&gt;"",(2022-2021)&lt;=Metodologia_v4!$B$14),Dados_Observados_v4!Q12,""))))</f>
        <v/>
      </c>
      <c r="Q12" s="9">
        <f>IF(Dados_Observados_v4!Q12&lt;&gt;"",Dados_Observados_v4!Q12,IF(AND(Dados_Observados_v4!P12&lt;&gt;"",Dados_Observados_v4!R12&lt;&gt;"",(2023-2021-1)&lt;=Metodologia_v4!$B$12),Dados_Observados_v4!P12+(Dados_Observados_v4!R12-Dados_Observados_v4!P12)*(2022-2021)/(2023-2021),IF(AND(Dados_Observados_v4!P12&lt;&gt;"",(2022-2021)&lt;=Metodologia_v4!$B$13),Dados_Observados_v4!P12,IF(AND(Dados_Observados_v4!R12&lt;&gt;"",(2023-2022)&lt;=Metodologia_v4!$B$14),Dados_Observados_v4!R12,""))))</f>
        <v/>
      </c>
      <c r="R12" s="9">
        <f>IF(Dados_Observados_v4!R12&lt;&gt;"",Dados_Observados_v4!R12,IF(AND(Dados_Observados_v4!Q12&lt;&gt;"",Dados_Observados_v4!S12&lt;&gt;"",(2024-2022-1)&lt;=Metodologia_v4!$B$12),Dados_Observados_v4!Q12+(Dados_Observados_v4!S12-Dados_Observados_v4!Q12)*(2023-2022)/(2024-2022),IF(AND(Dados_Observados_v4!Q12&lt;&gt;"",(2023-2022)&lt;=Metodologia_v4!$B$13),Dados_Observados_v4!Q12,IF(AND(Dados_Observados_v4!S12&lt;&gt;"",(2024-2023)&lt;=Metodologia_v4!$B$14),Dados_Observados_v4!S12,""))))</f>
        <v/>
      </c>
      <c r="S12" s="9">
        <f>IF(Dados_Observados_v4!S12&lt;&gt;"",Dados_Observados_v4!S12,IF(AND(Dados_Observados_v4!R12&lt;&gt;"",(2024-2023)&lt;=Metodologia_v4!$B$13),Dados_Observados_v4!R12,""))</f>
        <v/>
      </c>
      <c r="T12" s="9">
        <f>IF(Dados_Observados_v4!T12&lt;&gt;"",Dados_Observados_v4!T12,IF(AND(Dados_Observados_v4!S12&lt;&gt;"",(2025-2024)&lt;=Metodologia_v4!$B$13),Dados_Observados_v4!S12,""))</f>
        <v/>
      </c>
    </row>
    <row r="13">
      <c r="A13" s="5" t="inlineStr">
        <is>
          <t>MAC03</t>
        </is>
      </c>
      <c r="B13" s="5" t="inlineStr">
        <is>
          <t>2. Estabilidade Macroeconómica</t>
        </is>
      </c>
      <c r="C13" s="5" t="inlineStr">
        <is>
          <t>Inflação, preços ao consumidor</t>
        </is>
      </c>
      <c r="D13" s="5" t="inlineStr">
        <is>
          <t>Banco Mundial/WDI</t>
        </is>
      </c>
      <c r="E13" s="5" t="inlineStr">
        <is>
          <t>FP.CPI.TOTL.ZG</t>
        </is>
      </c>
      <c r="F13" s="5" t="inlineStr">
        <is>
          <t>Fonte Banco Mundial API/CSV</t>
        </is>
      </c>
      <c r="G13" s="5" t="inlineStr">
        <is>
          <t>10/11</t>
        </is>
      </c>
      <c r="H13" s="5" t="n">
        <v>2024</v>
      </c>
      <c r="I13" s="5" t="inlineStr">
        <is>
          <t>Referenciado pelas regras de Metodologia_v4</t>
        </is>
      </c>
      <c r="J13" s="9">
        <f>IF(Dados_Observados_v4!J13&lt;&gt;"",Dados_Observados_v4!J13,IF(AND(Dados_Observados_v4!K13&lt;&gt;"",(2016-2015)&lt;=Metodologia_v4!$B$14),Dados_Observados_v4!K13,""))</f>
        <v/>
      </c>
      <c r="K13" s="9">
        <f>IF(Dados_Observados_v4!K13&lt;&gt;"",Dados_Observados_v4!K13,IF(AND(Dados_Observados_v4!J13&lt;&gt;"",Dados_Observados_v4!L13&lt;&gt;"",(2017-2015-1)&lt;=Metodologia_v4!$B$12),Dados_Observados_v4!J13+(Dados_Observados_v4!L13-Dados_Observados_v4!J13)*(2016-2015)/(2017-2015),IF(AND(Dados_Observados_v4!J13&lt;&gt;"",(2016-2015)&lt;=Metodologia_v4!$B$13),Dados_Observados_v4!J13,IF(AND(Dados_Observados_v4!L13&lt;&gt;"",(2017-2016)&lt;=Metodologia_v4!$B$14),Dados_Observados_v4!L13,""))))</f>
        <v/>
      </c>
      <c r="L13" s="9">
        <f>IF(Dados_Observados_v4!L13&lt;&gt;"",Dados_Observados_v4!L13,IF(AND(Dados_Observados_v4!K13&lt;&gt;"",Dados_Observados_v4!M13&lt;&gt;"",(2018-2016-1)&lt;=Metodologia_v4!$B$12),Dados_Observados_v4!K13+(Dados_Observados_v4!M13-Dados_Observados_v4!K13)*(2017-2016)/(2018-2016),IF(AND(Dados_Observados_v4!K13&lt;&gt;"",(2017-2016)&lt;=Metodologia_v4!$B$13),Dados_Observados_v4!K13,IF(AND(Dados_Observados_v4!M13&lt;&gt;"",(2018-2017)&lt;=Metodologia_v4!$B$14),Dados_Observados_v4!M13,""))))</f>
        <v/>
      </c>
      <c r="M13" s="9">
        <f>IF(Dados_Observados_v4!M13&lt;&gt;"",Dados_Observados_v4!M13,IF(AND(Dados_Observados_v4!L13&lt;&gt;"",Dados_Observados_v4!N13&lt;&gt;"",(2019-2017-1)&lt;=Metodologia_v4!$B$12),Dados_Observados_v4!L13+(Dados_Observados_v4!N13-Dados_Observados_v4!L13)*(2018-2017)/(2019-2017),IF(AND(Dados_Observados_v4!L13&lt;&gt;"",(2018-2017)&lt;=Metodologia_v4!$B$13),Dados_Observados_v4!L13,IF(AND(Dados_Observados_v4!N13&lt;&gt;"",(2019-2018)&lt;=Metodologia_v4!$B$14),Dados_Observados_v4!N13,""))))</f>
        <v/>
      </c>
      <c r="N13" s="9">
        <f>IF(Dados_Observados_v4!N13&lt;&gt;"",Dados_Observados_v4!N13,IF(AND(Dados_Observados_v4!M13&lt;&gt;"",Dados_Observados_v4!O13&lt;&gt;"",(2020-2018-1)&lt;=Metodologia_v4!$B$12),Dados_Observados_v4!M13+(Dados_Observados_v4!O13-Dados_Observados_v4!M13)*(2019-2018)/(2020-2018),IF(AND(Dados_Observados_v4!M13&lt;&gt;"",(2019-2018)&lt;=Metodologia_v4!$B$13),Dados_Observados_v4!M13,IF(AND(Dados_Observados_v4!O13&lt;&gt;"",(2020-2019)&lt;=Metodologia_v4!$B$14),Dados_Observados_v4!O13,""))))</f>
        <v/>
      </c>
      <c r="O13" s="9">
        <f>IF(Dados_Observados_v4!O13&lt;&gt;"",Dados_Observados_v4!O13,IF(AND(Dados_Observados_v4!N13&lt;&gt;"",Dados_Observados_v4!P13&lt;&gt;"",(2021-2019-1)&lt;=Metodologia_v4!$B$12),Dados_Observados_v4!N13+(Dados_Observados_v4!P13-Dados_Observados_v4!N13)*(2020-2019)/(2021-2019),IF(AND(Dados_Observados_v4!N13&lt;&gt;"",(2020-2019)&lt;=Metodologia_v4!$B$13),Dados_Observados_v4!N13,IF(AND(Dados_Observados_v4!P13&lt;&gt;"",(2021-2020)&lt;=Metodologia_v4!$B$14),Dados_Observados_v4!P13,""))))</f>
        <v/>
      </c>
      <c r="P13" s="9">
        <f>IF(Dados_Observados_v4!P13&lt;&gt;"",Dados_Observados_v4!P13,IF(AND(Dados_Observados_v4!O13&lt;&gt;"",Dados_Observados_v4!Q13&lt;&gt;"",(2022-2020-1)&lt;=Metodologia_v4!$B$12),Dados_Observados_v4!O13+(Dados_Observados_v4!Q13-Dados_Observados_v4!O13)*(2021-2020)/(2022-2020),IF(AND(Dados_Observados_v4!O13&lt;&gt;"",(2021-2020)&lt;=Metodologia_v4!$B$13),Dados_Observados_v4!O13,IF(AND(Dados_Observados_v4!Q13&lt;&gt;"",(2022-2021)&lt;=Metodologia_v4!$B$14),Dados_Observados_v4!Q13,""))))</f>
        <v/>
      </c>
      <c r="Q13" s="9">
        <f>IF(Dados_Observados_v4!Q13&lt;&gt;"",Dados_Observados_v4!Q13,IF(AND(Dados_Observados_v4!P13&lt;&gt;"",Dados_Observados_v4!R13&lt;&gt;"",(2023-2021-1)&lt;=Metodologia_v4!$B$12),Dados_Observados_v4!P13+(Dados_Observados_v4!R13-Dados_Observados_v4!P13)*(2022-2021)/(2023-2021),IF(AND(Dados_Observados_v4!P13&lt;&gt;"",(2022-2021)&lt;=Metodologia_v4!$B$13),Dados_Observados_v4!P13,IF(AND(Dados_Observados_v4!R13&lt;&gt;"",(2023-2022)&lt;=Metodologia_v4!$B$14),Dados_Observados_v4!R13,""))))</f>
        <v/>
      </c>
      <c r="R13" s="9">
        <f>IF(Dados_Observados_v4!R13&lt;&gt;"",Dados_Observados_v4!R13,IF(AND(Dados_Observados_v4!Q13&lt;&gt;"",Dados_Observados_v4!S13&lt;&gt;"",(2024-2022-1)&lt;=Metodologia_v4!$B$12),Dados_Observados_v4!Q13+(Dados_Observados_v4!S13-Dados_Observados_v4!Q13)*(2023-2022)/(2024-2022),IF(AND(Dados_Observados_v4!Q13&lt;&gt;"",(2023-2022)&lt;=Metodologia_v4!$B$13),Dados_Observados_v4!Q13,IF(AND(Dados_Observados_v4!S13&lt;&gt;"",(2024-2023)&lt;=Metodologia_v4!$B$14),Dados_Observados_v4!S13,""))))</f>
        <v/>
      </c>
      <c r="S13" s="9">
        <f>IF(Dados_Observados_v4!S13&lt;&gt;"",Dados_Observados_v4!S13,IF(AND(Dados_Observados_v4!R13&lt;&gt;"",(2024-2023)&lt;=Metodologia_v4!$B$13),Dados_Observados_v4!R13,""))</f>
        <v/>
      </c>
      <c r="T13" s="9">
        <f>IF(Dados_Observados_v4!T13&lt;&gt;"",Dados_Observados_v4!T13,IF(AND(Dados_Observados_v4!S13&lt;&gt;"",(2025-2024)&lt;=Metodologia_v4!$B$13),Dados_Observados_v4!S13,""))</f>
        <v/>
      </c>
    </row>
    <row r="14">
      <c r="A14" s="5" t="inlineStr">
        <is>
          <t>MAC04</t>
        </is>
      </c>
      <c r="B14" s="5" t="inlineStr">
        <is>
          <t>2. Estabilidade Macroeconómica</t>
        </is>
      </c>
      <c r="C14" s="5" t="inlineStr">
        <is>
          <t>Dívida pública do governo central</t>
        </is>
      </c>
      <c r="D14" s="5" t="inlineStr">
        <is>
          <t>Banco Mundial/WDI</t>
        </is>
      </c>
      <c r="E14" s="5" t="inlineStr">
        <is>
          <t>GC.DOD.TOTL.GD.ZS</t>
        </is>
      </c>
      <c r="F14" s="5" t="inlineStr">
        <is>
          <t>Sem valores Angola no período; fallback para série do ficheiro base</t>
        </is>
      </c>
      <c r="G14" s="5" t="inlineStr">
        <is>
          <t>11/11</t>
        </is>
      </c>
      <c r="H14" s="5" t="n">
        <v>2025</v>
      </c>
      <c r="I14" s="5" t="inlineStr">
        <is>
          <t>Referenciado pelas regras de Metodologia_v4</t>
        </is>
      </c>
      <c r="J14" s="9">
        <f>IF(Dados_Observados_v4!J14&lt;&gt;"",Dados_Observados_v4!J14,IF(AND(Dados_Observados_v4!K14&lt;&gt;"",(2016-2015)&lt;=Metodologia_v4!$B$14),Dados_Observados_v4!K14,""))</f>
        <v/>
      </c>
      <c r="K14" s="9">
        <f>IF(Dados_Observados_v4!K14&lt;&gt;"",Dados_Observados_v4!K14,IF(AND(Dados_Observados_v4!J14&lt;&gt;"",Dados_Observados_v4!L14&lt;&gt;"",(2017-2015-1)&lt;=Metodologia_v4!$B$12),Dados_Observados_v4!J14+(Dados_Observados_v4!L14-Dados_Observados_v4!J14)*(2016-2015)/(2017-2015),IF(AND(Dados_Observados_v4!J14&lt;&gt;"",(2016-2015)&lt;=Metodologia_v4!$B$13),Dados_Observados_v4!J14,IF(AND(Dados_Observados_v4!L14&lt;&gt;"",(2017-2016)&lt;=Metodologia_v4!$B$14),Dados_Observados_v4!L14,""))))</f>
        <v/>
      </c>
      <c r="L14" s="9">
        <f>IF(Dados_Observados_v4!L14&lt;&gt;"",Dados_Observados_v4!L14,IF(AND(Dados_Observados_v4!K14&lt;&gt;"",Dados_Observados_v4!M14&lt;&gt;"",(2018-2016-1)&lt;=Metodologia_v4!$B$12),Dados_Observados_v4!K14+(Dados_Observados_v4!M14-Dados_Observados_v4!K14)*(2017-2016)/(2018-2016),IF(AND(Dados_Observados_v4!K14&lt;&gt;"",(2017-2016)&lt;=Metodologia_v4!$B$13),Dados_Observados_v4!K14,IF(AND(Dados_Observados_v4!M14&lt;&gt;"",(2018-2017)&lt;=Metodologia_v4!$B$14),Dados_Observados_v4!M14,""))))</f>
        <v/>
      </c>
      <c r="M14" s="9">
        <f>IF(Dados_Observados_v4!M14&lt;&gt;"",Dados_Observados_v4!M14,IF(AND(Dados_Observados_v4!L14&lt;&gt;"",Dados_Observados_v4!N14&lt;&gt;"",(2019-2017-1)&lt;=Metodologia_v4!$B$12),Dados_Observados_v4!L14+(Dados_Observados_v4!N14-Dados_Observados_v4!L14)*(2018-2017)/(2019-2017),IF(AND(Dados_Observados_v4!L14&lt;&gt;"",(2018-2017)&lt;=Metodologia_v4!$B$13),Dados_Observados_v4!L14,IF(AND(Dados_Observados_v4!N14&lt;&gt;"",(2019-2018)&lt;=Metodologia_v4!$B$14),Dados_Observados_v4!N14,""))))</f>
        <v/>
      </c>
      <c r="N14" s="9">
        <f>IF(Dados_Observados_v4!N14&lt;&gt;"",Dados_Observados_v4!N14,IF(AND(Dados_Observados_v4!M14&lt;&gt;"",Dados_Observados_v4!O14&lt;&gt;"",(2020-2018-1)&lt;=Metodologia_v4!$B$12),Dados_Observados_v4!M14+(Dados_Observados_v4!O14-Dados_Observados_v4!M14)*(2019-2018)/(2020-2018),IF(AND(Dados_Observados_v4!M14&lt;&gt;"",(2019-2018)&lt;=Metodologia_v4!$B$13),Dados_Observados_v4!M14,IF(AND(Dados_Observados_v4!O14&lt;&gt;"",(2020-2019)&lt;=Metodologia_v4!$B$14),Dados_Observados_v4!O14,""))))</f>
        <v/>
      </c>
      <c r="O14" s="9">
        <f>IF(Dados_Observados_v4!O14&lt;&gt;"",Dados_Observados_v4!O14,IF(AND(Dados_Observados_v4!N14&lt;&gt;"",Dados_Observados_v4!P14&lt;&gt;"",(2021-2019-1)&lt;=Metodologia_v4!$B$12),Dados_Observados_v4!N14+(Dados_Observados_v4!P14-Dados_Observados_v4!N14)*(2020-2019)/(2021-2019),IF(AND(Dados_Observados_v4!N14&lt;&gt;"",(2020-2019)&lt;=Metodologia_v4!$B$13),Dados_Observados_v4!N14,IF(AND(Dados_Observados_v4!P14&lt;&gt;"",(2021-2020)&lt;=Metodologia_v4!$B$14),Dados_Observados_v4!P14,""))))</f>
        <v/>
      </c>
      <c r="P14" s="9">
        <f>IF(Dados_Observados_v4!P14&lt;&gt;"",Dados_Observados_v4!P14,IF(AND(Dados_Observados_v4!O14&lt;&gt;"",Dados_Observados_v4!Q14&lt;&gt;"",(2022-2020-1)&lt;=Metodologia_v4!$B$12),Dados_Observados_v4!O14+(Dados_Observados_v4!Q14-Dados_Observados_v4!O14)*(2021-2020)/(2022-2020),IF(AND(Dados_Observados_v4!O14&lt;&gt;"",(2021-2020)&lt;=Metodologia_v4!$B$13),Dados_Observados_v4!O14,IF(AND(Dados_Observados_v4!Q14&lt;&gt;"",(2022-2021)&lt;=Metodologia_v4!$B$14),Dados_Observados_v4!Q14,""))))</f>
        <v/>
      </c>
      <c r="Q14" s="9">
        <f>IF(Dados_Observados_v4!Q14&lt;&gt;"",Dados_Observados_v4!Q14,IF(AND(Dados_Observados_v4!P14&lt;&gt;"",Dados_Observados_v4!R14&lt;&gt;"",(2023-2021-1)&lt;=Metodologia_v4!$B$12),Dados_Observados_v4!P14+(Dados_Observados_v4!R14-Dados_Observados_v4!P14)*(2022-2021)/(2023-2021),IF(AND(Dados_Observados_v4!P14&lt;&gt;"",(2022-2021)&lt;=Metodologia_v4!$B$13),Dados_Observados_v4!P14,IF(AND(Dados_Observados_v4!R14&lt;&gt;"",(2023-2022)&lt;=Metodologia_v4!$B$14),Dados_Observados_v4!R14,""))))</f>
        <v/>
      </c>
      <c r="R14" s="9">
        <f>IF(Dados_Observados_v4!R14&lt;&gt;"",Dados_Observados_v4!R14,IF(AND(Dados_Observados_v4!Q14&lt;&gt;"",Dados_Observados_v4!S14&lt;&gt;"",(2024-2022-1)&lt;=Metodologia_v4!$B$12),Dados_Observados_v4!Q14+(Dados_Observados_v4!S14-Dados_Observados_v4!Q14)*(2023-2022)/(2024-2022),IF(AND(Dados_Observados_v4!Q14&lt;&gt;"",(2023-2022)&lt;=Metodologia_v4!$B$13),Dados_Observados_v4!Q14,IF(AND(Dados_Observados_v4!S14&lt;&gt;"",(2024-2023)&lt;=Metodologia_v4!$B$14),Dados_Observados_v4!S14,""))))</f>
        <v/>
      </c>
      <c r="S14" s="9">
        <f>IF(Dados_Observados_v4!S14&lt;&gt;"",Dados_Observados_v4!S14,IF(AND(Dados_Observados_v4!R14&lt;&gt;"",Dados_Observados_v4!T14&lt;&gt;"",(2025-2023-1)&lt;=Metodologia_v4!$B$12),Dados_Observados_v4!R14+(Dados_Observados_v4!T14-Dados_Observados_v4!R14)*(2024-2023)/(2025-2023),IF(AND(Dados_Observados_v4!R14&lt;&gt;"",(2024-2023)&lt;=Metodologia_v4!$B$13),Dados_Observados_v4!R14,IF(AND(Dados_Observados_v4!T14&lt;&gt;"",(2025-2024)&lt;=Metodologia_v4!$B$14),Dados_Observados_v4!T14,""))))</f>
        <v/>
      </c>
      <c r="T14" s="9">
        <f>IF(Dados_Observados_v4!T14&lt;&gt;"",Dados_Observados_v4!T14,IF(AND(Dados_Observados_v4!S14&lt;&gt;"",(2025-2024)&lt;=Metodologia_v4!$B$13),Dados_Observados_v4!S14,""))</f>
        <v/>
      </c>
    </row>
    <row r="15">
      <c r="A15" s="5" t="inlineStr">
        <is>
          <t>MAC05</t>
        </is>
      </c>
      <c r="B15" s="5" t="inlineStr">
        <is>
          <t>2. Estabilidade Macroeconómica</t>
        </is>
      </c>
      <c r="C15" s="5" t="inlineStr">
        <is>
          <t>Saldo orçamental de caixa</t>
        </is>
      </c>
      <c r="D15" s="5" t="inlineStr">
        <is>
          <t>Banco Mundial/WDI</t>
        </is>
      </c>
      <c r="E15" s="5" t="inlineStr">
        <is>
          <t>GC.BAL.CASH.GD.ZS</t>
        </is>
      </c>
      <c r="F15" s="5" t="inlineStr">
        <is>
          <t>Sem valores Angola no período; fallback para série do ficheiro base</t>
        </is>
      </c>
      <c r="G15" s="5" t="inlineStr">
        <is>
          <t>11/11</t>
        </is>
      </c>
      <c r="H15" s="5" t="n">
        <v>2025</v>
      </c>
      <c r="I15" s="5" t="inlineStr">
        <is>
          <t>Referenciado pelas regras de Metodologia_v4</t>
        </is>
      </c>
      <c r="J15" s="9">
        <f>IF(Dados_Observados_v4!J15&lt;&gt;"",Dados_Observados_v4!J15,IF(AND(Dados_Observados_v4!K15&lt;&gt;"",(2016-2015)&lt;=Metodologia_v4!$B$14),Dados_Observados_v4!K15,""))</f>
        <v/>
      </c>
      <c r="K15" s="9">
        <f>IF(Dados_Observados_v4!K15&lt;&gt;"",Dados_Observados_v4!K15,IF(AND(Dados_Observados_v4!J15&lt;&gt;"",Dados_Observados_v4!L15&lt;&gt;"",(2017-2015-1)&lt;=Metodologia_v4!$B$12),Dados_Observados_v4!J15+(Dados_Observados_v4!L15-Dados_Observados_v4!J15)*(2016-2015)/(2017-2015),IF(AND(Dados_Observados_v4!J15&lt;&gt;"",(2016-2015)&lt;=Metodologia_v4!$B$13),Dados_Observados_v4!J15,IF(AND(Dados_Observados_v4!L15&lt;&gt;"",(2017-2016)&lt;=Metodologia_v4!$B$14),Dados_Observados_v4!L15,""))))</f>
        <v/>
      </c>
      <c r="L15" s="9">
        <f>IF(Dados_Observados_v4!L15&lt;&gt;"",Dados_Observados_v4!L15,IF(AND(Dados_Observados_v4!K15&lt;&gt;"",Dados_Observados_v4!M15&lt;&gt;"",(2018-2016-1)&lt;=Metodologia_v4!$B$12),Dados_Observados_v4!K15+(Dados_Observados_v4!M15-Dados_Observados_v4!K15)*(2017-2016)/(2018-2016),IF(AND(Dados_Observados_v4!K15&lt;&gt;"",(2017-2016)&lt;=Metodologia_v4!$B$13),Dados_Observados_v4!K15,IF(AND(Dados_Observados_v4!M15&lt;&gt;"",(2018-2017)&lt;=Metodologia_v4!$B$14),Dados_Observados_v4!M15,""))))</f>
        <v/>
      </c>
      <c r="M15" s="9">
        <f>IF(Dados_Observados_v4!M15&lt;&gt;"",Dados_Observados_v4!M15,IF(AND(Dados_Observados_v4!L15&lt;&gt;"",Dados_Observados_v4!N15&lt;&gt;"",(2019-2017-1)&lt;=Metodologia_v4!$B$12),Dados_Observados_v4!L15+(Dados_Observados_v4!N15-Dados_Observados_v4!L15)*(2018-2017)/(2019-2017),IF(AND(Dados_Observados_v4!L15&lt;&gt;"",(2018-2017)&lt;=Metodologia_v4!$B$13),Dados_Observados_v4!L15,IF(AND(Dados_Observados_v4!N15&lt;&gt;"",(2019-2018)&lt;=Metodologia_v4!$B$14),Dados_Observados_v4!N15,""))))</f>
        <v/>
      </c>
      <c r="N15" s="9">
        <f>IF(Dados_Observados_v4!N15&lt;&gt;"",Dados_Observados_v4!N15,IF(AND(Dados_Observados_v4!M15&lt;&gt;"",Dados_Observados_v4!O15&lt;&gt;"",(2020-2018-1)&lt;=Metodologia_v4!$B$12),Dados_Observados_v4!M15+(Dados_Observados_v4!O15-Dados_Observados_v4!M15)*(2019-2018)/(2020-2018),IF(AND(Dados_Observados_v4!M15&lt;&gt;"",(2019-2018)&lt;=Metodologia_v4!$B$13),Dados_Observados_v4!M15,IF(AND(Dados_Observados_v4!O15&lt;&gt;"",(2020-2019)&lt;=Metodologia_v4!$B$14),Dados_Observados_v4!O15,""))))</f>
        <v/>
      </c>
      <c r="O15" s="9">
        <f>IF(Dados_Observados_v4!O15&lt;&gt;"",Dados_Observados_v4!O15,IF(AND(Dados_Observados_v4!N15&lt;&gt;"",Dados_Observados_v4!P15&lt;&gt;"",(2021-2019-1)&lt;=Metodologia_v4!$B$12),Dados_Observados_v4!N15+(Dados_Observados_v4!P15-Dados_Observados_v4!N15)*(2020-2019)/(2021-2019),IF(AND(Dados_Observados_v4!N15&lt;&gt;"",(2020-2019)&lt;=Metodologia_v4!$B$13),Dados_Observados_v4!N15,IF(AND(Dados_Observados_v4!P15&lt;&gt;"",(2021-2020)&lt;=Metodologia_v4!$B$14),Dados_Observados_v4!P15,""))))</f>
        <v/>
      </c>
      <c r="P15" s="9">
        <f>IF(Dados_Observados_v4!P15&lt;&gt;"",Dados_Observados_v4!P15,IF(AND(Dados_Observados_v4!O15&lt;&gt;"",Dados_Observados_v4!Q15&lt;&gt;"",(2022-2020-1)&lt;=Metodologia_v4!$B$12),Dados_Observados_v4!O15+(Dados_Observados_v4!Q15-Dados_Observados_v4!O15)*(2021-2020)/(2022-2020),IF(AND(Dados_Observados_v4!O15&lt;&gt;"",(2021-2020)&lt;=Metodologia_v4!$B$13),Dados_Observados_v4!O15,IF(AND(Dados_Observados_v4!Q15&lt;&gt;"",(2022-2021)&lt;=Metodologia_v4!$B$14),Dados_Observados_v4!Q15,""))))</f>
        <v/>
      </c>
      <c r="Q15" s="9">
        <f>IF(Dados_Observados_v4!Q15&lt;&gt;"",Dados_Observados_v4!Q15,IF(AND(Dados_Observados_v4!P15&lt;&gt;"",Dados_Observados_v4!R15&lt;&gt;"",(2023-2021-1)&lt;=Metodologia_v4!$B$12),Dados_Observados_v4!P15+(Dados_Observados_v4!R15-Dados_Observados_v4!P15)*(2022-2021)/(2023-2021),IF(AND(Dados_Observados_v4!P15&lt;&gt;"",(2022-2021)&lt;=Metodologia_v4!$B$13),Dados_Observados_v4!P15,IF(AND(Dados_Observados_v4!R15&lt;&gt;"",(2023-2022)&lt;=Metodologia_v4!$B$14),Dados_Observados_v4!R15,""))))</f>
        <v/>
      </c>
      <c r="R15" s="9">
        <f>IF(Dados_Observados_v4!R15&lt;&gt;"",Dados_Observados_v4!R15,IF(AND(Dados_Observados_v4!Q15&lt;&gt;"",Dados_Observados_v4!S15&lt;&gt;"",(2024-2022-1)&lt;=Metodologia_v4!$B$12),Dados_Observados_v4!Q15+(Dados_Observados_v4!S15-Dados_Observados_v4!Q15)*(2023-2022)/(2024-2022),IF(AND(Dados_Observados_v4!Q15&lt;&gt;"",(2023-2022)&lt;=Metodologia_v4!$B$13),Dados_Observados_v4!Q15,IF(AND(Dados_Observados_v4!S15&lt;&gt;"",(2024-2023)&lt;=Metodologia_v4!$B$14),Dados_Observados_v4!S15,""))))</f>
        <v/>
      </c>
      <c r="S15" s="9">
        <f>IF(Dados_Observados_v4!S15&lt;&gt;"",Dados_Observados_v4!S15,IF(AND(Dados_Observados_v4!R15&lt;&gt;"",Dados_Observados_v4!T15&lt;&gt;"",(2025-2023-1)&lt;=Metodologia_v4!$B$12),Dados_Observados_v4!R15+(Dados_Observados_v4!T15-Dados_Observados_v4!R15)*(2024-2023)/(2025-2023),IF(AND(Dados_Observados_v4!R15&lt;&gt;"",(2024-2023)&lt;=Metodologia_v4!$B$13),Dados_Observados_v4!R15,IF(AND(Dados_Observados_v4!T15&lt;&gt;"",(2025-2024)&lt;=Metodologia_v4!$B$14),Dados_Observados_v4!T15,""))))</f>
        <v/>
      </c>
      <c r="T15" s="9">
        <f>IF(Dados_Observados_v4!T15&lt;&gt;"",Dados_Observados_v4!T15,IF(AND(Dados_Observados_v4!S15&lt;&gt;"",(2025-2024)&lt;=Metodologia_v4!$B$13),Dados_Observados_v4!S15,""))</f>
        <v/>
      </c>
    </row>
    <row r="16">
      <c r="A16" s="5" t="inlineStr">
        <is>
          <t>MAC06</t>
        </is>
      </c>
      <c r="B16" s="5" t="inlineStr">
        <is>
          <t>2. Estabilidade Macroeconómica</t>
        </is>
      </c>
      <c r="C16" s="5" t="inlineStr">
        <is>
          <t>Saldo da conta corrente</t>
        </is>
      </c>
      <c r="D16" s="5" t="inlineStr">
        <is>
          <t>Banco Mundial/WDI</t>
        </is>
      </c>
      <c r="E16" s="5" t="inlineStr">
        <is>
          <t>BN.CAB.XOKA.GD.ZS</t>
        </is>
      </c>
      <c r="F16" s="5" t="inlineStr">
        <is>
          <t>Fonte Banco Mundial API/CSV</t>
        </is>
      </c>
      <c r="G16" s="5" t="inlineStr">
        <is>
          <t>10/11</t>
        </is>
      </c>
      <c r="H16" s="5" t="n">
        <v>2024</v>
      </c>
      <c r="I16" s="5" t="inlineStr">
        <is>
          <t>Referenciado pelas regras de Metodologia_v4</t>
        </is>
      </c>
      <c r="J16" s="9">
        <f>IF(Dados_Observados_v4!J16&lt;&gt;"",Dados_Observados_v4!J16,IF(AND(Dados_Observados_v4!K16&lt;&gt;"",(2016-2015)&lt;=Metodologia_v4!$B$14),Dados_Observados_v4!K16,""))</f>
        <v/>
      </c>
      <c r="K16" s="9">
        <f>IF(Dados_Observados_v4!K16&lt;&gt;"",Dados_Observados_v4!K16,IF(AND(Dados_Observados_v4!J16&lt;&gt;"",Dados_Observados_v4!L16&lt;&gt;"",(2017-2015-1)&lt;=Metodologia_v4!$B$12),Dados_Observados_v4!J16+(Dados_Observados_v4!L16-Dados_Observados_v4!J16)*(2016-2015)/(2017-2015),IF(AND(Dados_Observados_v4!J16&lt;&gt;"",(2016-2015)&lt;=Metodologia_v4!$B$13),Dados_Observados_v4!J16,IF(AND(Dados_Observados_v4!L16&lt;&gt;"",(2017-2016)&lt;=Metodologia_v4!$B$14),Dados_Observados_v4!L16,""))))</f>
        <v/>
      </c>
      <c r="L16" s="9">
        <f>IF(Dados_Observados_v4!L16&lt;&gt;"",Dados_Observados_v4!L16,IF(AND(Dados_Observados_v4!K16&lt;&gt;"",Dados_Observados_v4!M16&lt;&gt;"",(2018-2016-1)&lt;=Metodologia_v4!$B$12),Dados_Observados_v4!K16+(Dados_Observados_v4!M16-Dados_Observados_v4!K16)*(2017-2016)/(2018-2016),IF(AND(Dados_Observados_v4!K16&lt;&gt;"",(2017-2016)&lt;=Metodologia_v4!$B$13),Dados_Observados_v4!K16,IF(AND(Dados_Observados_v4!M16&lt;&gt;"",(2018-2017)&lt;=Metodologia_v4!$B$14),Dados_Observados_v4!M16,""))))</f>
        <v/>
      </c>
      <c r="M16" s="9">
        <f>IF(Dados_Observados_v4!M16&lt;&gt;"",Dados_Observados_v4!M16,IF(AND(Dados_Observados_v4!L16&lt;&gt;"",Dados_Observados_v4!N16&lt;&gt;"",(2019-2017-1)&lt;=Metodologia_v4!$B$12),Dados_Observados_v4!L16+(Dados_Observados_v4!N16-Dados_Observados_v4!L16)*(2018-2017)/(2019-2017),IF(AND(Dados_Observados_v4!L16&lt;&gt;"",(2018-2017)&lt;=Metodologia_v4!$B$13),Dados_Observados_v4!L16,IF(AND(Dados_Observados_v4!N16&lt;&gt;"",(2019-2018)&lt;=Metodologia_v4!$B$14),Dados_Observados_v4!N16,""))))</f>
        <v/>
      </c>
      <c r="N16" s="9">
        <f>IF(Dados_Observados_v4!N16&lt;&gt;"",Dados_Observados_v4!N16,IF(AND(Dados_Observados_v4!M16&lt;&gt;"",Dados_Observados_v4!O16&lt;&gt;"",(2020-2018-1)&lt;=Metodologia_v4!$B$12),Dados_Observados_v4!M16+(Dados_Observados_v4!O16-Dados_Observados_v4!M16)*(2019-2018)/(2020-2018),IF(AND(Dados_Observados_v4!M16&lt;&gt;"",(2019-2018)&lt;=Metodologia_v4!$B$13),Dados_Observados_v4!M16,IF(AND(Dados_Observados_v4!O16&lt;&gt;"",(2020-2019)&lt;=Metodologia_v4!$B$14),Dados_Observados_v4!O16,""))))</f>
        <v/>
      </c>
      <c r="O16" s="9">
        <f>IF(Dados_Observados_v4!O16&lt;&gt;"",Dados_Observados_v4!O16,IF(AND(Dados_Observados_v4!N16&lt;&gt;"",Dados_Observados_v4!P16&lt;&gt;"",(2021-2019-1)&lt;=Metodologia_v4!$B$12),Dados_Observados_v4!N16+(Dados_Observados_v4!P16-Dados_Observados_v4!N16)*(2020-2019)/(2021-2019),IF(AND(Dados_Observados_v4!N16&lt;&gt;"",(2020-2019)&lt;=Metodologia_v4!$B$13),Dados_Observados_v4!N16,IF(AND(Dados_Observados_v4!P16&lt;&gt;"",(2021-2020)&lt;=Metodologia_v4!$B$14),Dados_Observados_v4!P16,""))))</f>
        <v/>
      </c>
      <c r="P16" s="9">
        <f>IF(Dados_Observados_v4!P16&lt;&gt;"",Dados_Observados_v4!P16,IF(AND(Dados_Observados_v4!O16&lt;&gt;"",Dados_Observados_v4!Q16&lt;&gt;"",(2022-2020-1)&lt;=Metodologia_v4!$B$12),Dados_Observados_v4!O16+(Dados_Observados_v4!Q16-Dados_Observados_v4!O16)*(2021-2020)/(2022-2020),IF(AND(Dados_Observados_v4!O16&lt;&gt;"",(2021-2020)&lt;=Metodologia_v4!$B$13),Dados_Observados_v4!O16,IF(AND(Dados_Observados_v4!Q16&lt;&gt;"",(2022-2021)&lt;=Metodologia_v4!$B$14),Dados_Observados_v4!Q16,""))))</f>
        <v/>
      </c>
      <c r="Q16" s="9">
        <f>IF(Dados_Observados_v4!Q16&lt;&gt;"",Dados_Observados_v4!Q16,IF(AND(Dados_Observados_v4!P16&lt;&gt;"",Dados_Observados_v4!R16&lt;&gt;"",(2023-2021-1)&lt;=Metodologia_v4!$B$12),Dados_Observados_v4!P16+(Dados_Observados_v4!R16-Dados_Observados_v4!P16)*(2022-2021)/(2023-2021),IF(AND(Dados_Observados_v4!P16&lt;&gt;"",(2022-2021)&lt;=Metodologia_v4!$B$13),Dados_Observados_v4!P16,IF(AND(Dados_Observados_v4!R16&lt;&gt;"",(2023-2022)&lt;=Metodologia_v4!$B$14),Dados_Observados_v4!R16,""))))</f>
        <v/>
      </c>
      <c r="R16" s="9">
        <f>IF(Dados_Observados_v4!R16&lt;&gt;"",Dados_Observados_v4!R16,IF(AND(Dados_Observados_v4!Q16&lt;&gt;"",Dados_Observados_v4!S16&lt;&gt;"",(2024-2022-1)&lt;=Metodologia_v4!$B$12),Dados_Observados_v4!Q16+(Dados_Observados_v4!S16-Dados_Observados_v4!Q16)*(2023-2022)/(2024-2022),IF(AND(Dados_Observados_v4!Q16&lt;&gt;"",(2023-2022)&lt;=Metodologia_v4!$B$13),Dados_Observados_v4!Q16,IF(AND(Dados_Observados_v4!S16&lt;&gt;"",(2024-2023)&lt;=Metodologia_v4!$B$14),Dados_Observados_v4!S16,""))))</f>
        <v/>
      </c>
      <c r="S16" s="9">
        <f>IF(Dados_Observados_v4!S16&lt;&gt;"",Dados_Observados_v4!S16,IF(AND(Dados_Observados_v4!R16&lt;&gt;"",(2024-2023)&lt;=Metodologia_v4!$B$13),Dados_Observados_v4!R16,""))</f>
        <v/>
      </c>
      <c r="T16" s="9">
        <f>IF(Dados_Observados_v4!T16&lt;&gt;"",Dados_Observados_v4!T16,IF(AND(Dados_Observados_v4!S16&lt;&gt;"",(2025-2024)&lt;=Metodologia_v4!$B$13),Dados_Observados_v4!S16,""))</f>
        <v/>
      </c>
    </row>
    <row r="17">
      <c r="A17" s="5" t="inlineStr">
        <is>
          <t>MAC07</t>
        </is>
      </c>
      <c r="B17" s="5" t="inlineStr">
        <is>
          <t>2. Estabilidade Macroeconómica</t>
        </is>
      </c>
      <c r="C17" s="5" t="inlineStr">
        <is>
          <t>Reservas internacionais</t>
        </is>
      </c>
      <c r="D17" s="5" t="inlineStr">
        <is>
          <t>Banco Mundial/WDI</t>
        </is>
      </c>
      <c r="E17" s="5" t="inlineStr">
        <is>
          <t>FI.RES.TOTL.MO</t>
        </is>
      </c>
      <c r="F17" s="5" t="inlineStr">
        <is>
          <t>Fonte Banco Mundial API/CSV</t>
        </is>
      </c>
      <c r="G17" s="5" t="inlineStr">
        <is>
          <t>10/11</t>
        </is>
      </c>
      <c r="H17" s="5" t="n">
        <v>2024</v>
      </c>
      <c r="I17" s="5" t="inlineStr">
        <is>
          <t>Referenciado pelas regras de Metodologia_v4</t>
        </is>
      </c>
      <c r="J17" s="9">
        <f>IF(Dados_Observados_v4!J17&lt;&gt;"",Dados_Observados_v4!J17,IF(AND(Dados_Observados_v4!K17&lt;&gt;"",(2016-2015)&lt;=Metodologia_v4!$B$14),Dados_Observados_v4!K17,""))</f>
        <v/>
      </c>
      <c r="K17" s="9">
        <f>IF(Dados_Observados_v4!K17&lt;&gt;"",Dados_Observados_v4!K17,IF(AND(Dados_Observados_v4!J17&lt;&gt;"",Dados_Observados_v4!L17&lt;&gt;"",(2017-2015-1)&lt;=Metodologia_v4!$B$12),Dados_Observados_v4!J17+(Dados_Observados_v4!L17-Dados_Observados_v4!J17)*(2016-2015)/(2017-2015),IF(AND(Dados_Observados_v4!J17&lt;&gt;"",(2016-2015)&lt;=Metodologia_v4!$B$13),Dados_Observados_v4!J17,IF(AND(Dados_Observados_v4!L17&lt;&gt;"",(2017-2016)&lt;=Metodologia_v4!$B$14),Dados_Observados_v4!L17,""))))</f>
        <v/>
      </c>
      <c r="L17" s="9">
        <f>IF(Dados_Observados_v4!L17&lt;&gt;"",Dados_Observados_v4!L17,IF(AND(Dados_Observados_v4!K17&lt;&gt;"",Dados_Observados_v4!M17&lt;&gt;"",(2018-2016-1)&lt;=Metodologia_v4!$B$12),Dados_Observados_v4!K17+(Dados_Observados_v4!M17-Dados_Observados_v4!K17)*(2017-2016)/(2018-2016),IF(AND(Dados_Observados_v4!K17&lt;&gt;"",(2017-2016)&lt;=Metodologia_v4!$B$13),Dados_Observados_v4!K17,IF(AND(Dados_Observados_v4!M17&lt;&gt;"",(2018-2017)&lt;=Metodologia_v4!$B$14),Dados_Observados_v4!M17,""))))</f>
        <v/>
      </c>
      <c r="M17" s="9">
        <f>IF(Dados_Observados_v4!M17&lt;&gt;"",Dados_Observados_v4!M17,IF(AND(Dados_Observados_v4!L17&lt;&gt;"",Dados_Observados_v4!N17&lt;&gt;"",(2019-2017-1)&lt;=Metodologia_v4!$B$12),Dados_Observados_v4!L17+(Dados_Observados_v4!N17-Dados_Observados_v4!L17)*(2018-2017)/(2019-2017),IF(AND(Dados_Observados_v4!L17&lt;&gt;"",(2018-2017)&lt;=Metodologia_v4!$B$13),Dados_Observados_v4!L17,IF(AND(Dados_Observados_v4!N17&lt;&gt;"",(2019-2018)&lt;=Metodologia_v4!$B$14),Dados_Observados_v4!N17,""))))</f>
        <v/>
      </c>
      <c r="N17" s="9">
        <f>IF(Dados_Observados_v4!N17&lt;&gt;"",Dados_Observados_v4!N17,IF(AND(Dados_Observados_v4!M17&lt;&gt;"",Dados_Observados_v4!O17&lt;&gt;"",(2020-2018-1)&lt;=Metodologia_v4!$B$12),Dados_Observados_v4!M17+(Dados_Observados_v4!O17-Dados_Observados_v4!M17)*(2019-2018)/(2020-2018),IF(AND(Dados_Observados_v4!M17&lt;&gt;"",(2019-2018)&lt;=Metodologia_v4!$B$13),Dados_Observados_v4!M17,IF(AND(Dados_Observados_v4!O17&lt;&gt;"",(2020-2019)&lt;=Metodologia_v4!$B$14),Dados_Observados_v4!O17,""))))</f>
        <v/>
      </c>
      <c r="O17" s="9">
        <f>IF(Dados_Observados_v4!O17&lt;&gt;"",Dados_Observados_v4!O17,IF(AND(Dados_Observados_v4!N17&lt;&gt;"",Dados_Observados_v4!P17&lt;&gt;"",(2021-2019-1)&lt;=Metodologia_v4!$B$12),Dados_Observados_v4!N17+(Dados_Observados_v4!P17-Dados_Observados_v4!N17)*(2020-2019)/(2021-2019),IF(AND(Dados_Observados_v4!N17&lt;&gt;"",(2020-2019)&lt;=Metodologia_v4!$B$13),Dados_Observados_v4!N17,IF(AND(Dados_Observados_v4!P17&lt;&gt;"",(2021-2020)&lt;=Metodologia_v4!$B$14),Dados_Observados_v4!P17,""))))</f>
        <v/>
      </c>
      <c r="P17" s="9">
        <f>IF(Dados_Observados_v4!P17&lt;&gt;"",Dados_Observados_v4!P17,IF(AND(Dados_Observados_v4!O17&lt;&gt;"",Dados_Observados_v4!Q17&lt;&gt;"",(2022-2020-1)&lt;=Metodologia_v4!$B$12),Dados_Observados_v4!O17+(Dados_Observados_v4!Q17-Dados_Observados_v4!O17)*(2021-2020)/(2022-2020),IF(AND(Dados_Observados_v4!O17&lt;&gt;"",(2021-2020)&lt;=Metodologia_v4!$B$13),Dados_Observados_v4!O17,IF(AND(Dados_Observados_v4!Q17&lt;&gt;"",(2022-2021)&lt;=Metodologia_v4!$B$14),Dados_Observados_v4!Q17,""))))</f>
        <v/>
      </c>
      <c r="Q17" s="9">
        <f>IF(Dados_Observados_v4!Q17&lt;&gt;"",Dados_Observados_v4!Q17,IF(AND(Dados_Observados_v4!P17&lt;&gt;"",Dados_Observados_v4!R17&lt;&gt;"",(2023-2021-1)&lt;=Metodologia_v4!$B$12),Dados_Observados_v4!P17+(Dados_Observados_v4!R17-Dados_Observados_v4!P17)*(2022-2021)/(2023-2021),IF(AND(Dados_Observados_v4!P17&lt;&gt;"",(2022-2021)&lt;=Metodologia_v4!$B$13),Dados_Observados_v4!P17,IF(AND(Dados_Observados_v4!R17&lt;&gt;"",(2023-2022)&lt;=Metodologia_v4!$B$14),Dados_Observados_v4!R17,""))))</f>
        <v/>
      </c>
      <c r="R17" s="9">
        <f>IF(Dados_Observados_v4!R17&lt;&gt;"",Dados_Observados_v4!R17,IF(AND(Dados_Observados_v4!Q17&lt;&gt;"",Dados_Observados_v4!S17&lt;&gt;"",(2024-2022-1)&lt;=Metodologia_v4!$B$12),Dados_Observados_v4!Q17+(Dados_Observados_v4!S17-Dados_Observados_v4!Q17)*(2023-2022)/(2024-2022),IF(AND(Dados_Observados_v4!Q17&lt;&gt;"",(2023-2022)&lt;=Metodologia_v4!$B$13),Dados_Observados_v4!Q17,IF(AND(Dados_Observados_v4!S17&lt;&gt;"",(2024-2023)&lt;=Metodologia_v4!$B$14),Dados_Observados_v4!S17,""))))</f>
        <v/>
      </c>
      <c r="S17" s="9">
        <f>IF(Dados_Observados_v4!S17&lt;&gt;"",Dados_Observados_v4!S17,IF(AND(Dados_Observados_v4!R17&lt;&gt;"",(2024-2023)&lt;=Metodologia_v4!$B$13),Dados_Observados_v4!R17,""))</f>
        <v/>
      </c>
      <c r="T17" s="9">
        <f>IF(Dados_Observados_v4!T17&lt;&gt;"",Dados_Observados_v4!T17,IF(AND(Dados_Observados_v4!S17&lt;&gt;"",(2025-2024)&lt;=Metodologia_v4!$B$13),Dados_Observados_v4!S17,""))</f>
        <v/>
      </c>
    </row>
    <row r="18">
      <c r="A18" s="5" t="inlineStr">
        <is>
          <t>MAC08</t>
        </is>
      </c>
      <c r="B18" s="5" t="inlineStr">
        <is>
          <t>2. Estabilidade Macroeconómica</t>
        </is>
      </c>
      <c r="C18" s="5" t="inlineStr">
        <is>
          <t>Receita fiscal</t>
        </is>
      </c>
      <c r="D18" s="5" t="inlineStr">
        <is>
          <t>Banco Mundial/WDI</t>
        </is>
      </c>
      <c r="E18" s="5" t="inlineStr">
        <is>
          <t>GC.TAX.TOTL.GD.ZS</t>
        </is>
      </c>
      <c r="F18" s="5" t="inlineStr">
        <is>
          <t>Fonte Banco Mundial API/CSV</t>
        </is>
      </c>
      <c r="G18" s="5" t="inlineStr">
        <is>
          <t>10/11</t>
        </is>
      </c>
      <c r="H18" s="5" t="n">
        <v>2024</v>
      </c>
      <c r="I18" s="5" t="inlineStr">
        <is>
          <t>Referenciado pelas regras de Metodologia_v4</t>
        </is>
      </c>
      <c r="J18" s="9">
        <f>IF(Dados_Observados_v4!J18&lt;&gt;"",Dados_Observados_v4!J18,IF(AND(Dados_Observados_v4!K18&lt;&gt;"",(2016-2015)&lt;=Metodologia_v4!$B$14),Dados_Observados_v4!K18,""))</f>
        <v/>
      </c>
      <c r="K18" s="9">
        <f>IF(Dados_Observados_v4!K18&lt;&gt;"",Dados_Observados_v4!K18,IF(AND(Dados_Observados_v4!J18&lt;&gt;"",Dados_Observados_v4!L18&lt;&gt;"",(2017-2015-1)&lt;=Metodologia_v4!$B$12),Dados_Observados_v4!J18+(Dados_Observados_v4!L18-Dados_Observados_v4!J18)*(2016-2015)/(2017-2015),IF(AND(Dados_Observados_v4!J18&lt;&gt;"",(2016-2015)&lt;=Metodologia_v4!$B$13),Dados_Observados_v4!J18,IF(AND(Dados_Observados_v4!L18&lt;&gt;"",(2017-2016)&lt;=Metodologia_v4!$B$14),Dados_Observados_v4!L18,""))))</f>
        <v/>
      </c>
      <c r="L18" s="9">
        <f>IF(Dados_Observados_v4!L18&lt;&gt;"",Dados_Observados_v4!L18,IF(AND(Dados_Observados_v4!K18&lt;&gt;"",Dados_Observados_v4!M18&lt;&gt;"",(2018-2016-1)&lt;=Metodologia_v4!$B$12),Dados_Observados_v4!K18+(Dados_Observados_v4!M18-Dados_Observados_v4!K18)*(2017-2016)/(2018-2016),IF(AND(Dados_Observados_v4!K18&lt;&gt;"",(2017-2016)&lt;=Metodologia_v4!$B$13),Dados_Observados_v4!K18,IF(AND(Dados_Observados_v4!M18&lt;&gt;"",(2018-2017)&lt;=Metodologia_v4!$B$14),Dados_Observados_v4!M18,""))))</f>
        <v/>
      </c>
      <c r="M18" s="9">
        <f>IF(Dados_Observados_v4!M18&lt;&gt;"",Dados_Observados_v4!M18,IF(AND(Dados_Observados_v4!L18&lt;&gt;"",Dados_Observados_v4!N18&lt;&gt;"",(2019-2017-1)&lt;=Metodologia_v4!$B$12),Dados_Observados_v4!L18+(Dados_Observados_v4!N18-Dados_Observados_v4!L18)*(2018-2017)/(2019-2017),IF(AND(Dados_Observados_v4!L18&lt;&gt;"",(2018-2017)&lt;=Metodologia_v4!$B$13),Dados_Observados_v4!L18,IF(AND(Dados_Observados_v4!N18&lt;&gt;"",(2019-2018)&lt;=Metodologia_v4!$B$14),Dados_Observados_v4!N18,""))))</f>
        <v/>
      </c>
      <c r="N18" s="9">
        <f>IF(Dados_Observados_v4!N18&lt;&gt;"",Dados_Observados_v4!N18,IF(AND(Dados_Observados_v4!M18&lt;&gt;"",Dados_Observados_v4!O18&lt;&gt;"",(2020-2018-1)&lt;=Metodologia_v4!$B$12),Dados_Observados_v4!M18+(Dados_Observados_v4!O18-Dados_Observados_v4!M18)*(2019-2018)/(2020-2018),IF(AND(Dados_Observados_v4!M18&lt;&gt;"",(2019-2018)&lt;=Metodologia_v4!$B$13),Dados_Observados_v4!M18,IF(AND(Dados_Observados_v4!O18&lt;&gt;"",(2020-2019)&lt;=Metodologia_v4!$B$14),Dados_Observados_v4!O18,""))))</f>
        <v/>
      </c>
      <c r="O18" s="9">
        <f>IF(Dados_Observados_v4!O18&lt;&gt;"",Dados_Observados_v4!O18,IF(AND(Dados_Observados_v4!N18&lt;&gt;"",Dados_Observados_v4!P18&lt;&gt;"",(2021-2019-1)&lt;=Metodologia_v4!$B$12),Dados_Observados_v4!N18+(Dados_Observados_v4!P18-Dados_Observados_v4!N18)*(2020-2019)/(2021-2019),IF(AND(Dados_Observados_v4!N18&lt;&gt;"",(2020-2019)&lt;=Metodologia_v4!$B$13),Dados_Observados_v4!N18,IF(AND(Dados_Observados_v4!P18&lt;&gt;"",(2021-2020)&lt;=Metodologia_v4!$B$14),Dados_Observados_v4!P18,""))))</f>
        <v/>
      </c>
      <c r="P18" s="9">
        <f>IF(Dados_Observados_v4!P18&lt;&gt;"",Dados_Observados_v4!P18,IF(AND(Dados_Observados_v4!O18&lt;&gt;"",Dados_Observados_v4!Q18&lt;&gt;"",(2022-2020-1)&lt;=Metodologia_v4!$B$12),Dados_Observados_v4!O18+(Dados_Observados_v4!Q18-Dados_Observados_v4!O18)*(2021-2020)/(2022-2020),IF(AND(Dados_Observados_v4!O18&lt;&gt;"",(2021-2020)&lt;=Metodologia_v4!$B$13),Dados_Observados_v4!O18,IF(AND(Dados_Observados_v4!Q18&lt;&gt;"",(2022-2021)&lt;=Metodologia_v4!$B$14),Dados_Observados_v4!Q18,""))))</f>
        <v/>
      </c>
      <c r="Q18" s="9">
        <f>IF(Dados_Observados_v4!Q18&lt;&gt;"",Dados_Observados_v4!Q18,IF(AND(Dados_Observados_v4!P18&lt;&gt;"",Dados_Observados_v4!R18&lt;&gt;"",(2023-2021-1)&lt;=Metodologia_v4!$B$12),Dados_Observados_v4!P18+(Dados_Observados_v4!R18-Dados_Observados_v4!P18)*(2022-2021)/(2023-2021),IF(AND(Dados_Observados_v4!P18&lt;&gt;"",(2022-2021)&lt;=Metodologia_v4!$B$13),Dados_Observados_v4!P18,IF(AND(Dados_Observados_v4!R18&lt;&gt;"",(2023-2022)&lt;=Metodologia_v4!$B$14),Dados_Observados_v4!R18,""))))</f>
        <v/>
      </c>
      <c r="R18" s="9">
        <f>IF(Dados_Observados_v4!R18&lt;&gt;"",Dados_Observados_v4!R18,IF(AND(Dados_Observados_v4!Q18&lt;&gt;"",Dados_Observados_v4!S18&lt;&gt;"",(2024-2022-1)&lt;=Metodologia_v4!$B$12),Dados_Observados_v4!Q18+(Dados_Observados_v4!S18-Dados_Observados_v4!Q18)*(2023-2022)/(2024-2022),IF(AND(Dados_Observados_v4!Q18&lt;&gt;"",(2023-2022)&lt;=Metodologia_v4!$B$13),Dados_Observados_v4!Q18,IF(AND(Dados_Observados_v4!S18&lt;&gt;"",(2024-2023)&lt;=Metodologia_v4!$B$14),Dados_Observados_v4!S18,""))))</f>
        <v/>
      </c>
      <c r="S18" s="9">
        <f>IF(Dados_Observados_v4!S18&lt;&gt;"",Dados_Observados_v4!S18,IF(AND(Dados_Observados_v4!R18&lt;&gt;"",(2024-2023)&lt;=Metodologia_v4!$B$13),Dados_Observados_v4!R18,""))</f>
        <v/>
      </c>
      <c r="T18" s="9">
        <f>IF(Dados_Observados_v4!T18&lt;&gt;"",Dados_Observados_v4!T18,IF(AND(Dados_Observados_v4!S18&lt;&gt;"",(2025-2024)&lt;=Metodologia_v4!$B$13),Dados_Observados_v4!S18,""))</f>
        <v/>
      </c>
    </row>
    <row r="19">
      <c r="A19" s="5" t="inlineStr">
        <is>
          <t>HUM01</t>
        </is>
      </c>
      <c r="B19" s="5" t="inlineStr">
        <is>
          <t>3. Capital Humano</t>
        </is>
      </c>
      <c r="C19" s="5" t="inlineStr">
        <is>
          <t>Índice de Desenvolvimento Humano</t>
        </is>
      </c>
      <c r="D19" s="5" t="inlineStr">
        <is>
          <t>PNUD/HDR / ficheiro base</t>
        </is>
      </c>
      <c r="E19" s="5" t="inlineStr"/>
      <c r="F19" s="5" t="inlineStr">
        <is>
          <t>Série observada do ficheiro base</t>
        </is>
      </c>
      <c r="G19" s="5" t="inlineStr">
        <is>
          <t>9/11</t>
        </is>
      </c>
      <c r="H19" s="5" t="n">
        <v>2023</v>
      </c>
      <c r="I19" s="5" t="inlineStr">
        <is>
          <t>Referenciado pelas regras de Metodologia_v4</t>
        </is>
      </c>
      <c r="J19" s="9">
        <f>IF(Dados_Observados_v4!J19&lt;&gt;"",Dados_Observados_v4!J19,IF(AND(Dados_Observados_v4!K19&lt;&gt;"",(2016-2015)&lt;=Metodologia_v4!$B$14),Dados_Observados_v4!K19,""))</f>
        <v/>
      </c>
      <c r="K19" s="9">
        <f>IF(Dados_Observados_v4!K19&lt;&gt;"",Dados_Observados_v4!K19,IF(AND(Dados_Observados_v4!J19&lt;&gt;"",Dados_Observados_v4!L19&lt;&gt;"",(2017-2015-1)&lt;=Metodologia_v4!$B$12),Dados_Observados_v4!J19+(Dados_Observados_v4!L19-Dados_Observados_v4!J19)*(2016-2015)/(2017-2015),IF(AND(Dados_Observados_v4!J19&lt;&gt;"",(2016-2015)&lt;=Metodologia_v4!$B$13),Dados_Observados_v4!J19,IF(AND(Dados_Observados_v4!L19&lt;&gt;"",(2017-2016)&lt;=Metodologia_v4!$B$14),Dados_Observados_v4!L19,""))))</f>
        <v/>
      </c>
      <c r="L19" s="9">
        <f>IF(Dados_Observados_v4!L19&lt;&gt;"",Dados_Observados_v4!L19,IF(AND(Dados_Observados_v4!K19&lt;&gt;"",Dados_Observados_v4!M19&lt;&gt;"",(2018-2016-1)&lt;=Metodologia_v4!$B$12),Dados_Observados_v4!K19+(Dados_Observados_v4!M19-Dados_Observados_v4!K19)*(2017-2016)/(2018-2016),IF(AND(Dados_Observados_v4!K19&lt;&gt;"",(2017-2016)&lt;=Metodologia_v4!$B$13),Dados_Observados_v4!K19,IF(AND(Dados_Observados_v4!M19&lt;&gt;"",(2018-2017)&lt;=Metodologia_v4!$B$14),Dados_Observados_v4!M19,""))))</f>
        <v/>
      </c>
      <c r="M19" s="9">
        <f>IF(Dados_Observados_v4!M19&lt;&gt;"",Dados_Observados_v4!M19,IF(AND(Dados_Observados_v4!L19&lt;&gt;"",Dados_Observados_v4!N19&lt;&gt;"",(2019-2017-1)&lt;=Metodologia_v4!$B$12),Dados_Observados_v4!L19+(Dados_Observados_v4!N19-Dados_Observados_v4!L19)*(2018-2017)/(2019-2017),IF(AND(Dados_Observados_v4!L19&lt;&gt;"",(2018-2017)&lt;=Metodologia_v4!$B$13),Dados_Observados_v4!L19,IF(AND(Dados_Observados_v4!N19&lt;&gt;"",(2019-2018)&lt;=Metodologia_v4!$B$14),Dados_Observados_v4!N19,""))))</f>
        <v/>
      </c>
      <c r="N19" s="9">
        <f>IF(Dados_Observados_v4!N19&lt;&gt;"",Dados_Observados_v4!N19,IF(AND(Dados_Observados_v4!M19&lt;&gt;"",Dados_Observados_v4!O19&lt;&gt;"",(2020-2018-1)&lt;=Metodologia_v4!$B$12),Dados_Observados_v4!M19+(Dados_Observados_v4!O19-Dados_Observados_v4!M19)*(2019-2018)/(2020-2018),IF(AND(Dados_Observados_v4!M19&lt;&gt;"",(2019-2018)&lt;=Metodologia_v4!$B$13),Dados_Observados_v4!M19,IF(AND(Dados_Observados_v4!O19&lt;&gt;"",(2020-2019)&lt;=Metodologia_v4!$B$14),Dados_Observados_v4!O19,""))))</f>
        <v/>
      </c>
      <c r="O19" s="9">
        <f>IF(Dados_Observados_v4!O19&lt;&gt;"",Dados_Observados_v4!O19,IF(AND(Dados_Observados_v4!N19&lt;&gt;"",Dados_Observados_v4!P19&lt;&gt;"",(2021-2019-1)&lt;=Metodologia_v4!$B$12),Dados_Observados_v4!N19+(Dados_Observados_v4!P19-Dados_Observados_v4!N19)*(2020-2019)/(2021-2019),IF(AND(Dados_Observados_v4!N19&lt;&gt;"",(2020-2019)&lt;=Metodologia_v4!$B$13),Dados_Observados_v4!N19,IF(AND(Dados_Observados_v4!P19&lt;&gt;"",(2021-2020)&lt;=Metodologia_v4!$B$14),Dados_Observados_v4!P19,""))))</f>
        <v/>
      </c>
      <c r="P19" s="9">
        <f>IF(Dados_Observados_v4!P19&lt;&gt;"",Dados_Observados_v4!P19,IF(AND(Dados_Observados_v4!O19&lt;&gt;"",Dados_Observados_v4!Q19&lt;&gt;"",(2022-2020-1)&lt;=Metodologia_v4!$B$12),Dados_Observados_v4!O19+(Dados_Observados_v4!Q19-Dados_Observados_v4!O19)*(2021-2020)/(2022-2020),IF(AND(Dados_Observados_v4!O19&lt;&gt;"",(2021-2020)&lt;=Metodologia_v4!$B$13),Dados_Observados_v4!O19,IF(AND(Dados_Observados_v4!Q19&lt;&gt;"",(2022-2021)&lt;=Metodologia_v4!$B$14),Dados_Observados_v4!Q19,""))))</f>
        <v/>
      </c>
      <c r="Q19" s="9">
        <f>IF(Dados_Observados_v4!Q19&lt;&gt;"",Dados_Observados_v4!Q19,IF(AND(Dados_Observados_v4!P19&lt;&gt;"",Dados_Observados_v4!R19&lt;&gt;"",(2023-2021-1)&lt;=Metodologia_v4!$B$12),Dados_Observados_v4!P19+(Dados_Observados_v4!R19-Dados_Observados_v4!P19)*(2022-2021)/(2023-2021),IF(AND(Dados_Observados_v4!P19&lt;&gt;"",(2022-2021)&lt;=Metodologia_v4!$B$13),Dados_Observados_v4!P19,IF(AND(Dados_Observados_v4!R19&lt;&gt;"",(2023-2022)&lt;=Metodologia_v4!$B$14),Dados_Observados_v4!R19,""))))</f>
        <v/>
      </c>
      <c r="R19" s="9">
        <f>IF(Dados_Observados_v4!R19&lt;&gt;"",Dados_Observados_v4!R19,IF(AND(Dados_Observados_v4!Q19&lt;&gt;"",(2023-2022)&lt;=Metodologia_v4!$B$13),Dados_Observados_v4!Q19,""))</f>
        <v/>
      </c>
      <c r="S19" s="9">
        <f>IF(Dados_Observados_v4!S19&lt;&gt;"",Dados_Observados_v4!S19,IF(AND(Dados_Observados_v4!R19&lt;&gt;"",(2024-2023)&lt;=Metodologia_v4!$B$13),Dados_Observados_v4!R19,""))</f>
        <v/>
      </c>
      <c r="T19" s="9">
        <f>IF(Dados_Observados_v4!T19&lt;&gt;"",Dados_Observados_v4!T19,IF(AND(Dados_Observados_v4!R19&lt;&gt;"",(2025-2023)&lt;=Metodologia_v4!$B$13),Dados_Observados_v4!R19,""))</f>
        <v/>
      </c>
    </row>
    <row r="20">
      <c r="A20" s="5" t="inlineStr">
        <is>
          <t>HUM02</t>
        </is>
      </c>
      <c r="B20" s="5" t="inlineStr">
        <is>
          <t>3. Capital Humano</t>
        </is>
      </c>
      <c r="C20" s="5" t="inlineStr">
        <is>
          <t>Esperança de vida à nascença</t>
        </is>
      </c>
      <c r="D20" s="5" t="inlineStr">
        <is>
          <t>Banco Mundial/WDI</t>
        </is>
      </c>
      <c r="E20" s="5" t="inlineStr">
        <is>
          <t>SP.DYN.LE00.IN</t>
        </is>
      </c>
      <c r="F20" s="5" t="inlineStr">
        <is>
          <t>Fonte Banco Mundial API/CSV</t>
        </is>
      </c>
      <c r="G20" s="5" t="inlineStr">
        <is>
          <t>10/11</t>
        </is>
      </c>
      <c r="H20" s="5" t="n">
        <v>2024</v>
      </c>
      <c r="I20" s="5" t="inlineStr">
        <is>
          <t>Referenciado pelas regras de Metodologia_v4</t>
        </is>
      </c>
      <c r="J20" s="9">
        <f>IF(Dados_Observados_v4!J20&lt;&gt;"",Dados_Observados_v4!J20,IF(AND(Dados_Observados_v4!K20&lt;&gt;"",(2016-2015)&lt;=Metodologia_v4!$B$14),Dados_Observados_v4!K20,""))</f>
        <v/>
      </c>
      <c r="K20" s="9">
        <f>IF(Dados_Observados_v4!K20&lt;&gt;"",Dados_Observados_v4!K20,IF(AND(Dados_Observados_v4!J20&lt;&gt;"",Dados_Observados_v4!L20&lt;&gt;"",(2017-2015-1)&lt;=Metodologia_v4!$B$12),Dados_Observados_v4!J20+(Dados_Observados_v4!L20-Dados_Observados_v4!J20)*(2016-2015)/(2017-2015),IF(AND(Dados_Observados_v4!J20&lt;&gt;"",(2016-2015)&lt;=Metodologia_v4!$B$13),Dados_Observados_v4!J20,IF(AND(Dados_Observados_v4!L20&lt;&gt;"",(2017-2016)&lt;=Metodologia_v4!$B$14),Dados_Observados_v4!L20,""))))</f>
        <v/>
      </c>
      <c r="L20" s="9">
        <f>IF(Dados_Observados_v4!L20&lt;&gt;"",Dados_Observados_v4!L20,IF(AND(Dados_Observados_v4!K20&lt;&gt;"",Dados_Observados_v4!M20&lt;&gt;"",(2018-2016-1)&lt;=Metodologia_v4!$B$12),Dados_Observados_v4!K20+(Dados_Observados_v4!M20-Dados_Observados_v4!K20)*(2017-2016)/(2018-2016),IF(AND(Dados_Observados_v4!K20&lt;&gt;"",(2017-2016)&lt;=Metodologia_v4!$B$13),Dados_Observados_v4!K20,IF(AND(Dados_Observados_v4!M20&lt;&gt;"",(2018-2017)&lt;=Metodologia_v4!$B$14),Dados_Observados_v4!M20,""))))</f>
        <v/>
      </c>
      <c r="M20" s="9">
        <f>IF(Dados_Observados_v4!M20&lt;&gt;"",Dados_Observados_v4!M20,IF(AND(Dados_Observados_v4!L20&lt;&gt;"",Dados_Observados_v4!N20&lt;&gt;"",(2019-2017-1)&lt;=Metodologia_v4!$B$12),Dados_Observados_v4!L20+(Dados_Observados_v4!N20-Dados_Observados_v4!L20)*(2018-2017)/(2019-2017),IF(AND(Dados_Observados_v4!L20&lt;&gt;"",(2018-2017)&lt;=Metodologia_v4!$B$13),Dados_Observados_v4!L20,IF(AND(Dados_Observados_v4!N20&lt;&gt;"",(2019-2018)&lt;=Metodologia_v4!$B$14),Dados_Observados_v4!N20,""))))</f>
        <v/>
      </c>
      <c r="N20" s="9">
        <f>IF(Dados_Observados_v4!N20&lt;&gt;"",Dados_Observados_v4!N20,IF(AND(Dados_Observados_v4!M20&lt;&gt;"",Dados_Observados_v4!O20&lt;&gt;"",(2020-2018-1)&lt;=Metodologia_v4!$B$12),Dados_Observados_v4!M20+(Dados_Observados_v4!O20-Dados_Observados_v4!M20)*(2019-2018)/(2020-2018),IF(AND(Dados_Observados_v4!M20&lt;&gt;"",(2019-2018)&lt;=Metodologia_v4!$B$13),Dados_Observados_v4!M20,IF(AND(Dados_Observados_v4!O20&lt;&gt;"",(2020-2019)&lt;=Metodologia_v4!$B$14),Dados_Observados_v4!O20,""))))</f>
        <v/>
      </c>
      <c r="O20" s="9">
        <f>IF(Dados_Observados_v4!O20&lt;&gt;"",Dados_Observados_v4!O20,IF(AND(Dados_Observados_v4!N20&lt;&gt;"",Dados_Observados_v4!P20&lt;&gt;"",(2021-2019-1)&lt;=Metodologia_v4!$B$12),Dados_Observados_v4!N20+(Dados_Observados_v4!P20-Dados_Observados_v4!N20)*(2020-2019)/(2021-2019),IF(AND(Dados_Observados_v4!N20&lt;&gt;"",(2020-2019)&lt;=Metodologia_v4!$B$13),Dados_Observados_v4!N20,IF(AND(Dados_Observados_v4!P20&lt;&gt;"",(2021-2020)&lt;=Metodologia_v4!$B$14),Dados_Observados_v4!P20,""))))</f>
        <v/>
      </c>
      <c r="P20" s="9">
        <f>IF(Dados_Observados_v4!P20&lt;&gt;"",Dados_Observados_v4!P20,IF(AND(Dados_Observados_v4!O20&lt;&gt;"",Dados_Observados_v4!Q20&lt;&gt;"",(2022-2020-1)&lt;=Metodologia_v4!$B$12),Dados_Observados_v4!O20+(Dados_Observados_v4!Q20-Dados_Observados_v4!O20)*(2021-2020)/(2022-2020),IF(AND(Dados_Observados_v4!O20&lt;&gt;"",(2021-2020)&lt;=Metodologia_v4!$B$13),Dados_Observados_v4!O20,IF(AND(Dados_Observados_v4!Q20&lt;&gt;"",(2022-2021)&lt;=Metodologia_v4!$B$14),Dados_Observados_v4!Q20,""))))</f>
        <v/>
      </c>
      <c r="Q20" s="9">
        <f>IF(Dados_Observados_v4!Q20&lt;&gt;"",Dados_Observados_v4!Q20,IF(AND(Dados_Observados_v4!P20&lt;&gt;"",Dados_Observados_v4!R20&lt;&gt;"",(2023-2021-1)&lt;=Metodologia_v4!$B$12),Dados_Observados_v4!P20+(Dados_Observados_v4!R20-Dados_Observados_v4!P20)*(2022-2021)/(2023-2021),IF(AND(Dados_Observados_v4!P20&lt;&gt;"",(2022-2021)&lt;=Metodologia_v4!$B$13),Dados_Observados_v4!P20,IF(AND(Dados_Observados_v4!R20&lt;&gt;"",(2023-2022)&lt;=Metodologia_v4!$B$14),Dados_Observados_v4!R20,""))))</f>
        <v/>
      </c>
      <c r="R20" s="9">
        <f>IF(Dados_Observados_v4!R20&lt;&gt;"",Dados_Observados_v4!R20,IF(AND(Dados_Observados_v4!Q20&lt;&gt;"",Dados_Observados_v4!S20&lt;&gt;"",(2024-2022-1)&lt;=Metodologia_v4!$B$12),Dados_Observados_v4!Q20+(Dados_Observados_v4!S20-Dados_Observados_v4!Q20)*(2023-2022)/(2024-2022),IF(AND(Dados_Observados_v4!Q20&lt;&gt;"",(2023-2022)&lt;=Metodologia_v4!$B$13),Dados_Observados_v4!Q20,IF(AND(Dados_Observados_v4!S20&lt;&gt;"",(2024-2023)&lt;=Metodologia_v4!$B$14),Dados_Observados_v4!S20,""))))</f>
        <v/>
      </c>
      <c r="S20" s="9">
        <f>IF(Dados_Observados_v4!S20&lt;&gt;"",Dados_Observados_v4!S20,IF(AND(Dados_Observados_v4!R20&lt;&gt;"",(2024-2023)&lt;=Metodologia_v4!$B$13),Dados_Observados_v4!R20,""))</f>
        <v/>
      </c>
      <c r="T20" s="9">
        <f>IF(Dados_Observados_v4!T20&lt;&gt;"",Dados_Observados_v4!T20,IF(AND(Dados_Observados_v4!S20&lt;&gt;"",(2025-2024)&lt;=Metodologia_v4!$B$13),Dados_Observados_v4!S20,""))</f>
        <v/>
      </c>
    </row>
    <row r="21">
      <c r="A21" s="5" t="inlineStr">
        <is>
          <t>HUM03</t>
        </is>
      </c>
      <c r="B21" s="5" t="inlineStr">
        <is>
          <t>3. Capital Humano</t>
        </is>
      </c>
      <c r="C21" s="5" t="inlineStr">
        <is>
          <t>Alfabetização adulta</t>
        </is>
      </c>
      <c r="D21" s="5" t="inlineStr">
        <is>
          <t>Banco Mundial/UNESCO</t>
        </is>
      </c>
      <c r="E21" s="5" t="inlineStr">
        <is>
          <t>SE.ADT.LITR.ZS</t>
        </is>
      </c>
      <c r="F21" s="5" t="inlineStr">
        <is>
          <t>Fonte Banco Mundial API/CSV</t>
        </is>
      </c>
      <c r="G21" s="5" t="inlineStr">
        <is>
          <t>2/11</t>
        </is>
      </c>
      <c r="H21" s="5" t="n">
        <v>2023</v>
      </c>
      <c r="I21" s="5" t="inlineStr">
        <is>
          <t>Referenciado pelas regras de Metodologia_v4</t>
        </is>
      </c>
      <c r="J21" s="9">
        <f>IF(Dados_Observados_v4!J21&lt;&gt;"",Dados_Observados_v4!J21,IF(AND(Dados_Observados_v4!R21&lt;&gt;"",(2023-2015)&lt;=Metodologia_v4!$B$14),Dados_Observados_v4!R21,""))</f>
        <v/>
      </c>
      <c r="K21" s="9">
        <f>IF(Dados_Observados_v4!K21&lt;&gt;"",Dados_Observados_v4!K21,IF(AND(Dados_Observados_v4!J21&lt;&gt;"",Dados_Observados_v4!R21&lt;&gt;"",(2023-2015-1)&lt;=Metodologia_v4!$B$12),Dados_Observados_v4!J21+(Dados_Observados_v4!R21-Dados_Observados_v4!J21)*(2016-2015)/(2023-2015),IF(AND(Dados_Observados_v4!J21&lt;&gt;"",(2016-2015)&lt;=Metodologia_v4!$B$13),Dados_Observados_v4!J21,IF(AND(Dados_Observados_v4!R21&lt;&gt;"",(2023-2016)&lt;=Metodologia_v4!$B$14),Dados_Observados_v4!R21,""))))</f>
        <v/>
      </c>
      <c r="L21" s="9">
        <f>IF(Dados_Observados_v4!L21&lt;&gt;"",Dados_Observados_v4!L21,IF(AND(Dados_Observados_v4!J21&lt;&gt;"",Dados_Observados_v4!R21&lt;&gt;"",(2023-2015-1)&lt;=Metodologia_v4!$B$12),Dados_Observados_v4!J21+(Dados_Observados_v4!R21-Dados_Observados_v4!J21)*(2017-2015)/(2023-2015),IF(AND(Dados_Observados_v4!J21&lt;&gt;"",(2017-2015)&lt;=Metodologia_v4!$B$13),Dados_Observados_v4!J21,IF(AND(Dados_Observados_v4!R21&lt;&gt;"",(2023-2017)&lt;=Metodologia_v4!$B$14),Dados_Observados_v4!R21,""))))</f>
        <v/>
      </c>
      <c r="M21" s="9">
        <f>IF(Dados_Observados_v4!M21&lt;&gt;"",Dados_Observados_v4!M21,IF(AND(Dados_Observados_v4!J21&lt;&gt;"",Dados_Observados_v4!R21&lt;&gt;"",(2023-2015-1)&lt;=Metodologia_v4!$B$12),Dados_Observados_v4!J21+(Dados_Observados_v4!R21-Dados_Observados_v4!J21)*(2018-2015)/(2023-2015),IF(AND(Dados_Observados_v4!J21&lt;&gt;"",(2018-2015)&lt;=Metodologia_v4!$B$13),Dados_Observados_v4!J21,IF(AND(Dados_Observados_v4!R21&lt;&gt;"",(2023-2018)&lt;=Metodologia_v4!$B$14),Dados_Observados_v4!R21,""))))</f>
        <v/>
      </c>
      <c r="N21" s="9">
        <f>IF(Dados_Observados_v4!N21&lt;&gt;"",Dados_Observados_v4!N21,IF(AND(Dados_Observados_v4!J21&lt;&gt;"",Dados_Observados_v4!R21&lt;&gt;"",(2023-2015-1)&lt;=Metodologia_v4!$B$12),Dados_Observados_v4!J21+(Dados_Observados_v4!R21-Dados_Observados_v4!J21)*(2019-2015)/(2023-2015),IF(AND(Dados_Observados_v4!J21&lt;&gt;"",(2019-2015)&lt;=Metodologia_v4!$B$13),Dados_Observados_v4!J21,IF(AND(Dados_Observados_v4!R21&lt;&gt;"",(2023-2019)&lt;=Metodologia_v4!$B$14),Dados_Observados_v4!R21,""))))</f>
        <v/>
      </c>
      <c r="O21" s="9">
        <f>IF(Dados_Observados_v4!O21&lt;&gt;"",Dados_Observados_v4!O21,IF(AND(Dados_Observados_v4!J21&lt;&gt;"",Dados_Observados_v4!R21&lt;&gt;"",(2023-2015-1)&lt;=Metodologia_v4!$B$12),Dados_Observados_v4!J21+(Dados_Observados_v4!R21-Dados_Observados_v4!J21)*(2020-2015)/(2023-2015),IF(AND(Dados_Observados_v4!J21&lt;&gt;"",(2020-2015)&lt;=Metodologia_v4!$B$13),Dados_Observados_v4!J21,IF(AND(Dados_Observados_v4!R21&lt;&gt;"",(2023-2020)&lt;=Metodologia_v4!$B$14),Dados_Observados_v4!R21,""))))</f>
        <v/>
      </c>
      <c r="P21" s="9">
        <f>IF(Dados_Observados_v4!P21&lt;&gt;"",Dados_Observados_v4!P21,IF(AND(Dados_Observados_v4!J21&lt;&gt;"",Dados_Observados_v4!R21&lt;&gt;"",(2023-2015-1)&lt;=Metodologia_v4!$B$12),Dados_Observados_v4!J21+(Dados_Observados_v4!R21-Dados_Observados_v4!J21)*(2021-2015)/(2023-2015),IF(AND(Dados_Observados_v4!J21&lt;&gt;"",(2021-2015)&lt;=Metodologia_v4!$B$13),Dados_Observados_v4!J21,IF(AND(Dados_Observados_v4!R21&lt;&gt;"",(2023-2021)&lt;=Metodologia_v4!$B$14),Dados_Observados_v4!R21,""))))</f>
        <v/>
      </c>
      <c r="Q21" s="9">
        <f>IF(Dados_Observados_v4!Q21&lt;&gt;"",Dados_Observados_v4!Q21,IF(AND(Dados_Observados_v4!J21&lt;&gt;"",Dados_Observados_v4!R21&lt;&gt;"",(2023-2015-1)&lt;=Metodologia_v4!$B$12),Dados_Observados_v4!J21+(Dados_Observados_v4!R21-Dados_Observados_v4!J21)*(2022-2015)/(2023-2015),IF(AND(Dados_Observados_v4!J21&lt;&gt;"",(2022-2015)&lt;=Metodologia_v4!$B$13),Dados_Observados_v4!J21,IF(AND(Dados_Observados_v4!R21&lt;&gt;"",(2023-2022)&lt;=Metodologia_v4!$B$14),Dados_Observados_v4!R21,""))))</f>
        <v/>
      </c>
      <c r="R21" s="9">
        <f>IF(Dados_Observados_v4!R21&lt;&gt;"",Dados_Observados_v4!R21,IF(AND(Dados_Observados_v4!J21&lt;&gt;"",(2023-2015)&lt;=Metodologia_v4!$B$13),Dados_Observados_v4!J21,""))</f>
        <v/>
      </c>
      <c r="S21" s="9">
        <f>IF(Dados_Observados_v4!S21&lt;&gt;"",Dados_Observados_v4!S21,IF(AND(Dados_Observados_v4!R21&lt;&gt;"",(2024-2023)&lt;=Metodologia_v4!$B$13),Dados_Observados_v4!R21,""))</f>
        <v/>
      </c>
      <c r="T21" s="9">
        <f>IF(Dados_Observados_v4!T21&lt;&gt;"",Dados_Observados_v4!T21,IF(AND(Dados_Observados_v4!R21&lt;&gt;"",(2025-2023)&lt;=Metodologia_v4!$B$13),Dados_Observados_v4!R21,""))</f>
        <v/>
      </c>
    </row>
    <row r="22">
      <c r="A22" s="5" t="inlineStr">
        <is>
          <t>HUM04</t>
        </is>
      </c>
      <c r="B22" s="5" t="inlineStr">
        <is>
          <t>3. Capital Humano</t>
        </is>
      </c>
      <c r="C22" s="5" t="inlineStr">
        <is>
          <t>Conclusão do ensino primário</t>
        </is>
      </c>
      <c r="D22" s="5" t="inlineStr">
        <is>
          <t>Banco Mundial/UNESCO</t>
        </is>
      </c>
      <c r="E22" s="5" t="inlineStr">
        <is>
          <t>SE.PRM.CMPT.ZS</t>
        </is>
      </c>
      <c r="F22" s="5" t="inlineStr">
        <is>
          <t>Fonte Banco Mundial API/CSV</t>
        </is>
      </c>
      <c r="G22" s="5" t="inlineStr">
        <is>
          <t>2/11</t>
        </is>
      </c>
      <c r="H22" s="5" t="n">
        <v>2023</v>
      </c>
      <c r="I22" s="5" t="inlineStr">
        <is>
          <t>Referenciado pelas regras de Metodologia_v4</t>
        </is>
      </c>
      <c r="J22" s="9">
        <f>IF(Dados_Observados_v4!J22&lt;&gt;"",Dados_Observados_v4!J22,IF(AND(Dados_Observados_v4!P22&lt;&gt;"",(2021-2015)&lt;=Metodologia_v4!$B$14),Dados_Observados_v4!P22,""))</f>
        <v/>
      </c>
      <c r="K22" s="9">
        <f>IF(Dados_Observados_v4!K22&lt;&gt;"",Dados_Observados_v4!K22,IF(AND(Dados_Observados_v4!P22&lt;&gt;"",(2021-2016)&lt;=Metodologia_v4!$B$14),Dados_Observados_v4!P22,""))</f>
        <v/>
      </c>
      <c r="L22" s="9">
        <f>IF(Dados_Observados_v4!L22&lt;&gt;"",Dados_Observados_v4!L22,IF(AND(Dados_Observados_v4!P22&lt;&gt;"",(2021-2017)&lt;=Metodologia_v4!$B$14),Dados_Observados_v4!P22,""))</f>
        <v/>
      </c>
      <c r="M22" s="9">
        <f>IF(Dados_Observados_v4!M22&lt;&gt;"",Dados_Observados_v4!M22,IF(AND(Dados_Observados_v4!P22&lt;&gt;"",(2021-2018)&lt;=Metodologia_v4!$B$14),Dados_Observados_v4!P22,""))</f>
        <v/>
      </c>
      <c r="N22" s="9">
        <f>IF(Dados_Observados_v4!N22&lt;&gt;"",Dados_Observados_v4!N22,IF(AND(Dados_Observados_v4!P22&lt;&gt;"",(2021-2019)&lt;=Metodologia_v4!$B$14),Dados_Observados_v4!P22,""))</f>
        <v/>
      </c>
      <c r="O22" s="9">
        <f>IF(Dados_Observados_v4!O22&lt;&gt;"",Dados_Observados_v4!O22,IF(AND(Dados_Observados_v4!P22&lt;&gt;"",(2021-2020)&lt;=Metodologia_v4!$B$14),Dados_Observados_v4!P22,""))</f>
        <v/>
      </c>
      <c r="P22" s="9">
        <f>IF(Dados_Observados_v4!P22&lt;&gt;"",Dados_Observados_v4!P22,IF(AND(Dados_Observados_v4!R22&lt;&gt;"",(2023-2021)&lt;=Metodologia_v4!$B$14),Dados_Observados_v4!R22,""))</f>
        <v/>
      </c>
      <c r="Q22" s="9">
        <f>IF(Dados_Observados_v4!Q22&lt;&gt;"",Dados_Observados_v4!Q22,IF(AND(Dados_Observados_v4!P22&lt;&gt;"",Dados_Observados_v4!R22&lt;&gt;"",(2023-2021-1)&lt;=Metodologia_v4!$B$12),Dados_Observados_v4!P22+(Dados_Observados_v4!R22-Dados_Observados_v4!P22)*(2022-2021)/(2023-2021),IF(AND(Dados_Observados_v4!P22&lt;&gt;"",(2022-2021)&lt;=Metodologia_v4!$B$13),Dados_Observados_v4!P22,IF(AND(Dados_Observados_v4!R22&lt;&gt;"",(2023-2022)&lt;=Metodologia_v4!$B$14),Dados_Observados_v4!R22,""))))</f>
        <v/>
      </c>
      <c r="R22" s="9">
        <f>IF(Dados_Observados_v4!R22&lt;&gt;"",Dados_Observados_v4!R22,IF(AND(Dados_Observados_v4!P22&lt;&gt;"",(2023-2021)&lt;=Metodologia_v4!$B$13),Dados_Observados_v4!P22,""))</f>
        <v/>
      </c>
      <c r="S22" s="9">
        <f>IF(Dados_Observados_v4!S22&lt;&gt;"",Dados_Observados_v4!S22,IF(AND(Dados_Observados_v4!R22&lt;&gt;"",(2024-2023)&lt;=Metodologia_v4!$B$13),Dados_Observados_v4!R22,""))</f>
        <v/>
      </c>
      <c r="T22" s="9">
        <f>IF(Dados_Observados_v4!T22&lt;&gt;"",Dados_Observados_v4!T22,IF(AND(Dados_Observados_v4!R22&lt;&gt;"",(2025-2023)&lt;=Metodologia_v4!$B$13),Dados_Observados_v4!R22,""))</f>
        <v/>
      </c>
    </row>
    <row r="23">
      <c r="A23" s="5" t="inlineStr">
        <is>
          <t>HUM05</t>
        </is>
      </c>
      <c r="B23" s="5" t="inlineStr">
        <is>
          <t>3. Capital Humano</t>
        </is>
      </c>
      <c r="C23" s="5" t="inlineStr">
        <is>
          <t>Matrícula no ensino secundário</t>
        </is>
      </c>
      <c r="D23" s="5" t="inlineStr">
        <is>
          <t>Banco Mundial/UNESCO</t>
        </is>
      </c>
      <c r="E23" s="5" t="inlineStr">
        <is>
          <t>SE.SEC.ENRR</t>
        </is>
      </c>
      <c r="F23" s="5" t="inlineStr">
        <is>
          <t>Fonte Banco Mundial API/CSV</t>
        </is>
      </c>
      <c r="G23" s="5" t="inlineStr">
        <is>
          <t>3/11</t>
        </is>
      </c>
      <c r="H23" s="5" t="n">
        <v>2023</v>
      </c>
      <c r="I23" s="5" t="inlineStr">
        <is>
          <t>Referenciado pelas regras de Metodologia_v4</t>
        </is>
      </c>
      <c r="J23" s="9">
        <f>IF(Dados_Observados_v4!J23&lt;&gt;"",Dados_Observados_v4!J23,IF(AND(Dados_Observados_v4!K23&lt;&gt;"",(2016-2015)&lt;=Metodologia_v4!$B$14),Dados_Observados_v4!K23,""))</f>
        <v/>
      </c>
      <c r="K23" s="9">
        <f>IF(Dados_Observados_v4!K23&lt;&gt;"",Dados_Observados_v4!K23,IF(AND(Dados_Observados_v4!P23&lt;&gt;"",(2021-2016)&lt;=Metodologia_v4!$B$14),Dados_Observados_v4!P23,""))</f>
        <v/>
      </c>
      <c r="L23" s="9">
        <f>IF(Dados_Observados_v4!L23&lt;&gt;"",Dados_Observados_v4!L23,IF(AND(Dados_Observados_v4!K23&lt;&gt;"",Dados_Observados_v4!P23&lt;&gt;"",(2021-2016-1)&lt;=Metodologia_v4!$B$12),Dados_Observados_v4!K23+(Dados_Observados_v4!P23-Dados_Observados_v4!K23)*(2017-2016)/(2021-2016),IF(AND(Dados_Observados_v4!K23&lt;&gt;"",(2017-2016)&lt;=Metodologia_v4!$B$13),Dados_Observados_v4!K23,IF(AND(Dados_Observados_v4!P23&lt;&gt;"",(2021-2017)&lt;=Metodologia_v4!$B$14),Dados_Observados_v4!P23,""))))</f>
        <v/>
      </c>
      <c r="M23" s="9">
        <f>IF(Dados_Observados_v4!M23&lt;&gt;"",Dados_Observados_v4!M23,IF(AND(Dados_Observados_v4!K23&lt;&gt;"",Dados_Observados_v4!P23&lt;&gt;"",(2021-2016-1)&lt;=Metodologia_v4!$B$12),Dados_Observados_v4!K23+(Dados_Observados_v4!P23-Dados_Observados_v4!K23)*(2018-2016)/(2021-2016),IF(AND(Dados_Observados_v4!K23&lt;&gt;"",(2018-2016)&lt;=Metodologia_v4!$B$13),Dados_Observados_v4!K23,IF(AND(Dados_Observados_v4!P23&lt;&gt;"",(2021-2018)&lt;=Metodologia_v4!$B$14),Dados_Observados_v4!P23,""))))</f>
        <v/>
      </c>
      <c r="N23" s="9">
        <f>IF(Dados_Observados_v4!N23&lt;&gt;"",Dados_Observados_v4!N23,IF(AND(Dados_Observados_v4!K23&lt;&gt;"",Dados_Observados_v4!P23&lt;&gt;"",(2021-2016-1)&lt;=Metodologia_v4!$B$12),Dados_Observados_v4!K23+(Dados_Observados_v4!P23-Dados_Observados_v4!K23)*(2019-2016)/(2021-2016),IF(AND(Dados_Observados_v4!K23&lt;&gt;"",(2019-2016)&lt;=Metodologia_v4!$B$13),Dados_Observados_v4!K23,IF(AND(Dados_Observados_v4!P23&lt;&gt;"",(2021-2019)&lt;=Metodologia_v4!$B$14),Dados_Observados_v4!P23,""))))</f>
        <v/>
      </c>
      <c r="O23" s="9">
        <f>IF(Dados_Observados_v4!O23&lt;&gt;"",Dados_Observados_v4!O23,IF(AND(Dados_Observados_v4!K23&lt;&gt;"",Dados_Observados_v4!P23&lt;&gt;"",(2021-2016-1)&lt;=Metodologia_v4!$B$12),Dados_Observados_v4!K23+(Dados_Observados_v4!P23-Dados_Observados_v4!K23)*(2020-2016)/(2021-2016),IF(AND(Dados_Observados_v4!K23&lt;&gt;"",(2020-2016)&lt;=Metodologia_v4!$B$13),Dados_Observados_v4!K23,IF(AND(Dados_Observados_v4!P23&lt;&gt;"",(2021-2020)&lt;=Metodologia_v4!$B$14),Dados_Observados_v4!P23,""))))</f>
        <v/>
      </c>
      <c r="P23" s="9">
        <f>IF(Dados_Observados_v4!P23&lt;&gt;"",Dados_Observados_v4!P23,IF(AND(Dados_Observados_v4!K23&lt;&gt;"",Dados_Observados_v4!R23&lt;&gt;"",(2023-2016-1)&lt;=Metodologia_v4!$B$12),Dados_Observados_v4!K23+(Dados_Observados_v4!R23-Dados_Observados_v4!K23)*(2021-2016)/(2023-2016),IF(AND(Dados_Observados_v4!K23&lt;&gt;"",(2021-2016)&lt;=Metodologia_v4!$B$13),Dados_Observados_v4!K23,IF(AND(Dados_Observados_v4!R23&lt;&gt;"",(2023-2021)&lt;=Metodologia_v4!$B$14),Dados_Observados_v4!R23,""))))</f>
        <v/>
      </c>
      <c r="Q23" s="9">
        <f>IF(Dados_Observados_v4!Q23&lt;&gt;"",Dados_Observados_v4!Q23,IF(AND(Dados_Observados_v4!P23&lt;&gt;"",Dados_Observados_v4!R23&lt;&gt;"",(2023-2021-1)&lt;=Metodologia_v4!$B$12),Dados_Observados_v4!P23+(Dados_Observados_v4!R23-Dados_Observados_v4!P23)*(2022-2021)/(2023-2021),IF(AND(Dados_Observados_v4!P23&lt;&gt;"",(2022-2021)&lt;=Metodologia_v4!$B$13),Dados_Observados_v4!P23,IF(AND(Dados_Observados_v4!R23&lt;&gt;"",(2023-2022)&lt;=Metodologia_v4!$B$14),Dados_Observados_v4!R23,""))))</f>
        <v/>
      </c>
      <c r="R23" s="9">
        <f>IF(Dados_Observados_v4!R23&lt;&gt;"",Dados_Observados_v4!R23,IF(AND(Dados_Observados_v4!P23&lt;&gt;"",(2023-2021)&lt;=Metodologia_v4!$B$13),Dados_Observados_v4!P23,""))</f>
        <v/>
      </c>
      <c r="S23" s="9">
        <f>IF(Dados_Observados_v4!S23&lt;&gt;"",Dados_Observados_v4!S23,IF(AND(Dados_Observados_v4!R23&lt;&gt;"",(2024-2023)&lt;=Metodologia_v4!$B$13),Dados_Observados_v4!R23,""))</f>
        <v/>
      </c>
      <c r="T23" s="9">
        <f>IF(Dados_Observados_v4!T23&lt;&gt;"",Dados_Observados_v4!T23,IF(AND(Dados_Observados_v4!R23&lt;&gt;"",(2025-2023)&lt;=Metodologia_v4!$B$13),Dados_Observados_v4!R23,""))</f>
        <v/>
      </c>
    </row>
    <row r="24">
      <c r="A24" s="5" t="inlineStr">
        <is>
          <t>HUM06</t>
        </is>
      </c>
      <c r="B24" s="5" t="inlineStr">
        <is>
          <t>3. Capital Humano</t>
        </is>
      </c>
      <c r="C24" s="5" t="inlineStr">
        <is>
          <t>Despesa pública em educação</t>
        </is>
      </c>
      <c r="D24" s="5" t="inlineStr">
        <is>
          <t>Banco Mundial/UNESCO</t>
        </is>
      </c>
      <c r="E24" s="5" t="inlineStr">
        <is>
          <t>SE.XPD.TOTL.GD.ZS</t>
        </is>
      </c>
      <c r="F24" s="5" t="inlineStr">
        <is>
          <t>Fonte Banco Mundial API/CSV</t>
        </is>
      </c>
      <c r="G24" s="5" t="inlineStr">
        <is>
          <t>9/11</t>
        </is>
      </c>
      <c r="H24" s="5" t="n">
        <v>2023</v>
      </c>
      <c r="I24" s="5" t="inlineStr">
        <is>
          <t>Referenciado pelas regras de Metodologia_v4</t>
        </is>
      </c>
      <c r="J24" s="9">
        <f>IF(Dados_Observados_v4!J24&lt;&gt;"",Dados_Observados_v4!J24,IF(AND(Dados_Observados_v4!K24&lt;&gt;"",(2016-2015)&lt;=Metodologia_v4!$B$14),Dados_Observados_v4!K24,""))</f>
        <v/>
      </c>
      <c r="K24" s="9">
        <f>IF(Dados_Observados_v4!K24&lt;&gt;"",Dados_Observados_v4!K24,IF(AND(Dados_Observados_v4!J24&lt;&gt;"",Dados_Observados_v4!L24&lt;&gt;"",(2017-2015-1)&lt;=Metodologia_v4!$B$12),Dados_Observados_v4!J24+(Dados_Observados_v4!L24-Dados_Observados_v4!J24)*(2016-2015)/(2017-2015),IF(AND(Dados_Observados_v4!J24&lt;&gt;"",(2016-2015)&lt;=Metodologia_v4!$B$13),Dados_Observados_v4!J24,IF(AND(Dados_Observados_v4!L24&lt;&gt;"",(2017-2016)&lt;=Metodologia_v4!$B$14),Dados_Observados_v4!L24,""))))</f>
        <v/>
      </c>
      <c r="L24" s="9">
        <f>IF(Dados_Observados_v4!L24&lt;&gt;"",Dados_Observados_v4!L24,IF(AND(Dados_Observados_v4!K24&lt;&gt;"",Dados_Observados_v4!M24&lt;&gt;"",(2018-2016-1)&lt;=Metodologia_v4!$B$12),Dados_Observados_v4!K24+(Dados_Observados_v4!M24-Dados_Observados_v4!K24)*(2017-2016)/(2018-2016),IF(AND(Dados_Observados_v4!K24&lt;&gt;"",(2017-2016)&lt;=Metodologia_v4!$B$13),Dados_Observados_v4!K24,IF(AND(Dados_Observados_v4!M24&lt;&gt;"",(2018-2017)&lt;=Metodologia_v4!$B$14),Dados_Observados_v4!M24,""))))</f>
        <v/>
      </c>
      <c r="M24" s="9">
        <f>IF(Dados_Observados_v4!M24&lt;&gt;"",Dados_Observados_v4!M24,IF(AND(Dados_Observados_v4!L24&lt;&gt;"",Dados_Observados_v4!N24&lt;&gt;"",(2019-2017-1)&lt;=Metodologia_v4!$B$12),Dados_Observados_v4!L24+(Dados_Observados_v4!N24-Dados_Observados_v4!L24)*(2018-2017)/(2019-2017),IF(AND(Dados_Observados_v4!L24&lt;&gt;"",(2018-2017)&lt;=Metodologia_v4!$B$13),Dados_Observados_v4!L24,IF(AND(Dados_Observados_v4!N24&lt;&gt;"",(2019-2018)&lt;=Metodologia_v4!$B$14),Dados_Observados_v4!N24,""))))</f>
        <v/>
      </c>
      <c r="N24" s="9">
        <f>IF(Dados_Observados_v4!N24&lt;&gt;"",Dados_Observados_v4!N24,IF(AND(Dados_Observados_v4!M24&lt;&gt;"",Dados_Observados_v4!O24&lt;&gt;"",(2020-2018-1)&lt;=Metodologia_v4!$B$12),Dados_Observados_v4!M24+(Dados_Observados_v4!O24-Dados_Observados_v4!M24)*(2019-2018)/(2020-2018),IF(AND(Dados_Observados_v4!M24&lt;&gt;"",(2019-2018)&lt;=Metodologia_v4!$B$13),Dados_Observados_v4!M24,IF(AND(Dados_Observados_v4!O24&lt;&gt;"",(2020-2019)&lt;=Metodologia_v4!$B$14),Dados_Observados_v4!O24,""))))</f>
        <v/>
      </c>
      <c r="O24" s="9">
        <f>IF(Dados_Observados_v4!O24&lt;&gt;"",Dados_Observados_v4!O24,IF(AND(Dados_Observados_v4!N24&lt;&gt;"",Dados_Observados_v4!P24&lt;&gt;"",(2021-2019-1)&lt;=Metodologia_v4!$B$12),Dados_Observados_v4!N24+(Dados_Observados_v4!P24-Dados_Observados_v4!N24)*(2020-2019)/(2021-2019),IF(AND(Dados_Observados_v4!N24&lt;&gt;"",(2020-2019)&lt;=Metodologia_v4!$B$13),Dados_Observados_v4!N24,IF(AND(Dados_Observados_v4!P24&lt;&gt;"",(2021-2020)&lt;=Metodologia_v4!$B$14),Dados_Observados_v4!P24,""))))</f>
        <v/>
      </c>
      <c r="P24" s="9">
        <f>IF(Dados_Observados_v4!P24&lt;&gt;"",Dados_Observados_v4!P24,IF(AND(Dados_Observados_v4!O24&lt;&gt;"",Dados_Observados_v4!Q24&lt;&gt;"",(2022-2020-1)&lt;=Metodologia_v4!$B$12),Dados_Observados_v4!O24+(Dados_Observados_v4!Q24-Dados_Observados_v4!O24)*(2021-2020)/(2022-2020),IF(AND(Dados_Observados_v4!O24&lt;&gt;"",(2021-2020)&lt;=Metodologia_v4!$B$13),Dados_Observados_v4!O24,IF(AND(Dados_Observados_v4!Q24&lt;&gt;"",(2022-2021)&lt;=Metodologia_v4!$B$14),Dados_Observados_v4!Q24,""))))</f>
        <v/>
      </c>
      <c r="Q24" s="9">
        <f>IF(Dados_Observados_v4!Q24&lt;&gt;"",Dados_Observados_v4!Q24,IF(AND(Dados_Observados_v4!P24&lt;&gt;"",Dados_Observados_v4!R24&lt;&gt;"",(2023-2021-1)&lt;=Metodologia_v4!$B$12),Dados_Observados_v4!P24+(Dados_Observados_v4!R24-Dados_Observados_v4!P24)*(2022-2021)/(2023-2021),IF(AND(Dados_Observados_v4!P24&lt;&gt;"",(2022-2021)&lt;=Metodologia_v4!$B$13),Dados_Observados_v4!P24,IF(AND(Dados_Observados_v4!R24&lt;&gt;"",(2023-2022)&lt;=Metodologia_v4!$B$14),Dados_Observados_v4!R24,""))))</f>
        <v/>
      </c>
      <c r="R24" s="9">
        <f>IF(Dados_Observados_v4!R24&lt;&gt;"",Dados_Observados_v4!R24,IF(AND(Dados_Observados_v4!Q24&lt;&gt;"",(2023-2022)&lt;=Metodologia_v4!$B$13),Dados_Observados_v4!Q24,""))</f>
        <v/>
      </c>
      <c r="S24" s="9">
        <f>IF(Dados_Observados_v4!S24&lt;&gt;"",Dados_Observados_v4!S24,IF(AND(Dados_Observados_v4!R24&lt;&gt;"",(2024-2023)&lt;=Metodologia_v4!$B$13),Dados_Observados_v4!R24,""))</f>
        <v/>
      </c>
      <c r="T24" s="9">
        <f>IF(Dados_Observados_v4!T24&lt;&gt;"",Dados_Observados_v4!T24,IF(AND(Dados_Observados_v4!R24&lt;&gt;"",(2025-2023)&lt;=Metodologia_v4!$B$13),Dados_Observados_v4!R24,""))</f>
        <v/>
      </c>
    </row>
    <row r="25">
      <c r="A25" s="5" t="inlineStr">
        <is>
          <t>HUM07</t>
        </is>
      </c>
      <c r="B25" s="5" t="inlineStr">
        <is>
          <t>3. Capital Humano</t>
        </is>
      </c>
      <c r="C25" s="5" t="inlineStr">
        <is>
          <t>Mortalidade infantil</t>
        </is>
      </c>
      <c r="D25" s="5" t="inlineStr">
        <is>
          <t>Banco Mundial/WDI</t>
        </is>
      </c>
      <c r="E25" s="5" t="inlineStr">
        <is>
          <t>SP.DYN.IMRT.IN</t>
        </is>
      </c>
      <c r="F25" s="5" t="inlineStr">
        <is>
          <t>Fonte Banco Mundial API/CSV</t>
        </is>
      </c>
      <c r="G25" s="5" t="inlineStr">
        <is>
          <t>10/11</t>
        </is>
      </c>
      <c r="H25" s="5" t="n">
        <v>2024</v>
      </c>
      <c r="I25" s="5" t="inlineStr">
        <is>
          <t>Referenciado pelas regras de Metodologia_v4</t>
        </is>
      </c>
      <c r="J25" s="9">
        <f>IF(Dados_Observados_v4!J25&lt;&gt;"",Dados_Observados_v4!J25,IF(AND(Dados_Observados_v4!K25&lt;&gt;"",(2016-2015)&lt;=Metodologia_v4!$B$14),Dados_Observados_v4!K25,""))</f>
        <v/>
      </c>
      <c r="K25" s="9">
        <f>IF(Dados_Observados_v4!K25&lt;&gt;"",Dados_Observados_v4!K25,IF(AND(Dados_Observados_v4!J25&lt;&gt;"",Dados_Observados_v4!L25&lt;&gt;"",(2017-2015-1)&lt;=Metodologia_v4!$B$12),Dados_Observados_v4!J25+(Dados_Observados_v4!L25-Dados_Observados_v4!J25)*(2016-2015)/(2017-2015),IF(AND(Dados_Observados_v4!J25&lt;&gt;"",(2016-2015)&lt;=Metodologia_v4!$B$13),Dados_Observados_v4!J25,IF(AND(Dados_Observados_v4!L25&lt;&gt;"",(2017-2016)&lt;=Metodologia_v4!$B$14),Dados_Observados_v4!L25,""))))</f>
        <v/>
      </c>
      <c r="L25" s="9">
        <f>IF(Dados_Observados_v4!L25&lt;&gt;"",Dados_Observados_v4!L25,IF(AND(Dados_Observados_v4!K25&lt;&gt;"",Dados_Observados_v4!M25&lt;&gt;"",(2018-2016-1)&lt;=Metodologia_v4!$B$12),Dados_Observados_v4!K25+(Dados_Observados_v4!M25-Dados_Observados_v4!K25)*(2017-2016)/(2018-2016),IF(AND(Dados_Observados_v4!K25&lt;&gt;"",(2017-2016)&lt;=Metodologia_v4!$B$13),Dados_Observados_v4!K25,IF(AND(Dados_Observados_v4!M25&lt;&gt;"",(2018-2017)&lt;=Metodologia_v4!$B$14),Dados_Observados_v4!M25,""))))</f>
        <v/>
      </c>
      <c r="M25" s="9">
        <f>IF(Dados_Observados_v4!M25&lt;&gt;"",Dados_Observados_v4!M25,IF(AND(Dados_Observados_v4!L25&lt;&gt;"",Dados_Observados_v4!N25&lt;&gt;"",(2019-2017-1)&lt;=Metodologia_v4!$B$12),Dados_Observados_v4!L25+(Dados_Observados_v4!N25-Dados_Observados_v4!L25)*(2018-2017)/(2019-2017),IF(AND(Dados_Observados_v4!L25&lt;&gt;"",(2018-2017)&lt;=Metodologia_v4!$B$13),Dados_Observados_v4!L25,IF(AND(Dados_Observados_v4!N25&lt;&gt;"",(2019-2018)&lt;=Metodologia_v4!$B$14),Dados_Observados_v4!N25,""))))</f>
        <v/>
      </c>
      <c r="N25" s="9">
        <f>IF(Dados_Observados_v4!N25&lt;&gt;"",Dados_Observados_v4!N25,IF(AND(Dados_Observados_v4!M25&lt;&gt;"",Dados_Observados_v4!O25&lt;&gt;"",(2020-2018-1)&lt;=Metodologia_v4!$B$12),Dados_Observados_v4!M25+(Dados_Observados_v4!O25-Dados_Observados_v4!M25)*(2019-2018)/(2020-2018),IF(AND(Dados_Observados_v4!M25&lt;&gt;"",(2019-2018)&lt;=Metodologia_v4!$B$13),Dados_Observados_v4!M25,IF(AND(Dados_Observados_v4!O25&lt;&gt;"",(2020-2019)&lt;=Metodologia_v4!$B$14),Dados_Observados_v4!O25,""))))</f>
        <v/>
      </c>
      <c r="O25" s="9">
        <f>IF(Dados_Observados_v4!O25&lt;&gt;"",Dados_Observados_v4!O25,IF(AND(Dados_Observados_v4!N25&lt;&gt;"",Dados_Observados_v4!P25&lt;&gt;"",(2021-2019-1)&lt;=Metodologia_v4!$B$12),Dados_Observados_v4!N25+(Dados_Observados_v4!P25-Dados_Observados_v4!N25)*(2020-2019)/(2021-2019),IF(AND(Dados_Observados_v4!N25&lt;&gt;"",(2020-2019)&lt;=Metodologia_v4!$B$13),Dados_Observados_v4!N25,IF(AND(Dados_Observados_v4!P25&lt;&gt;"",(2021-2020)&lt;=Metodologia_v4!$B$14),Dados_Observados_v4!P25,""))))</f>
        <v/>
      </c>
      <c r="P25" s="9">
        <f>IF(Dados_Observados_v4!P25&lt;&gt;"",Dados_Observados_v4!P25,IF(AND(Dados_Observados_v4!O25&lt;&gt;"",Dados_Observados_v4!Q25&lt;&gt;"",(2022-2020-1)&lt;=Metodologia_v4!$B$12),Dados_Observados_v4!O25+(Dados_Observados_v4!Q25-Dados_Observados_v4!O25)*(2021-2020)/(2022-2020),IF(AND(Dados_Observados_v4!O25&lt;&gt;"",(2021-2020)&lt;=Metodologia_v4!$B$13),Dados_Observados_v4!O25,IF(AND(Dados_Observados_v4!Q25&lt;&gt;"",(2022-2021)&lt;=Metodologia_v4!$B$14),Dados_Observados_v4!Q25,""))))</f>
        <v/>
      </c>
      <c r="Q25" s="9">
        <f>IF(Dados_Observados_v4!Q25&lt;&gt;"",Dados_Observados_v4!Q25,IF(AND(Dados_Observados_v4!P25&lt;&gt;"",Dados_Observados_v4!R25&lt;&gt;"",(2023-2021-1)&lt;=Metodologia_v4!$B$12),Dados_Observados_v4!P25+(Dados_Observados_v4!R25-Dados_Observados_v4!P25)*(2022-2021)/(2023-2021),IF(AND(Dados_Observados_v4!P25&lt;&gt;"",(2022-2021)&lt;=Metodologia_v4!$B$13),Dados_Observados_v4!P25,IF(AND(Dados_Observados_v4!R25&lt;&gt;"",(2023-2022)&lt;=Metodologia_v4!$B$14),Dados_Observados_v4!R25,""))))</f>
        <v/>
      </c>
      <c r="R25" s="9">
        <f>IF(Dados_Observados_v4!R25&lt;&gt;"",Dados_Observados_v4!R25,IF(AND(Dados_Observados_v4!Q25&lt;&gt;"",Dados_Observados_v4!S25&lt;&gt;"",(2024-2022-1)&lt;=Metodologia_v4!$B$12),Dados_Observados_v4!Q25+(Dados_Observados_v4!S25-Dados_Observados_v4!Q25)*(2023-2022)/(2024-2022),IF(AND(Dados_Observados_v4!Q25&lt;&gt;"",(2023-2022)&lt;=Metodologia_v4!$B$13),Dados_Observados_v4!Q25,IF(AND(Dados_Observados_v4!S25&lt;&gt;"",(2024-2023)&lt;=Metodologia_v4!$B$14),Dados_Observados_v4!S25,""))))</f>
        <v/>
      </c>
      <c r="S25" s="9">
        <f>IF(Dados_Observados_v4!S25&lt;&gt;"",Dados_Observados_v4!S25,IF(AND(Dados_Observados_v4!R25&lt;&gt;"",(2024-2023)&lt;=Metodologia_v4!$B$13),Dados_Observados_v4!R25,""))</f>
        <v/>
      </c>
      <c r="T25" s="9">
        <f>IF(Dados_Observados_v4!T25&lt;&gt;"",Dados_Observados_v4!T25,IF(AND(Dados_Observados_v4!S25&lt;&gt;"",(2025-2024)&lt;=Metodologia_v4!$B$13),Dados_Observados_v4!S25,""))</f>
        <v/>
      </c>
    </row>
    <row r="26">
      <c r="A26" s="5" t="inlineStr">
        <is>
          <t>INC01</t>
        </is>
      </c>
      <c r="B26" s="5" t="inlineStr">
        <is>
          <t>4. Inclusão Social e Protecção</t>
        </is>
      </c>
      <c r="C26" s="5" t="inlineStr">
        <is>
          <t>Pobreza internacional</t>
        </is>
      </c>
      <c r="D26" s="5" t="inlineStr">
        <is>
          <t>Banco Mundial/PIP</t>
        </is>
      </c>
      <c r="E26" s="5" t="inlineStr">
        <is>
          <t>SI.POV.DDAY</t>
        </is>
      </c>
      <c r="F26" s="5" t="inlineStr">
        <is>
          <t>Fonte Banco Mundial API/CSV</t>
        </is>
      </c>
      <c r="G26" s="5" t="inlineStr">
        <is>
          <t>1/11</t>
        </is>
      </c>
      <c r="H26" s="5" t="n">
        <v>2018</v>
      </c>
      <c r="I26" s="5" t="inlineStr">
        <is>
          <t>Referenciado pelas regras de Metodologia_v4</t>
        </is>
      </c>
      <c r="J26" s="9">
        <f>IF(Dados_Observados_v4!J26&lt;&gt;"",Dados_Observados_v4!J26,IF(AND(Dados_Observados_v4!M26&lt;&gt;"",(2018-2015)&lt;=Metodologia_v4!$B$14),Dados_Observados_v4!M26,""))</f>
        <v/>
      </c>
      <c r="K26" s="9">
        <f>IF(Dados_Observados_v4!K26&lt;&gt;"",Dados_Observados_v4!K26,IF(AND(Dados_Observados_v4!M26&lt;&gt;"",(2018-2016)&lt;=Metodologia_v4!$B$14),Dados_Observados_v4!M26,""))</f>
        <v/>
      </c>
      <c r="L26" s="9">
        <f>IF(Dados_Observados_v4!L26&lt;&gt;"",Dados_Observados_v4!L26,IF(AND(Dados_Observados_v4!M26&lt;&gt;"",(2018-2017)&lt;=Metodologia_v4!$B$14),Dados_Observados_v4!M26,""))</f>
        <v/>
      </c>
      <c r="M26" s="9">
        <f>IF(Dados_Observados_v4!M26&lt;&gt;"",Dados_Observados_v4!M26,"")</f>
        <v/>
      </c>
      <c r="N26" s="9">
        <f>IF(Dados_Observados_v4!N26&lt;&gt;"",Dados_Observados_v4!N26,IF(AND(Dados_Observados_v4!M26&lt;&gt;"",(2019-2018)&lt;=Metodologia_v4!$B$13),Dados_Observados_v4!M26,""))</f>
        <v/>
      </c>
      <c r="O26" s="9">
        <f>IF(Dados_Observados_v4!O26&lt;&gt;"",Dados_Observados_v4!O26,IF(AND(Dados_Observados_v4!M26&lt;&gt;"",(2020-2018)&lt;=Metodologia_v4!$B$13),Dados_Observados_v4!M26,""))</f>
        <v/>
      </c>
      <c r="P26" s="9">
        <f>IF(Dados_Observados_v4!P26&lt;&gt;"",Dados_Observados_v4!P26,IF(AND(Dados_Observados_v4!M26&lt;&gt;"",(2021-2018)&lt;=Metodologia_v4!$B$13),Dados_Observados_v4!M26,""))</f>
        <v/>
      </c>
      <c r="Q26" s="9">
        <f>IF(Dados_Observados_v4!Q26&lt;&gt;"",Dados_Observados_v4!Q26,IF(AND(Dados_Observados_v4!M26&lt;&gt;"",(2022-2018)&lt;=Metodologia_v4!$B$13),Dados_Observados_v4!M26,""))</f>
        <v/>
      </c>
      <c r="R26" s="9">
        <f>IF(Dados_Observados_v4!R26&lt;&gt;"",Dados_Observados_v4!R26,IF(AND(Dados_Observados_v4!M26&lt;&gt;"",(2023-2018)&lt;=Metodologia_v4!$B$13),Dados_Observados_v4!M26,""))</f>
        <v/>
      </c>
      <c r="S26" s="9">
        <f>IF(Dados_Observados_v4!S26&lt;&gt;"",Dados_Observados_v4!S26,IF(AND(Dados_Observados_v4!M26&lt;&gt;"",(2024-2018)&lt;=Metodologia_v4!$B$13),Dados_Observados_v4!M26,""))</f>
        <v/>
      </c>
      <c r="T26" s="9">
        <f>IF(Dados_Observados_v4!T26&lt;&gt;"",Dados_Observados_v4!T26,IF(AND(Dados_Observados_v4!M26&lt;&gt;"",(2025-2018)&lt;=Metodologia_v4!$B$13),Dados_Observados_v4!M26,""))</f>
        <v/>
      </c>
    </row>
    <row r="27">
      <c r="A27" s="5" t="inlineStr">
        <is>
          <t>INC02</t>
        </is>
      </c>
      <c r="B27" s="5" t="inlineStr">
        <is>
          <t>4. Inclusão Social e Protecção</t>
        </is>
      </c>
      <c r="C27" s="5" t="inlineStr">
        <is>
          <t>Índice de Gini</t>
        </is>
      </c>
      <c r="D27" s="5" t="inlineStr">
        <is>
          <t>Banco Mundial/PIP</t>
        </is>
      </c>
      <c r="E27" s="5" t="inlineStr">
        <is>
          <t>SI.POV.GINI</t>
        </is>
      </c>
      <c r="F27" s="5" t="inlineStr">
        <is>
          <t>Fonte Banco Mundial API/CSV</t>
        </is>
      </c>
      <c r="G27" s="5" t="inlineStr">
        <is>
          <t>1/11</t>
        </is>
      </c>
      <c r="H27" s="5" t="n">
        <v>2018</v>
      </c>
      <c r="I27" s="5" t="inlineStr">
        <is>
          <t>Referenciado pelas regras de Metodologia_v4</t>
        </is>
      </c>
      <c r="J27" s="9">
        <f>IF(Dados_Observados_v4!J27&lt;&gt;"",Dados_Observados_v4!J27,IF(AND(Dados_Observados_v4!M27&lt;&gt;"",(2018-2015)&lt;=Metodologia_v4!$B$14),Dados_Observados_v4!M27,""))</f>
        <v/>
      </c>
      <c r="K27" s="9">
        <f>IF(Dados_Observados_v4!K27&lt;&gt;"",Dados_Observados_v4!K27,IF(AND(Dados_Observados_v4!M27&lt;&gt;"",(2018-2016)&lt;=Metodologia_v4!$B$14),Dados_Observados_v4!M27,""))</f>
        <v/>
      </c>
      <c r="L27" s="9">
        <f>IF(Dados_Observados_v4!L27&lt;&gt;"",Dados_Observados_v4!L27,IF(AND(Dados_Observados_v4!M27&lt;&gt;"",(2018-2017)&lt;=Metodologia_v4!$B$14),Dados_Observados_v4!M27,""))</f>
        <v/>
      </c>
      <c r="M27" s="9">
        <f>IF(Dados_Observados_v4!M27&lt;&gt;"",Dados_Observados_v4!M27,"")</f>
        <v/>
      </c>
      <c r="N27" s="9">
        <f>IF(Dados_Observados_v4!N27&lt;&gt;"",Dados_Observados_v4!N27,IF(AND(Dados_Observados_v4!M27&lt;&gt;"",(2019-2018)&lt;=Metodologia_v4!$B$13),Dados_Observados_v4!M27,""))</f>
        <v/>
      </c>
      <c r="O27" s="9">
        <f>IF(Dados_Observados_v4!O27&lt;&gt;"",Dados_Observados_v4!O27,IF(AND(Dados_Observados_v4!M27&lt;&gt;"",(2020-2018)&lt;=Metodologia_v4!$B$13),Dados_Observados_v4!M27,""))</f>
        <v/>
      </c>
      <c r="P27" s="9">
        <f>IF(Dados_Observados_v4!P27&lt;&gt;"",Dados_Observados_v4!P27,IF(AND(Dados_Observados_v4!M27&lt;&gt;"",(2021-2018)&lt;=Metodologia_v4!$B$13),Dados_Observados_v4!M27,""))</f>
        <v/>
      </c>
      <c r="Q27" s="9">
        <f>IF(Dados_Observados_v4!Q27&lt;&gt;"",Dados_Observados_v4!Q27,IF(AND(Dados_Observados_v4!M27&lt;&gt;"",(2022-2018)&lt;=Metodologia_v4!$B$13),Dados_Observados_v4!M27,""))</f>
        <v/>
      </c>
      <c r="R27" s="9">
        <f>IF(Dados_Observados_v4!R27&lt;&gt;"",Dados_Observados_v4!R27,IF(AND(Dados_Observados_v4!M27&lt;&gt;"",(2023-2018)&lt;=Metodologia_v4!$B$13),Dados_Observados_v4!M27,""))</f>
        <v/>
      </c>
      <c r="S27" s="9">
        <f>IF(Dados_Observados_v4!S27&lt;&gt;"",Dados_Observados_v4!S27,IF(AND(Dados_Observados_v4!M27&lt;&gt;"",(2024-2018)&lt;=Metodologia_v4!$B$13),Dados_Observados_v4!M27,""))</f>
        <v/>
      </c>
      <c r="T27" s="9">
        <f>IF(Dados_Observados_v4!T27&lt;&gt;"",Dados_Observados_v4!T27,IF(AND(Dados_Observados_v4!M27&lt;&gt;"",(2025-2018)&lt;=Metodologia_v4!$B$13),Dados_Observados_v4!M27,""))</f>
        <v/>
      </c>
    </row>
    <row r="28">
      <c r="A28" s="5" t="inlineStr">
        <is>
          <t>INC03</t>
        </is>
      </c>
      <c r="B28" s="5" t="inlineStr">
        <is>
          <t>4. Inclusão Social e Protecção</t>
        </is>
      </c>
      <c r="C28" s="5" t="inlineStr">
        <is>
          <t>Rendimento dos 20% mais pobres</t>
        </is>
      </c>
      <c r="D28" s="5" t="inlineStr">
        <is>
          <t>Banco Mundial/PIP</t>
        </is>
      </c>
      <c r="E28" s="5" t="inlineStr">
        <is>
          <t>SI.DST.FRST.20</t>
        </is>
      </c>
      <c r="F28" s="5" t="inlineStr">
        <is>
          <t>Fonte Banco Mundial API/CSV</t>
        </is>
      </c>
      <c r="G28" s="5" t="inlineStr">
        <is>
          <t>1/11</t>
        </is>
      </c>
      <c r="H28" s="5" t="n">
        <v>2018</v>
      </c>
      <c r="I28" s="5" t="inlineStr">
        <is>
          <t>Referenciado pelas regras de Metodologia_v4</t>
        </is>
      </c>
      <c r="J28" s="9">
        <f>IF(Dados_Observados_v4!J28&lt;&gt;"",Dados_Observados_v4!J28,IF(AND(Dados_Observados_v4!M28&lt;&gt;"",(2018-2015)&lt;=Metodologia_v4!$B$14),Dados_Observados_v4!M28,""))</f>
        <v/>
      </c>
      <c r="K28" s="9">
        <f>IF(Dados_Observados_v4!K28&lt;&gt;"",Dados_Observados_v4!K28,IF(AND(Dados_Observados_v4!M28&lt;&gt;"",(2018-2016)&lt;=Metodologia_v4!$B$14),Dados_Observados_v4!M28,""))</f>
        <v/>
      </c>
      <c r="L28" s="9">
        <f>IF(Dados_Observados_v4!L28&lt;&gt;"",Dados_Observados_v4!L28,IF(AND(Dados_Observados_v4!M28&lt;&gt;"",(2018-2017)&lt;=Metodologia_v4!$B$14),Dados_Observados_v4!M28,""))</f>
        <v/>
      </c>
      <c r="M28" s="9">
        <f>IF(Dados_Observados_v4!M28&lt;&gt;"",Dados_Observados_v4!M28,"")</f>
        <v/>
      </c>
      <c r="N28" s="9">
        <f>IF(Dados_Observados_v4!N28&lt;&gt;"",Dados_Observados_v4!N28,IF(AND(Dados_Observados_v4!M28&lt;&gt;"",(2019-2018)&lt;=Metodologia_v4!$B$13),Dados_Observados_v4!M28,""))</f>
        <v/>
      </c>
      <c r="O28" s="9">
        <f>IF(Dados_Observados_v4!O28&lt;&gt;"",Dados_Observados_v4!O28,IF(AND(Dados_Observados_v4!M28&lt;&gt;"",(2020-2018)&lt;=Metodologia_v4!$B$13),Dados_Observados_v4!M28,""))</f>
        <v/>
      </c>
      <c r="P28" s="9">
        <f>IF(Dados_Observados_v4!P28&lt;&gt;"",Dados_Observados_v4!P28,IF(AND(Dados_Observados_v4!M28&lt;&gt;"",(2021-2018)&lt;=Metodologia_v4!$B$13),Dados_Observados_v4!M28,""))</f>
        <v/>
      </c>
      <c r="Q28" s="9">
        <f>IF(Dados_Observados_v4!Q28&lt;&gt;"",Dados_Observados_v4!Q28,IF(AND(Dados_Observados_v4!M28&lt;&gt;"",(2022-2018)&lt;=Metodologia_v4!$B$13),Dados_Observados_v4!M28,""))</f>
        <v/>
      </c>
      <c r="R28" s="9">
        <f>IF(Dados_Observados_v4!R28&lt;&gt;"",Dados_Observados_v4!R28,IF(AND(Dados_Observados_v4!M28&lt;&gt;"",(2023-2018)&lt;=Metodologia_v4!$B$13),Dados_Observados_v4!M28,""))</f>
        <v/>
      </c>
      <c r="S28" s="9">
        <f>IF(Dados_Observados_v4!S28&lt;&gt;"",Dados_Observados_v4!S28,IF(AND(Dados_Observados_v4!M28&lt;&gt;"",(2024-2018)&lt;=Metodologia_v4!$B$13),Dados_Observados_v4!M28,""))</f>
        <v/>
      </c>
      <c r="T28" s="9">
        <f>IF(Dados_Observados_v4!T28&lt;&gt;"",Dados_Observados_v4!T28,IF(AND(Dados_Observados_v4!M28&lt;&gt;"",(2025-2018)&lt;=Metodologia_v4!$B$13),Dados_Observados_v4!M28,""))</f>
        <v/>
      </c>
    </row>
    <row r="29">
      <c r="A29" s="5" t="inlineStr">
        <is>
          <t>INC04</t>
        </is>
      </c>
      <c r="B29" s="5" t="inlineStr">
        <is>
          <t>4. Inclusão Social e Protecção</t>
        </is>
      </c>
      <c r="C29" s="5" t="inlineStr">
        <is>
          <t>Global Gender Gap Index</t>
        </is>
      </c>
      <c r="D29" s="5" t="inlineStr">
        <is>
          <t>WEF / ficheiro base</t>
        </is>
      </c>
      <c r="E29" s="5" t="inlineStr"/>
      <c r="F29" s="5" t="inlineStr">
        <is>
          <t>Série observada do ficheiro base</t>
        </is>
      </c>
      <c r="G29" s="5" t="inlineStr">
        <is>
          <t>10/11</t>
        </is>
      </c>
      <c r="H29" s="5" t="n">
        <v>2025</v>
      </c>
      <c r="I29" s="5" t="inlineStr">
        <is>
          <t>Referenciado pelas regras de Metodologia_v4</t>
        </is>
      </c>
      <c r="J29" s="9">
        <f>IF(Dados_Observados_v4!J29&lt;&gt;"",Dados_Observados_v4!J29,IF(AND(Dados_Observados_v4!K29&lt;&gt;"",(2016-2015)&lt;=Metodologia_v4!$B$14),Dados_Observados_v4!K29,""))</f>
        <v/>
      </c>
      <c r="K29" s="9">
        <f>IF(Dados_Observados_v4!K29&lt;&gt;"",Dados_Observados_v4!K29,IF(AND(Dados_Observados_v4!J29&lt;&gt;"",Dados_Observados_v4!L29&lt;&gt;"",(2017-2015-1)&lt;=Metodologia_v4!$B$12),Dados_Observados_v4!J29+(Dados_Observados_v4!L29-Dados_Observados_v4!J29)*(2016-2015)/(2017-2015),IF(AND(Dados_Observados_v4!J29&lt;&gt;"",(2016-2015)&lt;=Metodologia_v4!$B$13),Dados_Observados_v4!J29,IF(AND(Dados_Observados_v4!L29&lt;&gt;"",(2017-2016)&lt;=Metodologia_v4!$B$14),Dados_Observados_v4!L29,""))))</f>
        <v/>
      </c>
      <c r="L29" s="9">
        <f>IF(Dados_Observados_v4!L29&lt;&gt;"",Dados_Observados_v4!L29,IF(AND(Dados_Observados_v4!K29&lt;&gt;"",Dados_Observados_v4!M29&lt;&gt;"",(2018-2016-1)&lt;=Metodologia_v4!$B$12),Dados_Observados_v4!K29+(Dados_Observados_v4!M29-Dados_Observados_v4!K29)*(2017-2016)/(2018-2016),IF(AND(Dados_Observados_v4!K29&lt;&gt;"",(2017-2016)&lt;=Metodologia_v4!$B$13),Dados_Observados_v4!K29,IF(AND(Dados_Observados_v4!M29&lt;&gt;"",(2018-2017)&lt;=Metodologia_v4!$B$14),Dados_Observados_v4!M29,""))))</f>
        <v/>
      </c>
      <c r="M29" s="9">
        <f>IF(Dados_Observados_v4!M29&lt;&gt;"",Dados_Observados_v4!M29,IF(AND(Dados_Observados_v4!L29&lt;&gt;"",Dados_Observados_v4!O29&lt;&gt;"",(2020-2017-1)&lt;=Metodologia_v4!$B$12),Dados_Observados_v4!L29+(Dados_Observados_v4!O29-Dados_Observados_v4!L29)*(2018-2017)/(2020-2017),IF(AND(Dados_Observados_v4!L29&lt;&gt;"",(2018-2017)&lt;=Metodologia_v4!$B$13),Dados_Observados_v4!L29,IF(AND(Dados_Observados_v4!O29&lt;&gt;"",(2020-2018)&lt;=Metodologia_v4!$B$14),Dados_Observados_v4!O29,""))))</f>
        <v/>
      </c>
      <c r="N29" s="9">
        <f>IF(Dados_Observados_v4!N29&lt;&gt;"",Dados_Observados_v4!N29,IF(AND(Dados_Observados_v4!M29&lt;&gt;"",Dados_Observados_v4!O29&lt;&gt;"",(2020-2018-1)&lt;=Metodologia_v4!$B$12),Dados_Observados_v4!M29+(Dados_Observados_v4!O29-Dados_Observados_v4!M29)*(2019-2018)/(2020-2018),IF(AND(Dados_Observados_v4!M29&lt;&gt;"",(2019-2018)&lt;=Metodologia_v4!$B$13),Dados_Observados_v4!M29,IF(AND(Dados_Observados_v4!O29&lt;&gt;"",(2020-2019)&lt;=Metodologia_v4!$B$14),Dados_Observados_v4!O29,""))))</f>
        <v/>
      </c>
      <c r="O29" s="9">
        <f>IF(Dados_Observados_v4!O29&lt;&gt;"",Dados_Observados_v4!O29,IF(AND(Dados_Observados_v4!M29&lt;&gt;"",Dados_Observados_v4!P29&lt;&gt;"",(2021-2018-1)&lt;=Metodologia_v4!$B$12),Dados_Observados_v4!M29+(Dados_Observados_v4!P29-Dados_Observados_v4!M29)*(2020-2018)/(2021-2018),IF(AND(Dados_Observados_v4!M29&lt;&gt;"",(2020-2018)&lt;=Metodologia_v4!$B$13),Dados_Observados_v4!M29,IF(AND(Dados_Observados_v4!P29&lt;&gt;"",(2021-2020)&lt;=Metodologia_v4!$B$14),Dados_Observados_v4!P29,""))))</f>
        <v/>
      </c>
      <c r="P29" s="9">
        <f>IF(Dados_Observados_v4!P29&lt;&gt;"",Dados_Observados_v4!P29,IF(AND(Dados_Observados_v4!O29&lt;&gt;"",Dados_Observados_v4!Q29&lt;&gt;"",(2022-2020-1)&lt;=Metodologia_v4!$B$12),Dados_Observados_v4!O29+(Dados_Observados_v4!Q29-Dados_Observados_v4!O29)*(2021-2020)/(2022-2020),IF(AND(Dados_Observados_v4!O29&lt;&gt;"",(2021-2020)&lt;=Metodologia_v4!$B$13),Dados_Observados_v4!O29,IF(AND(Dados_Observados_v4!Q29&lt;&gt;"",(2022-2021)&lt;=Metodologia_v4!$B$14),Dados_Observados_v4!Q29,""))))</f>
        <v/>
      </c>
      <c r="Q29" s="9">
        <f>IF(Dados_Observados_v4!Q29&lt;&gt;"",Dados_Observados_v4!Q29,IF(AND(Dados_Observados_v4!P29&lt;&gt;"",Dados_Observados_v4!R29&lt;&gt;"",(2023-2021-1)&lt;=Metodologia_v4!$B$12),Dados_Observados_v4!P29+(Dados_Observados_v4!R29-Dados_Observados_v4!P29)*(2022-2021)/(2023-2021),IF(AND(Dados_Observados_v4!P29&lt;&gt;"",(2022-2021)&lt;=Metodologia_v4!$B$13),Dados_Observados_v4!P29,IF(AND(Dados_Observados_v4!R29&lt;&gt;"",(2023-2022)&lt;=Metodologia_v4!$B$14),Dados_Observados_v4!R29,""))))</f>
        <v/>
      </c>
      <c r="R29" s="9">
        <f>IF(Dados_Observados_v4!R29&lt;&gt;"",Dados_Observados_v4!R29,IF(AND(Dados_Observados_v4!Q29&lt;&gt;"",Dados_Observados_v4!S29&lt;&gt;"",(2024-2022-1)&lt;=Metodologia_v4!$B$12),Dados_Observados_v4!Q29+(Dados_Observados_v4!S29-Dados_Observados_v4!Q29)*(2023-2022)/(2024-2022),IF(AND(Dados_Observados_v4!Q29&lt;&gt;"",(2023-2022)&lt;=Metodologia_v4!$B$13),Dados_Observados_v4!Q29,IF(AND(Dados_Observados_v4!S29&lt;&gt;"",(2024-2023)&lt;=Metodologia_v4!$B$14),Dados_Observados_v4!S29,""))))</f>
        <v/>
      </c>
      <c r="S29" s="9">
        <f>IF(Dados_Observados_v4!S29&lt;&gt;"",Dados_Observados_v4!S29,IF(AND(Dados_Observados_v4!R29&lt;&gt;"",Dados_Observados_v4!T29&lt;&gt;"",(2025-2023-1)&lt;=Metodologia_v4!$B$12),Dados_Observados_v4!R29+(Dados_Observados_v4!T29-Dados_Observados_v4!R29)*(2024-2023)/(2025-2023),IF(AND(Dados_Observados_v4!R29&lt;&gt;"",(2024-2023)&lt;=Metodologia_v4!$B$13),Dados_Observados_v4!R29,IF(AND(Dados_Observados_v4!T29&lt;&gt;"",(2025-2024)&lt;=Metodologia_v4!$B$14),Dados_Observados_v4!T29,""))))</f>
        <v/>
      </c>
      <c r="T29" s="9">
        <f>IF(Dados_Observados_v4!T29&lt;&gt;"",Dados_Observados_v4!T29,IF(AND(Dados_Observados_v4!S29&lt;&gt;"",(2025-2024)&lt;=Metodologia_v4!$B$13),Dados_Observados_v4!S29,""))</f>
        <v/>
      </c>
    </row>
    <row r="30">
      <c r="A30" s="5" t="inlineStr">
        <is>
          <t>INC05</t>
        </is>
      </c>
      <c r="B30" s="5" t="inlineStr">
        <is>
          <t>4. Inclusão Social e Protecção</t>
        </is>
      </c>
      <c r="C30" s="5" t="inlineStr">
        <is>
          <t>Participação feminina na força de trabalho</t>
        </is>
      </c>
      <c r="D30" s="5" t="inlineStr">
        <is>
          <t>Banco Mundial/OIT</t>
        </is>
      </c>
      <c r="E30" s="5" t="inlineStr">
        <is>
          <t>SL.TLF.CACT.FE.ZS</t>
        </is>
      </c>
      <c r="F30" s="5" t="inlineStr">
        <is>
          <t>Fonte Banco Mundial API/CSV</t>
        </is>
      </c>
      <c r="G30" s="5" t="inlineStr">
        <is>
          <t>11/11</t>
        </is>
      </c>
      <c r="H30" s="5" t="n">
        <v>2025</v>
      </c>
      <c r="I30" s="5" t="inlineStr">
        <is>
          <t>Referenciado pelas regras de Metodologia_v4</t>
        </is>
      </c>
      <c r="J30" s="9">
        <f>IF(Dados_Observados_v4!J30&lt;&gt;"",Dados_Observados_v4!J30,IF(AND(Dados_Observados_v4!K30&lt;&gt;"",(2016-2015)&lt;=Metodologia_v4!$B$14),Dados_Observados_v4!K30,""))</f>
        <v/>
      </c>
      <c r="K30" s="9">
        <f>IF(Dados_Observados_v4!K30&lt;&gt;"",Dados_Observados_v4!K30,IF(AND(Dados_Observados_v4!J30&lt;&gt;"",Dados_Observados_v4!L30&lt;&gt;"",(2017-2015-1)&lt;=Metodologia_v4!$B$12),Dados_Observados_v4!J30+(Dados_Observados_v4!L30-Dados_Observados_v4!J30)*(2016-2015)/(2017-2015),IF(AND(Dados_Observados_v4!J30&lt;&gt;"",(2016-2015)&lt;=Metodologia_v4!$B$13),Dados_Observados_v4!J30,IF(AND(Dados_Observados_v4!L30&lt;&gt;"",(2017-2016)&lt;=Metodologia_v4!$B$14),Dados_Observados_v4!L30,""))))</f>
        <v/>
      </c>
      <c r="L30" s="9">
        <f>IF(Dados_Observados_v4!L30&lt;&gt;"",Dados_Observados_v4!L30,IF(AND(Dados_Observados_v4!K30&lt;&gt;"",Dados_Observados_v4!M30&lt;&gt;"",(2018-2016-1)&lt;=Metodologia_v4!$B$12),Dados_Observados_v4!K30+(Dados_Observados_v4!M30-Dados_Observados_v4!K30)*(2017-2016)/(2018-2016),IF(AND(Dados_Observados_v4!K30&lt;&gt;"",(2017-2016)&lt;=Metodologia_v4!$B$13),Dados_Observados_v4!K30,IF(AND(Dados_Observados_v4!M30&lt;&gt;"",(2018-2017)&lt;=Metodologia_v4!$B$14),Dados_Observados_v4!M30,""))))</f>
        <v/>
      </c>
      <c r="M30" s="9">
        <f>IF(Dados_Observados_v4!M30&lt;&gt;"",Dados_Observados_v4!M30,IF(AND(Dados_Observados_v4!L30&lt;&gt;"",Dados_Observados_v4!N30&lt;&gt;"",(2019-2017-1)&lt;=Metodologia_v4!$B$12),Dados_Observados_v4!L30+(Dados_Observados_v4!N30-Dados_Observados_v4!L30)*(2018-2017)/(2019-2017),IF(AND(Dados_Observados_v4!L30&lt;&gt;"",(2018-2017)&lt;=Metodologia_v4!$B$13),Dados_Observados_v4!L30,IF(AND(Dados_Observados_v4!N30&lt;&gt;"",(2019-2018)&lt;=Metodologia_v4!$B$14),Dados_Observados_v4!N30,""))))</f>
        <v/>
      </c>
      <c r="N30" s="9">
        <f>IF(Dados_Observados_v4!N30&lt;&gt;"",Dados_Observados_v4!N30,IF(AND(Dados_Observados_v4!M30&lt;&gt;"",Dados_Observados_v4!O30&lt;&gt;"",(2020-2018-1)&lt;=Metodologia_v4!$B$12),Dados_Observados_v4!M30+(Dados_Observados_v4!O30-Dados_Observados_v4!M30)*(2019-2018)/(2020-2018),IF(AND(Dados_Observados_v4!M30&lt;&gt;"",(2019-2018)&lt;=Metodologia_v4!$B$13),Dados_Observados_v4!M30,IF(AND(Dados_Observados_v4!O30&lt;&gt;"",(2020-2019)&lt;=Metodologia_v4!$B$14),Dados_Observados_v4!O30,""))))</f>
        <v/>
      </c>
      <c r="O30" s="9">
        <f>IF(Dados_Observados_v4!O30&lt;&gt;"",Dados_Observados_v4!O30,IF(AND(Dados_Observados_v4!N30&lt;&gt;"",Dados_Observados_v4!P30&lt;&gt;"",(2021-2019-1)&lt;=Metodologia_v4!$B$12),Dados_Observados_v4!N30+(Dados_Observados_v4!P30-Dados_Observados_v4!N30)*(2020-2019)/(2021-2019),IF(AND(Dados_Observados_v4!N30&lt;&gt;"",(2020-2019)&lt;=Metodologia_v4!$B$13),Dados_Observados_v4!N30,IF(AND(Dados_Observados_v4!P30&lt;&gt;"",(2021-2020)&lt;=Metodologia_v4!$B$14),Dados_Observados_v4!P30,""))))</f>
        <v/>
      </c>
      <c r="P30" s="9">
        <f>IF(Dados_Observados_v4!P30&lt;&gt;"",Dados_Observados_v4!P30,IF(AND(Dados_Observados_v4!O30&lt;&gt;"",Dados_Observados_v4!Q30&lt;&gt;"",(2022-2020-1)&lt;=Metodologia_v4!$B$12),Dados_Observados_v4!O30+(Dados_Observados_v4!Q30-Dados_Observados_v4!O30)*(2021-2020)/(2022-2020),IF(AND(Dados_Observados_v4!O30&lt;&gt;"",(2021-2020)&lt;=Metodologia_v4!$B$13),Dados_Observados_v4!O30,IF(AND(Dados_Observados_v4!Q30&lt;&gt;"",(2022-2021)&lt;=Metodologia_v4!$B$14),Dados_Observados_v4!Q30,""))))</f>
        <v/>
      </c>
      <c r="Q30" s="9">
        <f>IF(Dados_Observados_v4!Q30&lt;&gt;"",Dados_Observados_v4!Q30,IF(AND(Dados_Observados_v4!P30&lt;&gt;"",Dados_Observados_v4!R30&lt;&gt;"",(2023-2021-1)&lt;=Metodologia_v4!$B$12),Dados_Observados_v4!P30+(Dados_Observados_v4!R30-Dados_Observados_v4!P30)*(2022-2021)/(2023-2021),IF(AND(Dados_Observados_v4!P30&lt;&gt;"",(2022-2021)&lt;=Metodologia_v4!$B$13),Dados_Observados_v4!P30,IF(AND(Dados_Observados_v4!R30&lt;&gt;"",(2023-2022)&lt;=Metodologia_v4!$B$14),Dados_Observados_v4!R30,""))))</f>
        <v/>
      </c>
      <c r="R30" s="9">
        <f>IF(Dados_Observados_v4!R30&lt;&gt;"",Dados_Observados_v4!R30,IF(AND(Dados_Observados_v4!Q30&lt;&gt;"",Dados_Observados_v4!S30&lt;&gt;"",(2024-2022-1)&lt;=Metodologia_v4!$B$12),Dados_Observados_v4!Q30+(Dados_Observados_v4!S30-Dados_Observados_v4!Q30)*(2023-2022)/(2024-2022),IF(AND(Dados_Observados_v4!Q30&lt;&gt;"",(2023-2022)&lt;=Metodologia_v4!$B$13),Dados_Observados_v4!Q30,IF(AND(Dados_Observados_v4!S30&lt;&gt;"",(2024-2023)&lt;=Metodologia_v4!$B$14),Dados_Observados_v4!S30,""))))</f>
        <v/>
      </c>
      <c r="S30" s="9">
        <f>IF(Dados_Observados_v4!S30&lt;&gt;"",Dados_Observados_v4!S30,IF(AND(Dados_Observados_v4!R30&lt;&gt;"",Dados_Observados_v4!T30&lt;&gt;"",(2025-2023-1)&lt;=Metodologia_v4!$B$12),Dados_Observados_v4!R30+(Dados_Observados_v4!T30-Dados_Observados_v4!R30)*(2024-2023)/(2025-2023),IF(AND(Dados_Observados_v4!R30&lt;&gt;"",(2024-2023)&lt;=Metodologia_v4!$B$13),Dados_Observados_v4!R30,IF(AND(Dados_Observados_v4!T30&lt;&gt;"",(2025-2024)&lt;=Metodologia_v4!$B$14),Dados_Observados_v4!T30,""))))</f>
        <v/>
      </c>
      <c r="T30" s="9">
        <f>IF(Dados_Observados_v4!T30&lt;&gt;"",Dados_Observados_v4!T30,IF(AND(Dados_Observados_v4!S30&lt;&gt;"",(2025-2024)&lt;=Metodologia_v4!$B$13),Dados_Observados_v4!S30,""))</f>
        <v/>
      </c>
    </row>
    <row r="31">
      <c r="A31" s="5" t="inlineStr">
        <is>
          <t>INC06</t>
        </is>
      </c>
      <c r="B31" s="5" t="inlineStr">
        <is>
          <t>4. Inclusão Social e Protecção</t>
        </is>
      </c>
      <c r="C31" s="5" t="inlineStr">
        <is>
          <t>Mulheres no parlamento</t>
        </is>
      </c>
      <c r="D31" s="5" t="inlineStr">
        <is>
          <t>Banco Mundial/IPU</t>
        </is>
      </c>
      <c r="E31" s="5" t="inlineStr">
        <is>
          <t>SG.GEN.PARL.ZS</t>
        </is>
      </c>
      <c r="F31" s="5" t="inlineStr">
        <is>
          <t>Fonte Banco Mundial API/CSV</t>
        </is>
      </c>
      <c r="G31" s="5" t="inlineStr">
        <is>
          <t>11/11</t>
        </is>
      </c>
      <c r="H31" s="5" t="n">
        <v>2025</v>
      </c>
      <c r="I31" s="5" t="inlineStr">
        <is>
          <t>Referenciado pelas regras de Metodologia_v4</t>
        </is>
      </c>
      <c r="J31" s="9">
        <f>IF(Dados_Observados_v4!J31&lt;&gt;"",Dados_Observados_v4!J31,IF(AND(Dados_Observados_v4!K31&lt;&gt;"",(2016-2015)&lt;=Metodologia_v4!$B$14),Dados_Observados_v4!K31,""))</f>
        <v/>
      </c>
      <c r="K31" s="9">
        <f>IF(Dados_Observados_v4!K31&lt;&gt;"",Dados_Observados_v4!K31,IF(AND(Dados_Observados_v4!J31&lt;&gt;"",Dados_Observados_v4!L31&lt;&gt;"",(2017-2015-1)&lt;=Metodologia_v4!$B$12),Dados_Observados_v4!J31+(Dados_Observados_v4!L31-Dados_Observados_v4!J31)*(2016-2015)/(2017-2015),IF(AND(Dados_Observados_v4!J31&lt;&gt;"",(2016-2015)&lt;=Metodologia_v4!$B$13),Dados_Observados_v4!J31,IF(AND(Dados_Observados_v4!L31&lt;&gt;"",(2017-2016)&lt;=Metodologia_v4!$B$14),Dados_Observados_v4!L31,""))))</f>
        <v/>
      </c>
      <c r="L31" s="9">
        <f>IF(Dados_Observados_v4!L31&lt;&gt;"",Dados_Observados_v4!L31,IF(AND(Dados_Observados_v4!K31&lt;&gt;"",Dados_Observados_v4!M31&lt;&gt;"",(2018-2016-1)&lt;=Metodologia_v4!$B$12),Dados_Observados_v4!K31+(Dados_Observados_v4!M31-Dados_Observados_v4!K31)*(2017-2016)/(2018-2016),IF(AND(Dados_Observados_v4!K31&lt;&gt;"",(2017-2016)&lt;=Metodologia_v4!$B$13),Dados_Observados_v4!K31,IF(AND(Dados_Observados_v4!M31&lt;&gt;"",(2018-2017)&lt;=Metodologia_v4!$B$14),Dados_Observados_v4!M31,""))))</f>
        <v/>
      </c>
      <c r="M31" s="9">
        <f>IF(Dados_Observados_v4!M31&lt;&gt;"",Dados_Observados_v4!M31,IF(AND(Dados_Observados_v4!L31&lt;&gt;"",Dados_Observados_v4!N31&lt;&gt;"",(2019-2017-1)&lt;=Metodologia_v4!$B$12),Dados_Observados_v4!L31+(Dados_Observados_v4!N31-Dados_Observados_v4!L31)*(2018-2017)/(2019-2017),IF(AND(Dados_Observados_v4!L31&lt;&gt;"",(2018-2017)&lt;=Metodologia_v4!$B$13),Dados_Observados_v4!L31,IF(AND(Dados_Observados_v4!N31&lt;&gt;"",(2019-2018)&lt;=Metodologia_v4!$B$14),Dados_Observados_v4!N31,""))))</f>
        <v/>
      </c>
      <c r="N31" s="9">
        <f>IF(Dados_Observados_v4!N31&lt;&gt;"",Dados_Observados_v4!N31,IF(AND(Dados_Observados_v4!M31&lt;&gt;"",Dados_Observados_v4!O31&lt;&gt;"",(2020-2018-1)&lt;=Metodologia_v4!$B$12),Dados_Observados_v4!M31+(Dados_Observados_v4!O31-Dados_Observados_v4!M31)*(2019-2018)/(2020-2018),IF(AND(Dados_Observados_v4!M31&lt;&gt;"",(2019-2018)&lt;=Metodologia_v4!$B$13),Dados_Observados_v4!M31,IF(AND(Dados_Observados_v4!O31&lt;&gt;"",(2020-2019)&lt;=Metodologia_v4!$B$14),Dados_Observados_v4!O31,""))))</f>
        <v/>
      </c>
      <c r="O31" s="9">
        <f>IF(Dados_Observados_v4!O31&lt;&gt;"",Dados_Observados_v4!O31,IF(AND(Dados_Observados_v4!N31&lt;&gt;"",Dados_Observados_v4!P31&lt;&gt;"",(2021-2019-1)&lt;=Metodologia_v4!$B$12),Dados_Observados_v4!N31+(Dados_Observados_v4!P31-Dados_Observados_v4!N31)*(2020-2019)/(2021-2019),IF(AND(Dados_Observados_v4!N31&lt;&gt;"",(2020-2019)&lt;=Metodologia_v4!$B$13),Dados_Observados_v4!N31,IF(AND(Dados_Observados_v4!P31&lt;&gt;"",(2021-2020)&lt;=Metodologia_v4!$B$14),Dados_Observados_v4!P31,""))))</f>
        <v/>
      </c>
      <c r="P31" s="9">
        <f>IF(Dados_Observados_v4!P31&lt;&gt;"",Dados_Observados_v4!P31,IF(AND(Dados_Observados_v4!O31&lt;&gt;"",Dados_Observados_v4!Q31&lt;&gt;"",(2022-2020-1)&lt;=Metodologia_v4!$B$12),Dados_Observados_v4!O31+(Dados_Observados_v4!Q31-Dados_Observados_v4!O31)*(2021-2020)/(2022-2020),IF(AND(Dados_Observados_v4!O31&lt;&gt;"",(2021-2020)&lt;=Metodologia_v4!$B$13),Dados_Observados_v4!O31,IF(AND(Dados_Observados_v4!Q31&lt;&gt;"",(2022-2021)&lt;=Metodologia_v4!$B$14),Dados_Observados_v4!Q31,""))))</f>
        <v/>
      </c>
      <c r="Q31" s="9">
        <f>IF(Dados_Observados_v4!Q31&lt;&gt;"",Dados_Observados_v4!Q31,IF(AND(Dados_Observados_v4!P31&lt;&gt;"",Dados_Observados_v4!R31&lt;&gt;"",(2023-2021-1)&lt;=Metodologia_v4!$B$12),Dados_Observados_v4!P31+(Dados_Observados_v4!R31-Dados_Observados_v4!P31)*(2022-2021)/(2023-2021),IF(AND(Dados_Observados_v4!P31&lt;&gt;"",(2022-2021)&lt;=Metodologia_v4!$B$13),Dados_Observados_v4!P31,IF(AND(Dados_Observados_v4!R31&lt;&gt;"",(2023-2022)&lt;=Metodologia_v4!$B$14),Dados_Observados_v4!R31,""))))</f>
        <v/>
      </c>
      <c r="R31" s="9">
        <f>IF(Dados_Observados_v4!R31&lt;&gt;"",Dados_Observados_v4!R31,IF(AND(Dados_Observados_v4!Q31&lt;&gt;"",Dados_Observados_v4!S31&lt;&gt;"",(2024-2022-1)&lt;=Metodologia_v4!$B$12),Dados_Observados_v4!Q31+(Dados_Observados_v4!S31-Dados_Observados_v4!Q31)*(2023-2022)/(2024-2022),IF(AND(Dados_Observados_v4!Q31&lt;&gt;"",(2023-2022)&lt;=Metodologia_v4!$B$13),Dados_Observados_v4!Q31,IF(AND(Dados_Observados_v4!S31&lt;&gt;"",(2024-2023)&lt;=Metodologia_v4!$B$14),Dados_Observados_v4!S31,""))))</f>
        <v/>
      </c>
      <c r="S31" s="9">
        <f>IF(Dados_Observados_v4!S31&lt;&gt;"",Dados_Observados_v4!S31,IF(AND(Dados_Observados_v4!R31&lt;&gt;"",Dados_Observados_v4!T31&lt;&gt;"",(2025-2023-1)&lt;=Metodologia_v4!$B$12),Dados_Observados_v4!R31+(Dados_Observados_v4!T31-Dados_Observados_v4!R31)*(2024-2023)/(2025-2023),IF(AND(Dados_Observados_v4!R31&lt;&gt;"",(2024-2023)&lt;=Metodologia_v4!$B$13),Dados_Observados_v4!R31,IF(AND(Dados_Observados_v4!T31&lt;&gt;"",(2025-2024)&lt;=Metodologia_v4!$B$14),Dados_Observados_v4!T31,""))))</f>
        <v/>
      </c>
      <c r="T31" s="9">
        <f>IF(Dados_Observados_v4!T31&lt;&gt;"",Dados_Observados_v4!T31,IF(AND(Dados_Observados_v4!S31&lt;&gt;"",(2025-2024)&lt;=Metodologia_v4!$B$13),Dados_Observados_v4!S31,""))</f>
        <v/>
      </c>
    </row>
    <row r="32">
      <c r="A32" s="5" t="inlineStr">
        <is>
          <t>INC07</t>
        </is>
      </c>
      <c r="B32" s="5" t="inlineStr">
        <is>
          <t>4. Inclusão Social e Protecção</t>
        </is>
      </c>
      <c r="C32" s="5" t="inlineStr">
        <is>
          <t>Jovens NEET</t>
        </is>
      </c>
      <c r="D32" s="5" t="inlineStr">
        <is>
          <t>Banco Mundial/OIT</t>
        </is>
      </c>
      <c r="E32" s="5" t="inlineStr">
        <is>
          <t>SL.UEM.NEET.ZS</t>
        </is>
      </c>
      <c r="F32" s="5" t="inlineStr">
        <is>
          <t>Fonte Banco Mundial API/CSV</t>
        </is>
      </c>
      <c r="G32" s="5" t="inlineStr">
        <is>
          <t>6/11</t>
        </is>
      </c>
      <c r="H32" s="5" t="n">
        <v>2024</v>
      </c>
      <c r="I32" s="5" t="inlineStr">
        <is>
          <t>Referenciado pelas regras de Metodologia_v4</t>
        </is>
      </c>
      <c r="J32" s="9">
        <f>IF(Dados_Observados_v4!J32&lt;&gt;"",Dados_Observados_v4!J32,IF(AND(Dados_Observados_v4!N32&lt;&gt;"",(2019-2015)&lt;=Metodologia_v4!$B$14),Dados_Observados_v4!N32,""))</f>
        <v/>
      </c>
      <c r="K32" s="9">
        <f>IF(Dados_Observados_v4!K32&lt;&gt;"",Dados_Observados_v4!K32,IF(AND(Dados_Observados_v4!N32&lt;&gt;"",(2019-2016)&lt;=Metodologia_v4!$B$14),Dados_Observados_v4!N32,""))</f>
        <v/>
      </c>
      <c r="L32" s="9">
        <f>IF(Dados_Observados_v4!L32&lt;&gt;"",Dados_Observados_v4!L32,IF(AND(Dados_Observados_v4!N32&lt;&gt;"",(2019-2017)&lt;=Metodologia_v4!$B$14),Dados_Observados_v4!N32,""))</f>
        <v/>
      </c>
      <c r="M32" s="9">
        <f>IF(Dados_Observados_v4!M32&lt;&gt;"",Dados_Observados_v4!M32,IF(AND(Dados_Observados_v4!N32&lt;&gt;"",(2019-2018)&lt;=Metodologia_v4!$B$14),Dados_Observados_v4!N32,""))</f>
        <v/>
      </c>
      <c r="N32" s="9">
        <f>IF(Dados_Observados_v4!N32&lt;&gt;"",Dados_Observados_v4!N32,IF(AND(Dados_Observados_v4!O32&lt;&gt;"",(2020-2019)&lt;=Metodologia_v4!$B$14),Dados_Observados_v4!O32,""))</f>
        <v/>
      </c>
      <c r="O32" s="9">
        <f>IF(Dados_Observados_v4!O32&lt;&gt;"",Dados_Observados_v4!O32,IF(AND(Dados_Observados_v4!N32&lt;&gt;"",Dados_Observados_v4!P32&lt;&gt;"",(2021-2019-1)&lt;=Metodologia_v4!$B$12),Dados_Observados_v4!N32+(Dados_Observados_v4!P32-Dados_Observados_v4!N32)*(2020-2019)/(2021-2019),IF(AND(Dados_Observados_v4!N32&lt;&gt;"",(2020-2019)&lt;=Metodologia_v4!$B$13),Dados_Observados_v4!N32,IF(AND(Dados_Observados_v4!P32&lt;&gt;"",(2021-2020)&lt;=Metodologia_v4!$B$14),Dados_Observados_v4!P32,""))))</f>
        <v/>
      </c>
      <c r="P32" s="9">
        <f>IF(Dados_Observados_v4!P32&lt;&gt;"",Dados_Observados_v4!P32,IF(AND(Dados_Observados_v4!O32&lt;&gt;"",Dados_Observados_v4!Q32&lt;&gt;"",(2022-2020-1)&lt;=Metodologia_v4!$B$12),Dados_Observados_v4!O32+(Dados_Observados_v4!Q32-Dados_Observados_v4!O32)*(2021-2020)/(2022-2020),IF(AND(Dados_Observados_v4!O32&lt;&gt;"",(2021-2020)&lt;=Metodologia_v4!$B$13),Dados_Observados_v4!O32,IF(AND(Dados_Observados_v4!Q32&lt;&gt;"",(2022-2021)&lt;=Metodologia_v4!$B$14),Dados_Observados_v4!Q32,""))))</f>
        <v/>
      </c>
      <c r="Q32" s="9">
        <f>IF(Dados_Observados_v4!Q32&lt;&gt;"",Dados_Observados_v4!Q32,IF(AND(Dados_Observados_v4!P32&lt;&gt;"",Dados_Observados_v4!R32&lt;&gt;"",(2023-2021-1)&lt;=Metodologia_v4!$B$12),Dados_Observados_v4!P32+(Dados_Observados_v4!R32-Dados_Observados_v4!P32)*(2022-2021)/(2023-2021),IF(AND(Dados_Observados_v4!P32&lt;&gt;"",(2022-2021)&lt;=Metodologia_v4!$B$13),Dados_Observados_v4!P32,IF(AND(Dados_Observados_v4!R32&lt;&gt;"",(2023-2022)&lt;=Metodologia_v4!$B$14),Dados_Observados_v4!R32,""))))</f>
        <v/>
      </c>
      <c r="R32" s="9">
        <f>IF(Dados_Observados_v4!R32&lt;&gt;"",Dados_Observados_v4!R32,IF(AND(Dados_Observados_v4!Q32&lt;&gt;"",Dados_Observados_v4!S32&lt;&gt;"",(2024-2022-1)&lt;=Metodologia_v4!$B$12),Dados_Observados_v4!Q32+(Dados_Observados_v4!S32-Dados_Observados_v4!Q32)*(2023-2022)/(2024-2022),IF(AND(Dados_Observados_v4!Q32&lt;&gt;"",(2023-2022)&lt;=Metodologia_v4!$B$13),Dados_Observados_v4!Q32,IF(AND(Dados_Observados_v4!S32&lt;&gt;"",(2024-2023)&lt;=Metodologia_v4!$B$14),Dados_Observados_v4!S32,""))))</f>
        <v/>
      </c>
      <c r="S32" s="9">
        <f>IF(Dados_Observados_v4!S32&lt;&gt;"",Dados_Observados_v4!S32,IF(AND(Dados_Observados_v4!R32&lt;&gt;"",(2024-2023)&lt;=Metodologia_v4!$B$13),Dados_Observados_v4!R32,""))</f>
        <v/>
      </c>
      <c r="T32" s="9">
        <f>IF(Dados_Observados_v4!T32&lt;&gt;"",Dados_Observados_v4!T32,IF(AND(Dados_Observados_v4!S32&lt;&gt;"",(2025-2024)&lt;=Metodologia_v4!$B$13),Dados_Observados_v4!S32,""))</f>
        <v/>
      </c>
    </row>
    <row r="33">
      <c r="A33" s="5" t="inlineStr">
        <is>
          <t>INC08</t>
        </is>
      </c>
      <c r="B33" s="5" t="inlineStr">
        <is>
          <t>4. Inclusão Social e Protecção</t>
        </is>
      </c>
      <c r="C33" s="5" t="inlineStr">
        <is>
          <t>RNB per capita</t>
        </is>
      </c>
      <c r="D33" s="5" t="inlineStr">
        <is>
          <t>Banco Mundial/WDI</t>
        </is>
      </c>
      <c r="E33" s="5" t="inlineStr">
        <is>
          <t>NY.GNP.PCAP.CD</t>
        </is>
      </c>
      <c r="F33" s="5" t="inlineStr">
        <is>
          <t>Fonte Banco Mundial API/CSV</t>
        </is>
      </c>
      <c r="G33" s="5" t="inlineStr">
        <is>
          <t>10/11</t>
        </is>
      </c>
      <c r="H33" s="5" t="n">
        <v>2024</v>
      </c>
      <c r="I33" s="5" t="inlineStr">
        <is>
          <t>Referenciado pelas regras de Metodologia_v4</t>
        </is>
      </c>
      <c r="J33" s="9">
        <f>IF(Dados_Observados_v4!J33&lt;&gt;"",Dados_Observados_v4!J33,IF(AND(Dados_Observados_v4!K33&lt;&gt;"",(2016-2015)&lt;=Metodologia_v4!$B$14),Dados_Observados_v4!K33,""))</f>
        <v/>
      </c>
      <c r="K33" s="9">
        <f>IF(Dados_Observados_v4!K33&lt;&gt;"",Dados_Observados_v4!K33,IF(AND(Dados_Observados_v4!J33&lt;&gt;"",Dados_Observados_v4!L33&lt;&gt;"",(2017-2015-1)&lt;=Metodologia_v4!$B$12),Dados_Observados_v4!J33+(Dados_Observados_v4!L33-Dados_Observados_v4!J33)*(2016-2015)/(2017-2015),IF(AND(Dados_Observados_v4!J33&lt;&gt;"",(2016-2015)&lt;=Metodologia_v4!$B$13),Dados_Observados_v4!J33,IF(AND(Dados_Observados_v4!L33&lt;&gt;"",(2017-2016)&lt;=Metodologia_v4!$B$14),Dados_Observados_v4!L33,""))))</f>
        <v/>
      </c>
      <c r="L33" s="9">
        <f>IF(Dados_Observados_v4!L33&lt;&gt;"",Dados_Observados_v4!L33,IF(AND(Dados_Observados_v4!K33&lt;&gt;"",Dados_Observados_v4!M33&lt;&gt;"",(2018-2016-1)&lt;=Metodologia_v4!$B$12),Dados_Observados_v4!K33+(Dados_Observados_v4!M33-Dados_Observados_v4!K33)*(2017-2016)/(2018-2016),IF(AND(Dados_Observados_v4!K33&lt;&gt;"",(2017-2016)&lt;=Metodologia_v4!$B$13),Dados_Observados_v4!K33,IF(AND(Dados_Observados_v4!M33&lt;&gt;"",(2018-2017)&lt;=Metodologia_v4!$B$14),Dados_Observados_v4!M33,""))))</f>
        <v/>
      </c>
      <c r="M33" s="9">
        <f>IF(Dados_Observados_v4!M33&lt;&gt;"",Dados_Observados_v4!M33,IF(AND(Dados_Observados_v4!L33&lt;&gt;"",Dados_Observados_v4!N33&lt;&gt;"",(2019-2017-1)&lt;=Metodologia_v4!$B$12),Dados_Observados_v4!L33+(Dados_Observados_v4!N33-Dados_Observados_v4!L33)*(2018-2017)/(2019-2017),IF(AND(Dados_Observados_v4!L33&lt;&gt;"",(2018-2017)&lt;=Metodologia_v4!$B$13),Dados_Observados_v4!L33,IF(AND(Dados_Observados_v4!N33&lt;&gt;"",(2019-2018)&lt;=Metodologia_v4!$B$14),Dados_Observados_v4!N33,""))))</f>
        <v/>
      </c>
      <c r="N33" s="9">
        <f>IF(Dados_Observados_v4!N33&lt;&gt;"",Dados_Observados_v4!N33,IF(AND(Dados_Observados_v4!M33&lt;&gt;"",Dados_Observados_v4!O33&lt;&gt;"",(2020-2018-1)&lt;=Metodologia_v4!$B$12),Dados_Observados_v4!M33+(Dados_Observados_v4!O33-Dados_Observados_v4!M33)*(2019-2018)/(2020-2018),IF(AND(Dados_Observados_v4!M33&lt;&gt;"",(2019-2018)&lt;=Metodologia_v4!$B$13),Dados_Observados_v4!M33,IF(AND(Dados_Observados_v4!O33&lt;&gt;"",(2020-2019)&lt;=Metodologia_v4!$B$14),Dados_Observados_v4!O33,""))))</f>
        <v/>
      </c>
      <c r="O33" s="9">
        <f>IF(Dados_Observados_v4!O33&lt;&gt;"",Dados_Observados_v4!O33,IF(AND(Dados_Observados_v4!N33&lt;&gt;"",Dados_Observados_v4!P33&lt;&gt;"",(2021-2019-1)&lt;=Metodologia_v4!$B$12),Dados_Observados_v4!N33+(Dados_Observados_v4!P33-Dados_Observados_v4!N33)*(2020-2019)/(2021-2019),IF(AND(Dados_Observados_v4!N33&lt;&gt;"",(2020-2019)&lt;=Metodologia_v4!$B$13),Dados_Observados_v4!N33,IF(AND(Dados_Observados_v4!P33&lt;&gt;"",(2021-2020)&lt;=Metodologia_v4!$B$14),Dados_Observados_v4!P33,""))))</f>
        <v/>
      </c>
      <c r="P33" s="9">
        <f>IF(Dados_Observados_v4!P33&lt;&gt;"",Dados_Observados_v4!P33,IF(AND(Dados_Observados_v4!O33&lt;&gt;"",Dados_Observados_v4!Q33&lt;&gt;"",(2022-2020-1)&lt;=Metodologia_v4!$B$12),Dados_Observados_v4!O33+(Dados_Observados_v4!Q33-Dados_Observados_v4!O33)*(2021-2020)/(2022-2020),IF(AND(Dados_Observados_v4!O33&lt;&gt;"",(2021-2020)&lt;=Metodologia_v4!$B$13),Dados_Observados_v4!O33,IF(AND(Dados_Observados_v4!Q33&lt;&gt;"",(2022-2021)&lt;=Metodologia_v4!$B$14),Dados_Observados_v4!Q33,""))))</f>
        <v/>
      </c>
      <c r="Q33" s="9">
        <f>IF(Dados_Observados_v4!Q33&lt;&gt;"",Dados_Observados_v4!Q33,IF(AND(Dados_Observados_v4!P33&lt;&gt;"",Dados_Observados_v4!R33&lt;&gt;"",(2023-2021-1)&lt;=Metodologia_v4!$B$12),Dados_Observados_v4!P33+(Dados_Observados_v4!R33-Dados_Observados_v4!P33)*(2022-2021)/(2023-2021),IF(AND(Dados_Observados_v4!P33&lt;&gt;"",(2022-2021)&lt;=Metodologia_v4!$B$13),Dados_Observados_v4!P33,IF(AND(Dados_Observados_v4!R33&lt;&gt;"",(2023-2022)&lt;=Metodologia_v4!$B$14),Dados_Observados_v4!R33,""))))</f>
        <v/>
      </c>
      <c r="R33" s="9">
        <f>IF(Dados_Observados_v4!R33&lt;&gt;"",Dados_Observados_v4!R33,IF(AND(Dados_Observados_v4!Q33&lt;&gt;"",Dados_Observados_v4!S33&lt;&gt;"",(2024-2022-1)&lt;=Metodologia_v4!$B$12),Dados_Observados_v4!Q33+(Dados_Observados_v4!S33-Dados_Observados_v4!Q33)*(2023-2022)/(2024-2022),IF(AND(Dados_Observados_v4!Q33&lt;&gt;"",(2023-2022)&lt;=Metodologia_v4!$B$13),Dados_Observados_v4!Q33,IF(AND(Dados_Observados_v4!S33&lt;&gt;"",(2024-2023)&lt;=Metodologia_v4!$B$14),Dados_Observados_v4!S33,""))))</f>
        <v/>
      </c>
      <c r="S33" s="9">
        <f>IF(Dados_Observados_v4!S33&lt;&gt;"",Dados_Observados_v4!S33,IF(AND(Dados_Observados_v4!R33&lt;&gt;"",(2024-2023)&lt;=Metodologia_v4!$B$13),Dados_Observados_v4!R33,""))</f>
        <v/>
      </c>
      <c r="T33" s="9">
        <f>IF(Dados_Observados_v4!T33&lt;&gt;"",Dados_Observados_v4!T33,IF(AND(Dados_Observados_v4!S33&lt;&gt;"",(2025-2024)&lt;=Metodologia_v4!$B$13),Dados_Observados_v4!S33,""))</f>
        <v/>
      </c>
    </row>
    <row r="34">
      <c r="A34" s="5" t="inlineStr">
        <is>
          <t>INF01</t>
        </is>
      </c>
      <c r="B34" s="5" t="inlineStr">
        <is>
          <t>5. Infraestruturas e Serviços</t>
        </is>
      </c>
      <c r="C34" s="5" t="inlineStr">
        <is>
          <t>Acesso à eletricidade</t>
        </is>
      </c>
      <c r="D34" s="5" t="inlineStr">
        <is>
          <t>Banco Mundial/IEA</t>
        </is>
      </c>
      <c r="E34" s="5" t="inlineStr">
        <is>
          <t>EG.ELC.ACCS.ZS</t>
        </is>
      </c>
      <c r="F34" s="5" t="inlineStr">
        <is>
          <t>Fonte Banco Mundial API/CSV</t>
        </is>
      </c>
      <c r="G34" s="5" t="inlineStr">
        <is>
          <t>9/11</t>
        </is>
      </c>
      <c r="H34" s="5" t="n">
        <v>2023</v>
      </c>
      <c r="I34" s="5" t="inlineStr">
        <is>
          <t>Referenciado pelas regras de Metodologia_v4</t>
        </is>
      </c>
      <c r="J34" s="9">
        <f>IF(Dados_Observados_v4!J34&lt;&gt;"",Dados_Observados_v4!J34,IF(AND(Dados_Observados_v4!K34&lt;&gt;"",(2016-2015)&lt;=Metodologia_v4!$B$14),Dados_Observados_v4!K34,""))</f>
        <v/>
      </c>
      <c r="K34" s="9">
        <f>IF(Dados_Observados_v4!K34&lt;&gt;"",Dados_Observados_v4!K34,IF(AND(Dados_Observados_v4!J34&lt;&gt;"",Dados_Observados_v4!L34&lt;&gt;"",(2017-2015-1)&lt;=Metodologia_v4!$B$12),Dados_Observados_v4!J34+(Dados_Observados_v4!L34-Dados_Observados_v4!J34)*(2016-2015)/(2017-2015),IF(AND(Dados_Observados_v4!J34&lt;&gt;"",(2016-2015)&lt;=Metodologia_v4!$B$13),Dados_Observados_v4!J34,IF(AND(Dados_Observados_v4!L34&lt;&gt;"",(2017-2016)&lt;=Metodologia_v4!$B$14),Dados_Observados_v4!L34,""))))</f>
        <v/>
      </c>
      <c r="L34" s="9">
        <f>IF(Dados_Observados_v4!L34&lt;&gt;"",Dados_Observados_v4!L34,IF(AND(Dados_Observados_v4!K34&lt;&gt;"",Dados_Observados_v4!M34&lt;&gt;"",(2018-2016-1)&lt;=Metodologia_v4!$B$12),Dados_Observados_v4!K34+(Dados_Observados_v4!M34-Dados_Observados_v4!K34)*(2017-2016)/(2018-2016),IF(AND(Dados_Observados_v4!K34&lt;&gt;"",(2017-2016)&lt;=Metodologia_v4!$B$13),Dados_Observados_v4!K34,IF(AND(Dados_Observados_v4!M34&lt;&gt;"",(2018-2017)&lt;=Metodologia_v4!$B$14),Dados_Observados_v4!M34,""))))</f>
        <v/>
      </c>
      <c r="M34" s="9">
        <f>IF(Dados_Observados_v4!M34&lt;&gt;"",Dados_Observados_v4!M34,IF(AND(Dados_Observados_v4!L34&lt;&gt;"",Dados_Observados_v4!N34&lt;&gt;"",(2019-2017-1)&lt;=Metodologia_v4!$B$12),Dados_Observados_v4!L34+(Dados_Observados_v4!N34-Dados_Observados_v4!L34)*(2018-2017)/(2019-2017),IF(AND(Dados_Observados_v4!L34&lt;&gt;"",(2018-2017)&lt;=Metodologia_v4!$B$13),Dados_Observados_v4!L34,IF(AND(Dados_Observados_v4!N34&lt;&gt;"",(2019-2018)&lt;=Metodologia_v4!$B$14),Dados_Observados_v4!N34,""))))</f>
        <v/>
      </c>
      <c r="N34" s="9">
        <f>IF(Dados_Observados_v4!N34&lt;&gt;"",Dados_Observados_v4!N34,IF(AND(Dados_Observados_v4!M34&lt;&gt;"",Dados_Observados_v4!O34&lt;&gt;"",(2020-2018-1)&lt;=Metodologia_v4!$B$12),Dados_Observados_v4!M34+(Dados_Observados_v4!O34-Dados_Observados_v4!M34)*(2019-2018)/(2020-2018),IF(AND(Dados_Observados_v4!M34&lt;&gt;"",(2019-2018)&lt;=Metodologia_v4!$B$13),Dados_Observados_v4!M34,IF(AND(Dados_Observados_v4!O34&lt;&gt;"",(2020-2019)&lt;=Metodologia_v4!$B$14),Dados_Observados_v4!O34,""))))</f>
        <v/>
      </c>
      <c r="O34" s="9">
        <f>IF(Dados_Observados_v4!O34&lt;&gt;"",Dados_Observados_v4!O34,IF(AND(Dados_Observados_v4!N34&lt;&gt;"",Dados_Observados_v4!P34&lt;&gt;"",(2021-2019-1)&lt;=Metodologia_v4!$B$12),Dados_Observados_v4!N34+(Dados_Observados_v4!P34-Dados_Observados_v4!N34)*(2020-2019)/(2021-2019),IF(AND(Dados_Observados_v4!N34&lt;&gt;"",(2020-2019)&lt;=Metodologia_v4!$B$13),Dados_Observados_v4!N34,IF(AND(Dados_Observados_v4!P34&lt;&gt;"",(2021-2020)&lt;=Metodologia_v4!$B$14),Dados_Observados_v4!P34,""))))</f>
        <v/>
      </c>
      <c r="P34" s="9">
        <f>IF(Dados_Observados_v4!P34&lt;&gt;"",Dados_Observados_v4!P34,IF(AND(Dados_Observados_v4!O34&lt;&gt;"",Dados_Observados_v4!Q34&lt;&gt;"",(2022-2020-1)&lt;=Metodologia_v4!$B$12),Dados_Observados_v4!O34+(Dados_Observados_v4!Q34-Dados_Observados_v4!O34)*(2021-2020)/(2022-2020),IF(AND(Dados_Observados_v4!O34&lt;&gt;"",(2021-2020)&lt;=Metodologia_v4!$B$13),Dados_Observados_v4!O34,IF(AND(Dados_Observados_v4!Q34&lt;&gt;"",(2022-2021)&lt;=Metodologia_v4!$B$14),Dados_Observados_v4!Q34,""))))</f>
        <v/>
      </c>
      <c r="Q34" s="9">
        <f>IF(Dados_Observados_v4!Q34&lt;&gt;"",Dados_Observados_v4!Q34,IF(AND(Dados_Observados_v4!P34&lt;&gt;"",Dados_Observados_v4!R34&lt;&gt;"",(2023-2021-1)&lt;=Metodologia_v4!$B$12),Dados_Observados_v4!P34+(Dados_Observados_v4!R34-Dados_Observados_v4!P34)*(2022-2021)/(2023-2021),IF(AND(Dados_Observados_v4!P34&lt;&gt;"",(2022-2021)&lt;=Metodologia_v4!$B$13),Dados_Observados_v4!P34,IF(AND(Dados_Observados_v4!R34&lt;&gt;"",(2023-2022)&lt;=Metodologia_v4!$B$14),Dados_Observados_v4!R34,""))))</f>
        <v/>
      </c>
      <c r="R34" s="9">
        <f>IF(Dados_Observados_v4!R34&lt;&gt;"",Dados_Observados_v4!R34,IF(AND(Dados_Observados_v4!Q34&lt;&gt;"",(2023-2022)&lt;=Metodologia_v4!$B$13),Dados_Observados_v4!Q34,""))</f>
        <v/>
      </c>
      <c r="S34" s="9">
        <f>IF(Dados_Observados_v4!S34&lt;&gt;"",Dados_Observados_v4!S34,IF(AND(Dados_Observados_v4!R34&lt;&gt;"",(2024-2023)&lt;=Metodologia_v4!$B$13),Dados_Observados_v4!R34,""))</f>
        <v/>
      </c>
      <c r="T34" s="9">
        <f>IF(Dados_Observados_v4!T34&lt;&gt;"",Dados_Observados_v4!T34,IF(AND(Dados_Observados_v4!R34&lt;&gt;"",(2025-2023)&lt;=Metodologia_v4!$B$13),Dados_Observados_v4!R34,""))</f>
        <v/>
      </c>
    </row>
    <row r="35">
      <c r="A35" s="5" t="inlineStr">
        <is>
          <t>INF02</t>
        </is>
      </c>
      <c r="B35" s="5" t="inlineStr">
        <is>
          <t>5. Infraestruturas e Serviços</t>
        </is>
      </c>
      <c r="C35" s="5" t="inlineStr">
        <is>
          <t>Perdas na rede elétrica</t>
        </is>
      </c>
      <c r="D35" s="5" t="inlineStr">
        <is>
          <t>Banco Mundial/IEA</t>
        </is>
      </c>
      <c r="E35" s="5" t="inlineStr">
        <is>
          <t>EG.ELC.LOSS.ZS</t>
        </is>
      </c>
      <c r="F35" s="5" t="inlineStr">
        <is>
          <t>Fonte Banco Mundial API/CSV</t>
        </is>
      </c>
      <c r="G35" s="5" t="inlineStr">
        <is>
          <t>9/11</t>
        </is>
      </c>
      <c r="H35" s="5" t="n">
        <v>2023</v>
      </c>
      <c r="I35" s="5" t="inlineStr">
        <is>
          <t>Referenciado pelas regras de Metodologia_v4</t>
        </is>
      </c>
      <c r="J35" s="9">
        <f>IF(Dados_Observados_v4!J35&lt;&gt;"",Dados_Observados_v4!J35,IF(AND(Dados_Observados_v4!K35&lt;&gt;"",(2016-2015)&lt;=Metodologia_v4!$B$14),Dados_Observados_v4!K35,""))</f>
        <v/>
      </c>
      <c r="K35" s="9">
        <f>IF(Dados_Observados_v4!K35&lt;&gt;"",Dados_Observados_v4!K35,IF(AND(Dados_Observados_v4!J35&lt;&gt;"",Dados_Observados_v4!L35&lt;&gt;"",(2017-2015-1)&lt;=Metodologia_v4!$B$12),Dados_Observados_v4!J35+(Dados_Observados_v4!L35-Dados_Observados_v4!J35)*(2016-2015)/(2017-2015),IF(AND(Dados_Observados_v4!J35&lt;&gt;"",(2016-2015)&lt;=Metodologia_v4!$B$13),Dados_Observados_v4!J35,IF(AND(Dados_Observados_v4!L35&lt;&gt;"",(2017-2016)&lt;=Metodologia_v4!$B$14),Dados_Observados_v4!L35,""))))</f>
        <v/>
      </c>
      <c r="L35" s="9">
        <f>IF(Dados_Observados_v4!L35&lt;&gt;"",Dados_Observados_v4!L35,IF(AND(Dados_Observados_v4!K35&lt;&gt;"",Dados_Observados_v4!M35&lt;&gt;"",(2018-2016-1)&lt;=Metodologia_v4!$B$12),Dados_Observados_v4!K35+(Dados_Observados_v4!M35-Dados_Observados_v4!K35)*(2017-2016)/(2018-2016),IF(AND(Dados_Observados_v4!K35&lt;&gt;"",(2017-2016)&lt;=Metodologia_v4!$B$13),Dados_Observados_v4!K35,IF(AND(Dados_Observados_v4!M35&lt;&gt;"",(2018-2017)&lt;=Metodologia_v4!$B$14),Dados_Observados_v4!M35,""))))</f>
        <v/>
      </c>
      <c r="M35" s="9">
        <f>IF(Dados_Observados_v4!M35&lt;&gt;"",Dados_Observados_v4!M35,IF(AND(Dados_Observados_v4!L35&lt;&gt;"",Dados_Observados_v4!N35&lt;&gt;"",(2019-2017-1)&lt;=Metodologia_v4!$B$12),Dados_Observados_v4!L35+(Dados_Observados_v4!N35-Dados_Observados_v4!L35)*(2018-2017)/(2019-2017),IF(AND(Dados_Observados_v4!L35&lt;&gt;"",(2018-2017)&lt;=Metodologia_v4!$B$13),Dados_Observados_v4!L35,IF(AND(Dados_Observados_v4!N35&lt;&gt;"",(2019-2018)&lt;=Metodologia_v4!$B$14),Dados_Observados_v4!N35,""))))</f>
        <v/>
      </c>
      <c r="N35" s="9">
        <f>IF(Dados_Observados_v4!N35&lt;&gt;"",Dados_Observados_v4!N35,IF(AND(Dados_Observados_v4!M35&lt;&gt;"",Dados_Observados_v4!O35&lt;&gt;"",(2020-2018-1)&lt;=Metodologia_v4!$B$12),Dados_Observados_v4!M35+(Dados_Observados_v4!O35-Dados_Observados_v4!M35)*(2019-2018)/(2020-2018),IF(AND(Dados_Observados_v4!M35&lt;&gt;"",(2019-2018)&lt;=Metodologia_v4!$B$13),Dados_Observados_v4!M35,IF(AND(Dados_Observados_v4!O35&lt;&gt;"",(2020-2019)&lt;=Metodologia_v4!$B$14),Dados_Observados_v4!O35,""))))</f>
        <v/>
      </c>
      <c r="O35" s="9">
        <f>IF(Dados_Observados_v4!O35&lt;&gt;"",Dados_Observados_v4!O35,IF(AND(Dados_Observados_v4!N35&lt;&gt;"",Dados_Observados_v4!P35&lt;&gt;"",(2021-2019-1)&lt;=Metodologia_v4!$B$12),Dados_Observados_v4!N35+(Dados_Observados_v4!P35-Dados_Observados_v4!N35)*(2020-2019)/(2021-2019),IF(AND(Dados_Observados_v4!N35&lt;&gt;"",(2020-2019)&lt;=Metodologia_v4!$B$13),Dados_Observados_v4!N35,IF(AND(Dados_Observados_v4!P35&lt;&gt;"",(2021-2020)&lt;=Metodologia_v4!$B$14),Dados_Observados_v4!P35,""))))</f>
        <v/>
      </c>
      <c r="P35" s="9">
        <f>IF(Dados_Observados_v4!P35&lt;&gt;"",Dados_Observados_v4!P35,IF(AND(Dados_Observados_v4!O35&lt;&gt;"",Dados_Observados_v4!Q35&lt;&gt;"",(2022-2020-1)&lt;=Metodologia_v4!$B$12),Dados_Observados_v4!O35+(Dados_Observados_v4!Q35-Dados_Observados_v4!O35)*(2021-2020)/(2022-2020),IF(AND(Dados_Observados_v4!O35&lt;&gt;"",(2021-2020)&lt;=Metodologia_v4!$B$13),Dados_Observados_v4!O35,IF(AND(Dados_Observados_v4!Q35&lt;&gt;"",(2022-2021)&lt;=Metodologia_v4!$B$14),Dados_Observados_v4!Q35,""))))</f>
        <v/>
      </c>
      <c r="Q35" s="9">
        <f>IF(Dados_Observados_v4!Q35&lt;&gt;"",Dados_Observados_v4!Q35,IF(AND(Dados_Observados_v4!P35&lt;&gt;"",Dados_Observados_v4!R35&lt;&gt;"",(2023-2021-1)&lt;=Metodologia_v4!$B$12),Dados_Observados_v4!P35+(Dados_Observados_v4!R35-Dados_Observados_v4!P35)*(2022-2021)/(2023-2021),IF(AND(Dados_Observados_v4!P35&lt;&gt;"",(2022-2021)&lt;=Metodologia_v4!$B$13),Dados_Observados_v4!P35,IF(AND(Dados_Observados_v4!R35&lt;&gt;"",(2023-2022)&lt;=Metodologia_v4!$B$14),Dados_Observados_v4!R35,""))))</f>
        <v/>
      </c>
      <c r="R35" s="9">
        <f>IF(Dados_Observados_v4!R35&lt;&gt;"",Dados_Observados_v4!R35,IF(AND(Dados_Observados_v4!Q35&lt;&gt;"",(2023-2022)&lt;=Metodologia_v4!$B$13),Dados_Observados_v4!Q35,""))</f>
        <v/>
      </c>
      <c r="S35" s="9">
        <f>IF(Dados_Observados_v4!S35&lt;&gt;"",Dados_Observados_v4!S35,IF(AND(Dados_Observados_v4!R35&lt;&gt;"",(2024-2023)&lt;=Metodologia_v4!$B$13),Dados_Observados_v4!R35,""))</f>
        <v/>
      </c>
      <c r="T35" s="9">
        <f>IF(Dados_Observados_v4!T35&lt;&gt;"",Dados_Observados_v4!T35,IF(AND(Dados_Observados_v4!R35&lt;&gt;"",(2025-2023)&lt;=Metodologia_v4!$B$13),Dados_Observados_v4!R35,""))</f>
        <v/>
      </c>
    </row>
    <row r="36">
      <c r="A36" s="5" t="inlineStr">
        <is>
          <t>INF03</t>
        </is>
      </c>
      <c r="B36" s="5" t="inlineStr">
        <is>
          <t>5. Infraestruturas e Serviços</t>
        </is>
      </c>
      <c r="C36" s="5" t="inlineStr">
        <is>
          <t>Acesso a água potável básica</t>
        </is>
      </c>
      <c r="D36" s="5" t="inlineStr">
        <is>
          <t>Banco Mundial/JMP</t>
        </is>
      </c>
      <c r="E36" s="5" t="inlineStr">
        <is>
          <t>SH.H2O.BASW.ZS</t>
        </is>
      </c>
      <c r="F36" s="5" t="inlineStr">
        <is>
          <t>Fonte Banco Mundial API/CSV</t>
        </is>
      </c>
      <c r="G36" s="5" t="inlineStr">
        <is>
          <t>10/11</t>
        </is>
      </c>
      <c r="H36" s="5" t="n">
        <v>2024</v>
      </c>
      <c r="I36" s="5" t="inlineStr">
        <is>
          <t>Referenciado pelas regras de Metodologia_v4</t>
        </is>
      </c>
      <c r="J36" s="9">
        <f>IF(Dados_Observados_v4!J36&lt;&gt;"",Dados_Observados_v4!J36,IF(AND(Dados_Observados_v4!K36&lt;&gt;"",(2016-2015)&lt;=Metodologia_v4!$B$14),Dados_Observados_v4!K36,""))</f>
        <v/>
      </c>
      <c r="K36" s="9">
        <f>IF(Dados_Observados_v4!K36&lt;&gt;"",Dados_Observados_v4!K36,IF(AND(Dados_Observados_v4!J36&lt;&gt;"",Dados_Observados_v4!L36&lt;&gt;"",(2017-2015-1)&lt;=Metodologia_v4!$B$12),Dados_Observados_v4!J36+(Dados_Observados_v4!L36-Dados_Observados_v4!J36)*(2016-2015)/(2017-2015),IF(AND(Dados_Observados_v4!J36&lt;&gt;"",(2016-2015)&lt;=Metodologia_v4!$B$13),Dados_Observados_v4!J36,IF(AND(Dados_Observados_v4!L36&lt;&gt;"",(2017-2016)&lt;=Metodologia_v4!$B$14),Dados_Observados_v4!L36,""))))</f>
        <v/>
      </c>
      <c r="L36" s="9">
        <f>IF(Dados_Observados_v4!L36&lt;&gt;"",Dados_Observados_v4!L36,IF(AND(Dados_Observados_v4!K36&lt;&gt;"",Dados_Observados_v4!M36&lt;&gt;"",(2018-2016-1)&lt;=Metodologia_v4!$B$12),Dados_Observados_v4!K36+(Dados_Observados_v4!M36-Dados_Observados_v4!K36)*(2017-2016)/(2018-2016),IF(AND(Dados_Observados_v4!K36&lt;&gt;"",(2017-2016)&lt;=Metodologia_v4!$B$13),Dados_Observados_v4!K36,IF(AND(Dados_Observados_v4!M36&lt;&gt;"",(2018-2017)&lt;=Metodologia_v4!$B$14),Dados_Observados_v4!M36,""))))</f>
        <v/>
      </c>
      <c r="M36" s="9">
        <f>IF(Dados_Observados_v4!M36&lt;&gt;"",Dados_Observados_v4!M36,IF(AND(Dados_Observados_v4!L36&lt;&gt;"",Dados_Observados_v4!N36&lt;&gt;"",(2019-2017-1)&lt;=Metodologia_v4!$B$12),Dados_Observados_v4!L36+(Dados_Observados_v4!N36-Dados_Observados_v4!L36)*(2018-2017)/(2019-2017),IF(AND(Dados_Observados_v4!L36&lt;&gt;"",(2018-2017)&lt;=Metodologia_v4!$B$13),Dados_Observados_v4!L36,IF(AND(Dados_Observados_v4!N36&lt;&gt;"",(2019-2018)&lt;=Metodologia_v4!$B$14),Dados_Observados_v4!N36,""))))</f>
        <v/>
      </c>
      <c r="N36" s="9">
        <f>IF(Dados_Observados_v4!N36&lt;&gt;"",Dados_Observados_v4!N36,IF(AND(Dados_Observados_v4!M36&lt;&gt;"",Dados_Observados_v4!O36&lt;&gt;"",(2020-2018-1)&lt;=Metodologia_v4!$B$12),Dados_Observados_v4!M36+(Dados_Observados_v4!O36-Dados_Observados_v4!M36)*(2019-2018)/(2020-2018),IF(AND(Dados_Observados_v4!M36&lt;&gt;"",(2019-2018)&lt;=Metodologia_v4!$B$13),Dados_Observados_v4!M36,IF(AND(Dados_Observados_v4!O36&lt;&gt;"",(2020-2019)&lt;=Metodologia_v4!$B$14),Dados_Observados_v4!O36,""))))</f>
        <v/>
      </c>
      <c r="O36" s="9">
        <f>IF(Dados_Observados_v4!O36&lt;&gt;"",Dados_Observados_v4!O36,IF(AND(Dados_Observados_v4!N36&lt;&gt;"",Dados_Observados_v4!P36&lt;&gt;"",(2021-2019-1)&lt;=Metodologia_v4!$B$12),Dados_Observados_v4!N36+(Dados_Observados_v4!P36-Dados_Observados_v4!N36)*(2020-2019)/(2021-2019),IF(AND(Dados_Observados_v4!N36&lt;&gt;"",(2020-2019)&lt;=Metodologia_v4!$B$13),Dados_Observados_v4!N36,IF(AND(Dados_Observados_v4!P36&lt;&gt;"",(2021-2020)&lt;=Metodologia_v4!$B$14),Dados_Observados_v4!P36,""))))</f>
        <v/>
      </c>
      <c r="P36" s="9">
        <f>IF(Dados_Observados_v4!P36&lt;&gt;"",Dados_Observados_v4!P36,IF(AND(Dados_Observados_v4!O36&lt;&gt;"",Dados_Observados_v4!Q36&lt;&gt;"",(2022-2020-1)&lt;=Metodologia_v4!$B$12),Dados_Observados_v4!O36+(Dados_Observados_v4!Q36-Dados_Observados_v4!O36)*(2021-2020)/(2022-2020),IF(AND(Dados_Observados_v4!O36&lt;&gt;"",(2021-2020)&lt;=Metodologia_v4!$B$13),Dados_Observados_v4!O36,IF(AND(Dados_Observados_v4!Q36&lt;&gt;"",(2022-2021)&lt;=Metodologia_v4!$B$14),Dados_Observados_v4!Q36,""))))</f>
        <v/>
      </c>
      <c r="Q36" s="9">
        <f>IF(Dados_Observados_v4!Q36&lt;&gt;"",Dados_Observados_v4!Q36,IF(AND(Dados_Observados_v4!P36&lt;&gt;"",Dados_Observados_v4!R36&lt;&gt;"",(2023-2021-1)&lt;=Metodologia_v4!$B$12),Dados_Observados_v4!P36+(Dados_Observados_v4!R36-Dados_Observados_v4!P36)*(2022-2021)/(2023-2021),IF(AND(Dados_Observados_v4!P36&lt;&gt;"",(2022-2021)&lt;=Metodologia_v4!$B$13),Dados_Observados_v4!P36,IF(AND(Dados_Observados_v4!R36&lt;&gt;"",(2023-2022)&lt;=Metodologia_v4!$B$14),Dados_Observados_v4!R36,""))))</f>
        <v/>
      </c>
      <c r="R36" s="9">
        <f>IF(Dados_Observados_v4!R36&lt;&gt;"",Dados_Observados_v4!R36,IF(AND(Dados_Observados_v4!Q36&lt;&gt;"",Dados_Observados_v4!S36&lt;&gt;"",(2024-2022-1)&lt;=Metodologia_v4!$B$12),Dados_Observados_v4!Q36+(Dados_Observados_v4!S36-Dados_Observados_v4!Q36)*(2023-2022)/(2024-2022),IF(AND(Dados_Observados_v4!Q36&lt;&gt;"",(2023-2022)&lt;=Metodologia_v4!$B$13),Dados_Observados_v4!Q36,IF(AND(Dados_Observados_v4!S36&lt;&gt;"",(2024-2023)&lt;=Metodologia_v4!$B$14),Dados_Observados_v4!S36,""))))</f>
        <v/>
      </c>
      <c r="S36" s="9">
        <f>IF(Dados_Observados_v4!S36&lt;&gt;"",Dados_Observados_v4!S36,IF(AND(Dados_Observados_v4!R36&lt;&gt;"",(2024-2023)&lt;=Metodologia_v4!$B$13),Dados_Observados_v4!R36,""))</f>
        <v/>
      </c>
      <c r="T36" s="9">
        <f>IF(Dados_Observados_v4!T36&lt;&gt;"",Dados_Observados_v4!T36,IF(AND(Dados_Observados_v4!S36&lt;&gt;"",(2025-2024)&lt;=Metodologia_v4!$B$13),Dados_Observados_v4!S36,""))</f>
        <v/>
      </c>
    </row>
    <row r="37">
      <c r="A37" s="5" t="inlineStr">
        <is>
          <t>INF04</t>
        </is>
      </c>
      <c r="B37" s="5" t="inlineStr">
        <is>
          <t>5. Infraestruturas e Serviços</t>
        </is>
      </c>
      <c r="C37" s="5" t="inlineStr">
        <is>
          <t>Acesso a saneamento básico</t>
        </is>
      </c>
      <c r="D37" s="5" t="inlineStr">
        <is>
          <t>Banco Mundial/JMP</t>
        </is>
      </c>
      <c r="E37" s="5" t="inlineStr">
        <is>
          <t>SH.STA.BASS.ZS</t>
        </is>
      </c>
      <c r="F37" s="5" t="inlineStr">
        <is>
          <t>Fonte Banco Mundial API/CSV</t>
        </is>
      </c>
      <c r="G37" s="5" t="inlineStr">
        <is>
          <t>8/11</t>
        </is>
      </c>
      <c r="H37" s="5" t="n">
        <v>2022</v>
      </c>
      <c r="I37" s="5" t="inlineStr">
        <is>
          <t>Referenciado pelas regras de Metodologia_v4</t>
        </is>
      </c>
      <c r="J37" s="9">
        <f>IF(Dados_Observados_v4!J37&lt;&gt;"",Dados_Observados_v4!J37,IF(AND(Dados_Observados_v4!K37&lt;&gt;"",(2016-2015)&lt;=Metodologia_v4!$B$14),Dados_Observados_v4!K37,""))</f>
        <v/>
      </c>
      <c r="K37" s="9">
        <f>IF(Dados_Observados_v4!K37&lt;&gt;"",Dados_Observados_v4!K37,IF(AND(Dados_Observados_v4!J37&lt;&gt;"",Dados_Observados_v4!L37&lt;&gt;"",(2017-2015-1)&lt;=Metodologia_v4!$B$12),Dados_Observados_v4!J37+(Dados_Observados_v4!L37-Dados_Observados_v4!J37)*(2016-2015)/(2017-2015),IF(AND(Dados_Observados_v4!J37&lt;&gt;"",(2016-2015)&lt;=Metodologia_v4!$B$13),Dados_Observados_v4!J37,IF(AND(Dados_Observados_v4!L37&lt;&gt;"",(2017-2016)&lt;=Metodologia_v4!$B$14),Dados_Observados_v4!L37,""))))</f>
        <v/>
      </c>
      <c r="L37" s="9">
        <f>IF(Dados_Observados_v4!L37&lt;&gt;"",Dados_Observados_v4!L37,IF(AND(Dados_Observados_v4!K37&lt;&gt;"",Dados_Observados_v4!M37&lt;&gt;"",(2018-2016-1)&lt;=Metodologia_v4!$B$12),Dados_Observados_v4!K37+(Dados_Observados_v4!M37-Dados_Observados_v4!K37)*(2017-2016)/(2018-2016),IF(AND(Dados_Observados_v4!K37&lt;&gt;"",(2017-2016)&lt;=Metodologia_v4!$B$13),Dados_Observados_v4!K37,IF(AND(Dados_Observados_v4!M37&lt;&gt;"",(2018-2017)&lt;=Metodologia_v4!$B$14),Dados_Observados_v4!M37,""))))</f>
        <v/>
      </c>
      <c r="M37" s="9">
        <f>IF(Dados_Observados_v4!M37&lt;&gt;"",Dados_Observados_v4!M37,IF(AND(Dados_Observados_v4!L37&lt;&gt;"",Dados_Observados_v4!N37&lt;&gt;"",(2019-2017-1)&lt;=Metodologia_v4!$B$12),Dados_Observados_v4!L37+(Dados_Observados_v4!N37-Dados_Observados_v4!L37)*(2018-2017)/(2019-2017),IF(AND(Dados_Observados_v4!L37&lt;&gt;"",(2018-2017)&lt;=Metodologia_v4!$B$13),Dados_Observados_v4!L37,IF(AND(Dados_Observados_v4!N37&lt;&gt;"",(2019-2018)&lt;=Metodologia_v4!$B$14),Dados_Observados_v4!N37,""))))</f>
        <v/>
      </c>
      <c r="N37" s="9">
        <f>IF(Dados_Observados_v4!N37&lt;&gt;"",Dados_Observados_v4!N37,IF(AND(Dados_Observados_v4!M37&lt;&gt;"",Dados_Observados_v4!O37&lt;&gt;"",(2020-2018-1)&lt;=Metodologia_v4!$B$12),Dados_Observados_v4!M37+(Dados_Observados_v4!O37-Dados_Observados_v4!M37)*(2019-2018)/(2020-2018),IF(AND(Dados_Observados_v4!M37&lt;&gt;"",(2019-2018)&lt;=Metodologia_v4!$B$13),Dados_Observados_v4!M37,IF(AND(Dados_Observados_v4!O37&lt;&gt;"",(2020-2019)&lt;=Metodologia_v4!$B$14),Dados_Observados_v4!O37,""))))</f>
        <v/>
      </c>
      <c r="O37" s="9">
        <f>IF(Dados_Observados_v4!O37&lt;&gt;"",Dados_Observados_v4!O37,IF(AND(Dados_Observados_v4!N37&lt;&gt;"",Dados_Observados_v4!P37&lt;&gt;"",(2021-2019-1)&lt;=Metodologia_v4!$B$12),Dados_Observados_v4!N37+(Dados_Observados_v4!P37-Dados_Observados_v4!N37)*(2020-2019)/(2021-2019),IF(AND(Dados_Observados_v4!N37&lt;&gt;"",(2020-2019)&lt;=Metodologia_v4!$B$13),Dados_Observados_v4!N37,IF(AND(Dados_Observados_v4!P37&lt;&gt;"",(2021-2020)&lt;=Metodologia_v4!$B$14),Dados_Observados_v4!P37,""))))</f>
        <v/>
      </c>
      <c r="P37" s="9">
        <f>IF(Dados_Observados_v4!P37&lt;&gt;"",Dados_Observados_v4!P37,IF(AND(Dados_Observados_v4!O37&lt;&gt;"",Dados_Observados_v4!Q37&lt;&gt;"",(2022-2020-1)&lt;=Metodologia_v4!$B$12),Dados_Observados_v4!O37+(Dados_Observados_v4!Q37-Dados_Observados_v4!O37)*(2021-2020)/(2022-2020),IF(AND(Dados_Observados_v4!O37&lt;&gt;"",(2021-2020)&lt;=Metodologia_v4!$B$13),Dados_Observados_v4!O37,IF(AND(Dados_Observados_v4!Q37&lt;&gt;"",(2022-2021)&lt;=Metodologia_v4!$B$14),Dados_Observados_v4!Q37,""))))</f>
        <v/>
      </c>
      <c r="Q37" s="9">
        <f>IF(Dados_Observados_v4!Q37&lt;&gt;"",Dados_Observados_v4!Q37,IF(AND(Dados_Observados_v4!P37&lt;&gt;"",(2022-2021)&lt;=Metodologia_v4!$B$13),Dados_Observados_v4!P37,""))</f>
        <v/>
      </c>
      <c r="R37" s="9">
        <f>IF(Dados_Observados_v4!R37&lt;&gt;"",Dados_Observados_v4!R37,IF(AND(Dados_Observados_v4!Q37&lt;&gt;"",(2023-2022)&lt;=Metodologia_v4!$B$13),Dados_Observados_v4!Q37,""))</f>
        <v/>
      </c>
      <c r="S37" s="9">
        <f>IF(Dados_Observados_v4!S37&lt;&gt;"",Dados_Observados_v4!S37,IF(AND(Dados_Observados_v4!Q37&lt;&gt;"",(2024-2022)&lt;=Metodologia_v4!$B$13),Dados_Observados_v4!Q37,""))</f>
        <v/>
      </c>
      <c r="T37" s="9">
        <f>IF(Dados_Observados_v4!T37&lt;&gt;"",Dados_Observados_v4!T37,IF(AND(Dados_Observados_v4!Q37&lt;&gt;"",(2025-2022)&lt;=Metodologia_v4!$B$13),Dados_Observados_v4!Q37,""))</f>
        <v/>
      </c>
    </row>
    <row r="38">
      <c r="A38" s="5" t="inlineStr">
        <is>
          <t>INF05</t>
        </is>
      </c>
      <c r="B38" s="5" t="inlineStr">
        <is>
          <t>5. Infraestruturas e Serviços</t>
        </is>
      </c>
      <c r="C38" s="5" t="inlineStr">
        <is>
          <t>Acesso a energia limpa para cozinhar</t>
        </is>
      </c>
      <c r="D38" s="5" t="inlineStr">
        <is>
          <t>Banco Mundial/OMS</t>
        </is>
      </c>
      <c r="E38" s="5" t="inlineStr">
        <is>
          <t>EG.CFT.ACCS.ZS</t>
        </is>
      </c>
      <c r="F38" s="5" t="inlineStr">
        <is>
          <t>Fonte Banco Mundial API/CSV</t>
        </is>
      </c>
      <c r="G38" s="5" t="inlineStr">
        <is>
          <t>9/11</t>
        </is>
      </c>
      <c r="H38" s="5" t="n">
        <v>2023</v>
      </c>
      <c r="I38" s="5" t="inlineStr">
        <is>
          <t>Referenciado pelas regras de Metodologia_v4</t>
        </is>
      </c>
      <c r="J38" s="9">
        <f>IF(Dados_Observados_v4!J38&lt;&gt;"",Dados_Observados_v4!J38,IF(AND(Dados_Observados_v4!K38&lt;&gt;"",(2016-2015)&lt;=Metodologia_v4!$B$14),Dados_Observados_v4!K38,""))</f>
        <v/>
      </c>
      <c r="K38" s="9">
        <f>IF(Dados_Observados_v4!K38&lt;&gt;"",Dados_Observados_v4!K38,IF(AND(Dados_Observados_v4!J38&lt;&gt;"",Dados_Observados_v4!L38&lt;&gt;"",(2017-2015-1)&lt;=Metodologia_v4!$B$12),Dados_Observados_v4!J38+(Dados_Observados_v4!L38-Dados_Observados_v4!J38)*(2016-2015)/(2017-2015),IF(AND(Dados_Observados_v4!J38&lt;&gt;"",(2016-2015)&lt;=Metodologia_v4!$B$13),Dados_Observados_v4!J38,IF(AND(Dados_Observados_v4!L38&lt;&gt;"",(2017-2016)&lt;=Metodologia_v4!$B$14),Dados_Observados_v4!L38,""))))</f>
        <v/>
      </c>
      <c r="L38" s="9">
        <f>IF(Dados_Observados_v4!L38&lt;&gt;"",Dados_Observados_v4!L38,IF(AND(Dados_Observados_v4!K38&lt;&gt;"",Dados_Observados_v4!M38&lt;&gt;"",(2018-2016-1)&lt;=Metodologia_v4!$B$12),Dados_Observados_v4!K38+(Dados_Observados_v4!M38-Dados_Observados_v4!K38)*(2017-2016)/(2018-2016),IF(AND(Dados_Observados_v4!K38&lt;&gt;"",(2017-2016)&lt;=Metodologia_v4!$B$13),Dados_Observados_v4!K38,IF(AND(Dados_Observados_v4!M38&lt;&gt;"",(2018-2017)&lt;=Metodologia_v4!$B$14),Dados_Observados_v4!M38,""))))</f>
        <v/>
      </c>
      <c r="M38" s="9">
        <f>IF(Dados_Observados_v4!M38&lt;&gt;"",Dados_Observados_v4!M38,IF(AND(Dados_Observados_v4!L38&lt;&gt;"",Dados_Observados_v4!N38&lt;&gt;"",(2019-2017-1)&lt;=Metodologia_v4!$B$12),Dados_Observados_v4!L38+(Dados_Observados_v4!N38-Dados_Observados_v4!L38)*(2018-2017)/(2019-2017),IF(AND(Dados_Observados_v4!L38&lt;&gt;"",(2018-2017)&lt;=Metodologia_v4!$B$13),Dados_Observados_v4!L38,IF(AND(Dados_Observados_v4!N38&lt;&gt;"",(2019-2018)&lt;=Metodologia_v4!$B$14),Dados_Observados_v4!N38,""))))</f>
        <v/>
      </c>
      <c r="N38" s="9">
        <f>IF(Dados_Observados_v4!N38&lt;&gt;"",Dados_Observados_v4!N38,IF(AND(Dados_Observados_v4!M38&lt;&gt;"",Dados_Observados_v4!O38&lt;&gt;"",(2020-2018-1)&lt;=Metodologia_v4!$B$12),Dados_Observados_v4!M38+(Dados_Observados_v4!O38-Dados_Observados_v4!M38)*(2019-2018)/(2020-2018),IF(AND(Dados_Observados_v4!M38&lt;&gt;"",(2019-2018)&lt;=Metodologia_v4!$B$13),Dados_Observados_v4!M38,IF(AND(Dados_Observados_v4!O38&lt;&gt;"",(2020-2019)&lt;=Metodologia_v4!$B$14),Dados_Observados_v4!O38,""))))</f>
        <v/>
      </c>
      <c r="O38" s="9">
        <f>IF(Dados_Observados_v4!O38&lt;&gt;"",Dados_Observados_v4!O38,IF(AND(Dados_Observados_v4!N38&lt;&gt;"",Dados_Observados_v4!P38&lt;&gt;"",(2021-2019-1)&lt;=Metodologia_v4!$B$12),Dados_Observados_v4!N38+(Dados_Observados_v4!P38-Dados_Observados_v4!N38)*(2020-2019)/(2021-2019),IF(AND(Dados_Observados_v4!N38&lt;&gt;"",(2020-2019)&lt;=Metodologia_v4!$B$13),Dados_Observados_v4!N38,IF(AND(Dados_Observados_v4!P38&lt;&gt;"",(2021-2020)&lt;=Metodologia_v4!$B$14),Dados_Observados_v4!P38,""))))</f>
        <v/>
      </c>
      <c r="P38" s="9">
        <f>IF(Dados_Observados_v4!P38&lt;&gt;"",Dados_Observados_v4!P38,IF(AND(Dados_Observados_v4!O38&lt;&gt;"",Dados_Observados_v4!Q38&lt;&gt;"",(2022-2020-1)&lt;=Metodologia_v4!$B$12),Dados_Observados_v4!O38+(Dados_Observados_v4!Q38-Dados_Observados_v4!O38)*(2021-2020)/(2022-2020),IF(AND(Dados_Observados_v4!O38&lt;&gt;"",(2021-2020)&lt;=Metodologia_v4!$B$13),Dados_Observados_v4!O38,IF(AND(Dados_Observados_v4!Q38&lt;&gt;"",(2022-2021)&lt;=Metodologia_v4!$B$14),Dados_Observados_v4!Q38,""))))</f>
        <v/>
      </c>
      <c r="Q38" s="9">
        <f>IF(Dados_Observados_v4!Q38&lt;&gt;"",Dados_Observados_v4!Q38,IF(AND(Dados_Observados_v4!P38&lt;&gt;"",Dados_Observados_v4!R38&lt;&gt;"",(2023-2021-1)&lt;=Metodologia_v4!$B$12),Dados_Observados_v4!P38+(Dados_Observados_v4!R38-Dados_Observados_v4!P38)*(2022-2021)/(2023-2021),IF(AND(Dados_Observados_v4!P38&lt;&gt;"",(2022-2021)&lt;=Metodologia_v4!$B$13),Dados_Observados_v4!P38,IF(AND(Dados_Observados_v4!R38&lt;&gt;"",(2023-2022)&lt;=Metodologia_v4!$B$14),Dados_Observados_v4!R38,""))))</f>
        <v/>
      </c>
      <c r="R38" s="9">
        <f>IF(Dados_Observados_v4!R38&lt;&gt;"",Dados_Observados_v4!R38,IF(AND(Dados_Observados_v4!Q38&lt;&gt;"",(2023-2022)&lt;=Metodologia_v4!$B$13),Dados_Observados_v4!Q38,""))</f>
        <v/>
      </c>
      <c r="S38" s="9">
        <f>IF(Dados_Observados_v4!S38&lt;&gt;"",Dados_Observados_v4!S38,IF(AND(Dados_Observados_v4!R38&lt;&gt;"",(2024-2023)&lt;=Metodologia_v4!$B$13),Dados_Observados_v4!R38,""))</f>
        <v/>
      </c>
      <c r="T38" s="9">
        <f>IF(Dados_Observados_v4!T38&lt;&gt;"",Dados_Observados_v4!T38,IF(AND(Dados_Observados_v4!R38&lt;&gt;"",(2025-2023)&lt;=Metodologia_v4!$B$13),Dados_Observados_v4!R38,""))</f>
        <v/>
      </c>
    </row>
    <row r="39">
      <c r="A39" s="5" t="inlineStr">
        <is>
          <t>INF06</t>
        </is>
      </c>
      <c r="B39" s="5" t="inlineStr">
        <is>
          <t>5. Infraestruturas e Serviços</t>
        </is>
      </c>
      <c r="C39" s="5" t="inlineStr">
        <is>
          <t>Utilizadores de internet</t>
        </is>
      </c>
      <c r="D39" s="5" t="inlineStr">
        <is>
          <t>Banco Mundial/ITU</t>
        </is>
      </c>
      <c r="E39" s="5" t="inlineStr">
        <is>
          <t>IT.NET.USER.ZS</t>
        </is>
      </c>
      <c r="F39" s="5" t="inlineStr">
        <is>
          <t>Fonte Banco Mundial API/CSV</t>
        </is>
      </c>
      <c r="G39" s="5" t="inlineStr">
        <is>
          <t>10/11</t>
        </is>
      </c>
      <c r="H39" s="5" t="n">
        <v>2024</v>
      </c>
      <c r="I39" s="5" t="inlineStr">
        <is>
          <t>Referenciado pelas regras de Metodologia_v4</t>
        </is>
      </c>
      <c r="J39" s="9">
        <f>IF(Dados_Observados_v4!J39&lt;&gt;"",Dados_Observados_v4!J39,IF(AND(Dados_Observados_v4!K39&lt;&gt;"",(2016-2015)&lt;=Metodologia_v4!$B$14),Dados_Observados_v4!K39,""))</f>
        <v/>
      </c>
      <c r="K39" s="9">
        <f>IF(Dados_Observados_v4!K39&lt;&gt;"",Dados_Observados_v4!K39,IF(AND(Dados_Observados_v4!J39&lt;&gt;"",Dados_Observados_v4!L39&lt;&gt;"",(2017-2015-1)&lt;=Metodologia_v4!$B$12),Dados_Observados_v4!J39+(Dados_Observados_v4!L39-Dados_Observados_v4!J39)*(2016-2015)/(2017-2015),IF(AND(Dados_Observados_v4!J39&lt;&gt;"",(2016-2015)&lt;=Metodologia_v4!$B$13),Dados_Observados_v4!J39,IF(AND(Dados_Observados_v4!L39&lt;&gt;"",(2017-2016)&lt;=Metodologia_v4!$B$14),Dados_Observados_v4!L39,""))))</f>
        <v/>
      </c>
      <c r="L39" s="9">
        <f>IF(Dados_Observados_v4!L39&lt;&gt;"",Dados_Observados_v4!L39,IF(AND(Dados_Observados_v4!K39&lt;&gt;"",Dados_Observados_v4!M39&lt;&gt;"",(2018-2016-1)&lt;=Metodologia_v4!$B$12),Dados_Observados_v4!K39+(Dados_Observados_v4!M39-Dados_Observados_v4!K39)*(2017-2016)/(2018-2016),IF(AND(Dados_Observados_v4!K39&lt;&gt;"",(2017-2016)&lt;=Metodologia_v4!$B$13),Dados_Observados_v4!K39,IF(AND(Dados_Observados_v4!M39&lt;&gt;"",(2018-2017)&lt;=Metodologia_v4!$B$14),Dados_Observados_v4!M39,""))))</f>
        <v/>
      </c>
      <c r="M39" s="9">
        <f>IF(Dados_Observados_v4!M39&lt;&gt;"",Dados_Observados_v4!M39,IF(AND(Dados_Observados_v4!L39&lt;&gt;"",Dados_Observados_v4!N39&lt;&gt;"",(2019-2017-1)&lt;=Metodologia_v4!$B$12),Dados_Observados_v4!L39+(Dados_Observados_v4!N39-Dados_Observados_v4!L39)*(2018-2017)/(2019-2017),IF(AND(Dados_Observados_v4!L39&lt;&gt;"",(2018-2017)&lt;=Metodologia_v4!$B$13),Dados_Observados_v4!L39,IF(AND(Dados_Observados_v4!N39&lt;&gt;"",(2019-2018)&lt;=Metodologia_v4!$B$14),Dados_Observados_v4!N39,""))))</f>
        <v/>
      </c>
      <c r="N39" s="9">
        <f>IF(Dados_Observados_v4!N39&lt;&gt;"",Dados_Observados_v4!N39,IF(AND(Dados_Observados_v4!M39&lt;&gt;"",Dados_Observados_v4!O39&lt;&gt;"",(2020-2018-1)&lt;=Metodologia_v4!$B$12),Dados_Observados_v4!M39+(Dados_Observados_v4!O39-Dados_Observados_v4!M39)*(2019-2018)/(2020-2018),IF(AND(Dados_Observados_v4!M39&lt;&gt;"",(2019-2018)&lt;=Metodologia_v4!$B$13),Dados_Observados_v4!M39,IF(AND(Dados_Observados_v4!O39&lt;&gt;"",(2020-2019)&lt;=Metodologia_v4!$B$14),Dados_Observados_v4!O39,""))))</f>
        <v/>
      </c>
      <c r="O39" s="9">
        <f>IF(Dados_Observados_v4!O39&lt;&gt;"",Dados_Observados_v4!O39,IF(AND(Dados_Observados_v4!N39&lt;&gt;"",Dados_Observados_v4!P39&lt;&gt;"",(2021-2019-1)&lt;=Metodologia_v4!$B$12),Dados_Observados_v4!N39+(Dados_Observados_v4!P39-Dados_Observados_v4!N39)*(2020-2019)/(2021-2019),IF(AND(Dados_Observados_v4!N39&lt;&gt;"",(2020-2019)&lt;=Metodologia_v4!$B$13),Dados_Observados_v4!N39,IF(AND(Dados_Observados_v4!P39&lt;&gt;"",(2021-2020)&lt;=Metodologia_v4!$B$14),Dados_Observados_v4!P39,""))))</f>
        <v/>
      </c>
      <c r="P39" s="9">
        <f>IF(Dados_Observados_v4!P39&lt;&gt;"",Dados_Observados_v4!P39,IF(AND(Dados_Observados_v4!O39&lt;&gt;"",Dados_Observados_v4!Q39&lt;&gt;"",(2022-2020-1)&lt;=Metodologia_v4!$B$12),Dados_Observados_v4!O39+(Dados_Observados_v4!Q39-Dados_Observados_v4!O39)*(2021-2020)/(2022-2020),IF(AND(Dados_Observados_v4!O39&lt;&gt;"",(2021-2020)&lt;=Metodologia_v4!$B$13),Dados_Observados_v4!O39,IF(AND(Dados_Observados_v4!Q39&lt;&gt;"",(2022-2021)&lt;=Metodologia_v4!$B$14),Dados_Observados_v4!Q39,""))))</f>
        <v/>
      </c>
      <c r="Q39" s="9">
        <f>IF(Dados_Observados_v4!Q39&lt;&gt;"",Dados_Observados_v4!Q39,IF(AND(Dados_Observados_v4!P39&lt;&gt;"",Dados_Observados_v4!R39&lt;&gt;"",(2023-2021-1)&lt;=Metodologia_v4!$B$12),Dados_Observados_v4!P39+(Dados_Observados_v4!R39-Dados_Observados_v4!P39)*(2022-2021)/(2023-2021),IF(AND(Dados_Observados_v4!P39&lt;&gt;"",(2022-2021)&lt;=Metodologia_v4!$B$13),Dados_Observados_v4!P39,IF(AND(Dados_Observados_v4!R39&lt;&gt;"",(2023-2022)&lt;=Metodologia_v4!$B$14),Dados_Observados_v4!R39,""))))</f>
        <v/>
      </c>
      <c r="R39" s="9">
        <f>IF(Dados_Observados_v4!R39&lt;&gt;"",Dados_Observados_v4!R39,IF(AND(Dados_Observados_v4!Q39&lt;&gt;"",Dados_Observados_v4!S39&lt;&gt;"",(2024-2022-1)&lt;=Metodologia_v4!$B$12),Dados_Observados_v4!Q39+(Dados_Observados_v4!S39-Dados_Observados_v4!Q39)*(2023-2022)/(2024-2022),IF(AND(Dados_Observados_v4!Q39&lt;&gt;"",(2023-2022)&lt;=Metodologia_v4!$B$13),Dados_Observados_v4!Q39,IF(AND(Dados_Observados_v4!S39&lt;&gt;"",(2024-2023)&lt;=Metodologia_v4!$B$14),Dados_Observados_v4!S39,""))))</f>
        <v/>
      </c>
      <c r="S39" s="9">
        <f>IF(Dados_Observados_v4!S39&lt;&gt;"",Dados_Observados_v4!S39,IF(AND(Dados_Observados_v4!R39&lt;&gt;"",(2024-2023)&lt;=Metodologia_v4!$B$13),Dados_Observados_v4!R39,""))</f>
        <v/>
      </c>
      <c r="T39" s="9">
        <f>IF(Dados_Observados_v4!T39&lt;&gt;"",Dados_Observados_v4!T39,IF(AND(Dados_Observados_v4!S39&lt;&gt;"",(2025-2024)&lt;=Metodologia_v4!$B$13),Dados_Observados_v4!S39,""))</f>
        <v/>
      </c>
    </row>
    <row r="40">
      <c r="A40" s="5" t="inlineStr">
        <is>
          <t>INF07</t>
        </is>
      </c>
      <c r="B40" s="5" t="inlineStr">
        <is>
          <t>5. Infraestruturas e Serviços</t>
        </is>
      </c>
      <c r="C40" s="5" t="inlineStr">
        <is>
          <t>Subscrições móveis</t>
        </is>
      </c>
      <c r="D40" s="5" t="inlineStr">
        <is>
          <t>Banco Mundial/ITU</t>
        </is>
      </c>
      <c r="E40" s="5" t="inlineStr">
        <is>
          <t>IT.CEL.SETS.P2</t>
        </is>
      </c>
      <c r="F40" s="5" t="inlineStr">
        <is>
          <t>Fonte Banco Mundial API/CSV</t>
        </is>
      </c>
      <c r="G40" s="5" t="inlineStr">
        <is>
          <t>10/11</t>
        </is>
      </c>
      <c r="H40" s="5" t="n">
        <v>2024</v>
      </c>
      <c r="I40" s="5" t="inlineStr">
        <is>
          <t>Referenciado pelas regras de Metodologia_v4</t>
        </is>
      </c>
      <c r="J40" s="9">
        <f>IF(Dados_Observados_v4!J40&lt;&gt;"",Dados_Observados_v4!J40,IF(AND(Dados_Observados_v4!K40&lt;&gt;"",(2016-2015)&lt;=Metodologia_v4!$B$14),Dados_Observados_v4!K40,""))</f>
        <v/>
      </c>
      <c r="K40" s="9">
        <f>IF(Dados_Observados_v4!K40&lt;&gt;"",Dados_Observados_v4!K40,IF(AND(Dados_Observados_v4!J40&lt;&gt;"",Dados_Observados_v4!L40&lt;&gt;"",(2017-2015-1)&lt;=Metodologia_v4!$B$12),Dados_Observados_v4!J40+(Dados_Observados_v4!L40-Dados_Observados_v4!J40)*(2016-2015)/(2017-2015),IF(AND(Dados_Observados_v4!J40&lt;&gt;"",(2016-2015)&lt;=Metodologia_v4!$B$13),Dados_Observados_v4!J40,IF(AND(Dados_Observados_v4!L40&lt;&gt;"",(2017-2016)&lt;=Metodologia_v4!$B$14),Dados_Observados_v4!L40,""))))</f>
        <v/>
      </c>
      <c r="L40" s="9">
        <f>IF(Dados_Observados_v4!L40&lt;&gt;"",Dados_Observados_v4!L40,IF(AND(Dados_Observados_v4!K40&lt;&gt;"",Dados_Observados_v4!M40&lt;&gt;"",(2018-2016-1)&lt;=Metodologia_v4!$B$12),Dados_Observados_v4!K40+(Dados_Observados_v4!M40-Dados_Observados_v4!K40)*(2017-2016)/(2018-2016),IF(AND(Dados_Observados_v4!K40&lt;&gt;"",(2017-2016)&lt;=Metodologia_v4!$B$13),Dados_Observados_v4!K40,IF(AND(Dados_Observados_v4!M40&lt;&gt;"",(2018-2017)&lt;=Metodologia_v4!$B$14),Dados_Observados_v4!M40,""))))</f>
        <v/>
      </c>
      <c r="M40" s="9">
        <f>IF(Dados_Observados_v4!M40&lt;&gt;"",Dados_Observados_v4!M40,IF(AND(Dados_Observados_v4!L40&lt;&gt;"",Dados_Observados_v4!N40&lt;&gt;"",(2019-2017-1)&lt;=Metodologia_v4!$B$12),Dados_Observados_v4!L40+(Dados_Observados_v4!N40-Dados_Observados_v4!L40)*(2018-2017)/(2019-2017),IF(AND(Dados_Observados_v4!L40&lt;&gt;"",(2018-2017)&lt;=Metodologia_v4!$B$13),Dados_Observados_v4!L40,IF(AND(Dados_Observados_v4!N40&lt;&gt;"",(2019-2018)&lt;=Metodologia_v4!$B$14),Dados_Observados_v4!N40,""))))</f>
        <v/>
      </c>
      <c r="N40" s="9">
        <f>IF(Dados_Observados_v4!N40&lt;&gt;"",Dados_Observados_v4!N40,IF(AND(Dados_Observados_v4!M40&lt;&gt;"",Dados_Observados_v4!O40&lt;&gt;"",(2020-2018-1)&lt;=Metodologia_v4!$B$12),Dados_Observados_v4!M40+(Dados_Observados_v4!O40-Dados_Observados_v4!M40)*(2019-2018)/(2020-2018),IF(AND(Dados_Observados_v4!M40&lt;&gt;"",(2019-2018)&lt;=Metodologia_v4!$B$13),Dados_Observados_v4!M40,IF(AND(Dados_Observados_v4!O40&lt;&gt;"",(2020-2019)&lt;=Metodologia_v4!$B$14),Dados_Observados_v4!O40,""))))</f>
        <v/>
      </c>
      <c r="O40" s="9">
        <f>IF(Dados_Observados_v4!O40&lt;&gt;"",Dados_Observados_v4!O40,IF(AND(Dados_Observados_v4!N40&lt;&gt;"",Dados_Observados_v4!P40&lt;&gt;"",(2021-2019-1)&lt;=Metodologia_v4!$B$12),Dados_Observados_v4!N40+(Dados_Observados_v4!P40-Dados_Observados_v4!N40)*(2020-2019)/(2021-2019),IF(AND(Dados_Observados_v4!N40&lt;&gt;"",(2020-2019)&lt;=Metodologia_v4!$B$13),Dados_Observados_v4!N40,IF(AND(Dados_Observados_v4!P40&lt;&gt;"",(2021-2020)&lt;=Metodologia_v4!$B$14),Dados_Observados_v4!P40,""))))</f>
        <v/>
      </c>
      <c r="P40" s="9">
        <f>IF(Dados_Observados_v4!P40&lt;&gt;"",Dados_Observados_v4!P40,IF(AND(Dados_Observados_v4!O40&lt;&gt;"",Dados_Observados_v4!Q40&lt;&gt;"",(2022-2020-1)&lt;=Metodologia_v4!$B$12),Dados_Observados_v4!O40+(Dados_Observados_v4!Q40-Dados_Observados_v4!O40)*(2021-2020)/(2022-2020),IF(AND(Dados_Observados_v4!O40&lt;&gt;"",(2021-2020)&lt;=Metodologia_v4!$B$13),Dados_Observados_v4!O40,IF(AND(Dados_Observados_v4!Q40&lt;&gt;"",(2022-2021)&lt;=Metodologia_v4!$B$14),Dados_Observados_v4!Q40,""))))</f>
        <v/>
      </c>
      <c r="Q40" s="9">
        <f>IF(Dados_Observados_v4!Q40&lt;&gt;"",Dados_Observados_v4!Q40,IF(AND(Dados_Observados_v4!P40&lt;&gt;"",Dados_Observados_v4!R40&lt;&gt;"",(2023-2021-1)&lt;=Metodologia_v4!$B$12),Dados_Observados_v4!P40+(Dados_Observados_v4!R40-Dados_Observados_v4!P40)*(2022-2021)/(2023-2021),IF(AND(Dados_Observados_v4!P40&lt;&gt;"",(2022-2021)&lt;=Metodologia_v4!$B$13),Dados_Observados_v4!P40,IF(AND(Dados_Observados_v4!R40&lt;&gt;"",(2023-2022)&lt;=Metodologia_v4!$B$14),Dados_Observados_v4!R40,""))))</f>
        <v/>
      </c>
      <c r="R40" s="9">
        <f>IF(Dados_Observados_v4!R40&lt;&gt;"",Dados_Observados_v4!R40,IF(AND(Dados_Observados_v4!Q40&lt;&gt;"",Dados_Observados_v4!S40&lt;&gt;"",(2024-2022-1)&lt;=Metodologia_v4!$B$12),Dados_Observados_v4!Q40+(Dados_Observados_v4!S40-Dados_Observados_v4!Q40)*(2023-2022)/(2024-2022),IF(AND(Dados_Observados_v4!Q40&lt;&gt;"",(2023-2022)&lt;=Metodologia_v4!$B$13),Dados_Observados_v4!Q40,IF(AND(Dados_Observados_v4!S40&lt;&gt;"",(2024-2023)&lt;=Metodologia_v4!$B$14),Dados_Observados_v4!S40,""))))</f>
        <v/>
      </c>
      <c r="S40" s="9">
        <f>IF(Dados_Observados_v4!S40&lt;&gt;"",Dados_Observados_v4!S40,IF(AND(Dados_Observados_v4!R40&lt;&gt;"",(2024-2023)&lt;=Metodologia_v4!$B$13),Dados_Observados_v4!R40,""))</f>
        <v/>
      </c>
      <c r="T40" s="9">
        <f>IF(Dados_Observados_v4!T40&lt;&gt;"",Dados_Observados_v4!T40,IF(AND(Dados_Observados_v4!S40&lt;&gt;"",(2025-2024)&lt;=Metodologia_v4!$B$13),Dados_Observados_v4!S40,""))</f>
        <v/>
      </c>
    </row>
    <row r="41">
      <c r="A41" s="5" t="inlineStr">
        <is>
          <t>INF08</t>
        </is>
      </c>
      <c r="B41" s="5" t="inlineStr">
        <is>
          <t>5. Infraestruturas e Serviços</t>
        </is>
      </c>
      <c r="C41" s="5" t="inlineStr">
        <is>
          <t>Banda larga fixa</t>
        </is>
      </c>
      <c r="D41" s="5" t="inlineStr">
        <is>
          <t>Banco Mundial/ITU</t>
        </is>
      </c>
      <c r="E41" s="5" t="inlineStr">
        <is>
          <t>IT.NET.BBND.P2</t>
        </is>
      </c>
      <c r="F41" s="5" t="inlineStr">
        <is>
          <t>Fonte Banco Mundial API/CSV</t>
        </is>
      </c>
      <c r="G41" s="5" t="inlineStr">
        <is>
          <t>10/11</t>
        </is>
      </c>
      <c r="H41" s="5" t="n">
        <v>2024</v>
      </c>
      <c r="I41" s="5" t="inlineStr">
        <is>
          <t>Referenciado pelas regras de Metodologia_v4</t>
        </is>
      </c>
      <c r="J41" s="9">
        <f>IF(Dados_Observados_v4!J41&lt;&gt;"",Dados_Observados_v4!J41,IF(AND(Dados_Observados_v4!K41&lt;&gt;"",(2016-2015)&lt;=Metodologia_v4!$B$14),Dados_Observados_v4!K41,""))</f>
        <v/>
      </c>
      <c r="K41" s="9">
        <f>IF(Dados_Observados_v4!K41&lt;&gt;"",Dados_Observados_v4!K41,IF(AND(Dados_Observados_v4!J41&lt;&gt;"",Dados_Observados_v4!L41&lt;&gt;"",(2017-2015-1)&lt;=Metodologia_v4!$B$12),Dados_Observados_v4!J41+(Dados_Observados_v4!L41-Dados_Observados_v4!J41)*(2016-2015)/(2017-2015),IF(AND(Dados_Observados_v4!J41&lt;&gt;"",(2016-2015)&lt;=Metodologia_v4!$B$13),Dados_Observados_v4!J41,IF(AND(Dados_Observados_v4!L41&lt;&gt;"",(2017-2016)&lt;=Metodologia_v4!$B$14),Dados_Observados_v4!L41,""))))</f>
        <v/>
      </c>
      <c r="L41" s="9">
        <f>IF(Dados_Observados_v4!L41&lt;&gt;"",Dados_Observados_v4!L41,IF(AND(Dados_Observados_v4!K41&lt;&gt;"",Dados_Observados_v4!M41&lt;&gt;"",(2018-2016-1)&lt;=Metodologia_v4!$B$12),Dados_Observados_v4!K41+(Dados_Observados_v4!M41-Dados_Observados_v4!K41)*(2017-2016)/(2018-2016),IF(AND(Dados_Observados_v4!K41&lt;&gt;"",(2017-2016)&lt;=Metodologia_v4!$B$13),Dados_Observados_v4!K41,IF(AND(Dados_Observados_v4!M41&lt;&gt;"",(2018-2017)&lt;=Metodologia_v4!$B$14),Dados_Observados_v4!M41,""))))</f>
        <v/>
      </c>
      <c r="M41" s="9">
        <f>IF(Dados_Observados_v4!M41&lt;&gt;"",Dados_Observados_v4!M41,IF(AND(Dados_Observados_v4!L41&lt;&gt;"",Dados_Observados_v4!N41&lt;&gt;"",(2019-2017-1)&lt;=Metodologia_v4!$B$12),Dados_Observados_v4!L41+(Dados_Observados_v4!N41-Dados_Observados_v4!L41)*(2018-2017)/(2019-2017),IF(AND(Dados_Observados_v4!L41&lt;&gt;"",(2018-2017)&lt;=Metodologia_v4!$B$13),Dados_Observados_v4!L41,IF(AND(Dados_Observados_v4!N41&lt;&gt;"",(2019-2018)&lt;=Metodologia_v4!$B$14),Dados_Observados_v4!N41,""))))</f>
        <v/>
      </c>
      <c r="N41" s="9">
        <f>IF(Dados_Observados_v4!N41&lt;&gt;"",Dados_Observados_v4!N41,IF(AND(Dados_Observados_v4!M41&lt;&gt;"",Dados_Observados_v4!O41&lt;&gt;"",(2020-2018-1)&lt;=Metodologia_v4!$B$12),Dados_Observados_v4!M41+(Dados_Observados_v4!O41-Dados_Observados_v4!M41)*(2019-2018)/(2020-2018),IF(AND(Dados_Observados_v4!M41&lt;&gt;"",(2019-2018)&lt;=Metodologia_v4!$B$13),Dados_Observados_v4!M41,IF(AND(Dados_Observados_v4!O41&lt;&gt;"",(2020-2019)&lt;=Metodologia_v4!$B$14),Dados_Observados_v4!O41,""))))</f>
        <v/>
      </c>
      <c r="O41" s="9">
        <f>IF(Dados_Observados_v4!O41&lt;&gt;"",Dados_Observados_v4!O41,IF(AND(Dados_Observados_v4!N41&lt;&gt;"",Dados_Observados_v4!P41&lt;&gt;"",(2021-2019-1)&lt;=Metodologia_v4!$B$12),Dados_Observados_v4!N41+(Dados_Observados_v4!P41-Dados_Observados_v4!N41)*(2020-2019)/(2021-2019),IF(AND(Dados_Observados_v4!N41&lt;&gt;"",(2020-2019)&lt;=Metodologia_v4!$B$13),Dados_Observados_v4!N41,IF(AND(Dados_Observados_v4!P41&lt;&gt;"",(2021-2020)&lt;=Metodologia_v4!$B$14),Dados_Observados_v4!P41,""))))</f>
        <v/>
      </c>
      <c r="P41" s="9">
        <f>IF(Dados_Observados_v4!P41&lt;&gt;"",Dados_Observados_v4!P41,IF(AND(Dados_Observados_v4!O41&lt;&gt;"",Dados_Observados_v4!Q41&lt;&gt;"",(2022-2020-1)&lt;=Metodologia_v4!$B$12),Dados_Observados_v4!O41+(Dados_Observados_v4!Q41-Dados_Observados_v4!O41)*(2021-2020)/(2022-2020),IF(AND(Dados_Observados_v4!O41&lt;&gt;"",(2021-2020)&lt;=Metodologia_v4!$B$13),Dados_Observados_v4!O41,IF(AND(Dados_Observados_v4!Q41&lt;&gt;"",(2022-2021)&lt;=Metodologia_v4!$B$14),Dados_Observados_v4!Q41,""))))</f>
        <v/>
      </c>
      <c r="Q41" s="9">
        <f>IF(Dados_Observados_v4!Q41&lt;&gt;"",Dados_Observados_v4!Q41,IF(AND(Dados_Observados_v4!P41&lt;&gt;"",Dados_Observados_v4!R41&lt;&gt;"",(2023-2021-1)&lt;=Metodologia_v4!$B$12),Dados_Observados_v4!P41+(Dados_Observados_v4!R41-Dados_Observados_v4!P41)*(2022-2021)/(2023-2021),IF(AND(Dados_Observados_v4!P41&lt;&gt;"",(2022-2021)&lt;=Metodologia_v4!$B$13),Dados_Observados_v4!P41,IF(AND(Dados_Observados_v4!R41&lt;&gt;"",(2023-2022)&lt;=Metodologia_v4!$B$14),Dados_Observados_v4!R41,""))))</f>
        <v/>
      </c>
      <c r="R41" s="9">
        <f>IF(Dados_Observados_v4!R41&lt;&gt;"",Dados_Observados_v4!R41,IF(AND(Dados_Observados_v4!Q41&lt;&gt;"",Dados_Observados_v4!S41&lt;&gt;"",(2024-2022-1)&lt;=Metodologia_v4!$B$12),Dados_Observados_v4!Q41+(Dados_Observados_v4!S41-Dados_Observados_v4!Q41)*(2023-2022)/(2024-2022),IF(AND(Dados_Observados_v4!Q41&lt;&gt;"",(2023-2022)&lt;=Metodologia_v4!$B$13),Dados_Observados_v4!Q41,IF(AND(Dados_Observados_v4!S41&lt;&gt;"",(2024-2023)&lt;=Metodologia_v4!$B$14),Dados_Observados_v4!S41,""))))</f>
        <v/>
      </c>
      <c r="S41" s="9">
        <f>IF(Dados_Observados_v4!S41&lt;&gt;"",Dados_Observados_v4!S41,IF(AND(Dados_Observados_v4!R41&lt;&gt;"",(2024-2023)&lt;=Metodologia_v4!$B$13),Dados_Observados_v4!R41,""))</f>
        <v/>
      </c>
      <c r="T41" s="9">
        <f>IF(Dados_Observados_v4!T41&lt;&gt;"",Dados_Observados_v4!T41,IF(AND(Dados_Observados_v4!S41&lt;&gt;"",(2025-2024)&lt;=Metodologia_v4!$B$13),Dados_Observados_v4!S41,""))</f>
        <v/>
      </c>
    </row>
    <row r="42">
      <c r="A42" s="5" t="inlineStr">
        <is>
          <t>INF09</t>
        </is>
      </c>
      <c r="B42" s="5" t="inlineStr">
        <is>
          <t>5. Infraestruturas e Serviços</t>
        </is>
      </c>
      <c r="C42" s="5" t="inlineStr">
        <is>
          <t>Densidade rodoviária</t>
        </is>
      </c>
      <c r="D42" s="5" t="inlineStr">
        <is>
          <t>MINTRANS / ficheiro base</t>
        </is>
      </c>
      <c r="E42" s="5" t="inlineStr"/>
      <c r="F42" s="5" t="inlineStr">
        <is>
          <t>Série observada do ficheiro base</t>
        </is>
      </c>
      <c r="G42" s="5" t="inlineStr">
        <is>
          <t>10/11</t>
        </is>
      </c>
      <c r="H42" s="5" t="n">
        <v>2024</v>
      </c>
      <c r="I42" s="5" t="inlineStr">
        <is>
          <t>Referenciado pelas regras de Metodologia_v4</t>
        </is>
      </c>
      <c r="J42" s="9">
        <f>IF(Dados_Observados_v4!J42&lt;&gt;"",Dados_Observados_v4!J42,IF(AND(Dados_Observados_v4!K42&lt;&gt;"",(2016-2015)&lt;=Metodologia_v4!$B$14),Dados_Observados_v4!K42,""))</f>
        <v/>
      </c>
      <c r="K42" s="9">
        <f>IF(Dados_Observados_v4!K42&lt;&gt;"",Dados_Observados_v4!K42,IF(AND(Dados_Observados_v4!J42&lt;&gt;"",Dados_Observados_v4!L42&lt;&gt;"",(2017-2015-1)&lt;=Metodologia_v4!$B$12),Dados_Observados_v4!J42+(Dados_Observados_v4!L42-Dados_Observados_v4!J42)*(2016-2015)/(2017-2015),IF(AND(Dados_Observados_v4!J42&lt;&gt;"",(2016-2015)&lt;=Metodologia_v4!$B$13),Dados_Observados_v4!J42,IF(AND(Dados_Observados_v4!L42&lt;&gt;"",(2017-2016)&lt;=Metodologia_v4!$B$14),Dados_Observados_v4!L42,""))))</f>
        <v/>
      </c>
      <c r="L42" s="9">
        <f>IF(Dados_Observados_v4!L42&lt;&gt;"",Dados_Observados_v4!L42,IF(AND(Dados_Observados_v4!K42&lt;&gt;"",Dados_Observados_v4!M42&lt;&gt;"",(2018-2016-1)&lt;=Metodologia_v4!$B$12),Dados_Observados_v4!K42+(Dados_Observados_v4!M42-Dados_Observados_v4!K42)*(2017-2016)/(2018-2016),IF(AND(Dados_Observados_v4!K42&lt;&gt;"",(2017-2016)&lt;=Metodologia_v4!$B$13),Dados_Observados_v4!K42,IF(AND(Dados_Observados_v4!M42&lt;&gt;"",(2018-2017)&lt;=Metodologia_v4!$B$14),Dados_Observados_v4!M42,""))))</f>
        <v/>
      </c>
      <c r="M42" s="9">
        <f>IF(Dados_Observados_v4!M42&lt;&gt;"",Dados_Observados_v4!M42,IF(AND(Dados_Observados_v4!L42&lt;&gt;"",Dados_Observados_v4!N42&lt;&gt;"",(2019-2017-1)&lt;=Metodologia_v4!$B$12),Dados_Observados_v4!L42+(Dados_Observados_v4!N42-Dados_Observados_v4!L42)*(2018-2017)/(2019-2017),IF(AND(Dados_Observados_v4!L42&lt;&gt;"",(2018-2017)&lt;=Metodologia_v4!$B$13),Dados_Observados_v4!L42,IF(AND(Dados_Observados_v4!N42&lt;&gt;"",(2019-2018)&lt;=Metodologia_v4!$B$14),Dados_Observados_v4!N42,""))))</f>
        <v/>
      </c>
      <c r="N42" s="9">
        <f>IF(Dados_Observados_v4!N42&lt;&gt;"",Dados_Observados_v4!N42,IF(AND(Dados_Observados_v4!M42&lt;&gt;"",Dados_Observados_v4!O42&lt;&gt;"",(2020-2018-1)&lt;=Metodologia_v4!$B$12),Dados_Observados_v4!M42+(Dados_Observados_v4!O42-Dados_Observados_v4!M42)*(2019-2018)/(2020-2018),IF(AND(Dados_Observados_v4!M42&lt;&gt;"",(2019-2018)&lt;=Metodologia_v4!$B$13),Dados_Observados_v4!M42,IF(AND(Dados_Observados_v4!O42&lt;&gt;"",(2020-2019)&lt;=Metodologia_v4!$B$14),Dados_Observados_v4!O42,""))))</f>
        <v/>
      </c>
      <c r="O42" s="9">
        <f>IF(Dados_Observados_v4!O42&lt;&gt;"",Dados_Observados_v4!O42,IF(AND(Dados_Observados_v4!N42&lt;&gt;"",Dados_Observados_v4!P42&lt;&gt;"",(2021-2019-1)&lt;=Metodologia_v4!$B$12),Dados_Observados_v4!N42+(Dados_Observados_v4!P42-Dados_Observados_v4!N42)*(2020-2019)/(2021-2019),IF(AND(Dados_Observados_v4!N42&lt;&gt;"",(2020-2019)&lt;=Metodologia_v4!$B$13),Dados_Observados_v4!N42,IF(AND(Dados_Observados_v4!P42&lt;&gt;"",(2021-2020)&lt;=Metodologia_v4!$B$14),Dados_Observados_v4!P42,""))))</f>
        <v/>
      </c>
      <c r="P42" s="9">
        <f>IF(Dados_Observados_v4!P42&lt;&gt;"",Dados_Observados_v4!P42,IF(AND(Dados_Observados_v4!O42&lt;&gt;"",Dados_Observados_v4!Q42&lt;&gt;"",(2022-2020-1)&lt;=Metodologia_v4!$B$12),Dados_Observados_v4!O42+(Dados_Observados_v4!Q42-Dados_Observados_v4!O42)*(2021-2020)/(2022-2020),IF(AND(Dados_Observados_v4!O42&lt;&gt;"",(2021-2020)&lt;=Metodologia_v4!$B$13),Dados_Observados_v4!O42,IF(AND(Dados_Observados_v4!Q42&lt;&gt;"",(2022-2021)&lt;=Metodologia_v4!$B$14),Dados_Observados_v4!Q42,""))))</f>
        <v/>
      </c>
      <c r="Q42" s="9">
        <f>IF(Dados_Observados_v4!Q42&lt;&gt;"",Dados_Observados_v4!Q42,IF(AND(Dados_Observados_v4!P42&lt;&gt;"",Dados_Observados_v4!R42&lt;&gt;"",(2023-2021-1)&lt;=Metodologia_v4!$B$12),Dados_Observados_v4!P42+(Dados_Observados_v4!R42-Dados_Observados_v4!P42)*(2022-2021)/(2023-2021),IF(AND(Dados_Observados_v4!P42&lt;&gt;"",(2022-2021)&lt;=Metodologia_v4!$B$13),Dados_Observados_v4!P42,IF(AND(Dados_Observados_v4!R42&lt;&gt;"",(2023-2022)&lt;=Metodologia_v4!$B$14),Dados_Observados_v4!R42,""))))</f>
        <v/>
      </c>
      <c r="R42" s="9">
        <f>IF(Dados_Observados_v4!R42&lt;&gt;"",Dados_Observados_v4!R42,IF(AND(Dados_Observados_v4!Q42&lt;&gt;"",Dados_Observados_v4!S42&lt;&gt;"",(2024-2022-1)&lt;=Metodologia_v4!$B$12),Dados_Observados_v4!Q42+(Dados_Observados_v4!S42-Dados_Observados_v4!Q42)*(2023-2022)/(2024-2022),IF(AND(Dados_Observados_v4!Q42&lt;&gt;"",(2023-2022)&lt;=Metodologia_v4!$B$13),Dados_Observados_v4!Q42,IF(AND(Dados_Observados_v4!S42&lt;&gt;"",(2024-2023)&lt;=Metodologia_v4!$B$14),Dados_Observados_v4!S42,""))))</f>
        <v/>
      </c>
      <c r="S42" s="9">
        <f>IF(Dados_Observados_v4!S42&lt;&gt;"",Dados_Observados_v4!S42,IF(AND(Dados_Observados_v4!R42&lt;&gt;"",(2024-2023)&lt;=Metodologia_v4!$B$13),Dados_Observados_v4!R42,""))</f>
        <v/>
      </c>
      <c r="T42" s="9">
        <f>IF(Dados_Observados_v4!T42&lt;&gt;"",Dados_Observados_v4!T42,IF(AND(Dados_Observados_v4!S42&lt;&gt;"",(2025-2024)&lt;=Metodologia_v4!$B$13),Dados_Observados_v4!S42,""))</f>
        <v/>
      </c>
    </row>
    <row r="43">
      <c r="A43" s="5" t="inlineStr">
        <is>
          <t>LAB01</t>
        </is>
      </c>
      <c r="B43" s="5" t="inlineStr">
        <is>
          <t>6. Mercado de Trabalho</t>
        </is>
      </c>
      <c r="C43" s="5" t="inlineStr">
        <is>
          <t>Taxa de emprego</t>
        </is>
      </c>
      <c r="D43" s="5" t="inlineStr">
        <is>
          <t>Banco Mundial/OIT</t>
        </is>
      </c>
      <c r="E43" s="5" t="inlineStr">
        <is>
          <t>SL.EMP.TOTL.SP.ZS</t>
        </is>
      </c>
      <c r="F43" s="5" t="inlineStr">
        <is>
          <t>Fonte Banco Mundial API/CSV</t>
        </is>
      </c>
      <c r="G43" s="5" t="inlineStr">
        <is>
          <t>11/11</t>
        </is>
      </c>
      <c r="H43" s="5" t="n">
        <v>2025</v>
      </c>
      <c r="I43" s="5" t="inlineStr">
        <is>
          <t>Referenciado pelas regras de Metodologia_v4</t>
        </is>
      </c>
      <c r="J43" s="9">
        <f>IF(Dados_Observados_v4!J43&lt;&gt;"",Dados_Observados_v4!J43,IF(AND(Dados_Observados_v4!K43&lt;&gt;"",(2016-2015)&lt;=Metodologia_v4!$B$14),Dados_Observados_v4!K43,""))</f>
        <v/>
      </c>
      <c r="K43" s="9">
        <f>IF(Dados_Observados_v4!K43&lt;&gt;"",Dados_Observados_v4!K43,IF(AND(Dados_Observados_v4!J43&lt;&gt;"",Dados_Observados_v4!L43&lt;&gt;"",(2017-2015-1)&lt;=Metodologia_v4!$B$12),Dados_Observados_v4!J43+(Dados_Observados_v4!L43-Dados_Observados_v4!J43)*(2016-2015)/(2017-2015),IF(AND(Dados_Observados_v4!J43&lt;&gt;"",(2016-2015)&lt;=Metodologia_v4!$B$13),Dados_Observados_v4!J43,IF(AND(Dados_Observados_v4!L43&lt;&gt;"",(2017-2016)&lt;=Metodologia_v4!$B$14),Dados_Observados_v4!L43,""))))</f>
        <v/>
      </c>
      <c r="L43" s="9">
        <f>IF(Dados_Observados_v4!L43&lt;&gt;"",Dados_Observados_v4!L43,IF(AND(Dados_Observados_v4!K43&lt;&gt;"",Dados_Observados_v4!M43&lt;&gt;"",(2018-2016-1)&lt;=Metodologia_v4!$B$12),Dados_Observados_v4!K43+(Dados_Observados_v4!M43-Dados_Observados_v4!K43)*(2017-2016)/(2018-2016),IF(AND(Dados_Observados_v4!K43&lt;&gt;"",(2017-2016)&lt;=Metodologia_v4!$B$13),Dados_Observados_v4!K43,IF(AND(Dados_Observados_v4!M43&lt;&gt;"",(2018-2017)&lt;=Metodologia_v4!$B$14),Dados_Observados_v4!M43,""))))</f>
        <v/>
      </c>
      <c r="M43" s="9">
        <f>IF(Dados_Observados_v4!M43&lt;&gt;"",Dados_Observados_v4!M43,IF(AND(Dados_Observados_v4!L43&lt;&gt;"",Dados_Observados_v4!N43&lt;&gt;"",(2019-2017-1)&lt;=Metodologia_v4!$B$12),Dados_Observados_v4!L43+(Dados_Observados_v4!N43-Dados_Observados_v4!L43)*(2018-2017)/(2019-2017),IF(AND(Dados_Observados_v4!L43&lt;&gt;"",(2018-2017)&lt;=Metodologia_v4!$B$13),Dados_Observados_v4!L43,IF(AND(Dados_Observados_v4!N43&lt;&gt;"",(2019-2018)&lt;=Metodologia_v4!$B$14),Dados_Observados_v4!N43,""))))</f>
        <v/>
      </c>
      <c r="N43" s="9">
        <f>IF(Dados_Observados_v4!N43&lt;&gt;"",Dados_Observados_v4!N43,IF(AND(Dados_Observados_v4!M43&lt;&gt;"",Dados_Observados_v4!O43&lt;&gt;"",(2020-2018-1)&lt;=Metodologia_v4!$B$12),Dados_Observados_v4!M43+(Dados_Observados_v4!O43-Dados_Observados_v4!M43)*(2019-2018)/(2020-2018),IF(AND(Dados_Observados_v4!M43&lt;&gt;"",(2019-2018)&lt;=Metodologia_v4!$B$13),Dados_Observados_v4!M43,IF(AND(Dados_Observados_v4!O43&lt;&gt;"",(2020-2019)&lt;=Metodologia_v4!$B$14),Dados_Observados_v4!O43,""))))</f>
        <v/>
      </c>
      <c r="O43" s="9">
        <f>IF(Dados_Observados_v4!O43&lt;&gt;"",Dados_Observados_v4!O43,IF(AND(Dados_Observados_v4!N43&lt;&gt;"",Dados_Observados_v4!P43&lt;&gt;"",(2021-2019-1)&lt;=Metodologia_v4!$B$12),Dados_Observados_v4!N43+(Dados_Observados_v4!P43-Dados_Observados_v4!N43)*(2020-2019)/(2021-2019),IF(AND(Dados_Observados_v4!N43&lt;&gt;"",(2020-2019)&lt;=Metodologia_v4!$B$13),Dados_Observados_v4!N43,IF(AND(Dados_Observados_v4!P43&lt;&gt;"",(2021-2020)&lt;=Metodologia_v4!$B$14),Dados_Observados_v4!P43,""))))</f>
        <v/>
      </c>
      <c r="P43" s="9">
        <f>IF(Dados_Observados_v4!P43&lt;&gt;"",Dados_Observados_v4!P43,IF(AND(Dados_Observados_v4!O43&lt;&gt;"",Dados_Observados_v4!Q43&lt;&gt;"",(2022-2020-1)&lt;=Metodologia_v4!$B$12),Dados_Observados_v4!O43+(Dados_Observados_v4!Q43-Dados_Observados_v4!O43)*(2021-2020)/(2022-2020),IF(AND(Dados_Observados_v4!O43&lt;&gt;"",(2021-2020)&lt;=Metodologia_v4!$B$13),Dados_Observados_v4!O43,IF(AND(Dados_Observados_v4!Q43&lt;&gt;"",(2022-2021)&lt;=Metodologia_v4!$B$14),Dados_Observados_v4!Q43,""))))</f>
        <v/>
      </c>
      <c r="Q43" s="9">
        <f>IF(Dados_Observados_v4!Q43&lt;&gt;"",Dados_Observados_v4!Q43,IF(AND(Dados_Observados_v4!P43&lt;&gt;"",Dados_Observados_v4!R43&lt;&gt;"",(2023-2021-1)&lt;=Metodologia_v4!$B$12),Dados_Observados_v4!P43+(Dados_Observados_v4!R43-Dados_Observados_v4!P43)*(2022-2021)/(2023-2021),IF(AND(Dados_Observados_v4!P43&lt;&gt;"",(2022-2021)&lt;=Metodologia_v4!$B$13),Dados_Observados_v4!P43,IF(AND(Dados_Observados_v4!R43&lt;&gt;"",(2023-2022)&lt;=Metodologia_v4!$B$14),Dados_Observados_v4!R43,""))))</f>
        <v/>
      </c>
      <c r="R43" s="9">
        <f>IF(Dados_Observados_v4!R43&lt;&gt;"",Dados_Observados_v4!R43,IF(AND(Dados_Observados_v4!Q43&lt;&gt;"",Dados_Observados_v4!S43&lt;&gt;"",(2024-2022-1)&lt;=Metodologia_v4!$B$12),Dados_Observados_v4!Q43+(Dados_Observados_v4!S43-Dados_Observados_v4!Q43)*(2023-2022)/(2024-2022),IF(AND(Dados_Observados_v4!Q43&lt;&gt;"",(2023-2022)&lt;=Metodologia_v4!$B$13),Dados_Observados_v4!Q43,IF(AND(Dados_Observados_v4!S43&lt;&gt;"",(2024-2023)&lt;=Metodologia_v4!$B$14),Dados_Observados_v4!S43,""))))</f>
        <v/>
      </c>
      <c r="S43" s="9">
        <f>IF(Dados_Observados_v4!S43&lt;&gt;"",Dados_Observados_v4!S43,IF(AND(Dados_Observados_v4!R43&lt;&gt;"",Dados_Observados_v4!T43&lt;&gt;"",(2025-2023-1)&lt;=Metodologia_v4!$B$12),Dados_Observados_v4!R43+(Dados_Observados_v4!T43-Dados_Observados_v4!R43)*(2024-2023)/(2025-2023),IF(AND(Dados_Observados_v4!R43&lt;&gt;"",(2024-2023)&lt;=Metodologia_v4!$B$13),Dados_Observados_v4!R43,IF(AND(Dados_Observados_v4!T43&lt;&gt;"",(2025-2024)&lt;=Metodologia_v4!$B$14),Dados_Observados_v4!T43,""))))</f>
        <v/>
      </c>
      <c r="T43" s="9">
        <f>IF(Dados_Observados_v4!T43&lt;&gt;"",Dados_Observados_v4!T43,IF(AND(Dados_Observados_v4!S43&lt;&gt;"",(2025-2024)&lt;=Metodologia_v4!$B$13),Dados_Observados_v4!S43,""))</f>
        <v/>
      </c>
    </row>
    <row r="44">
      <c r="A44" s="5" t="inlineStr">
        <is>
          <t>LAB02</t>
        </is>
      </c>
      <c r="B44" s="5" t="inlineStr">
        <is>
          <t>6. Mercado de Trabalho</t>
        </is>
      </c>
      <c r="C44" s="5" t="inlineStr">
        <is>
          <t>Taxa de desemprego</t>
        </is>
      </c>
      <c r="D44" s="5" t="inlineStr">
        <is>
          <t>Banco Mundial/OIT</t>
        </is>
      </c>
      <c r="E44" s="5" t="inlineStr">
        <is>
          <t>SL.UEM.TOTL.ZS</t>
        </is>
      </c>
      <c r="F44" s="5" t="inlineStr">
        <is>
          <t>Fonte Banco Mundial API/CSV</t>
        </is>
      </c>
      <c r="G44" s="5" t="inlineStr">
        <is>
          <t>11/11</t>
        </is>
      </c>
      <c r="H44" s="5" t="n">
        <v>2025</v>
      </c>
      <c r="I44" s="5" t="inlineStr">
        <is>
          <t>Referenciado pelas regras de Metodologia_v4</t>
        </is>
      </c>
      <c r="J44" s="9">
        <f>IF(Dados_Observados_v4!J44&lt;&gt;"",Dados_Observados_v4!J44,IF(AND(Dados_Observados_v4!K44&lt;&gt;"",(2016-2015)&lt;=Metodologia_v4!$B$14),Dados_Observados_v4!K44,""))</f>
        <v/>
      </c>
      <c r="K44" s="9">
        <f>IF(Dados_Observados_v4!K44&lt;&gt;"",Dados_Observados_v4!K44,IF(AND(Dados_Observados_v4!J44&lt;&gt;"",Dados_Observados_v4!L44&lt;&gt;"",(2017-2015-1)&lt;=Metodologia_v4!$B$12),Dados_Observados_v4!J44+(Dados_Observados_v4!L44-Dados_Observados_v4!J44)*(2016-2015)/(2017-2015),IF(AND(Dados_Observados_v4!J44&lt;&gt;"",(2016-2015)&lt;=Metodologia_v4!$B$13),Dados_Observados_v4!J44,IF(AND(Dados_Observados_v4!L44&lt;&gt;"",(2017-2016)&lt;=Metodologia_v4!$B$14),Dados_Observados_v4!L44,""))))</f>
        <v/>
      </c>
      <c r="L44" s="9">
        <f>IF(Dados_Observados_v4!L44&lt;&gt;"",Dados_Observados_v4!L44,IF(AND(Dados_Observados_v4!K44&lt;&gt;"",Dados_Observados_v4!M44&lt;&gt;"",(2018-2016-1)&lt;=Metodologia_v4!$B$12),Dados_Observados_v4!K44+(Dados_Observados_v4!M44-Dados_Observados_v4!K44)*(2017-2016)/(2018-2016),IF(AND(Dados_Observados_v4!K44&lt;&gt;"",(2017-2016)&lt;=Metodologia_v4!$B$13),Dados_Observados_v4!K44,IF(AND(Dados_Observados_v4!M44&lt;&gt;"",(2018-2017)&lt;=Metodologia_v4!$B$14),Dados_Observados_v4!M44,""))))</f>
        <v/>
      </c>
      <c r="M44" s="9">
        <f>IF(Dados_Observados_v4!M44&lt;&gt;"",Dados_Observados_v4!M44,IF(AND(Dados_Observados_v4!L44&lt;&gt;"",Dados_Observados_v4!N44&lt;&gt;"",(2019-2017-1)&lt;=Metodologia_v4!$B$12),Dados_Observados_v4!L44+(Dados_Observados_v4!N44-Dados_Observados_v4!L44)*(2018-2017)/(2019-2017),IF(AND(Dados_Observados_v4!L44&lt;&gt;"",(2018-2017)&lt;=Metodologia_v4!$B$13),Dados_Observados_v4!L44,IF(AND(Dados_Observados_v4!N44&lt;&gt;"",(2019-2018)&lt;=Metodologia_v4!$B$14),Dados_Observados_v4!N44,""))))</f>
        <v/>
      </c>
      <c r="N44" s="9">
        <f>IF(Dados_Observados_v4!N44&lt;&gt;"",Dados_Observados_v4!N44,IF(AND(Dados_Observados_v4!M44&lt;&gt;"",Dados_Observados_v4!O44&lt;&gt;"",(2020-2018-1)&lt;=Metodologia_v4!$B$12),Dados_Observados_v4!M44+(Dados_Observados_v4!O44-Dados_Observados_v4!M44)*(2019-2018)/(2020-2018),IF(AND(Dados_Observados_v4!M44&lt;&gt;"",(2019-2018)&lt;=Metodologia_v4!$B$13),Dados_Observados_v4!M44,IF(AND(Dados_Observados_v4!O44&lt;&gt;"",(2020-2019)&lt;=Metodologia_v4!$B$14),Dados_Observados_v4!O44,""))))</f>
        <v/>
      </c>
      <c r="O44" s="9">
        <f>IF(Dados_Observados_v4!O44&lt;&gt;"",Dados_Observados_v4!O44,IF(AND(Dados_Observados_v4!N44&lt;&gt;"",Dados_Observados_v4!P44&lt;&gt;"",(2021-2019-1)&lt;=Metodologia_v4!$B$12),Dados_Observados_v4!N44+(Dados_Observados_v4!P44-Dados_Observados_v4!N44)*(2020-2019)/(2021-2019),IF(AND(Dados_Observados_v4!N44&lt;&gt;"",(2020-2019)&lt;=Metodologia_v4!$B$13),Dados_Observados_v4!N44,IF(AND(Dados_Observados_v4!P44&lt;&gt;"",(2021-2020)&lt;=Metodologia_v4!$B$14),Dados_Observados_v4!P44,""))))</f>
        <v/>
      </c>
      <c r="P44" s="9">
        <f>IF(Dados_Observados_v4!P44&lt;&gt;"",Dados_Observados_v4!P44,IF(AND(Dados_Observados_v4!O44&lt;&gt;"",Dados_Observados_v4!Q44&lt;&gt;"",(2022-2020-1)&lt;=Metodologia_v4!$B$12),Dados_Observados_v4!O44+(Dados_Observados_v4!Q44-Dados_Observados_v4!O44)*(2021-2020)/(2022-2020),IF(AND(Dados_Observados_v4!O44&lt;&gt;"",(2021-2020)&lt;=Metodologia_v4!$B$13),Dados_Observados_v4!O44,IF(AND(Dados_Observados_v4!Q44&lt;&gt;"",(2022-2021)&lt;=Metodologia_v4!$B$14),Dados_Observados_v4!Q44,""))))</f>
        <v/>
      </c>
      <c r="Q44" s="9">
        <f>IF(Dados_Observados_v4!Q44&lt;&gt;"",Dados_Observados_v4!Q44,IF(AND(Dados_Observados_v4!P44&lt;&gt;"",Dados_Observados_v4!R44&lt;&gt;"",(2023-2021-1)&lt;=Metodologia_v4!$B$12),Dados_Observados_v4!P44+(Dados_Observados_v4!R44-Dados_Observados_v4!P44)*(2022-2021)/(2023-2021),IF(AND(Dados_Observados_v4!P44&lt;&gt;"",(2022-2021)&lt;=Metodologia_v4!$B$13),Dados_Observados_v4!P44,IF(AND(Dados_Observados_v4!R44&lt;&gt;"",(2023-2022)&lt;=Metodologia_v4!$B$14),Dados_Observados_v4!R44,""))))</f>
        <v/>
      </c>
      <c r="R44" s="9">
        <f>IF(Dados_Observados_v4!R44&lt;&gt;"",Dados_Observados_v4!R44,IF(AND(Dados_Observados_v4!Q44&lt;&gt;"",Dados_Observados_v4!S44&lt;&gt;"",(2024-2022-1)&lt;=Metodologia_v4!$B$12),Dados_Observados_v4!Q44+(Dados_Observados_v4!S44-Dados_Observados_v4!Q44)*(2023-2022)/(2024-2022),IF(AND(Dados_Observados_v4!Q44&lt;&gt;"",(2023-2022)&lt;=Metodologia_v4!$B$13),Dados_Observados_v4!Q44,IF(AND(Dados_Observados_v4!S44&lt;&gt;"",(2024-2023)&lt;=Metodologia_v4!$B$14),Dados_Observados_v4!S44,""))))</f>
        <v/>
      </c>
      <c r="S44" s="9">
        <f>IF(Dados_Observados_v4!S44&lt;&gt;"",Dados_Observados_v4!S44,IF(AND(Dados_Observados_v4!R44&lt;&gt;"",Dados_Observados_v4!T44&lt;&gt;"",(2025-2023-1)&lt;=Metodologia_v4!$B$12),Dados_Observados_v4!R44+(Dados_Observados_v4!T44-Dados_Observados_v4!R44)*(2024-2023)/(2025-2023),IF(AND(Dados_Observados_v4!R44&lt;&gt;"",(2024-2023)&lt;=Metodologia_v4!$B$13),Dados_Observados_v4!R44,IF(AND(Dados_Observados_v4!T44&lt;&gt;"",(2025-2024)&lt;=Metodologia_v4!$B$14),Dados_Observados_v4!T44,""))))</f>
        <v/>
      </c>
      <c r="T44" s="9">
        <f>IF(Dados_Observados_v4!T44&lt;&gt;"",Dados_Observados_v4!T44,IF(AND(Dados_Observados_v4!S44&lt;&gt;"",(2025-2024)&lt;=Metodologia_v4!$B$13),Dados_Observados_v4!S44,""))</f>
        <v/>
      </c>
    </row>
    <row r="45">
      <c r="A45" s="5" t="inlineStr">
        <is>
          <t>LAB03</t>
        </is>
      </c>
      <c r="B45" s="5" t="inlineStr">
        <is>
          <t>6. Mercado de Trabalho</t>
        </is>
      </c>
      <c r="C45" s="5" t="inlineStr">
        <is>
          <t>Desemprego juvenil</t>
        </is>
      </c>
      <c r="D45" s="5" t="inlineStr">
        <is>
          <t>Banco Mundial/OIT</t>
        </is>
      </c>
      <c r="E45" s="5" t="inlineStr">
        <is>
          <t>SL.UEM.1524.ZS</t>
        </is>
      </c>
      <c r="F45" s="5" t="inlineStr">
        <is>
          <t>Fonte Banco Mundial API/CSV</t>
        </is>
      </c>
      <c r="G45" s="5" t="inlineStr">
        <is>
          <t>11/11</t>
        </is>
      </c>
      <c r="H45" s="5" t="n">
        <v>2025</v>
      </c>
      <c r="I45" s="5" t="inlineStr">
        <is>
          <t>Referenciado pelas regras de Metodologia_v4</t>
        </is>
      </c>
      <c r="J45" s="9">
        <f>IF(Dados_Observados_v4!J45&lt;&gt;"",Dados_Observados_v4!J45,IF(AND(Dados_Observados_v4!K45&lt;&gt;"",(2016-2015)&lt;=Metodologia_v4!$B$14),Dados_Observados_v4!K45,""))</f>
        <v/>
      </c>
      <c r="K45" s="9">
        <f>IF(Dados_Observados_v4!K45&lt;&gt;"",Dados_Observados_v4!K45,IF(AND(Dados_Observados_v4!J45&lt;&gt;"",Dados_Observados_v4!L45&lt;&gt;"",(2017-2015-1)&lt;=Metodologia_v4!$B$12),Dados_Observados_v4!J45+(Dados_Observados_v4!L45-Dados_Observados_v4!J45)*(2016-2015)/(2017-2015),IF(AND(Dados_Observados_v4!J45&lt;&gt;"",(2016-2015)&lt;=Metodologia_v4!$B$13),Dados_Observados_v4!J45,IF(AND(Dados_Observados_v4!L45&lt;&gt;"",(2017-2016)&lt;=Metodologia_v4!$B$14),Dados_Observados_v4!L45,""))))</f>
        <v/>
      </c>
      <c r="L45" s="9">
        <f>IF(Dados_Observados_v4!L45&lt;&gt;"",Dados_Observados_v4!L45,IF(AND(Dados_Observados_v4!K45&lt;&gt;"",Dados_Observados_v4!M45&lt;&gt;"",(2018-2016-1)&lt;=Metodologia_v4!$B$12),Dados_Observados_v4!K45+(Dados_Observados_v4!M45-Dados_Observados_v4!K45)*(2017-2016)/(2018-2016),IF(AND(Dados_Observados_v4!K45&lt;&gt;"",(2017-2016)&lt;=Metodologia_v4!$B$13),Dados_Observados_v4!K45,IF(AND(Dados_Observados_v4!M45&lt;&gt;"",(2018-2017)&lt;=Metodologia_v4!$B$14),Dados_Observados_v4!M45,""))))</f>
        <v/>
      </c>
      <c r="M45" s="9">
        <f>IF(Dados_Observados_v4!M45&lt;&gt;"",Dados_Observados_v4!M45,IF(AND(Dados_Observados_v4!L45&lt;&gt;"",Dados_Observados_v4!N45&lt;&gt;"",(2019-2017-1)&lt;=Metodologia_v4!$B$12),Dados_Observados_v4!L45+(Dados_Observados_v4!N45-Dados_Observados_v4!L45)*(2018-2017)/(2019-2017),IF(AND(Dados_Observados_v4!L45&lt;&gt;"",(2018-2017)&lt;=Metodologia_v4!$B$13),Dados_Observados_v4!L45,IF(AND(Dados_Observados_v4!N45&lt;&gt;"",(2019-2018)&lt;=Metodologia_v4!$B$14),Dados_Observados_v4!N45,""))))</f>
        <v/>
      </c>
      <c r="N45" s="9">
        <f>IF(Dados_Observados_v4!N45&lt;&gt;"",Dados_Observados_v4!N45,IF(AND(Dados_Observados_v4!M45&lt;&gt;"",Dados_Observados_v4!O45&lt;&gt;"",(2020-2018-1)&lt;=Metodologia_v4!$B$12),Dados_Observados_v4!M45+(Dados_Observados_v4!O45-Dados_Observados_v4!M45)*(2019-2018)/(2020-2018),IF(AND(Dados_Observados_v4!M45&lt;&gt;"",(2019-2018)&lt;=Metodologia_v4!$B$13),Dados_Observados_v4!M45,IF(AND(Dados_Observados_v4!O45&lt;&gt;"",(2020-2019)&lt;=Metodologia_v4!$B$14),Dados_Observados_v4!O45,""))))</f>
        <v/>
      </c>
      <c r="O45" s="9">
        <f>IF(Dados_Observados_v4!O45&lt;&gt;"",Dados_Observados_v4!O45,IF(AND(Dados_Observados_v4!N45&lt;&gt;"",Dados_Observados_v4!P45&lt;&gt;"",(2021-2019-1)&lt;=Metodologia_v4!$B$12),Dados_Observados_v4!N45+(Dados_Observados_v4!P45-Dados_Observados_v4!N45)*(2020-2019)/(2021-2019),IF(AND(Dados_Observados_v4!N45&lt;&gt;"",(2020-2019)&lt;=Metodologia_v4!$B$13),Dados_Observados_v4!N45,IF(AND(Dados_Observados_v4!P45&lt;&gt;"",(2021-2020)&lt;=Metodologia_v4!$B$14),Dados_Observados_v4!P45,""))))</f>
        <v/>
      </c>
      <c r="P45" s="9">
        <f>IF(Dados_Observados_v4!P45&lt;&gt;"",Dados_Observados_v4!P45,IF(AND(Dados_Observados_v4!O45&lt;&gt;"",Dados_Observados_v4!Q45&lt;&gt;"",(2022-2020-1)&lt;=Metodologia_v4!$B$12),Dados_Observados_v4!O45+(Dados_Observados_v4!Q45-Dados_Observados_v4!O45)*(2021-2020)/(2022-2020),IF(AND(Dados_Observados_v4!O45&lt;&gt;"",(2021-2020)&lt;=Metodologia_v4!$B$13),Dados_Observados_v4!O45,IF(AND(Dados_Observados_v4!Q45&lt;&gt;"",(2022-2021)&lt;=Metodologia_v4!$B$14),Dados_Observados_v4!Q45,""))))</f>
        <v/>
      </c>
      <c r="Q45" s="9">
        <f>IF(Dados_Observados_v4!Q45&lt;&gt;"",Dados_Observados_v4!Q45,IF(AND(Dados_Observados_v4!P45&lt;&gt;"",Dados_Observados_v4!R45&lt;&gt;"",(2023-2021-1)&lt;=Metodologia_v4!$B$12),Dados_Observados_v4!P45+(Dados_Observados_v4!R45-Dados_Observados_v4!P45)*(2022-2021)/(2023-2021),IF(AND(Dados_Observados_v4!P45&lt;&gt;"",(2022-2021)&lt;=Metodologia_v4!$B$13),Dados_Observados_v4!P45,IF(AND(Dados_Observados_v4!R45&lt;&gt;"",(2023-2022)&lt;=Metodologia_v4!$B$14),Dados_Observados_v4!R45,""))))</f>
        <v/>
      </c>
      <c r="R45" s="9">
        <f>IF(Dados_Observados_v4!R45&lt;&gt;"",Dados_Observados_v4!R45,IF(AND(Dados_Observados_v4!Q45&lt;&gt;"",Dados_Observados_v4!S45&lt;&gt;"",(2024-2022-1)&lt;=Metodologia_v4!$B$12),Dados_Observados_v4!Q45+(Dados_Observados_v4!S45-Dados_Observados_v4!Q45)*(2023-2022)/(2024-2022),IF(AND(Dados_Observados_v4!Q45&lt;&gt;"",(2023-2022)&lt;=Metodologia_v4!$B$13),Dados_Observados_v4!Q45,IF(AND(Dados_Observados_v4!S45&lt;&gt;"",(2024-2023)&lt;=Metodologia_v4!$B$14),Dados_Observados_v4!S45,""))))</f>
        <v/>
      </c>
      <c r="S45" s="9">
        <f>IF(Dados_Observados_v4!S45&lt;&gt;"",Dados_Observados_v4!S45,IF(AND(Dados_Observados_v4!R45&lt;&gt;"",Dados_Observados_v4!T45&lt;&gt;"",(2025-2023-1)&lt;=Metodologia_v4!$B$12),Dados_Observados_v4!R45+(Dados_Observados_v4!T45-Dados_Observados_v4!R45)*(2024-2023)/(2025-2023),IF(AND(Dados_Observados_v4!R45&lt;&gt;"",(2024-2023)&lt;=Metodologia_v4!$B$13),Dados_Observados_v4!R45,IF(AND(Dados_Observados_v4!T45&lt;&gt;"",(2025-2024)&lt;=Metodologia_v4!$B$14),Dados_Observados_v4!T45,""))))</f>
        <v/>
      </c>
      <c r="T45" s="9">
        <f>IF(Dados_Observados_v4!T45&lt;&gt;"",Dados_Observados_v4!T45,IF(AND(Dados_Observados_v4!S45&lt;&gt;"",(2025-2024)&lt;=Metodologia_v4!$B$13),Dados_Observados_v4!S45,""))</f>
        <v/>
      </c>
    </row>
    <row r="46">
      <c r="A46" s="5" t="inlineStr">
        <is>
          <t>LAB04</t>
        </is>
      </c>
      <c r="B46" s="5" t="inlineStr">
        <is>
          <t>6. Mercado de Trabalho</t>
        </is>
      </c>
      <c r="C46" s="5" t="inlineStr">
        <is>
          <t>Participação na força de trabalho</t>
        </is>
      </c>
      <c r="D46" s="5" t="inlineStr">
        <is>
          <t>Banco Mundial/OIT</t>
        </is>
      </c>
      <c r="E46" s="5" t="inlineStr">
        <is>
          <t>SL.TLF.CACT.ZS</t>
        </is>
      </c>
      <c r="F46" s="5" t="inlineStr">
        <is>
          <t>Fonte Banco Mundial API/CSV</t>
        </is>
      </c>
      <c r="G46" s="5" t="inlineStr">
        <is>
          <t>11/11</t>
        </is>
      </c>
      <c r="H46" s="5" t="n">
        <v>2025</v>
      </c>
      <c r="I46" s="5" t="inlineStr">
        <is>
          <t>Referenciado pelas regras de Metodologia_v4</t>
        </is>
      </c>
      <c r="J46" s="9">
        <f>IF(Dados_Observados_v4!J46&lt;&gt;"",Dados_Observados_v4!J46,IF(AND(Dados_Observados_v4!K46&lt;&gt;"",(2016-2015)&lt;=Metodologia_v4!$B$14),Dados_Observados_v4!K46,""))</f>
        <v/>
      </c>
      <c r="K46" s="9">
        <f>IF(Dados_Observados_v4!K46&lt;&gt;"",Dados_Observados_v4!K46,IF(AND(Dados_Observados_v4!J46&lt;&gt;"",Dados_Observados_v4!L46&lt;&gt;"",(2017-2015-1)&lt;=Metodologia_v4!$B$12),Dados_Observados_v4!J46+(Dados_Observados_v4!L46-Dados_Observados_v4!J46)*(2016-2015)/(2017-2015),IF(AND(Dados_Observados_v4!J46&lt;&gt;"",(2016-2015)&lt;=Metodologia_v4!$B$13),Dados_Observados_v4!J46,IF(AND(Dados_Observados_v4!L46&lt;&gt;"",(2017-2016)&lt;=Metodologia_v4!$B$14),Dados_Observados_v4!L46,""))))</f>
        <v/>
      </c>
      <c r="L46" s="9">
        <f>IF(Dados_Observados_v4!L46&lt;&gt;"",Dados_Observados_v4!L46,IF(AND(Dados_Observados_v4!K46&lt;&gt;"",Dados_Observados_v4!M46&lt;&gt;"",(2018-2016-1)&lt;=Metodologia_v4!$B$12),Dados_Observados_v4!K46+(Dados_Observados_v4!M46-Dados_Observados_v4!K46)*(2017-2016)/(2018-2016),IF(AND(Dados_Observados_v4!K46&lt;&gt;"",(2017-2016)&lt;=Metodologia_v4!$B$13),Dados_Observados_v4!K46,IF(AND(Dados_Observados_v4!M46&lt;&gt;"",(2018-2017)&lt;=Metodologia_v4!$B$14),Dados_Observados_v4!M46,""))))</f>
        <v/>
      </c>
      <c r="M46" s="9">
        <f>IF(Dados_Observados_v4!M46&lt;&gt;"",Dados_Observados_v4!M46,IF(AND(Dados_Observados_v4!L46&lt;&gt;"",Dados_Observados_v4!N46&lt;&gt;"",(2019-2017-1)&lt;=Metodologia_v4!$B$12),Dados_Observados_v4!L46+(Dados_Observados_v4!N46-Dados_Observados_v4!L46)*(2018-2017)/(2019-2017),IF(AND(Dados_Observados_v4!L46&lt;&gt;"",(2018-2017)&lt;=Metodologia_v4!$B$13),Dados_Observados_v4!L46,IF(AND(Dados_Observados_v4!N46&lt;&gt;"",(2019-2018)&lt;=Metodologia_v4!$B$14),Dados_Observados_v4!N46,""))))</f>
        <v/>
      </c>
      <c r="N46" s="9">
        <f>IF(Dados_Observados_v4!N46&lt;&gt;"",Dados_Observados_v4!N46,IF(AND(Dados_Observados_v4!M46&lt;&gt;"",Dados_Observados_v4!O46&lt;&gt;"",(2020-2018-1)&lt;=Metodologia_v4!$B$12),Dados_Observados_v4!M46+(Dados_Observados_v4!O46-Dados_Observados_v4!M46)*(2019-2018)/(2020-2018),IF(AND(Dados_Observados_v4!M46&lt;&gt;"",(2019-2018)&lt;=Metodologia_v4!$B$13),Dados_Observados_v4!M46,IF(AND(Dados_Observados_v4!O46&lt;&gt;"",(2020-2019)&lt;=Metodologia_v4!$B$14),Dados_Observados_v4!O46,""))))</f>
        <v/>
      </c>
      <c r="O46" s="9">
        <f>IF(Dados_Observados_v4!O46&lt;&gt;"",Dados_Observados_v4!O46,IF(AND(Dados_Observados_v4!N46&lt;&gt;"",Dados_Observados_v4!P46&lt;&gt;"",(2021-2019-1)&lt;=Metodologia_v4!$B$12),Dados_Observados_v4!N46+(Dados_Observados_v4!P46-Dados_Observados_v4!N46)*(2020-2019)/(2021-2019),IF(AND(Dados_Observados_v4!N46&lt;&gt;"",(2020-2019)&lt;=Metodologia_v4!$B$13),Dados_Observados_v4!N46,IF(AND(Dados_Observados_v4!P46&lt;&gt;"",(2021-2020)&lt;=Metodologia_v4!$B$14),Dados_Observados_v4!P46,""))))</f>
        <v/>
      </c>
      <c r="P46" s="9">
        <f>IF(Dados_Observados_v4!P46&lt;&gt;"",Dados_Observados_v4!P46,IF(AND(Dados_Observados_v4!O46&lt;&gt;"",Dados_Observados_v4!Q46&lt;&gt;"",(2022-2020-1)&lt;=Metodologia_v4!$B$12),Dados_Observados_v4!O46+(Dados_Observados_v4!Q46-Dados_Observados_v4!O46)*(2021-2020)/(2022-2020),IF(AND(Dados_Observados_v4!O46&lt;&gt;"",(2021-2020)&lt;=Metodologia_v4!$B$13),Dados_Observados_v4!O46,IF(AND(Dados_Observados_v4!Q46&lt;&gt;"",(2022-2021)&lt;=Metodologia_v4!$B$14),Dados_Observados_v4!Q46,""))))</f>
        <v/>
      </c>
      <c r="Q46" s="9">
        <f>IF(Dados_Observados_v4!Q46&lt;&gt;"",Dados_Observados_v4!Q46,IF(AND(Dados_Observados_v4!P46&lt;&gt;"",Dados_Observados_v4!R46&lt;&gt;"",(2023-2021-1)&lt;=Metodologia_v4!$B$12),Dados_Observados_v4!P46+(Dados_Observados_v4!R46-Dados_Observados_v4!P46)*(2022-2021)/(2023-2021),IF(AND(Dados_Observados_v4!P46&lt;&gt;"",(2022-2021)&lt;=Metodologia_v4!$B$13),Dados_Observados_v4!P46,IF(AND(Dados_Observados_v4!R46&lt;&gt;"",(2023-2022)&lt;=Metodologia_v4!$B$14),Dados_Observados_v4!R46,""))))</f>
        <v/>
      </c>
      <c r="R46" s="9">
        <f>IF(Dados_Observados_v4!R46&lt;&gt;"",Dados_Observados_v4!R46,IF(AND(Dados_Observados_v4!Q46&lt;&gt;"",Dados_Observados_v4!S46&lt;&gt;"",(2024-2022-1)&lt;=Metodologia_v4!$B$12),Dados_Observados_v4!Q46+(Dados_Observados_v4!S46-Dados_Observados_v4!Q46)*(2023-2022)/(2024-2022),IF(AND(Dados_Observados_v4!Q46&lt;&gt;"",(2023-2022)&lt;=Metodologia_v4!$B$13),Dados_Observados_v4!Q46,IF(AND(Dados_Observados_v4!S46&lt;&gt;"",(2024-2023)&lt;=Metodologia_v4!$B$14),Dados_Observados_v4!S46,""))))</f>
        <v/>
      </c>
      <c r="S46" s="9">
        <f>IF(Dados_Observados_v4!S46&lt;&gt;"",Dados_Observados_v4!S46,IF(AND(Dados_Observados_v4!R46&lt;&gt;"",Dados_Observados_v4!T46&lt;&gt;"",(2025-2023-1)&lt;=Metodologia_v4!$B$12),Dados_Observados_v4!R46+(Dados_Observados_v4!T46-Dados_Observados_v4!R46)*(2024-2023)/(2025-2023),IF(AND(Dados_Observados_v4!R46&lt;&gt;"",(2024-2023)&lt;=Metodologia_v4!$B$13),Dados_Observados_v4!R46,IF(AND(Dados_Observados_v4!T46&lt;&gt;"",(2025-2024)&lt;=Metodologia_v4!$B$14),Dados_Observados_v4!T46,""))))</f>
        <v/>
      </c>
      <c r="T46" s="9">
        <f>IF(Dados_Observados_v4!T46&lt;&gt;"",Dados_Observados_v4!T46,IF(AND(Dados_Observados_v4!S46&lt;&gt;"",(2025-2024)&lt;=Metodologia_v4!$B$13),Dados_Observados_v4!S46,""))</f>
        <v/>
      </c>
    </row>
    <row r="47">
      <c r="A47" s="5" t="inlineStr">
        <is>
          <t>LAB05</t>
        </is>
      </c>
      <c r="B47" s="5" t="inlineStr">
        <is>
          <t>6. Mercado de Trabalho</t>
        </is>
      </c>
      <c r="C47" s="5" t="inlineStr">
        <is>
          <t>Emprego vulnerável</t>
        </is>
      </c>
      <c r="D47" s="5" t="inlineStr">
        <is>
          <t>Banco Mundial/OIT</t>
        </is>
      </c>
      <c r="E47" s="5" t="inlineStr">
        <is>
          <t>SL.EMP.VULN.ZS</t>
        </is>
      </c>
      <c r="F47" s="5" t="inlineStr">
        <is>
          <t>Fonte Banco Mundial API/CSV</t>
        </is>
      </c>
      <c r="G47" s="5" t="inlineStr">
        <is>
          <t>11/11</t>
        </is>
      </c>
      <c r="H47" s="5" t="n">
        <v>2025</v>
      </c>
      <c r="I47" s="5" t="inlineStr">
        <is>
          <t>Referenciado pelas regras de Metodologia_v4</t>
        </is>
      </c>
      <c r="J47" s="9">
        <f>IF(Dados_Observados_v4!J47&lt;&gt;"",Dados_Observados_v4!J47,IF(AND(Dados_Observados_v4!K47&lt;&gt;"",(2016-2015)&lt;=Metodologia_v4!$B$14),Dados_Observados_v4!K47,""))</f>
        <v/>
      </c>
      <c r="K47" s="9">
        <f>IF(Dados_Observados_v4!K47&lt;&gt;"",Dados_Observados_v4!K47,IF(AND(Dados_Observados_v4!J47&lt;&gt;"",Dados_Observados_v4!L47&lt;&gt;"",(2017-2015-1)&lt;=Metodologia_v4!$B$12),Dados_Observados_v4!J47+(Dados_Observados_v4!L47-Dados_Observados_v4!J47)*(2016-2015)/(2017-2015),IF(AND(Dados_Observados_v4!J47&lt;&gt;"",(2016-2015)&lt;=Metodologia_v4!$B$13),Dados_Observados_v4!J47,IF(AND(Dados_Observados_v4!L47&lt;&gt;"",(2017-2016)&lt;=Metodologia_v4!$B$14),Dados_Observados_v4!L47,""))))</f>
        <v/>
      </c>
      <c r="L47" s="9">
        <f>IF(Dados_Observados_v4!L47&lt;&gt;"",Dados_Observados_v4!L47,IF(AND(Dados_Observados_v4!K47&lt;&gt;"",Dados_Observados_v4!M47&lt;&gt;"",(2018-2016-1)&lt;=Metodologia_v4!$B$12),Dados_Observados_v4!K47+(Dados_Observados_v4!M47-Dados_Observados_v4!K47)*(2017-2016)/(2018-2016),IF(AND(Dados_Observados_v4!K47&lt;&gt;"",(2017-2016)&lt;=Metodologia_v4!$B$13),Dados_Observados_v4!K47,IF(AND(Dados_Observados_v4!M47&lt;&gt;"",(2018-2017)&lt;=Metodologia_v4!$B$14),Dados_Observados_v4!M47,""))))</f>
        <v/>
      </c>
      <c r="M47" s="9">
        <f>IF(Dados_Observados_v4!M47&lt;&gt;"",Dados_Observados_v4!M47,IF(AND(Dados_Observados_v4!L47&lt;&gt;"",Dados_Observados_v4!N47&lt;&gt;"",(2019-2017-1)&lt;=Metodologia_v4!$B$12),Dados_Observados_v4!L47+(Dados_Observados_v4!N47-Dados_Observados_v4!L47)*(2018-2017)/(2019-2017),IF(AND(Dados_Observados_v4!L47&lt;&gt;"",(2018-2017)&lt;=Metodologia_v4!$B$13),Dados_Observados_v4!L47,IF(AND(Dados_Observados_v4!N47&lt;&gt;"",(2019-2018)&lt;=Metodologia_v4!$B$14),Dados_Observados_v4!N47,""))))</f>
        <v/>
      </c>
      <c r="N47" s="9">
        <f>IF(Dados_Observados_v4!N47&lt;&gt;"",Dados_Observados_v4!N47,IF(AND(Dados_Observados_v4!M47&lt;&gt;"",Dados_Observados_v4!O47&lt;&gt;"",(2020-2018-1)&lt;=Metodologia_v4!$B$12),Dados_Observados_v4!M47+(Dados_Observados_v4!O47-Dados_Observados_v4!M47)*(2019-2018)/(2020-2018),IF(AND(Dados_Observados_v4!M47&lt;&gt;"",(2019-2018)&lt;=Metodologia_v4!$B$13),Dados_Observados_v4!M47,IF(AND(Dados_Observados_v4!O47&lt;&gt;"",(2020-2019)&lt;=Metodologia_v4!$B$14),Dados_Observados_v4!O47,""))))</f>
        <v/>
      </c>
      <c r="O47" s="9">
        <f>IF(Dados_Observados_v4!O47&lt;&gt;"",Dados_Observados_v4!O47,IF(AND(Dados_Observados_v4!N47&lt;&gt;"",Dados_Observados_v4!P47&lt;&gt;"",(2021-2019-1)&lt;=Metodologia_v4!$B$12),Dados_Observados_v4!N47+(Dados_Observados_v4!P47-Dados_Observados_v4!N47)*(2020-2019)/(2021-2019),IF(AND(Dados_Observados_v4!N47&lt;&gt;"",(2020-2019)&lt;=Metodologia_v4!$B$13),Dados_Observados_v4!N47,IF(AND(Dados_Observados_v4!P47&lt;&gt;"",(2021-2020)&lt;=Metodologia_v4!$B$14),Dados_Observados_v4!P47,""))))</f>
        <v/>
      </c>
      <c r="P47" s="9">
        <f>IF(Dados_Observados_v4!P47&lt;&gt;"",Dados_Observados_v4!P47,IF(AND(Dados_Observados_v4!O47&lt;&gt;"",Dados_Observados_v4!Q47&lt;&gt;"",(2022-2020-1)&lt;=Metodologia_v4!$B$12),Dados_Observados_v4!O47+(Dados_Observados_v4!Q47-Dados_Observados_v4!O47)*(2021-2020)/(2022-2020),IF(AND(Dados_Observados_v4!O47&lt;&gt;"",(2021-2020)&lt;=Metodologia_v4!$B$13),Dados_Observados_v4!O47,IF(AND(Dados_Observados_v4!Q47&lt;&gt;"",(2022-2021)&lt;=Metodologia_v4!$B$14),Dados_Observados_v4!Q47,""))))</f>
        <v/>
      </c>
      <c r="Q47" s="9">
        <f>IF(Dados_Observados_v4!Q47&lt;&gt;"",Dados_Observados_v4!Q47,IF(AND(Dados_Observados_v4!P47&lt;&gt;"",Dados_Observados_v4!R47&lt;&gt;"",(2023-2021-1)&lt;=Metodologia_v4!$B$12),Dados_Observados_v4!P47+(Dados_Observados_v4!R47-Dados_Observados_v4!P47)*(2022-2021)/(2023-2021),IF(AND(Dados_Observados_v4!P47&lt;&gt;"",(2022-2021)&lt;=Metodologia_v4!$B$13),Dados_Observados_v4!P47,IF(AND(Dados_Observados_v4!R47&lt;&gt;"",(2023-2022)&lt;=Metodologia_v4!$B$14),Dados_Observados_v4!R47,""))))</f>
        <v/>
      </c>
      <c r="R47" s="9">
        <f>IF(Dados_Observados_v4!R47&lt;&gt;"",Dados_Observados_v4!R47,IF(AND(Dados_Observados_v4!Q47&lt;&gt;"",Dados_Observados_v4!S47&lt;&gt;"",(2024-2022-1)&lt;=Metodologia_v4!$B$12),Dados_Observados_v4!Q47+(Dados_Observados_v4!S47-Dados_Observados_v4!Q47)*(2023-2022)/(2024-2022),IF(AND(Dados_Observados_v4!Q47&lt;&gt;"",(2023-2022)&lt;=Metodologia_v4!$B$13),Dados_Observados_v4!Q47,IF(AND(Dados_Observados_v4!S47&lt;&gt;"",(2024-2023)&lt;=Metodologia_v4!$B$14),Dados_Observados_v4!S47,""))))</f>
        <v/>
      </c>
      <c r="S47" s="9">
        <f>IF(Dados_Observados_v4!S47&lt;&gt;"",Dados_Observados_v4!S47,IF(AND(Dados_Observados_v4!R47&lt;&gt;"",Dados_Observados_v4!T47&lt;&gt;"",(2025-2023-1)&lt;=Metodologia_v4!$B$12),Dados_Observados_v4!R47+(Dados_Observados_v4!T47-Dados_Observados_v4!R47)*(2024-2023)/(2025-2023),IF(AND(Dados_Observados_v4!R47&lt;&gt;"",(2024-2023)&lt;=Metodologia_v4!$B$13),Dados_Observados_v4!R47,IF(AND(Dados_Observados_v4!T47&lt;&gt;"",(2025-2024)&lt;=Metodologia_v4!$B$14),Dados_Observados_v4!T47,""))))</f>
        <v/>
      </c>
      <c r="T47" s="9">
        <f>IF(Dados_Observados_v4!T47&lt;&gt;"",Dados_Observados_v4!T47,IF(AND(Dados_Observados_v4!S47&lt;&gt;"",(2025-2024)&lt;=Metodologia_v4!$B$13),Dados_Observados_v4!S47,""))</f>
        <v/>
      </c>
    </row>
    <row r="48">
      <c r="A48" s="5" t="inlineStr">
        <is>
          <t>LAB06</t>
        </is>
      </c>
      <c r="B48" s="5" t="inlineStr">
        <is>
          <t>6. Mercado de Trabalho</t>
        </is>
      </c>
      <c r="C48" s="5" t="inlineStr">
        <is>
          <t>Trabalhadores assalariados</t>
        </is>
      </c>
      <c r="D48" s="5" t="inlineStr">
        <is>
          <t>Banco Mundial/OIT</t>
        </is>
      </c>
      <c r="E48" s="5" t="inlineStr">
        <is>
          <t>SL.EMP.WORK.ZS</t>
        </is>
      </c>
      <c r="F48" s="5" t="inlineStr">
        <is>
          <t>Fonte Banco Mundial API/CSV</t>
        </is>
      </c>
      <c r="G48" s="5" t="inlineStr">
        <is>
          <t>11/11</t>
        </is>
      </c>
      <c r="H48" s="5" t="n">
        <v>2025</v>
      </c>
      <c r="I48" s="5" t="inlineStr">
        <is>
          <t>Referenciado pelas regras de Metodologia_v4</t>
        </is>
      </c>
      <c r="J48" s="9">
        <f>IF(Dados_Observados_v4!J48&lt;&gt;"",Dados_Observados_v4!J48,IF(AND(Dados_Observados_v4!K48&lt;&gt;"",(2016-2015)&lt;=Metodologia_v4!$B$14),Dados_Observados_v4!K48,""))</f>
        <v/>
      </c>
      <c r="K48" s="9">
        <f>IF(Dados_Observados_v4!K48&lt;&gt;"",Dados_Observados_v4!K48,IF(AND(Dados_Observados_v4!J48&lt;&gt;"",Dados_Observados_v4!L48&lt;&gt;"",(2017-2015-1)&lt;=Metodologia_v4!$B$12),Dados_Observados_v4!J48+(Dados_Observados_v4!L48-Dados_Observados_v4!J48)*(2016-2015)/(2017-2015),IF(AND(Dados_Observados_v4!J48&lt;&gt;"",(2016-2015)&lt;=Metodologia_v4!$B$13),Dados_Observados_v4!J48,IF(AND(Dados_Observados_v4!L48&lt;&gt;"",(2017-2016)&lt;=Metodologia_v4!$B$14),Dados_Observados_v4!L48,""))))</f>
        <v/>
      </c>
      <c r="L48" s="9">
        <f>IF(Dados_Observados_v4!L48&lt;&gt;"",Dados_Observados_v4!L48,IF(AND(Dados_Observados_v4!K48&lt;&gt;"",Dados_Observados_v4!M48&lt;&gt;"",(2018-2016-1)&lt;=Metodologia_v4!$B$12),Dados_Observados_v4!K48+(Dados_Observados_v4!M48-Dados_Observados_v4!K48)*(2017-2016)/(2018-2016),IF(AND(Dados_Observados_v4!K48&lt;&gt;"",(2017-2016)&lt;=Metodologia_v4!$B$13),Dados_Observados_v4!K48,IF(AND(Dados_Observados_v4!M48&lt;&gt;"",(2018-2017)&lt;=Metodologia_v4!$B$14),Dados_Observados_v4!M48,""))))</f>
        <v/>
      </c>
      <c r="M48" s="9">
        <f>IF(Dados_Observados_v4!M48&lt;&gt;"",Dados_Observados_v4!M48,IF(AND(Dados_Observados_v4!L48&lt;&gt;"",Dados_Observados_v4!N48&lt;&gt;"",(2019-2017-1)&lt;=Metodologia_v4!$B$12),Dados_Observados_v4!L48+(Dados_Observados_v4!N48-Dados_Observados_v4!L48)*(2018-2017)/(2019-2017),IF(AND(Dados_Observados_v4!L48&lt;&gt;"",(2018-2017)&lt;=Metodologia_v4!$B$13),Dados_Observados_v4!L48,IF(AND(Dados_Observados_v4!N48&lt;&gt;"",(2019-2018)&lt;=Metodologia_v4!$B$14),Dados_Observados_v4!N48,""))))</f>
        <v/>
      </c>
      <c r="N48" s="9">
        <f>IF(Dados_Observados_v4!N48&lt;&gt;"",Dados_Observados_v4!N48,IF(AND(Dados_Observados_v4!M48&lt;&gt;"",Dados_Observados_v4!O48&lt;&gt;"",(2020-2018-1)&lt;=Metodologia_v4!$B$12),Dados_Observados_v4!M48+(Dados_Observados_v4!O48-Dados_Observados_v4!M48)*(2019-2018)/(2020-2018),IF(AND(Dados_Observados_v4!M48&lt;&gt;"",(2019-2018)&lt;=Metodologia_v4!$B$13),Dados_Observados_v4!M48,IF(AND(Dados_Observados_v4!O48&lt;&gt;"",(2020-2019)&lt;=Metodologia_v4!$B$14),Dados_Observados_v4!O48,""))))</f>
        <v/>
      </c>
      <c r="O48" s="9">
        <f>IF(Dados_Observados_v4!O48&lt;&gt;"",Dados_Observados_v4!O48,IF(AND(Dados_Observados_v4!N48&lt;&gt;"",Dados_Observados_v4!P48&lt;&gt;"",(2021-2019-1)&lt;=Metodologia_v4!$B$12),Dados_Observados_v4!N48+(Dados_Observados_v4!P48-Dados_Observados_v4!N48)*(2020-2019)/(2021-2019),IF(AND(Dados_Observados_v4!N48&lt;&gt;"",(2020-2019)&lt;=Metodologia_v4!$B$13),Dados_Observados_v4!N48,IF(AND(Dados_Observados_v4!P48&lt;&gt;"",(2021-2020)&lt;=Metodologia_v4!$B$14),Dados_Observados_v4!P48,""))))</f>
        <v/>
      </c>
      <c r="P48" s="9">
        <f>IF(Dados_Observados_v4!P48&lt;&gt;"",Dados_Observados_v4!P48,IF(AND(Dados_Observados_v4!O48&lt;&gt;"",Dados_Observados_v4!Q48&lt;&gt;"",(2022-2020-1)&lt;=Metodologia_v4!$B$12),Dados_Observados_v4!O48+(Dados_Observados_v4!Q48-Dados_Observados_v4!O48)*(2021-2020)/(2022-2020),IF(AND(Dados_Observados_v4!O48&lt;&gt;"",(2021-2020)&lt;=Metodologia_v4!$B$13),Dados_Observados_v4!O48,IF(AND(Dados_Observados_v4!Q48&lt;&gt;"",(2022-2021)&lt;=Metodologia_v4!$B$14),Dados_Observados_v4!Q48,""))))</f>
        <v/>
      </c>
      <c r="Q48" s="9">
        <f>IF(Dados_Observados_v4!Q48&lt;&gt;"",Dados_Observados_v4!Q48,IF(AND(Dados_Observados_v4!P48&lt;&gt;"",Dados_Observados_v4!R48&lt;&gt;"",(2023-2021-1)&lt;=Metodologia_v4!$B$12),Dados_Observados_v4!P48+(Dados_Observados_v4!R48-Dados_Observados_v4!P48)*(2022-2021)/(2023-2021),IF(AND(Dados_Observados_v4!P48&lt;&gt;"",(2022-2021)&lt;=Metodologia_v4!$B$13),Dados_Observados_v4!P48,IF(AND(Dados_Observados_v4!R48&lt;&gt;"",(2023-2022)&lt;=Metodologia_v4!$B$14),Dados_Observados_v4!R48,""))))</f>
        <v/>
      </c>
      <c r="R48" s="9">
        <f>IF(Dados_Observados_v4!R48&lt;&gt;"",Dados_Observados_v4!R48,IF(AND(Dados_Observados_v4!Q48&lt;&gt;"",Dados_Observados_v4!S48&lt;&gt;"",(2024-2022-1)&lt;=Metodologia_v4!$B$12),Dados_Observados_v4!Q48+(Dados_Observados_v4!S48-Dados_Observados_v4!Q48)*(2023-2022)/(2024-2022),IF(AND(Dados_Observados_v4!Q48&lt;&gt;"",(2023-2022)&lt;=Metodologia_v4!$B$13),Dados_Observados_v4!Q48,IF(AND(Dados_Observados_v4!S48&lt;&gt;"",(2024-2023)&lt;=Metodologia_v4!$B$14),Dados_Observados_v4!S48,""))))</f>
        <v/>
      </c>
      <c r="S48" s="9">
        <f>IF(Dados_Observados_v4!S48&lt;&gt;"",Dados_Observados_v4!S48,IF(AND(Dados_Observados_v4!R48&lt;&gt;"",Dados_Observados_v4!T48&lt;&gt;"",(2025-2023-1)&lt;=Metodologia_v4!$B$12),Dados_Observados_v4!R48+(Dados_Observados_v4!T48-Dados_Observados_v4!R48)*(2024-2023)/(2025-2023),IF(AND(Dados_Observados_v4!R48&lt;&gt;"",(2024-2023)&lt;=Metodologia_v4!$B$13),Dados_Observados_v4!R48,IF(AND(Dados_Observados_v4!T48&lt;&gt;"",(2025-2024)&lt;=Metodologia_v4!$B$14),Dados_Observados_v4!T48,""))))</f>
        <v/>
      </c>
      <c r="T48" s="9">
        <f>IF(Dados_Observados_v4!T48&lt;&gt;"",Dados_Observados_v4!T48,IF(AND(Dados_Observados_v4!S48&lt;&gt;"",(2025-2024)&lt;=Metodologia_v4!$B$13),Dados_Observados_v4!S48,""))</f>
        <v/>
      </c>
    </row>
    <row r="49">
      <c r="A49" s="5" t="inlineStr">
        <is>
          <t>LAB07</t>
        </is>
      </c>
      <c r="B49" s="5" t="inlineStr">
        <is>
          <t>6. Mercado de Trabalho</t>
        </is>
      </c>
      <c r="C49" s="5" t="inlineStr">
        <is>
          <t>PIB por pessoa empregada</t>
        </is>
      </c>
      <c r="D49" s="5" t="inlineStr">
        <is>
          <t>Banco Mundial/OIT</t>
        </is>
      </c>
      <c r="E49" s="5" t="inlineStr">
        <is>
          <t>SL.GDP.PCAP.EM.KD</t>
        </is>
      </c>
      <c r="F49" s="5" t="inlineStr">
        <is>
          <t>Fonte Banco Mundial API/CSV</t>
        </is>
      </c>
      <c r="G49" s="5" t="inlineStr">
        <is>
          <t>10/11</t>
        </is>
      </c>
      <c r="H49" s="5" t="n">
        <v>2024</v>
      </c>
      <c r="I49" s="5" t="inlineStr">
        <is>
          <t>Referenciado pelas regras de Metodologia_v4</t>
        </is>
      </c>
      <c r="J49" s="9">
        <f>IF(Dados_Observados_v4!J49&lt;&gt;"",Dados_Observados_v4!J49,IF(AND(Dados_Observados_v4!K49&lt;&gt;"",(2016-2015)&lt;=Metodologia_v4!$B$14),Dados_Observados_v4!K49,""))</f>
        <v/>
      </c>
      <c r="K49" s="9">
        <f>IF(Dados_Observados_v4!K49&lt;&gt;"",Dados_Observados_v4!K49,IF(AND(Dados_Observados_v4!J49&lt;&gt;"",Dados_Observados_v4!L49&lt;&gt;"",(2017-2015-1)&lt;=Metodologia_v4!$B$12),Dados_Observados_v4!J49+(Dados_Observados_v4!L49-Dados_Observados_v4!J49)*(2016-2015)/(2017-2015),IF(AND(Dados_Observados_v4!J49&lt;&gt;"",(2016-2015)&lt;=Metodologia_v4!$B$13),Dados_Observados_v4!J49,IF(AND(Dados_Observados_v4!L49&lt;&gt;"",(2017-2016)&lt;=Metodologia_v4!$B$14),Dados_Observados_v4!L49,""))))</f>
        <v/>
      </c>
      <c r="L49" s="9">
        <f>IF(Dados_Observados_v4!L49&lt;&gt;"",Dados_Observados_v4!L49,IF(AND(Dados_Observados_v4!K49&lt;&gt;"",Dados_Observados_v4!M49&lt;&gt;"",(2018-2016-1)&lt;=Metodologia_v4!$B$12),Dados_Observados_v4!K49+(Dados_Observados_v4!M49-Dados_Observados_v4!K49)*(2017-2016)/(2018-2016),IF(AND(Dados_Observados_v4!K49&lt;&gt;"",(2017-2016)&lt;=Metodologia_v4!$B$13),Dados_Observados_v4!K49,IF(AND(Dados_Observados_v4!M49&lt;&gt;"",(2018-2017)&lt;=Metodologia_v4!$B$14),Dados_Observados_v4!M49,""))))</f>
        <v/>
      </c>
      <c r="M49" s="9">
        <f>IF(Dados_Observados_v4!M49&lt;&gt;"",Dados_Observados_v4!M49,IF(AND(Dados_Observados_v4!L49&lt;&gt;"",Dados_Observados_v4!N49&lt;&gt;"",(2019-2017-1)&lt;=Metodologia_v4!$B$12),Dados_Observados_v4!L49+(Dados_Observados_v4!N49-Dados_Observados_v4!L49)*(2018-2017)/(2019-2017),IF(AND(Dados_Observados_v4!L49&lt;&gt;"",(2018-2017)&lt;=Metodologia_v4!$B$13),Dados_Observados_v4!L49,IF(AND(Dados_Observados_v4!N49&lt;&gt;"",(2019-2018)&lt;=Metodologia_v4!$B$14),Dados_Observados_v4!N49,""))))</f>
        <v/>
      </c>
      <c r="N49" s="9">
        <f>IF(Dados_Observados_v4!N49&lt;&gt;"",Dados_Observados_v4!N49,IF(AND(Dados_Observados_v4!M49&lt;&gt;"",Dados_Observados_v4!O49&lt;&gt;"",(2020-2018-1)&lt;=Metodologia_v4!$B$12),Dados_Observados_v4!M49+(Dados_Observados_v4!O49-Dados_Observados_v4!M49)*(2019-2018)/(2020-2018),IF(AND(Dados_Observados_v4!M49&lt;&gt;"",(2019-2018)&lt;=Metodologia_v4!$B$13),Dados_Observados_v4!M49,IF(AND(Dados_Observados_v4!O49&lt;&gt;"",(2020-2019)&lt;=Metodologia_v4!$B$14),Dados_Observados_v4!O49,""))))</f>
        <v/>
      </c>
      <c r="O49" s="9">
        <f>IF(Dados_Observados_v4!O49&lt;&gt;"",Dados_Observados_v4!O49,IF(AND(Dados_Observados_v4!N49&lt;&gt;"",Dados_Observados_v4!P49&lt;&gt;"",(2021-2019-1)&lt;=Metodologia_v4!$B$12),Dados_Observados_v4!N49+(Dados_Observados_v4!P49-Dados_Observados_v4!N49)*(2020-2019)/(2021-2019),IF(AND(Dados_Observados_v4!N49&lt;&gt;"",(2020-2019)&lt;=Metodologia_v4!$B$13),Dados_Observados_v4!N49,IF(AND(Dados_Observados_v4!P49&lt;&gt;"",(2021-2020)&lt;=Metodologia_v4!$B$14),Dados_Observados_v4!P49,""))))</f>
        <v/>
      </c>
      <c r="P49" s="9">
        <f>IF(Dados_Observados_v4!P49&lt;&gt;"",Dados_Observados_v4!P49,IF(AND(Dados_Observados_v4!O49&lt;&gt;"",Dados_Observados_v4!Q49&lt;&gt;"",(2022-2020-1)&lt;=Metodologia_v4!$B$12),Dados_Observados_v4!O49+(Dados_Observados_v4!Q49-Dados_Observados_v4!O49)*(2021-2020)/(2022-2020),IF(AND(Dados_Observados_v4!O49&lt;&gt;"",(2021-2020)&lt;=Metodologia_v4!$B$13),Dados_Observados_v4!O49,IF(AND(Dados_Observados_v4!Q49&lt;&gt;"",(2022-2021)&lt;=Metodologia_v4!$B$14),Dados_Observados_v4!Q49,""))))</f>
        <v/>
      </c>
      <c r="Q49" s="9">
        <f>IF(Dados_Observados_v4!Q49&lt;&gt;"",Dados_Observados_v4!Q49,IF(AND(Dados_Observados_v4!P49&lt;&gt;"",Dados_Observados_v4!R49&lt;&gt;"",(2023-2021-1)&lt;=Metodologia_v4!$B$12),Dados_Observados_v4!P49+(Dados_Observados_v4!R49-Dados_Observados_v4!P49)*(2022-2021)/(2023-2021),IF(AND(Dados_Observados_v4!P49&lt;&gt;"",(2022-2021)&lt;=Metodologia_v4!$B$13),Dados_Observados_v4!P49,IF(AND(Dados_Observados_v4!R49&lt;&gt;"",(2023-2022)&lt;=Metodologia_v4!$B$14),Dados_Observados_v4!R49,""))))</f>
        <v/>
      </c>
      <c r="R49" s="9">
        <f>IF(Dados_Observados_v4!R49&lt;&gt;"",Dados_Observados_v4!R49,IF(AND(Dados_Observados_v4!Q49&lt;&gt;"",Dados_Observados_v4!S49&lt;&gt;"",(2024-2022-1)&lt;=Metodologia_v4!$B$12),Dados_Observados_v4!Q49+(Dados_Observados_v4!S49-Dados_Observados_v4!Q49)*(2023-2022)/(2024-2022),IF(AND(Dados_Observados_v4!Q49&lt;&gt;"",(2023-2022)&lt;=Metodologia_v4!$B$13),Dados_Observados_v4!Q49,IF(AND(Dados_Observados_v4!S49&lt;&gt;"",(2024-2023)&lt;=Metodologia_v4!$B$14),Dados_Observados_v4!S49,""))))</f>
        <v/>
      </c>
      <c r="S49" s="9">
        <f>IF(Dados_Observados_v4!S49&lt;&gt;"",Dados_Observados_v4!S49,IF(AND(Dados_Observados_v4!R49&lt;&gt;"",(2024-2023)&lt;=Metodologia_v4!$B$13),Dados_Observados_v4!R49,""))</f>
        <v/>
      </c>
      <c r="T49" s="9">
        <f>IF(Dados_Observados_v4!T49&lt;&gt;"",Dados_Observados_v4!T49,IF(AND(Dados_Observados_v4!S49&lt;&gt;"",(2025-2024)&lt;=Metodologia_v4!$B$13),Dados_Observados_v4!S49,""))</f>
        <v/>
      </c>
    </row>
    <row r="50">
      <c r="A50" s="5" t="inlineStr">
        <is>
          <t>LAB08</t>
        </is>
      </c>
      <c r="B50" s="5" t="inlineStr">
        <is>
          <t>6. Mercado de Trabalho</t>
        </is>
      </c>
      <c r="C50" s="5" t="inlineStr">
        <is>
          <t>Emprego informal</t>
        </is>
      </c>
      <c r="D50" s="5" t="inlineStr">
        <is>
          <t>INE / ficheiro base</t>
        </is>
      </c>
      <c r="E50" s="5" t="inlineStr"/>
      <c r="F50" s="5" t="inlineStr">
        <is>
          <t>Série observada do ficheiro base</t>
        </is>
      </c>
      <c r="G50" s="5" t="inlineStr">
        <is>
          <t>7/11</t>
        </is>
      </c>
      <c r="H50" s="5" t="n">
        <v>2025</v>
      </c>
      <c r="I50" s="5" t="inlineStr">
        <is>
          <t>Referenciado pelas regras de Metodologia_v4</t>
        </is>
      </c>
      <c r="J50" s="9">
        <f>IF(Dados_Observados_v4!J50&lt;&gt;"",Dados_Observados_v4!J50,IF(AND(Dados_Observados_v4!N50&lt;&gt;"",(2019-2015)&lt;=Metodologia_v4!$B$14),Dados_Observados_v4!N50,""))</f>
        <v/>
      </c>
      <c r="K50" s="9">
        <f>IF(Dados_Observados_v4!K50&lt;&gt;"",Dados_Observados_v4!K50,IF(AND(Dados_Observados_v4!N50&lt;&gt;"",(2019-2016)&lt;=Metodologia_v4!$B$14),Dados_Observados_v4!N50,""))</f>
        <v/>
      </c>
      <c r="L50" s="9">
        <f>IF(Dados_Observados_v4!L50&lt;&gt;"",Dados_Observados_v4!L50,IF(AND(Dados_Observados_v4!N50&lt;&gt;"",(2019-2017)&lt;=Metodologia_v4!$B$14),Dados_Observados_v4!N50,""))</f>
        <v/>
      </c>
      <c r="M50" s="9">
        <f>IF(Dados_Observados_v4!M50&lt;&gt;"",Dados_Observados_v4!M50,IF(AND(Dados_Observados_v4!N50&lt;&gt;"",(2019-2018)&lt;=Metodologia_v4!$B$14),Dados_Observados_v4!N50,""))</f>
        <v/>
      </c>
      <c r="N50" s="9">
        <f>IF(Dados_Observados_v4!N50&lt;&gt;"",Dados_Observados_v4!N50,IF(AND(Dados_Observados_v4!O50&lt;&gt;"",(2020-2019)&lt;=Metodologia_v4!$B$14),Dados_Observados_v4!O50,""))</f>
        <v/>
      </c>
      <c r="O50" s="9">
        <f>IF(Dados_Observados_v4!O50&lt;&gt;"",Dados_Observados_v4!O50,IF(AND(Dados_Observados_v4!N50&lt;&gt;"",Dados_Observados_v4!P50&lt;&gt;"",(2021-2019-1)&lt;=Metodologia_v4!$B$12),Dados_Observados_v4!N50+(Dados_Observados_v4!P50-Dados_Observados_v4!N50)*(2020-2019)/(2021-2019),IF(AND(Dados_Observados_v4!N50&lt;&gt;"",(2020-2019)&lt;=Metodologia_v4!$B$13),Dados_Observados_v4!N50,IF(AND(Dados_Observados_v4!P50&lt;&gt;"",(2021-2020)&lt;=Metodologia_v4!$B$14),Dados_Observados_v4!P50,""))))</f>
        <v/>
      </c>
      <c r="P50" s="9">
        <f>IF(Dados_Observados_v4!P50&lt;&gt;"",Dados_Observados_v4!P50,IF(AND(Dados_Observados_v4!O50&lt;&gt;"",Dados_Observados_v4!Q50&lt;&gt;"",(2022-2020-1)&lt;=Metodologia_v4!$B$12),Dados_Observados_v4!O50+(Dados_Observados_v4!Q50-Dados_Observados_v4!O50)*(2021-2020)/(2022-2020),IF(AND(Dados_Observados_v4!O50&lt;&gt;"",(2021-2020)&lt;=Metodologia_v4!$B$13),Dados_Observados_v4!O50,IF(AND(Dados_Observados_v4!Q50&lt;&gt;"",(2022-2021)&lt;=Metodologia_v4!$B$14),Dados_Observados_v4!Q50,""))))</f>
        <v/>
      </c>
      <c r="Q50" s="9">
        <f>IF(Dados_Observados_v4!Q50&lt;&gt;"",Dados_Observados_v4!Q50,IF(AND(Dados_Observados_v4!P50&lt;&gt;"",Dados_Observados_v4!R50&lt;&gt;"",(2023-2021-1)&lt;=Metodologia_v4!$B$12),Dados_Observados_v4!P50+(Dados_Observados_v4!R50-Dados_Observados_v4!P50)*(2022-2021)/(2023-2021),IF(AND(Dados_Observados_v4!P50&lt;&gt;"",(2022-2021)&lt;=Metodologia_v4!$B$13),Dados_Observados_v4!P50,IF(AND(Dados_Observados_v4!R50&lt;&gt;"",(2023-2022)&lt;=Metodologia_v4!$B$14),Dados_Observados_v4!R50,""))))</f>
        <v/>
      </c>
      <c r="R50" s="9">
        <f>IF(Dados_Observados_v4!R50&lt;&gt;"",Dados_Observados_v4!R50,IF(AND(Dados_Observados_v4!Q50&lt;&gt;"",Dados_Observados_v4!S50&lt;&gt;"",(2024-2022-1)&lt;=Metodologia_v4!$B$12),Dados_Observados_v4!Q50+(Dados_Observados_v4!S50-Dados_Observados_v4!Q50)*(2023-2022)/(2024-2022),IF(AND(Dados_Observados_v4!Q50&lt;&gt;"",(2023-2022)&lt;=Metodologia_v4!$B$13),Dados_Observados_v4!Q50,IF(AND(Dados_Observados_v4!S50&lt;&gt;"",(2024-2023)&lt;=Metodologia_v4!$B$14),Dados_Observados_v4!S50,""))))</f>
        <v/>
      </c>
      <c r="S50" s="9">
        <f>IF(Dados_Observados_v4!S50&lt;&gt;"",Dados_Observados_v4!S50,IF(AND(Dados_Observados_v4!R50&lt;&gt;"",Dados_Observados_v4!T50&lt;&gt;"",(2025-2023-1)&lt;=Metodologia_v4!$B$12),Dados_Observados_v4!R50+(Dados_Observados_v4!T50-Dados_Observados_v4!R50)*(2024-2023)/(2025-2023),IF(AND(Dados_Observados_v4!R50&lt;&gt;"",(2024-2023)&lt;=Metodologia_v4!$B$13),Dados_Observados_v4!R50,IF(AND(Dados_Observados_v4!T50&lt;&gt;"",(2025-2024)&lt;=Metodologia_v4!$B$14),Dados_Observados_v4!T50,""))))</f>
        <v/>
      </c>
      <c r="T50" s="9">
        <f>IF(Dados_Observados_v4!T50&lt;&gt;"",Dados_Observados_v4!T50,IF(AND(Dados_Observados_v4!S50&lt;&gt;"",(2025-2024)&lt;=Metodologia_v4!$B$13),Dados_Observados_v4!S50,""))</f>
        <v/>
      </c>
    </row>
    <row r="51">
      <c r="A51" s="5" t="inlineStr">
        <is>
          <t>LAB09</t>
        </is>
      </c>
      <c r="B51" s="5" t="inlineStr">
        <is>
          <t>6. Mercado de Trabalho</t>
        </is>
      </c>
      <c r="C51" s="5" t="inlineStr">
        <is>
          <t>Taxa de formalização</t>
        </is>
      </c>
      <c r="D51" s="5" t="inlineStr">
        <is>
          <t>INSS / ficheiro base</t>
        </is>
      </c>
      <c r="E51" s="5" t="inlineStr"/>
      <c r="F51" s="5" t="inlineStr">
        <is>
          <t>Série observada do ficheiro base</t>
        </is>
      </c>
      <c r="G51" s="5" t="inlineStr">
        <is>
          <t>7/11</t>
        </is>
      </c>
      <c r="H51" s="5" t="n">
        <v>2025</v>
      </c>
      <c r="I51" s="5" t="inlineStr">
        <is>
          <t>Referenciado pelas regras de Metodologia_v4</t>
        </is>
      </c>
      <c r="J51" s="9">
        <f>IF(Dados_Observados_v4!J51&lt;&gt;"",Dados_Observados_v4!J51,IF(AND(Dados_Observados_v4!N51&lt;&gt;"",(2019-2015)&lt;=Metodologia_v4!$B$14),Dados_Observados_v4!N51,""))</f>
        <v/>
      </c>
      <c r="K51" s="9">
        <f>IF(Dados_Observados_v4!K51&lt;&gt;"",Dados_Observados_v4!K51,IF(AND(Dados_Observados_v4!N51&lt;&gt;"",(2019-2016)&lt;=Metodologia_v4!$B$14),Dados_Observados_v4!N51,""))</f>
        <v/>
      </c>
      <c r="L51" s="9">
        <f>IF(Dados_Observados_v4!L51&lt;&gt;"",Dados_Observados_v4!L51,IF(AND(Dados_Observados_v4!N51&lt;&gt;"",(2019-2017)&lt;=Metodologia_v4!$B$14),Dados_Observados_v4!N51,""))</f>
        <v/>
      </c>
      <c r="M51" s="9">
        <f>IF(Dados_Observados_v4!M51&lt;&gt;"",Dados_Observados_v4!M51,IF(AND(Dados_Observados_v4!N51&lt;&gt;"",(2019-2018)&lt;=Metodologia_v4!$B$14),Dados_Observados_v4!N51,""))</f>
        <v/>
      </c>
      <c r="N51" s="9">
        <f>IF(Dados_Observados_v4!N51&lt;&gt;"",Dados_Observados_v4!N51,IF(AND(Dados_Observados_v4!O51&lt;&gt;"",(2020-2019)&lt;=Metodologia_v4!$B$14),Dados_Observados_v4!O51,""))</f>
        <v/>
      </c>
      <c r="O51" s="9">
        <f>IF(Dados_Observados_v4!O51&lt;&gt;"",Dados_Observados_v4!O51,IF(AND(Dados_Observados_v4!N51&lt;&gt;"",Dados_Observados_v4!P51&lt;&gt;"",(2021-2019-1)&lt;=Metodologia_v4!$B$12),Dados_Observados_v4!N51+(Dados_Observados_v4!P51-Dados_Observados_v4!N51)*(2020-2019)/(2021-2019),IF(AND(Dados_Observados_v4!N51&lt;&gt;"",(2020-2019)&lt;=Metodologia_v4!$B$13),Dados_Observados_v4!N51,IF(AND(Dados_Observados_v4!P51&lt;&gt;"",(2021-2020)&lt;=Metodologia_v4!$B$14),Dados_Observados_v4!P51,""))))</f>
        <v/>
      </c>
      <c r="P51" s="9">
        <f>IF(Dados_Observados_v4!P51&lt;&gt;"",Dados_Observados_v4!P51,IF(AND(Dados_Observados_v4!O51&lt;&gt;"",Dados_Observados_v4!Q51&lt;&gt;"",(2022-2020-1)&lt;=Metodologia_v4!$B$12),Dados_Observados_v4!O51+(Dados_Observados_v4!Q51-Dados_Observados_v4!O51)*(2021-2020)/(2022-2020),IF(AND(Dados_Observados_v4!O51&lt;&gt;"",(2021-2020)&lt;=Metodologia_v4!$B$13),Dados_Observados_v4!O51,IF(AND(Dados_Observados_v4!Q51&lt;&gt;"",(2022-2021)&lt;=Metodologia_v4!$B$14),Dados_Observados_v4!Q51,""))))</f>
        <v/>
      </c>
      <c r="Q51" s="9">
        <f>IF(Dados_Observados_v4!Q51&lt;&gt;"",Dados_Observados_v4!Q51,IF(AND(Dados_Observados_v4!P51&lt;&gt;"",Dados_Observados_v4!R51&lt;&gt;"",(2023-2021-1)&lt;=Metodologia_v4!$B$12),Dados_Observados_v4!P51+(Dados_Observados_v4!R51-Dados_Observados_v4!P51)*(2022-2021)/(2023-2021),IF(AND(Dados_Observados_v4!P51&lt;&gt;"",(2022-2021)&lt;=Metodologia_v4!$B$13),Dados_Observados_v4!P51,IF(AND(Dados_Observados_v4!R51&lt;&gt;"",(2023-2022)&lt;=Metodologia_v4!$B$14),Dados_Observados_v4!R51,""))))</f>
        <v/>
      </c>
      <c r="R51" s="9">
        <f>IF(Dados_Observados_v4!R51&lt;&gt;"",Dados_Observados_v4!R51,IF(AND(Dados_Observados_v4!Q51&lt;&gt;"",Dados_Observados_v4!S51&lt;&gt;"",(2024-2022-1)&lt;=Metodologia_v4!$B$12),Dados_Observados_v4!Q51+(Dados_Observados_v4!S51-Dados_Observados_v4!Q51)*(2023-2022)/(2024-2022),IF(AND(Dados_Observados_v4!Q51&lt;&gt;"",(2023-2022)&lt;=Metodologia_v4!$B$13),Dados_Observados_v4!Q51,IF(AND(Dados_Observados_v4!S51&lt;&gt;"",(2024-2023)&lt;=Metodologia_v4!$B$14),Dados_Observados_v4!S51,""))))</f>
        <v/>
      </c>
      <c r="S51" s="9">
        <f>IF(Dados_Observados_v4!S51&lt;&gt;"",Dados_Observados_v4!S51,IF(AND(Dados_Observados_v4!R51&lt;&gt;"",Dados_Observados_v4!T51&lt;&gt;"",(2025-2023-1)&lt;=Metodologia_v4!$B$12),Dados_Observados_v4!R51+(Dados_Observados_v4!T51-Dados_Observados_v4!R51)*(2024-2023)/(2025-2023),IF(AND(Dados_Observados_v4!R51&lt;&gt;"",(2024-2023)&lt;=Metodologia_v4!$B$13),Dados_Observados_v4!R51,IF(AND(Dados_Observados_v4!T51&lt;&gt;"",(2025-2024)&lt;=Metodologia_v4!$B$14),Dados_Observados_v4!T51,""))))</f>
        <v/>
      </c>
      <c r="T51" s="9">
        <f>IF(Dados_Observados_v4!T51&lt;&gt;"",Dados_Observados_v4!T51,IF(AND(Dados_Observados_v4!S51&lt;&gt;"",(2025-2024)&lt;=Metodologia_v4!$B$13),Dados_Observados_v4!S51,""))</f>
        <v/>
      </c>
    </row>
    <row r="52">
      <c r="A52" s="5" t="inlineStr">
        <is>
          <t>SAU01</t>
        </is>
      </c>
      <c r="B52" s="5" t="inlineStr">
        <is>
          <t>7. Segurança Alimentar e Saúde</t>
        </is>
      </c>
      <c r="C52" s="5" t="inlineStr">
        <is>
          <t>Prevalência de subalimentação</t>
        </is>
      </c>
      <c r="D52" s="5" t="inlineStr">
        <is>
          <t>Banco Mundial/FAO</t>
        </is>
      </c>
      <c r="E52" s="5" t="inlineStr">
        <is>
          <t>SN.ITK.DEFC.ZS</t>
        </is>
      </c>
      <c r="F52" s="5" t="inlineStr">
        <is>
          <t>Fonte Banco Mundial API/CSV</t>
        </is>
      </c>
      <c r="G52" s="5" t="inlineStr">
        <is>
          <t>9/11</t>
        </is>
      </c>
      <c r="H52" s="5" t="n">
        <v>2023</v>
      </c>
      <c r="I52" s="5" t="inlineStr">
        <is>
          <t>Referenciado pelas regras de Metodologia_v4</t>
        </is>
      </c>
      <c r="J52" s="9">
        <f>IF(Dados_Observados_v4!J52&lt;&gt;"",Dados_Observados_v4!J52,IF(AND(Dados_Observados_v4!K52&lt;&gt;"",(2016-2015)&lt;=Metodologia_v4!$B$14),Dados_Observados_v4!K52,""))</f>
        <v/>
      </c>
      <c r="K52" s="9">
        <f>IF(Dados_Observados_v4!K52&lt;&gt;"",Dados_Observados_v4!K52,IF(AND(Dados_Observados_v4!J52&lt;&gt;"",Dados_Observados_v4!L52&lt;&gt;"",(2017-2015-1)&lt;=Metodologia_v4!$B$12),Dados_Observados_v4!J52+(Dados_Observados_v4!L52-Dados_Observados_v4!J52)*(2016-2015)/(2017-2015),IF(AND(Dados_Observados_v4!J52&lt;&gt;"",(2016-2015)&lt;=Metodologia_v4!$B$13),Dados_Observados_v4!J52,IF(AND(Dados_Observados_v4!L52&lt;&gt;"",(2017-2016)&lt;=Metodologia_v4!$B$14),Dados_Observados_v4!L52,""))))</f>
        <v/>
      </c>
      <c r="L52" s="9">
        <f>IF(Dados_Observados_v4!L52&lt;&gt;"",Dados_Observados_v4!L52,IF(AND(Dados_Observados_v4!K52&lt;&gt;"",Dados_Observados_v4!M52&lt;&gt;"",(2018-2016-1)&lt;=Metodologia_v4!$B$12),Dados_Observados_v4!K52+(Dados_Observados_v4!M52-Dados_Observados_v4!K52)*(2017-2016)/(2018-2016),IF(AND(Dados_Observados_v4!K52&lt;&gt;"",(2017-2016)&lt;=Metodologia_v4!$B$13),Dados_Observados_v4!K52,IF(AND(Dados_Observados_v4!M52&lt;&gt;"",(2018-2017)&lt;=Metodologia_v4!$B$14),Dados_Observados_v4!M52,""))))</f>
        <v/>
      </c>
      <c r="M52" s="9">
        <f>IF(Dados_Observados_v4!M52&lt;&gt;"",Dados_Observados_v4!M52,IF(AND(Dados_Observados_v4!L52&lt;&gt;"",Dados_Observados_v4!N52&lt;&gt;"",(2019-2017-1)&lt;=Metodologia_v4!$B$12),Dados_Observados_v4!L52+(Dados_Observados_v4!N52-Dados_Observados_v4!L52)*(2018-2017)/(2019-2017),IF(AND(Dados_Observados_v4!L52&lt;&gt;"",(2018-2017)&lt;=Metodologia_v4!$B$13),Dados_Observados_v4!L52,IF(AND(Dados_Observados_v4!N52&lt;&gt;"",(2019-2018)&lt;=Metodologia_v4!$B$14),Dados_Observados_v4!N52,""))))</f>
        <v/>
      </c>
      <c r="N52" s="9">
        <f>IF(Dados_Observados_v4!N52&lt;&gt;"",Dados_Observados_v4!N52,IF(AND(Dados_Observados_v4!M52&lt;&gt;"",Dados_Observados_v4!O52&lt;&gt;"",(2020-2018-1)&lt;=Metodologia_v4!$B$12),Dados_Observados_v4!M52+(Dados_Observados_v4!O52-Dados_Observados_v4!M52)*(2019-2018)/(2020-2018),IF(AND(Dados_Observados_v4!M52&lt;&gt;"",(2019-2018)&lt;=Metodologia_v4!$B$13),Dados_Observados_v4!M52,IF(AND(Dados_Observados_v4!O52&lt;&gt;"",(2020-2019)&lt;=Metodologia_v4!$B$14),Dados_Observados_v4!O52,""))))</f>
        <v/>
      </c>
      <c r="O52" s="9">
        <f>IF(Dados_Observados_v4!O52&lt;&gt;"",Dados_Observados_v4!O52,IF(AND(Dados_Observados_v4!N52&lt;&gt;"",Dados_Observados_v4!P52&lt;&gt;"",(2021-2019-1)&lt;=Metodologia_v4!$B$12),Dados_Observados_v4!N52+(Dados_Observados_v4!P52-Dados_Observados_v4!N52)*(2020-2019)/(2021-2019),IF(AND(Dados_Observados_v4!N52&lt;&gt;"",(2020-2019)&lt;=Metodologia_v4!$B$13),Dados_Observados_v4!N52,IF(AND(Dados_Observados_v4!P52&lt;&gt;"",(2021-2020)&lt;=Metodologia_v4!$B$14),Dados_Observados_v4!P52,""))))</f>
        <v/>
      </c>
      <c r="P52" s="9">
        <f>IF(Dados_Observados_v4!P52&lt;&gt;"",Dados_Observados_v4!P52,IF(AND(Dados_Observados_v4!O52&lt;&gt;"",Dados_Observados_v4!Q52&lt;&gt;"",(2022-2020-1)&lt;=Metodologia_v4!$B$12),Dados_Observados_v4!O52+(Dados_Observados_v4!Q52-Dados_Observados_v4!O52)*(2021-2020)/(2022-2020),IF(AND(Dados_Observados_v4!O52&lt;&gt;"",(2021-2020)&lt;=Metodologia_v4!$B$13),Dados_Observados_v4!O52,IF(AND(Dados_Observados_v4!Q52&lt;&gt;"",(2022-2021)&lt;=Metodologia_v4!$B$14),Dados_Observados_v4!Q52,""))))</f>
        <v/>
      </c>
      <c r="Q52" s="9">
        <f>IF(Dados_Observados_v4!Q52&lt;&gt;"",Dados_Observados_v4!Q52,IF(AND(Dados_Observados_v4!P52&lt;&gt;"",Dados_Observados_v4!R52&lt;&gt;"",(2023-2021-1)&lt;=Metodologia_v4!$B$12),Dados_Observados_v4!P52+(Dados_Observados_v4!R52-Dados_Observados_v4!P52)*(2022-2021)/(2023-2021),IF(AND(Dados_Observados_v4!P52&lt;&gt;"",(2022-2021)&lt;=Metodologia_v4!$B$13),Dados_Observados_v4!P52,IF(AND(Dados_Observados_v4!R52&lt;&gt;"",(2023-2022)&lt;=Metodologia_v4!$B$14),Dados_Observados_v4!R52,""))))</f>
        <v/>
      </c>
      <c r="R52" s="9">
        <f>IF(Dados_Observados_v4!R52&lt;&gt;"",Dados_Observados_v4!R52,IF(AND(Dados_Observados_v4!Q52&lt;&gt;"",(2023-2022)&lt;=Metodologia_v4!$B$13),Dados_Observados_v4!Q52,""))</f>
        <v/>
      </c>
      <c r="S52" s="9">
        <f>IF(Dados_Observados_v4!S52&lt;&gt;"",Dados_Observados_v4!S52,IF(AND(Dados_Observados_v4!R52&lt;&gt;"",(2024-2023)&lt;=Metodologia_v4!$B$13),Dados_Observados_v4!R52,""))</f>
        <v/>
      </c>
      <c r="T52" s="9">
        <f>IF(Dados_Observados_v4!T52&lt;&gt;"",Dados_Observados_v4!T52,IF(AND(Dados_Observados_v4!R52&lt;&gt;"",(2025-2023)&lt;=Metodologia_v4!$B$13),Dados_Observados_v4!R52,""))</f>
        <v/>
      </c>
    </row>
    <row r="53">
      <c r="A53" s="5" t="inlineStr">
        <is>
          <t>SAU02</t>
        </is>
      </c>
      <c r="B53" s="5" t="inlineStr">
        <is>
          <t>7. Segurança Alimentar e Saúde</t>
        </is>
      </c>
      <c r="C53" s="5" t="inlineStr">
        <is>
          <t>Insegurança alimentar moderada ou severa</t>
        </is>
      </c>
      <c r="D53" s="5" t="inlineStr">
        <is>
          <t>Banco Mundial/FAO</t>
        </is>
      </c>
      <c r="E53" s="5" t="inlineStr">
        <is>
          <t>SN.ITK.MSFI.ZS</t>
        </is>
      </c>
      <c r="F53" s="5" t="inlineStr">
        <is>
          <t>Fonte Banco Mundial API/CSV</t>
        </is>
      </c>
      <c r="G53" s="5" t="inlineStr">
        <is>
          <t>3/11</t>
        </is>
      </c>
      <c r="H53" s="5" t="n">
        <v>2021</v>
      </c>
      <c r="I53" s="5" t="inlineStr">
        <is>
          <t>Referenciado pelas regras de Metodologia_v4</t>
        </is>
      </c>
      <c r="J53" s="9">
        <f>IF(Dados_Observados_v4!J53&lt;&gt;"",Dados_Observados_v4!J53,IF(AND(Dados_Observados_v4!N53&lt;&gt;"",(2019-2015)&lt;=Metodologia_v4!$B$14),Dados_Observados_v4!N53,""))</f>
        <v/>
      </c>
      <c r="K53" s="9">
        <f>IF(Dados_Observados_v4!K53&lt;&gt;"",Dados_Observados_v4!K53,IF(AND(Dados_Observados_v4!N53&lt;&gt;"",(2019-2016)&lt;=Metodologia_v4!$B$14),Dados_Observados_v4!N53,""))</f>
        <v/>
      </c>
      <c r="L53" s="9">
        <f>IF(Dados_Observados_v4!L53&lt;&gt;"",Dados_Observados_v4!L53,IF(AND(Dados_Observados_v4!N53&lt;&gt;"",(2019-2017)&lt;=Metodologia_v4!$B$14),Dados_Observados_v4!N53,""))</f>
        <v/>
      </c>
      <c r="M53" s="9">
        <f>IF(Dados_Observados_v4!M53&lt;&gt;"",Dados_Observados_v4!M53,IF(AND(Dados_Observados_v4!N53&lt;&gt;"",(2019-2018)&lt;=Metodologia_v4!$B$14),Dados_Observados_v4!N53,""))</f>
        <v/>
      </c>
      <c r="N53" s="9">
        <f>IF(Dados_Observados_v4!N53&lt;&gt;"",Dados_Observados_v4!N53,IF(AND(Dados_Observados_v4!O53&lt;&gt;"",(2020-2019)&lt;=Metodologia_v4!$B$14),Dados_Observados_v4!O53,""))</f>
        <v/>
      </c>
      <c r="O53" s="9">
        <f>IF(Dados_Observados_v4!O53&lt;&gt;"",Dados_Observados_v4!O53,IF(AND(Dados_Observados_v4!N53&lt;&gt;"",Dados_Observados_v4!P53&lt;&gt;"",(2021-2019-1)&lt;=Metodologia_v4!$B$12),Dados_Observados_v4!N53+(Dados_Observados_v4!P53-Dados_Observados_v4!N53)*(2020-2019)/(2021-2019),IF(AND(Dados_Observados_v4!N53&lt;&gt;"",(2020-2019)&lt;=Metodologia_v4!$B$13),Dados_Observados_v4!N53,IF(AND(Dados_Observados_v4!P53&lt;&gt;"",(2021-2020)&lt;=Metodologia_v4!$B$14),Dados_Observados_v4!P53,""))))</f>
        <v/>
      </c>
      <c r="P53" s="9">
        <f>IF(Dados_Observados_v4!P53&lt;&gt;"",Dados_Observados_v4!P53,IF(AND(Dados_Observados_v4!O53&lt;&gt;"",(2021-2020)&lt;=Metodologia_v4!$B$13),Dados_Observados_v4!O53,""))</f>
        <v/>
      </c>
      <c r="Q53" s="9">
        <f>IF(Dados_Observados_v4!Q53&lt;&gt;"",Dados_Observados_v4!Q53,IF(AND(Dados_Observados_v4!P53&lt;&gt;"",(2022-2021)&lt;=Metodologia_v4!$B$13),Dados_Observados_v4!P53,""))</f>
        <v/>
      </c>
      <c r="R53" s="9">
        <f>IF(Dados_Observados_v4!R53&lt;&gt;"",Dados_Observados_v4!R53,IF(AND(Dados_Observados_v4!P53&lt;&gt;"",(2023-2021)&lt;=Metodologia_v4!$B$13),Dados_Observados_v4!P53,""))</f>
        <v/>
      </c>
      <c r="S53" s="9">
        <f>IF(Dados_Observados_v4!S53&lt;&gt;"",Dados_Observados_v4!S53,IF(AND(Dados_Observados_v4!P53&lt;&gt;"",(2024-2021)&lt;=Metodologia_v4!$B$13),Dados_Observados_v4!P53,""))</f>
        <v/>
      </c>
      <c r="T53" s="9">
        <f>IF(Dados_Observados_v4!T53&lt;&gt;"",Dados_Observados_v4!T53,IF(AND(Dados_Observados_v4!P53&lt;&gt;"",(2025-2021)&lt;=Metodologia_v4!$B$13),Dados_Observados_v4!P53,""))</f>
        <v/>
      </c>
    </row>
    <row r="54">
      <c r="A54" s="5" t="inlineStr">
        <is>
          <t>SAU03</t>
        </is>
      </c>
      <c r="B54" s="5" t="inlineStr">
        <is>
          <t>7. Segurança Alimentar e Saúde</t>
        </is>
      </c>
      <c r="C54" s="5" t="inlineStr">
        <is>
          <t>Mortalidade materna</t>
        </is>
      </c>
      <c r="D54" s="5" t="inlineStr">
        <is>
          <t>Banco Mundial/OMS</t>
        </is>
      </c>
      <c r="E54" s="5" t="inlineStr">
        <is>
          <t>SH.STA.MMRT</t>
        </is>
      </c>
      <c r="F54" s="5" t="inlineStr">
        <is>
          <t>Fonte Banco Mundial API/CSV</t>
        </is>
      </c>
      <c r="G54" s="5" t="inlineStr">
        <is>
          <t>9/11</t>
        </is>
      </c>
      <c r="H54" s="5" t="n">
        <v>2023</v>
      </c>
      <c r="I54" s="5" t="inlineStr">
        <is>
          <t>Referenciado pelas regras de Metodologia_v4</t>
        </is>
      </c>
      <c r="J54" s="9">
        <f>IF(Dados_Observados_v4!J54&lt;&gt;"",Dados_Observados_v4!J54,IF(AND(Dados_Observados_v4!K54&lt;&gt;"",(2016-2015)&lt;=Metodologia_v4!$B$14),Dados_Observados_v4!K54,""))</f>
        <v/>
      </c>
      <c r="K54" s="9">
        <f>IF(Dados_Observados_v4!K54&lt;&gt;"",Dados_Observados_v4!K54,IF(AND(Dados_Observados_v4!J54&lt;&gt;"",Dados_Observados_v4!L54&lt;&gt;"",(2017-2015-1)&lt;=Metodologia_v4!$B$12),Dados_Observados_v4!J54+(Dados_Observados_v4!L54-Dados_Observados_v4!J54)*(2016-2015)/(2017-2015),IF(AND(Dados_Observados_v4!J54&lt;&gt;"",(2016-2015)&lt;=Metodologia_v4!$B$13),Dados_Observados_v4!J54,IF(AND(Dados_Observados_v4!L54&lt;&gt;"",(2017-2016)&lt;=Metodologia_v4!$B$14),Dados_Observados_v4!L54,""))))</f>
        <v/>
      </c>
      <c r="L54" s="9">
        <f>IF(Dados_Observados_v4!L54&lt;&gt;"",Dados_Observados_v4!L54,IF(AND(Dados_Observados_v4!K54&lt;&gt;"",Dados_Observados_v4!M54&lt;&gt;"",(2018-2016-1)&lt;=Metodologia_v4!$B$12),Dados_Observados_v4!K54+(Dados_Observados_v4!M54-Dados_Observados_v4!K54)*(2017-2016)/(2018-2016),IF(AND(Dados_Observados_v4!K54&lt;&gt;"",(2017-2016)&lt;=Metodologia_v4!$B$13),Dados_Observados_v4!K54,IF(AND(Dados_Observados_v4!M54&lt;&gt;"",(2018-2017)&lt;=Metodologia_v4!$B$14),Dados_Observados_v4!M54,""))))</f>
        <v/>
      </c>
      <c r="M54" s="9">
        <f>IF(Dados_Observados_v4!M54&lt;&gt;"",Dados_Observados_v4!M54,IF(AND(Dados_Observados_v4!L54&lt;&gt;"",Dados_Observados_v4!N54&lt;&gt;"",(2019-2017-1)&lt;=Metodologia_v4!$B$12),Dados_Observados_v4!L54+(Dados_Observados_v4!N54-Dados_Observados_v4!L54)*(2018-2017)/(2019-2017),IF(AND(Dados_Observados_v4!L54&lt;&gt;"",(2018-2017)&lt;=Metodologia_v4!$B$13),Dados_Observados_v4!L54,IF(AND(Dados_Observados_v4!N54&lt;&gt;"",(2019-2018)&lt;=Metodologia_v4!$B$14),Dados_Observados_v4!N54,""))))</f>
        <v/>
      </c>
      <c r="N54" s="9">
        <f>IF(Dados_Observados_v4!N54&lt;&gt;"",Dados_Observados_v4!N54,IF(AND(Dados_Observados_v4!M54&lt;&gt;"",Dados_Observados_v4!O54&lt;&gt;"",(2020-2018-1)&lt;=Metodologia_v4!$B$12),Dados_Observados_v4!M54+(Dados_Observados_v4!O54-Dados_Observados_v4!M54)*(2019-2018)/(2020-2018),IF(AND(Dados_Observados_v4!M54&lt;&gt;"",(2019-2018)&lt;=Metodologia_v4!$B$13),Dados_Observados_v4!M54,IF(AND(Dados_Observados_v4!O54&lt;&gt;"",(2020-2019)&lt;=Metodologia_v4!$B$14),Dados_Observados_v4!O54,""))))</f>
        <v/>
      </c>
      <c r="O54" s="9">
        <f>IF(Dados_Observados_v4!O54&lt;&gt;"",Dados_Observados_v4!O54,IF(AND(Dados_Observados_v4!N54&lt;&gt;"",Dados_Observados_v4!P54&lt;&gt;"",(2021-2019-1)&lt;=Metodologia_v4!$B$12),Dados_Observados_v4!N54+(Dados_Observados_v4!P54-Dados_Observados_v4!N54)*(2020-2019)/(2021-2019),IF(AND(Dados_Observados_v4!N54&lt;&gt;"",(2020-2019)&lt;=Metodologia_v4!$B$13),Dados_Observados_v4!N54,IF(AND(Dados_Observados_v4!P54&lt;&gt;"",(2021-2020)&lt;=Metodologia_v4!$B$14),Dados_Observados_v4!P54,""))))</f>
        <v/>
      </c>
      <c r="P54" s="9">
        <f>IF(Dados_Observados_v4!P54&lt;&gt;"",Dados_Observados_v4!P54,IF(AND(Dados_Observados_v4!O54&lt;&gt;"",Dados_Observados_v4!Q54&lt;&gt;"",(2022-2020-1)&lt;=Metodologia_v4!$B$12),Dados_Observados_v4!O54+(Dados_Observados_v4!Q54-Dados_Observados_v4!O54)*(2021-2020)/(2022-2020),IF(AND(Dados_Observados_v4!O54&lt;&gt;"",(2021-2020)&lt;=Metodologia_v4!$B$13),Dados_Observados_v4!O54,IF(AND(Dados_Observados_v4!Q54&lt;&gt;"",(2022-2021)&lt;=Metodologia_v4!$B$14),Dados_Observados_v4!Q54,""))))</f>
        <v/>
      </c>
      <c r="Q54" s="9">
        <f>IF(Dados_Observados_v4!Q54&lt;&gt;"",Dados_Observados_v4!Q54,IF(AND(Dados_Observados_v4!P54&lt;&gt;"",Dados_Observados_v4!R54&lt;&gt;"",(2023-2021-1)&lt;=Metodologia_v4!$B$12),Dados_Observados_v4!P54+(Dados_Observados_v4!R54-Dados_Observados_v4!P54)*(2022-2021)/(2023-2021),IF(AND(Dados_Observados_v4!P54&lt;&gt;"",(2022-2021)&lt;=Metodologia_v4!$B$13),Dados_Observados_v4!P54,IF(AND(Dados_Observados_v4!R54&lt;&gt;"",(2023-2022)&lt;=Metodologia_v4!$B$14),Dados_Observados_v4!R54,""))))</f>
        <v/>
      </c>
      <c r="R54" s="9">
        <f>IF(Dados_Observados_v4!R54&lt;&gt;"",Dados_Observados_v4!R54,IF(AND(Dados_Observados_v4!Q54&lt;&gt;"",(2023-2022)&lt;=Metodologia_v4!$B$13),Dados_Observados_v4!Q54,""))</f>
        <v/>
      </c>
      <c r="S54" s="9">
        <f>IF(Dados_Observados_v4!S54&lt;&gt;"",Dados_Observados_v4!S54,IF(AND(Dados_Observados_v4!R54&lt;&gt;"",(2024-2023)&lt;=Metodologia_v4!$B$13),Dados_Observados_v4!R54,""))</f>
        <v/>
      </c>
      <c r="T54" s="9">
        <f>IF(Dados_Observados_v4!T54&lt;&gt;"",Dados_Observados_v4!T54,IF(AND(Dados_Observados_v4!R54&lt;&gt;"",(2025-2023)&lt;=Metodologia_v4!$B$13),Dados_Observados_v4!R54,""))</f>
        <v/>
      </c>
    </row>
    <row r="55">
      <c r="A55" s="5" t="inlineStr">
        <is>
          <t>SAU04</t>
        </is>
      </c>
      <c r="B55" s="5" t="inlineStr">
        <is>
          <t>7. Segurança Alimentar e Saúde</t>
        </is>
      </c>
      <c r="C55" s="5" t="inlineStr">
        <is>
          <t>Mortalidade de menores de 5 anos</t>
        </is>
      </c>
      <c r="D55" s="5" t="inlineStr">
        <is>
          <t>Banco Mundial/UNICEF</t>
        </is>
      </c>
      <c r="E55" s="5" t="inlineStr">
        <is>
          <t>SH.DYN.MORT</t>
        </is>
      </c>
      <c r="F55" s="5" t="inlineStr">
        <is>
          <t>Fonte Banco Mundial API/CSV</t>
        </is>
      </c>
      <c r="G55" s="5" t="inlineStr">
        <is>
          <t>10/11</t>
        </is>
      </c>
      <c r="H55" s="5" t="n">
        <v>2024</v>
      </c>
      <c r="I55" s="5" t="inlineStr">
        <is>
          <t>Referenciado pelas regras de Metodologia_v4</t>
        </is>
      </c>
      <c r="J55" s="9">
        <f>IF(Dados_Observados_v4!J55&lt;&gt;"",Dados_Observados_v4!J55,IF(AND(Dados_Observados_v4!K55&lt;&gt;"",(2016-2015)&lt;=Metodologia_v4!$B$14),Dados_Observados_v4!K55,""))</f>
        <v/>
      </c>
      <c r="K55" s="9">
        <f>IF(Dados_Observados_v4!K55&lt;&gt;"",Dados_Observados_v4!K55,IF(AND(Dados_Observados_v4!J55&lt;&gt;"",Dados_Observados_v4!L55&lt;&gt;"",(2017-2015-1)&lt;=Metodologia_v4!$B$12),Dados_Observados_v4!J55+(Dados_Observados_v4!L55-Dados_Observados_v4!J55)*(2016-2015)/(2017-2015),IF(AND(Dados_Observados_v4!J55&lt;&gt;"",(2016-2015)&lt;=Metodologia_v4!$B$13),Dados_Observados_v4!J55,IF(AND(Dados_Observados_v4!L55&lt;&gt;"",(2017-2016)&lt;=Metodologia_v4!$B$14),Dados_Observados_v4!L55,""))))</f>
        <v/>
      </c>
      <c r="L55" s="9">
        <f>IF(Dados_Observados_v4!L55&lt;&gt;"",Dados_Observados_v4!L55,IF(AND(Dados_Observados_v4!K55&lt;&gt;"",Dados_Observados_v4!M55&lt;&gt;"",(2018-2016-1)&lt;=Metodologia_v4!$B$12),Dados_Observados_v4!K55+(Dados_Observados_v4!M55-Dados_Observados_v4!K55)*(2017-2016)/(2018-2016),IF(AND(Dados_Observados_v4!K55&lt;&gt;"",(2017-2016)&lt;=Metodologia_v4!$B$13),Dados_Observados_v4!K55,IF(AND(Dados_Observados_v4!M55&lt;&gt;"",(2018-2017)&lt;=Metodologia_v4!$B$14),Dados_Observados_v4!M55,""))))</f>
        <v/>
      </c>
      <c r="M55" s="9">
        <f>IF(Dados_Observados_v4!M55&lt;&gt;"",Dados_Observados_v4!M55,IF(AND(Dados_Observados_v4!L55&lt;&gt;"",Dados_Observados_v4!N55&lt;&gt;"",(2019-2017-1)&lt;=Metodologia_v4!$B$12),Dados_Observados_v4!L55+(Dados_Observados_v4!N55-Dados_Observados_v4!L55)*(2018-2017)/(2019-2017),IF(AND(Dados_Observados_v4!L55&lt;&gt;"",(2018-2017)&lt;=Metodologia_v4!$B$13),Dados_Observados_v4!L55,IF(AND(Dados_Observados_v4!N55&lt;&gt;"",(2019-2018)&lt;=Metodologia_v4!$B$14),Dados_Observados_v4!N55,""))))</f>
        <v/>
      </c>
      <c r="N55" s="9">
        <f>IF(Dados_Observados_v4!N55&lt;&gt;"",Dados_Observados_v4!N55,IF(AND(Dados_Observados_v4!M55&lt;&gt;"",Dados_Observados_v4!O55&lt;&gt;"",(2020-2018-1)&lt;=Metodologia_v4!$B$12),Dados_Observados_v4!M55+(Dados_Observados_v4!O55-Dados_Observados_v4!M55)*(2019-2018)/(2020-2018),IF(AND(Dados_Observados_v4!M55&lt;&gt;"",(2019-2018)&lt;=Metodologia_v4!$B$13),Dados_Observados_v4!M55,IF(AND(Dados_Observados_v4!O55&lt;&gt;"",(2020-2019)&lt;=Metodologia_v4!$B$14),Dados_Observados_v4!O55,""))))</f>
        <v/>
      </c>
      <c r="O55" s="9">
        <f>IF(Dados_Observados_v4!O55&lt;&gt;"",Dados_Observados_v4!O55,IF(AND(Dados_Observados_v4!N55&lt;&gt;"",Dados_Observados_v4!P55&lt;&gt;"",(2021-2019-1)&lt;=Metodologia_v4!$B$12),Dados_Observados_v4!N55+(Dados_Observados_v4!P55-Dados_Observados_v4!N55)*(2020-2019)/(2021-2019),IF(AND(Dados_Observados_v4!N55&lt;&gt;"",(2020-2019)&lt;=Metodologia_v4!$B$13),Dados_Observados_v4!N55,IF(AND(Dados_Observados_v4!P55&lt;&gt;"",(2021-2020)&lt;=Metodologia_v4!$B$14),Dados_Observados_v4!P55,""))))</f>
        <v/>
      </c>
      <c r="P55" s="9">
        <f>IF(Dados_Observados_v4!P55&lt;&gt;"",Dados_Observados_v4!P55,IF(AND(Dados_Observados_v4!O55&lt;&gt;"",Dados_Observados_v4!Q55&lt;&gt;"",(2022-2020-1)&lt;=Metodologia_v4!$B$12),Dados_Observados_v4!O55+(Dados_Observados_v4!Q55-Dados_Observados_v4!O55)*(2021-2020)/(2022-2020),IF(AND(Dados_Observados_v4!O55&lt;&gt;"",(2021-2020)&lt;=Metodologia_v4!$B$13),Dados_Observados_v4!O55,IF(AND(Dados_Observados_v4!Q55&lt;&gt;"",(2022-2021)&lt;=Metodologia_v4!$B$14),Dados_Observados_v4!Q55,""))))</f>
        <v/>
      </c>
      <c r="Q55" s="9">
        <f>IF(Dados_Observados_v4!Q55&lt;&gt;"",Dados_Observados_v4!Q55,IF(AND(Dados_Observados_v4!P55&lt;&gt;"",Dados_Observados_v4!R55&lt;&gt;"",(2023-2021-1)&lt;=Metodologia_v4!$B$12),Dados_Observados_v4!P55+(Dados_Observados_v4!R55-Dados_Observados_v4!P55)*(2022-2021)/(2023-2021),IF(AND(Dados_Observados_v4!P55&lt;&gt;"",(2022-2021)&lt;=Metodologia_v4!$B$13),Dados_Observados_v4!P55,IF(AND(Dados_Observados_v4!R55&lt;&gt;"",(2023-2022)&lt;=Metodologia_v4!$B$14),Dados_Observados_v4!R55,""))))</f>
        <v/>
      </c>
      <c r="R55" s="9">
        <f>IF(Dados_Observados_v4!R55&lt;&gt;"",Dados_Observados_v4!R55,IF(AND(Dados_Observados_v4!Q55&lt;&gt;"",Dados_Observados_v4!S55&lt;&gt;"",(2024-2022-1)&lt;=Metodologia_v4!$B$12),Dados_Observados_v4!Q55+(Dados_Observados_v4!S55-Dados_Observados_v4!Q55)*(2023-2022)/(2024-2022),IF(AND(Dados_Observados_v4!Q55&lt;&gt;"",(2023-2022)&lt;=Metodologia_v4!$B$13),Dados_Observados_v4!Q55,IF(AND(Dados_Observados_v4!S55&lt;&gt;"",(2024-2023)&lt;=Metodologia_v4!$B$14),Dados_Observados_v4!S55,""))))</f>
        <v/>
      </c>
      <c r="S55" s="9">
        <f>IF(Dados_Observados_v4!S55&lt;&gt;"",Dados_Observados_v4!S55,IF(AND(Dados_Observados_v4!R55&lt;&gt;"",(2024-2023)&lt;=Metodologia_v4!$B$13),Dados_Observados_v4!R55,""))</f>
        <v/>
      </c>
      <c r="T55" s="9">
        <f>IF(Dados_Observados_v4!T55&lt;&gt;"",Dados_Observados_v4!T55,IF(AND(Dados_Observados_v4!S55&lt;&gt;"",(2025-2024)&lt;=Metodologia_v4!$B$13),Dados_Observados_v4!S55,""))</f>
        <v/>
      </c>
    </row>
    <row r="56">
      <c r="A56" s="5" t="inlineStr">
        <is>
          <t>SAU05</t>
        </is>
      </c>
      <c r="B56" s="5" t="inlineStr">
        <is>
          <t>7. Segurança Alimentar e Saúde</t>
        </is>
      </c>
      <c r="C56" s="5" t="inlineStr">
        <is>
          <t>Despesa corrente em saúde</t>
        </is>
      </c>
      <c r="D56" s="5" t="inlineStr">
        <is>
          <t>Banco Mundial/OMS</t>
        </is>
      </c>
      <c r="E56" s="5" t="inlineStr">
        <is>
          <t>SH.XPD.CHEX.GD.ZS</t>
        </is>
      </c>
      <c r="F56" s="5" t="inlineStr">
        <is>
          <t>Fonte Banco Mundial API/CSV</t>
        </is>
      </c>
      <c r="G56" s="5" t="inlineStr">
        <is>
          <t>9/11</t>
        </is>
      </c>
      <c r="H56" s="5" t="n">
        <v>2023</v>
      </c>
      <c r="I56" s="5" t="inlineStr">
        <is>
          <t>Referenciado pelas regras de Metodologia_v4</t>
        </is>
      </c>
      <c r="J56" s="9">
        <f>IF(Dados_Observados_v4!J56&lt;&gt;"",Dados_Observados_v4!J56,IF(AND(Dados_Observados_v4!K56&lt;&gt;"",(2016-2015)&lt;=Metodologia_v4!$B$14),Dados_Observados_v4!K56,""))</f>
        <v/>
      </c>
      <c r="K56" s="9">
        <f>IF(Dados_Observados_v4!K56&lt;&gt;"",Dados_Observados_v4!K56,IF(AND(Dados_Observados_v4!J56&lt;&gt;"",Dados_Observados_v4!L56&lt;&gt;"",(2017-2015-1)&lt;=Metodologia_v4!$B$12),Dados_Observados_v4!J56+(Dados_Observados_v4!L56-Dados_Observados_v4!J56)*(2016-2015)/(2017-2015),IF(AND(Dados_Observados_v4!J56&lt;&gt;"",(2016-2015)&lt;=Metodologia_v4!$B$13),Dados_Observados_v4!J56,IF(AND(Dados_Observados_v4!L56&lt;&gt;"",(2017-2016)&lt;=Metodologia_v4!$B$14),Dados_Observados_v4!L56,""))))</f>
        <v/>
      </c>
      <c r="L56" s="9">
        <f>IF(Dados_Observados_v4!L56&lt;&gt;"",Dados_Observados_v4!L56,IF(AND(Dados_Observados_v4!K56&lt;&gt;"",Dados_Observados_v4!M56&lt;&gt;"",(2018-2016-1)&lt;=Metodologia_v4!$B$12),Dados_Observados_v4!K56+(Dados_Observados_v4!M56-Dados_Observados_v4!K56)*(2017-2016)/(2018-2016),IF(AND(Dados_Observados_v4!K56&lt;&gt;"",(2017-2016)&lt;=Metodologia_v4!$B$13),Dados_Observados_v4!K56,IF(AND(Dados_Observados_v4!M56&lt;&gt;"",(2018-2017)&lt;=Metodologia_v4!$B$14),Dados_Observados_v4!M56,""))))</f>
        <v/>
      </c>
      <c r="M56" s="9">
        <f>IF(Dados_Observados_v4!M56&lt;&gt;"",Dados_Observados_v4!M56,IF(AND(Dados_Observados_v4!L56&lt;&gt;"",Dados_Observados_v4!N56&lt;&gt;"",(2019-2017-1)&lt;=Metodologia_v4!$B$12),Dados_Observados_v4!L56+(Dados_Observados_v4!N56-Dados_Observados_v4!L56)*(2018-2017)/(2019-2017),IF(AND(Dados_Observados_v4!L56&lt;&gt;"",(2018-2017)&lt;=Metodologia_v4!$B$13),Dados_Observados_v4!L56,IF(AND(Dados_Observados_v4!N56&lt;&gt;"",(2019-2018)&lt;=Metodologia_v4!$B$14),Dados_Observados_v4!N56,""))))</f>
        <v/>
      </c>
      <c r="N56" s="9">
        <f>IF(Dados_Observados_v4!N56&lt;&gt;"",Dados_Observados_v4!N56,IF(AND(Dados_Observados_v4!M56&lt;&gt;"",Dados_Observados_v4!O56&lt;&gt;"",(2020-2018-1)&lt;=Metodologia_v4!$B$12),Dados_Observados_v4!M56+(Dados_Observados_v4!O56-Dados_Observados_v4!M56)*(2019-2018)/(2020-2018),IF(AND(Dados_Observados_v4!M56&lt;&gt;"",(2019-2018)&lt;=Metodologia_v4!$B$13),Dados_Observados_v4!M56,IF(AND(Dados_Observados_v4!O56&lt;&gt;"",(2020-2019)&lt;=Metodologia_v4!$B$14),Dados_Observados_v4!O56,""))))</f>
        <v/>
      </c>
      <c r="O56" s="9">
        <f>IF(Dados_Observados_v4!O56&lt;&gt;"",Dados_Observados_v4!O56,IF(AND(Dados_Observados_v4!N56&lt;&gt;"",Dados_Observados_v4!P56&lt;&gt;"",(2021-2019-1)&lt;=Metodologia_v4!$B$12),Dados_Observados_v4!N56+(Dados_Observados_v4!P56-Dados_Observados_v4!N56)*(2020-2019)/(2021-2019),IF(AND(Dados_Observados_v4!N56&lt;&gt;"",(2020-2019)&lt;=Metodologia_v4!$B$13),Dados_Observados_v4!N56,IF(AND(Dados_Observados_v4!P56&lt;&gt;"",(2021-2020)&lt;=Metodologia_v4!$B$14),Dados_Observados_v4!P56,""))))</f>
        <v/>
      </c>
      <c r="P56" s="9">
        <f>IF(Dados_Observados_v4!P56&lt;&gt;"",Dados_Observados_v4!P56,IF(AND(Dados_Observados_v4!O56&lt;&gt;"",Dados_Observados_v4!Q56&lt;&gt;"",(2022-2020-1)&lt;=Metodologia_v4!$B$12),Dados_Observados_v4!O56+(Dados_Observados_v4!Q56-Dados_Observados_v4!O56)*(2021-2020)/(2022-2020),IF(AND(Dados_Observados_v4!O56&lt;&gt;"",(2021-2020)&lt;=Metodologia_v4!$B$13),Dados_Observados_v4!O56,IF(AND(Dados_Observados_v4!Q56&lt;&gt;"",(2022-2021)&lt;=Metodologia_v4!$B$14),Dados_Observados_v4!Q56,""))))</f>
        <v/>
      </c>
      <c r="Q56" s="9">
        <f>IF(Dados_Observados_v4!Q56&lt;&gt;"",Dados_Observados_v4!Q56,IF(AND(Dados_Observados_v4!P56&lt;&gt;"",Dados_Observados_v4!R56&lt;&gt;"",(2023-2021-1)&lt;=Metodologia_v4!$B$12),Dados_Observados_v4!P56+(Dados_Observados_v4!R56-Dados_Observados_v4!P56)*(2022-2021)/(2023-2021),IF(AND(Dados_Observados_v4!P56&lt;&gt;"",(2022-2021)&lt;=Metodologia_v4!$B$13),Dados_Observados_v4!P56,IF(AND(Dados_Observados_v4!R56&lt;&gt;"",(2023-2022)&lt;=Metodologia_v4!$B$14),Dados_Observados_v4!R56,""))))</f>
        <v/>
      </c>
      <c r="R56" s="9">
        <f>IF(Dados_Observados_v4!R56&lt;&gt;"",Dados_Observados_v4!R56,IF(AND(Dados_Observados_v4!Q56&lt;&gt;"",(2023-2022)&lt;=Metodologia_v4!$B$13),Dados_Observados_v4!Q56,""))</f>
        <v/>
      </c>
      <c r="S56" s="9">
        <f>IF(Dados_Observados_v4!S56&lt;&gt;"",Dados_Observados_v4!S56,IF(AND(Dados_Observados_v4!R56&lt;&gt;"",(2024-2023)&lt;=Metodologia_v4!$B$13),Dados_Observados_v4!R56,""))</f>
        <v/>
      </c>
      <c r="T56" s="9">
        <f>IF(Dados_Observados_v4!T56&lt;&gt;"",Dados_Observados_v4!T56,IF(AND(Dados_Observados_v4!R56&lt;&gt;"",(2025-2023)&lt;=Metodologia_v4!$B$13),Dados_Observados_v4!R56,""))</f>
        <v/>
      </c>
    </row>
    <row r="57">
      <c r="A57" s="5" t="inlineStr">
        <is>
          <t>SAU06</t>
        </is>
      </c>
      <c r="B57" s="5" t="inlineStr">
        <is>
          <t>7. Segurança Alimentar e Saúde</t>
        </is>
      </c>
      <c r="C57" s="5" t="inlineStr">
        <is>
          <t>Vacinação DPT</t>
        </is>
      </c>
      <c r="D57" s="5" t="inlineStr">
        <is>
          <t>Banco Mundial/OMS/UNICEF</t>
        </is>
      </c>
      <c r="E57" s="5" t="inlineStr">
        <is>
          <t>SH.IMM.IDPT</t>
        </is>
      </c>
      <c r="F57" s="5" t="inlineStr">
        <is>
          <t>Fonte Banco Mundial API/CSV</t>
        </is>
      </c>
      <c r="G57" s="5" t="inlineStr">
        <is>
          <t>10/11</t>
        </is>
      </c>
      <c r="H57" s="5" t="n">
        <v>2024</v>
      </c>
      <c r="I57" s="5" t="inlineStr">
        <is>
          <t>Referenciado pelas regras de Metodologia_v4</t>
        </is>
      </c>
      <c r="J57" s="9">
        <f>IF(Dados_Observados_v4!J57&lt;&gt;"",Dados_Observados_v4!J57,IF(AND(Dados_Observados_v4!K57&lt;&gt;"",(2016-2015)&lt;=Metodologia_v4!$B$14),Dados_Observados_v4!K57,""))</f>
        <v/>
      </c>
      <c r="K57" s="9">
        <f>IF(Dados_Observados_v4!K57&lt;&gt;"",Dados_Observados_v4!K57,IF(AND(Dados_Observados_v4!J57&lt;&gt;"",Dados_Observados_v4!L57&lt;&gt;"",(2017-2015-1)&lt;=Metodologia_v4!$B$12),Dados_Observados_v4!J57+(Dados_Observados_v4!L57-Dados_Observados_v4!J57)*(2016-2015)/(2017-2015),IF(AND(Dados_Observados_v4!J57&lt;&gt;"",(2016-2015)&lt;=Metodologia_v4!$B$13),Dados_Observados_v4!J57,IF(AND(Dados_Observados_v4!L57&lt;&gt;"",(2017-2016)&lt;=Metodologia_v4!$B$14),Dados_Observados_v4!L57,""))))</f>
        <v/>
      </c>
      <c r="L57" s="9">
        <f>IF(Dados_Observados_v4!L57&lt;&gt;"",Dados_Observados_v4!L57,IF(AND(Dados_Observados_v4!K57&lt;&gt;"",Dados_Observados_v4!M57&lt;&gt;"",(2018-2016-1)&lt;=Metodologia_v4!$B$12),Dados_Observados_v4!K57+(Dados_Observados_v4!M57-Dados_Observados_v4!K57)*(2017-2016)/(2018-2016),IF(AND(Dados_Observados_v4!K57&lt;&gt;"",(2017-2016)&lt;=Metodologia_v4!$B$13),Dados_Observados_v4!K57,IF(AND(Dados_Observados_v4!M57&lt;&gt;"",(2018-2017)&lt;=Metodologia_v4!$B$14),Dados_Observados_v4!M57,""))))</f>
        <v/>
      </c>
      <c r="M57" s="9">
        <f>IF(Dados_Observados_v4!M57&lt;&gt;"",Dados_Observados_v4!M57,IF(AND(Dados_Observados_v4!L57&lt;&gt;"",Dados_Observados_v4!N57&lt;&gt;"",(2019-2017-1)&lt;=Metodologia_v4!$B$12),Dados_Observados_v4!L57+(Dados_Observados_v4!N57-Dados_Observados_v4!L57)*(2018-2017)/(2019-2017),IF(AND(Dados_Observados_v4!L57&lt;&gt;"",(2018-2017)&lt;=Metodologia_v4!$B$13),Dados_Observados_v4!L57,IF(AND(Dados_Observados_v4!N57&lt;&gt;"",(2019-2018)&lt;=Metodologia_v4!$B$14),Dados_Observados_v4!N57,""))))</f>
        <v/>
      </c>
      <c r="N57" s="9">
        <f>IF(Dados_Observados_v4!N57&lt;&gt;"",Dados_Observados_v4!N57,IF(AND(Dados_Observados_v4!M57&lt;&gt;"",Dados_Observados_v4!O57&lt;&gt;"",(2020-2018-1)&lt;=Metodologia_v4!$B$12),Dados_Observados_v4!M57+(Dados_Observados_v4!O57-Dados_Observados_v4!M57)*(2019-2018)/(2020-2018),IF(AND(Dados_Observados_v4!M57&lt;&gt;"",(2019-2018)&lt;=Metodologia_v4!$B$13),Dados_Observados_v4!M57,IF(AND(Dados_Observados_v4!O57&lt;&gt;"",(2020-2019)&lt;=Metodologia_v4!$B$14),Dados_Observados_v4!O57,""))))</f>
        <v/>
      </c>
      <c r="O57" s="9">
        <f>IF(Dados_Observados_v4!O57&lt;&gt;"",Dados_Observados_v4!O57,IF(AND(Dados_Observados_v4!N57&lt;&gt;"",Dados_Observados_v4!P57&lt;&gt;"",(2021-2019-1)&lt;=Metodologia_v4!$B$12),Dados_Observados_v4!N57+(Dados_Observados_v4!P57-Dados_Observados_v4!N57)*(2020-2019)/(2021-2019),IF(AND(Dados_Observados_v4!N57&lt;&gt;"",(2020-2019)&lt;=Metodologia_v4!$B$13),Dados_Observados_v4!N57,IF(AND(Dados_Observados_v4!P57&lt;&gt;"",(2021-2020)&lt;=Metodologia_v4!$B$14),Dados_Observados_v4!P57,""))))</f>
        <v/>
      </c>
      <c r="P57" s="9">
        <f>IF(Dados_Observados_v4!P57&lt;&gt;"",Dados_Observados_v4!P57,IF(AND(Dados_Observados_v4!O57&lt;&gt;"",Dados_Observados_v4!Q57&lt;&gt;"",(2022-2020-1)&lt;=Metodologia_v4!$B$12),Dados_Observados_v4!O57+(Dados_Observados_v4!Q57-Dados_Observados_v4!O57)*(2021-2020)/(2022-2020),IF(AND(Dados_Observados_v4!O57&lt;&gt;"",(2021-2020)&lt;=Metodologia_v4!$B$13),Dados_Observados_v4!O57,IF(AND(Dados_Observados_v4!Q57&lt;&gt;"",(2022-2021)&lt;=Metodologia_v4!$B$14),Dados_Observados_v4!Q57,""))))</f>
        <v/>
      </c>
      <c r="Q57" s="9">
        <f>IF(Dados_Observados_v4!Q57&lt;&gt;"",Dados_Observados_v4!Q57,IF(AND(Dados_Observados_v4!P57&lt;&gt;"",Dados_Observados_v4!R57&lt;&gt;"",(2023-2021-1)&lt;=Metodologia_v4!$B$12),Dados_Observados_v4!P57+(Dados_Observados_v4!R57-Dados_Observados_v4!P57)*(2022-2021)/(2023-2021),IF(AND(Dados_Observados_v4!P57&lt;&gt;"",(2022-2021)&lt;=Metodologia_v4!$B$13),Dados_Observados_v4!P57,IF(AND(Dados_Observados_v4!R57&lt;&gt;"",(2023-2022)&lt;=Metodologia_v4!$B$14),Dados_Observados_v4!R57,""))))</f>
        <v/>
      </c>
      <c r="R57" s="9">
        <f>IF(Dados_Observados_v4!R57&lt;&gt;"",Dados_Observados_v4!R57,IF(AND(Dados_Observados_v4!Q57&lt;&gt;"",Dados_Observados_v4!S57&lt;&gt;"",(2024-2022-1)&lt;=Metodologia_v4!$B$12),Dados_Observados_v4!Q57+(Dados_Observados_v4!S57-Dados_Observados_v4!Q57)*(2023-2022)/(2024-2022),IF(AND(Dados_Observados_v4!Q57&lt;&gt;"",(2023-2022)&lt;=Metodologia_v4!$B$13),Dados_Observados_v4!Q57,IF(AND(Dados_Observados_v4!S57&lt;&gt;"",(2024-2023)&lt;=Metodologia_v4!$B$14),Dados_Observados_v4!S57,""))))</f>
        <v/>
      </c>
      <c r="S57" s="9">
        <f>IF(Dados_Observados_v4!S57&lt;&gt;"",Dados_Observados_v4!S57,IF(AND(Dados_Observados_v4!R57&lt;&gt;"",(2024-2023)&lt;=Metodologia_v4!$B$13),Dados_Observados_v4!R57,""))</f>
        <v/>
      </c>
      <c r="T57" s="9">
        <f>IF(Dados_Observados_v4!T57&lt;&gt;"",Dados_Observados_v4!T57,IF(AND(Dados_Observados_v4!S57&lt;&gt;"",(2025-2024)&lt;=Metodologia_v4!$B$13),Dados_Observados_v4!S57,""))</f>
        <v/>
      </c>
    </row>
    <row r="58">
      <c r="A58" s="5" t="inlineStr">
        <is>
          <t>SAU07</t>
        </is>
      </c>
      <c r="B58" s="5" t="inlineStr">
        <is>
          <t>7. Segurança Alimentar e Saúde</t>
        </is>
      </c>
      <c r="C58" s="5" t="inlineStr">
        <is>
          <t>Médicos</t>
        </is>
      </c>
      <c r="D58" s="5" t="inlineStr">
        <is>
          <t>Banco Mundial/OMS</t>
        </is>
      </c>
      <c r="E58" s="5" t="inlineStr">
        <is>
          <t>SH.MED.PHYS.ZS</t>
        </is>
      </c>
      <c r="F58" s="5" t="inlineStr">
        <is>
          <t>Fonte Banco Mundial API/CSV</t>
        </is>
      </c>
      <c r="G58" s="5" t="inlineStr">
        <is>
          <t>3/11</t>
        </is>
      </c>
      <c r="H58" s="5" t="n">
        <v>2022</v>
      </c>
      <c r="I58" s="5" t="inlineStr">
        <is>
          <t>Referenciado pelas regras de Metodologia_v4</t>
        </is>
      </c>
      <c r="J58" s="9">
        <f>IF(Dados_Observados_v4!J58&lt;&gt;"",Dados_Observados_v4!J58,IF(AND(Dados_Observados_v4!L58&lt;&gt;"",(2017-2015)&lt;=Metodologia_v4!$B$14),Dados_Observados_v4!L58,""))</f>
        <v/>
      </c>
      <c r="K58" s="9">
        <f>IF(Dados_Observados_v4!K58&lt;&gt;"",Dados_Observados_v4!K58,IF(AND(Dados_Observados_v4!L58&lt;&gt;"",(2017-2016)&lt;=Metodologia_v4!$B$14),Dados_Observados_v4!L58,""))</f>
        <v/>
      </c>
      <c r="L58" s="9">
        <f>IF(Dados_Observados_v4!L58&lt;&gt;"",Dados_Observados_v4!L58,IF(AND(Dados_Observados_v4!M58&lt;&gt;"",(2018-2017)&lt;=Metodologia_v4!$B$14),Dados_Observados_v4!M58,""))</f>
        <v/>
      </c>
      <c r="M58" s="9">
        <f>IF(Dados_Observados_v4!M58&lt;&gt;"",Dados_Observados_v4!M58,IF(AND(Dados_Observados_v4!L58&lt;&gt;"",Dados_Observados_v4!Q58&lt;&gt;"",(2022-2017-1)&lt;=Metodologia_v4!$B$12),Dados_Observados_v4!L58+(Dados_Observados_v4!Q58-Dados_Observados_v4!L58)*(2018-2017)/(2022-2017),IF(AND(Dados_Observados_v4!L58&lt;&gt;"",(2018-2017)&lt;=Metodologia_v4!$B$13),Dados_Observados_v4!L58,IF(AND(Dados_Observados_v4!Q58&lt;&gt;"",(2022-2018)&lt;=Metodologia_v4!$B$14),Dados_Observados_v4!Q58,""))))</f>
        <v/>
      </c>
      <c r="N58" s="9">
        <f>IF(Dados_Observados_v4!N58&lt;&gt;"",Dados_Observados_v4!N58,IF(AND(Dados_Observados_v4!M58&lt;&gt;"",Dados_Observados_v4!Q58&lt;&gt;"",(2022-2018-1)&lt;=Metodologia_v4!$B$12),Dados_Observados_v4!M58+(Dados_Observados_v4!Q58-Dados_Observados_v4!M58)*(2019-2018)/(2022-2018),IF(AND(Dados_Observados_v4!M58&lt;&gt;"",(2019-2018)&lt;=Metodologia_v4!$B$13),Dados_Observados_v4!M58,IF(AND(Dados_Observados_v4!Q58&lt;&gt;"",(2022-2019)&lt;=Metodologia_v4!$B$14),Dados_Observados_v4!Q58,""))))</f>
        <v/>
      </c>
      <c r="O58" s="9">
        <f>IF(Dados_Observados_v4!O58&lt;&gt;"",Dados_Observados_v4!O58,IF(AND(Dados_Observados_v4!M58&lt;&gt;"",Dados_Observados_v4!Q58&lt;&gt;"",(2022-2018-1)&lt;=Metodologia_v4!$B$12),Dados_Observados_v4!M58+(Dados_Observados_v4!Q58-Dados_Observados_v4!M58)*(2020-2018)/(2022-2018),IF(AND(Dados_Observados_v4!M58&lt;&gt;"",(2020-2018)&lt;=Metodologia_v4!$B$13),Dados_Observados_v4!M58,IF(AND(Dados_Observados_v4!Q58&lt;&gt;"",(2022-2020)&lt;=Metodologia_v4!$B$14),Dados_Observados_v4!Q58,""))))</f>
        <v/>
      </c>
      <c r="P58" s="9">
        <f>IF(Dados_Observados_v4!P58&lt;&gt;"",Dados_Observados_v4!P58,IF(AND(Dados_Observados_v4!M58&lt;&gt;"",Dados_Observados_v4!Q58&lt;&gt;"",(2022-2018-1)&lt;=Metodologia_v4!$B$12),Dados_Observados_v4!M58+(Dados_Observados_v4!Q58-Dados_Observados_v4!M58)*(2021-2018)/(2022-2018),IF(AND(Dados_Observados_v4!M58&lt;&gt;"",(2021-2018)&lt;=Metodologia_v4!$B$13),Dados_Observados_v4!M58,IF(AND(Dados_Observados_v4!Q58&lt;&gt;"",(2022-2021)&lt;=Metodologia_v4!$B$14),Dados_Observados_v4!Q58,""))))</f>
        <v/>
      </c>
      <c r="Q58" s="9">
        <f>IF(Dados_Observados_v4!Q58&lt;&gt;"",Dados_Observados_v4!Q58,IF(AND(Dados_Observados_v4!M58&lt;&gt;"",(2022-2018)&lt;=Metodologia_v4!$B$13),Dados_Observados_v4!M58,""))</f>
        <v/>
      </c>
      <c r="R58" s="9">
        <f>IF(Dados_Observados_v4!R58&lt;&gt;"",Dados_Observados_v4!R58,IF(AND(Dados_Observados_v4!Q58&lt;&gt;"",(2023-2022)&lt;=Metodologia_v4!$B$13),Dados_Observados_v4!Q58,""))</f>
        <v/>
      </c>
      <c r="S58" s="9">
        <f>IF(Dados_Observados_v4!S58&lt;&gt;"",Dados_Observados_v4!S58,IF(AND(Dados_Observados_v4!Q58&lt;&gt;"",(2024-2022)&lt;=Metodologia_v4!$B$13),Dados_Observados_v4!Q58,""))</f>
        <v/>
      </c>
      <c r="T58" s="9">
        <f>IF(Dados_Observados_v4!T58&lt;&gt;"",Dados_Observados_v4!T58,IF(AND(Dados_Observados_v4!Q58&lt;&gt;"",(2025-2022)&lt;=Metodologia_v4!$B$13),Dados_Observados_v4!Q58,""))</f>
        <v/>
      </c>
    </row>
    <row r="59">
      <c r="A59" s="5" t="inlineStr">
        <is>
          <t>SAU08</t>
        </is>
      </c>
      <c r="B59" s="5" t="inlineStr">
        <is>
          <t>7. Segurança Alimentar e Saúde</t>
        </is>
      </c>
      <c r="C59" s="5" t="inlineStr">
        <is>
          <t>Camas hospitalares</t>
        </is>
      </c>
      <c r="D59" s="5" t="inlineStr">
        <is>
          <t>Banco Mundial/OMS</t>
        </is>
      </c>
      <c r="E59" s="5" t="inlineStr">
        <is>
          <t>SH.MED.BEDS.ZS</t>
        </is>
      </c>
      <c r="F59" s="5" t="inlineStr">
        <is>
          <t>Fonte Banco Mundial API/CSV</t>
        </is>
      </c>
      <c r="G59" s="5" t="inlineStr">
        <is>
          <t>1/11</t>
        </is>
      </c>
      <c r="H59" s="5" t="n">
        <v>2019</v>
      </c>
      <c r="I59" s="5" t="inlineStr">
        <is>
          <t>Referenciado pelas regras de Metodologia_v4</t>
        </is>
      </c>
      <c r="J59" s="9">
        <f>IF(Dados_Observados_v4!J59&lt;&gt;"",Dados_Observados_v4!J59,IF(AND(Dados_Observados_v4!N59&lt;&gt;"",(2019-2015)&lt;=Metodologia_v4!$B$14),Dados_Observados_v4!N59,""))</f>
        <v/>
      </c>
      <c r="K59" s="9">
        <f>IF(Dados_Observados_v4!K59&lt;&gt;"",Dados_Observados_v4!K59,IF(AND(Dados_Observados_v4!N59&lt;&gt;"",(2019-2016)&lt;=Metodologia_v4!$B$14),Dados_Observados_v4!N59,""))</f>
        <v/>
      </c>
      <c r="L59" s="9">
        <f>IF(Dados_Observados_v4!L59&lt;&gt;"",Dados_Observados_v4!L59,IF(AND(Dados_Observados_v4!N59&lt;&gt;"",(2019-2017)&lt;=Metodologia_v4!$B$14),Dados_Observados_v4!N59,""))</f>
        <v/>
      </c>
      <c r="M59" s="9">
        <f>IF(Dados_Observados_v4!M59&lt;&gt;"",Dados_Observados_v4!M59,IF(AND(Dados_Observados_v4!N59&lt;&gt;"",(2019-2018)&lt;=Metodologia_v4!$B$14),Dados_Observados_v4!N59,""))</f>
        <v/>
      </c>
      <c r="N59" s="9">
        <f>IF(Dados_Observados_v4!N59&lt;&gt;"",Dados_Observados_v4!N59,"")</f>
        <v/>
      </c>
      <c r="O59" s="9">
        <f>IF(Dados_Observados_v4!O59&lt;&gt;"",Dados_Observados_v4!O59,IF(AND(Dados_Observados_v4!N59&lt;&gt;"",(2020-2019)&lt;=Metodologia_v4!$B$13),Dados_Observados_v4!N59,""))</f>
        <v/>
      </c>
      <c r="P59" s="9">
        <f>IF(Dados_Observados_v4!P59&lt;&gt;"",Dados_Observados_v4!P59,IF(AND(Dados_Observados_v4!N59&lt;&gt;"",(2021-2019)&lt;=Metodologia_v4!$B$13),Dados_Observados_v4!N59,""))</f>
        <v/>
      </c>
      <c r="Q59" s="9">
        <f>IF(Dados_Observados_v4!Q59&lt;&gt;"",Dados_Observados_v4!Q59,IF(AND(Dados_Observados_v4!N59&lt;&gt;"",(2022-2019)&lt;=Metodologia_v4!$B$13),Dados_Observados_v4!N59,""))</f>
        <v/>
      </c>
      <c r="R59" s="9">
        <f>IF(Dados_Observados_v4!R59&lt;&gt;"",Dados_Observados_v4!R59,IF(AND(Dados_Observados_v4!N59&lt;&gt;"",(2023-2019)&lt;=Metodologia_v4!$B$13),Dados_Observados_v4!N59,""))</f>
        <v/>
      </c>
      <c r="S59" s="9">
        <f>IF(Dados_Observados_v4!S59&lt;&gt;"",Dados_Observados_v4!S59,IF(AND(Dados_Observados_v4!N59&lt;&gt;"",(2024-2019)&lt;=Metodologia_v4!$B$13),Dados_Observados_v4!N59,""))</f>
        <v/>
      </c>
      <c r="T59" s="9">
        <f>IF(Dados_Observados_v4!T59&lt;&gt;"",Dados_Observados_v4!T59,IF(AND(Dados_Observados_v4!N59&lt;&gt;"",(2025-2019)&lt;=Metodologia_v4!$B$13),Dados_Observados_v4!N59,""))</f>
        <v/>
      </c>
    </row>
    <row r="60">
      <c r="A60" s="5" t="inlineStr">
        <is>
          <t>SAU09</t>
        </is>
      </c>
      <c r="B60" s="5" t="inlineStr">
        <is>
          <t>7. Segurança Alimentar e Saúde</t>
        </is>
      </c>
      <c r="C60" s="5" t="inlineStr">
        <is>
          <t>Índice de produção alimentar</t>
        </is>
      </c>
      <c r="D60" s="5" t="inlineStr">
        <is>
          <t>Banco Mundial/FAO</t>
        </is>
      </c>
      <c r="E60" s="5" t="inlineStr">
        <is>
          <t>AG.PRD.FOOD.XD</t>
        </is>
      </c>
      <c r="F60" s="5" t="inlineStr">
        <is>
          <t>Fonte Banco Mundial API/CSV</t>
        </is>
      </c>
      <c r="G60" s="5" t="inlineStr">
        <is>
          <t>8/11</t>
        </is>
      </c>
      <c r="H60" s="5" t="n">
        <v>2022</v>
      </c>
      <c r="I60" s="5" t="inlineStr">
        <is>
          <t>Referenciado pelas regras de Metodologia_v4</t>
        </is>
      </c>
      <c r="J60" s="9">
        <f>IF(Dados_Observados_v4!J60&lt;&gt;"",Dados_Observados_v4!J60,IF(AND(Dados_Observados_v4!K60&lt;&gt;"",(2016-2015)&lt;=Metodologia_v4!$B$14),Dados_Observados_v4!K60,""))</f>
        <v/>
      </c>
      <c r="K60" s="9">
        <f>IF(Dados_Observados_v4!K60&lt;&gt;"",Dados_Observados_v4!K60,IF(AND(Dados_Observados_v4!J60&lt;&gt;"",Dados_Observados_v4!L60&lt;&gt;"",(2017-2015-1)&lt;=Metodologia_v4!$B$12),Dados_Observados_v4!J60+(Dados_Observados_v4!L60-Dados_Observados_v4!J60)*(2016-2015)/(2017-2015),IF(AND(Dados_Observados_v4!J60&lt;&gt;"",(2016-2015)&lt;=Metodologia_v4!$B$13),Dados_Observados_v4!J60,IF(AND(Dados_Observados_v4!L60&lt;&gt;"",(2017-2016)&lt;=Metodologia_v4!$B$14),Dados_Observados_v4!L60,""))))</f>
        <v/>
      </c>
      <c r="L60" s="9">
        <f>IF(Dados_Observados_v4!L60&lt;&gt;"",Dados_Observados_v4!L60,IF(AND(Dados_Observados_v4!K60&lt;&gt;"",Dados_Observados_v4!M60&lt;&gt;"",(2018-2016-1)&lt;=Metodologia_v4!$B$12),Dados_Observados_v4!K60+(Dados_Observados_v4!M60-Dados_Observados_v4!K60)*(2017-2016)/(2018-2016),IF(AND(Dados_Observados_v4!K60&lt;&gt;"",(2017-2016)&lt;=Metodologia_v4!$B$13),Dados_Observados_v4!K60,IF(AND(Dados_Observados_v4!M60&lt;&gt;"",(2018-2017)&lt;=Metodologia_v4!$B$14),Dados_Observados_v4!M60,""))))</f>
        <v/>
      </c>
      <c r="M60" s="9">
        <f>IF(Dados_Observados_v4!M60&lt;&gt;"",Dados_Observados_v4!M60,IF(AND(Dados_Observados_v4!L60&lt;&gt;"",Dados_Observados_v4!N60&lt;&gt;"",(2019-2017-1)&lt;=Metodologia_v4!$B$12),Dados_Observados_v4!L60+(Dados_Observados_v4!N60-Dados_Observados_v4!L60)*(2018-2017)/(2019-2017),IF(AND(Dados_Observados_v4!L60&lt;&gt;"",(2018-2017)&lt;=Metodologia_v4!$B$13),Dados_Observados_v4!L60,IF(AND(Dados_Observados_v4!N60&lt;&gt;"",(2019-2018)&lt;=Metodologia_v4!$B$14),Dados_Observados_v4!N60,""))))</f>
        <v/>
      </c>
      <c r="N60" s="9">
        <f>IF(Dados_Observados_v4!N60&lt;&gt;"",Dados_Observados_v4!N60,IF(AND(Dados_Observados_v4!M60&lt;&gt;"",Dados_Observados_v4!O60&lt;&gt;"",(2020-2018-1)&lt;=Metodologia_v4!$B$12),Dados_Observados_v4!M60+(Dados_Observados_v4!O60-Dados_Observados_v4!M60)*(2019-2018)/(2020-2018),IF(AND(Dados_Observados_v4!M60&lt;&gt;"",(2019-2018)&lt;=Metodologia_v4!$B$13),Dados_Observados_v4!M60,IF(AND(Dados_Observados_v4!O60&lt;&gt;"",(2020-2019)&lt;=Metodologia_v4!$B$14),Dados_Observados_v4!O60,""))))</f>
        <v/>
      </c>
      <c r="O60" s="9">
        <f>IF(Dados_Observados_v4!O60&lt;&gt;"",Dados_Observados_v4!O60,IF(AND(Dados_Observados_v4!N60&lt;&gt;"",Dados_Observados_v4!P60&lt;&gt;"",(2021-2019-1)&lt;=Metodologia_v4!$B$12),Dados_Observados_v4!N60+(Dados_Observados_v4!P60-Dados_Observados_v4!N60)*(2020-2019)/(2021-2019),IF(AND(Dados_Observados_v4!N60&lt;&gt;"",(2020-2019)&lt;=Metodologia_v4!$B$13),Dados_Observados_v4!N60,IF(AND(Dados_Observados_v4!P60&lt;&gt;"",(2021-2020)&lt;=Metodologia_v4!$B$14),Dados_Observados_v4!P60,""))))</f>
        <v/>
      </c>
      <c r="P60" s="9">
        <f>IF(Dados_Observados_v4!P60&lt;&gt;"",Dados_Observados_v4!P60,IF(AND(Dados_Observados_v4!O60&lt;&gt;"",Dados_Observados_v4!Q60&lt;&gt;"",(2022-2020-1)&lt;=Metodologia_v4!$B$12),Dados_Observados_v4!O60+(Dados_Observados_v4!Q60-Dados_Observados_v4!O60)*(2021-2020)/(2022-2020),IF(AND(Dados_Observados_v4!O60&lt;&gt;"",(2021-2020)&lt;=Metodologia_v4!$B$13),Dados_Observados_v4!O60,IF(AND(Dados_Observados_v4!Q60&lt;&gt;"",(2022-2021)&lt;=Metodologia_v4!$B$14),Dados_Observados_v4!Q60,""))))</f>
        <v/>
      </c>
      <c r="Q60" s="9">
        <f>IF(Dados_Observados_v4!Q60&lt;&gt;"",Dados_Observados_v4!Q60,IF(AND(Dados_Observados_v4!P60&lt;&gt;"",(2022-2021)&lt;=Metodologia_v4!$B$13),Dados_Observados_v4!P60,""))</f>
        <v/>
      </c>
      <c r="R60" s="9">
        <f>IF(Dados_Observados_v4!R60&lt;&gt;"",Dados_Observados_v4!R60,IF(AND(Dados_Observados_v4!Q60&lt;&gt;"",(2023-2022)&lt;=Metodologia_v4!$B$13),Dados_Observados_v4!Q60,""))</f>
        <v/>
      </c>
      <c r="S60" s="9">
        <f>IF(Dados_Observados_v4!S60&lt;&gt;"",Dados_Observados_v4!S60,IF(AND(Dados_Observados_v4!Q60&lt;&gt;"",(2024-2022)&lt;=Metodologia_v4!$B$13),Dados_Observados_v4!Q60,""))</f>
        <v/>
      </c>
      <c r="T60" s="9">
        <f>IF(Dados_Observados_v4!T60&lt;&gt;"",Dados_Observados_v4!T60,IF(AND(Dados_Observados_v4!Q60&lt;&gt;"",(2025-2022)&lt;=Metodologia_v4!$B$13),Dados_Observados_v4!Q60,""))</f>
        <v/>
      </c>
    </row>
  </sheetData>
  <autoFilter ref="A4:T60"/>
  <conditionalFormatting sqref="J5:T60">
    <cfRule type="expression" priority="1" dxfId="0">
      <formula>Flags_Ajustamento_v4!J5="OBS"</formula>
    </cfRule>
    <cfRule type="expression" priority="2" dxfId="1">
      <formula>LEFT(Flags_Ajustamento_v4!J5,3)="EST"</formula>
    </cfRule>
    <cfRule type="expression" priority="3" dxfId="2">
      <formula>Flags_Ajustamento_v4!J5="SEM_DADO"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T60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28" customWidth="1" min="4" max="4"/>
    <col width="18" customWidth="1" min="5" max="5"/>
    <col width="32" customWidth="1" min="6" max="6"/>
    <col width="18" customWidth="1" min="7" max="7"/>
    <col width="16" customWidth="1" min="8" max="8"/>
    <col width="46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Flags de observação e ajustamento</t>
        </is>
      </c>
    </row>
    <row r="2">
      <c r="A2" s="2" t="inlineStr">
        <is>
          <t>Cada célula anual identifica a origem do valor usado: OBS, EST_INTERP_LINEAR, EST_CARRY_FORWARD, EST_CARRY_BACKWARD ou SEM_DADO.</t>
        </is>
      </c>
    </row>
    <row r="3"/>
    <row r="4">
      <c r="A4" s="7" t="inlineStr">
        <is>
          <t>ID</t>
        </is>
      </c>
      <c r="B4" s="7" t="inlineStr">
        <is>
          <t>Dimensão</t>
        </is>
      </c>
      <c r="C4" s="7" t="inlineStr">
        <is>
          <t>Indicador</t>
        </is>
      </c>
      <c r="D4" s="7" t="inlineStr">
        <is>
          <t>Fonte</t>
        </is>
      </c>
      <c r="E4" s="7" t="inlineStr">
        <is>
          <t>Código/API</t>
        </is>
      </c>
      <c r="F4" s="7" t="inlineStr">
        <is>
          <t>Estado dados</t>
        </is>
      </c>
      <c r="G4" s="7" t="inlineStr">
        <is>
          <t>Cobertura observada</t>
        </is>
      </c>
      <c r="H4" s="7" t="inlineStr">
        <is>
          <t>Último ano obs.</t>
        </is>
      </c>
      <c r="I4" s="7" t="inlineStr">
        <is>
          <t>Nota</t>
        </is>
      </c>
      <c r="J4" s="7" t="inlineStr">
        <is>
          <t>2015</t>
        </is>
      </c>
      <c r="K4" s="7" t="inlineStr">
        <is>
          <t>2016</t>
        </is>
      </c>
      <c r="L4" s="7" t="inlineStr">
        <is>
          <t>2017</t>
        </is>
      </c>
      <c r="M4" s="7" t="inlineStr">
        <is>
          <t>2018</t>
        </is>
      </c>
      <c r="N4" s="7" t="inlineStr">
        <is>
          <t>2019</t>
        </is>
      </c>
      <c r="O4" s="7" t="inlineStr">
        <is>
          <t>2020</t>
        </is>
      </c>
      <c r="P4" s="7" t="inlineStr">
        <is>
          <t>2021</t>
        </is>
      </c>
      <c r="Q4" s="7" t="inlineStr">
        <is>
          <t>2022</t>
        </is>
      </c>
      <c r="R4" s="7" t="inlineStr">
        <is>
          <t>2023</t>
        </is>
      </c>
      <c r="S4" s="7" t="inlineStr">
        <is>
          <t>2024</t>
        </is>
      </c>
      <c r="T4" s="7" t="inlineStr">
        <is>
          <t>2025</t>
        </is>
      </c>
    </row>
    <row r="5">
      <c r="A5" s="5" t="inlineStr">
        <is>
          <t>GOV01</t>
        </is>
      </c>
      <c r="B5" s="5" t="inlineStr">
        <is>
          <t>1. Governança e Estado de Direito</t>
        </is>
      </c>
      <c r="C5" s="5" t="inlineStr">
        <is>
          <t>Índice de Percepção da Corrupção</t>
        </is>
      </c>
      <c r="D5" s="5" t="inlineStr">
        <is>
          <t>Transparency International / ficheiro base</t>
        </is>
      </c>
      <c r="E5" s="5" t="inlineStr"/>
      <c r="F5" s="5" t="inlineStr">
        <is>
          <t>Série observada do ficheiro base</t>
        </is>
      </c>
      <c r="G5" s="5" t="inlineStr">
        <is>
          <t>10/11</t>
        </is>
      </c>
      <c r="H5" s="5" t="n">
        <v>2024</v>
      </c>
      <c r="I5" s="5" t="inlineStr">
        <is>
          <t>Referenciado pelas regras de Metodologia_v4</t>
        </is>
      </c>
      <c r="J5" s="10">
        <f>IF(Dados_Observados_v4!J5&lt;&gt;"","OBS",IF(Dados_Ajustados_v4!J5="","SEM_DADO",IF(AND(Dados_Observados_v4!K5&lt;&gt;"",(2016-2015)&lt;=Metodologia_v4!$B$14),"EST_CARRY_BACKWARD","SEM_DADO")))</f>
        <v/>
      </c>
      <c r="K5" s="10">
        <f>IF(Dados_Observados_v4!K5&lt;&gt;"","OBS",IF(Dados_Ajustados_v4!K5="","SEM_DADO",IF(AND(Dados_Observados_v4!J5&lt;&gt;"",Dados_Observados_v4!L5&lt;&gt;"",(2017-2015-1)&lt;=Metodologia_v4!$B$12),"EST_INTERP_LINEAR",IF(AND(Dados_Observados_v4!J5&lt;&gt;"",(2016-2015)&lt;=Metodologia_v4!$B$13),"EST_CARRY_FORWARD",IF(AND(Dados_Observados_v4!L5&lt;&gt;"",(2017-2016)&lt;=Metodologia_v4!$B$14),"EST_CARRY_BACKWARD","SEM_DADO")))))</f>
        <v/>
      </c>
      <c r="L5" s="10">
        <f>IF(Dados_Observados_v4!L5&lt;&gt;"","OBS",IF(Dados_Ajustados_v4!L5="","SEM_DADO",IF(AND(Dados_Observados_v4!K5&lt;&gt;"",Dados_Observados_v4!M5&lt;&gt;"",(2018-2016-1)&lt;=Metodologia_v4!$B$12),"EST_INTERP_LINEAR",IF(AND(Dados_Observados_v4!K5&lt;&gt;"",(2017-2016)&lt;=Metodologia_v4!$B$13),"EST_CARRY_FORWARD",IF(AND(Dados_Observados_v4!M5&lt;&gt;"",(2018-2017)&lt;=Metodologia_v4!$B$14),"EST_CARRY_BACKWARD","SEM_DADO")))))</f>
        <v/>
      </c>
      <c r="M5" s="10">
        <f>IF(Dados_Observados_v4!M5&lt;&gt;"","OBS",IF(Dados_Ajustados_v4!M5="","SEM_DADO",IF(AND(Dados_Observados_v4!L5&lt;&gt;"",Dados_Observados_v4!N5&lt;&gt;"",(2019-2017-1)&lt;=Metodologia_v4!$B$12),"EST_INTERP_LINEAR",IF(AND(Dados_Observados_v4!L5&lt;&gt;"",(2018-2017)&lt;=Metodologia_v4!$B$13),"EST_CARRY_FORWARD",IF(AND(Dados_Observados_v4!N5&lt;&gt;"",(2019-2018)&lt;=Metodologia_v4!$B$14),"EST_CARRY_BACKWARD","SEM_DADO")))))</f>
        <v/>
      </c>
      <c r="N5" s="10">
        <f>IF(Dados_Observados_v4!N5&lt;&gt;"","OBS",IF(Dados_Ajustados_v4!N5="","SEM_DADO",IF(AND(Dados_Observados_v4!M5&lt;&gt;"",Dados_Observados_v4!O5&lt;&gt;"",(2020-2018-1)&lt;=Metodologia_v4!$B$12),"EST_INTERP_LINEAR",IF(AND(Dados_Observados_v4!M5&lt;&gt;"",(2019-2018)&lt;=Metodologia_v4!$B$13),"EST_CARRY_FORWARD",IF(AND(Dados_Observados_v4!O5&lt;&gt;"",(2020-2019)&lt;=Metodologia_v4!$B$14),"EST_CARRY_BACKWARD","SEM_DADO")))))</f>
        <v/>
      </c>
      <c r="O5" s="10">
        <f>IF(Dados_Observados_v4!O5&lt;&gt;"","OBS",IF(Dados_Ajustados_v4!O5="","SEM_DADO",IF(AND(Dados_Observados_v4!N5&lt;&gt;"",Dados_Observados_v4!P5&lt;&gt;"",(2021-2019-1)&lt;=Metodologia_v4!$B$12),"EST_INTERP_LINEAR",IF(AND(Dados_Observados_v4!N5&lt;&gt;"",(2020-2019)&lt;=Metodologia_v4!$B$13),"EST_CARRY_FORWARD",IF(AND(Dados_Observados_v4!P5&lt;&gt;"",(2021-2020)&lt;=Metodologia_v4!$B$14),"EST_CARRY_BACKWARD","SEM_DADO")))))</f>
        <v/>
      </c>
      <c r="P5" s="10">
        <f>IF(Dados_Observados_v4!P5&lt;&gt;"","OBS",IF(Dados_Ajustados_v4!P5="","SEM_DADO",IF(AND(Dados_Observados_v4!O5&lt;&gt;"",Dados_Observados_v4!Q5&lt;&gt;"",(2022-2020-1)&lt;=Metodologia_v4!$B$12),"EST_INTERP_LINEAR",IF(AND(Dados_Observados_v4!O5&lt;&gt;"",(2021-2020)&lt;=Metodologia_v4!$B$13),"EST_CARRY_FORWARD",IF(AND(Dados_Observados_v4!Q5&lt;&gt;"",(2022-2021)&lt;=Metodologia_v4!$B$14),"EST_CARRY_BACKWARD","SEM_DADO")))))</f>
        <v/>
      </c>
      <c r="Q5" s="10">
        <f>IF(Dados_Observados_v4!Q5&lt;&gt;"","OBS",IF(Dados_Ajustados_v4!Q5="","SEM_DADO",IF(AND(Dados_Observados_v4!P5&lt;&gt;"",Dados_Observados_v4!R5&lt;&gt;"",(2023-2021-1)&lt;=Metodologia_v4!$B$12),"EST_INTERP_LINEAR",IF(AND(Dados_Observados_v4!P5&lt;&gt;"",(2022-2021)&lt;=Metodologia_v4!$B$13),"EST_CARRY_FORWARD",IF(AND(Dados_Observados_v4!R5&lt;&gt;"",(2023-2022)&lt;=Metodologia_v4!$B$14),"EST_CARRY_BACKWARD","SEM_DADO")))))</f>
        <v/>
      </c>
      <c r="R5" s="10">
        <f>IF(Dados_Observados_v4!R5&lt;&gt;"","OBS",IF(Dados_Ajustados_v4!R5="","SEM_DADO",IF(AND(Dados_Observados_v4!Q5&lt;&gt;"",Dados_Observados_v4!S5&lt;&gt;"",(2024-2022-1)&lt;=Metodologia_v4!$B$12),"EST_INTERP_LINEAR",IF(AND(Dados_Observados_v4!Q5&lt;&gt;"",(2023-2022)&lt;=Metodologia_v4!$B$13),"EST_CARRY_FORWARD",IF(AND(Dados_Observados_v4!S5&lt;&gt;"",(2024-2023)&lt;=Metodologia_v4!$B$14),"EST_CARRY_BACKWARD","SEM_DADO")))))</f>
        <v/>
      </c>
      <c r="S5" s="10">
        <f>IF(Dados_Observados_v4!S5&lt;&gt;"","OBS",IF(Dados_Ajustados_v4!S5="","SEM_DADO",IF(AND(Dados_Observados_v4!R5&lt;&gt;"",(2024-2023)&lt;=Metodologia_v4!$B$13),"EST_CARRY_FORWARD","SEM_DADO")))</f>
        <v/>
      </c>
      <c r="T5" s="10">
        <f>IF(Dados_Observados_v4!T5&lt;&gt;"","OBS",IF(Dados_Ajustados_v4!T5="","SEM_DADO",IF(AND(Dados_Observados_v4!S5&lt;&gt;"",(2025-2024)&lt;=Metodologia_v4!$B$13),"EST_CARRY_FORWARD","SEM_DADO")))</f>
        <v/>
      </c>
    </row>
    <row r="6">
      <c r="A6" s="5" t="inlineStr">
        <is>
          <t>GOV02</t>
        </is>
      </c>
      <c r="B6" s="5" t="inlineStr">
        <is>
          <t>1. Governança e Estado de Direito</t>
        </is>
      </c>
      <c r="C6" s="5" t="inlineStr">
        <is>
          <t>WGI - Estado de Direito</t>
        </is>
      </c>
      <c r="D6" s="5" t="inlineStr">
        <is>
          <t>Worldwide Governance Indicators</t>
        </is>
      </c>
      <c r="E6" s="5" t="inlineStr">
        <is>
          <t>RL.EST</t>
        </is>
      </c>
      <c r="F6" s="5" t="inlineStr">
        <is>
          <t>Fonte oficial WGI 2025</t>
        </is>
      </c>
      <c r="G6" s="5" t="inlineStr">
        <is>
          <t>10/11</t>
        </is>
      </c>
      <c r="H6" s="5" t="n">
        <v>2024</v>
      </c>
      <c r="I6" s="5" t="inlineStr">
        <is>
          <t>Referenciado pelas regras de Metodologia_v4</t>
        </is>
      </c>
      <c r="J6" s="10">
        <f>IF(Dados_Observados_v4!J6&lt;&gt;"","OBS",IF(Dados_Ajustados_v4!J6="","SEM_DADO",IF(AND(Dados_Observados_v4!K6&lt;&gt;"",(2016-2015)&lt;=Metodologia_v4!$B$14),"EST_CARRY_BACKWARD","SEM_DADO")))</f>
        <v/>
      </c>
      <c r="K6" s="10">
        <f>IF(Dados_Observados_v4!K6&lt;&gt;"","OBS",IF(Dados_Ajustados_v4!K6="","SEM_DADO",IF(AND(Dados_Observados_v4!J6&lt;&gt;"",Dados_Observados_v4!L6&lt;&gt;"",(2017-2015-1)&lt;=Metodologia_v4!$B$12),"EST_INTERP_LINEAR",IF(AND(Dados_Observados_v4!J6&lt;&gt;"",(2016-2015)&lt;=Metodologia_v4!$B$13),"EST_CARRY_FORWARD",IF(AND(Dados_Observados_v4!L6&lt;&gt;"",(2017-2016)&lt;=Metodologia_v4!$B$14),"EST_CARRY_BACKWARD","SEM_DADO")))))</f>
        <v/>
      </c>
      <c r="L6" s="10">
        <f>IF(Dados_Observados_v4!L6&lt;&gt;"","OBS",IF(Dados_Ajustados_v4!L6="","SEM_DADO",IF(AND(Dados_Observados_v4!K6&lt;&gt;"",Dados_Observados_v4!M6&lt;&gt;"",(2018-2016-1)&lt;=Metodologia_v4!$B$12),"EST_INTERP_LINEAR",IF(AND(Dados_Observados_v4!K6&lt;&gt;"",(2017-2016)&lt;=Metodologia_v4!$B$13),"EST_CARRY_FORWARD",IF(AND(Dados_Observados_v4!M6&lt;&gt;"",(2018-2017)&lt;=Metodologia_v4!$B$14),"EST_CARRY_BACKWARD","SEM_DADO")))))</f>
        <v/>
      </c>
      <c r="M6" s="10">
        <f>IF(Dados_Observados_v4!M6&lt;&gt;"","OBS",IF(Dados_Ajustados_v4!M6="","SEM_DADO",IF(AND(Dados_Observados_v4!L6&lt;&gt;"",Dados_Observados_v4!N6&lt;&gt;"",(2019-2017-1)&lt;=Metodologia_v4!$B$12),"EST_INTERP_LINEAR",IF(AND(Dados_Observados_v4!L6&lt;&gt;"",(2018-2017)&lt;=Metodologia_v4!$B$13),"EST_CARRY_FORWARD",IF(AND(Dados_Observados_v4!N6&lt;&gt;"",(2019-2018)&lt;=Metodologia_v4!$B$14),"EST_CARRY_BACKWARD","SEM_DADO")))))</f>
        <v/>
      </c>
      <c r="N6" s="10">
        <f>IF(Dados_Observados_v4!N6&lt;&gt;"","OBS",IF(Dados_Ajustados_v4!N6="","SEM_DADO",IF(AND(Dados_Observados_v4!M6&lt;&gt;"",Dados_Observados_v4!O6&lt;&gt;"",(2020-2018-1)&lt;=Metodologia_v4!$B$12),"EST_INTERP_LINEAR",IF(AND(Dados_Observados_v4!M6&lt;&gt;"",(2019-2018)&lt;=Metodologia_v4!$B$13),"EST_CARRY_FORWARD",IF(AND(Dados_Observados_v4!O6&lt;&gt;"",(2020-2019)&lt;=Metodologia_v4!$B$14),"EST_CARRY_BACKWARD","SEM_DADO")))))</f>
        <v/>
      </c>
      <c r="O6" s="10">
        <f>IF(Dados_Observados_v4!O6&lt;&gt;"","OBS",IF(Dados_Ajustados_v4!O6="","SEM_DADO",IF(AND(Dados_Observados_v4!N6&lt;&gt;"",Dados_Observados_v4!P6&lt;&gt;"",(2021-2019-1)&lt;=Metodologia_v4!$B$12),"EST_INTERP_LINEAR",IF(AND(Dados_Observados_v4!N6&lt;&gt;"",(2020-2019)&lt;=Metodologia_v4!$B$13),"EST_CARRY_FORWARD",IF(AND(Dados_Observados_v4!P6&lt;&gt;"",(2021-2020)&lt;=Metodologia_v4!$B$14),"EST_CARRY_BACKWARD","SEM_DADO")))))</f>
        <v/>
      </c>
      <c r="P6" s="10">
        <f>IF(Dados_Observados_v4!P6&lt;&gt;"","OBS",IF(Dados_Ajustados_v4!P6="","SEM_DADO",IF(AND(Dados_Observados_v4!O6&lt;&gt;"",Dados_Observados_v4!Q6&lt;&gt;"",(2022-2020-1)&lt;=Metodologia_v4!$B$12),"EST_INTERP_LINEAR",IF(AND(Dados_Observados_v4!O6&lt;&gt;"",(2021-2020)&lt;=Metodologia_v4!$B$13),"EST_CARRY_FORWARD",IF(AND(Dados_Observados_v4!Q6&lt;&gt;"",(2022-2021)&lt;=Metodologia_v4!$B$14),"EST_CARRY_BACKWARD","SEM_DADO")))))</f>
        <v/>
      </c>
      <c r="Q6" s="10">
        <f>IF(Dados_Observados_v4!Q6&lt;&gt;"","OBS",IF(Dados_Ajustados_v4!Q6="","SEM_DADO",IF(AND(Dados_Observados_v4!P6&lt;&gt;"",Dados_Observados_v4!R6&lt;&gt;"",(2023-2021-1)&lt;=Metodologia_v4!$B$12),"EST_INTERP_LINEAR",IF(AND(Dados_Observados_v4!P6&lt;&gt;"",(2022-2021)&lt;=Metodologia_v4!$B$13),"EST_CARRY_FORWARD",IF(AND(Dados_Observados_v4!R6&lt;&gt;"",(2023-2022)&lt;=Metodologia_v4!$B$14),"EST_CARRY_BACKWARD","SEM_DADO")))))</f>
        <v/>
      </c>
      <c r="R6" s="10">
        <f>IF(Dados_Observados_v4!R6&lt;&gt;"","OBS",IF(Dados_Ajustados_v4!R6="","SEM_DADO",IF(AND(Dados_Observados_v4!Q6&lt;&gt;"",Dados_Observados_v4!S6&lt;&gt;"",(2024-2022-1)&lt;=Metodologia_v4!$B$12),"EST_INTERP_LINEAR",IF(AND(Dados_Observados_v4!Q6&lt;&gt;"",(2023-2022)&lt;=Metodologia_v4!$B$13),"EST_CARRY_FORWARD",IF(AND(Dados_Observados_v4!S6&lt;&gt;"",(2024-2023)&lt;=Metodologia_v4!$B$14),"EST_CARRY_BACKWARD","SEM_DADO")))))</f>
        <v/>
      </c>
      <c r="S6" s="10">
        <f>IF(Dados_Observados_v4!S6&lt;&gt;"","OBS",IF(Dados_Ajustados_v4!S6="","SEM_DADO",IF(AND(Dados_Observados_v4!R6&lt;&gt;"",(2024-2023)&lt;=Metodologia_v4!$B$13),"EST_CARRY_FORWARD","SEM_DADO")))</f>
        <v/>
      </c>
      <c r="T6" s="10">
        <f>IF(Dados_Observados_v4!T6&lt;&gt;"","OBS",IF(Dados_Ajustados_v4!T6="","SEM_DADO",IF(AND(Dados_Observados_v4!S6&lt;&gt;"",(2025-2024)&lt;=Metodologia_v4!$B$13),"EST_CARRY_FORWARD","SEM_DADO")))</f>
        <v/>
      </c>
    </row>
    <row r="7">
      <c r="A7" s="5" t="inlineStr">
        <is>
          <t>GOV03</t>
        </is>
      </c>
      <c r="B7" s="5" t="inlineStr">
        <is>
          <t>1. Governança e Estado de Direito</t>
        </is>
      </c>
      <c r="C7" s="5" t="inlineStr">
        <is>
          <t>WGI - Eficiência do Governo</t>
        </is>
      </c>
      <c r="D7" s="5" t="inlineStr">
        <is>
          <t>Worldwide Governance Indicators</t>
        </is>
      </c>
      <c r="E7" s="5" t="inlineStr">
        <is>
          <t>GE.EST</t>
        </is>
      </c>
      <c r="F7" s="5" t="inlineStr">
        <is>
          <t>Fonte oficial WGI 2025</t>
        </is>
      </c>
      <c r="G7" s="5" t="inlineStr">
        <is>
          <t>10/11</t>
        </is>
      </c>
      <c r="H7" s="5" t="n">
        <v>2024</v>
      </c>
      <c r="I7" s="5" t="inlineStr">
        <is>
          <t>Referenciado pelas regras de Metodologia_v4</t>
        </is>
      </c>
      <c r="J7" s="10">
        <f>IF(Dados_Observados_v4!J7&lt;&gt;"","OBS",IF(Dados_Ajustados_v4!J7="","SEM_DADO",IF(AND(Dados_Observados_v4!K7&lt;&gt;"",(2016-2015)&lt;=Metodologia_v4!$B$14),"EST_CARRY_BACKWARD","SEM_DADO")))</f>
        <v/>
      </c>
      <c r="K7" s="10">
        <f>IF(Dados_Observados_v4!K7&lt;&gt;"","OBS",IF(Dados_Ajustados_v4!K7="","SEM_DADO",IF(AND(Dados_Observados_v4!J7&lt;&gt;"",Dados_Observados_v4!L7&lt;&gt;"",(2017-2015-1)&lt;=Metodologia_v4!$B$12),"EST_INTERP_LINEAR",IF(AND(Dados_Observados_v4!J7&lt;&gt;"",(2016-2015)&lt;=Metodologia_v4!$B$13),"EST_CARRY_FORWARD",IF(AND(Dados_Observados_v4!L7&lt;&gt;"",(2017-2016)&lt;=Metodologia_v4!$B$14),"EST_CARRY_BACKWARD","SEM_DADO")))))</f>
        <v/>
      </c>
      <c r="L7" s="10">
        <f>IF(Dados_Observados_v4!L7&lt;&gt;"","OBS",IF(Dados_Ajustados_v4!L7="","SEM_DADO",IF(AND(Dados_Observados_v4!K7&lt;&gt;"",Dados_Observados_v4!M7&lt;&gt;"",(2018-2016-1)&lt;=Metodologia_v4!$B$12),"EST_INTERP_LINEAR",IF(AND(Dados_Observados_v4!K7&lt;&gt;"",(2017-2016)&lt;=Metodologia_v4!$B$13),"EST_CARRY_FORWARD",IF(AND(Dados_Observados_v4!M7&lt;&gt;"",(2018-2017)&lt;=Metodologia_v4!$B$14),"EST_CARRY_BACKWARD","SEM_DADO")))))</f>
        <v/>
      </c>
      <c r="M7" s="10">
        <f>IF(Dados_Observados_v4!M7&lt;&gt;"","OBS",IF(Dados_Ajustados_v4!M7="","SEM_DADO",IF(AND(Dados_Observados_v4!L7&lt;&gt;"",Dados_Observados_v4!N7&lt;&gt;"",(2019-2017-1)&lt;=Metodologia_v4!$B$12),"EST_INTERP_LINEAR",IF(AND(Dados_Observados_v4!L7&lt;&gt;"",(2018-2017)&lt;=Metodologia_v4!$B$13),"EST_CARRY_FORWARD",IF(AND(Dados_Observados_v4!N7&lt;&gt;"",(2019-2018)&lt;=Metodologia_v4!$B$14),"EST_CARRY_BACKWARD","SEM_DADO")))))</f>
        <v/>
      </c>
      <c r="N7" s="10">
        <f>IF(Dados_Observados_v4!N7&lt;&gt;"","OBS",IF(Dados_Ajustados_v4!N7="","SEM_DADO",IF(AND(Dados_Observados_v4!M7&lt;&gt;"",Dados_Observados_v4!O7&lt;&gt;"",(2020-2018-1)&lt;=Metodologia_v4!$B$12),"EST_INTERP_LINEAR",IF(AND(Dados_Observados_v4!M7&lt;&gt;"",(2019-2018)&lt;=Metodologia_v4!$B$13),"EST_CARRY_FORWARD",IF(AND(Dados_Observados_v4!O7&lt;&gt;"",(2020-2019)&lt;=Metodologia_v4!$B$14),"EST_CARRY_BACKWARD","SEM_DADO")))))</f>
        <v/>
      </c>
      <c r="O7" s="10">
        <f>IF(Dados_Observados_v4!O7&lt;&gt;"","OBS",IF(Dados_Ajustados_v4!O7="","SEM_DADO",IF(AND(Dados_Observados_v4!N7&lt;&gt;"",Dados_Observados_v4!P7&lt;&gt;"",(2021-2019-1)&lt;=Metodologia_v4!$B$12),"EST_INTERP_LINEAR",IF(AND(Dados_Observados_v4!N7&lt;&gt;"",(2020-2019)&lt;=Metodologia_v4!$B$13),"EST_CARRY_FORWARD",IF(AND(Dados_Observados_v4!P7&lt;&gt;"",(2021-2020)&lt;=Metodologia_v4!$B$14),"EST_CARRY_BACKWARD","SEM_DADO")))))</f>
        <v/>
      </c>
      <c r="P7" s="10">
        <f>IF(Dados_Observados_v4!P7&lt;&gt;"","OBS",IF(Dados_Ajustados_v4!P7="","SEM_DADO",IF(AND(Dados_Observados_v4!O7&lt;&gt;"",Dados_Observados_v4!Q7&lt;&gt;"",(2022-2020-1)&lt;=Metodologia_v4!$B$12),"EST_INTERP_LINEAR",IF(AND(Dados_Observados_v4!O7&lt;&gt;"",(2021-2020)&lt;=Metodologia_v4!$B$13),"EST_CARRY_FORWARD",IF(AND(Dados_Observados_v4!Q7&lt;&gt;"",(2022-2021)&lt;=Metodologia_v4!$B$14),"EST_CARRY_BACKWARD","SEM_DADO")))))</f>
        <v/>
      </c>
      <c r="Q7" s="10">
        <f>IF(Dados_Observados_v4!Q7&lt;&gt;"","OBS",IF(Dados_Ajustados_v4!Q7="","SEM_DADO",IF(AND(Dados_Observados_v4!P7&lt;&gt;"",Dados_Observados_v4!R7&lt;&gt;"",(2023-2021-1)&lt;=Metodologia_v4!$B$12),"EST_INTERP_LINEAR",IF(AND(Dados_Observados_v4!P7&lt;&gt;"",(2022-2021)&lt;=Metodologia_v4!$B$13),"EST_CARRY_FORWARD",IF(AND(Dados_Observados_v4!R7&lt;&gt;"",(2023-2022)&lt;=Metodologia_v4!$B$14),"EST_CARRY_BACKWARD","SEM_DADO")))))</f>
        <v/>
      </c>
      <c r="R7" s="10">
        <f>IF(Dados_Observados_v4!R7&lt;&gt;"","OBS",IF(Dados_Ajustados_v4!R7="","SEM_DADO",IF(AND(Dados_Observados_v4!Q7&lt;&gt;"",Dados_Observados_v4!S7&lt;&gt;"",(2024-2022-1)&lt;=Metodologia_v4!$B$12),"EST_INTERP_LINEAR",IF(AND(Dados_Observados_v4!Q7&lt;&gt;"",(2023-2022)&lt;=Metodologia_v4!$B$13),"EST_CARRY_FORWARD",IF(AND(Dados_Observados_v4!S7&lt;&gt;"",(2024-2023)&lt;=Metodologia_v4!$B$14),"EST_CARRY_BACKWARD","SEM_DADO")))))</f>
        <v/>
      </c>
      <c r="S7" s="10">
        <f>IF(Dados_Observados_v4!S7&lt;&gt;"","OBS",IF(Dados_Ajustados_v4!S7="","SEM_DADO",IF(AND(Dados_Observados_v4!R7&lt;&gt;"",(2024-2023)&lt;=Metodologia_v4!$B$13),"EST_CARRY_FORWARD","SEM_DADO")))</f>
        <v/>
      </c>
      <c r="T7" s="10">
        <f>IF(Dados_Observados_v4!T7&lt;&gt;"","OBS",IF(Dados_Ajustados_v4!T7="","SEM_DADO",IF(AND(Dados_Observados_v4!S7&lt;&gt;"",(2025-2024)&lt;=Metodologia_v4!$B$13),"EST_CARRY_FORWARD","SEM_DADO")))</f>
        <v/>
      </c>
    </row>
    <row r="8">
      <c r="A8" s="5" t="inlineStr">
        <is>
          <t>GOV04</t>
        </is>
      </c>
      <c r="B8" s="5" t="inlineStr">
        <is>
          <t>1. Governança e Estado de Direito</t>
        </is>
      </c>
      <c r="C8" s="5" t="inlineStr">
        <is>
          <t>WGI - Estabilidade Política</t>
        </is>
      </c>
      <c r="D8" s="5" t="inlineStr">
        <is>
          <t>Worldwide Governance Indicators</t>
        </is>
      </c>
      <c r="E8" s="5" t="inlineStr">
        <is>
          <t>PV.EST</t>
        </is>
      </c>
      <c r="F8" s="5" t="inlineStr">
        <is>
          <t>Fonte oficial WGI 2025</t>
        </is>
      </c>
      <c r="G8" s="5" t="inlineStr">
        <is>
          <t>10/11</t>
        </is>
      </c>
      <c r="H8" s="5" t="n">
        <v>2024</v>
      </c>
      <c r="I8" s="5" t="inlineStr">
        <is>
          <t>Referenciado pelas regras de Metodologia_v4</t>
        </is>
      </c>
      <c r="J8" s="10">
        <f>IF(Dados_Observados_v4!J8&lt;&gt;"","OBS",IF(Dados_Ajustados_v4!J8="","SEM_DADO",IF(AND(Dados_Observados_v4!K8&lt;&gt;"",(2016-2015)&lt;=Metodologia_v4!$B$14),"EST_CARRY_BACKWARD","SEM_DADO")))</f>
        <v/>
      </c>
      <c r="K8" s="10">
        <f>IF(Dados_Observados_v4!K8&lt;&gt;"","OBS",IF(Dados_Ajustados_v4!K8="","SEM_DADO",IF(AND(Dados_Observados_v4!J8&lt;&gt;"",Dados_Observados_v4!L8&lt;&gt;"",(2017-2015-1)&lt;=Metodologia_v4!$B$12),"EST_INTERP_LINEAR",IF(AND(Dados_Observados_v4!J8&lt;&gt;"",(2016-2015)&lt;=Metodologia_v4!$B$13),"EST_CARRY_FORWARD",IF(AND(Dados_Observados_v4!L8&lt;&gt;"",(2017-2016)&lt;=Metodologia_v4!$B$14),"EST_CARRY_BACKWARD","SEM_DADO")))))</f>
        <v/>
      </c>
      <c r="L8" s="10">
        <f>IF(Dados_Observados_v4!L8&lt;&gt;"","OBS",IF(Dados_Ajustados_v4!L8="","SEM_DADO",IF(AND(Dados_Observados_v4!K8&lt;&gt;"",Dados_Observados_v4!M8&lt;&gt;"",(2018-2016-1)&lt;=Metodologia_v4!$B$12),"EST_INTERP_LINEAR",IF(AND(Dados_Observados_v4!K8&lt;&gt;"",(2017-2016)&lt;=Metodologia_v4!$B$13),"EST_CARRY_FORWARD",IF(AND(Dados_Observados_v4!M8&lt;&gt;"",(2018-2017)&lt;=Metodologia_v4!$B$14),"EST_CARRY_BACKWARD","SEM_DADO")))))</f>
        <v/>
      </c>
      <c r="M8" s="10">
        <f>IF(Dados_Observados_v4!M8&lt;&gt;"","OBS",IF(Dados_Ajustados_v4!M8="","SEM_DADO",IF(AND(Dados_Observados_v4!L8&lt;&gt;"",Dados_Observados_v4!N8&lt;&gt;"",(2019-2017-1)&lt;=Metodologia_v4!$B$12),"EST_INTERP_LINEAR",IF(AND(Dados_Observados_v4!L8&lt;&gt;"",(2018-2017)&lt;=Metodologia_v4!$B$13),"EST_CARRY_FORWARD",IF(AND(Dados_Observados_v4!N8&lt;&gt;"",(2019-2018)&lt;=Metodologia_v4!$B$14),"EST_CARRY_BACKWARD","SEM_DADO")))))</f>
        <v/>
      </c>
      <c r="N8" s="10">
        <f>IF(Dados_Observados_v4!N8&lt;&gt;"","OBS",IF(Dados_Ajustados_v4!N8="","SEM_DADO",IF(AND(Dados_Observados_v4!M8&lt;&gt;"",Dados_Observados_v4!O8&lt;&gt;"",(2020-2018-1)&lt;=Metodologia_v4!$B$12),"EST_INTERP_LINEAR",IF(AND(Dados_Observados_v4!M8&lt;&gt;"",(2019-2018)&lt;=Metodologia_v4!$B$13),"EST_CARRY_FORWARD",IF(AND(Dados_Observados_v4!O8&lt;&gt;"",(2020-2019)&lt;=Metodologia_v4!$B$14),"EST_CARRY_BACKWARD","SEM_DADO")))))</f>
        <v/>
      </c>
      <c r="O8" s="10">
        <f>IF(Dados_Observados_v4!O8&lt;&gt;"","OBS",IF(Dados_Ajustados_v4!O8="","SEM_DADO",IF(AND(Dados_Observados_v4!N8&lt;&gt;"",Dados_Observados_v4!P8&lt;&gt;"",(2021-2019-1)&lt;=Metodologia_v4!$B$12),"EST_INTERP_LINEAR",IF(AND(Dados_Observados_v4!N8&lt;&gt;"",(2020-2019)&lt;=Metodologia_v4!$B$13),"EST_CARRY_FORWARD",IF(AND(Dados_Observados_v4!P8&lt;&gt;"",(2021-2020)&lt;=Metodologia_v4!$B$14),"EST_CARRY_BACKWARD","SEM_DADO")))))</f>
        <v/>
      </c>
      <c r="P8" s="10">
        <f>IF(Dados_Observados_v4!P8&lt;&gt;"","OBS",IF(Dados_Ajustados_v4!P8="","SEM_DADO",IF(AND(Dados_Observados_v4!O8&lt;&gt;"",Dados_Observados_v4!Q8&lt;&gt;"",(2022-2020-1)&lt;=Metodologia_v4!$B$12),"EST_INTERP_LINEAR",IF(AND(Dados_Observados_v4!O8&lt;&gt;"",(2021-2020)&lt;=Metodologia_v4!$B$13),"EST_CARRY_FORWARD",IF(AND(Dados_Observados_v4!Q8&lt;&gt;"",(2022-2021)&lt;=Metodologia_v4!$B$14),"EST_CARRY_BACKWARD","SEM_DADO")))))</f>
        <v/>
      </c>
      <c r="Q8" s="10">
        <f>IF(Dados_Observados_v4!Q8&lt;&gt;"","OBS",IF(Dados_Ajustados_v4!Q8="","SEM_DADO",IF(AND(Dados_Observados_v4!P8&lt;&gt;"",Dados_Observados_v4!R8&lt;&gt;"",(2023-2021-1)&lt;=Metodologia_v4!$B$12),"EST_INTERP_LINEAR",IF(AND(Dados_Observados_v4!P8&lt;&gt;"",(2022-2021)&lt;=Metodologia_v4!$B$13),"EST_CARRY_FORWARD",IF(AND(Dados_Observados_v4!R8&lt;&gt;"",(2023-2022)&lt;=Metodologia_v4!$B$14),"EST_CARRY_BACKWARD","SEM_DADO")))))</f>
        <v/>
      </c>
      <c r="R8" s="10">
        <f>IF(Dados_Observados_v4!R8&lt;&gt;"","OBS",IF(Dados_Ajustados_v4!R8="","SEM_DADO",IF(AND(Dados_Observados_v4!Q8&lt;&gt;"",Dados_Observados_v4!S8&lt;&gt;"",(2024-2022-1)&lt;=Metodologia_v4!$B$12),"EST_INTERP_LINEAR",IF(AND(Dados_Observados_v4!Q8&lt;&gt;"",(2023-2022)&lt;=Metodologia_v4!$B$13),"EST_CARRY_FORWARD",IF(AND(Dados_Observados_v4!S8&lt;&gt;"",(2024-2023)&lt;=Metodologia_v4!$B$14),"EST_CARRY_BACKWARD","SEM_DADO")))))</f>
        <v/>
      </c>
      <c r="S8" s="10">
        <f>IF(Dados_Observados_v4!S8&lt;&gt;"","OBS",IF(Dados_Ajustados_v4!S8="","SEM_DADO",IF(AND(Dados_Observados_v4!R8&lt;&gt;"",(2024-2023)&lt;=Metodologia_v4!$B$13),"EST_CARRY_FORWARD","SEM_DADO")))</f>
        <v/>
      </c>
      <c r="T8" s="10">
        <f>IF(Dados_Observados_v4!T8&lt;&gt;"","OBS",IF(Dados_Ajustados_v4!T8="","SEM_DADO",IF(AND(Dados_Observados_v4!S8&lt;&gt;"",(2025-2024)&lt;=Metodologia_v4!$B$13),"EST_CARRY_FORWARD","SEM_DADO")))</f>
        <v/>
      </c>
    </row>
    <row r="9">
      <c r="A9" s="5" t="inlineStr">
        <is>
          <t>GOV05</t>
        </is>
      </c>
      <c r="B9" s="5" t="inlineStr">
        <is>
          <t>1. Governança e Estado de Direito</t>
        </is>
      </c>
      <c r="C9" s="5" t="inlineStr">
        <is>
          <t>WGI - Qualidade Regulatória</t>
        </is>
      </c>
      <c r="D9" s="5" t="inlineStr">
        <is>
          <t>Worldwide Governance Indicators</t>
        </is>
      </c>
      <c r="E9" s="5" t="inlineStr">
        <is>
          <t>RQ.EST</t>
        </is>
      </c>
      <c r="F9" s="5" t="inlineStr">
        <is>
          <t>Fonte oficial WGI 2025</t>
        </is>
      </c>
      <c r="G9" s="5" t="inlineStr">
        <is>
          <t>10/11</t>
        </is>
      </c>
      <c r="H9" s="5" t="n">
        <v>2024</v>
      </c>
      <c r="I9" s="5" t="inlineStr">
        <is>
          <t>Referenciado pelas regras de Metodologia_v4</t>
        </is>
      </c>
      <c r="J9" s="10">
        <f>IF(Dados_Observados_v4!J9&lt;&gt;"","OBS",IF(Dados_Ajustados_v4!J9="","SEM_DADO",IF(AND(Dados_Observados_v4!K9&lt;&gt;"",(2016-2015)&lt;=Metodologia_v4!$B$14),"EST_CARRY_BACKWARD","SEM_DADO")))</f>
        <v/>
      </c>
      <c r="K9" s="10">
        <f>IF(Dados_Observados_v4!K9&lt;&gt;"","OBS",IF(Dados_Ajustados_v4!K9="","SEM_DADO",IF(AND(Dados_Observados_v4!J9&lt;&gt;"",Dados_Observados_v4!L9&lt;&gt;"",(2017-2015-1)&lt;=Metodologia_v4!$B$12),"EST_INTERP_LINEAR",IF(AND(Dados_Observados_v4!J9&lt;&gt;"",(2016-2015)&lt;=Metodologia_v4!$B$13),"EST_CARRY_FORWARD",IF(AND(Dados_Observados_v4!L9&lt;&gt;"",(2017-2016)&lt;=Metodologia_v4!$B$14),"EST_CARRY_BACKWARD","SEM_DADO")))))</f>
        <v/>
      </c>
      <c r="L9" s="10">
        <f>IF(Dados_Observados_v4!L9&lt;&gt;"","OBS",IF(Dados_Ajustados_v4!L9="","SEM_DADO",IF(AND(Dados_Observados_v4!K9&lt;&gt;"",Dados_Observados_v4!M9&lt;&gt;"",(2018-2016-1)&lt;=Metodologia_v4!$B$12),"EST_INTERP_LINEAR",IF(AND(Dados_Observados_v4!K9&lt;&gt;"",(2017-2016)&lt;=Metodologia_v4!$B$13),"EST_CARRY_FORWARD",IF(AND(Dados_Observados_v4!M9&lt;&gt;"",(2018-2017)&lt;=Metodologia_v4!$B$14),"EST_CARRY_BACKWARD","SEM_DADO")))))</f>
        <v/>
      </c>
      <c r="M9" s="10">
        <f>IF(Dados_Observados_v4!M9&lt;&gt;"","OBS",IF(Dados_Ajustados_v4!M9="","SEM_DADO",IF(AND(Dados_Observados_v4!L9&lt;&gt;"",Dados_Observados_v4!N9&lt;&gt;"",(2019-2017-1)&lt;=Metodologia_v4!$B$12),"EST_INTERP_LINEAR",IF(AND(Dados_Observados_v4!L9&lt;&gt;"",(2018-2017)&lt;=Metodologia_v4!$B$13),"EST_CARRY_FORWARD",IF(AND(Dados_Observados_v4!N9&lt;&gt;"",(2019-2018)&lt;=Metodologia_v4!$B$14),"EST_CARRY_BACKWARD","SEM_DADO")))))</f>
        <v/>
      </c>
      <c r="N9" s="10">
        <f>IF(Dados_Observados_v4!N9&lt;&gt;"","OBS",IF(Dados_Ajustados_v4!N9="","SEM_DADO",IF(AND(Dados_Observados_v4!M9&lt;&gt;"",Dados_Observados_v4!O9&lt;&gt;"",(2020-2018-1)&lt;=Metodologia_v4!$B$12),"EST_INTERP_LINEAR",IF(AND(Dados_Observados_v4!M9&lt;&gt;"",(2019-2018)&lt;=Metodologia_v4!$B$13),"EST_CARRY_FORWARD",IF(AND(Dados_Observados_v4!O9&lt;&gt;"",(2020-2019)&lt;=Metodologia_v4!$B$14),"EST_CARRY_BACKWARD","SEM_DADO")))))</f>
        <v/>
      </c>
      <c r="O9" s="10">
        <f>IF(Dados_Observados_v4!O9&lt;&gt;"","OBS",IF(Dados_Ajustados_v4!O9="","SEM_DADO",IF(AND(Dados_Observados_v4!N9&lt;&gt;"",Dados_Observados_v4!P9&lt;&gt;"",(2021-2019-1)&lt;=Metodologia_v4!$B$12),"EST_INTERP_LINEAR",IF(AND(Dados_Observados_v4!N9&lt;&gt;"",(2020-2019)&lt;=Metodologia_v4!$B$13),"EST_CARRY_FORWARD",IF(AND(Dados_Observados_v4!P9&lt;&gt;"",(2021-2020)&lt;=Metodologia_v4!$B$14),"EST_CARRY_BACKWARD","SEM_DADO")))))</f>
        <v/>
      </c>
      <c r="P9" s="10">
        <f>IF(Dados_Observados_v4!P9&lt;&gt;"","OBS",IF(Dados_Ajustados_v4!P9="","SEM_DADO",IF(AND(Dados_Observados_v4!O9&lt;&gt;"",Dados_Observados_v4!Q9&lt;&gt;"",(2022-2020-1)&lt;=Metodologia_v4!$B$12),"EST_INTERP_LINEAR",IF(AND(Dados_Observados_v4!O9&lt;&gt;"",(2021-2020)&lt;=Metodologia_v4!$B$13),"EST_CARRY_FORWARD",IF(AND(Dados_Observados_v4!Q9&lt;&gt;"",(2022-2021)&lt;=Metodologia_v4!$B$14),"EST_CARRY_BACKWARD","SEM_DADO")))))</f>
        <v/>
      </c>
      <c r="Q9" s="10">
        <f>IF(Dados_Observados_v4!Q9&lt;&gt;"","OBS",IF(Dados_Ajustados_v4!Q9="","SEM_DADO",IF(AND(Dados_Observados_v4!P9&lt;&gt;"",Dados_Observados_v4!R9&lt;&gt;"",(2023-2021-1)&lt;=Metodologia_v4!$B$12),"EST_INTERP_LINEAR",IF(AND(Dados_Observados_v4!P9&lt;&gt;"",(2022-2021)&lt;=Metodologia_v4!$B$13),"EST_CARRY_FORWARD",IF(AND(Dados_Observados_v4!R9&lt;&gt;"",(2023-2022)&lt;=Metodologia_v4!$B$14),"EST_CARRY_BACKWARD","SEM_DADO")))))</f>
        <v/>
      </c>
      <c r="R9" s="10">
        <f>IF(Dados_Observados_v4!R9&lt;&gt;"","OBS",IF(Dados_Ajustados_v4!R9="","SEM_DADO",IF(AND(Dados_Observados_v4!Q9&lt;&gt;"",Dados_Observados_v4!S9&lt;&gt;"",(2024-2022-1)&lt;=Metodologia_v4!$B$12),"EST_INTERP_LINEAR",IF(AND(Dados_Observados_v4!Q9&lt;&gt;"",(2023-2022)&lt;=Metodologia_v4!$B$13),"EST_CARRY_FORWARD",IF(AND(Dados_Observados_v4!S9&lt;&gt;"",(2024-2023)&lt;=Metodologia_v4!$B$14),"EST_CARRY_BACKWARD","SEM_DADO")))))</f>
        <v/>
      </c>
      <c r="S9" s="10">
        <f>IF(Dados_Observados_v4!S9&lt;&gt;"","OBS",IF(Dados_Ajustados_v4!S9="","SEM_DADO",IF(AND(Dados_Observados_v4!R9&lt;&gt;"",(2024-2023)&lt;=Metodologia_v4!$B$13),"EST_CARRY_FORWARD","SEM_DADO")))</f>
        <v/>
      </c>
      <c r="T9" s="10">
        <f>IF(Dados_Observados_v4!T9&lt;&gt;"","OBS",IF(Dados_Ajustados_v4!T9="","SEM_DADO",IF(AND(Dados_Observados_v4!S9&lt;&gt;"",(2025-2024)&lt;=Metodologia_v4!$B$13),"EST_CARRY_FORWARD","SEM_DADO")))</f>
        <v/>
      </c>
    </row>
    <row r="10">
      <c r="A10" s="5" t="inlineStr">
        <is>
          <t>GOV06</t>
        </is>
      </c>
      <c r="B10" s="5" t="inlineStr">
        <is>
          <t>1. Governança e Estado de Direito</t>
        </is>
      </c>
      <c r="C10" s="5" t="inlineStr">
        <is>
          <t>WGI - Controlo da Corrupção</t>
        </is>
      </c>
      <c r="D10" s="5" t="inlineStr">
        <is>
          <t>Worldwide Governance Indicators</t>
        </is>
      </c>
      <c r="E10" s="5" t="inlineStr">
        <is>
          <t>CC.EST</t>
        </is>
      </c>
      <c r="F10" s="5" t="inlineStr">
        <is>
          <t>Fonte oficial WGI 2025</t>
        </is>
      </c>
      <c r="G10" s="5" t="inlineStr">
        <is>
          <t>10/11</t>
        </is>
      </c>
      <c r="H10" s="5" t="n">
        <v>2024</v>
      </c>
      <c r="I10" s="5" t="inlineStr">
        <is>
          <t>Referenciado pelas regras de Metodologia_v4</t>
        </is>
      </c>
      <c r="J10" s="10">
        <f>IF(Dados_Observados_v4!J10&lt;&gt;"","OBS",IF(Dados_Ajustados_v4!J10="","SEM_DADO",IF(AND(Dados_Observados_v4!K10&lt;&gt;"",(2016-2015)&lt;=Metodologia_v4!$B$14),"EST_CARRY_BACKWARD","SEM_DADO")))</f>
        <v/>
      </c>
      <c r="K10" s="10">
        <f>IF(Dados_Observados_v4!K10&lt;&gt;"","OBS",IF(Dados_Ajustados_v4!K10="","SEM_DADO",IF(AND(Dados_Observados_v4!J10&lt;&gt;"",Dados_Observados_v4!L10&lt;&gt;"",(2017-2015-1)&lt;=Metodologia_v4!$B$12),"EST_INTERP_LINEAR",IF(AND(Dados_Observados_v4!J10&lt;&gt;"",(2016-2015)&lt;=Metodologia_v4!$B$13),"EST_CARRY_FORWARD",IF(AND(Dados_Observados_v4!L10&lt;&gt;"",(2017-2016)&lt;=Metodologia_v4!$B$14),"EST_CARRY_BACKWARD","SEM_DADO")))))</f>
        <v/>
      </c>
      <c r="L10" s="10">
        <f>IF(Dados_Observados_v4!L10&lt;&gt;"","OBS",IF(Dados_Ajustados_v4!L10="","SEM_DADO",IF(AND(Dados_Observados_v4!K10&lt;&gt;"",Dados_Observados_v4!M10&lt;&gt;"",(2018-2016-1)&lt;=Metodologia_v4!$B$12),"EST_INTERP_LINEAR",IF(AND(Dados_Observados_v4!K10&lt;&gt;"",(2017-2016)&lt;=Metodologia_v4!$B$13),"EST_CARRY_FORWARD",IF(AND(Dados_Observados_v4!M10&lt;&gt;"",(2018-2017)&lt;=Metodologia_v4!$B$14),"EST_CARRY_BACKWARD","SEM_DADO")))))</f>
        <v/>
      </c>
      <c r="M10" s="10">
        <f>IF(Dados_Observados_v4!M10&lt;&gt;"","OBS",IF(Dados_Ajustados_v4!M10="","SEM_DADO",IF(AND(Dados_Observados_v4!L10&lt;&gt;"",Dados_Observados_v4!N10&lt;&gt;"",(2019-2017-1)&lt;=Metodologia_v4!$B$12),"EST_INTERP_LINEAR",IF(AND(Dados_Observados_v4!L10&lt;&gt;"",(2018-2017)&lt;=Metodologia_v4!$B$13),"EST_CARRY_FORWARD",IF(AND(Dados_Observados_v4!N10&lt;&gt;"",(2019-2018)&lt;=Metodologia_v4!$B$14),"EST_CARRY_BACKWARD","SEM_DADO")))))</f>
        <v/>
      </c>
      <c r="N10" s="10">
        <f>IF(Dados_Observados_v4!N10&lt;&gt;"","OBS",IF(Dados_Ajustados_v4!N10="","SEM_DADO",IF(AND(Dados_Observados_v4!M10&lt;&gt;"",Dados_Observados_v4!O10&lt;&gt;"",(2020-2018-1)&lt;=Metodologia_v4!$B$12),"EST_INTERP_LINEAR",IF(AND(Dados_Observados_v4!M10&lt;&gt;"",(2019-2018)&lt;=Metodologia_v4!$B$13),"EST_CARRY_FORWARD",IF(AND(Dados_Observados_v4!O10&lt;&gt;"",(2020-2019)&lt;=Metodologia_v4!$B$14),"EST_CARRY_BACKWARD","SEM_DADO")))))</f>
        <v/>
      </c>
      <c r="O10" s="10">
        <f>IF(Dados_Observados_v4!O10&lt;&gt;"","OBS",IF(Dados_Ajustados_v4!O10="","SEM_DADO",IF(AND(Dados_Observados_v4!N10&lt;&gt;"",Dados_Observados_v4!P10&lt;&gt;"",(2021-2019-1)&lt;=Metodologia_v4!$B$12),"EST_INTERP_LINEAR",IF(AND(Dados_Observados_v4!N10&lt;&gt;"",(2020-2019)&lt;=Metodologia_v4!$B$13),"EST_CARRY_FORWARD",IF(AND(Dados_Observados_v4!P10&lt;&gt;"",(2021-2020)&lt;=Metodologia_v4!$B$14),"EST_CARRY_BACKWARD","SEM_DADO")))))</f>
        <v/>
      </c>
      <c r="P10" s="10">
        <f>IF(Dados_Observados_v4!P10&lt;&gt;"","OBS",IF(Dados_Ajustados_v4!P10="","SEM_DADO",IF(AND(Dados_Observados_v4!O10&lt;&gt;"",Dados_Observados_v4!Q10&lt;&gt;"",(2022-2020-1)&lt;=Metodologia_v4!$B$12),"EST_INTERP_LINEAR",IF(AND(Dados_Observados_v4!O10&lt;&gt;"",(2021-2020)&lt;=Metodologia_v4!$B$13),"EST_CARRY_FORWARD",IF(AND(Dados_Observados_v4!Q10&lt;&gt;"",(2022-2021)&lt;=Metodologia_v4!$B$14),"EST_CARRY_BACKWARD","SEM_DADO")))))</f>
        <v/>
      </c>
      <c r="Q10" s="10">
        <f>IF(Dados_Observados_v4!Q10&lt;&gt;"","OBS",IF(Dados_Ajustados_v4!Q10="","SEM_DADO",IF(AND(Dados_Observados_v4!P10&lt;&gt;"",Dados_Observados_v4!R10&lt;&gt;"",(2023-2021-1)&lt;=Metodologia_v4!$B$12),"EST_INTERP_LINEAR",IF(AND(Dados_Observados_v4!P10&lt;&gt;"",(2022-2021)&lt;=Metodologia_v4!$B$13),"EST_CARRY_FORWARD",IF(AND(Dados_Observados_v4!R10&lt;&gt;"",(2023-2022)&lt;=Metodologia_v4!$B$14),"EST_CARRY_BACKWARD","SEM_DADO")))))</f>
        <v/>
      </c>
      <c r="R10" s="10">
        <f>IF(Dados_Observados_v4!R10&lt;&gt;"","OBS",IF(Dados_Ajustados_v4!R10="","SEM_DADO",IF(AND(Dados_Observados_v4!Q10&lt;&gt;"",Dados_Observados_v4!S10&lt;&gt;"",(2024-2022-1)&lt;=Metodologia_v4!$B$12),"EST_INTERP_LINEAR",IF(AND(Dados_Observados_v4!Q10&lt;&gt;"",(2023-2022)&lt;=Metodologia_v4!$B$13),"EST_CARRY_FORWARD",IF(AND(Dados_Observados_v4!S10&lt;&gt;"",(2024-2023)&lt;=Metodologia_v4!$B$14),"EST_CARRY_BACKWARD","SEM_DADO")))))</f>
        <v/>
      </c>
      <c r="S10" s="10">
        <f>IF(Dados_Observados_v4!S10&lt;&gt;"","OBS",IF(Dados_Ajustados_v4!S10="","SEM_DADO",IF(AND(Dados_Observados_v4!R10&lt;&gt;"",(2024-2023)&lt;=Metodologia_v4!$B$13),"EST_CARRY_FORWARD","SEM_DADO")))</f>
        <v/>
      </c>
      <c r="T10" s="10">
        <f>IF(Dados_Observados_v4!T10&lt;&gt;"","OBS",IF(Dados_Ajustados_v4!T10="","SEM_DADO",IF(AND(Dados_Observados_v4!S10&lt;&gt;"",(2025-2024)&lt;=Metodologia_v4!$B$13),"EST_CARRY_FORWARD","SEM_DADO")))</f>
        <v/>
      </c>
    </row>
    <row r="11">
      <c r="A11" s="5" t="inlineStr">
        <is>
          <t>MAC01</t>
        </is>
      </c>
      <c r="B11" s="5" t="inlineStr">
        <is>
          <t>2. Estabilidade Macroeconómica</t>
        </is>
      </c>
      <c r="C11" s="5" t="inlineStr">
        <is>
          <t>Crescimento real do PIB</t>
        </is>
      </c>
      <c r="D11" s="5" t="inlineStr">
        <is>
          <t>Banco Mundial/WDI</t>
        </is>
      </c>
      <c r="E11" s="5" t="inlineStr">
        <is>
          <t>NY.GDP.MKTP.KD.ZG</t>
        </is>
      </c>
      <c r="F11" s="5" t="inlineStr">
        <is>
          <t>Fonte Banco Mundial API/CSV</t>
        </is>
      </c>
      <c r="G11" s="5" t="inlineStr">
        <is>
          <t>10/11</t>
        </is>
      </c>
      <c r="H11" s="5" t="n">
        <v>2024</v>
      </c>
      <c r="I11" s="5" t="inlineStr">
        <is>
          <t>Referenciado pelas regras de Metodologia_v4</t>
        </is>
      </c>
      <c r="J11" s="10">
        <f>IF(Dados_Observados_v4!J11&lt;&gt;"","OBS",IF(Dados_Ajustados_v4!J11="","SEM_DADO",IF(AND(Dados_Observados_v4!K11&lt;&gt;"",(2016-2015)&lt;=Metodologia_v4!$B$14),"EST_CARRY_BACKWARD","SEM_DADO")))</f>
        <v/>
      </c>
      <c r="K11" s="10">
        <f>IF(Dados_Observados_v4!K11&lt;&gt;"","OBS",IF(Dados_Ajustados_v4!K11="","SEM_DADO",IF(AND(Dados_Observados_v4!J11&lt;&gt;"",Dados_Observados_v4!L11&lt;&gt;"",(2017-2015-1)&lt;=Metodologia_v4!$B$12),"EST_INTERP_LINEAR",IF(AND(Dados_Observados_v4!J11&lt;&gt;"",(2016-2015)&lt;=Metodologia_v4!$B$13),"EST_CARRY_FORWARD",IF(AND(Dados_Observados_v4!L11&lt;&gt;"",(2017-2016)&lt;=Metodologia_v4!$B$14),"EST_CARRY_BACKWARD","SEM_DADO")))))</f>
        <v/>
      </c>
      <c r="L11" s="10">
        <f>IF(Dados_Observados_v4!L11&lt;&gt;"","OBS",IF(Dados_Ajustados_v4!L11="","SEM_DADO",IF(AND(Dados_Observados_v4!K11&lt;&gt;"",Dados_Observados_v4!M11&lt;&gt;"",(2018-2016-1)&lt;=Metodologia_v4!$B$12),"EST_INTERP_LINEAR",IF(AND(Dados_Observados_v4!K11&lt;&gt;"",(2017-2016)&lt;=Metodologia_v4!$B$13),"EST_CARRY_FORWARD",IF(AND(Dados_Observados_v4!M11&lt;&gt;"",(2018-2017)&lt;=Metodologia_v4!$B$14),"EST_CARRY_BACKWARD","SEM_DADO")))))</f>
        <v/>
      </c>
      <c r="M11" s="10">
        <f>IF(Dados_Observados_v4!M11&lt;&gt;"","OBS",IF(Dados_Ajustados_v4!M11="","SEM_DADO",IF(AND(Dados_Observados_v4!L11&lt;&gt;"",Dados_Observados_v4!N11&lt;&gt;"",(2019-2017-1)&lt;=Metodologia_v4!$B$12),"EST_INTERP_LINEAR",IF(AND(Dados_Observados_v4!L11&lt;&gt;"",(2018-2017)&lt;=Metodologia_v4!$B$13),"EST_CARRY_FORWARD",IF(AND(Dados_Observados_v4!N11&lt;&gt;"",(2019-2018)&lt;=Metodologia_v4!$B$14),"EST_CARRY_BACKWARD","SEM_DADO")))))</f>
        <v/>
      </c>
      <c r="N11" s="10">
        <f>IF(Dados_Observados_v4!N11&lt;&gt;"","OBS",IF(Dados_Ajustados_v4!N11="","SEM_DADO",IF(AND(Dados_Observados_v4!M11&lt;&gt;"",Dados_Observados_v4!O11&lt;&gt;"",(2020-2018-1)&lt;=Metodologia_v4!$B$12),"EST_INTERP_LINEAR",IF(AND(Dados_Observados_v4!M11&lt;&gt;"",(2019-2018)&lt;=Metodologia_v4!$B$13),"EST_CARRY_FORWARD",IF(AND(Dados_Observados_v4!O11&lt;&gt;"",(2020-2019)&lt;=Metodologia_v4!$B$14),"EST_CARRY_BACKWARD","SEM_DADO")))))</f>
        <v/>
      </c>
      <c r="O11" s="10">
        <f>IF(Dados_Observados_v4!O11&lt;&gt;"","OBS",IF(Dados_Ajustados_v4!O11="","SEM_DADO",IF(AND(Dados_Observados_v4!N11&lt;&gt;"",Dados_Observados_v4!P11&lt;&gt;"",(2021-2019-1)&lt;=Metodologia_v4!$B$12),"EST_INTERP_LINEAR",IF(AND(Dados_Observados_v4!N11&lt;&gt;"",(2020-2019)&lt;=Metodologia_v4!$B$13),"EST_CARRY_FORWARD",IF(AND(Dados_Observados_v4!P11&lt;&gt;"",(2021-2020)&lt;=Metodologia_v4!$B$14),"EST_CARRY_BACKWARD","SEM_DADO")))))</f>
        <v/>
      </c>
      <c r="P11" s="10">
        <f>IF(Dados_Observados_v4!P11&lt;&gt;"","OBS",IF(Dados_Ajustados_v4!P11="","SEM_DADO",IF(AND(Dados_Observados_v4!O11&lt;&gt;"",Dados_Observados_v4!Q11&lt;&gt;"",(2022-2020-1)&lt;=Metodologia_v4!$B$12),"EST_INTERP_LINEAR",IF(AND(Dados_Observados_v4!O11&lt;&gt;"",(2021-2020)&lt;=Metodologia_v4!$B$13),"EST_CARRY_FORWARD",IF(AND(Dados_Observados_v4!Q11&lt;&gt;"",(2022-2021)&lt;=Metodologia_v4!$B$14),"EST_CARRY_BACKWARD","SEM_DADO")))))</f>
        <v/>
      </c>
      <c r="Q11" s="10">
        <f>IF(Dados_Observados_v4!Q11&lt;&gt;"","OBS",IF(Dados_Ajustados_v4!Q11="","SEM_DADO",IF(AND(Dados_Observados_v4!P11&lt;&gt;"",Dados_Observados_v4!R11&lt;&gt;"",(2023-2021-1)&lt;=Metodologia_v4!$B$12),"EST_INTERP_LINEAR",IF(AND(Dados_Observados_v4!P11&lt;&gt;"",(2022-2021)&lt;=Metodologia_v4!$B$13),"EST_CARRY_FORWARD",IF(AND(Dados_Observados_v4!R11&lt;&gt;"",(2023-2022)&lt;=Metodologia_v4!$B$14),"EST_CARRY_BACKWARD","SEM_DADO")))))</f>
        <v/>
      </c>
      <c r="R11" s="10">
        <f>IF(Dados_Observados_v4!R11&lt;&gt;"","OBS",IF(Dados_Ajustados_v4!R11="","SEM_DADO",IF(AND(Dados_Observados_v4!Q11&lt;&gt;"",Dados_Observados_v4!S11&lt;&gt;"",(2024-2022-1)&lt;=Metodologia_v4!$B$12),"EST_INTERP_LINEAR",IF(AND(Dados_Observados_v4!Q11&lt;&gt;"",(2023-2022)&lt;=Metodologia_v4!$B$13),"EST_CARRY_FORWARD",IF(AND(Dados_Observados_v4!S11&lt;&gt;"",(2024-2023)&lt;=Metodologia_v4!$B$14),"EST_CARRY_BACKWARD","SEM_DADO")))))</f>
        <v/>
      </c>
      <c r="S11" s="10">
        <f>IF(Dados_Observados_v4!S11&lt;&gt;"","OBS",IF(Dados_Ajustados_v4!S11="","SEM_DADO",IF(AND(Dados_Observados_v4!R11&lt;&gt;"",(2024-2023)&lt;=Metodologia_v4!$B$13),"EST_CARRY_FORWARD","SEM_DADO")))</f>
        <v/>
      </c>
      <c r="T11" s="10">
        <f>IF(Dados_Observados_v4!T11&lt;&gt;"","OBS",IF(Dados_Ajustados_v4!T11="","SEM_DADO",IF(AND(Dados_Observados_v4!S11&lt;&gt;"",(2025-2024)&lt;=Metodologia_v4!$B$13),"EST_CARRY_FORWARD","SEM_DADO")))</f>
        <v/>
      </c>
    </row>
    <row r="12">
      <c r="A12" s="5" t="inlineStr">
        <is>
          <t>MAC02</t>
        </is>
      </c>
      <c r="B12" s="5" t="inlineStr">
        <is>
          <t>2. Estabilidade Macroeconómica</t>
        </is>
      </c>
      <c r="C12" s="5" t="inlineStr">
        <is>
          <t>PIB per capita</t>
        </is>
      </c>
      <c r="D12" s="5" t="inlineStr">
        <is>
          <t>Banco Mundial/WDI</t>
        </is>
      </c>
      <c r="E12" s="5" t="inlineStr">
        <is>
          <t>NY.GDP.PCAP.CD</t>
        </is>
      </c>
      <c r="F12" s="5" t="inlineStr">
        <is>
          <t>Fonte Banco Mundial API/CSV</t>
        </is>
      </c>
      <c r="G12" s="5" t="inlineStr">
        <is>
          <t>10/11</t>
        </is>
      </c>
      <c r="H12" s="5" t="n">
        <v>2024</v>
      </c>
      <c r="I12" s="5" t="inlineStr">
        <is>
          <t>Referenciado pelas regras de Metodologia_v4</t>
        </is>
      </c>
      <c r="J12" s="10">
        <f>IF(Dados_Observados_v4!J12&lt;&gt;"","OBS",IF(Dados_Ajustados_v4!J12="","SEM_DADO",IF(AND(Dados_Observados_v4!K12&lt;&gt;"",(2016-2015)&lt;=Metodologia_v4!$B$14),"EST_CARRY_BACKWARD","SEM_DADO")))</f>
        <v/>
      </c>
      <c r="K12" s="10">
        <f>IF(Dados_Observados_v4!K12&lt;&gt;"","OBS",IF(Dados_Ajustados_v4!K12="","SEM_DADO",IF(AND(Dados_Observados_v4!J12&lt;&gt;"",Dados_Observados_v4!L12&lt;&gt;"",(2017-2015-1)&lt;=Metodologia_v4!$B$12),"EST_INTERP_LINEAR",IF(AND(Dados_Observados_v4!J12&lt;&gt;"",(2016-2015)&lt;=Metodologia_v4!$B$13),"EST_CARRY_FORWARD",IF(AND(Dados_Observados_v4!L12&lt;&gt;"",(2017-2016)&lt;=Metodologia_v4!$B$14),"EST_CARRY_BACKWARD","SEM_DADO")))))</f>
        <v/>
      </c>
      <c r="L12" s="10">
        <f>IF(Dados_Observados_v4!L12&lt;&gt;"","OBS",IF(Dados_Ajustados_v4!L12="","SEM_DADO",IF(AND(Dados_Observados_v4!K12&lt;&gt;"",Dados_Observados_v4!M12&lt;&gt;"",(2018-2016-1)&lt;=Metodologia_v4!$B$12),"EST_INTERP_LINEAR",IF(AND(Dados_Observados_v4!K12&lt;&gt;"",(2017-2016)&lt;=Metodologia_v4!$B$13),"EST_CARRY_FORWARD",IF(AND(Dados_Observados_v4!M12&lt;&gt;"",(2018-2017)&lt;=Metodologia_v4!$B$14),"EST_CARRY_BACKWARD","SEM_DADO")))))</f>
        <v/>
      </c>
      <c r="M12" s="10">
        <f>IF(Dados_Observados_v4!M12&lt;&gt;"","OBS",IF(Dados_Ajustados_v4!M12="","SEM_DADO",IF(AND(Dados_Observados_v4!L12&lt;&gt;"",Dados_Observados_v4!N12&lt;&gt;"",(2019-2017-1)&lt;=Metodologia_v4!$B$12),"EST_INTERP_LINEAR",IF(AND(Dados_Observados_v4!L12&lt;&gt;"",(2018-2017)&lt;=Metodologia_v4!$B$13),"EST_CARRY_FORWARD",IF(AND(Dados_Observados_v4!N12&lt;&gt;"",(2019-2018)&lt;=Metodologia_v4!$B$14),"EST_CARRY_BACKWARD","SEM_DADO")))))</f>
        <v/>
      </c>
      <c r="N12" s="10">
        <f>IF(Dados_Observados_v4!N12&lt;&gt;"","OBS",IF(Dados_Ajustados_v4!N12="","SEM_DADO",IF(AND(Dados_Observados_v4!M12&lt;&gt;"",Dados_Observados_v4!O12&lt;&gt;"",(2020-2018-1)&lt;=Metodologia_v4!$B$12),"EST_INTERP_LINEAR",IF(AND(Dados_Observados_v4!M12&lt;&gt;"",(2019-2018)&lt;=Metodologia_v4!$B$13),"EST_CARRY_FORWARD",IF(AND(Dados_Observados_v4!O12&lt;&gt;"",(2020-2019)&lt;=Metodologia_v4!$B$14),"EST_CARRY_BACKWARD","SEM_DADO")))))</f>
        <v/>
      </c>
      <c r="O12" s="10">
        <f>IF(Dados_Observados_v4!O12&lt;&gt;"","OBS",IF(Dados_Ajustados_v4!O12="","SEM_DADO",IF(AND(Dados_Observados_v4!N12&lt;&gt;"",Dados_Observados_v4!P12&lt;&gt;"",(2021-2019-1)&lt;=Metodologia_v4!$B$12),"EST_INTERP_LINEAR",IF(AND(Dados_Observados_v4!N12&lt;&gt;"",(2020-2019)&lt;=Metodologia_v4!$B$13),"EST_CARRY_FORWARD",IF(AND(Dados_Observados_v4!P12&lt;&gt;"",(2021-2020)&lt;=Metodologia_v4!$B$14),"EST_CARRY_BACKWARD","SEM_DADO")))))</f>
        <v/>
      </c>
      <c r="P12" s="10">
        <f>IF(Dados_Observados_v4!P12&lt;&gt;"","OBS",IF(Dados_Ajustados_v4!P12="","SEM_DADO",IF(AND(Dados_Observados_v4!O12&lt;&gt;"",Dados_Observados_v4!Q12&lt;&gt;"",(2022-2020-1)&lt;=Metodologia_v4!$B$12),"EST_INTERP_LINEAR",IF(AND(Dados_Observados_v4!O12&lt;&gt;"",(2021-2020)&lt;=Metodologia_v4!$B$13),"EST_CARRY_FORWARD",IF(AND(Dados_Observados_v4!Q12&lt;&gt;"",(2022-2021)&lt;=Metodologia_v4!$B$14),"EST_CARRY_BACKWARD","SEM_DADO")))))</f>
        <v/>
      </c>
      <c r="Q12" s="10">
        <f>IF(Dados_Observados_v4!Q12&lt;&gt;"","OBS",IF(Dados_Ajustados_v4!Q12="","SEM_DADO",IF(AND(Dados_Observados_v4!P12&lt;&gt;"",Dados_Observados_v4!R12&lt;&gt;"",(2023-2021-1)&lt;=Metodologia_v4!$B$12),"EST_INTERP_LINEAR",IF(AND(Dados_Observados_v4!P12&lt;&gt;"",(2022-2021)&lt;=Metodologia_v4!$B$13),"EST_CARRY_FORWARD",IF(AND(Dados_Observados_v4!R12&lt;&gt;"",(2023-2022)&lt;=Metodologia_v4!$B$14),"EST_CARRY_BACKWARD","SEM_DADO")))))</f>
        <v/>
      </c>
      <c r="R12" s="10">
        <f>IF(Dados_Observados_v4!R12&lt;&gt;"","OBS",IF(Dados_Ajustados_v4!R12="","SEM_DADO",IF(AND(Dados_Observados_v4!Q12&lt;&gt;"",Dados_Observados_v4!S12&lt;&gt;"",(2024-2022-1)&lt;=Metodologia_v4!$B$12),"EST_INTERP_LINEAR",IF(AND(Dados_Observados_v4!Q12&lt;&gt;"",(2023-2022)&lt;=Metodologia_v4!$B$13),"EST_CARRY_FORWARD",IF(AND(Dados_Observados_v4!S12&lt;&gt;"",(2024-2023)&lt;=Metodologia_v4!$B$14),"EST_CARRY_BACKWARD","SEM_DADO")))))</f>
        <v/>
      </c>
      <c r="S12" s="10">
        <f>IF(Dados_Observados_v4!S12&lt;&gt;"","OBS",IF(Dados_Ajustados_v4!S12="","SEM_DADO",IF(AND(Dados_Observados_v4!R12&lt;&gt;"",(2024-2023)&lt;=Metodologia_v4!$B$13),"EST_CARRY_FORWARD","SEM_DADO")))</f>
        <v/>
      </c>
      <c r="T12" s="10">
        <f>IF(Dados_Observados_v4!T12&lt;&gt;"","OBS",IF(Dados_Ajustados_v4!T12="","SEM_DADO",IF(AND(Dados_Observados_v4!S12&lt;&gt;"",(2025-2024)&lt;=Metodologia_v4!$B$13),"EST_CARRY_FORWARD","SEM_DADO")))</f>
        <v/>
      </c>
    </row>
    <row r="13">
      <c r="A13" s="5" t="inlineStr">
        <is>
          <t>MAC03</t>
        </is>
      </c>
      <c r="B13" s="5" t="inlineStr">
        <is>
          <t>2. Estabilidade Macroeconómica</t>
        </is>
      </c>
      <c r="C13" s="5" t="inlineStr">
        <is>
          <t>Inflação, preços ao consumidor</t>
        </is>
      </c>
      <c r="D13" s="5" t="inlineStr">
        <is>
          <t>Banco Mundial/WDI</t>
        </is>
      </c>
      <c r="E13" s="5" t="inlineStr">
        <is>
          <t>FP.CPI.TOTL.ZG</t>
        </is>
      </c>
      <c r="F13" s="5" t="inlineStr">
        <is>
          <t>Fonte Banco Mundial API/CSV</t>
        </is>
      </c>
      <c r="G13" s="5" t="inlineStr">
        <is>
          <t>10/11</t>
        </is>
      </c>
      <c r="H13" s="5" t="n">
        <v>2024</v>
      </c>
      <c r="I13" s="5" t="inlineStr">
        <is>
          <t>Referenciado pelas regras de Metodologia_v4</t>
        </is>
      </c>
      <c r="J13" s="10">
        <f>IF(Dados_Observados_v4!J13&lt;&gt;"","OBS",IF(Dados_Ajustados_v4!J13="","SEM_DADO",IF(AND(Dados_Observados_v4!K13&lt;&gt;"",(2016-2015)&lt;=Metodologia_v4!$B$14),"EST_CARRY_BACKWARD","SEM_DADO")))</f>
        <v/>
      </c>
      <c r="K13" s="10">
        <f>IF(Dados_Observados_v4!K13&lt;&gt;"","OBS",IF(Dados_Ajustados_v4!K13="","SEM_DADO",IF(AND(Dados_Observados_v4!J13&lt;&gt;"",Dados_Observados_v4!L13&lt;&gt;"",(2017-2015-1)&lt;=Metodologia_v4!$B$12),"EST_INTERP_LINEAR",IF(AND(Dados_Observados_v4!J13&lt;&gt;"",(2016-2015)&lt;=Metodologia_v4!$B$13),"EST_CARRY_FORWARD",IF(AND(Dados_Observados_v4!L13&lt;&gt;"",(2017-2016)&lt;=Metodologia_v4!$B$14),"EST_CARRY_BACKWARD","SEM_DADO")))))</f>
        <v/>
      </c>
      <c r="L13" s="10">
        <f>IF(Dados_Observados_v4!L13&lt;&gt;"","OBS",IF(Dados_Ajustados_v4!L13="","SEM_DADO",IF(AND(Dados_Observados_v4!K13&lt;&gt;"",Dados_Observados_v4!M13&lt;&gt;"",(2018-2016-1)&lt;=Metodologia_v4!$B$12),"EST_INTERP_LINEAR",IF(AND(Dados_Observados_v4!K13&lt;&gt;"",(2017-2016)&lt;=Metodologia_v4!$B$13),"EST_CARRY_FORWARD",IF(AND(Dados_Observados_v4!M13&lt;&gt;"",(2018-2017)&lt;=Metodologia_v4!$B$14),"EST_CARRY_BACKWARD","SEM_DADO")))))</f>
        <v/>
      </c>
      <c r="M13" s="10">
        <f>IF(Dados_Observados_v4!M13&lt;&gt;"","OBS",IF(Dados_Ajustados_v4!M13="","SEM_DADO",IF(AND(Dados_Observados_v4!L13&lt;&gt;"",Dados_Observados_v4!N13&lt;&gt;"",(2019-2017-1)&lt;=Metodologia_v4!$B$12),"EST_INTERP_LINEAR",IF(AND(Dados_Observados_v4!L13&lt;&gt;"",(2018-2017)&lt;=Metodologia_v4!$B$13),"EST_CARRY_FORWARD",IF(AND(Dados_Observados_v4!N13&lt;&gt;"",(2019-2018)&lt;=Metodologia_v4!$B$14),"EST_CARRY_BACKWARD","SEM_DADO")))))</f>
        <v/>
      </c>
      <c r="N13" s="10">
        <f>IF(Dados_Observados_v4!N13&lt;&gt;"","OBS",IF(Dados_Ajustados_v4!N13="","SEM_DADO",IF(AND(Dados_Observados_v4!M13&lt;&gt;"",Dados_Observados_v4!O13&lt;&gt;"",(2020-2018-1)&lt;=Metodologia_v4!$B$12),"EST_INTERP_LINEAR",IF(AND(Dados_Observados_v4!M13&lt;&gt;"",(2019-2018)&lt;=Metodologia_v4!$B$13),"EST_CARRY_FORWARD",IF(AND(Dados_Observados_v4!O13&lt;&gt;"",(2020-2019)&lt;=Metodologia_v4!$B$14),"EST_CARRY_BACKWARD","SEM_DADO")))))</f>
        <v/>
      </c>
      <c r="O13" s="10">
        <f>IF(Dados_Observados_v4!O13&lt;&gt;"","OBS",IF(Dados_Ajustados_v4!O13="","SEM_DADO",IF(AND(Dados_Observados_v4!N13&lt;&gt;"",Dados_Observados_v4!P13&lt;&gt;"",(2021-2019-1)&lt;=Metodologia_v4!$B$12),"EST_INTERP_LINEAR",IF(AND(Dados_Observados_v4!N13&lt;&gt;"",(2020-2019)&lt;=Metodologia_v4!$B$13),"EST_CARRY_FORWARD",IF(AND(Dados_Observados_v4!P13&lt;&gt;"",(2021-2020)&lt;=Metodologia_v4!$B$14),"EST_CARRY_BACKWARD","SEM_DADO")))))</f>
        <v/>
      </c>
      <c r="P13" s="10">
        <f>IF(Dados_Observados_v4!P13&lt;&gt;"","OBS",IF(Dados_Ajustados_v4!P13="","SEM_DADO",IF(AND(Dados_Observados_v4!O13&lt;&gt;"",Dados_Observados_v4!Q13&lt;&gt;"",(2022-2020-1)&lt;=Metodologia_v4!$B$12),"EST_INTERP_LINEAR",IF(AND(Dados_Observados_v4!O13&lt;&gt;"",(2021-2020)&lt;=Metodologia_v4!$B$13),"EST_CARRY_FORWARD",IF(AND(Dados_Observados_v4!Q13&lt;&gt;"",(2022-2021)&lt;=Metodologia_v4!$B$14),"EST_CARRY_BACKWARD","SEM_DADO")))))</f>
        <v/>
      </c>
      <c r="Q13" s="10">
        <f>IF(Dados_Observados_v4!Q13&lt;&gt;"","OBS",IF(Dados_Ajustados_v4!Q13="","SEM_DADO",IF(AND(Dados_Observados_v4!P13&lt;&gt;"",Dados_Observados_v4!R13&lt;&gt;"",(2023-2021-1)&lt;=Metodologia_v4!$B$12),"EST_INTERP_LINEAR",IF(AND(Dados_Observados_v4!P13&lt;&gt;"",(2022-2021)&lt;=Metodologia_v4!$B$13),"EST_CARRY_FORWARD",IF(AND(Dados_Observados_v4!R13&lt;&gt;"",(2023-2022)&lt;=Metodologia_v4!$B$14),"EST_CARRY_BACKWARD","SEM_DADO")))))</f>
        <v/>
      </c>
      <c r="R13" s="10">
        <f>IF(Dados_Observados_v4!R13&lt;&gt;"","OBS",IF(Dados_Ajustados_v4!R13="","SEM_DADO",IF(AND(Dados_Observados_v4!Q13&lt;&gt;"",Dados_Observados_v4!S13&lt;&gt;"",(2024-2022-1)&lt;=Metodologia_v4!$B$12),"EST_INTERP_LINEAR",IF(AND(Dados_Observados_v4!Q13&lt;&gt;"",(2023-2022)&lt;=Metodologia_v4!$B$13),"EST_CARRY_FORWARD",IF(AND(Dados_Observados_v4!S13&lt;&gt;"",(2024-2023)&lt;=Metodologia_v4!$B$14),"EST_CARRY_BACKWARD","SEM_DADO")))))</f>
        <v/>
      </c>
      <c r="S13" s="10">
        <f>IF(Dados_Observados_v4!S13&lt;&gt;"","OBS",IF(Dados_Ajustados_v4!S13="","SEM_DADO",IF(AND(Dados_Observados_v4!R13&lt;&gt;"",(2024-2023)&lt;=Metodologia_v4!$B$13),"EST_CARRY_FORWARD","SEM_DADO")))</f>
        <v/>
      </c>
      <c r="T13" s="10">
        <f>IF(Dados_Observados_v4!T13&lt;&gt;"","OBS",IF(Dados_Ajustados_v4!T13="","SEM_DADO",IF(AND(Dados_Observados_v4!S13&lt;&gt;"",(2025-2024)&lt;=Metodologia_v4!$B$13),"EST_CARRY_FORWARD","SEM_DADO")))</f>
        <v/>
      </c>
    </row>
    <row r="14">
      <c r="A14" s="5" t="inlineStr">
        <is>
          <t>MAC04</t>
        </is>
      </c>
      <c r="B14" s="5" t="inlineStr">
        <is>
          <t>2. Estabilidade Macroeconómica</t>
        </is>
      </c>
      <c r="C14" s="5" t="inlineStr">
        <is>
          <t>Dívida pública do governo central</t>
        </is>
      </c>
      <c r="D14" s="5" t="inlineStr">
        <is>
          <t>Banco Mundial/WDI</t>
        </is>
      </c>
      <c r="E14" s="5" t="inlineStr">
        <is>
          <t>GC.DOD.TOTL.GD.ZS</t>
        </is>
      </c>
      <c r="F14" s="5" t="inlineStr">
        <is>
          <t>Sem valores Angola no período; fallback para série do ficheiro base</t>
        </is>
      </c>
      <c r="G14" s="5" t="inlineStr">
        <is>
          <t>11/11</t>
        </is>
      </c>
      <c r="H14" s="5" t="n">
        <v>2025</v>
      </c>
      <c r="I14" s="5" t="inlineStr">
        <is>
          <t>Referenciado pelas regras de Metodologia_v4</t>
        </is>
      </c>
      <c r="J14" s="10">
        <f>IF(Dados_Observados_v4!J14&lt;&gt;"","OBS",IF(Dados_Ajustados_v4!J14="","SEM_DADO",IF(AND(Dados_Observados_v4!K14&lt;&gt;"",(2016-2015)&lt;=Metodologia_v4!$B$14),"EST_CARRY_BACKWARD","SEM_DADO")))</f>
        <v/>
      </c>
      <c r="K14" s="10">
        <f>IF(Dados_Observados_v4!K14&lt;&gt;"","OBS",IF(Dados_Ajustados_v4!K14="","SEM_DADO",IF(AND(Dados_Observados_v4!J14&lt;&gt;"",Dados_Observados_v4!L14&lt;&gt;"",(2017-2015-1)&lt;=Metodologia_v4!$B$12),"EST_INTERP_LINEAR",IF(AND(Dados_Observados_v4!J14&lt;&gt;"",(2016-2015)&lt;=Metodologia_v4!$B$13),"EST_CARRY_FORWARD",IF(AND(Dados_Observados_v4!L14&lt;&gt;"",(2017-2016)&lt;=Metodologia_v4!$B$14),"EST_CARRY_BACKWARD","SEM_DADO")))))</f>
        <v/>
      </c>
      <c r="L14" s="10">
        <f>IF(Dados_Observados_v4!L14&lt;&gt;"","OBS",IF(Dados_Ajustados_v4!L14="","SEM_DADO",IF(AND(Dados_Observados_v4!K14&lt;&gt;"",Dados_Observados_v4!M14&lt;&gt;"",(2018-2016-1)&lt;=Metodologia_v4!$B$12),"EST_INTERP_LINEAR",IF(AND(Dados_Observados_v4!K14&lt;&gt;"",(2017-2016)&lt;=Metodologia_v4!$B$13),"EST_CARRY_FORWARD",IF(AND(Dados_Observados_v4!M14&lt;&gt;"",(2018-2017)&lt;=Metodologia_v4!$B$14),"EST_CARRY_BACKWARD","SEM_DADO")))))</f>
        <v/>
      </c>
      <c r="M14" s="10">
        <f>IF(Dados_Observados_v4!M14&lt;&gt;"","OBS",IF(Dados_Ajustados_v4!M14="","SEM_DADO",IF(AND(Dados_Observados_v4!L14&lt;&gt;"",Dados_Observados_v4!N14&lt;&gt;"",(2019-2017-1)&lt;=Metodologia_v4!$B$12),"EST_INTERP_LINEAR",IF(AND(Dados_Observados_v4!L14&lt;&gt;"",(2018-2017)&lt;=Metodologia_v4!$B$13),"EST_CARRY_FORWARD",IF(AND(Dados_Observados_v4!N14&lt;&gt;"",(2019-2018)&lt;=Metodologia_v4!$B$14),"EST_CARRY_BACKWARD","SEM_DADO")))))</f>
        <v/>
      </c>
      <c r="N14" s="10">
        <f>IF(Dados_Observados_v4!N14&lt;&gt;"","OBS",IF(Dados_Ajustados_v4!N14="","SEM_DADO",IF(AND(Dados_Observados_v4!M14&lt;&gt;"",Dados_Observados_v4!O14&lt;&gt;"",(2020-2018-1)&lt;=Metodologia_v4!$B$12),"EST_INTERP_LINEAR",IF(AND(Dados_Observados_v4!M14&lt;&gt;"",(2019-2018)&lt;=Metodologia_v4!$B$13),"EST_CARRY_FORWARD",IF(AND(Dados_Observados_v4!O14&lt;&gt;"",(2020-2019)&lt;=Metodologia_v4!$B$14),"EST_CARRY_BACKWARD","SEM_DADO")))))</f>
        <v/>
      </c>
      <c r="O14" s="10">
        <f>IF(Dados_Observados_v4!O14&lt;&gt;"","OBS",IF(Dados_Ajustados_v4!O14="","SEM_DADO",IF(AND(Dados_Observados_v4!N14&lt;&gt;"",Dados_Observados_v4!P14&lt;&gt;"",(2021-2019-1)&lt;=Metodologia_v4!$B$12),"EST_INTERP_LINEAR",IF(AND(Dados_Observados_v4!N14&lt;&gt;"",(2020-2019)&lt;=Metodologia_v4!$B$13),"EST_CARRY_FORWARD",IF(AND(Dados_Observados_v4!P14&lt;&gt;"",(2021-2020)&lt;=Metodologia_v4!$B$14),"EST_CARRY_BACKWARD","SEM_DADO")))))</f>
        <v/>
      </c>
      <c r="P14" s="10">
        <f>IF(Dados_Observados_v4!P14&lt;&gt;"","OBS",IF(Dados_Ajustados_v4!P14="","SEM_DADO",IF(AND(Dados_Observados_v4!O14&lt;&gt;"",Dados_Observados_v4!Q14&lt;&gt;"",(2022-2020-1)&lt;=Metodologia_v4!$B$12),"EST_INTERP_LINEAR",IF(AND(Dados_Observados_v4!O14&lt;&gt;"",(2021-2020)&lt;=Metodologia_v4!$B$13),"EST_CARRY_FORWARD",IF(AND(Dados_Observados_v4!Q14&lt;&gt;"",(2022-2021)&lt;=Metodologia_v4!$B$14),"EST_CARRY_BACKWARD","SEM_DADO")))))</f>
        <v/>
      </c>
      <c r="Q14" s="10">
        <f>IF(Dados_Observados_v4!Q14&lt;&gt;"","OBS",IF(Dados_Ajustados_v4!Q14="","SEM_DADO",IF(AND(Dados_Observados_v4!P14&lt;&gt;"",Dados_Observados_v4!R14&lt;&gt;"",(2023-2021-1)&lt;=Metodologia_v4!$B$12),"EST_INTERP_LINEAR",IF(AND(Dados_Observados_v4!P14&lt;&gt;"",(2022-2021)&lt;=Metodologia_v4!$B$13),"EST_CARRY_FORWARD",IF(AND(Dados_Observados_v4!R14&lt;&gt;"",(2023-2022)&lt;=Metodologia_v4!$B$14),"EST_CARRY_BACKWARD","SEM_DADO")))))</f>
        <v/>
      </c>
      <c r="R14" s="10">
        <f>IF(Dados_Observados_v4!R14&lt;&gt;"","OBS",IF(Dados_Ajustados_v4!R14="","SEM_DADO",IF(AND(Dados_Observados_v4!Q14&lt;&gt;"",Dados_Observados_v4!S14&lt;&gt;"",(2024-2022-1)&lt;=Metodologia_v4!$B$12),"EST_INTERP_LINEAR",IF(AND(Dados_Observados_v4!Q14&lt;&gt;"",(2023-2022)&lt;=Metodologia_v4!$B$13),"EST_CARRY_FORWARD",IF(AND(Dados_Observados_v4!S14&lt;&gt;"",(2024-2023)&lt;=Metodologia_v4!$B$14),"EST_CARRY_BACKWARD","SEM_DADO")))))</f>
        <v/>
      </c>
      <c r="S14" s="10">
        <f>IF(Dados_Observados_v4!S14&lt;&gt;"","OBS",IF(Dados_Ajustados_v4!S14="","SEM_DADO",IF(AND(Dados_Observados_v4!R14&lt;&gt;"",Dados_Observados_v4!T14&lt;&gt;"",(2025-2023-1)&lt;=Metodologia_v4!$B$12),"EST_INTERP_LINEAR",IF(AND(Dados_Observados_v4!R14&lt;&gt;"",(2024-2023)&lt;=Metodologia_v4!$B$13),"EST_CARRY_FORWARD",IF(AND(Dados_Observados_v4!T14&lt;&gt;"",(2025-2024)&lt;=Metodologia_v4!$B$14),"EST_CARRY_BACKWARD","SEM_DADO")))))</f>
        <v/>
      </c>
      <c r="T14" s="10">
        <f>IF(Dados_Observados_v4!T14&lt;&gt;"","OBS",IF(Dados_Ajustados_v4!T14="","SEM_DADO",IF(AND(Dados_Observados_v4!S14&lt;&gt;"",(2025-2024)&lt;=Metodologia_v4!$B$13),"EST_CARRY_FORWARD","SEM_DADO")))</f>
        <v/>
      </c>
    </row>
    <row r="15">
      <c r="A15" s="5" t="inlineStr">
        <is>
          <t>MAC05</t>
        </is>
      </c>
      <c r="B15" s="5" t="inlineStr">
        <is>
          <t>2. Estabilidade Macroeconómica</t>
        </is>
      </c>
      <c r="C15" s="5" t="inlineStr">
        <is>
          <t>Saldo orçamental de caixa</t>
        </is>
      </c>
      <c r="D15" s="5" t="inlineStr">
        <is>
          <t>Banco Mundial/WDI</t>
        </is>
      </c>
      <c r="E15" s="5" t="inlineStr">
        <is>
          <t>GC.BAL.CASH.GD.ZS</t>
        </is>
      </c>
      <c r="F15" s="5" t="inlineStr">
        <is>
          <t>Sem valores Angola no período; fallback para série do ficheiro base</t>
        </is>
      </c>
      <c r="G15" s="5" t="inlineStr">
        <is>
          <t>11/11</t>
        </is>
      </c>
      <c r="H15" s="5" t="n">
        <v>2025</v>
      </c>
      <c r="I15" s="5" t="inlineStr">
        <is>
          <t>Referenciado pelas regras de Metodologia_v4</t>
        </is>
      </c>
      <c r="J15" s="10">
        <f>IF(Dados_Observados_v4!J15&lt;&gt;"","OBS",IF(Dados_Ajustados_v4!J15="","SEM_DADO",IF(AND(Dados_Observados_v4!K15&lt;&gt;"",(2016-2015)&lt;=Metodologia_v4!$B$14),"EST_CARRY_BACKWARD","SEM_DADO")))</f>
        <v/>
      </c>
      <c r="K15" s="10">
        <f>IF(Dados_Observados_v4!K15&lt;&gt;"","OBS",IF(Dados_Ajustados_v4!K15="","SEM_DADO",IF(AND(Dados_Observados_v4!J15&lt;&gt;"",Dados_Observados_v4!L15&lt;&gt;"",(2017-2015-1)&lt;=Metodologia_v4!$B$12),"EST_INTERP_LINEAR",IF(AND(Dados_Observados_v4!J15&lt;&gt;"",(2016-2015)&lt;=Metodologia_v4!$B$13),"EST_CARRY_FORWARD",IF(AND(Dados_Observados_v4!L15&lt;&gt;"",(2017-2016)&lt;=Metodologia_v4!$B$14),"EST_CARRY_BACKWARD","SEM_DADO")))))</f>
        <v/>
      </c>
      <c r="L15" s="10">
        <f>IF(Dados_Observados_v4!L15&lt;&gt;"","OBS",IF(Dados_Ajustados_v4!L15="","SEM_DADO",IF(AND(Dados_Observados_v4!K15&lt;&gt;"",Dados_Observados_v4!M15&lt;&gt;"",(2018-2016-1)&lt;=Metodologia_v4!$B$12),"EST_INTERP_LINEAR",IF(AND(Dados_Observados_v4!K15&lt;&gt;"",(2017-2016)&lt;=Metodologia_v4!$B$13),"EST_CARRY_FORWARD",IF(AND(Dados_Observados_v4!M15&lt;&gt;"",(2018-2017)&lt;=Metodologia_v4!$B$14),"EST_CARRY_BACKWARD","SEM_DADO")))))</f>
        <v/>
      </c>
      <c r="M15" s="10">
        <f>IF(Dados_Observados_v4!M15&lt;&gt;"","OBS",IF(Dados_Ajustados_v4!M15="","SEM_DADO",IF(AND(Dados_Observados_v4!L15&lt;&gt;"",Dados_Observados_v4!N15&lt;&gt;"",(2019-2017-1)&lt;=Metodologia_v4!$B$12),"EST_INTERP_LINEAR",IF(AND(Dados_Observados_v4!L15&lt;&gt;"",(2018-2017)&lt;=Metodologia_v4!$B$13),"EST_CARRY_FORWARD",IF(AND(Dados_Observados_v4!N15&lt;&gt;"",(2019-2018)&lt;=Metodologia_v4!$B$14),"EST_CARRY_BACKWARD","SEM_DADO")))))</f>
        <v/>
      </c>
      <c r="N15" s="10">
        <f>IF(Dados_Observados_v4!N15&lt;&gt;"","OBS",IF(Dados_Ajustados_v4!N15="","SEM_DADO",IF(AND(Dados_Observados_v4!M15&lt;&gt;"",Dados_Observados_v4!O15&lt;&gt;"",(2020-2018-1)&lt;=Metodologia_v4!$B$12),"EST_INTERP_LINEAR",IF(AND(Dados_Observados_v4!M15&lt;&gt;"",(2019-2018)&lt;=Metodologia_v4!$B$13),"EST_CARRY_FORWARD",IF(AND(Dados_Observados_v4!O15&lt;&gt;"",(2020-2019)&lt;=Metodologia_v4!$B$14),"EST_CARRY_BACKWARD","SEM_DADO")))))</f>
        <v/>
      </c>
      <c r="O15" s="10">
        <f>IF(Dados_Observados_v4!O15&lt;&gt;"","OBS",IF(Dados_Ajustados_v4!O15="","SEM_DADO",IF(AND(Dados_Observados_v4!N15&lt;&gt;"",Dados_Observados_v4!P15&lt;&gt;"",(2021-2019-1)&lt;=Metodologia_v4!$B$12),"EST_INTERP_LINEAR",IF(AND(Dados_Observados_v4!N15&lt;&gt;"",(2020-2019)&lt;=Metodologia_v4!$B$13),"EST_CARRY_FORWARD",IF(AND(Dados_Observados_v4!P15&lt;&gt;"",(2021-2020)&lt;=Metodologia_v4!$B$14),"EST_CARRY_BACKWARD","SEM_DADO")))))</f>
        <v/>
      </c>
      <c r="P15" s="10">
        <f>IF(Dados_Observados_v4!P15&lt;&gt;"","OBS",IF(Dados_Ajustados_v4!P15="","SEM_DADO",IF(AND(Dados_Observados_v4!O15&lt;&gt;"",Dados_Observados_v4!Q15&lt;&gt;"",(2022-2020-1)&lt;=Metodologia_v4!$B$12),"EST_INTERP_LINEAR",IF(AND(Dados_Observados_v4!O15&lt;&gt;"",(2021-2020)&lt;=Metodologia_v4!$B$13),"EST_CARRY_FORWARD",IF(AND(Dados_Observados_v4!Q15&lt;&gt;"",(2022-2021)&lt;=Metodologia_v4!$B$14),"EST_CARRY_BACKWARD","SEM_DADO")))))</f>
        <v/>
      </c>
      <c r="Q15" s="10">
        <f>IF(Dados_Observados_v4!Q15&lt;&gt;"","OBS",IF(Dados_Ajustados_v4!Q15="","SEM_DADO",IF(AND(Dados_Observados_v4!P15&lt;&gt;"",Dados_Observados_v4!R15&lt;&gt;"",(2023-2021-1)&lt;=Metodologia_v4!$B$12),"EST_INTERP_LINEAR",IF(AND(Dados_Observados_v4!P15&lt;&gt;"",(2022-2021)&lt;=Metodologia_v4!$B$13),"EST_CARRY_FORWARD",IF(AND(Dados_Observados_v4!R15&lt;&gt;"",(2023-2022)&lt;=Metodologia_v4!$B$14),"EST_CARRY_BACKWARD","SEM_DADO")))))</f>
        <v/>
      </c>
      <c r="R15" s="10">
        <f>IF(Dados_Observados_v4!R15&lt;&gt;"","OBS",IF(Dados_Ajustados_v4!R15="","SEM_DADO",IF(AND(Dados_Observados_v4!Q15&lt;&gt;"",Dados_Observados_v4!S15&lt;&gt;"",(2024-2022-1)&lt;=Metodologia_v4!$B$12),"EST_INTERP_LINEAR",IF(AND(Dados_Observados_v4!Q15&lt;&gt;"",(2023-2022)&lt;=Metodologia_v4!$B$13),"EST_CARRY_FORWARD",IF(AND(Dados_Observados_v4!S15&lt;&gt;"",(2024-2023)&lt;=Metodologia_v4!$B$14),"EST_CARRY_BACKWARD","SEM_DADO")))))</f>
        <v/>
      </c>
      <c r="S15" s="10">
        <f>IF(Dados_Observados_v4!S15&lt;&gt;"","OBS",IF(Dados_Ajustados_v4!S15="","SEM_DADO",IF(AND(Dados_Observados_v4!R15&lt;&gt;"",Dados_Observados_v4!T15&lt;&gt;"",(2025-2023-1)&lt;=Metodologia_v4!$B$12),"EST_INTERP_LINEAR",IF(AND(Dados_Observados_v4!R15&lt;&gt;"",(2024-2023)&lt;=Metodologia_v4!$B$13),"EST_CARRY_FORWARD",IF(AND(Dados_Observados_v4!T15&lt;&gt;"",(2025-2024)&lt;=Metodologia_v4!$B$14),"EST_CARRY_BACKWARD","SEM_DADO")))))</f>
        <v/>
      </c>
      <c r="T15" s="10">
        <f>IF(Dados_Observados_v4!T15&lt;&gt;"","OBS",IF(Dados_Ajustados_v4!T15="","SEM_DADO",IF(AND(Dados_Observados_v4!S15&lt;&gt;"",(2025-2024)&lt;=Metodologia_v4!$B$13),"EST_CARRY_FORWARD","SEM_DADO")))</f>
        <v/>
      </c>
    </row>
    <row r="16">
      <c r="A16" s="5" t="inlineStr">
        <is>
          <t>MAC06</t>
        </is>
      </c>
      <c r="B16" s="5" t="inlineStr">
        <is>
          <t>2. Estabilidade Macroeconómica</t>
        </is>
      </c>
      <c r="C16" s="5" t="inlineStr">
        <is>
          <t>Saldo da conta corrente</t>
        </is>
      </c>
      <c r="D16" s="5" t="inlineStr">
        <is>
          <t>Banco Mundial/WDI</t>
        </is>
      </c>
      <c r="E16" s="5" t="inlineStr">
        <is>
          <t>BN.CAB.XOKA.GD.ZS</t>
        </is>
      </c>
      <c r="F16" s="5" t="inlineStr">
        <is>
          <t>Fonte Banco Mundial API/CSV</t>
        </is>
      </c>
      <c r="G16" s="5" t="inlineStr">
        <is>
          <t>10/11</t>
        </is>
      </c>
      <c r="H16" s="5" t="n">
        <v>2024</v>
      </c>
      <c r="I16" s="5" t="inlineStr">
        <is>
          <t>Referenciado pelas regras de Metodologia_v4</t>
        </is>
      </c>
      <c r="J16" s="10">
        <f>IF(Dados_Observados_v4!J16&lt;&gt;"","OBS",IF(Dados_Ajustados_v4!J16="","SEM_DADO",IF(AND(Dados_Observados_v4!K16&lt;&gt;"",(2016-2015)&lt;=Metodologia_v4!$B$14),"EST_CARRY_BACKWARD","SEM_DADO")))</f>
        <v/>
      </c>
      <c r="K16" s="10">
        <f>IF(Dados_Observados_v4!K16&lt;&gt;"","OBS",IF(Dados_Ajustados_v4!K16="","SEM_DADO",IF(AND(Dados_Observados_v4!J16&lt;&gt;"",Dados_Observados_v4!L16&lt;&gt;"",(2017-2015-1)&lt;=Metodologia_v4!$B$12),"EST_INTERP_LINEAR",IF(AND(Dados_Observados_v4!J16&lt;&gt;"",(2016-2015)&lt;=Metodologia_v4!$B$13),"EST_CARRY_FORWARD",IF(AND(Dados_Observados_v4!L16&lt;&gt;"",(2017-2016)&lt;=Metodologia_v4!$B$14),"EST_CARRY_BACKWARD","SEM_DADO")))))</f>
        <v/>
      </c>
      <c r="L16" s="10">
        <f>IF(Dados_Observados_v4!L16&lt;&gt;"","OBS",IF(Dados_Ajustados_v4!L16="","SEM_DADO",IF(AND(Dados_Observados_v4!K16&lt;&gt;"",Dados_Observados_v4!M16&lt;&gt;"",(2018-2016-1)&lt;=Metodologia_v4!$B$12),"EST_INTERP_LINEAR",IF(AND(Dados_Observados_v4!K16&lt;&gt;"",(2017-2016)&lt;=Metodologia_v4!$B$13),"EST_CARRY_FORWARD",IF(AND(Dados_Observados_v4!M16&lt;&gt;"",(2018-2017)&lt;=Metodologia_v4!$B$14),"EST_CARRY_BACKWARD","SEM_DADO")))))</f>
        <v/>
      </c>
      <c r="M16" s="10">
        <f>IF(Dados_Observados_v4!M16&lt;&gt;"","OBS",IF(Dados_Ajustados_v4!M16="","SEM_DADO",IF(AND(Dados_Observados_v4!L16&lt;&gt;"",Dados_Observados_v4!N16&lt;&gt;"",(2019-2017-1)&lt;=Metodologia_v4!$B$12),"EST_INTERP_LINEAR",IF(AND(Dados_Observados_v4!L16&lt;&gt;"",(2018-2017)&lt;=Metodologia_v4!$B$13),"EST_CARRY_FORWARD",IF(AND(Dados_Observados_v4!N16&lt;&gt;"",(2019-2018)&lt;=Metodologia_v4!$B$14),"EST_CARRY_BACKWARD","SEM_DADO")))))</f>
        <v/>
      </c>
      <c r="N16" s="10">
        <f>IF(Dados_Observados_v4!N16&lt;&gt;"","OBS",IF(Dados_Ajustados_v4!N16="","SEM_DADO",IF(AND(Dados_Observados_v4!M16&lt;&gt;"",Dados_Observados_v4!O16&lt;&gt;"",(2020-2018-1)&lt;=Metodologia_v4!$B$12),"EST_INTERP_LINEAR",IF(AND(Dados_Observados_v4!M16&lt;&gt;"",(2019-2018)&lt;=Metodologia_v4!$B$13),"EST_CARRY_FORWARD",IF(AND(Dados_Observados_v4!O16&lt;&gt;"",(2020-2019)&lt;=Metodologia_v4!$B$14),"EST_CARRY_BACKWARD","SEM_DADO")))))</f>
        <v/>
      </c>
      <c r="O16" s="10">
        <f>IF(Dados_Observados_v4!O16&lt;&gt;"","OBS",IF(Dados_Ajustados_v4!O16="","SEM_DADO",IF(AND(Dados_Observados_v4!N16&lt;&gt;"",Dados_Observados_v4!P16&lt;&gt;"",(2021-2019-1)&lt;=Metodologia_v4!$B$12),"EST_INTERP_LINEAR",IF(AND(Dados_Observados_v4!N16&lt;&gt;"",(2020-2019)&lt;=Metodologia_v4!$B$13),"EST_CARRY_FORWARD",IF(AND(Dados_Observados_v4!P16&lt;&gt;"",(2021-2020)&lt;=Metodologia_v4!$B$14),"EST_CARRY_BACKWARD","SEM_DADO")))))</f>
        <v/>
      </c>
      <c r="P16" s="10">
        <f>IF(Dados_Observados_v4!P16&lt;&gt;"","OBS",IF(Dados_Ajustados_v4!P16="","SEM_DADO",IF(AND(Dados_Observados_v4!O16&lt;&gt;"",Dados_Observados_v4!Q16&lt;&gt;"",(2022-2020-1)&lt;=Metodologia_v4!$B$12),"EST_INTERP_LINEAR",IF(AND(Dados_Observados_v4!O16&lt;&gt;"",(2021-2020)&lt;=Metodologia_v4!$B$13),"EST_CARRY_FORWARD",IF(AND(Dados_Observados_v4!Q16&lt;&gt;"",(2022-2021)&lt;=Metodologia_v4!$B$14),"EST_CARRY_BACKWARD","SEM_DADO")))))</f>
        <v/>
      </c>
      <c r="Q16" s="10">
        <f>IF(Dados_Observados_v4!Q16&lt;&gt;"","OBS",IF(Dados_Ajustados_v4!Q16="","SEM_DADO",IF(AND(Dados_Observados_v4!P16&lt;&gt;"",Dados_Observados_v4!R16&lt;&gt;"",(2023-2021-1)&lt;=Metodologia_v4!$B$12),"EST_INTERP_LINEAR",IF(AND(Dados_Observados_v4!P16&lt;&gt;"",(2022-2021)&lt;=Metodologia_v4!$B$13),"EST_CARRY_FORWARD",IF(AND(Dados_Observados_v4!R16&lt;&gt;"",(2023-2022)&lt;=Metodologia_v4!$B$14),"EST_CARRY_BACKWARD","SEM_DADO")))))</f>
        <v/>
      </c>
      <c r="R16" s="10">
        <f>IF(Dados_Observados_v4!R16&lt;&gt;"","OBS",IF(Dados_Ajustados_v4!R16="","SEM_DADO",IF(AND(Dados_Observados_v4!Q16&lt;&gt;"",Dados_Observados_v4!S16&lt;&gt;"",(2024-2022-1)&lt;=Metodologia_v4!$B$12),"EST_INTERP_LINEAR",IF(AND(Dados_Observados_v4!Q16&lt;&gt;"",(2023-2022)&lt;=Metodologia_v4!$B$13),"EST_CARRY_FORWARD",IF(AND(Dados_Observados_v4!S16&lt;&gt;"",(2024-2023)&lt;=Metodologia_v4!$B$14),"EST_CARRY_BACKWARD","SEM_DADO")))))</f>
        <v/>
      </c>
      <c r="S16" s="10">
        <f>IF(Dados_Observados_v4!S16&lt;&gt;"","OBS",IF(Dados_Ajustados_v4!S16="","SEM_DADO",IF(AND(Dados_Observados_v4!R16&lt;&gt;"",(2024-2023)&lt;=Metodologia_v4!$B$13),"EST_CARRY_FORWARD","SEM_DADO")))</f>
        <v/>
      </c>
      <c r="T16" s="10">
        <f>IF(Dados_Observados_v4!T16&lt;&gt;"","OBS",IF(Dados_Ajustados_v4!T16="","SEM_DADO",IF(AND(Dados_Observados_v4!S16&lt;&gt;"",(2025-2024)&lt;=Metodologia_v4!$B$13),"EST_CARRY_FORWARD","SEM_DADO")))</f>
        <v/>
      </c>
    </row>
    <row r="17">
      <c r="A17" s="5" t="inlineStr">
        <is>
          <t>MAC07</t>
        </is>
      </c>
      <c r="B17" s="5" t="inlineStr">
        <is>
          <t>2. Estabilidade Macroeconómica</t>
        </is>
      </c>
      <c r="C17" s="5" t="inlineStr">
        <is>
          <t>Reservas internacionais</t>
        </is>
      </c>
      <c r="D17" s="5" t="inlineStr">
        <is>
          <t>Banco Mundial/WDI</t>
        </is>
      </c>
      <c r="E17" s="5" t="inlineStr">
        <is>
          <t>FI.RES.TOTL.MO</t>
        </is>
      </c>
      <c r="F17" s="5" t="inlineStr">
        <is>
          <t>Fonte Banco Mundial API/CSV</t>
        </is>
      </c>
      <c r="G17" s="5" t="inlineStr">
        <is>
          <t>10/11</t>
        </is>
      </c>
      <c r="H17" s="5" t="n">
        <v>2024</v>
      </c>
      <c r="I17" s="5" t="inlineStr">
        <is>
          <t>Referenciado pelas regras de Metodologia_v4</t>
        </is>
      </c>
      <c r="J17" s="10">
        <f>IF(Dados_Observados_v4!J17&lt;&gt;"","OBS",IF(Dados_Ajustados_v4!J17="","SEM_DADO",IF(AND(Dados_Observados_v4!K17&lt;&gt;"",(2016-2015)&lt;=Metodologia_v4!$B$14),"EST_CARRY_BACKWARD","SEM_DADO")))</f>
        <v/>
      </c>
      <c r="K17" s="10">
        <f>IF(Dados_Observados_v4!K17&lt;&gt;"","OBS",IF(Dados_Ajustados_v4!K17="","SEM_DADO",IF(AND(Dados_Observados_v4!J17&lt;&gt;"",Dados_Observados_v4!L17&lt;&gt;"",(2017-2015-1)&lt;=Metodologia_v4!$B$12),"EST_INTERP_LINEAR",IF(AND(Dados_Observados_v4!J17&lt;&gt;"",(2016-2015)&lt;=Metodologia_v4!$B$13),"EST_CARRY_FORWARD",IF(AND(Dados_Observados_v4!L17&lt;&gt;"",(2017-2016)&lt;=Metodologia_v4!$B$14),"EST_CARRY_BACKWARD","SEM_DADO")))))</f>
        <v/>
      </c>
      <c r="L17" s="10">
        <f>IF(Dados_Observados_v4!L17&lt;&gt;"","OBS",IF(Dados_Ajustados_v4!L17="","SEM_DADO",IF(AND(Dados_Observados_v4!K17&lt;&gt;"",Dados_Observados_v4!M17&lt;&gt;"",(2018-2016-1)&lt;=Metodologia_v4!$B$12),"EST_INTERP_LINEAR",IF(AND(Dados_Observados_v4!K17&lt;&gt;"",(2017-2016)&lt;=Metodologia_v4!$B$13),"EST_CARRY_FORWARD",IF(AND(Dados_Observados_v4!M17&lt;&gt;"",(2018-2017)&lt;=Metodologia_v4!$B$14),"EST_CARRY_BACKWARD","SEM_DADO")))))</f>
        <v/>
      </c>
      <c r="M17" s="10">
        <f>IF(Dados_Observados_v4!M17&lt;&gt;"","OBS",IF(Dados_Ajustados_v4!M17="","SEM_DADO",IF(AND(Dados_Observados_v4!L17&lt;&gt;"",Dados_Observados_v4!N17&lt;&gt;"",(2019-2017-1)&lt;=Metodologia_v4!$B$12),"EST_INTERP_LINEAR",IF(AND(Dados_Observados_v4!L17&lt;&gt;"",(2018-2017)&lt;=Metodologia_v4!$B$13),"EST_CARRY_FORWARD",IF(AND(Dados_Observados_v4!N17&lt;&gt;"",(2019-2018)&lt;=Metodologia_v4!$B$14),"EST_CARRY_BACKWARD","SEM_DADO")))))</f>
        <v/>
      </c>
      <c r="N17" s="10">
        <f>IF(Dados_Observados_v4!N17&lt;&gt;"","OBS",IF(Dados_Ajustados_v4!N17="","SEM_DADO",IF(AND(Dados_Observados_v4!M17&lt;&gt;"",Dados_Observados_v4!O17&lt;&gt;"",(2020-2018-1)&lt;=Metodologia_v4!$B$12),"EST_INTERP_LINEAR",IF(AND(Dados_Observados_v4!M17&lt;&gt;"",(2019-2018)&lt;=Metodologia_v4!$B$13),"EST_CARRY_FORWARD",IF(AND(Dados_Observados_v4!O17&lt;&gt;"",(2020-2019)&lt;=Metodologia_v4!$B$14),"EST_CARRY_BACKWARD","SEM_DADO")))))</f>
        <v/>
      </c>
      <c r="O17" s="10">
        <f>IF(Dados_Observados_v4!O17&lt;&gt;"","OBS",IF(Dados_Ajustados_v4!O17="","SEM_DADO",IF(AND(Dados_Observados_v4!N17&lt;&gt;"",Dados_Observados_v4!P17&lt;&gt;"",(2021-2019-1)&lt;=Metodologia_v4!$B$12),"EST_INTERP_LINEAR",IF(AND(Dados_Observados_v4!N17&lt;&gt;"",(2020-2019)&lt;=Metodologia_v4!$B$13),"EST_CARRY_FORWARD",IF(AND(Dados_Observados_v4!P17&lt;&gt;"",(2021-2020)&lt;=Metodologia_v4!$B$14),"EST_CARRY_BACKWARD","SEM_DADO")))))</f>
        <v/>
      </c>
      <c r="P17" s="10">
        <f>IF(Dados_Observados_v4!P17&lt;&gt;"","OBS",IF(Dados_Ajustados_v4!P17="","SEM_DADO",IF(AND(Dados_Observados_v4!O17&lt;&gt;"",Dados_Observados_v4!Q17&lt;&gt;"",(2022-2020-1)&lt;=Metodologia_v4!$B$12),"EST_INTERP_LINEAR",IF(AND(Dados_Observados_v4!O17&lt;&gt;"",(2021-2020)&lt;=Metodologia_v4!$B$13),"EST_CARRY_FORWARD",IF(AND(Dados_Observados_v4!Q17&lt;&gt;"",(2022-2021)&lt;=Metodologia_v4!$B$14),"EST_CARRY_BACKWARD","SEM_DADO")))))</f>
        <v/>
      </c>
      <c r="Q17" s="10">
        <f>IF(Dados_Observados_v4!Q17&lt;&gt;"","OBS",IF(Dados_Ajustados_v4!Q17="","SEM_DADO",IF(AND(Dados_Observados_v4!P17&lt;&gt;"",Dados_Observados_v4!R17&lt;&gt;"",(2023-2021-1)&lt;=Metodologia_v4!$B$12),"EST_INTERP_LINEAR",IF(AND(Dados_Observados_v4!P17&lt;&gt;"",(2022-2021)&lt;=Metodologia_v4!$B$13),"EST_CARRY_FORWARD",IF(AND(Dados_Observados_v4!R17&lt;&gt;"",(2023-2022)&lt;=Metodologia_v4!$B$14),"EST_CARRY_BACKWARD","SEM_DADO")))))</f>
        <v/>
      </c>
      <c r="R17" s="10">
        <f>IF(Dados_Observados_v4!R17&lt;&gt;"","OBS",IF(Dados_Ajustados_v4!R17="","SEM_DADO",IF(AND(Dados_Observados_v4!Q17&lt;&gt;"",Dados_Observados_v4!S17&lt;&gt;"",(2024-2022-1)&lt;=Metodologia_v4!$B$12),"EST_INTERP_LINEAR",IF(AND(Dados_Observados_v4!Q17&lt;&gt;"",(2023-2022)&lt;=Metodologia_v4!$B$13),"EST_CARRY_FORWARD",IF(AND(Dados_Observados_v4!S17&lt;&gt;"",(2024-2023)&lt;=Metodologia_v4!$B$14),"EST_CARRY_BACKWARD","SEM_DADO")))))</f>
        <v/>
      </c>
      <c r="S17" s="10">
        <f>IF(Dados_Observados_v4!S17&lt;&gt;"","OBS",IF(Dados_Ajustados_v4!S17="","SEM_DADO",IF(AND(Dados_Observados_v4!R17&lt;&gt;"",(2024-2023)&lt;=Metodologia_v4!$B$13),"EST_CARRY_FORWARD","SEM_DADO")))</f>
        <v/>
      </c>
      <c r="T17" s="10">
        <f>IF(Dados_Observados_v4!T17&lt;&gt;"","OBS",IF(Dados_Ajustados_v4!T17="","SEM_DADO",IF(AND(Dados_Observados_v4!S17&lt;&gt;"",(2025-2024)&lt;=Metodologia_v4!$B$13),"EST_CARRY_FORWARD","SEM_DADO")))</f>
        <v/>
      </c>
    </row>
    <row r="18">
      <c r="A18" s="5" t="inlineStr">
        <is>
          <t>MAC08</t>
        </is>
      </c>
      <c r="B18" s="5" t="inlineStr">
        <is>
          <t>2. Estabilidade Macroeconómica</t>
        </is>
      </c>
      <c r="C18" s="5" t="inlineStr">
        <is>
          <t>Receita fiscal</t>
        </is>
      </c>
      <c r="D18" s="5" t="inlineStr">
        <is>
          <t>Banco Mundial/WDI</t>
        </is>
      </c>
      <c r="E18" s="5" t="inlineStr">
        <is>
          <t>GC.TAX.TOTL.GD.ZS</t>
        </is>
      </c>
      <c r="F18" s="5" t="inlineStr">
        <is>
          <t>Fonte Banco Mundial API/CSV</t>
        </is>
      </c>
      <c r="G18" s="5" t="inlineStr">
        <is>
          <t>10/11</t>
        </is>
      </c>
      <c r="H18" s="5" t="n">
        <v>2024</v>
      </c>
      <c r="I18" s="5" t="inlineStr">
        <is>
          <t>Referenciado pelas regras de Metodologia_v4</t>
        </is>
      </c>
      <c r="J18" s="10">
        <f>IF(Dados_Observados_v4!J18&lt;&gt;"","OBS",IF(Dados_Ajustados_v4!J18="","SEM_DADO",IF(AND(Dados_Observados_v4!K18&lt;&gt;"",(2016-2015)&lt;=Metodologia_v4!$B$14),"EST_CARRY_BACKWARD","SEM_DADO")))</f>
        <v/>
      </c>
      <c r="K18" s="10">
        <f>IF(Dados_Observados_v4!K18&lt;&gt;"","OBS",IF(Dados_Ajustados_v4!K18="","SEM_DADO",IF(AND(Dados_Observados_v4!J18&lt;&gt;"",Dados_Observados_v4!L18&lt;&gt;"",(2017-2015-1)&lt;=Metodologia_v4!$B$12),"EST_INTERP_LINEAR",IF(AND(Dados_Observados_v4!J18&lt;&gt;"",(2016-2015)&lt;=Metodologia_v4!$B$13),"EST_CARRY_FORWARD",IF(AND(Dados_Observados_v4!L18&lt;&gt;"",(2017-2016)&lt;=Metodologia_v4!$B$14),"EST_CARRY_BACKWARD","SEM_DADO")))))</f>
        <v/>
      </c>
      <c r="L18" s="10">
        <f>IF(Dados_Observados_v4!L18&lt;&gt;"","OBS",IF(Dados_Ajustados_v4!L18="","SEM_DADO",IF(AND(Dados_Observados_v4!K18&lt;&gt;"",Dados_Observados_v4!M18&lt;&gt;"",(2018-2016-1)&lt;=Metodologia_v4!$B$12),"EST_INTERP_LINEAR",IF(AND(Dados_Observados_v4!K18&lt;&gt;"",(2017-2016)&lt;=Metodologia_v4!$B$13),"EST_CARRY_FORWARD",IF(AND(Dados_Observados_v4!M18&lt;&gt;"",(2018-2017)&lt;=Metodologia_v4!$B$14),"EST_CARRY_BACKWARD","SEM_DADO")))))</f>
        <v/>
      </c>
      <c r="M18" s="10">
        <f>IF(Dados_Observados_v4!M18&lt;&gt;"","OBS",IF(Dados_Ajustados_v4!M18="","SEM_DADO",IF(AND(Dados_Observados_v4!L18&lt;&gt;"",Dados_Observados_v4!N18&lt;&gt;"",(2019-2017-1)&lt;=Metodologia_v4!$B$12),"EST_INTERP_LINEAR",IF(AND(Dados_Observados_v4!L18&lt;&gt;"",(2018-2017)&lt;=Metodologia_v4!$B$13),"EST_CARRY_FORWARD",IF(AND(Dados_Observados_v4!N18&lt;&gt;"",(2019-2018)&lt;=Metodologia_v4!$B$14),"EST_CARRY_BACKWARD","SEM_DADO")))))</f>
        <v/>
      </c>
      <c r="N18" s="10">
        <f>IF(Dados_Observados_v4!N18&lt;&gt;"","OBS",IF(Dados_Ajustados_v4!N18="","SEM_DADO",IF(AND(Dados_Observados_v4!M18&lt;&gt;"",Dados_Observados_v4!O18&lt;&gt;"",(2020-2018-1)&lt;=Metodologia_v4!$B$12),"EST_INTERP_LINEAR",IF(AND(Dados_Observados_v4!M18&lt;&gt;"",(2019-2018)&lt;=Metodologia_v4!$B$13),"EST_CARRY_FORWARD",IF(AND(Dados_Observados_v4!O18&lt;&gt;"",(2020-2019)&lt;=Metodologia_v4!$B$14),"EST_CARRY_BACKWARD","SEM_DADO")))))</f>
        <v/>
      </c>
      <c r="O18" s="10">
        <f>IF(Dados_Observados_v4!O18&lt;&gt;"","OBS",IF(Dados_Ajustados_v4!O18="","SEM_DADO",IF(AND(Dados_Observados_v4!N18&lt;&gt;"",Dados_Observados_v4!P18&lt;&gt;"",(2021-2019-1)&lt;=Metodologia_v4!$B$12),"EST_INTERP_LINEAR",IF(AND(Dados_Observados_v4!N18&lt;&gt;"",(2020-2019)&lt;=Metodologia_v4!$B$13),"EST_CARRY_FORWARD",IF(AND(Dados_Observados_v4!P18&lt;&gt;"",(2021-2020)&lt;=Metodologia_v4!$B$14),"EST_CARRY_BACKWARD","SEM_DADO")))))</f>
        <v/>
      </c>
      <c r="P18" s="10">
        <f>IF(Dados_Observados_v4!P18&lt;&gt;"","OBS",IF(Dados_Ajustados_v4!P18="","SEM_DADO",IF(AND(Dados_Observados_v4!O18&lt;&gt;"",Dados_Observados_v4!Q18&lt;&gt;"",(2022-2020-1)&lt;=Metodologia_v4!$B$12),"EST_INTERP_LINEAR",IF(AND(Dados_Observados_v4!O18&lt;&gt;"",(2021-2020)&lt;=Metodologia_v4!$B$13),"EST_CARRY_FORWARD",IF(AND(Dados_Observados_v4!Q18&lt;&gt;"",(2022-2021)&lt;=Metodologia_v4!$B$14),"EST_CARRY_BACKWARD","SEM_DADO")))))</f>
        <v/>
      </c>
      <c r="Q18" s="10">
        <f>IF(Dados_Observados_v4!Q18&lt;&gt;"","OBS",IF(Dados_Ajustados_v4!Q18="","SEM_DADO",IF(AND(Dados_Observados_v4!P18&lt;&gt;"",Dados_Observados_v4!R18&lt;&gt;"",(2023-2021-1)&lt;=Metodologia_v4!$B$12),"EST_INTERP_LINEAR",IF(AND(Dados_Observados_v4!P18&lt;&gt;"",(2022-2021)&lt;=Metodologia_v4!$B$13),"EST_CARRY_FORWARD",IF(AND(Dados_Observados_v4!R18&lt;&gt;"",(2023-2022)&lt;=Metodologia_v4!$B$14),"EST_CARRY_BACKWARD","SEM_DADO")))))</f>
        <v/>
      </c>
      <c r="R18" s="10">
        <f>IF(Dados_Observados_v4!R18&lt;&gt;"","OBS",IF(Dados_Ajustados_v4!R18="","SEM_DADO",IF(AND(Dados_Observados_v4!Q18&lt;&gt;"",Dados_Observados_v4!S18&lt;&gt;"",(2024-2022-1)&lt;=Metodologia_v4!$B$12),"EST_INTERP_LINEAR",IF(AND(Dados_Observados_v4!Q18&lt;&gt;"",(2023-2022)&lt;=Metodologia_v4!$B$13),"EST_CARRY_FORWARD",IF(AND(Dados_Observados_v4!S18&lt;&gt;"",(2024-2023)&lt;=Metodologia_v4!$B$14),"EST_CARRY_BACKWARD","SEM_DADO")))))</f>
        <v/>
      </c>
      <c r="S18" s="10">
        <f>IF(Dados_Observados_v4!S18&lt;&gt;"","OBS",IF(Dados_Ajustados_v4!S18="","SEM_DADO",IF(AND(Dados_Observados_v4!R18&lt;&gt;"",(2024-2023)&lt;=Metodologia_v4!$B$13),"EST_CARRY_FORWARD","SEM_DADO")))</f>
        <v/>
      </c>
      <c r="T18" s="10">
        <f>IF(Dados_Observados_v4!T18&lt;&gt;"","OBS",IF(Dados_Ajustados_v4!T18="","SEM_DADO",IF(AND(Dados_Observados_v4!S18&lt;&gt;"",(2025-2024)&lt;=Metodologia_v4!$B$13),"EST_CARRY_FORWARD","SEM_DADO")))</f>
        <v/>
      </c>
    </row>
    <row r="19">
      <c r="A19" s="5" t="inlineStr">
        <is>
          <t>HUM01</t>
        </is>
      </c>
      <c r="B19" s="5" t="inlineStr">
        <is>
          <t>3. Capital Humano</t>
        </is>
      </c>
      <c r="C19" s="5" t="inlineStr">
        <is>
          <t>Índice de Desenvolvimento Humano</t>
        </is>
      </c>
      <c r="D19" s="5" t="inlineStr">
        <is>
          <t>PNUD/HDR / ficheiro base</t>
        </is>
      </c>
      <c r="E19" s="5" t="inlineStr"/>
      <c r="F19" s="5" t="inlineStr">
        <is>
          <t>Série observada do ficheiro base</t>
        </is>
      </c>
      <c r="G19" s="5" t="inlineStr">
        <is>
          <t>9/11</t>
        </is>
      </c>
      <c r="H19" s="5" t="n">
        <v>2023</v>
      </c>
      <c r="I19" s="5" t="inlineStr">
        <is>
          <t>Referenciado pelas regras de Metodologia_v4</t>
        </is>
      </c>
      <c r="J19" s="10">
        <f>IF(Dados_Observados_v4!J19&lt;&gt;"","OBS",IF(Dados_Ajustados_v4!J19="","SEM_DADO",IF(AND(Dados_Observados_v4!K19&lt;&gt;"",(2016-2015)&lt;=Metodologia_v4!$B$14),"EST_CARRY_BACKWARD","SEM_DADO")))</f>
        <v/>
      </c>
      <c r="K19" s="10">
        <f>IF(Dados_Observados_v4!K19&lt;&gt;"","OBS",IF(Dados_Ajustados_v4!K19="","SEM_DADO",IF(AND(Dados_Observados_v4!J19&lt;&gt;"",Dados_Observados_v4!L19&lt;&gt;"",(2017-2015-1)&lt;=Metodologia_v4!$B$12),"EST_INTERP_LINEAR",IF(AND(Dados_Observados_v4!J19&lt;&gt;"",(2016-2015)&lt;=Metodologia_v4!$B$13),"EST_CARRY_FORWARD",IF(AND(Dados_Observados_v4!L19&lt;&gt;"",(2017-2016)&lt;=Metodologia_v4!$B$14),"EST_CARRY_BACKWARD","SEM_DADO")))))</f>
        <v/>
      </c>
      <c r="L19" s="10">
        <f>IF(Dados_Observados_v4!L19&lt;&gt;"","OBS",IF(Dados_Ajustados_v4!L19="","SEM_DADO",IF(AND(Dados_Observados_v4!K19&lt;&gt;"",Dados_Observados_v4!M19&lt;&gt;"",(2018-2016-1)&lt;=Metodologia_v4!$B$12),"EST_INTERP_LINEAR",IF(AND(Dados_Observados_v4!K19&lt;&gt;"",(2017-2016)&lt;=Metodologia_v4!$B$13),"EST_CARRY_FORWARD",IF(AND(Dados_Observados_v4!M19&lt;&gt;"",(2018-2017)&lt;=Metodologia_v4!$B$14),"EST_CARRY_BACKWARD","SEM_DADO")))))</f>
        <v/>
      </c>
      <c r="M19" s="10">
        <f>IF(Dados_Observados_v4!M19&lt;&gt;"","OBS",IF(Dados_Ajustados_v4!M19="","SEM_DADO",IF(AND(Dados_Observados_v4!L19&lt;&gt;"",Dados_Observados_v4!N19&lt;&gt;"",(2019-2017-1)&lt;=Metodologia_v4!$B$12),"EST_INTERP_LINEAR",IF(AND(Dados_Observados_v4!L19&lt;&gt;"",(2018-2017)&lt;=Metodologia_v4!$B$13),"EST_CARRY_FORWARD",IF(AND(Dados_Observados_v4!N19&lt;&gt;"",(2019-2018)&lt;=Metodologia_v4!$B$14),"EST_CARRY_BACKWARD","SEM_DADO")))))</f>
        <v/>
      </c>
      <c r="N19" s="10">
        <f>IF(Dados_Observados_v4!N19&lt;&gt;"","OBS",IF(Dados_Ajustados_v4!N19="","SEM_DADO",IF(AND(Dados_Observados_v4!M19&lt;&gt;"",Dados_Observados_v4!O19&lt;&gt;"",(2020-2018-1)&lt;=Metodologia_v4!$B$12),"EST_INTERP_LINEAR",IF(AND(Dados_Observados_v4!M19&lt;&gt;"",(2019-2018)&lt;=Metodologia_v4!$B$13),"EST_CARRY_FORWARD",IF(AND(Dados_Observados_v4!O19&lt;&gt;"",(2020-2019)&lt;=Metodologia_v4!$B$14),"EST_CARRY_BACKWARD","SEM_DADO")))))</f>
        <v/>
      </c>
      <c r="O19" s="10">
        <f>IF(Dados_Observados_v4!O19&lt;&gt;"","OBS",IF(Dados_Ajustados_v4!O19="","SEM_DADO",IF(AND(Dados_Observados_v4!N19&lt;&gt;"",Dados_Observados_v4!P19&lt;&gt;"",(2021-2019-1)&lt;=Metodologia_v4!$B$12),"EST_INTERP_LINEAR",IF(AND(Dados_Observados_v4!N19&lt;&gt;"",(2020-2019)&lt;=Metodologia_v4!$B$13),"EST_CARRY_FORWARD",IF(AND(Dados_Observados_v4!P19&lt;&gt;"",(2021-2020)&lt;=Metodologia_v4!$B$14),"EST_CARRY_BACKWARD","SEM_DADO")))))</f>
        <v/>
      </c>
      <c r="P19" s="10">
        <f>IF(Dados_Observados_v4!P19&lt;&gt;"","OBS",IF(Dados_Ajustados_v4!P19="","SEM_DADO",IF(AND(Dados_Observados_v4!O19&lt;&gt;"",Dados_Observados_v4!Q19&lt;&gt;"",(2022-2020-1)&lt;=Metodologia_v4!$B$12),"EST_INTERP_LINEAR",IF(AND(Dados_Observados_v4!O19&lt;&gt;"",(2021-2020)&lt;=Metodologia_v4!$B$13),"EST_CARRY_FORWARD",IF(AND(Dados_Observados_v4!Q19&lt;&gt;"",(2022-2021)&lt;=Metodologia_v4!$B$14),"EST_CARRY_BACKWARD","SEM_DADO")))))</f>
        <v/>
      </c>
      <c r="Q19" s="10">
        <f>IF(Dados_Observados_v4!Q19&lt;&gt;"","OBS",IF(Dados_Ajustados_v4!Q19="","SEM_DADO",IF(AND(Dados_Observados_v4!P19&lt;&gt;"",Dados_Observados_v4!R19&lt;&gt;"",(2023-2021-1)&lt;=Metodologia_v4!$B$12),"EST_INTERP_LINEAR",IF(AND(Dados_Observados_v4!P19&lt;&gt;"",(2022-2021)&lt;=Metodologia_v4!$B$13),"EST_CARRY_FORWARD",IF(AND(Dados_Observados_v4!R19&lt;&gt;"",(2023-2022)&lt;=Metodologia_v4!$B$14),"EST_CARRY_BACKWARD","SEM_DADO")))))</f>
        <v/>
      </c>
      <c r="R19" s="10">
        <f>IF(Dados_Observados_v4!R19&lt;&gt;"","OBS",IF(Dados_Ajustados_v4!R19="","SEM_DADO",IF(AND(Dados_Observados_v4!Q19&lt;&gt;"",(2023-2022)&lt;=Metodologia_v4!$B$13),"EST_CARRY_FORWARD","SEM_DADO")))</f>
        <v/>
      </c>
      <c r="S19" s="10">
        <f>IF(Dados_Observados_v4!S19&lt;&gt;"","OBS",IF(Dados_Ajustados_v4!S19="","SEM_DADO",IF(AND(Dados_Observados_v4!R19&lt;&gt;"",(2024-2023)&lt;=Metodologia_v4!$B$13),"EST_CARRY_FORWARD","SEM_DADO")))</f>
        <v/>
      </c>
      <c r="T19" s="10">
        <f>IF(Dados_Observados_v4!T19&lt;&gt;"","OBS",IF(Dados_Ajustados_v4!T19="","SEM_DADO",IF(AND(Dados_Observados_v4!R19&lt;&gt;"",(2025-2023)&lt;=Metodologia_v4!$B$13),"EST_CARRY_FORWARD","SEM_DADO")))</f>
        <v/>
      </c>
    </row>
    <row r="20">
      <c r="A20" s="5" t="inlineStr">
        <is>
          <t>HUM02</t>
        </is>
      </c>
      <c r="B20" s="5" t="inlineStr">
        <is>
          <t>3. Capital Humano</t>
        </is>
      </c>
      <c r="C20" s="5" t="inlineStr">
        <is>
          <t>Esperança de vida à nascença</t>
        </is>
      </c>
      <c r="D20" s="5" t="inlineStr">
        <is>
          <t>Banco Mundial/WDI</t>
        </is>
      </c>
      <c r="E20" s="5" t="inlineStr">
        <is>
          <t>SP.DYN.LE00.IN</t>
        </is>
      </c>
      <c r="F20" s="5" t="inlineStr">
        <is>
          <t>Fonte Banco Mundial API/CSV</t>
        </is>
      </c>
      <c r="G20" s="5" t="inlineStr">
        <is>
          <t>10/11</t>
        </is>
      </c>
      <c r="H20" s="5" t="n">
        <v>2024</v>
      </c>
      <c r="I20" s="5" t="inlineStr">
        <is>
          <t>Referenciado pelas regras de Metodologia_v4</t>
        </is>
      </c>
      <c r="J20" s="10">
        <f>IF(Dados_Observados_v4!J20&lt;&gt;"","OBS",IF(Dados_Ajustados_v4!J20="","SEM_DADO",IF(AND(Dados_Observados_v4!K20&lt;&gt;"",(2016-2015)&lt;=Metodologia_v4!$B$14),"EST_CARRY_BACKWARD","SEM_DADO")))</f>
        <v/>
      </c>
      <c r="K20" s="10">
        <f>IF(Dados_Observados_v4!K20&lt;&gt;"","OBS",IF(Dados_Ajustados_v4!K20="","SEM_DADO",IF(AND(Dados_Observados_v4!J20&lt;&gt;"",Dados_Observados_v4!L20&lt;&gt;"",(2017-2015-1)&lt;=Metodologia_v4!$B$12),"EST_INTERP_LINEAR",IF(AND(Dados_Observados_v4!J20&lt;&gt;"",(2016-2015)&lt;=Metodologia_v4!$B$13),"EST_CARRY_FORWARD",IF(AND(Dados_Observados_v4!L20&lt;&gt;"",(2017-2016)&lt;=Metodologia_v4!$B$14),"EST_CARRY_BACKWARD","SEM_DADO")))))</f>
        <v/>
      </c>
      <c r="L20" s="10">
        <f>IF(Dados_Observados_v4!L20&lt;&gt;"","OBS",IF(Dados_Ajustados_v4!L20="","SEM_DADO",IF(AND(Dados_Observados_v4!K20&lt;&gt;"",Dados_Observados_v4!M20&lt;&gt;"",(2018-2016-1)&lt;=Metodologia_v4!$B$12),"EST_INTERP_LINEAR",IF(AND(Dados_Observados_v4!K20&lt;&gt;"",(2017-2016)&lt;=Metodologia_v4!$B$13),"EST_CARRY_FORWARD",IF(AND(Dados_Observados_v4!M20&lt;&gt;"",(2018-2017)&lt;=Metodologia_v4!$B$14),"EST_CARRY_BACKWARD","SEM_DADO")))))</f>
        <v/>
      </c>
      <c r="M20" s="10">
        <f>IF(Dados_Observados_v4!M20&lt;&gt;"","OBS",IF(Dados_Ajustados_v4!M20="","SEM_DADO",IF(AND(Dados_Observados_v4!L20&lt;&gt;"",Dados_Observados_v4!N20&lt;&gt;"",(2019-2017-1)&lt;=Metodologia_v4!$B$12),"EST_INTERP_LINEAR",IF(AND(Dados_Observados_v4!L20&lt;&gt;"",(2018-2017)&lt;=Metodologia_v4!$B$13),"EST_CARRY_FORWARD",IF(AND(Dados_Observados_v4!N20&lt;&gt;"",(2019-2018)&lt;=Metodologia_v4!$B$14),"EST_CARRY_BACKWARD","SEM_DADO")))))</f>
        <v/>
      </c>
      <c r="N20" s="10">
        <f>IF(Dados_Observados_v4!N20&lt;&gt;"","OBS",IF(Dados_Ajustados_v4!N20="","SEM_DADO",IF(AND(Dados_Observados_v4!M20&lt;&gt;"",Dados_Observados_v4!O20&lt;&gt;"",(2020-2018-1)&lt;=Metodologia_v4!$B$12),"EST_INTERP_LINEAR",IF(AND(Dados_Observados_v4!M20&lt;&gt;"",(2019-2018)&lt;=Metodologia_v4!$B$13),"EST_CARRY_FORWARD",IF(AND(Dados_Observados_v4!O20&lt;&gt;"",(2020-2019)&lt;=Metodologia_v4!$B$14),"EST_CARRY_BACKWARD","SEM_DADO")))))</f>
        <v/>
      </c>
      <c r="O20" s="10">
        <f>IF(Dados_Observados_v4!O20&lt;&gt;"","OBS",IF(Dados_Ajustados_v4!O20="","SEM_DADO",IF(AND(Dados_Observados_v4!N20&lt;&gt;"",Dados_Observados_v4!P20&lt;&gt;"",(2021-2019-1)&lt;=Metodologia_v4!$B$12),"EST_INTERP_LINEAR",IF(AND(Dados_Observados_v4!N20&lt;&gt;"",(2020-2019)&lt;=Metodologia_v4!$B$13),"EST_CARRY_FORWARD",IF(AND(Dados_Observados_v4!P20&lt;&gt;"",(2021-2020)&lt;=Metodologia_v4!$B$14),"EST_CARRY_BACKWARD","SEM_DADO")))))</f>
        <v/>
      </c>
      <c r="P20" s="10">
        <f>IF(Dados_Observados_v4!P20&lt;&gt;"","OBS",IF(Dados_Ajustados_v4!P20="","SEM_DADO",IF(AND(Dados_Observados_v4!O20&lt;&gt;"",Dados_Observados_v4!Q20&lt;&gt;"",(2022-2020-1)&lt;=Metodologia_v4!$B$12),"EST_INTERP_LINEAR",IF(AND(Dados_Observados_v4!O20&lt;&gt;"",(2021-2020)&lt;=Metodologia_v4!$B$13),"EST_CARRY_FORWARD",IF(AND(Dados_Observados_v4!Q20&lt;&gt;"",(2022-2021)&lt;=Metodologia_v4!$B$14),"EST_CARRY_BACKWARD","SEM_DADO")))))</f>
        <v/>
      </c>
      <c r="Q20" s="10">
        <f>IF(Dados_Observados_v4!Q20&lt;&gt;"","OBS",IF(Dados_Ajustados_v4!Q20="","SEM_DADO",IF(AND(Dados_Observados_v4!P20&lt;&gt;"",Dados_Observados_v4!R20&lt;&gt;"",(2023-2021-1)&lt;=Metodologia_v4!$B$12),"EST_INTERP_LINEAR",IF(AND(Dados_Observados_v4!P20&lt;&gt;"",(2022-2021)&lt;=Metodologia_v4!$B$13),"EST_CARRY_FORWARD",IF(AND(Dados_Observados_v4!R20&lt;&gt;"",(2023-2022)&lt;=Metodologia_v4!$B$14),"EST_CARRY_BACKWARD","SEM_DADO")))))</f>
        <v/>
      </c>
      <c r="R20" s="10">
        <f>IF(Dados_Observados_v4!R20&lt;&gt;"","OBS",IF(Dados_Ajustados_v4!R20="","SEM_DADO",IF(AND(Dados_Observados_v4!Q20&lt;&gt;"",Dados_Observados_v4!S20&lt;&gt;"",(2024-2022-1)&lt;=Metodologia_v4!$B$12),"EST_INTERP_LINEAR",IF(AND(Dados_Observados_v4!Q20&lt;&gt;"",(2023-2022)&lt;=Metodologia_v4!$B$13),"EST_CARRY_FORWARD",IF(AND(Dados_Observados_v4!S20&lt;&gt;"",(2024-2023)&lt;=Metodologia_v4!$B$14),"EST_CARRY_BACKWARD","SEM_DADO")))))</f>
        <v/>
      </c>
      <c r="S20" s="10">
        <f>IF(Dados_Observados_v4!S20&lt;&gt;"","OBS",IF(Dados_Ajustados_v4!S20="","SEM_DADO",IF(AND(Dados_Observados_v4!R20&lt;&gt;"",(2024-2023)&lt;=Metodologia_v4!$B$13),"EST_CARRY_FORWARD","SEM_DADO")))</f>
        <v/>
      </c>
      <c r="T20" s="10">
        <f>IF(Dados_Observados_v4!T20&lt;&gt;"","OBS",IF(Dados_Ajustados_v4!T20="","SEM_DADO",IF(AND(Dados_Observados_v4!S20&lt;&gt;"",(2025-2024)&lt;=Metodologia_v4!$B$13),"EST_CARRY_FORWARD","SEM_DADO")))</f>
        <v/>
      </c>
    </row>
    <row r="21">
      <c r="A21" s="5" t="inlineStr">
        <is>
          <t>HUM03</t>
        </is>
      </c>
      <c r="B21" s="5" t="inlineStr">
        <is>
          <t>3. Capital Humano</t>
        </is>
      </c>
      <c r="C21" s="5" t="inlineStr">
        <is>
          <t>Alfabetização adulta</t>
        </is>
      </c>
      <c r="D21" s="5" t="inlineStr">
        <is>
          <t>Banco Mundial/UNESCO</t>
        </is>
      </c>
      <c r="E21" s="5" t="inlineStr">
        <is>
          <t>SE.ADT.LITR.ZS</t>
        </is>
      </c>
      <c r="F21" s="5" t="inlineStr">
        <is>
          <t>Fonte Banco Mundial API/CSV</t>
        </is>
      </c>
      <c r="G21" s="5" t="inlineStr">
        <is>
          <t>2/11</t>
        </is>
      </c>
      <c r="H21" s="5" t="n">
        <v>2023</v>
      </c>
      <c r="I21" s="5" t="inlineStr">
        <is>
          <t>Referenciado pelas regras de Metodologia_v4</t>
        </is>
      </c>
      <c r="J21" s="10">
        <f>IF(Dados_Observados_v4!J21&lt;&gt;"","OBS",IF(Dados_Ajustados_v4!J21="","SEM_DADO",IF(AND(Dados_Observados_v4!R21&lt;&gt;"",(2023-2015)&lt;=Metodologia_v4!$B$14),"EST_CARRY_BACKWARD","SEM_DADO")))</f>
        <v/>
      </c>
      <c r="K21" s="10">
        <f>IF(Dados_Observados_v4!K21&lt;&gt;"","OBS",IF(Dados_Ajustados_v4!K21="","SEM_DADO",IF(AND(Dados_Observados_v4!J21&lt;&gt;"",Dados_Observados_v4!R21&lt;&gt;"",(2023-2015-1)&lt;=Metodologia_v4!$B$12),"EST_INTERP_LINEAR",IF(AND(Dados_Observados_v4!J21&lt;&gt;"",(2016-2015)&lt;=Metodologia_v4!$B$13),"EST_CARRY_FORWARD",IF(AND(Dados_Observados_v4!R21&lt;&gt;"",(2023-2016)&lt;=Metodologia_v4!$B$14),"EST_CARRY_BACKWARD","SEM_DADO")))))</f>
        <v/>
      </c>
      <c r="L21" s="10">
        <f>IF(Dados_Observados_v4!L21&lt;&gt;"","OBS",IF(Dados_Ajustados_v4!L21="","SEM_DADO",IF(AND(Dados_Observados_v4!J21&lt;&gt;"",Dados_Observados_v4!R21&lt;&gt;"",(2023-2015-1)&lt;=Metodologia_v4!$B$12),"EST_INTERP_LINEAR",IF(AND(Dados_Observados_v4!J21&lt;&gt;"",(2017-2015)&lt;=Metodologia_v4!$B$13),"EST_CARRY_FORWARD",IF(AND(Dados_Observados_v4!R21&lt;&gt;"",(2023-2017)&lt;=Metodologia_v4!$B$14),"EST_CARRY_BACKWARD","SEM_DADO")))))</f>
        <v/>
      </c>
      <c r="M21" s="10">
        <f>IF(Dados_Observados_v4!M21&lt;&gt;"","OBS",IF(Dados_Ajustados_v4!M21="","SEM_DADO",IF(AND(Dados_Observados_v4!J21&lt;&gt;"",Dados_Observados_v4!R21&lt;&gt;"",(2023-2015-1)&lt;=Metodologia_v4!$B$12),"EST_INTERP_LINEAR",IF(AND(Dados_Observados_v4!J21&lt;&gt;"",(2018-2015)&lt;=Metodologia_v4!$B$13),"EST_CARRY_FORWARD",IF(AND(Dados_Observados_v4!R21&lt;&gt;"",(2023-2018)&lt;=Metodologia_v4!$B$14),"EST_CARRY_BACKWARD","SEM_DADO")))))</f>
        <v/>
      </c>
      <c r="N21" s="10">
        <f>IF(Dados_Observados_v4!N21&lt;&gt;"","OBS",IF(Dados_Ajustados_v4!N21="","SEM_DADO",IF(AND(Dados_Observados_v4!J21&lt;&gt;"",Dados_Observados_v4!R21&lt;&gt;"",(2023-2015-1)&lt;=Metodologia_v4!$B$12),"EST_INTERP_LINEAR",IF(AND(Dados_Observados_v4!J21&lt;&gt;"",(2019-2015)&lt;=Metodologia_v4!$B$13),"EST_CARRY_FORWARD",IF(AND(Dados_Observados_v4!R21&lt;&gt;"",(2023-2019)&lt;=Metodologia_v4!$B$14),"EST_CARRY_BACKWARD","SEM_DADO")))))</f>
        <v/>
      </c>
      <c r="O21" s="10">
        <f>IF(Dados_Observados_v4!O21&lt;&gt;"","OBS",IF(Dados_Ajustados_v4!O21="","SEM_DADO",IF(AND(Dados_Observados_v4!J21&lt;&gt;"",Dados_Observados_v4!R21&lt;&gt;"",(2023-2015-1)&lt;=Metodologia_v4!$B$12),"EST_INTERP_LINEAR",IF(AND(Dados_Observados_v4!J21&lt;&gt;"",(2020-2015)&lt;=Metodologia_v4!$B$13),"EST_CARRY_FORWARD",IF(AND(Dados_Observados_v4!R21&lt;&gt;"",(2023-2020)&lt;=Metodologia_v4!$B$14),"EST_CARRY_BACKWARD","SEM_DADO")))))</f>
        <v/>
      </c>
      <c r="P21" s="10">
        <f>IF(Dados_Observados_v4!P21&lt;&gt;"","OBS",IF(Dados_Ajustados_v4!P21="","SEM_DADO",IF(AND(Dados_Observados_v4!J21&lt;&gt;"",Dados_Observados_v4!R21&lt;&gt;"",(2023-2015-1)&lt;=Metodologia_v4!$B$12),"EST_INTERP_LINEAR",IF(AND(Dados_Observados_v4!J21&lt;&gt;"",(2021-2015)&lt;=Metodologia_v4!$B$13),"EST_CARRY_FORWARD",IF(AND(Dados_Observados_v4!R21&lt;&gt;"",(2023-2021)&lt;=Metodologia_v4!$B$14),"EST_CARRY_BACKWARD","SEM_DADO")))))</f>
        <v/>
      </c>
      <c r="Q21" s="10">
        <f>IF(Dados_Observados_v4!Q21&lt;&gt;"","OBS",IF(Dados_Ajustados_v4!Q21="","SEM_DADO",IF(AND(Dados_Observados_v4!J21&lt;&gt;"",Dados_Observados_v4!R21&lt;&gt;"",(2023-2015-1)&lt;=Metodologia_v4!$B$12),"EST_INTERP_LINEAR",IF(AND(Dados_Observados_v4!J21&lt;&gt;"",(2022-2015)&lt;=Metodologia_v4!$B$13),"EST_CARRY_FORWARD",IF(AND(Dados_Observados_v4!R21&lt;&gt;"",(2023-2022)&lt;=Metodologia_v4!$B$14),"EST_CARRY_BACKWARD","SEM_DADO")))))</f>
        <v/>
      </c>
      <c r="R21" s="10">
        <f>IF(Dados_Observados_v4!R21&lt;&gt;"","OBS",IF(Dados_Ajustados_v4!R21="","SEM_DADO",IF(AND(Dados_Observados_v4!J21&lt;&gt;"",(2023-2015)&lt;=Metodologia_v4!$B$13),"EST_CARRY_FORWARD","SEM_DADO")))</f>
        <v/>
      </c>
      <c r="S21" s="10">
        <f>IF(Dados_Observados_v4!S21&lt;&gt;"","OBS",IF(Dados_Ajustados_v4!S21="","SEM_DADO",IF(AND(Dados_Observados_v4!R21&lt;&gt;"",(2024-2023)&lt;=Metodologia_v4!$B$13),"EST_CARRY_FORWARD","SEM_DADO")))</f>
        <v/>
      </c>
      <c r="T21" s="10">
        <f>IF(Dados_Observados_v4!T21&lt;&gt;"","OBS",IF(Dados_Ajustados_v4!T21="","SEM_DADO",IF(AND(Dados_Observados_v4!R21&lt;&gt;"",(2025-2023)&lt;=Metodologia_v4!$B$13),"EST_CARRY_FORWARD","SEM_DADO")))</f>
        <v/>
      </c>
    </row>
    <row r="22">
      <c r="A22" s="5" t="inlineStr">
        <is>
          <t>HUM04</t>
        </is>
      </c>
      <c r="B22" s="5" t="inlineStr">
        <is>
          <t>3. Capital Humano</t>
        </is>
      </c>
      <c r="C22" s="5" t="inlineStr">
        <is>
          <t>Conclusão do ensino primário</t>
        </is>
      </c>
      <c r="D22" s="5" t="inlineStr">
        <is>
          <t>Banco Mundial/UNESCO</t>
        </is>
      </c>
      <c r="E22" s="5" t="inlineStr">
        <is>
          <t>SE.PRM.CMPT.ZS</t>
        </is>
      </c>
      <c r="F22" s="5" t="inlineStr">
        <is>
          <t>Fonte Banco Mundial API/CSV</t>
        </is>
      </c>
      <c r="G22" s="5" t="inlineStr">
        <is>
          <t>2/11</t>
        </is>
      </c>
      <c r="H22" s="5" t="n">
        <v>2023</v>
      </c>
      <c r="I22" s="5" t="inlineStr">
        <is>
          <t>Referenciado pelas regras de Metodologia_v4</t>
        </is>
      </c>
      <c r="J22" s="10">
        <f>IF(Dados_Observados_v4!J22&lt;&gt;"","OBS",IF(Dados_Ajustados_v4!J22="","SEM_DADO",IF(AND(Dados_Observados_v4!P22&lt;&gt;"",(2021-2015)&lt;=Metodologia_v4!$B$14),"EST_CARRY_BACKWARD","SEM_DADO")))</f>
        <v/>
      </c>
      <c r="K22" s="10">
        <f>IF(Dados_Observados_v4!K22&lt;&gt;"","OBS",IF(Dados_Ajustados_v4!K22="","SEM_DADO",IF(AND(Dados_Observados_v4!P22&lt;&gt;"",(2021-2016)&lt;=Metodologia_v4!$B$14),"EST_CARRY_BACKWARD","SEM_DADO")))</f>
        <v/>
      </c>
      <c r="L22" s="10">
        <f>IF(Dados_Observados_v4!L22&lt;&gt;"","OBS",IF(Dados_Ajustados_v4!L22="","SEM_DADO",IF(AND(Dados_Observados_v4!P22&lt;&gt;"",(2021-2017)&lt;=Metodologia_v4!$B$14),"EST_CARRY_BACKWARD","SEM_DADO")))</f>
        <v/>
      </c>
      <c r="M22" s="10">
        <f>IF(Dados_Observados_v4!M22&lt;&gt;"","OBS",IF(Dados_Ajustados_v4!M22="","SEM_DADO",IF(AND(Dados_Observados_v4!P22&lt;&gt;"",(2021-2018)&lt;=Metodologia_v4!$B$14),"EST_CARRY_BACKWARD","SEM_DADO")))</f>
        <v/>
      </c>
      <c r="N22" s="10">
        <f>IF(Dados_Observados_v4!N22&lt;&gt;"","OBS",IF(Dados_Ajustados_v4!N22="","SEM_DADO",IF(AND(Dados_Observados_v4!P22&lt;&gt;"",(2021-2019)&lt;=Metodologia_v4!$B$14),"EST_CARRY_BACKWARD","SEM_DADO")))</f>
        <v/>
      </c>
      <c r="O22" s="10">
        <f>IF(Dados_Observados_v4!O22&lt;&gt;"","OBS",IF(Dados_Ajustados_v4!O22="","SEM_DADO",IF(AND(Dados_Observados_v4!P22&lt;&gt;"",(2021-2020)&lt;=Metodologia_v4!$B$14),"EST_CARRY_BACKWARD","SEM_DADO")))</f>
        <v/>
      </c>
      <c r="P22" s="10">
        <f>IF(Dados_Observados_v4!P22&lt;&gt;"","OBS",IF(Dados_Ajustados_v4!P22="","SEM_DADO",IF(AND(Dados_Observados_v4!R22&lt;&gt;"",(2023-2021)&lt;=Metodologia_v4!$B$14),"EST_CARRY_BACKWARD","SEM_DADO")))</f>
        <v/>
      </c>
      <c r="Q22" s="10">
        <f>IF(Dados_Observados_v4!Q22&lt;&gt;"","OBS",IF(Dados_Ajustados_v4!Q22="","SEM_DADO",IF(AND(Dados_Observados_v4!P22&lt;&gt;"",Dados_Observados_v4!R22&lt;&gt;"",(2023-2021-1)&lt;=Metodologia_v4!$B$12),"EST_INTERP_LINEAR",IF(AND(Dados_Observados_v4!P22&lt;&gt;"",(2022-2021)&lt;=Metodologia_v4!$B$13),"EST_CARRY_FORWARD",IF(AND(Dados_Observados_v4!R22&lt;&gt;"",(2023-2022)&lt;=Metodologia_v4!$B$14),"EST_CARRY_BACKWARD","SEM_DADO")))))</f>
        <v/>
      </c>
      <c r="R22" s="10">
        <f>IF(Dados_Observados_v4!R22&lt;&gt;"","OBS",IF(Dados_Ajustados_v4!R22="","SEM_DADO",IF(AND(Dados_Observados_v4!P22&lt;&gt;"",(2023-2021)&lt;=Metodologia_v4!$B$13),"EST_CARRY_FORWARD","SEM_DADO")))</f>
        <v/>
      </c>
      <c r="S22" s="10">
        <f>IF(Dados_Observados_v4!S22&lt;&gt;"","OBS",IF(Dados_Ajustados_v4!S22="","SEM_DADO",IF(AND(Dados_Observados_v4!R22&lt;&gt;"",(2024-2023)&lt;=Metodologia_v4!$B$13),"EST_CARRY_FORWARD","SEM_DADO")))</f>
        <v/>
      </c>
      <c r="T22" s="10">
        <f>IF(Dados_Observados_v4!T22&lt;&gt;"","OBS",IF(Dados_Ajustados_v4!T22="","SEM_DADO",IF(AND(Dados_Observados_v4!R22&lt;&gt;"",(2025-2023)&lt;=Metodologia_v4!$B$13),"EST_CARRY_FORWARD","SEM_DADO")))</f>
        <v/>
      </c>
    </row>
    <row r="23">
      <c r="A23" s="5" t="inlineStr">
        <is>
          <t>HUM05</t>
        </is>
      </c>
      <c r="B23" s="5" t="inlineStr">
        <is>
          <t>3. Capital Humano</t>
        </is>
      </c>
      <c r="C23" s="5" t="inlineStr">
        <is>
          <t>Matrícula no ensino secundário</t>
        </is>
      </c>
      <c r="D23" s="5" t="inlineStr">
        <is>
          <t>Banco Mundial/UNESCO</t>
        </is>
      </c>
      <c r="E23" s="5" t="inlineStr">
        <is>
          <t>SE.SEC.ENRR</t>
        </is>
      </c>
      <c r="F23" s="5" t="inlineStr">
        <is>
          <t>Fonte Banco Mundial API/CSV</t>
        </is>
      </c>
      <c r="G23" s="5" t="inlineStr">
        <is>
          <t>3/11</t>
        </is>
      </c>
      <c r="H23" s="5" t="n">
        <v>2023</v>
      </c>
      <c r="I23" s="5" t="inlineStr">
        <is>
          <t>Referenciado pelas regras de Metodologia_v4</t>
        </is>
      </c>
      <c r="J23" s="10">
        <f>IF(Dados_Observados_v4!J23&lt;&gt;"","OBS",IF(Dados_Ajustados_v4!J23="","SEM_DADO",IF(AND(Dados_Observados_v4!K23&lt;&gt;"",(2016-2015)&lt;=Metodologia_v4!$B$14),"EST_CARRY_BACKWARD","SEM_DADO")))</f>
        <v/>
      </c>
      <c r="K23" s="10">
        <f>IF(Dados_Observados_v4!K23&lt;&gt;"","OBS",IF(Dados_Ajustados_v4!K23="","SEM_DADO",IF(AND(Dados_Observados_v4!P23&lt;&gt;"",(2021-2016)&lt;=Metodologia_v4!$B$14),"EST_CARRY_BACKWARD","SEM_DADO")))</f>
        <v/>
      </c>
      <c r="L23" s="10">
        <f>IF(Dados_Observados_v4!L23&lt;&gt;"","OBS",IF(Dados_Ajustados_v4!L23="","SEM_DADO",IF(AND(Dados_Observados_v4!K23&lt;&gt;"",Dados_Observados_v4!P23&lt;&gt;"",(2021-2016-1)&lt;=Metodologia_v4!$B$12),"EST_INTERP_LINEAR",IF(AND(Dados_Observados_v4!K23&lt;&gt;"",(2017-2016)&lt;=Metodologia_v4!$B$13),"EST_CARRY_FORWARD",IF(AND(Dados_Observados_v4!P23&lt;&gt;"",(2021-2017)&lt;=Metodologia_v4!$B$14),"EST_CARRY_BACKWARD","SEM_DADO")))))</f>
        <v/>
      </c>
      <c r="M23" s="10">
        <f>IF(Dados_Observados_v4!M23&lt;&gt;"","OBS",IF(Dados_Ajustados_v4!M23="","SEM_DADO",IF(AND(Dados_Observados_v4!K23&lt;&gt;"",Dados_Observados_v4!P23&lt;&gt;"",(2021-2016-1)&lt;=Metodologia_v4!$B$12),"EST_INTERP_LINEAR",IF(AND(Dados_Observados_v4!K23&lt;&gt;"",(2018-2016)&lt;=Metodologia_v4!$B$13),"EST_CARRY_FORWARD",IF(AND(Dados_Observados_v4!P23&lt;&gt;"",(2021-2018)&lt;=Metodologia_v4!$B$14),"EST_CARRY_BACKWARD","SEM_DADO")))))</f>
        <v/>
      </c>
      <c r="N23" s="10">
        <f>IF(Dados_Observados_v4!N23&lt;&gt;"","OBS",IF(Dados_Ajustados_v4!N23="","SEM_DADO",IF(AND(Dados_Observados_v4!K23&lt;&gt;"",Dados_Observados_v4!P23&lt;&gt;"",(2021-2016-1)&lt;=Metodologia_v4!$B$12),"EST_INTERP_LINEAR",IF(AND(Dados_Observados_v4!K23&lt;&gt;"",(2019-2016)&lt;=Metodologia_v4!$B$13),"EST_CARRY_FORWARD",IF(AND(Dados_Observados_v4!P23&lt;&gt;"",(2021-2019)&lt;=Metodologia_v4!$B$14),"EST_CARRY_BACKWARD","SEM_DADO")))))</f>
        <v/>
      </c>
      <c r="O23" s="10">
        <f>IF(Dados_Observados_v4!O23&lt;&gt;"","OBS",IF(Dados_Ajustados_v4!O23="","SEM_DADO",IF(AND(Dados_Observados_v4!K23&lt;&gt;"",Dados_Observados_v4!P23&lt;&gt;"",(2021-2016-1)&lt;=Metodologia_v4!$B$12),"EST_INTERP_LINEAR",IF(AND(Dados_Observados_v4!K23&lt;&gt;"",(2020-2016)&lt;=Metodologia_v4!$B$13),"EST_CARRY_FORWARD",IF(AND(Dados_Observados_v4!P23&lt;&gt;"",(2021-2020)&lt;=Metodologia_v4!$B$14),"EST_CARRY_BACKWARD","SEM_DADO")))))</f>
        <v/>
      </c>
      <c r="P23" s="10">
        <f>IF(Dados_Observados_v4!P23&lt;&gt;"","OBS",IF(Dados_Ajustados_v4!P23="","SEM_DADO",IF(AND(Dados_Observados_v4!K23&lt;&gt;"",Dados_Observados_v4!R23&lt;&gt;"",(2023-2016-1)&lt;=Metodologia_v4!$B$12),"EST_INTERP_LINEAR",IF(AND(Dados_Observados_v4!K23&lt;&gt;"",(2021-2016)&lt;=Metodologia_v4!$B$13),"EST_CARRY_FORWARD",IF(AND(Dados_Observados_v4!R23&lt;&gt;"",(2023-2021)&lt;=Metodologia_v4!$B$14),"EST_CARRY_BACKWARD","SEM_DADO")))))</f>
        <v/>
      </c>
      <c r="Q23" s="10">
        <f>IF(Dados_Observados_v4!Q23&lt;&gt;"","OBS",IF(Dados_Ajustados_v4!Q23="","SEM_DADO",IF(AND(Dados_Observados_v4!P23&lt;&gt;"",Dados_Observados_v4!R23&lt;&gt;"",(2023-2021-1)&lt;=Metodologia_v4!$B$12),"EST_INTERP_LINEAR",IF(AND(Dados_Observados_v4!P23&lt;&gt;"",(2022-2021)&lt;=Metodologia_v4!$B$13),"EST_CARRY_FORWARD",IF(AND(Dados_Observados_v4!R23&lt;&gt;"",(2023-2022)&lt;=Metodologia_v4!$B$14),"EST_CARRY_BACKWARD","SEM_DADO")))))</f>
        <v/>
      </c>
      <c r="R23" s="10">
        <f>IF(Dados_Observados_v4!R23&lt;&gt;"","OBS",IF(Dados_Ajustados_v4!R23="","SEM_DADO",IF(AND(Dados_Observados_v4!P23&lt;&gt;"",(2023-2021)&lt;=Metodologia_v4!$B$13),"EST_CARRY_FORWARD","SEM_DADO")))</f>
        <v/>
      </c>
      <c r="S23" s="10">
        <f>IF(Dados_Observados_v4!S23&lt;&gt;"","OBS",IF(Dados_Ajustados_v4!S23="","SEM_DADO",IF(AND(Dados_Observados_v4!R23&lt;&gt;"",(2024-2023)&lt;=Metodologia_v4!$B$13),"EST_CARRY_FORWARD","SEM_DADO")))</f>
        <v/>
      </c>
      <c r="T23" s="10">
        <f>IF(Dados_Observados_v4!T23&lt;&gt;"","OBS",IF(Dados_Ajustados_v4!T23="","SEM_DADO",IF(AND(Dados_Observados_v4!R23&lt;&gt;"",(2025-2023)&lt;=Metodologia_v4!$B$13),"EST_CARRY_FORWARD","SEM_DADO")))</f>
        <v/>
      </c>
    </row>
    <row r="24">
      <c r="A24" s="5" t="inlineStr">
        <is>
          <t>HUM06</t>
        </is>
      </c>
      <c r="B24" s="5" t="inlineStr">
        <is>
          <t>3. Capital Humano</t>
        </is>
      </c>
      <c r="C24" s="5" t="inlineStr">
        <is>
          <t>Despesa pública em educação</t>
        </is>
      </c>
      <c r="D24" s="5" t="inlineStr">
        <is>
          <t>Banco Mundial/UNESCO</t>
        </is>
      </c>
      <c r="E24" s="5" t="inlineStr">
        <is>
          <t>SE.XPD.TOTL.GD.ZS</t>
        </is>
      </c>
      <c r="F24" s="5" t="inlineStr">
        <is>
          <t>Fonte Banco Mundial API/CSV</t>
        </is>
      </c>
      <c r="G24" s="5" t="inlineStr">
        <is>
          <t>9/11</t>
        </is>
      </c>
      <c r="H24" s="5" t="n">
        <v>2023</v>
      </c>
      <c r="I24" s="5" t="inlineStr">
        <is>
          <t>Referenciado pelas regras de Metodologia_v4</t>
        </is>
      </c>
      <c r="J24" s="10">
        <f>IF(Dados_Observados_v4!J24&lt;&gt;"","OBS",IF(Dados_Ajustados_v4!J24="","SEM_DADO",IF(AND(Dados_Observados_v4!K24&lt;&gt;"",(2016-2015)&lt;=Metodologia_v4!$B$14),"EST_CARRY_BACKWARD","SEM_DADO")))</f>
        <v/>
      </c>
      <c r="K24" s="10">
        <f>IF(Dados_Observados_v4!K24&lt;&gt;"","OBS",IF(Dados_Ajustados_v4!K24="","SEM_DADO",IF(AND(Dados_Observados_v4!J24&lt;&gt;"",Dados_Observados_v4!L24&lt;&gt;"",(2017-2015-1)&lt;=Metodologia_v4!$B$12),"EST_INTERP_LINEAR",IF(AND(Dados_Observados_v4!J24&lt;&gt;"",(2016-2015)&lt;=Metodologia_v4!$B$13),"EST_CARRY_FORWARD",IF(AND(Dados_Observados_v4!L24&lt;&gt;"",(2017-2016)&lt;=Metodologia_v4!$B$14),"EST_CARRY_BACKWARD","SEM_DADO")))))</f>
        <v/>
      </c>
      <c r="L24" s="10">
        <f>IF(Dados_Observados_v4!L24&lt;&gt;"","OBS",IF(Dados_Ajustados_v4!L24="","SEM_DADO",IF(AND(Dados_Observados_v4!K24&lt;&gt;"",Dados_Observados_v4!M24&lt;&gt;"",(2018-2016-1)&lt;=Metodologia_v4!$B$12),"EST_INTERP_LINEAR",IF(AND(Dados_Observados_v4!K24&lt;&gt;"",(2017-2016)&lt;=Metodologia_v4!$B$13),"EST_CARRY_FORWARD",IF(AND(Dados_Observados_v4!M24&lt;&gt;"",(2018-2017)&lt;=Metodologia_v4!$B$14),"EST_CARRY_BACKWARD","SEM_DADO")))))</f>
        <v/>
      </c>
      <c r="M24" s="10">
        <f>IF(Dados_Observados_v4!M24&lt;&gt;"","OBS",IF(Dados_Ajustados_v4!M24="","SEM_DADO",IF(AND(Dados_Observados_v4!L24&lt;&gt;"",Dados_Observados_v4!N24&lt;&gt;"",(2019-2017-1)&lt;=Metodologia_v4!$B$12),"EST_INTERP_LINEAR",IF(AND(Dados_Observados_v4!L24&lt;&gt;"",(2018-2017)&lt;=Metodologia_v4!$B$13),"EST_CARRY_FORWARD",IF(AND(Dados_Observados_v4!N24&lt;&gt;"",(2019-2018)&lt;=Metodologia_v4!$B$14),"EST_CARRY_BACKWARD","SEM_DADO")))))</f>
        <v/>
      </c>
      <c r="N24" s="10">
        <f>IF(Dados_Observados_v4!N24&lt;&gt;"","OBS",IF(Dados_Ajustados_v4!N24="","SEM_DADO",IF(AND(Dados_Observados_v4!M24&lt;&gt;"",Dados_Observados_v4!O24&lt;&gt;"",(2020-2018-1)&lt;=Metodologia_v4!$B$12),"EST_INTERP_LINEAR",IF(AND(Dados_Observados_v4!M24&lt;&gt;"",(2019-2018)&lt;=Metodologia_v4!$B$13),"EST_CARRY_FORWARD",IF(AND(Dados_Observados_v4!O24&lt;&gt;"",(2020-2019)&lt;=Metodologia_v4!$B$14),"EST_CARRY_BACKWARD","SEM_DADO")))))</f>
        <v/>
      </c>
      <c r="O24" s="10">
        <f>IF(Dados_Observados_v4!O24&lt;&gt;"","OBS",IF(Dados_Ajustados_v4!O24="","SEM_DADO",IF(AND(Dados_Observados_v4!N24&lt;&gt;"",Dados_Observados_v4!P24&lt;&gt;"",(2021-2019-1)&lt;=Metodologia_v4!$B$12),"EST_INTERP_LINEAR",IF(AND(Dados_Observados_v4!N24&lt;&gt;"",(2020-2019)&lt;=Metodologia_v4!$B$13),"EST_CARRY_FORWARD",IF(AND(Dados_Observados_v4!P24&lt;&gt;"",(2021-2020)&lt;=Metodologia_v4!$B$14),"EST_CARRY_BACKWARD","SEM_DADO")))))</f>
        <v/>
      </c>
      <c r="P24" s="10">
        <f>IF(Dados_Observados_v4!P24&lt;&gt;"","OBS",IF(Dados_Ajustados_v4!P24="","SEM_DADO",IF(AND(Dados_Observados_v4!O24&lt;&gt;"",Dados_Observados_v4!Q24&lt;&gt;"",(2022-2020-1)&lt;=Metodologia_v4!$B$12),"EST_INTERP_LINEAR",IF(AND(Dados_Observados_v4!O24&lt;&gt;"",(2021-2020)&lt;=Metodologia_v4!$B$13),"EST_CARRY_FORWARD",IF(AND(Dados_Observados_v4!Q24&lt;&gt;"",(2022-2021)&lt;=Metodologia_v4!$B$14),"EST_CARRY_BACKWARD","SEM_DADO")))))</f>
        <v/>
      </c>
      <c r="Q24" s="10">
        <f>IF(Dados_Observados_v4!Q24&lt;&gt;"","OBS",IF(Dados_Ajustados_v4!Q24="","SEM_DADO",IF(AND(Dados_Observados_v4!P24&lt;&gt;"",Dados_Observados_v4!R24&lt;&gt;"",(2023-2021-1)&lt;=Metodologia_v4!$B$12),"EST_INTERP_LINEAR",IF(AND(Dados_Observados_v4!P24&lt;&gt;"",(2022-2021)&lt;=Metodologia_v4!$B$13),"EST_CARRY_FORWARD",IF(AND(Dados_Observados_v4!R24&lt;&gt;"",(2023-2022)&lt;=Metodologia_v4!$B$14),"EST_CARRY_BACKWARD","SEM_DADO")))))</f>
        <v/>
      </c>
      <c r="R24" s="10">
        <f>IF(Dados_Observados_v4!R24&lt;&gt;"","OBS",IF(Dados_Ajustados_v4!R24="","SEM_DADO",IF(AND(Dados_Observados_v4!Q24&lt;&gt;"",(2023-2022)&lt;=Metodologia_v4!$B$13),"EST_CARRY_FORWARD","SEM_DADO")))</f>
        <v/>
      </c>
      <c r="S24" s="10">
        <f>IF(Dados_Observados_v4!S24&lt;&gt;"","OBS",IF(Dados_Ajustados_v4!S24="","SEM_DADO",IF(AND(Dados_Observados_v4!R24&lt;&gt;"",(2024-2023)&lt;=Metodologia_v4!$B$13),"EST_CARRY_FORWARD","SEM_DADO")))</f>
        <v/>
      </c>
      <c r="T24" s="10">
        <f>IF(Dados_Observados_v4!T24&lt;&gt;"","OBS",IF(Dados_Ajustados_v4!T24="","SEM_DADO",IF(AND(Dados_Observados_v4!R24&lt;&gt;"",(2025-2023)&lt;=Metodologia_v4!$B$13),"EST_CARRY_FORWARD","SEM_DADO")))</f>
        <v/>
      </c>
    </row>
    <row r="25">
      <c r="A25" s="5" t="inlineStr">
        <is>
          <t>HUM07</t>
        </is>
      </c>
      <c r="B25" s="5" t="inlineStr">
        <is>
          <t>3. Capital Humano</t>
        </is>
      </c>
      <c r="C25" s="5" t="inlineStr">
        <is>
          <t>Mortalidade infantil</t>
        </is>
      </c>
      <c r="D25" s="5" t="inlineStr">
        <is>
          <t>Banco Mundial/WDI</t>
        </is>
      </c>
      <c r="E25" s="5" t="inlineStr">
        <is>
          <t>SP.DYN.IMRT.IN</t>
        </is>
      </c>
      <c r="F25" s="5" t="inlineStr">
        <is>
          <t>Fonte Banco Mundial API/CSV</t>
        </is>
      </c>
      <c r="G25" s="5" t="inlineStr">
        <is>
          <t>10/11</t>
        </is>
      </c>
      <c r="H25" s="5" t="n">
        <v>2024</v>
      </c>
      <c r="I25" s="5" t="inlineStr">
        <is>
          <t>Referenciado pelas regras de Metodologia_v4</t>
        </is>
      </c>
      <c r="J25" s="10">
        <f>IF(Dados_Observados_v4!J25&lt;&gt;"","OBS",IF(Dados_Ajustados_v4!J25="","SEM_DADO",IF(AND(Dados_Observados_v4!K25&lt;&gt;"",(2016-2015)&lt;=Metodologia_v4!$B$14),"EST_CARRY_BACKWARD","SEM_DADO")))</f>
        <v/>
      </c>
      <c r="K25" s="10">
        <f>IF(Dados_Observados_v4!K25&lt;&gt;"","OBS",IF(Dados_Ajustados_v4!K25="","SEM_DADO",IF(AND(Dados_Observados_v4!J25&lt;&gt;"",Dados_Observados_v4!L25&lt;&gt;"",(2017-2015-1)&lt;=Metodologia_v4!$B$12),"EST_INTERP_LINEAR",IF(AND(Dados_Observados_v4!J25&lt;&gt;"",(2016-2015)&lt;=Metodologia_v4!$B$13),"EST_CARRY_FORWARD",IF(AND(Dados_Observados_v4!L25&lt;&gt;"",(2017-2016)&lt;=Metodologia_v4!$B$14),"EST_CARRY_BACKWARD","SEM_DADO")))))</f>
        <v/>
      </c>
      <c r="L25" s="10">
        <f>IF(Dados_Observados_v4!L25&lt;&gt;"","OBS",IF(Dados_Ajustados_v4!L25="","SEM_DADO",IF(AND(Dados_Observados_v4!K25&lt;&gt;"",Dados_Observados_v4!M25&lt;&gt;"",(2018-2016-1)&lt;=Metodologia_v4!$B$12),"EST_INTERP_LINEAR",IF(AND(Dados_Observados_v4!K25&lt;&gt;"",(2017-2016)&lt;=Metodologia_v4!$B$13),"EST_CARRY_FORWARD",IF(AND(Dados_Observados_v4!M25&lt;&gt;"",(2018-2017)&lt;=Metodologia_v4!$B$14),"EST_CARRY_BACKWARD","SEM_DADO")))))</f>
        <v/>
      </c>
      <c r="M25" s="10">
        <f>IF(Dados_Observados_v4!M25&lt;&gt;"","OBS",IF(Dados_Ajustados_v4!M25="","SEM_DADO",IF(AND(Dados_Observados_v4!L25&lt;&gt;"",Dados_Observados_v4!N25&lt;&gt;"",(2019-2017-1)&lt;=Metodologia_v4!$B$12),"EST_INTERP_LINEAR",IF(AND(Dados_Observados_v4!L25&lt;&gt;"",(2018-2017)&lt;=Metodologia_v4!$B$13),"EST_CARRY_FORWARD",IF(AND(Dados_Observados_v4!N25&lt;&gt;"",(2019-2018)&lt;=Metodologia_v4!$B$14),"EST_CARRY_BACKWARD","SEM_DADO")))))</f>
        <v/>
      </c>
      <c r="N25" s="10">
        <f>IF(Dados_Observados_v4!N25&lt;&gt;"","OBS",IF(Dados_Ajustados_v4!N25="","SEM_DADO",IF(AND(Dados_Observados_v4!M25&lt;&gt;"",Dados_Observados_v4!O25&lt;&gt;"",(2020-2018-1)&lt;=Metodologia_v4!$B$12),"EST_INTERP_LINEAR",IF(AND(Dados_Observados_v4!M25&lt;&gt;"",(2019-2018)&lt;=Metodologia_v4!$B$13),"EST_CARRY_FORWARD",IF(AND(Dados_Observados_v4!O25&lt;&gt;"",(2020-2019)&lt;=Metodologia_v4!$B$14),"EST_CARRY_BACKWARD","SEM_DADO")))))</f>
        <v/>
      </c>
      <c r="O25" s="10">
        <f>IF(Dados_Observados_v4!O25&lt;&gt;"","OBS",IF(Dados_Ajustados_v4!O25="","SEM_DADO",IF(AND(Dados_Observados_v4!N25&lt;&gt;"",Dados_Observados_v4!P25&lt;&gt;"",(2021-2019-1)&lt;=Metodologia_v4!$B$12),"EST_INTERP_LINEAR",IF(AND(Dados_Observados_v4!N25&lt;&gt;"",(2020-2019)&lt;=Metodologia_v4!$B$13),"EST_CARRY_FORWARD",IF(AND(Dados_Observados_v4!P25&lt;&gt;"",(2021-2020)&lt;=Metodologia_v4!$B$14),"EST_CARRY_BACKWARD","SEM_DADO")))))</f>
        <v/>
      </c>
      <c r="P25" s="10">
        <f>IF(Dados_Observados_v4!P25&lt;&gt;"","OBS",IF(Dados_Ajustados_v4!P25="","SEM_DADO",IF(AND(Dados_Observados_v4!O25&lt;&gt;"",Dados_Observados_v4!Q25&lt;&gt;"",(2022-2020-1)&lt;=Metodologia_v4!$B$12),"EST_INTERP_LINEAR",IF(AND(Dados_Observados_v4!O25&lt;&gt;"",(2021-2020)&lt;=Metodologia_v4!$B$13),"EST_CARRY_FORWARD",IF(AND(Dados_Observados_v4!Q25&lt;&gt;"",(2022-2021)&lt;=Metodologia_v4!$B$14),"EST_CARRY_BACKWARD","SEM_DADO")))))</f>
        <v/>
      </c>
      <c r="Q25" s="10">
        <f>IF(Dados_Observados_v4!Q25&lt;&gt;"","OBS",IF(Dados_Ajustados_v4!Q25="","SEM_DADO",IF(AND(Dados_Observados_v4!P25&lt;&gt;"",Dados_Observados_v4!R25&lt;&gt;"",(2023-2021-1)&lt;=Metodologia_v4!$B$12),"EST_INTERP_LINEAR",IF(AND(Dados_Observados_v4!P25&lt;&gt;"",(2022-2021)&lt;=Metodologia_v4!$B$13),"EST_CARRY_FORWARD",IF(AND(Dados_Observados_v4!R25&lt;&gt;"",(2023-2022)&lt;=Metodologia_v4!$B$14),"EST_CARRY_BACKWARD","SEM_DADO")))))</f>
        <v/>
      </c>
      <c r="R25" s="10">
        <f>IF(Dados_Observados_v4!R25&lt;&gt;"","OBS",IF(Dados_Ajustados_v4!R25="","SEM_DADO",IF(AND(Dados_Observados_v4!Q25&lt;&gt;"",Dados_Observados_v4!S25&lt;&gt;"",(2024-2022-1)&lt;=Metodologia_v4!$B$12),"EST_INTERP_LINEAR",IF(AND(Dados_Observados_v4!Q25&lt;&gt;"",(2023-2022)&lt;=Metodologia_v4!$B$13),"EST_CARRY_FORWARD",IF(AND(Dados_Observados_v4!S25&lt;&gt;"",(2024-2023)&lt;=Metodologia_v4!$B$14),"EST_CARRY_BACKWARD","SEM_DADO")))))</f>
        <v/>
      </c>
      <c r="S25" s="10">
        <f>IF(Dados_Observados_v4!S25&lt;&gt;"","OBS",IF(Dados_Ajustados_v4!S25="","SEM_DADO",IF(AND(Dados_Observados_v4!R25&lt;&gt;"",(2024-2023)&lt;=Metodologia_v4!$B$13),"EST_CARRY_FORWARD","SEM_DADO")))</f>
        <v/>
      </c>
      <c r="T25" s="10">
        <f>IF(Dados_Observados_v4!T25&lt;&gt;"","OBS",IF(Dados_Ajustados_v4!T25="","SEM_DADO",IF(AND(Dados_Observados_v4!S25&lt;&gt;"",(2025-2024)&lt;=Metodologia_v4!$B$13),"EST_CARRY_FORWARD","SEM_DADO")))</f>
        <v/>
      </c>
    </row>
    <row r="26">
      <c r="A26" s="5" t="inlineStr">
        <is>
          <t>INC01</t>
        </is>
      </c>
      <c r="B26" s="5" t="inlineStr">
        <is>
          <t>4. Inclusão Social e Protecção</t>
        </is>
      </c>
      <c r="C26" s="5" t="inlineStr">
        <is>
          <t>Pobreza internacional</t>
        </is>
      </c>
      <c r="D26" s="5" t="inlineStr">
        <is>
          <t>Banco Mundial/PIP</t>
        </is>
      </c>
      <c r="E26" s="5" t="inlineStr">
        <is>
          <t>SI.POV.DDAY</t>
        </is>
      </c>
      <c r="F26" s="5" t="inlineStr">
        <is>
          <t>Fonte Banco Mundial API/CSV</t>
        </is>
      </c>
      <c r="G26" s="5" t="inlineStr">
        <is>
          <t>1/11</t>
        </is>
      </c>
      <c r="H26" s="5" t="n">
        <v>2018</v>
      </c>
      <c r="I26" s="5" t="inlineStr">
        <is>
          <t>Referenciado pelas regras de Metodologia_v4</t>
        </is>
      </c>
      <c r="J26" s="10">
        <f>IF(Dados_Observados_v4!J26&lt;&gt;"","OBS",IF(Dados_Ajustados_v4!J26="","SEM_DADO",IF(AND(Dados_Observados_v4!M26&lt;&gt;"",(2018-2015)&lt;=Metodologia_v4!$B$14),"EST_CARRY_BACKWARD","SEM_DADO")))</f>
        <v/>
      </c>
      <c r="K26" s="10">
        <f>IF(Dados_Observados_v4!K26&lt;&gt;"","OBS",IF(Dados_Ajustados_v4!K26="","SEM_DADO",IF(AND(Dados_Observados_v4!M26&lt;&gt;"",(2018-2016)&lt;=Metodologia_v4!$B$14),"EST_CARRY_BACKWARD","SEM_DADO")))</f>
        <v/>
      </c>
      <c r="L26" s="10">
        <f>IF(Dados_Observados_v4!L26&lt;&gt;"","OBS",IF(Dados_Ajustados_v4!L26="","SEM_DADO",IF(AND(Dados_Observados_v4!M26&lt;&gt;"",(2018-2017)&lt;=Metodologia_v4!$B$14),"EST_CARRY_BACKWARD","SEM_DADO")))</f>
        <v/>
      </c>
      <c r="M26" s="10">
        <f>IF(Dados_Observados_v4!M26&lt;&gt;"","OBS",IF(Dados_Ajustados_v4!M26="","SEM_DADO","SEM_DADO"))</f>
        <v/>
      </c>
      <c r="N26" s="10">
        <f>IF(Dados_Observados_v4!N26&lt;&gt;"","OBS",IF(Dados_Ajustados_v4!N26="","SEM_DADO",IF(AND(Dados_Observados_v4!M26&lt;&gt;"",(2019-2018)&lt;=Metodologia_v4!$B$13),"EST_CARRY_FORWARD","SEM_DADO")))</f>
        <v/>
      </c>
      <c r="O26" s="10">
        <f>IF(Dados_Observados_v4!O26&lt;&gt;"","OBS",IF(Dados_Ajustados_v4!O26="","SEM_DADO",IF(AND(Dados_Observados_v4!M26&lt;&gt;"",(2020-2018)&lt;=Metodologia_v4!$B$13),"EST_CARRY_FORWARD","SEM_DADO")))</f>
        <v/>
      </c>
      <c r="P26" s="10">
        <f>IF(Dados_Observados_v4!P26&lt;&gt;"","OBS",IF(Dados_Ajustados_v4!P26="","SEM_DADO",IF(AND(Dados_Observados_v4!M26&lt;&gt;"",(2021-2018)&lt;=Metodologia_v4!$B$13),"EST_CARRY_FORWARD","SEM_DADO")))</f>
        <v/>
      </c>
      <c r="Q26" s="10">
        <f>IF(Dados_Observados_v4!Q26&lt;&gt;"","OBS",IF(Dados_Ajustados_v4!Q26="","SEM_DADO",IF(AND(Dados_Observados_v4!M26&lt;&gt;"",(2022-2018)&lt;=Metodologia_v4!$B$13),"EST_CARRY_FORWARD","SEM_DADO")))</f>
        <v/>
      </c>
      <c r="R26" s="10">
        <f>IF(Dados_Observados_v4!R26&lt;&gt;"","OBS",IF(Dados_Ajustados_v4!R26="","SEM_DADO",IF(AND(Dados_Observados_v4!M26&lt;&gt;"",(2023-2018)&lt;=Metodologia_v4!$B$13),"EST_CARRY_FORWARD","SEM_DADO")))</f>
        <v/>
      </c>
      <c r="S26" s="10">
        <f>IF(Dados_Observados_v4!S26&lt;&gt;"","OBS",IF(Dados_Ajustados_v4!S26="","SEM_DADO",IF(AND(Dados_Observados_v4!M26&lt;&gt;"",(2024-2018)&lt;=Metodologia_v4!$B$13),"EST_CARRY_FORWARD","SEM_DADO")))</f>
        <v/>
      </c>
      <c r="T26" s="10">
        <f>IF(Dados_Observados_v4!T26&lt;&gt;"","OBS",IF(Dados_Ajustados_v4!T26="","SEM_DADO",IF(AND(Dados_Observados_v4!M26&lt;&gt;"",(2025-2018)&lt;=Metodologia_v4!$B$13),"EST_CARRY_FORWARD","SEM_DADO")))</f>
        <v/>
      </c>
    </row>
    <row r="27">
      <c r="A27" s="5" t="inlineStr">
        <is>
          <t>INC02</t>
        </is>
      </c>
      <c r="B27" s="5" t="inlineStr">
        <is>
          <t>4. Inclusão Social e Protecção</t>
        </is>
      </c>
      <c r="C27" s="5" t="inlineStr">
        <is>
          <t>Índice de Gini</t>
        </is>
      </c>
      <c r="D27" s="5" t="inlineStr">
        <is>
          <t>Banco Mundial/PIP</t>
        </is>
      </c>
      <c r="E27" s="5" t="inlineStr">
        <is>
          <t>SI.POV.GINI</t>
        </is>
      </c>
      <c r="F27" s="5" t="inlineStr">
        <is>
          <t>Fonte Banco Mundial API/CSV</t>
        </is>
      </c>
      <c r="G27" s="5" t="inlineStr">
        <is>
          <t>1/11</t>
        </is>
      </c>
      <c r="H27" s="5" t="n">
        <v>2018</v>
      </c>
      <c r="I27" s="5" t="inlineStr">
        <is>
          <t>Referenciado pelas regras de Metodologia_v4</t>
        </is>
      </c>
      <c r="J27" s="10">
        <f>IF(Dados_Observados_v4!J27&lt;&gt;"","OBS",IF(Dados_Ajustados_v4!J27="","SEM_DADO",IF(AND(Dados_Observados_v4!M27&lt;&gt;"",(2018-2015)&lt;=Metodologia_v4!$B$14),"EST_CARRY_BACKWARD","SEM_DADO")))</f>
        <v/>
      </c>
      <c r="K27" s="10">
        <f>IF(Dados_Observados_v4!K27&lt;&gt;"","OBS",IF(Dados_Ajustados_v4!K27="","SEM_DADO",IF(AND(Dados_Observados_v4!M27&lt;&gt;"",(2018-2016)&lt;=Metodologia_v4!$B$14),"EST_CARRY_BACKWARD","SEM_DADO")))</f>
        <v/>
      </c>
      <c r="L27" s="10">
        <f>IF(Dados_Observados_v4!L27&lt;&gt;"","OBS",IF(Dados_Ajustados_v4!L27="","SEM_DADO",IF(AND(Dados_Observados_v4!M27&lt;&gt;"",(2018-2017)&lt;=Metodologia_v4!$B$14),"EST_CARRY_BACKWARD","SEM_DADO")))</f>
        <v/>
      </c>
      <c r="M27" s="10">
        <f>IF(Dados_Observados_v4!M27&lt;&gt;"","OBS",IF(Dados_Ajustados_v4!M27="","SEM_DADO","SEM_DADO"))</f>
        <v/>
      </c>
      <c r="N27" s="10">
        <f>IF(Dados_Observados_v4!N27&lt;&gt;"","OBS",IF(Dados_Ajustados_v4!N27="","SEM_DADO",IF(AND(Dados_Observados_v4!M27&lt;&gt;"",(2019-2018)&lt;=Metodologia_v4!$B$13),"EST_CARRY_FORWARD","SEM_DADO")))</f>
        <v/>
      </c>
      <c r="O27" s="10">
        <f>IF(Dados_Observados_v4!O27&lt;&gt;"","OBS",IF(Dados_Ajustados_v4!O27="","SEM_DADO",IF(AND(Dados_Observados_v4!M27&lt;&gt;"",(2020-2018)&lt;=Metodologia_v4!$B$13),"EST_CARRY_FORWARD","SEM_DADO")))</f>
        <v/>
      </c>
      <c r="P27" s="10">
        <f>IF(Dados_Observados_v4!P27&lt;&gt;"","OBS",IF(Dados_Ajustados_v4!P27="","SEM_DADO",IF(AND(Dados_Observados_v4!M27&lt;&gt;"",(2021-2018)&lt;=Metodologia_v4!$B$13),"EST_CARRY_FORWARD","SEM_DADO")))</f>
        <v/>
      </c>
      <c r="Q27" s="10">
        <f>IF(Dados_Observados_v4!Q27&lt;&gt;"","OBS",IF(Dados_Ajustados_v4!Q27="","SEM_DADO",IF(AND(Dados_Observados_v4!M27&lt;&gt;"",(2022-2018)&lt;=Metodologia_v4!$B$13),"EST_CARRY_FORWARD","SEM_DADO")))</f>
        <v/>
      </c>
      <c r="R27" s="10">
        <f>IF(Dados_Observados_v4!R27&lt;&gt;"","OBS",IF(Dados_Ajustados_v4!R27="","SEM_DADO",IF(AND(Dados_Observados_v4!M27&lt;&gt;"",(2023-2018)&lt;=Metodologia_v4!$B$13),"EST_CARRY_FORWARD","SEM_DADO")))</f>
        <v/>
      </c>
      <c r="S27" s="10">
        <f>IF(Dados_Observados_v4!S27&lt;&gt;"","OBS",IF(Dados_Ajustados_v4!S27="","SEM_DADO",IF(AND(Dados_Observados_v4!M27&lt;&gt;"",(2024-2018)&lt;=Metodologia_v4!$B$13),"EST_CARRY_FORWARD","SEM_DADO")))</f>
        <v/>
      </c>
      <c r="T27" s="10">
        <f>IF(Dados_Observados_v4!T27&lt;&gt;"","OBS",IF(Dados_Ajustados_v4!T27="","SEM_DADO",IF(AND(Dados_Observados_v4!M27&lt;&gt;"",(2025-2018)&lt;=Metodologia_v4!$B$13),"EST_CARRY_FORWARD","SEM_DADO")))</f>
        <v/>
      </c>
    </row>
    <row r="28">
      <c r="A28" s="5" t="inlineStr">
        <is>
          <t>INC03</t>
        </is>
      </c>
      <c r="B28" s="5" t="inlineStr">
        <is>
          <t>4. Inclusão Social e Protecção</t>
        </is>
      </c>
      <c r="C28" s="5" t="inlineStr">
        <is>
          <t>Rendimento dos 20% mais pobres</t>
        </is>
      </c>
      <c r="D28" s="5" t="inlineStr">
        <is>
          <t>Banco Mundial/PIP</t>
        </is>
      </c>
      <c r="E28" s="5" t="inlineStr">
        <is>
          <t>SI.DST.FRST.20</t>
        </is>
      </c>
      <c r="F28" s="5" t="inlineStr">
        <is>
          <t>Fonte Banco Mundial API/CSV</t>
        </is>
      </c>
      <c r="G28" s="5" t="inlineStr">
        <is>
          <t>1/11</t>
        </is>
      </c>
      <c r="H28" s="5" t="n">
        <v>2018</v>
      </c>
      <c r="I28" s="5" t="inlineStr">
        <is>
          <t>Referenciado pelas regras de Metodologia_v4</t>
        </is>
      </c>
      <c r="J28" s="10">
        <f>IF(Dados_Observados_v4!J28&lt;&gt;"","OBS",IF(Dados_Ajustados_v4!J28="","SEM_DADO",IF(AND(Dados_Observados_v4!M28&lt;&gt;"",(2018-2015)&lt;=Metodologia_v4!$B$14),"EST_CARRY_BACKWARD","SEM_DADO")))</f>
        <v/>
      </c>
      <c r="K28" s="10">
        <f>IF(Dados_Observados_v4!K28&lt;&gt;"","OBS",IF(Dados_Ajustados_v4!K28="","SEM_DADO",IF(AND(Dados_Observados_v4!M28&lt;&gt;"",(2018-2016)&lt;=Metodologia_v4!$B$14),"EST_CARRY_BACKWARD","SEM_DADO")))</f>
        <v/>
      </c>
      <c r="L28" s="10">
        <f>IF(Dados_Observados_v4!L28&lt;&gt;"","OBS",IF(Dados_Ajustados_v4!L28="","SEM_DADO",IF(AND(Dados_Observados_v4!M28&lt;&gt;"",(2018-2017)&lt;=Metodologia_v4!$B$14),"EST_CARRY_BACKWARD","SEM_DADO")))</f>
        <v/>
      </c>
      <c r="M28" s="10">
        <f>IF(Dados_Observados_v4!M28&lt;&gt;"","OBS",IF(Dados_Ajustados_v4!M28="","SEM_DADO","SEM_DADO"))</f>
        <v/>
      </c>
      <c r="N28" s="10">
        <f>IF(Dados_Observados_v4!N28&lt;&gt;"","OBS",IF(Dados_Ajustados_v4!N28="","SEM_DADO",IF(AND(Dados_Observados_v4!M28&lt;&gt;"",(2019-2018)&lt;=Metodologia_v4!$B$13),"EST_CARRY_FORWARD","SEM_DADO")))</f>
        <v/>
      </c>
      <c r="O28" s="10">
        <f>IF(Dados_Observados_v4!O28&lt;&gt;"","OBS",IF(Dados_Ajustados_v4!O28="","SEM_DADO",IF(AND(Dados_Observados_v4!M28&lt;&gt;"",(2020-2018)&lt;=Metodologia_v4!$B$13),"EST_CARRY_FORWARD","SEM_DADO")))</f>
        <v/>
      </c>
      <c r="P28" s="10">
        <f>IF(Dados_Observados_v4!P28&lt;&gt;"","OBS",IF(Dados_Ajustados_v4!P28="","SEM_DADO",IF(AND(Dados_Observados_v4!M28&lt;&gt;"",(2021-2018)&lt;=Metodologia_v4!$B$13),"EST_CARRY_FORWARD","SEM_DADO")))</f>
        <v/>
      </c>
      <c r="Q28" s="10">
        <f>IF(Dados_Observados_v4!Q28&lt;&gt;"","OBS",IF(Dados_Ajustados_v4!Q28="","SEM_DADO",IF(AND(Dados_Observados_v4!M28&lt;&gt;"",(2022-2018)&lt;=Metodologia_v4!$B$13),"EST_CARRY_FORWARD","SEM_DADO")))</f>
        <v/>
      </c>
      <c r="R28" s="10">
        <f>IF(Dados_Observados_v4!R28&lt;&gt;"","OBS",IF(Dados_Ajustados_v4!R28="","SEM_DADO",IF(AND(Dados_Observados_v4!M28&lt;&gt;"",(2023-2018)&lt;=Metodologia_v4!$B$13),"EST_CARRY_FORWARD","SEM_DADO")))</f>
        <v/>
      </c>
      <c r="S28" s="10">
        <f>IF(Dados_Observados_v4!S28&lt;&gt;"","OBS",IF(Dados_Ajustados_v4!S28="","SEM_DADO",IF(AND(Dados_Observados_v4!M28&lt;&gt;"",(2024-2018)&lt;=Metodologia_v4!$B$13),"EST_CARRY_FORWARD","SEM_DADO")))</f>
        <v/>
      </c>
      <c r="T28" s="10">
        <f>IF(Dados_Observados_v4!T28&lt;&gt;"","OBS",IF(Dados_Ajustados_v4!T28="","SEM_DADO",IF(AND(Dados_Observados_v4!M28&lt;&gt;"",(2025-2018)&lt;=Metodologia_v4!$B$13),"EST_CARRY_FORWARD","SEM_DADO")))</f>
        <v/>
      </c>
    </row>
    <row r="29">
      <c r="A29" s="5" t="inlineStr">
        <is>
          <t>INC04</t>
        </is>
      </c>
      <c r="B29" s="5" t="inlineStr">
        <is>
          <t>4. Inclusão Social e Protecção</t>
        </is>
      </c>
      <c r="C29" s="5" t="inlineStr">
        <is>
          <t>Global Gender Gap Index</t>
        </is>
      </c>
      <c r="D29" s="5" t="inlineStr">
        <is>
          <t>WEF / ficheiro base</t>
        </is>
      </c>
      <c r="E29" s="5" t="inlineStr"/>
      <c r="F29" s="5" t="inlineStr">
        <is>
          <t>Série observada do ficheiro base</t>
        </is>
      </c>
      <c r="G29" s="5" t="inlineStr">
        <is>
          <t>10/11</t>
        </is>
      </c>
      <c r="H29" s="5" t="n">
        <v>2025</v>
      </c>
      <c r="I29" s="5" t="inlineStr">
        <is>
          <t>Referenciado pelas regras de Metodologia_v4</t>
        </is>
      </c>
      <c r="J29" s="10">
        <f>IF(Dados_Observados_v4!J29&lt;&gt;"","OBS",IF(Dados_Ajustados_v4!J29="","SEM_DADO",IF(AND(Dados_Observados_v4!K29&lt;&gt;"",(2016-2015)&lt;=Metodologia_v4!$B$14),"EST_CARRY_BACKWARD","SEM_DADO")))</f>
        <v/>
      </c>
      <c r="K29" s="10">
        <f>IF(Dados_Observados_v4!K29&lt;&gt;"","OBS",IF(Dados_Ajustados_v4!K29="","SEM_DADO",IF(AND(Dados_Observados_v4!J29&lt;&gt;"",Dados_Observados_v4!L29&lt;&gt;"",(2017-2015-1)&lt;=Metodologia_v4!$B$12),"EST_INTERP_LINEAR",IF(AND(Dados_Observados_v4!J29&lt;&gt;"",(2016-2015)&lt;=Metodologia_v4!$B$13),"EST_CARRY_FORWARD",IF(AND(Dados_Observados_v4!L29&lt;&gt;"",(2017-2016)&lt;=Metodologia_v4!$B$14),"EST_CARRY_BACKWARD","SEM_DADO")))))</f>
        <v/>
      </c>
      <c r="L29" s="10">
        <f>IF(Dados_Observados_v4!L29&lt;&gt;"","OBS",IF(Dados_Ajustados_v4!L29="","SEM_DADO",IF(AND(Dados_Observados_v4!K29&lt;&gt;"",Dados_Observados_v4!M29&lt;&gt;"",(2018-2016-1)&lt;=Metodologia_v4!$B$12),"EST_INTERP_LINEAR",IF(AND(Dados_Observados_v4!K29&lt;&gt;"",(2017-2016)&lt;=Metodologia_v4!$B$13),"EST_CARRY_FORWARD",IF(AND(Dados_Observados_v4!M29&lt;&gt;"",(2018-2017)&lt;=Metodologia_v4!$B$14),"EST_CARRY_BACKWARD","SEM_DADO")))))</f>
        <v/>
      </c>
      <c r="M29" s="10">
        <f>IF(Dados_Observados_v4!M29&lt;&gt;"","OBS",IF(Dados_Ajustados_v4!M29="","SEM_DADO",IF(AND(Dados_Observados_v4!L29&lt;&gt;"",Dados_Observados_v4!O29&lt;&gt;"",(2020-2017-1)&lt;=Metodologia_v4!$B$12),"EST_INTERP_LINEAR",IF(AND(Dados_Observados_v4!L29&lt;&gt;"",(2018-2017)&lt;=Metodologia_v4!$B$13),"EST_CARRY_FORWARD",IF(AND(Dados_Observados_v4!O29&lt;&gt;"",(2020-2018)&lt;=Metodologia_v4!$B$14),"EST_CARRY_BACKWARD","SEM_DADO")))))</f>
        <v/>
      </c>
      <c r="N29" s="10">
        <f>IF(Dados_Observados_v4!N29&lt;&gt;"","OBS",IF(Dados_Ajustados_v4!N29="","SEM_DADO",IF(AND(Dados_Observados_v4!M29&lt;&gt;"",Dados_Observados_v4!O29&lt;&gt;"",(2020-2018-1)&lt;=Metodologia_v4!$B$12),"EST_INTERP_LINEAR",IF(AND(Dados_Observados_v4!M29&lt;&gt;"",(2019-2018)&lt;=Metodologia_v4!$B$13),"EST_CARRY_FORWARD",IF(AND(Dados_Observados_v4!O29&lt;&gt;"",(2020-2019)&lt;=Metodologia_v4!$B$14),"EST_CARRY_BACKWARD","SEM_DADO")))))</f>
        <v/>
      </c>
      <c r="O29" s="10">
        <f>IF(Dados_Observados_v4!O29&lt;&gt;"","OBS",IF(Dados_Ajustados_v4!O29="","SEM_DADO",IF(AND(Dados_Observados_v4!M29&lt;&gt;"",Dados_Observados_v4!P29&lt;&gt;"",(2021-2018-1)&lt;=Metodologia_v4!$B$12),"EST_INTERP_LINEAR",IF(AND(Dados_Observados_v4!M29&lt;&gt;"",(2020-2018)&lt;=Metodologia_v4!$B$13),"EST_CARRY_FORWARD",IF(AND(Dados_Observados_v4!P29&lt;&gt;"",(2021-2020)&lt;=Metodologia_v4!$B$14),"EST_CARRY_BACKWARD","SEM_DADO")))))</f>
        <v/>
      </c>
      <c r="P29" s="10">
        <f>IF(Dados_Observados_v4!P29&lt;&gt;"","OBS",IF(Dados_Ajustados_v4!P29="","SEM_DADO",IF(AND(Dados_Observados_v4!O29&lt;&gt;"",Dados_Observados_v4!Q29&lt;&gt;"",(2022-2020-1)&lt;=Metodologia_v4!$B$12),"EST_INTERP_LINEAR",IF(AND(Dados_Observados_v4!O29&lt;&gt;"",(2021-2020)&lt;=Metodologia_v4!$B$13),"EST_CARRY_FORWARD",IF(AND(Dados_Observados_v4!Q29&lt;&gt;"",(2022-2021)&lt;=Metodologia_v4!$B$14),"EST_CARRY_BACKWARD","SEM_DADO")))))</f>
        <v/>
      </c>
      <c r="Q29" s="10">
        <f>IF(Dados_Observados_v4!Q29&lt;&gt;"","OBS",IF(Dados_Ajustados_v4!Q29="","SEM_DADO",IF(AND(Dados_Observados_v4!P29&lt;&gt;"",Dados_Observados_v4!R29&lt;&gt;"",(2023-2021-1)&lt;=Metodologia_v4!$B$12),"EST_INTERP_LINEAR",IF(AND(Dados_Observados_v4!P29&lt;&gt;"",(2022-2021)&lt;=Metodologia_v4!$B$13),"EST_CARRY_FORWARD",IF(AND(Dados_Observados_v4!R29&lt;&gt;"",(2023-2022)&lt;=Metodologia_v4!$B$14),"EST_CARRY_BACKWARD","SEM_DADO")))))</f>
        <v/>
      </c>
      <c r="R29" s="10">
        <f>IF(Dados_Observados_v4!R29&lt;&gt;"","OBS",IF(Dados_Ajustados_v4!R29="","SEM_DADO",IF(AND(Dados_Observados_v4!Q29&lt;&gt;"",Dados_Observados_v4!S29&lt;&gt;"",(2024-2022-1)&lt;=Metodologia_v4!$B$12),"EST_INTERP_LINEAR",IF(AND(Dados_Observados_v4!Q29&lt;&gt;"",(2023-2022)&lt;=Metodologia_v4!$B$13),"EST_CARRY_FORWARD",IF(AND(Dados_Observados_v4!S29&lt;&gt;"",(2024-2023)&lt;=Metodologia_v4!$B$14),"EST_CARRY_BACKWARD","SEM_DADO")))))</f>
        <v/>
      </c>
      <c r="S29" s="10">
        <f>IF(Dados_Observados_v4!S29&lt;&gt;"","OBS",IF(Dados_Ajustados_v4!S29="","SEM_DADO",IF(AND(Dados_Observados_v4!R29&lt;&gt;"",Dados_Observados_v4!T29&lt;&gt;"",(2025-2023-1)&lt;=Metodologia_v4!$B$12),"EST_INTERP_LINEAR",IF(AND(Dados_Observados_v4!R29&lt;&gt;"",(2024-2023)&lt;=Metodologia_v4!$B$13),"EST_CARRY_FORWARD",IF(AND(Dados_Observados_v4!T29&lt;&gt;"",(2025-2024)&lt;=Metodologia_v4!$B$14),"EST_CARRY_BACKWARD","SEM_DADO")))))</f>
        <v/>
      </c>
      <c r="T29" s="10">
        <f>IF(Dados_Observados_v4!T29&lt;&gt;"","OBS",IF(Dados_Ajustados_v4!T29="","SEM_DADO",IF(AND(Dados_Observados_v4!S29&lt;&gt;"",(2025-2024)&lt;=Metodologia_v4!$B$13),"EST_CARRY_FORWARD","SEM_DADO")))</f>
        <v/>
      </c>
    </row>
    <row r="30">
      <c r="A30" s="5" t="inlineStr">
        <is>
          <t>INC05</t>
        </is>
      </c>
      <c r="B30" s="5" t="inlineStr">
        <is>
          <t>4. Inclusão Social e Protecção</t>
        </is>
      </c>
      <c r="C30" s="5" t="inlineStr">
        <is>
          <t>Participação feminina na força de trabalho</t>
        </is>
      </c>
      <c r="D30" s="5" t="inlineStr">
        <is>
          <t>Banco Mundial/OIT</t>
        </is>
      </c>
      <c r="E30" s="5" t="inlineStr">
        <is>
          <t>SL.TLF.CACT.FE.ZS</t>
        </is>
      </c>
      <c r="F30" s="5" t="inlineStr">
        <is>
          <t>Fonte Banco Mundial API/CSV</t>
        </is>
      </c>
      <c r="G30" s="5" t="inlineStr">
        <is>
          <t>11/11</t>
        </is>
      </c>
      <c r="H30" s="5" t="n">
        <v>2025</v>
      </c>
      <c r="I30" s="5" t="inlineStr">
        <is>
          <t>Referenciado pelas regras de Metodologia_v4</t>
        </is>
      </c>
      <c r="J30" s="10">
        <f>IF(Dados_Observados_v4!J30&lt;&gt;"","OBS",IF(Dados_Ajustados_v4!J30="","SEM_DADO",IF(AND(Dados_Observados_v4!K30&lt;&gt;"",(2016-2015)&lt;=Metodologia_v4!$B$14),"EST_CARRY_BACKWARD","SEM_DADO")))</f>
        <v/>
      </c>
      <c r="K30" s="10">
        <f>IF(Dados_Observados_v4!K30&lt;&gt;"","OBS",IF(Dados_Ajustados_v4!K30="","SEM_DADO",IF(AND(Dados_Observados_v4!J30&lt;&gt;"",Dados_Observados_v4!L30&lt;&gt;"",(2017-2015-1)&lt;=Metodologia_v4!$B$12),"EST_INTERP_LINEAR",IF(AND(Dados_Observados_v4!J30&lt;&gt;"",(2016-2015)&lt;=Metodologia_v4!$B$13),"EST_CARRY_FORWARD",IF(AND(Dados_Observados_v4!L30&lt;&gt;"",(2017-2016)&lt;=Metodologia_v4!$B$14),"EST_CARRY_BACKWARD","SEM_DADO")))))</f>
        <v/>
      </c>
      <c r="L30" s="10">
        <f>IF(Dados_Observados_v4!L30&lt;&gt;"","OBS",IF(Dados_Ajustados_v4!L30="","SEM_DADO",IF(AND(Dados_Observados_v4!K30&lt;&gt;"",Dados_Observados_v4!M30&lt;&gt;"",(2018-2016-1)&lt;=Metodologia_v4!$B$12),"EST_INTERP_LINEAR",IF(AND(Dados_Observados_v4!K30&lt;&gt;"",(2017-2016)&lt;=Metodologia_v4!$B$13),"EST_CARRY_FORWARD",IF(AND(Dados_Observados_v4!M30&lt;&gt;"",(2018-2017)&lt;=Metodologia_v4!$B$14),"EST_CARRY_BACKWARD","SEM_DADO")))))</f>
        <v/>
      </c>
      <c r="M30" s="10">
        <f>IF(Dados_Observados_v4!M30&lt;&gt;"","OBS",IF(Dados_Ajustados_v4!M30="","SEM_DADO",IF(AND(Dados_Observados_v4!L30&lt;&gt;"",Dados_Observados_v4!N30&lt;&gt;"",(2019-2017-1)&lt;=Metodologia_v4!$B$12),"EST_INTERP_LINEAR",IF(AND(Dados_Observados_v4!L30&lt;&gt;"",(2018-2017)&lt;=Metodologia_v4!$B$13),"EST_CARRY_FORWARD",IF(AND(Dados_Observados_v4!N30&lt;&gt;"",(2019-2018)&lt;=Metodologia_v4!$B$14),"EST_CARRY_BACKWARD","SEM_DADO")))))</f>
        <v/>
      </c>
      <c r="N30" s="10">
        <f>IF(Dados_Observados_v4!N30&lt;&gt;"","OBS",IF(Dados_Ajustados_v4!N30="","SEM_DADO",IF(AND(Dados_Observados_v4!M30&lt;&gt;"",Dados_Observados_v4!O30&lt;&gt;"",(2020-2018-1)&lt;=Metodologia_v4!$B$12),"EST_INTERP_LINEAR",IF(AND(Dados_Observados_v4!M30&lt;&gt;"",(2019-2018)&lt;=Metodologia_v4!$B$13),"EST_CARRY_FORWARD",IF(AND(Dados_Observados_v4!O30&lt;&gt;"",(2020-2019)&lt;=Metodologia_v4!$B$14),"EST_CARRY_BACKWARD","SEM_DADO")))))</f>
        <v/>
      </c>
      <c r="O30" s="10">
        <f>IF(Dados_Observados_v4!O30&lt;&gt;"","OBS",IF(Dados_Ajustados_v4!O30="","SEM_DADO",IF(AND(Dados_Observados_v4!N30&lt;&gt;"",Dados_Observados_v4!P30&lt;&gt;"",(2021-2019-1)&lt;=Metodologia_v4!$B$12),"EST_INTERP_LINEAR",IF(AND(Dados_Observados_v4!N30&lt;&gt;"",(2020-2019)&lt;=Metodologia_v4!$B$13),"EST_CARRY_FORWARD",IF(AND(Dados_Observados_v4!P30&lt;&gt;"",(2021-2020)&lt;=Metodologia_v4!$B$14),"EST_CARRY_BACKWARD","SEM_DADO")))))</f>
        <v/>
      </c>
      <c r="P30" s="10">
        <f>IF(Dados_Observados_v4!P30&lt;&gt;"","OBS",IF(Dados_Ajustados_v4!P30="","SEM_DADO",IF(AND(Dados_Observados_v4!O30&lt;&gt;"",Dados_Observados_v4!Q30&lt;&gt;"",(2022-2020-1)&lt;=Metodologia_v4!$B$12),"EST_INTERP_LINEAR",IF(AND(Dados_Observados_v4!O30&lt;&gt;"",(2021-2020)&lt;=Metodologia_v4!$B$13),"EST_CARRY_FORWARD",IF(AND(Dados_Observados_v4!Q30&lt;&gt;"",(2022-2021)&lt;=Metodologia_v4!$B$14),"EST_CARRY_BACKWARD","SEM_DADO")))))</f>
        <v/>
      </c>
      <c r="Q30" s="10">
        <f>IF(Dados_Observados_v4!Q30&lt;&gt;"","OBS",IF(Dados_Ajustados_v4!Q30="","SEM_DADO",IF(AND(Dados_Observados_v4!P30&lt;&gt;"",Dados_Observados_v4!R30&lt;&gt;"",(2023-2021-1)&lt;=Metodologia_v4!$B$12),"EST_INTERP_LINEAR",IF(AND(Dados_Observados_v4!P30&lt;&gt;"",(2022-2021)&lt;=Metodologia_v4!$B$13),"EST_CARRY_FORWARD",IF(AND(Dados_Observados_v4!R30&lt;&gt;"",(2023-2022)&lt;=Metodologia_v4!$B$14),"EST_CARRY_BACKWARD","SEM_DADO")))))</f>
        <v/>
      </c>
      <c r="R30" s="10">
        <f>IF(Dados_Observados_v4!R30&lt;&gt;"","OBS",IF(Dados_Ajustados_v4!R30="","SEM_DADO",IF(AND(Dados_Observados_v4!Q30&lt;&gt;"",Dados_Observados_v4!S30&lt;&gt;"",(2024-2022-1)&lt;=Metodologia_v4!$B$12),"EST_INTERP_LINEAR",IF(AND(Dados_Observados_v4!Q30&lt;&gt;"",(2023-2022)&lt;=Metodologia_v4!$B$13),"EST_CARRY_FORWARD",IF(AND(Dados_Observados_v4!S30&lt;&gt;"",(2024-2023)&lt;=Metodologia_v4!$B$14),"EST_CARRY_BACKWARD","SEM_DADO")))))</f>
        <v/>
      </c>
      <c r="S30" s="10">
        <f>IF(Dados_Observados_v4!S30&lt;&gt;"","OBS",IF(Dados_Ajustados_v4!S30="","SEM_DADO",IF(AND(Dados_Observados_v4!R30&lt;&gt;"",Dados_Observados_v4!T30&lt;&gt;"",(2025-2023-1)&lt;=Metodologia_v4!$B$12),"EST_INTERP_LINEAR",IF(AND(Dados_Observados_v4!R30&lt;&gt;"",(2024-2023)&lt;=Metodologia_v4!$B$13),"EST_CARRY_FORWARD",IF(AND(Dados_Observados_v4!T30&lt;&gt;"",(2025-2024)&lt;=Metodologia_v4!$B$14),"EST_CARRY_BACKWARD","SEM_DADO")))))</f>
        <v/>
      </c>
      <c r="T30" s="10">
        <f>IF(Dados_Observados_v4!T30&lt;&gt;"","OBS",IF(Dados_Ajustados_v4!T30="","SEM_DADO",IF(AND(Dados_Observados_v4!S30&lt;&gt;"",(2025-2024)&lt;=Metodologia_v4!$B$13),"EST_CARRY_FORWARD","SEM_DADO")))</f>
        <v/>
      </c>
    </row>
    <row r="31">
      <c r="A31" s="5" t="inlineStr">
        <is>
          <t>INC06</t>
        </is>
      </c>
      <c r="B31" s="5" t="inlineStr">
        <is>
          <t>4. Inclusão Social e Protecção</t>
        </is>
      </c>
      <c r="C31" s="5" t="inlineStr">
        <is>
          <t>Mulheres no parlamento</t>
        </is>
      </c>
      <c r="D31" s="5" t="inlineStr">
        <is>
          <t>Banco Mundial/IPU</t>
        </is>
      </c>
      <c r="E31" s="5" t="inlineStr">
        <is>
          <t>SG.GEN.PARL.ZS</t>
        </is>
      </c>
      <c r="F31" s="5" t="inlineStr">
        <is>
          <t>Fonte Banco Mundial API/CSV</t>
        </is>
      </c>
      <c r="G31" s="5" t="inlineStr">
        <is>
          <t>11/11</t>
        </is>
      </c>
      <c r="H31" s="5" t="n">
        <v>2025</v>
      </c>
      <c r="I31" s="5" t="inlineStr">
        <is>
          <t>Referenciado pelas regras de Metodologia_v4</t>
        </is>
      </c>
      <c r="J31" s="10">
        <f>IF(Dados_Observados_v4!J31&lt;&gt;"","OBS",IF(Dados_Ajustados_v4!J31="","SEM_DADO",IF(AND(Dados_Observados_v4!K31&lt;&gt;"",(2016-2015)&lt;=Metodologia_v4!$B$14),"EST_CARRY_BACKWARD","SEM_DADO")))</f>
        <v/>
      </c>
      <c r="K31" s="10">
        <f>IF(Dados_Observados_v4!K31&lt;&gt;"","OBS",IF(Dados_Ajustados_v4!K31="","SEM_DADO",IF(AND(Dados_Observados_v4!J31&lt;&gt;"",Dados_Observados_v4!L31&lt;&gt;"",(2017-2015-1)&lt;=Metodologia_v4!$B$12),"EST_INTERP_LINEAR",IF(AND(Dados_Observados_v4!J31&lt;&gt;"",(2016-2015)&lt;=Metodologia_v4!$B$13),"EST_CARRY_FORWARD",IF(AND(Dados_Observados_v4!L31&lt;&gt;"",(2017-2016)&lt;=Metodologia_v4!$B$14),"EST_CARRY_BACKWARD","SEM_DADO")))))</f>
        <v/>
      </c>
      <c r="L31" s="10">
        <f>IF(Dados_Observados_v4!L31&lt;&gt;"","OBS",IF(Dados_Ajustados_v4!L31="","SEM_DADO",IF(AND(Dados_Observados_v4!K31&lt;&gt;"",Dados_Observados_v4!M31&lt;&gt;"",(2018-2016-1)&lt;=Metodologia_v4!$B$12),"EST_INTERP_LINEAR",IF(AND(Dados_Observados_v4!K31&lt;&gt;"",(2017-2016)&lt;=Metodologia_v4!$B$13),"EST_CARRY_FORWARD",IF(AND(Dados_Observados_v4!M31&lt;&gt;"",(2018-2017)&lt;=Metodologia_v4!$B$14),"EST_CARRY_BACKWARD","SEM_DADO")))))</f>
        <v/>
      </c>
      <c r="M31" s="10">
        <f>IF(Dados_Observados_v4!M31&lt;&gt;"","OBS",IF(Dados_Ajustados_v4!M31="","SEM_DADO",IF(AND(Dados_Observados_v4!L31&lt;&gt;"",Dados_Observados_v4!N31&lt;&gt;"",(2019-2017-1)&lt;=Metodologia_v4!$B$12),"EST_INTERP_LINEAR",IF(AND(Dados_Observados_v4!L31&lt;&gt;"",(2018-2017)&lt;=Metodologia_v4!$B$13),"EST_CARRY_FORWARD",IF(AND(Dados_Observados_v4!N31&lt;&gt;"",(2019-2018)&lt;=Metodologia_v4!$B$14),"EST_CARRY_BACKWARD","SEM_DADO")))))</f>
        <v/>
      </c>
      <c r="N31" s="10">
        <f>IF(Dados_Observados_v4!N31&lt;&gt;"","OBS",IF(Dados_Ajustados_v4!N31="","SEM_DADO",IF(AND(Dados_Observados_v4!M31&lt;&gt;"",Dados_Observados_v4!O31&lt;&gt;"",(2020-2018-1)&lt;=Metodologia_v4!$B$12),"EST_INTERP_LINEAR",IF(AND(Dados_Observados_v4!M31&lt;&gt;"",(2019-2018)&lt;=Metodologia_v4!$B$13),"EST_CARRY_FORWARD",IF(AND(Dados_Observados_v4!O31&lt;&gt;"",(2020-2019)&lt;=Metodologia_v4!$B$14),"EST_CARRY_BACKWARD","SEM_DADO")))))</f>
        <v/>
      </c>
      <c r="O31" s="10">
        <f>IF(Dados_Observados_v4!O31&lt;&gt;"","OBS",IF(Dados_Ajustados_v4!O31="","SEM_DADO",IF(AND(Dados_Observados_v4!N31&lt;&gt;"",Dados_Observados_v4!P31&lt;&gt;"",(2021-2019-1)&lt;=Metodologia_v4!$B$12),"EST_INTERP_LINEAR",IF(AND(Dados_Observados_v4!N31&lt;&gt;"",(2020-2019)&lt;=Metodologia_v4!$B$13),"EST_CARRY_FORWARD",IF(AND(Dados_Observados_v4!P31&lt;&gt;"",(2021-2020)&lt;=Metodologia_v4!$B$14),"EST_CARRY_BACKWARD","SEM_DADO")))))</f>
        <v/>
      </c>
      <c r="P31" s="10">
        <f>IF(Dados_Observados_v4!P31&lt;&gt;"","OBS",IF(Dados_Ajustados_v4!P31="","SEM_DADO",IF(AND(Dados_Observados_v4!O31&lt;&gt;"",Dados_Observados_v4!Q31&lt;&gt;"",(2022-2020-1)&lt;=Metodologia_v4!$B$12),"EST_INTERP_LINEAR",IF(AND(Dados_Observados_v4!O31&lt;&gt;"",(2021-2020)&lt;=Metodologia_v4!$B$13),"EST_CARRY_FORWARD",IF(AND(Dados_Observados_v4!Q31&lt;&gt;"",(2022-2021)&lt;=Metodologia_v4!$B$14),"EST_CARRY_BACKWARD","SEM_DADO")))))</f>
        <v/>
      </c>
      <c r="Q31" s="10">
        <f>IF(Dados_Observados_v4!Q31&lt;&gt;"","OBS",IF(Dados_Ajustados_v4!Q31="","SEM_DADO",IF(AND(Dados_Observados_v4!P31&lt;&gt;"",Dados_Observados_v4!R31&lt;&gt;"",(2023-2021-1)&lt;=Metodologia_v4!$B$12),"EST_INTERP_LINEAR",IF(AND(Dados_Observados_v4!P31&lt;&gt;"",(2022-2021)&lt;=Metodologia_v4!$B$13),"EST_CARRY_FORWARD",IF(AND(Dados_Observados_v4!R31&lt;&gt;"",(2023-2022)&lt;=Metodologia_v4!$B$14),"EST_CARRY_BACKWARD","SEM_DADO")))))</f>
        <v/>
      </c>
      <c r="R31" s="10">
        <f>IF(Dados_Observados_v4!R31&lt;&gt;"","OBS",IF(Dados_Ajustados_v4!R31="","SEM_DADO",IF(AND(Dados_Observados_v4!Q31&lt;&gt;"",Dados_Observados_v4!S31&lt;&gt;"",(2024-2022-1)&lt;=Metodologia_v4!$B$12),"EST_INTERP_LINEAR",IF(AND(Dados_Observados_v4!Q31&lt;&gt;"",(2023-2022)&lt;=Metodologia_v4!$B$13),"EST_CARRY_FORWARD",IF(AND(Dados_Observados_v4!S31&lt;&gt;"",(2024-2023)&lt;=Metodologia_v4!$B$14),"EST_CARRY_BACKWARD","SEM_DADO")))))</f>
        <v/>
      </c>
      <c r="S31" s="10">
        <f>IF(Dados_Observados_v4!S31&lt;&gt;"","OBS",IF(Dados_Ajustados_v4!S31="","SEM_DADO",IF(AND(Dados_Observados_v4!R31&lt;&gt;"",Dados_Observados_v4!T31&lt;&gt;"",(2025-2023-1)&lt;=Metodologia_v4!$B$12),"EST_INTERP_LINEAR",IF(AND(Dados_Observados_v4!R31&lt;&gt;"",(2024-2023)&lt;=Metodologia_v4!$B$13),"EST_CARRY_FORWARD",IF(AND(Dados_Observados_v4!T31&lt;&gt;"",(2025-2024)&lt;=Metodologia_v4!$B$14),"EST_CARRY_BACKWARD","SEM_DADO")))))</f>
        <v/>
      </c>
      <c r="T31" s="10">
        <f>IF(Dados_Observados_v4!T31&lt;&gt;"","OBS",IF(Dados_Ajustados_v4!T31="","SEM_DADO",IF(AND(Dados_Observados_v4!S31&lt;&gt;"",(2025-2024)&lt;=Metodologia_v4!$B$13),"EST_CARRY_FORWARD","SEM_DADO")))</f>
        <v/>
      </c>
    </row>
    <row r="32">
      <c r="A32" s="5" t="inlineStr">
        <is>
          <t>INC07</t>
        </is>
      </c>
      <c r="B32" s="5" t="inlineStr">
        <is>
          <t>4. Inclusão Social e Protecção</t>
        </is>
      </c>
      <c r="C32" s="5" t="inlineStr">
        <is>
          <t>Jovens NEET</t>
        </is>
      </c>
      <c r="D32" s="5" t="inlineStr">
        <is>
          <t>Banco Mundial/OIT</t>
        </is>
      </c>
      <c r="E32" s="5" t="inlineStr">
        <is>
          <t>SL.UEM.NEET.ZS</t>
        </is>
      </c>
      <c r="F32" s="5" t="inlineStr">
        <is>
          <t>Fonte Banco Mundial API/CSV</t>
        </is>
      </c>
      <c r="G32" s="5" t="inlineStr">
        <is>
          <t>6/11</t>
        </is>
      </c>
      <c r="H32" s="5" t="n">
        <v>2024</v>
      </c>
      <c r="I32" s="5" t="inlineStr">
        <is>
          <t>Referenciado pelas regras de Metodologia_v4</t>
        </is>
      </c>
      <c r="J32" s="10">
        <f>IF(Dados_Observados_v4!J32&lt;&gt;"","OBS",IF(Dados_Ajustados_v4!J32="","SEM_DADO",IF(AND(Dados_Observados_v4!N32&lt;&gt;"",(2019-2015)&lt;=Metodologia_v4!$B$14),"EST_CARRY_BACKWARD","SEM_DADO")))</f>
        <v/>
      </c>
      <c r="K32" s="10">
        <f>IF(Dados_Observados_v4!K32&lt;&gt;"","OBS",IF(Dados_Ajustados_v4!K32="","SEM_DADO",IF(AND(Dados_Observados_v4!N32&lt;&gt;"",(2019-2016)&lt;=Metodologia_v4!$B$14),"EST_CARRY_BACKWARD","SEM_DADO")))</f>
        <v/>
      </c>
      <c r="L32" s="10">
        <f>IF(Dados_Observados_v4!L32&lt;&gt;"","OBS",IF(Dados_Ajustados_v4!L32="","SEM_DADO",IF(AND(Dados_Observados_v4!N32&lt;&gt;"",(2019-2017)&lt;=Metodologia_v4!$B$14),"EST_CARRY_BACKWARD","SEM_DADO")))</f>
        <v/>
      </c>
      <c r="M32" s="10">
        <f>IF(Dados_Observados_v4!M32&lt;&gt;"","OBS",IF(Dados_Ajustados_v4!M32="","SEM_DADO",IF(AND(Dados_Observados_v4!N32&lt;&gt;"",(2019-2018)&lt;=Metodologia_v4!$B$14),"EST_CARRY_BACKWARD","SEM_DADO")))</f>
        <v/>
      </c>
      <c r="N32" s="10">
        <f>IF(Dados_Observados_v4!N32&lt;&gt;"","OBS",IF(Dados_Ajustados_v4!N32="","SEM_DADO",IF(AND(Dados_Observados_v4!O32&lt;&gt;"",(2020-2019)&lt;=Metodologia_v4!$B$14),"EST_CARRY_BACKWARD","SEM_DADO")))</f>
        <v/>
      </c>
      <c r="O32" s="10">
        <f>IF(Dados_Observados_v4!O32&lt;&gt;"","OBS",IF(Dados_Ajustados_v4!O32="","SEM_DADO",IF(AND(Dados_Observados_v4!N32&lt;&gt;"",Dados_Observados_v4!P32&lt;&gt;"",(2021-2019-1)&lt;=Metodologia_v4!$B$12),"EST_INTERP_LINEAR",IF(AND(Dados_Observados_v4!N32&lt;&gt;"",(2020-2019)&lt;=Metodologia_v4!$B$13),"EST_CARRY_FORWARD",IF(AND(Dados_Observados_v4!P32&lt;&gt;"",(2021-2020)&lt;=Metodologia_v4!$B$14),"EST_CARRY_BACKWARD","SEM_DADO")))))</f>
        <v/>
      </c>
      <c r="P32" s="10">
        <f>IF(Dados_Observados_v4!P32&lt;&gt;"","OBS",IF(Dados_Ajustados_v4!P32="","SEM_DADO",IF(AND(Dados_Observados_v4!O32&lt;&gt;"",Dados_Observados_v4!Q32&lt;&gt;"",(2022-2020-1)&lt;=Metodologia_v4!$B$12),"EST_INTERP_LINEAR",IF(AND(Dados_Observados_v4!O32&lt;&gt;"",(2021-2020)&lt;=Metodologia_v4!$B$13),"EST_CARRY_FORWARD",IF(AND(Dados_Observados_v4!Q32&lt;&gt;"",(2022-2021)&lt;=Metodologia_v4!$B$14),"EST_CARRY_BACKWARD","SEM_DADO")))))</f>
        <v/>
      </c>
      <c r="Q32" s="10">
        <f>IF(Dados_Observados_v4!Q32&lt;&gt;"","OBS",IF(Dados_Ajustados_v4!Q32="","SEM_DADO",IF(AND(Dados_Observados_v4!P32&lt;&gt;"",Dados_Observados_v4!R32&lt;&gt;"",(2023-2021-1)&lt;=Metodologia_v4!$B$12),"EST_INTERP_LINEAR",IF(AND(Dados_Observados_v4!P32&lt;&gt;"",(2022-2021)&lt;=Metodologia_v4!$B$13),"EST_CARRY_FORWARD",IF(AND(Dados_Observados_v4!R32&lt;&gt;"",(2023-2022)&lt;=Metodologia_v4!$B$14),"EST_CARRY_BACKWARD","SEM_DADO")))))</f>
        <v/>
      </c>
      <c r="R32" s="10">
        <f>IF(Dados_Observados_v4!R32&lt;&gt;"","OBS",IF(Dados_Ajustados_v4!R32="","SEM_DADO",IF(AND(Dados_Observados_v4!Q32&lt;&gt;"",Dados_Observados_v4!S32&lt;&gt;"",(2024-2022-1)&lt;=Metodologia_v4!$B$12),"EST_INTERP_LINEAR",IF(AND(Dados_Observados_v4!Q32&lt;&gt;"",(2023-2022)&lt;=Metodologia_v4!$B$13),"EST_CARRY_FORWARD",IF(AND(Dados_Observados_v4!S32&lt;&gt;"",(2024-2023)&lt;=Metodologia_v4!$B$14),"EST_CARRY_BACKWARD","SEM_DADO")))))</f>
        <v/>
      </c>
      <c r="S32" s="10">
        <f>IF(Dados_Observados_v4!S32&lt;&gt;"","OBS",IF(Dados_Ajustados_v4!S32="","SEM_DADO",IF(AND(Dados_Observados_v4!R32&lt;&gt;"",(2024-2023)&lt;=Metodologia_v4!$B$13),"EST_CARRY_FORWARD","SEM_DADO")))</f>
        <v/>
      </c>
      <c r="T32" s="10">
        <f>IF(Dados_Observados_v4!T32&lt;&gt;"","OBS",IF(Dados_Ajustados_v4!T32="","SEM_DADO",IF(AND(Dados_Observados_v4!S32&lt;&gt;"",(2025-2024)&lt;=Metodologia_v4!$B$13),"EST_CARRY_FORWARD","SEM_DADO")))</f>
        <v/>
      </c>
    </row>
    <row r="33">
      <c r="A33" s="5" t="inlineStr">
        <is>
          <t>INC08</t>
        </is>
      </c>
      <c r="B33" s="5" t="inlineStr">
        <is>
          <t>4. Inclusão Social e Protecção</t>
        </is>
      </c>
      <c r="C33" s="5" t="inlineStr">
        <is>
          <t>RNB per capita</t>
        </is>
      </c>
      <c r="D33" s="5" t="inlineStr">
        <is>
          <t>Banco Mundial/WDI</t>
        </is>
      </c>
      <c r="E33" s="5" t="inlineStr">
        <is>
          <t>NY.GNP.PCAP.CD</t>
        </is>
      </c>
      <c r="F33" s="5" t="inlineStr">
        <is>
          <t>Fonte Banco Mundial API/CSV</t>
        </is>
      </c>
      <c r="G33" s="5" t="inlineStr">
        <is>
          <t>10/11</t>
        </is>
      </c>
      <c r="H33" s="5" t="n">
        <v>2024</v>
      </c>
      <c r="I33" s="5" t="inlineStr">
        <is>
          <t>Referenciado pelas regras de Metodologia_v4</t>
        </is>
      </c>
      <c r="J33" s="10">
        <f>IF(Dados_Observados_v4!J33&lt;&gt;"","OBS",IF(Dados_Ajustados_v4!J33="","SEM_DADO",IF(AND(Dados_Observados_v4!K33&lt;&gt;"",(2016-2015)&lt;=Metodologia_v4!$B$14),"EST_CARRY_BACKWARD","SEM_DADO")))</f>
        <v/>
      </c>
      <c r="K33" s="10">
        <f>IF(Dados_Observados_v4!K33&lt;&gt;"","OBS",IF(Dados_Ajustados_v4!K33="","SEM_DADO",IF(AND(Dados_Observados_v4!J33&lt;&gt;"",Dados_Observados_v4!L33&lt;&gt;"",(2017-2015-1)&lt;=Metodologia_v4!$B$12),"EST_INTERP_LINEAR",IF(AND(Dados_Observados_v4!J33&lt;&gt;"",(2016-2015)&lt;=Metodologia_v4!$B$13),"EST_CARRY_FORWARD",IF(AND(Dados_Observados_v4!L33&lt;&gt;"",(2017-2016)&lt;=Metodologia_v4!$B$14),"EST_CARRY_BACKWARD","SEM_DADO")))))</f>
        <v/>
      </c>
      <c r="L33" s="10">
        <f>IF(Dados_Observados_v4!L33&lt;&gt;"","OBS",IF(Dados_Ajustados_v4!L33="","SEM_DADO",IF(AND(Dados_Observados_v4!K33&lt;&gt;"",Dados_Observados_v4!M33&lt;&gt;"",(2018-2016-1)&lt;=Metodologia_v4!$B$12),"EST_INTERP_LINEAR",IF(AND(Dados_Observados_v4!K33&lt;&gt;"",(2017-2016)&lt;=Metodologia_v4!$B$13),"EST_CARRY_FORWARD",IF(AND(Dados_Observados_v4!M33&lt;&gt;"",(2018-2017)&lt;=Metodologia_v4!$B$14),"EST_CARRY_BACKWARD","SEM_DADO")))))</f>
        <v/>
      </c>
      <c r="M33" s="10">
        <f>IF(Dados_Observados_v4!M33&lt;&gt;"","OBS",IF(Dados_Ajustados_v4!M33="","SEM_DADO",IF(AND(Dados_Observados_v4!L33&lt;&gt;"",Dados_Observados_v4!N33&lt;&gt;"",(2019-2017-1)&lt;=Metodologia_v4!$B$12),"EST_INTERP_LINEAR",IF(AND(Dados_Observados_v4!L33&lt;&gt;"",(2018-2017)&lt;=Metodologia_v4!$B$13),"EST_CARRY_FORWARD",IF(AND(Dados_Observados_v4!N33&lt;&gt;"",(2019-2018)&lt;=Metodologia_v4!$B$14),"EST_CARRY_BACKWARD","SEM_DADO")))))</f>
        <v/>
      </c>
      <c r="N33" s="10">
        <f>IF(Dados_Observados_v4!N33&lt;&gt;"","OBS",IF(Dados_Ajustados_v4!N33="","SEM_DADO",IF(AND(Dados_Observados_v4!M33&lt;&gt;"",Dados_Observados_v4!O33&lt;&gt;"",(2020-2018-1)&lt;=Metodologia_v4!$B$12),"EST_INTERP_LINEAR",IF(AND(Dados_Observados_v4!M33&lt;&gt;"",(2019-2018)&lt;=Metodologia_v4!$B$13),"EST_CARRY_FORWARD",IF(AND(Dados_Observados_v4!O33&lt;&gt;"",(2020-2019)&lt;=Metodologia_v4!$B$14),"EST_CARRY_BACKWARD","SEM_DADO")))))</f>
        <v/>
      </c>
      <c r="O33" s="10">
        <f>IF(Dados_Observados_v4!O33&lt;&gt;"","OBS",IF(Dados_Ajustados_v4!O33="","SEM_DADO",IF(AND(Dados_Observados_v4!N33&lt;&gt;"",Dados_Observados_v4!P33&lt;&gt;"",(2021-2019-1)&lt;=Metodologia_v4!$B$12),"EST_INTERP_LINEAR",IF(AND(Dados_Observados_v4!N33&lt;&gt;"",(2020-2019)&lt;=Metodologia_v4!$B$13),"EST_CARRY_FORWARD",IF(AND(Dados_Observados_v4!P33&lt;&gt;"",(2021-2020)&lt;=Metodologia_v4!$B$14),"EST_CARRY_BACKWARD","SEM_DADO")))))</f>
        <v/>
      </c>
      <c r="P33" s="10">
        <f>IF(Dados_Observados_v4!P33&lt;&gt;"","OBS",IF(Dados_Ajustados_v4!P33="","SEM_DADO",IF(AND(Dados_Observados_v4!O33&lt;&gt;"",Dados_Observados_v4!Q33&lt;&gt;"",(2022-2020-1)&lt;=Metodologia_v4!$B$12),"EST_INTERP_LINEAR",IF(AND(Dados_Observados_v4!O33&lt;&gt;"",(2021-2020)&lt;=Metodologia_v4!$B$13),"EST_CARRY_FORWARD",IF(AND(Dados_Observados_v4!Q33&lt;&gt;"",(2022-2021)&lt;=Metodologia_v4!$B$14),"EST_CARRY_BACKWARD","SEM_DADO")))))</f>
        <v/>
      </c>
      <c r="Q33" s="10">
        <f>IF(Dados_Observados_v4!Q33&lt;&gt;"","OBS",IF(Dados_Ajustados_v4!Q33="","SEM_DADO",IF(AND(Dados_Observados_v4!P33&lt;&gt;"",Dados_Observados_v4!R33&lt;&gt;"",(2023-2021-1)&lt;=Metodologia_v4!$B$12),"EST_INTERP_LINEAR",IF(AND(Dados_Observados_v4!P33&lt;&gt;"",(2022-2021)&lt;=Metodologia_v4!$B$13),"EST_CARRY_FORWARD",IF(AND(Dados_Observados_v4!R33&lt;&gt;"",(2023-2022)&lt;=Metodologia_v4!$B$14),"EST_CARRY_BACKWARD","SEM_DADO")))))</f>
        <v/>
      </c>
      <c r="R33" s="10">
        <f>IF(Dados_Observados_v4!R33&lt;&gt;"","OBS",IF(Dados_Ajustados_v4!R33="","SEM_DADO",IF(AND(Dados_Observados_v4!Q33&lt;&gt;"",Dados_Observados_v4!S33&lt;&gt;"",(2024-2022-1)&lt;=Metodologia_v4!$B$12),"EST_INTERP_LINEAR",IF(AND(Dados_Observados_v4!Q33&lt;&gt;"",(2023-2022)&lt;=Metodologia_v4!$B$13),"EST_CARRY_FORWARD",IF(AND(Dados_Observados_v4!S33&lt;&gt;"",(2024-2023)&lt;=Metodologia_v4!$B$14),"EST_CARRY_BACKWARD","SEM_DADO")))))</f>
        <v/>
      </c>
      <c r="S33" s="10">
        <f>IF(Dados_Observados_v4!S33&lt;&gt;"","OBS",IF(Dados_Ajustados_v4!S33="","SEM_DADO",IF(AND(Dados_Observados_v4!R33&lt;&gt;"",(2024-2023)&lt;=Metodologia_v4!$B$13),"EST_CARRY_FORWARD","SEM_DADO")))</f>
        <v/>
      </c>
      <c r="T33" s="10">
        <f>IF(Dados_Observados_v4!T33&lt;&gt;"","OBS",IF(Dados_Ajustados_v4!T33="","SEM_DADO",IF(AND(Dados_Observados_v4!S33&lt;&gt;"",(2025-2024)&lt;=Metodologia_v4!$B$13),"EST_CARRY_FORWARD","SEM_DADO")))</f>
        <v/>
      </c>
    </row>
    <row r="34">
      <c r="A34" s="5" t="inlineStr">
        <is>
          <t>INF01</t>
        </is>
      </c>
      <c r="B34" s="5" t="inlineStr">
        <is>
          <t>5. Infraestruturas e Serviços</t>
        </is>
      </c>
      <c r="C34" s="5" t="inlineStr">
        <is>
          <t>Acesso à eletricidade</t>
        </is>
      </c>
      <c r="D34" s="5" t="inlineStr">
        <is>
          <t>Banco Mundial/IEA</t>
        </is>
      </c>
      <c r="E34" s="5" t="inlineStr">
        <is>
          <t>EG.ELC.ACCS.ZS</t>
        </is>
      </c>
      <c r="F34" s="5" t="inlineStr">
        <is>
          <t>Fonte Banco Mundial API/CSV</t>
        </is>
      </c>
      <c r="G34" s="5" t="inlineStr">
        <is>
          <t>9/11</t>
        </is>
      </c>
      <c r="H34" s="5" t="n">
        <v>2023</v>
      </c>
      <c r="I34" s="5" t="inlineStr">
        <is>
          <t>Referenciado pelas regras de Metodologia_v4</t>
        </is>
      </c>
      <c r="J34" s="10">
        <f>IF(Dados_Observados_v4!J34&lt;&gt;"","OBS",IF(Dados_Ajustados_v4!J34="","SEM_DADO",IF(AND(Dados_Observados_v4!K34&lt;&gt;"",(2016-2015)&lt;=Metodologia_v4!$B$14),"EST_CARRY_BACKWARD","SEM_DADO")))</f>
        <v/>
      </c>
      <c r="K34" s="10">
        <f>IF(Dados_Observados_v4!K34&lt;&gt;"","OBS",IF(Dados_Ajustados_v4!K34="","SEM_DADO",IF(AND(Dados_Observados_v4!J34&lt;&gt;"",Dados_Observados_v4!L34&lt;&gt;"",(2017-2015-1)&lt;=Metodologia_v4!$B$12),"EST_INTERP_LINEAR",IF(AND(Dados_Observados_v4!J34&lt;&gt;"",(2016-2015)&lt;=Metodologia_v4!$B$13),"EST_CARRY_FORWARD",IF(AND(Dados_Observados_v4!L34&lt;&gt;"",(2017-2016)&lt;=Metodologia_v4!$B$14),"EST_CARRY_BACKWARD","SEM_DADO")))))</f>
        <v/>
      </c>
      <c r="L34" s="10">
        <f>IF(Dados_Observados_v4!L34&lt;&gt;"","OBS",IF(Dados_Ajustados_v4!L34="","SEM_DADO",IF(AND(Dados_Observados_v4!K34&lt;&gt;"",Dados_Observados_v4!M34&lt;&gt;"",(2018-2016-1)&lt;=Metodologia_v4!$B$12),"EST_INTERP_LINEAR",IF(AND(Dados_Observados_v4!K34&lt;&gt;"",(2017-2016)&lt;=Metodologia_v4!$B$13),"EST_CARRY_FORWARD",IF(AND(Dados_Observados_v4!M34&lt;&gt;"",(2018-2017)&lt;=Metodologia_v4!$B$14),"EST_CARRY_BACKWARD","SEM_DADO")))))</f>
        <v/>
      </c>
      <c r="M34" s="10">
        <f>IF(Dados_Observados_v4!M34&lt;&gt;"","OBS",IF(Dados_Ajustados_v4!M34="","SEM_DADO",IF(AND(Dados_Observados_v4!L34&lt;&gt;"",Dados_Observados_v4!N34&lt;&gt;"",(2019-2017-1)&lt;=Metodologia_v4!$B$12),"EST_INTERP_LINEAR",IF(AND(Dados_Observados_v4!L34&lt;&gt;"",(2018-2017)&lt;=Metodologia_v4!$B$13),"EST_CARRY_FORWARD",IF(AND(Dados_Observados_v4!N34&lt;&gt;"",(2019-2018)&lt;=Metodologia_v4!$B$14),"EST_CARRY_BACKWARD","SEM_DADO")))))</f>
        <v/>
      </c>
      <c r="N34" s="10">
        <f>IF(Dados_Observados_v4!N34&lt;&gt;"","OBS",IF(Dados_Ajustados_v4!N34="","SEM_DADO",IF(AND(Dados_Observados_v4!M34&lt;&gt;"",Dados_Observados_v4!O34&lt;&gt;"",(2020-2018-1)&lt;=Metodologia_v4!$B$12),"EST_INTERP_LINEAR",IF(AND(Dados_Observados_v4!M34&lt;&gt;"",(2019-2018)&lt;=Metodologia_v4!$B$13),"EST_CARRY_FORWARD",IF(AND(Dados_Observados_v4!O34&lt;&gt;"",(2020-2019)&lt;=Metodologia_v4!$B$14),"EST_CARRY_BACKWARD","SEM_DADO")))))</f>
        <v/>
      </c>
      <c r="O34" s="10">
        <f>IF(Dados_Observados_v4!O34&lt;&gt;"","OBS",IF(Dados_Ajustados_v4!O34="","SEM_DADO",IF(AND(Dados_Observados_v4!N34&lt;&gt;"",Dados_Observados_v4!P34&lt;&gt;"",(2021-2019-1)&lt;=Metodologia_v4!$B$12),"EST_INTERP_LINEAR",IF(AND(Dados_Observados_v4!N34&lt;&gt;"",(2020-2019)&lt;=Metodologia_v4!$B$13),"EST_CARRY_FORWARD",IF(AND(Dados_Observados_v4!P34&lt;&gt;"",(2021-2020)&lt;=Metodologia_v4!$B$14),"EST_CARRY_BACKWARD","SEM_DADO")))))</f>
        <v/>
      </c>
      <c r="P34" s="10">
        <f>IF(Dados_Observados_v4!P34&lt;&gt;"","OBS",IF(Dados_Ajustados_v4!P34="","SEM_DADO",IF(AND(Dados_Observados_v4!O34&lt;&gt;"",Dados_Observados_v4!Q34&lt;&gt;"",(2022-2020-1)&lt;=Metodologia_v4!$B$12),"EST_INTERP_LINEAR",IF(AND(Dados_Observados_v4!O34&lt;&gt;"",(2021-2020)&lt;=Metodologia_v4!$B$13),"EST_CARRY_FORWARD",IF(AND(Dados_Observados_v4!Q34&lt;&gt;"",(2022-2021)&lt;=Metodologia_v4!$B$14),"EST_CARRY_BACKWARD","SEM_DADO")))))</f>
        <v/>
      </c>
      <c r="Q34" s="10">
        <f>IF(Dados_Observados_v4!Q34&lt;&gt;"","OBS",IF(Dados_Ajustados_v4!Q34="","SEM_DADO",IF(AND(Dados_Observados_v4!P34&lt;&gt;"",Dados_Observados_v4!R34&lt;&gt;"",(2023-2021-1)&lt;=Metodologia_v4!$B$12),"EST_INTERP_LINEAR",IF(AND(Dados_Observados_v4!P34&lt;&gt;"",(2022-2021)&lt;=Metodologia_v4!$B$13),"EST_CARRY_FORWARD",IF(AND(Dados_Observados_v4!R34&lt;&gt;"",(2023-2022)&lt;=Metodologia_v4!$B$14),"EST_CARRY_BACKWARD","SEM_DADO")))))</f>
        <v/>
      </c>
      <c r="R34" s="10">
        <f>IF(Dados_Observados_v4!R34&lt;&gt;"","OBS",IF(Dados_Ajustados_v4!R34="","SEM_DADO",IF(AND(Dados_Observados_v4!Q34&lt;&gt;"",(2023-2022)&lt;=Metodologia_v4!$B$13),"EST_CARRY_FORWARD","SEM_DADO")))</f>
        <v/>
      </c>
      <c r="S34" s="10">
        <f>IF(Dados_Observados_v4!S34&lt;&gt;"","OBS",IF(Dados_Ajustados_v4!S34="","SEM_DADO",IF(AND(Dados_Observados_v4!R34&lt;&gt;"",(2024-2023)&lt;=Metodologia_v4!$B$13),"EST_CARRY_FORWARD","SEM_DADO")))</f>
        <v/>
      </c>
      <c r="T34" s="10">
        <f>IF(Dados_Observados_v4!T34&lt;&gt;"","OBS",IF(Dados_Ajustados_v4!T34="","SEM_DADO",IF(AND(Dados_Observados_v4!R34&lt;&gt;"",(2025-2023)&lt;=Metodologia_v4!$B$13),"EST_CARRY_FORWARD","SEM_DADO")))</f>
        <v/>
      </c>
    </row>
    <row r="35">
      <c r="A35" s="5" t="inlineStr">
        <is>
          <t>INF02</t>
        </is>
      </c>
      <c r="B35" s="5" t="inlineStr">
        <is>
          <t>5. Infraestruturas e Serviços</t>
        </is>
      </c>
      <c r="C35" s="5" t="inlineStr">
        <is>
          <t>Perdas na rede elétrica</t>
        </is>
      </c>
      <c r="D35" s="5" t="inlineStr">
        <is>
          <t>Banco Mundial/IEA</t>
        </is>
      </c>
      <c r="E35" s="5" t="inlineStr">
        <is>
          <t>EG.ELC.LOSS.ZS</t>
        </is>
      </c>
      <c r="F35" s="5" t="inlineStr">
        <is>
          <t>Fonte Banco Mundial API/CSV</t>
        </is>
      </c>
      <c r="G35" s="5" t="inlineStr">
        <is>
          <t>9/11</t>
        </is>
      </c>
      <c r="H35" s="5" t="n">
        <v>2023</v>
      </c>
      <c r="I35" s="5" t="inlineStr">
        <is>
          <t>Referenciado pelas regras de Metodologia_v4</t>
        </is>
      </c>
      <c r="J35" s="10">
        <f>IF(Dados_Observados_v4!J35&lt;&gt;"","OBS",IF(Dados_Ajustados_v4!J35="","SEM_DADO",IF(AND(Dados_Observados_v4!K35&lt;&gt;"",(2016-2015)&lt;=Metodologia_v4!$B$14),"EST_CARRY_BACKWARD","SEM_DADO")))</f>
        <v/>
      </c>
      <c r="K35" s="10">
        <f>IF(Dados_Observados_v4!K35&lt;&gt;"","OBS",IF(Dados_Ajustados_v4!K35="","SEM_DADO",IF(AND(Dados_Observados_v4!J35&lt;&gt;"",Dados_Observados_v4!L35&lt;&gt;"",(2017-2015-1)&lt;=Metodologia_v4!$B$12),"EST_INTERP_LINEAR",IF(AND(Dados_Observados_v4!J35&lt;&gt;"",(2016-2015)&lt;=Metodologia_v4!$B$13),"EST_CARRY_FORWARD",IF(AND(Dados_Observados_v4!L35&lt;&gt;"",(2017-2016)&lt;=Metodologia_v4!$B$14),"EST_CARRY_BACKWARD","SEM_DADO")))))</f>
        <v/>
      </c>
      <c r="L35" s="10">
        <f>IF(Dados_Observados_v4!L35&lt;&gt;"","OBS",IF(Dados_Ajustados_v4!L35="","SEM_DADO",IF(AND(Dados_Observados_v4!K35&lt;&gt;"",Dados_Observados_v4!M35&lt;&gt;"",(2018-2016-1)&lt;=Metodologia_v4!$B$12),"EST_INTERP_LINEAR",IF(AND(Dados_Observados_v4!K35&lt;&gt;"",(2017-2016)&lt;=Metodologia_v4!$B$13),"EST_CARRY_FORWARD",IF(AND(Dados_Observados_v4!M35&lt;&gt;"",(2018-2017)&lt;=Metodologia_v4!$B$14),"EST_CARRY_BACKWARD","SEM_DADO")))))</f>
        <v/>
      </c>
      <c r="M35" s="10">
        <f>IF(Dados_Observados_v4!M35&lt;&gt;"","OBS",IF(Dados_Ajustados_v4!M35="","SEM_DADO",IF(AND(Dados_Observados_v4!L35&lt;&gt;"",Dados_Observados_v4!N35&lt;&gt;"",(2019-2017-1)&lt;=Metodologia_v4!$B$12),"EST_INTERP_LINEAR",IF(AND(Dados_Observados_v4!L35&lt;&gt;"",(2018-2017)&lt;=Metodologia_v4!$B$13),"EST_CARRY_FORWARD",IF(AND(Dados_Observados_v4!N35&lt;&gt;"",(2019-2018)&lt;=Metodologia_v4!$B$14),"EST_CARRY_BACKWARD","SEM_DADO")))))</f>
        <v/>
      </c>
      <c r="N35" s="10">
        <f>IF(Dados_Observados_v4!N35&lt;&gt;"","OBS",IF(Dados_Ajustados_v4!N35="","SEM_DADO",IF(AND(Dados_Observados_v4!M35&lt;&gt;"",Dados_Observados_v4!O35&lt;&gt;"",(2020-2018-1)&lt;=Metodologia_v4!$B$12),"EST_INTERP_LINEAR",IF(AND(Dados_Observados_v4!M35&lt;&gt;"",(2019-2018)&lt;=Metodologia_v4!$B$13),"EST_CARRY_FORWARD",IF(AND(Dados_Observados_v4!O35&lt;&gt;"",(2020-2019)&lt;=Metodologia_v4!$B$14),"EST_CARRY_BACKWARD","SEM_DADO")))))</f>
        <v/>
      </c>
      <c r="O35" s="10">
        <f>IF(Dados_Observados_v4!O35&lt;&gt;"","OBS",IF(Dados_Ajustados_v4!O35="","SEM_DADO",IF(AND(Dados_Observados_v4!N35&lt;&gt;"",Dados_Observados_v4!P35&lt;&gt;"",(2021-2019-1)&lt;=Metodologia_v4!$B$12),"EST_INTERP_LINEAR",IF(AND(Dados_Observados_v4!N35&lt;&gt;"",(2020-2019)&lt;=Metodologia_v4!$B$13),"EST_CARRY_FORWARD",IF(AND(Dados_Observados_v4!P35&lt;&gt;"",(2021-2020)&lt;=Metodologia_v4!$B$14),"EST_CARRY_BACKWARD","SEM_DADO")))))</f>
        <v/>
      </c>
      <c r="P35" s="10">
        <f>IF(Dados_Observados_v4!P35&lt;&gt;"","OBS",IF(Dados_Ajustados_v4!P35="","SEM_DADO",IF(AND(Dados_Observados_v4!O35&lt;&gt;"",Dados_Observados_v4!Q35&lt;&gt;"",(2022-2020-1)&lt;=Metodologia_v4!$B$12),"EST_INTERP_LINEAR",IF(AND(Dados_Observados_v4!O35&lt;&gt;"",(2021-2020)&lt;=Metodologia_v4!$B$13),"EST_CARRY_FORWARD",IF(AND(Dados_Observados_v4!Q35&lt;&gt;"",(2022-2021)&lt;=Metodologia_v4!$B$14),"EST_CARRY_BACKWARD","SEM_DADO")))))</f>
        <v/>
      </c>
      <c r="Q35" s="10">
        <f>IF(Dados_Observados_v4!Q35&lt;&gt;"","OBS",IF(Dados_Ajustados_v4!Q35="","SEM_DADO",IF(AND(Dados_Observados_v4!P35&lt;&gt;"",Dados_Observados_v4!R35&lt;&gt;"",(2023-2021-1)&lt;=Metodologia_v4!$B$12),"EST_INTERP_LINEAR",IF(AND(Dados_Observados_v4!P35&lt;&gt;"",(2022-2021)&lt;=Metodologia_v4!$B$13),"EST_CARRY_FORWARD",IF(AND(Dados_Observados_v4!R35&lt;&gt;"",(2023-2022)&lt;=Metodologia_v4!$B$14),"EST_CARRY_BACKWARD","SEM_DADO")))))</f>
        <v/>
      </c>
      <c r="R35" s="10">
        <f>IF(Dados_Observados_v4!R35&lt;&gt;"","OBS",IF(Dados_Ajustados_v4!R35="","SEM_DADO",IF(AND(Dados_Observados_v4!Q35&lt;&gt;"",(2023-2022)&lt;=Metodologia_v4!$B$13),"EST_CARRY_FORWARD","SEM_DADO")))</f>
        <v/>
      </c>
      <c r="S35" s="10">
        <f>IF(Dados_Observados_v4!S35&lt;&gt;"","OBS",IF(Dados_Ajustados_v4!S35="","SEM_DADO",IF(AND(Dados_Observados_v4!R35&lt;&gt;"",(2024-2023)&lt;=Metodologia_v4!$B$13),"EST_CARRY_FORWARD","SEM_DADO")))</f>
        <v/>
      </c>
      <c r="T35" s="10">
        <f>IF(Dados_Observados_v4!T35&lt;&gt;"","OBS",IF(Dados_Ajustados_v4!T35="","SEM_DADO",IF(AND(Dados_Observados_v4!R35&lt;&gt;"",(2025-2023)&lt;=Metodologia_v4!$B$13),"EST_CARRY_FORWARD","SEM_DADO")))</f>
        <v/>
      </c>
    </row>
    <row r="36">
      <c r="A36" s="5" t="inlineStr">
        <is>
          <t>INF03</t>
        </is>
      </c>
      <c r="B36" s="5" t="inlineStr">
        <is>
          <t>5. Infraestruturas e Serviços</t>
        </is>
      </c>
      <c r="C36" s="5" t="inlineStr">
        <is>
          <t>Acesso a água potável básica</t>
        </is>
      </c>
      <c r="D36" s="5" t="inlineStr">
        <is>
          <t>Banco Mundial/JMP</t>
        </is>
      </c>
      <c r="E36" s="5" t="inlineStr">
        <is>
          <t>SH.H2O.BASW.ZS</t>
        </is>
      </c>
      <c r="F36" s="5" t="inlineStr">
        <is>
          <t>Fonte Banco Mundial API/CSV</t>
        </is>
      </c>
      <c r="G36" s="5" t="inlineStr">
        <is>
          <t>10/11</t>
        </is>
      </c>
      <c r="H36" s="5" t="n">
        <v>2024</v>
      </c>
      <c r="I36" s="5" t="inlineStr">
        <is>
          <t>Referenciado pelas regras de Metodologia_v4</t>
        </is>
      </c>
      <c r="J36" s="10">
        <f>IF(Dados_Observados_v4!J36&lt;&gt;"","OBS",IF(Dados_Ajustados_v4!J36="","SEM_DADO",IF(AND(Dados_Observados_v4!K36&lt;&gt;"",(2016-2015)&lt;=Metodologia_v4!$B$14),"EST_CARRY_BACKWARD","SEM_DADO")))</f>
        <v/>
      </c>
      <c r="K36" s="10">
        <f>IF(Dados_Observados_v4!K36&lt;&gt;"","OBS",IF(Dados_Ajustados_v4!K36="","SEM_DADO",IF(AND(Dados_Observados_v4!J36&lt;&gt;"",Dados_Observados_v4!L36&lt;&gt;"",(2017-2015-1)&lt;=Metodologia_v4!$B$12),"EST_INTERP_LINEAR",IF(AND(Dados_Observados_v4!J36&lt;&gt;"",(2016-2015)&lt;=Metodologia_v4!$B$13),"EST_CARRY_FORWARD",IF(AND(Dados_Observados_v4!L36&lt;&gt;"",(2017-2016)&lt;=Metodologia_v4!$B$14),"EST_CARRY_BACKWARD","SEM_DADO")))))</f>
        <v/>
      </c>
      <c r="L36" s="10">
        <f>IF(Dados_Observados_v4!L36&lt;&gt;"","OBS",IF(Dados_Ajustados_v4!L36="","SEM_DADO",IF(AND(Dados_Observados_v4!K36&lt;&gt;"",Dados_Observados_v4!M36&lt;&gt;"",(2018-2016-1)&lt;=Metodologia_v4!$B$12),"EST_INTERP_LINEAR",IF(AND(Dados_Observados_v4!K36&lt;&gt;"",(2017-2016)&lt;=Metodologia_v4!$B$13),"EST_CARRY_FORWARD",IF(AND(Dados_Observados_v4!M36&lt;&gt;"",(2018-2017)&lt;=Metodologia_v4!$B$14),"EST_CARRY_BACKWARD","SEM_DADO")))))</f>
        <v/>
      </c>
      <c r="M36" s="10">
        <f>IF(Dados_Observados_v4!M36&lt;&gt;"","OBS",IF(Dados_Ajustados_v4!M36="","SEM_DADO",IF(AND(Dados_Observados_v4!L36&lt;&gt;"",Dados_Observados_v4!N36&lt;&gt;"",(2019-2017-1)&lt;=Metodologia_v4!$B$12),"EST_INTERP_LINEAR",IF(AND(Dados_Observados_v4!L36&lt;&gt;"",(2018-2017)&lt;=Metodologia_v4!$B$13),"EST_CARRY_FORWARD",IF(AND(Dados_Observados_v4!N36&lt;&gt;"",(2019-2018)&lt;=Metodologia_v4!$B$14),"EST_CARRY_BACKWARD","SEM_DADO")))))</f>
        <v/>
      </c>
      <c r="N36" s="10">
        <f>IF(Dados_Observados_v4!N36&lt;&gt;"","OBS",IF(Dados_Ajustados_v4!N36="","SEM_DADO",IF(AND(Dados_Observados_v4!M36&lt;&gt;"",Dados_Observados_v4!O36&lt;&gt;"",(2020-2018-1)&lt;=Metodologia_v4!$B$12),"EST_INTERP_LINEAR",IF(AND(Dados_Observados_v4!M36&lt;&gt;"",(2019-2018)&lt;=Metodologia_v4!$B$13),"EST_CARRY_FORWARD",IF(AND(Dados_Observados_v4!O36&lt;&gt;"",(2020-2019)&lt;=Metodologia_v4!$B$14),"EST_CARRY_BACKWARD","SEM_DADO")))))</f>
        <v/>
      </c>
      <c r="O36" s="10">
        <f>IF(Dados_Observados_v4!O36&lt;&gt;"","OBS",IF(Dados_Ajustados_v4!O36="","SEM_DADO",IF(AND(Dados_Observados_v4!N36&lt;&gt;"",Dados_Observados_v4!P36&lt;&gt;"",(2021-2019-1)&lt;=Metodologia_v4!$B$12),"EST_INTERP_LINEAR",IF(AND(Dados_Observados_v4!N36&lt;&gt;"",(2020-2019)&lt;=Metodologia_v4!$B$13),"EST_CARRY_FORWARD",IF(AND(Dados_Observados_v4!P36&lt;&gt;"",(2021-2020)&lt;=Metodologia_v4!$B$14),"EST_CARRY_BACKWARD","SEM_DADO")))))</f>
        <v/>
      </c>
      <c r="P36" s="10">
        <f>IF(Dados_Observados_v4!P36&lt;&gt;"","OBS",IF(Dados_Ajustados_v4!P36="","SEM_DADO",IF(AND(Dados_Observados_v4!O36&lt;&gt;"",Dados_Observados_v4!Q36&lt;&gt;"",(2022-2020-1)&lt;=Metodologia_v4!$B$12),"EST_INTERP_LINEAR",IF(AND(Dados_Observados_v4!O36&lt;&gt;"",(2021-2020)&lt;=Metodologia_v4!$B$13),"EST_CARRY_FORWARD",IF(AND(Dados_Observados_v4!Q36&lt;&gt;"",(2022-2021)&lt;=Metodologia_v4!$B$14),"EST_CARRY_BACKWARD","SEM_DADO")))))</f>
        <v/>
      </c>
      <c r="Q36" s="10">
        <f>IF(Dados_Observados_v4!Q36&lt;&gt;"","OBS",IF(Dados_Ajustados_v4!Q36="","SEM_DADO",IF(AND(Dados_Observados_v4!P36&lt;&gt;"",Dados_Observados_v4!R36&lt;&gt;"",(2023-2021-1)&lt;=Metodologia_v4!$B$12),"EST_INTERP_LINEAR",IF(AND(Dados_Observados_v4!P36&lt;&gt;"",(2022-2021)&lt;=Metodologia_v4!$B$13),"EST_CARRY_FORWARD",IF(AND(Dados_Observados_v4!R36&lt;&gt;"",(2023-2022)&lt;=Metodologia_v4!$B$14),"EST_CARRY_BACKWARD","SEM_DADO")))))</f>
        <v/>
      </c>
      <c r="R36" s="10">
        <f>IF(Dados_Observados_v4!R36&lt;&gt;"","OBS",IF(Dados_Ajustados_v4!R36="","SEM_DADO",IF(AND(Dados_Observados_v4!Q36&lt;&gt;"",Dados_Observados_v4!S36&lt;&gt;"",(2024-2022-1)&lt;=Metodologia_v4!$B$12),"EST_INTERP_LINEAR",IF(AND(Dados_Observados_v4!Q36&lt;&gt;"",(2023-2022)&lt;=Metodologia_v4!$B$13),"EST_CARRY_FORWARD",IF(AND(Dados_Observados_v4!S36&lt;&gt;"",(2024-2023)&lt;=Metodologia_v4!$B$14),"EST_CARRY_BACKWARD","SEM_DADO")))))</f>
        <v/>
      </c>
      <c r="S36" s="10">
        <f>IF(Dados_Observados_v4!S36&lt;&gt;"","OBS",IF(Dados_Ajustados_v4!S36="","SEM_DADO",IF(AND(Dados_Observados_v4!R36&lt;&gt;"",(2024-2023)&lt;=Metodologia_v4!$B$13),"EST_CARRY_FORWARD","SEM_DADO")))</f>
        <v/>
      </c>
      <c r="T36" s="10">
        <f>IF(Dados_Observados_v4!T36&lt;&gt;"","OBS",IF(Dados_Ajustados_v4!T36="","SEM_DADO",IF(AND(Dados_Observados_v4!S36&lt;&gt;"",(2025-2024)&lt;=Metodologia_v4!$B$13),"EST_CARRY_FORWARD","SEM_DADO")))</f>
        <v/>
      </c>
    </row>
    <row r="37">
      <c r="A37" s="5" t="inlineStr">
        <is>
          <t>INF04</t>
        </is>
      </c>
      <c r="B37" s="5" t="inlineStr">
        <is>
          <t>5. Infraestruturas e Serviços</t>
        </is>
      </c>
      <c r="C37" s="5" t="inlineStr">
        <is>
          <t>Acesso a saneamento básico</t>
        </is>
      </c>
      <c r="D37" s="5" t="inlineStr">
        <is>
          <t>Banco Mundial/JMP</t>
        </is>
      </c>
      <c r="E37" s="5" t="inlineStr">
        <is>
          <t>SH.STA.BASS.ZS</t>
        </is>
      </c>
      <c r="F37" s="5" t="inlineStr">
        <is>
          <t>Fonte Banco Mundial API/CSV</t>
        </is>
      </c>
      <c r="G37" s="5" t="inlineStr">
        <is>
          <t>8/11</t>
        </is>
      </c>
      <c r="H37" s="5" t="n">
        <v>2022</v>
      </c>
      <c r="I37" s="5" t="inlineStr">
        <is>
          <t>Referenciado pelas regras de Metodologia_v4</t>
        </is>
      </c>
      <c r="J37" s="10">
        <f>IF(Dados_Observados_v4!J37&lt;&gt;"","OBS",IF(Dados_Ajustados_v4!J37="","SEM_DADO",IF(AND(Dados_Observados_v4!K37&lt;&gt;"",(2016-2015)&lt;=Metodologia_v4!$B$14),"EST_CARRY_BACKWARD","SEM_DADO")))</f>
        <v/>
      </c>
      <c r="K37" s="10">
        <f>IF(Dados_Observados_v4!K37&lt;&gt;"","OBS",IF(Dados_Ajustados_v4!K37="","SEM_DADO",IF(AND(Dados_Observados_v4!J37&lt;&gt;"",Dados_Observados_v4!L37&lt;&gt;"",(2017-2015-1)&lt;=Metodologia_v4!$B$12),"EST_INTERP_LINEAR",IF(AND(Dados_Observados_v4!J37&lt;&gt;"",(2016-2015)&lt;=Metodologia_v4!$B$13),"EST_CARRY_FORWARD",IF(AND(Dados_Observados_v4!L37&lt;&gt;"",(2017-2016)&lt;=Metodologia_v4!$B$14),"EST_CARRY_BACKWARD","SEM_DADO")))))</f>
        <v/>
      </c>
      <c r="L37" s="10">
        <f>IF(Dados_Observados_v4!L37&lt;&gt;"","OBS",IF(Dados_Ajustados_v4!L37="","SEM_DADO",IF(AND(Dados_Observados_v4!K37&lt;&gt;"",Dados_Observados_v4!M37&lt;&gt;"",(2018-2016-1)&lt;=Metodologia_v4!$B$12),"EST_INTERP_LINEAR",IF(AND(Dados_Observados_v4!K37&lt;&gt;"",(2017-2016)&lt;=Metodologia_v4!$B$13),"EST_CARRY_FORWARD",IF(AND(Dados_Observados_v4!M37&lt;&gt;"",(2018-2017)&lt;=Metodologia_v4!$B$14),"EST_CARRY_BACKWARD","SEM_DADO")))))</f>
        <v/>
      </c>
      <c r="M37" s="10">
        <f>IF(Dados_Observados_v4!M37&lt;&gt;"","OBS",IF(Dados_Ajustados_v4!M37="","SEM_DADO",IF(AND(Dados_Observados_v4!L37&lt;&gt;"",Dados_Observados_v4!N37&lt;&gt;"",(2019-2017-1)&lt;=Metodologia_v4!$B$12),"EST_INTERP_LINEAR",IF(AND(Dados_Observados_v4!L37&lt;&gt;"",(2018-2017)&lt;=Metodologia_v4!$B$13),"EST_CARRY_FORWARD",IF(AND(Dados_Observados_v4!N37&lt;&gt;"",(2019-2018)&lt;=Metodologia_v4!$B$14),"EST_CARRY_BACKWARD","SEM_DADO")))))</f>
        <v/>
      </c>
      <c r="N37" s="10">
        <f>IF(Dados_Observados_v4!N37&lt;&gt;"","OBS",IF(Dados_Ajustados_v4!N37="","SEM_DADO",IF(AND(Dados_Observados_v4!M37&lt;&gt;"",Dados_Observados_v4!O37&lt;&gt;"",(2020-2018-1)&lt;=Metodologia_v4!$B$12),"EST_INTERP_LINEAR",IF(AND(Dados_Observados_v4!M37&lt;&gt;"",(2019-2018)&lt;=Metodologia_v4!$B$13),"EST_CARRY_FORWARD",IF(AND(Dados_Observados_v4!O37&lt;&gt;"",(2020-2019)&lt;=Metodologia_v4!$B$14),"EST_CARRY_BACKWARD","SEM_DADO")))))</f>
        <v/>
      </c>
      <c r="O37" s="10">
        <f>IF(Dados_Observados_v4!O37&lt;&gt;"","OBS",IF(Dados_Ajustados_v4!O37="","SEM_DADO",IF(AND(Dados_Observados_v4!N37&lt;&gt;"",Dados_Observados_v4!P37&lt;&gt;"",(2021-2019-1)&lt;=Metodologia_v4!$B$12),"EST_INTERP_LINEAR",IF(AND(Dados_Observados_v4!N37&lt;&gt;"",(2020-2019)&lt;=Metodologia_v4!$B$13),"EST_CARRY_FORWARD",IF(AND(Dados_Observados_v4!P37&lt;&gt;"",(2021-2020)&lt;=Metodologia_v4!$B$14),"EST_CARRY_BACKWARD","SEM_DADO")))))</f>
        <v/>
      </c>
      <c r="P37" s="10">
        <f>IF(Dados_Observados_v4!P37&lt;&gt;"","OBS",IF(Dados_Ajustados_v4!P37="","SEM_DADO",IF(AND(Dados_Observados_v4!O37&lt;&gt;"",Dados_Observados_v4!Q37&lt;&gt;"",(2022-2020-1)&lt;=Metodologia_v4!$B$12),"EST_INTERP_LINEAR",IF(AND(Dados_Observados_v4!O37&lt;&gt;"",(2021-2020)&lt;=Metodologia_v4!$B$13),"EST_CARRY_FORWARD",IF(AND(Dados_Observados_v4!Q37&lt;&gt;"",(2022-2021)&lt;=Metodologia_v4!$B$14),"EST_CARRY_BACKWARD","SEM_DADO")))))</f>
        <v/>
      </c>
      <c r="Q37" s="10">
        <f>IF(Dados_Observados_v4!Q37&lt;&gt;"","OBS",IF(Dados_Ajustados_v4!Q37="","SEM_DADO",IF(AND(Dados_Observados_v4!P37&lt;&gt;"",(2022-2021)&lt;=Metodologia_v4!$B$13),"EST_CARRY_FORWARD","SEM_DADO")))</f>
        <v/>
      </c>
      <c r="R37" s="10">
        <f>IF(Dados_Observados_v4!R37&lt;&gt;"","OBS",IF(Dados_Ajustados_v4!R37="","SEM_DADO",IF(AND(Dados_Observados_v4!Q37&lt;&gt;"",(2023-2022)&lt;=Metodologia_v4!$B$13),"EST_CARRY_FORWARD","SEM_DADO")))</f>
        <v/>
      </c>
      <c r="S37" s="10">
        <f>IF(Dados_Observados_v4!S37&lt;&gt;"","OBS",IF(Dados_Ajustados_v4!S37="","SEM_DADO",IF(AND(Dados_Observados_v4!Q37&lt;&gt;"",(2024-2022)&lt;=Metodologia_v4!$B$13),"EST_CARRY_FORWARD","SEM_DADO")))</f>
        <v/>
      </c>
      <c r="T37" s="10">
        <f>IF(Dados_Observados_v4!T37&lt;&gt;"","OBS",IF(Dados_Ajustados_v4!T37="","SEM_DADO",IF(AND(Dados_Observados_v4!Q37&lt;&gt;"",(2025-2022)&lt;=Metodologia_v4!$B$13),"EST_CARRY_FORWARD","SEM_DADO")))</f>
        <v/>
      </c>
    </row>
    <row r="38">
      <c r="A38" s="5" t="inlineStr">
        <is>
          <t>INF05</t>
        </is>
      </c>
      <c r="B38" s="5" t="inlineStr">
        <is>
          <t>5. Infraestruturas e Serviços</t>
        </is>
      </c>
      <c r="C38" s="5" t="inlineStr">
        <is>
          <t>Acesso a energia limpa para cozinhar</t>
        </is>
      </c>
      <c r="D38" s="5" t="inlineStr">
        <is>
          <t>Banco Mundial/OMS</t>
        </is>
      </c>
      <c r="E38" s="5" t="inlineStr">
        <is>
          <t>EG.CFT.ACCS.ZS</t>
        </is>
      </c>
      <c r="F38" s="5" t="inlineStr">
        <is>
          <t>Fonte Banco Mundial API/CSV</t>
        </is>
      </c>
      <c r="G38" s="5" t="inlineStr">
        <is>
          <t>9/11</t>
        </is>
      </c>
      <c r="H38" s="5" t="n">
        <v>2023</v>
      </c>
      <c r="I38" s="5" t="inlineStr">
        <is>
          <t>Referenciado pelas regras de Metodologia_v4</t>
        </is>
      </c>
      <c r="J38" s="10">
        <f>IF(Dados_Observados_v4!J38&lt;&gt;"","OBS",IF(Dados_Ajustados_v4!J38="","SEM_DADO",IF(AND(Dados_Observados_v4!K38&lt;&gt;"",(2016-2015)&lt;=Metodologia_v4!$B$14),"EST_CARRY_BACKWARD","SEM_DADO")))</f>
        <v/>
      </c>
      <c r="K38" s="10">
        <f>IF(Dados_Observados_v4!K38&lt;&gt;"","OBS",IF(Dados_Ajustados_v4!K38="","SEM_DADO",IF(AND(Dados_Observados_v4!J38&lt;&gt;"",Dados_Observados_v4!L38&lt;&gt;"",(2017-2015-1)&lt;=Metodologia_v4!$B$12),"EST_INTERP_LINEAR",IF(AND(Dados_Observados_v4!J38&lt;&gt;"",(2016-2015)&lt;=Metodologia_v4!$B$13),"EST_CARRY_FORWARD",IF(AND(Dados_Observados_v4!L38&lt;&gt;"",(2017-2016)&lt;=Metodologia_v4!$B$14),"EST_CARRY_BACKWARD","SEM_DADO")))))</f>
        <v/>
      </c>
      <c r="L38" s="10">
        <f>IF(Dados_Observados_v4!L38&lt;&gt;"","OBS",IF(Dados_Ajustados_v4!L38="","SEM_DADO",IF(AND(Dados_Observados_v4!K38&lt;&gt;"",Dados_Observados_v4!M38&lt;&gt;"",(2018-2016-1)&lt;=Metodologia_v4!$B$12),"EST_INTERP_LINEAR",IF(AND(Dados_Observados_v4!K38&lt;&gt;"",(2017-2016)&lt;=Metodologia_v4!$B$13),"EST_CARRY_FORWARD",IF(AND(Dados_Observados_v4!M38&lt;&gt;"",(2018-2017)&lt;=Metodologia_v4!$B$14),"EST_CARRY_BACKWARD","SEM_DADO")))))</f>
        <v/>
      </c>
      <c r="M38" s="10">
        <f>IF(Dados_Observados_v4!M38&lt;&gt;"","OBS",IF(Dados_Ajustados_v4!M38="","SEM_DADO",IF(AND(Dados_Observados_v4!L38&lt;&gt;"",Dados_Observados_v4!N38&lt;&gt;"",(2019-2017-1)&lt;=Metodologia_v4!$B$12),"EST_INTERP_LINEAR",IF(AND(Dados_Observados_v4!L38&lt;&gt;"",(2018-2017)&lt;=Metodologia_v4!$B$13),"EST_CARRY_FORWARD",IF(AND(Dados_Observados_v4!N38&lt;&gt;"",(2019-2018)&lt;=Metodologia_v4!$B$14),"EST_CARRY_BACKWARD","SEM_DADO")))))</f>
        <v/>
      </c>
      <c r="N38" s="10">
        <f>IF(Dados_Observados_v4!N38&lt;&gt;"","OBS",IF(Dados_Ajustados_v4!N38="","SEM_DADO",IF(AND(Dados_Observados_v4!M38&lt;&gt;"",Dados_Observados_v4!O38&lt;&gt;"",(2020-2018-1)&lt;=Metodologia_v4!$B$12),"EST_INTERP_LINEAR",IF(AND(Dados_Observados_v4!M38&lt;&gt;"",(2019-2018)&lt;=Metodologia_v4!$B$13),"EST_CARRY_FORWARD",IF(AND(Dados_Observados_v4!O38&lt;&gt;"",(2020-2019)&lt;=Metodologia_v4!$B$14),"EST_CARRY_BACKWARD","SEM_DADO")))))</f>
        <v/>
      </c>
      <c r="O38" s="10">
        <f>IF(Dados_Observados_v4!O38&lt;&gt;"","OBS",IF(Dados_Ajustados_v4!O38="","SEM_DADO",IF(AND(Dados_Observados_v4!N38&lt;&gt;"",Dados_Observados_v4!P38&lt;&gt;"",(2021-2019-1)&lt;=Metodologia_v4!$B$12),"EST_INTERP_LINEAR",IF(AND(Dados_Observados_v4!N38&lt;&gt;"",(2020-2019)&lt;=Metodologia_v4!$B$13),"EST_CARRY_FORWARD",IF(AND(Dados_Observados_v4!P38&lt;&gt;"",(2021-2020)&lt;=Metodologia_v4!$B$14),"EST_CARRY_BACKWARD","SEM_DADO")))))</f>
        <v/>
      </c>
      <c r="P38" s="10">
        <f>IF(Dados_Observados_v4!P38&lt;&gt;"","OBS",IF(Dados_Ajustados_v4!P38="","SEM_DADO",IF(AND(Dados_Observados_v4!O38&lt;&gt;"",Dados_Observados_v4!Q38&lt;&gt;"",(2022-2020-1)&lt;=Metodologia_v4!$B$12),"EST_INTERP_LINEAR",IF(AND(Dados_Observados_v4!O38&lt;&gt;"",(2021-2020)&lt;=Metodologia_v4!$B$13),"EST_CARRY_FORWARD",IF(AND(Dados_Observados_v4!Q38&lt;&gt;"",(2022-2021)&lt;=Metodologia_v4!$B$14),"EST_CARRY_BACKWARD","SEM_DADO")))))</f>
        <v/>
      </c>
      <c r="Q38" s="10">
        <f>IF(Dados_Observados_v4!Q38&lt;&gt;"","OBS",IF(Dados_Ajustados_v4!Q38="","SEM_DADO",IF(AND(Dados_Observados_v4!P38&lt;&gt;"",Dados_Observados_v4!R38&lt;&gt;"",(2023-2021-1)&lt;=Metodologia_v4!$B$12),"EST_INTERP_LINEAR",IF(AND(Dados_Observados_v4!P38&lt;&gt;"",(2022-2021)&lt;=Metodologia_v4!$B$13),"EST_CARRY_FORWARD",IF(AND(Dados_Observados_v4!R38&lt;&gt;"",(2023-2022)&lt;=Metodologia_v4!$B$14),"EST_CARRY_BACKWARD","SEM_DADO")))))</f>
        <v/>
      </c>
      <c r="R38" s="10">
        <f>IF(Dados_Observados_v4!R38&lt;&gt;"","OBS",IF(Dados_Ajustados_v4!R38="","SEM_DADO",IF(AND(Dados_Observados_v4!Q38&lt;&gt;"",(2023-2022)&lt;=Metodologia_v4!$B$13),"EST_CARRY_FORWARD","SEM_DADO")))</f>
        <v/>
      </c>
      <c r="S38" s="10">
        <f>IF(Dados_Observados_v4!S38&lt;&gt;"","OBS",IF(Dados_Ajustados_v4!S38="","SEM_DADO",IF(AND(Dados_Observados_v4!R38&lt;&gt;"",(2024-2023)&lt;=Metodologia_v4!$B$13),"EST_CARRY_FORWARD","SEM_DADO")))</f>
        <v/>
      </c>
      <c r="T38" s="10">
        <f>IF(Dados_Observados_v4!T38&lt;&gt;"","OBS",IF(Dados_Ajustados_v4!T38="","SEM_DADO",IF(AND(Dados_Observados_v4!R38&lt;&gt;"",(2025-2023)&lt;=Metodologia_v4!$B$13),"EST_CARRY_FORWARD","SEM_DADO")))</f>
        <v/>
      </c>
    </row>
    <row r="39">
      <c r="A39" s="5" t="inlineStr">
        <is>
          <t>INF06</t>
        </is>
      </c>
      <c r="B39" s="5" t="inlineStr">
        <is>
          <t>5. Infraestruturas e Serviços</t>
        </is>
      </c>
      <c r="C39" s="5" t="inlineStr">
        <is>
          <t>Utilizadores de internet</t>
        </is>
      </c>
      <c r="D39" s="5" t="inlineStr">
        <is>
          <t>Banco Mundial/ITU</t>
        </is>
      </c>
      <c r="E39" s="5" t="inlineStr">
        <is>
          <t>IT.NET.USER.ZS</t>
        </is>
      </c>
      <c r="F39" s="5" t="inlineStr">
        <is>
          <t>Fonte Banco Mundial API/CSV</t>
        </is>
      </c>
      <c r="G39" s="5" t="inlineStr">
        <is>
          <t>10/11</t>
        </is>
      </c>
      <c r="H39" s="5" t="n">
        <v>2024</v>
      </c>
      <c r="I39" s="5" t="inlineStr">
        <is>
          <t>Referenciado pelas regras de Metodologia_v4</t>
        </is>
      </c>
      <c r="J39" s="10">
        <f>IF(Dados_Observados_v4!J39&lt;&gt;"","OBS",IF(Dados_Ajustados_v4!J39="","SEM_DADO",IF(AND(Dados_Observados_v4!K39&lt;&gt;"",(2016-2015)&lt;=Metodologia_v4!$B$14),"EST_CARRY_BACKWARD","SEM_DADO")))</f>
        <v/>
      </c>
      <c r="K39" s="10">
        <f>IF(Dados_Observados_v4!K39&lt;&gt;"","OBS",IF(Dados_Ajustados_v4!K39="","SEM_DADO",IF(AND(Dados_Observados_v4!J39&lt;&gt;"",Dados_Observados_v4!L39&lt;&gt;"",(2017-2015-1)&lt;=Metodologia_v4!$B$12),"EST_INTERP_LINEAR",IF(AND(Dados_Observados_v4!J39&lt;&gt;"",(2016-2015)&lt;=Metodologia_v4!$B$13),"EST_CARRY_FORWARD",IF(AND(Dados_Observados_v4!L39&lt;&gt;"",(2017-2016)&lt;=Metodologia_v4!$B$14),"EST_CARRY_BACKWARD","SEM_DADO")))))</f>
        <v/>
      </c>
      <c r="L39" s="10">
        <f>IF(Dados_Observados_v4!L39&lt;&gt;"","OBS",IF(Dados_Ajustados_v4!L39="","SEM_DADO",IF(AND(Dados_Observados_v4!K39&lt;&gt;"",Dados_Observados_v4!M39&lt;&gt;"",(2018-2016-1)&lt;=Metodologia_v4!$B$12),"EST_INTERP_LINEAR",IF(AND(Dados_Observados_v4!K39&lt;&gt;"",(2017-2016)&lt;=Metodologia_v4!$B$13),"EST_CARRY_FORWARD",IF(AND(Dados_Observados_v4!M39&lt;&gt;"",(2018-2017)&lt;=Metodologia_v4!$B$14),"EST_CARRY_BACKWARD","SEM_DADO")))))</f>
        <v/>
      </c>
      <c r="M39" s="10">
        <f>IF(Dados_Observados_v4!M39&lt;&gt;"","OBS",IF(Dados_Ajustados_v4!M39="","SEM_DADO",IF(AND(Dados_Observados_v4!L39&lt;&gt;"",Dados_Observados_v4!N39&lt;&gt;"",(2019-2017-1)&lt;=Metodologia_v4!$B$12),"EST_INTERP_LINEAR",IF(AND(Dados_Observados_v4!L39&lt;&gt;"",(2018-2017)&lt;=Metodologia_v4!$B$13),"EST_CARRY_FORWARD",IF(AND(Dados_Observados_v4!N39&lt;&gt;"",(2019-2018)&lt;=Metodologia_v4!$B$14),"EST_CARRY_BACKWARD","SEM_DADO")))))</f>
        <v/>
      </c>
      <c r="N39" s="10">
        <f>IF(Dados_Observados_v4!N39&lt;&gt;"","OBS",IF(Dados_Ajustados_v4!N39="","SEM_DADO",IF(AND(Dados_Observados_v4!M39&lt;&gt;"",Dados_Observados_v4!O39&lt;&gt;"",(2020-2018-1)&lt;=Metodologia_v4!$B$12),"EST_INTERP_LINEAR",IF(AND(Dados_Observados_v4!M39&lt;&gt;"",(2019-2018)&lt;=Metodologia_v4!$B$13),"EST_CARRY_FORWARD",IF(AND(Dados_Observados_v4!O39&lt;&gt;"",(2020-2019)&lt;=Metodologia_v4!$B$14),"EST_CARRY_BACKWARD","SEM_DADO")))))</f>
        <v/>
      </c>
      <c r="O39" s="10">
        <f>IF(Dados_Observados_v4!O39&lt;&gt;"","OBS",IF(Dados_Ajustados_v4!O39="","SEM_DADO",IF(AND(Dados_Observados_v4!N39&lt;&gt;"",Dados_Observados_v4!P39&lt;&gt;"",(2021-2019-1)&lt;=Metodologia_v4!$B$12),"EST_INTERP_LINEAR",IF(AND(Dados_Observados_v4!N39&lt;&gt;"",(2020-2019)&lt;=Metodologia_v4!$B$13),"EST_CARRY_FORWARD",IF(AND(Dados_Observados_v4!P39&lt;&gt;"",(2021-2020)&lt;=Metodologia_v4!$B$14),"EST_CARRY_BACKWARD","SEM_DADO")))))</f>
        <v/>
      </c>
      <c r="P39" s="10">
        <f>IF(Dados_Observados_v4!P39&lt;&gt;"","OBS",IF(Dados_Ajustados_v4!P39="","SEM_DADO",IF(AND(Dados_Observados_v4!O39&lt;&gt;"",Dados_Observados_v4!Q39&lt;&gt;"",(2022-2020-1)&lt;=Metodologia_v4!$B$12),"EST_INTERP_LINEAR",IF(AND(Dados_Observados_v4!O39&lt;&gt;"",(2021-2020)&lt;=Metodologia_v4!$B$13),"EST_CARRY_FORWARD",IF(AND(Dados_Observados_v4!Q39&lt;&gt;"",(2022-2021)&lt;=Metodologia_v4!$B$14),"EST_CARRY_BACKWARD","SEM_DADO")))))</f>
        <v/>
      </c>
      <c r="Q39" s="10">
        <f>IF(Dados_Observados_v4!Q39&lt;&gt;"","OBS",IF(Dados_Ajustados_v4!Q39="","SEM_DADO",IF(AND(Dados_Observados_v4!P39&lt;&gt;"",Dados_Observados_v4!R39&lt;&gt;"",(2023-2021-1)&lt;=Metodologia_v4!$B$12),"EST_INTERP_LINEAR",IF(AND(Dados_Observados_v4!P39&lt;&gt;"",(2022-2021)&lt;=Metodologia_v4!$B$13),"EST_CARRY_FORWARD",IF(AND(Dados_Observados_v4!R39&lt;&gt;"",(2023-2022)&lt;=Metodologia_v4!$B$14),"EST_CARRY_BACKWARD","SEM_DADO")))))</f>
        <v/>
      </c>
      <c r="R39" s="10">
        <f>IF(Dados_Observados_v4!R39&lt;&gt;"","OBS",IF(Dados_Ajustados_v4!R39="","SEM_DADO",IF(AND(Dados_Observados_v4!Q39&lt;&gt;"",Dados_Observados_v4!S39&lt;&gt;"",(2024-2022-1)&lt;=Metodologia_v4!$B$12),"EST_INTERP_LINEAR",IF(AND(Dados_Observados_v4!Q39&lt;&gt;"",(2023-2022)&lt;=Metodologia_v4!$B$13),"EST_CARRY_FORWARD",IF(AND(Dados_Observados_v4!S39&lt;&gt;"",(2024-2023)&lt;=Metodologia_v4!$B$14),"EST_CARRY_BACKWARD","SEM_DADO")))))</f>
        <v/>
      </c>
      <c r="S39" s="10">
        <f>IF(Dados_Observados_v4!S39&lt;&gt;"","OBS",IF(Dados_Ajustados_v4!S39="","SEM_DADO",IF(AND(Dados_Observados_v4!R39&lt;&gt;"",(2024-2023)&lt;=Metodologia_v4!$B$13),"EST_CARRY_FORWARD","SEM_DADO")))</f>
        <v/>
      </c>
      <c r="T39" s="10">
        <f>IF(Dados_Observados_v4!T39&lt;&gt;"","OBS",IF(Dados_Ajustados_v4!T39="","SEM_DADO",IF(AND(Dados_Observados_v4!S39&lt;&gt;"",(2025-2024)&lt;=Metodologia_v4!$B$13),"EST_CARRY_FORWARD","SEM_DADO")))</f>
        <v/>
      </c>
    </row>
    <row r="40">
      <c r="A40" s="5" t="inlineStr">
        <is>
          <t>INF07</t>
        </is>
      </c>
      <c r="B40" s="5" t="inlineStr">
        <is>
          <t>5. Infraestruturas e Serviços</t>
        </is>
      </c>
      <c r="C40" s="5" t="inlineStr">
        <is>
          <t>Subscrições móveis</t>
        </is>
      </c>
      <c r="D40" s="5" t="inlineStr">
        <is>
          <t>Banco Mundial/ITU</t>
        </is>
      </c>
      <c r="E40" s="5" t="inlineStr">
        <is>
          <t>IT.CEL.SETS.P2</t>
        </is>
      </c>
      <c r="F40" s="5" t="inlineStr">
        <is>
          <t>Fonte Banco Mundial API/CSV</t>
        </is>
      </c>
      <c r="G40" s="5" t="inlineStr">
        <is>
          <t>10/11</t>
        </is>
      </c>
      <c r="H40" s="5" t="n">
        <v>2024</v>
      </c>
      <c r="I40" s="5" t="inlineStr">
        <is>
          <t>Referenciado pelas regras de Metodologia_v4</t>
        </is>
      </c>
      <c r="J40" s="10">
        <f>IF(Dados_Observados_v4!J40&lt;&gt;"","OBS",IF(Dados_Ajustados_v4!J40="","SEM_DADO",IF(AND(Dados_Observados_v4!K40&lt;&gt;"",(2016-2015)&lt;=Metodologia_v4!$B$14),"EST_CARRY_BACKWARD","SEM_DADO")))</f>
        <v/>
      </c>
      <c r="K40" s="10">
        <f>IF(Dados_Observados_v4!K40&lt;&gt;"","OBS",IF(Dados_Ajustados_v4!K40="","SEM_DADO",IF(AND(Dados_Observados_v4!J40&lt;&gt;"",Dados_Observados_v4!L40&lt;&gt;"",(2017-2015-1)&lt;=Metodologia_v4!$B$12),"EST_INTERP_LINEAR",IF(AND(Dados_Observados_v4!J40&lt;&gt;"",(2016-2015)&lt;=Metodologia_v4!$B$13),"EST_CARRY_FORWARD",IF(AND(Dados_Observados_v4!L40&lt;&gt;"",(2017-2016)&lt;=Metodologia_v4!$B$14),"EST_CARRY_BACKWARD","SEM_DADO")))))</f>
        <v/>
      </c>
      <c r="L40" s="10">
        <f>IF(Dados_Observados_v4!L40&lt;&gt;"","OBS",IF(Dados_Ajustados_v4!L40="","SEM_DADO",IF(AND(Dados_Observados_v4!K40&lt;&gt;"",Dados_Observados_v4!M40&lt;&gt;"",(2018-2016-1)&lt;=Metodologia_v4!$B$12),"EST_INTERP_LINEAR",IF(AND(Dados_Observados_v4!K40&lt;&gt;"",(2017-2016)&lt;=Metodologia_v4!$B$13),"EST_CARRY_FORWARD",IF(AND(Dados_Observados_v4!M40&lt;&gt;"",(2018-2017)&lt;=Metodologia_v4!$B$14),"EST_CARRY_BACKWARD","SEM_DADO")))))</f>
        <v/>
      </c>
      <c r="M40" s="10">
        <f>IF(Dados_Observados_v4!M40&lt;&gt;"","OBS",IF(Dados_Ajustados_v4!M40="","SEM_DADO",IF(AND(Dados_Observados_v4!L40&lt;&gt;"",Dados_Observados_v4!N40&lt;&gt;"",(2019-2017-1)&lt;=Metodologia_v4!$B$12),"EST_INTERP_LINEAR",IF(AND(Dados_Observados_v4!L40&lt;&gt;"",(2018-2017)&lt;=Metodologia_v4!$B$13),"EST_CARRY_FORWARD",IF(AND(Dados_Observados_v4!N40&lt;&gt;"",(2019-2018)&lt;=Metodologia_v4!$B$14),"EST_CARRY_BACKWARD","SEM_DADO")))))</f>
        <v/>
      </c>
      <c r="N40" s="10">
        <f>IF(Dados_Observados_v4!N40&lt;&gt;"","OBS",IF(Dados_Ajustados_v4!N40="","SEM_DADO",IF(AND(Dados_Observados_v4!M40&lt;&gt;"",Dados_Observados_v4!O40&lt;&gt;"",(2020-2018-1)&lt;=Metodologia_v4!$B$12),"EST_INTERP_LINEAR",IF(AND(Dados_Observados_v4!M40&lt;&gt;"",(2019-2018)&lt;=Metodologia_v4!$B$13),"EST_CARRY_FORWARD",IF(AND(Dados_Observados_v4!O40&lt;&gt;"",(2020-2019)&lt;=Metodologia_v4!$B$14),"EST_CARRY_BACKWARD","SEM_DADO")))))</f>
        <v/>
      </c>
      <c r="O40" s="10">
        <f>IF(Dados_Observados_v4!O40&lt;&gt;"","OBS",IF(Dados_Ajustados_v4!O40="","SEM_DADO",IF(AND(Dados_Observados_v4!N40&lt;&gt;"",Dados_Observados_v4!P40&lt;&gt;"",(2021-2019-1)&lt;=Metodologia_v4!$B$12),"EST_INTERP_LINEAR",IF(AND(Dados_Observados_v4!N40&lt;&gt;"",(2020-2019)&lt;=Metodologia_v4!$B$13),"EST_CARRY_FORWARD",IF(AND(Dados_Observados_v4!P40&lt;&gt;"",(2021-2020)&lt;=Metodologia_v4!$B$14),"EST_CARRY_BACKWARD","SEM_DADO")))))</f>
        <v/>
      </c>
      <c r="P40" s="10">
        <f>IF(Dados_Observados_v4!P40&lt;&gt;"","OBS",IF(Dados_Ajustados_v4!P40="","SEM_DADO",IF(AND(Dados_Observados_v4!O40&lt;&gt;"",Dados_Observados_v4!Q40&lt;&gt;"",(2022-2020-1)&lt;=Metodologia_v4!$B$12),"EST_INTERP_LINEAR",IF(AND(Dados_Observados_v4!O40&lt;&gt;"",(2021-2020)&lt;=Metodologia_v4!$B$13),"EST_CARRY_FORWARD",IF(AND(Dados_Observados_v4!Q40&lt;&gt;"",(2022-2021)&lt;=Metodologia_v4!$B$14),"EST_CARRY_BACKWARD","SEM_DADO")))))</f>
        <v/>
      </c>
      <c r="Q40" s="10">
        <f>IF(Dados_Observados_v4!Q40&lt;&gt;"","OBS",IF(Dados_Ajustados_v4!Q40="","SEM_DADO",IF(AND(Dados_Observados_v4!P40&lt;&gt;"",Dados_Observados_v4!R40&lt;&gt;"",(2023-2021-1)&lt;=Metodologia_v4!$B$12),"EST_INTERP_LINEAR",IF(AND(Dados_Observados_v4!P40&lt;&gt;"",(2022-2021)&lt;=Metodologia_v4!$B$13),"EST_CARRY_FORWARD",IF(AND(Dados_Observados_v4!R40&lt;&gt;"",(2023-2022)&lt;=Metodologia_v4!$B$14),"EST_CARRY_BACKWARD","SEM_DADO")))))</f>
        <v/>
      </c>
      <c r="R40" s="10">
        <f>IF(Dados_Observados_v4!R40&lt;&gt;"","OBS",IF(Dados_Ajustados_v4!R40="","SEM_DADO",IF(AND(Dados_Observados_v4!Q40&lt;&gt;"",Dados_Observados_v4!S40&lt;&gt;"",(2024-2022-1)&lt;=Metodologia_v4!$B$12),"EST_INTERP_LINEAR",IF(AND(Dados_Observados_v4!Q40&lt;&gt;"",(2023-2022)&lt;=Metodologia_v4!$B$13),"EST_CARRY_FORWARD",IF(AND(Dados_Observados_v4!S40&lt;&gt;"",(2024-2023)&lt;=Metodologia_v4!$B$14),"EST_CARRY_BACKWARD","SEM_DADO")))))</f>
        <v/>
      </c>
      <c r="S40" s="10">
        <f>IF(Dados_Observados_v4!S40&lt;&gt;"","OBS",IF(Dados_Ajustados_v4!S40="","SEM_DADO",IF(AND(Dados_Observados_v4!R40&lt;&gt;"",(2024-2023)&lt;=Metodologia_v4!$B$13),"EST_CARRY_FORWARD","SEM_DADO")))</f>
        <v/>
      </c>
      <c r="T40" s="10">
        <f>IF(Dados_Observados_v4!T40&lt;&gt;"","OBS",IF(Dados_Ajustados_v4!T40="","SEM_DADO",IF(AND(Dados_Observados_v4!S40&lt;&gt;"",(2025-2024)&lt;=Metodologia_v4!$B$13),"EST_CARRY_FORWARD","SEM_DADO")))</f>
        <v/>
      </c>
    </row>
    <row r="41">
      <c r="A41" s="5" t="inlineStr">
        <is>
          <t>INF08</t>
        </is>
      </c>
      <c r="B41" s="5" t="inlineStr">
        <is>
          <t>5. Infraestruturas e Serviços</t>
        </is>
      </c>
      <c r="C41" s="5" t="inlineStr">
        <is>
          <t>Banda larga fixa</t>
        </is>
      </c>
      <c r="D41" s="5" t="inlineStr">
        <is>
          <t>Banco Mundial/ITU</t>
        </is>
      </c>
      <c r="E41" s="5" t="inlineStr">
        <is>
          <t>IT.NET.BBND.P2</t>
        </is>
      </c>
      <c r="F41" s="5" t="inlineStr">
        <is>
          <t>Fonte Banco Mundial API/CSV</t>
        </is>
      </c>
      <c r="G41" s="5" t="inlineStr">
        <is>
          <t>10/11</t>
        </is>
      </c>
      <c r="H41" s="5" t="n">
        <v>2024</v>
      </c>
      <c r="I41" s="5" t="inlineStr">
        <is>
          <t>Referenciado pelas regras de Metodologia_v4</t>
        </is>
      </c>
      <c r="J41" s="10">
        <f>IF(Dados_Observados_v4!J41&lt;&gt;"","OBS",IF(Dados_Ajustados_v4!J41="","SEM_DADO",IF(AND(Dados_Observados_v4!K41&lt;&gt;"",(2016-2015)&lt;=Metodologia_v4!$B$14),"EST_CARRY_BACKWARD","SEM_DADO")))</f>
        <v/>
      </c>
      <c r="K41" s="10">
        <f>IF(Dados_Observados_v4!K41&lt;&gt;"","OBS",IF(Dados_Ajustados_v4!K41="","SEM_DADO",IF(AND(Dados_Observados_v4!J41&lt;&gt;"",Dados_Observados_v4!L41&lt;&gt;"",(2017-2015-1)&lt;=Metodologia_v4!$B$12),"EST_INTERP_LINEAR",IF(AND(Dados_Observados_v4!J41&lt;&gt;"",(2016-2015)&lt;=Metodologia_v4!$B$13),"EST_CARRY_FORWARD",IF(AND(Dados_Observados_v4!L41&lt;&gt;"",(2017-2016)&lt;=Metodologia_v4!$B$14),"EST_CARRY_BACKWARD","SEM_DADO")))))</f>
        <v/>
      </c>
      <c r="L41" s="10">
        <f>IF(Dados_Observados_v4!L41&lt;&gt;"","OBS",IF(Dados_Ajustados_v4!L41="","SEM_DADO",IF(AND(Dados_Observados_v4!K41&lt;&gt;"",Dados_Observados_v4!M41&lt;&gt;"",(2018-2016-1)&lt;=Metodologia_v4!$B$12),"EST_INTERP_LINEAR",IF(AND(Dados_Observados_v4!K41&lt;&gt;"",(2017-2016)&lt;=Metodologia_v4!$B$13),"EST_CARRY_FORWARD",IF(AND(Dados_Observados_v4!M41&lt;&gt;"",(2018-2017)&lt;=Metodologia_v4!$B$14),"EST_CARRY_BACKWARD","SEM_DADO")))))</f>
        <v/>
      </c>
      <c r="M41" s="10">
        <f>IF(Dados_Observados_v4!M41&lt;&gt;"","OBS",IF(Dados_Ajustados_v4!M41="","SEM_DADO",IF(AND(Dados_Observados_v4!L41&lt;&gt;"",Dados_Observados_v4!N41&lt;&gt;"",(2019-2017-1)&lt;=Metodologia_v4!$B$12),"EST_INTERP_LINEAR",IF(AND(Dados_Observados_v4!L41&lt;&gt;"",(2018-2017)&lt;=Metodologia_v4!$B$13),"EST_CARRY_FORWARD",IF(AND(Dados_Observados_v4!N41&lt;&gt;"",(2019-2018)&lt;=Metodologia_v4!$B$14),"EST_CARRY_BACKWARD","SEM_DADO")))))</f>
        <v/>
      </c>
      <c r="N41" s="10">
        <f>IF(Dados_Observados_v4!N41&lt;&gt;"","OBS",IF(Dados_Ajustados_v4!N41="","SEM_DADO",IF(AND(Dados_Observados_v4!M41&lt;&gt;"",Dados_Observados_v4!O41&lt;&gt;"",(2020-2018-1)&lt;=Metodologia_v4!$B$12),"EST_INTERP_LINEAR",IF(AND(Dados_Observados_v4!M41&lt;&gt;"",(2019-2018)&lt;=Metodologia_v4!$B$13),"EST_CARRY_FORWARD",IF(AND(Dados_Observados_v4!O41&lt;&gt;"",(2020-2019)&lt;=Metodologia_v4!$B$14),"EST_CARRY_BACKWARD","SEM_DADO")))))</f>
        <v/>
      </c>
      <c r="O41" s="10">
        <f>IF(Dados_Observados_v4!O41&lt;&gt;"","OBS",IF(Dados_Ajustados_v4!O41="","SEM_DADO",IF(AND(Dados_Observados_v4!N41&lt;&gt;"",Dados_Observados_v4!P41&lt;&gt;"",(2021-2019-1)&lt;=Metodologia_v4!$B$12),"EST_INTERP_LINEAR",IF(AND(Dados_Observados_v4!N41&lt;&gt;"",(2020-2019)&lt;=Metodologia_v4!$B$13),"EST_CARRY_FORWARD",IF(AND(Dados_Observados_v4!P41&lt;&gt;"",(2021-2020)&lt;=Metodologia_v4!$B$14),"EST_CARRY_BACKWARD","SEM_DADO")))))</f>
        <v/>
      </c>
      <c r="P41" s="10">
        <f>IF(Dados_Observados_v4!P41&lt;&gt;"","OBS",IF(Dados_Ajustados_v4!P41="","SEM_DADO",IF(AND(Dados_Observados_v4!O41&lt;&gt;"",Dados_Observados_v4!Q41&lt;&gt;"",(2022-2020-1)&lt;=Metodologia_v4!$B$12),"EST_INTERP_LINEAR",IF(AND(Dados_Observados_v4!O41&lt;&gt;"",(2021-2020)&lt;=Metodologia_v4!$B$13),"EST_CARRY_FORWARD",IF(AND(Dados_Observados_v4!Q41&lt;&gt;"",(2022-2021)&lt;=Metodologia_v4!$B$14),"EST_CARRY_BACKWARD","SEM_DADO")))))</f>
        <v/>
      </c>
      <c r="Q41" s="10">
        <f>IF(Dados_Observados_v4!Q41&lt;&gt;"","OBS",IF(Dados_Ajustados_v4!Q41="","SEM_DADO",IF(AND(Dados_Observados_v4!P41&lt;&gt;"",Dados_Observados_v4!R41&lt;&gt;"",(2023-2021-1)&lt;=Metodologia_v4!$B$12),"EST_INTERP_LINEAR",IF(AND(Dados_Observados_v4!P41&lt;&gt;"",(2022-2021)&lt;=Metodologia_v4!$B$13),"EST_CARRY_FORWARD",IF(AND(Dados_Observados_v4!R41&lt;&gt;"",(2023-2022)&lt;=Metodologia_v4!$B$14),"EST_CARRY_BACKWARD","SEM_DADO")))))</f>
        <v/>
      </c>
      <c r="R41" s="10">
        <f>IF(Dados_Observados_v4!R41&lt;&gt;"","OBS",IF(Dados_Ajustados_v4!R41="","SEM_DADO",IF(AND(Dados_Observados_v4!Q41&lt;&gt;"",Dados_Observados_v4!S41&lt;&gt;"",(2024-2022-1)&lt;=Metodologia_v4!$B$12),"EST_INTERP_LINEAR",IF(AND(Dados_Observados_v4!Q41&lt;&gt;"",(2023-2022)&lt;=Metodologia_v4!$B$13),"EST_CARRY_FORWARD",IF(AND(Dados_Observados_v4!S41&lt;&gt;"",(2024-2023)&lt;=Metodologia_v4!$B$14),"EST_CARRY_BACKWARD","SEM_DADO")))))</f>
        <v/>
      </c>
      <c r="S41" s="10">
        <f>IF(Dados_Observados_v4!S41&lt;&gt;"","OBS",IF(Dados_Ajustados_v4!S41="","SEM_DADO",IF(AND(Dados_Observados_v4!R41&lt;&gt;"",(2024-2023)&lt;=Metodologia_v4!$B$13),"EST_CARRY_FORWARD","SEM_DADO")))</f>
        <v/>
      </c>
      <c r="T41" s="10">
        <f>IF(Dados_Observados_v4!T41&lt;&gt;"","OBS",IF(Dados_Ajustados_v4!T41="","SEM_DADO",IF(AND(Dados_Observados_v4!S41&lt;&gt;"",(2025-2024)&lt;=Metodologia_v4!$B$13),"EST_CARRY_FORWARD","SEM_DADO")))</f>
        <v/>
      </c>
    </row>
    <row r="42">
      <c r="A42" s="5" t="inlineStr">
        <is>
          <t>INF09</t>
        </is>
      </c>
      <c r="B42" s="5" t="inlineStr">
        <is>
          <t>5. Infraestruturas e Serviços</t>
        </is>
      </c>
      <c r="C42" s="5" t="inlineStr">
        <is>
          <t>Densidade rodoviária</t>
        </is>
      </c>
      <c r="D42" s="5" t="inlineStr">
        <is>
          <t>MINTRANS / ficheiro base</t>
        </is>
      </c>
      <c r="E42" s="5" t="inlineStr"/>
      <c r="F42" s="5" t="inlineStr">
        <is>
          <t>Série observada do ficheiro base</t>
        </is>
      </c>
      <c r="G42" s="5" t="inlineStr">
        <is>
          <t>10/11</t>
        </is>
      </c>
      <c r="H42" s="5" t="n">
        <v>2024</v>
      </c>
      <c r="I42" s="5" t="inlineStr">
        <is>
          <t>Referenciado pelas regras de Metodologia_v4</t>
        </is>
      </c>
      <c r="J42" s="10">
        <f>IF(Dados_Observados_v4!J42&lt;&gt;"","OBS",IF(Dados_Ajustados_v4!J42="","SEM_DADO",IF(AND(Dados_Observados_v4!K42&lt;&gt;"",(2016-2015)&lt;=Metodologia_v4!$B$14),"EST_CARRY_BACKWARD","SEM_DADO")))</f>
        <v/>
      </c>
      <c r="K42" s="10">
        <f>IF(Dados_Observados_v4!K42&lt;&gt;"","OBS",IF(Dados_Ajustados_v4!K42="","SEM_DADO",IF(AND(Dados_Observados_v4!J42&lt;&gt;"",Dados_Observados_v4!L42&lt;&gt;"",(2017-2015-1)&lt;=Metodologia_v4!$B$12),"EST_INTERP_LINEAR",IF(AND(Dados_Observados_v4!J42&lt;&gt;"",(2016-2015)&lt;=Metodologia_v4!$B$13),"EST_CARRY_FORWARD",IF(AND(Dados_Observados_v4!L42&lt;&gt;"",(2017-2016)&lt;=Metodologia_v4!$B$14),"EST_CARRY_BACKWARD","SEM_DADO")))))</f>
        <v/>
      </c>
      <c r="L42" s="10">
        <f>IF(Dados_Observados_v4!L42&lt;&gt;"","OBS",IF(Dados_Ajustados_v4!L42="","SEM_DADO",IF(AND(Dados_Observados_v4!K42&lt;&gt;"",Dados_Observados_v4!M42&lt;&gt;"",(2018-2016-1)&lt;=Metodologia_v4!$B$12),"EST_INTERP_LINEAR",IF(AND(Dados_Observados_v4!K42&lt;&gt;"",(2017-2016)&lt;=Metodologia_v4!$B$13),"EST_CARRY_FORWARD",IF(AND(Dados_Observados_v4!M42&lt;&gt;"",(2018-2017)&lt;=Metodologia_v4!$B$14),"EST_CARRY_BACKWARD","SEM_DADO")))))</f>
        <v/>
      </c>
      <c r="M42" s="10">
        <f>IF(Dados_Observados_v4!M42&lt;&gt;"","OBS",IF(Dados_Ajustados_v4!M42="","SEM_DADO",IF(AND(Dados_Observados_v4!L42&lt;&gt;"",Dados_Observados_v4!N42&lt;&gt;"",(2019-2017-1)&lt;=Metodologia_v4!$B$12),"EST_INTERP_LINEAR",IF(AND(Dados_Observados_v4!L42&lt;&gt;"",(2018-2017)&lt;=Metodologia_v4!$B$13),"EST_CARRY_FORWARD",IF(AND(Dados_Observados_v4!N42&lt;&gt;"",(2019-2018)&lt;=Metodologia_v4!$B$14),"EST_CARRY_BACKWARD","SEM_DADO")))))</f>
        <v/>
      </c>
      <c r="N42" s="10">
        <f>IF(Dados_Observados_v4!N42&lt;&gt;"","OBS",IF(Dados_Ajustados_v4!N42="","SEM_DADO",IF(AND(Dados_Observados_v4!M42&lt;&gt;"",Dados_Observados_v4!O42&lt;&gt;"",(2020-2018-1)&lt;=Metodologia_v4!$B$12),"EST_INTERP_LINEAR",IF(AND(Dados_Observados_v4!M42&lt;&gt;"",(2019-2018)&lt;=Metodologia_v4!$B$13),"EST_CARRY_FORWARD",IF(AND(Dados_Observados_v4!O42&lt;&gt;"",(2020-2019)&lt;=Metodologia_v4!$B$14),"EST_CARRY_BACKWARD","SEM_DADO")))))</f>
        <v/>
      </c>
      <c r="O42" s="10">
        <f>IF(Dados_Observados_v4!O42&lt;&gt;"","OBS",IF(Dados_Ajustados_v4!O42="","SEM_DADO",IF(AND(Dados_Observados_v4!N42&lt;&gt;"",Dados_Observados_v4!P42&lt;&gt;"",(2021-2019-1)&lt;=Metodologia_v4!$B$12),"EST_INTERP_LINEAR",IF(AND(Dados_Observados_v4!N42&lt;&gt;"",(2020-2019)&lt;=Metodologia_v4!$B$13),"EST_CARRY_FORWARD",IF(AND(Dados_Observados_v4!P42&lt;&gt;"",(2021-2020)&lt;=Metodologia_v4!$B$14),"EST_CARRY_BACKWARD","SEM_DADO")))))</f>
        <v/>
      </c>
      <c r="P42" s="10">
        <f>IF(Dados_Observados_v4!P42&lt;&gt;"","OBS",IF(Dados_Ajustados_v4!P42="","SEM_DADO",IF(AND(Dados_Observados_v4!O42&lt;&gt;"",Dados_Observados_v4!Q42&lt;&gt;"",(2022-2020-1)&lt;=Metodologia_v4!$B$12),"EST_INTERP_LINEAR",IF(AND(Dados_Observados_v4!O42&lt;&gt;"",(2021-2020)&lt;=Metodologia_v4!$B$13),"EST_CARRY_FORWARD",IF(AND(Dados_Observados_v4!Q42&lt;&gt;"",(2022-2021)&lt;=Metodologia_v4!$B$14),"EST_CARRY_BACKWARD","SEM_DADO")))))</f>
        <v/>
      </c>
      <c r="Q42" s="10">
        <f>IF(Dados_Observados_v4!Q42&lt;&gt;"","OBS",IF(Dados_Ajustados_v4!Q42="","SEM_DADO",IF(AND(Dados_Observados_v4!P42&lt;&gt;"",Dados_Observados_v4!R42&lt;&gt;"",(2023-2021-1)&lt;=Metodologia_v4!$B$12),"EST_INTERP_LINEAR",IF(AND(Dados_Observados_v4!P42&lt;&gt;"",(2022-2021)&lt;=Metodologia_v4!$B$13),"EST_CARRY_FORWARD",IF(AND(Dados_Observados_v4!R42&lt;&gt;"",(2023-2022)&lt;=Metodologia_v4!$B$14),"EST_CARRY_BACKWARD","SEM_DADO")))))</f>
        <v/>
      </c>
      <c r="R42" s="10">
        <f>IF(Dados_Observados_v4!R42&lt;&gt;"","OBS",IF(Dados_Ajustados_v4!R42="","SEM_DADO",IF(AND(Dados_Observados_v4!Q42&lt;&gt;"",Dados_Observados_v4!S42&lt;&gt;"",(2024-2022-1)&lt;=Metodologia_v4!$B$12),"EST_INTERP_LINEAR",IF(AND(Dados_Observados_v4!Q42&lt;&gt;"",(2023-2022)&lt;=Metodologia_v4!$B$13),"EST_CARRY_FORWARD",IF(AND(Dados_Observados_v4!S42&lt;&gt;"",(2024-2023)&lt;=Metodologia_v4!$B$14),"EST_CARRY_BACKWARD","SEM_DADO")))))</f>
        <v/>
      </c>
      <c r="S42" s="10">
        <f>IF(Dados_Observados_v4!S42&lt;&gt;"","OBS",IF(Dados_Ajustados_v4!S42="","SEM_DADO",IF(AND(Dados_Observados_v4!R42&lt;&gt;"",(2024-2023)&lt;=Metodologia_v4!$B$13),"EST_CARRY_FORWARD","SEM_DADO")))</f>
        <v/>
      </c>
      <c r="T42" s="10">
        <f>IF(Dados_Observados_v4!T42&lt;&gt;"","OBS",IF(Dados_Ajustados_v4!T42="","SEM_DADO",IF(AND(Dados_Observados_v4!S42&lt;&gt;"",(2025-2024)&lt;=Metodologia_v4!$B$13),"EST_CARRY_FORWARD","SEM_DADO")))</f>
        <v/>
      </c>
    </row>
    <row r="43">
      <c r="A43" s="5" t="inlineStr">
        <is>
          <t>LAB01</t>
        </is>
      </c>
      <c r="B43" s="5" t="inlineStr">
        <is>
          <t>6. Mercado de Trabalho</t>
        </is>
      </c>
      <c r="C43" s="5" t="inlineStr">
        <is>
          <t>Taxa de emprego</t>
        </is>
      </c>
      <c r="D43" s="5" t="inlineStr">
        <is>
          <t>Banco Mundial/OIT</t>
        </is>
      </c>
      <c r="E43" s="5" t="inlineStr">
        <is>
          <t>SL.EMP.TOTL.SP.ZS</t>
        </is>
      </c>
      <c r="F43" s="5" t="inlineStr">
        <is>
          <t>Fonte Banco Mundial API/CSV</t>
        </is>
      </c>
      <c r="G43" s="5" t="inlineStr">
        <is>
          <t>11/11</t>
        </is>
      </c>
      <c r="H43" s="5" t="n">
        <v>2025</v>
      </c>
      <c r="I43" s="5" t="inlineStr">
        <is>
          <t>Referenciado pelas regras de Metodologia_v4</t>
        </is>
      </c>
      <c r="J43" s="10">
        <f>IF(Dados_Observados_v4!J43&lt;&gt;"","OBS",IF(Dados_Ajustados_v4!J43="","SEM_DADO",IF(AND(Dados_Observados_v4!K43&lt;&gt;"",(2016-2015)&lt;=Metodologia_v4!$B$14),"EST_CARRY_BACKWARD","SEM_DADO")))</f>
        <v/>
      </c>
      <c r="K43" s="10">
        <f>IF(Dados_Observados_v4!K43&lt;&gt;"","OBS",IF(Dados_Ajustados_v4!K43="","SEM_DADO",IF(AND(Dados_Observados_v4!J43&lt;&gt;"",Dados_Observados_v4!L43&lt;&gt;"",(2017-2015-1)&lt;=Metodologia_v4!$B$12),"EST_INTERP_LINEAR",IF(AND(Dados_Observados_v4!J43&lt;&gt;"",(2016-2015)&lt;=Metodologia_v4!$B$13),"EST_CARRY_FORWARD",IF(AND(Dados_Observados_v4!L43&lt;&gt;"",(2017-2016)&lt;=Metodologia_v4!$B$14),"EST_CARRY_BACKWARD","SEM_DADO")))))</f>
        <v/>
      </c>
      <c r="L43" s="10">
        <f>IF(Dados_Observados_v4!L43&lt;&gt;"","OBS",IF(Dados_Ajustados_v4!L43="","SEM_DADO",IF(AND(Dados_Observados_v4!K43&lt;&gt;"",Dados_Observados_v4!M43&lt;&gt;"",(2018-2016-1)&lt;=Metodologia_v4!$B$12),"EST_INTERP_LINEAR",IF(AND(Dados_Observados_v4!K43&lt;&gt;"",(2017-2016)&lt;=Metodologia_v4!$B$13),"EST_CARRY_FORWARD",IF(AND(Dados_Observados_v4!M43&lt;&gt;"",(2018-2017)&lt;=Metodologia_v4!$B$14),"EST_CARRY_BACKWARD","SEM_DADO")))))</f>
        <v/>
      </c>
      <c r="M43" s="10">
        <f>IF(Dados_Observados_v4!M43&lt;&gt;"","OBS",IF(Dados_Ajustados_v4!M43="","SEM_DADO",IF(AND(Dados_Observados_v4!L43&lt;&gt;"",Dados_Observados_v4!N43&lt;&gt;"",(2019-2017-1)&lt;=Metodologia_v4!$B$12),"EST_INTERP_LINEAR",IF(AND(Dados_Observados_v4!L43&lt;&gt;"",(2018-2017)&lt;=Metodologia_v4!$B$13),"EST_CARRY_FORWARD",IF(AND(Dados_Observados_v4!N43&lt;&gt;"",(2019-2018)&lt;=Metodologia_v4!$B$14),"EST_CARRY_BACKWARD","SEM_DADO")))))</f>
        <v/>
      </c>
      <c r="N43" s="10">
        <f>IF(Dados_Observados_v4!N43&lt;&gt;"","OBS",IF(Dados_Ajustados_v4!N43="","SEM_DADO",IF(AND(Dados_Observados_v4!M43&lt;&gt;"",Dados_Observados_v4!O43&lt;&gt;"",(2020-2018-1)&lt;=Metodologia_v4!$B$12),"EST_INTERP_LINEAR",IF(AND(Dados_Observados_v4!M43&lt;&gt;"",(2019-2018)&lt;=Metodologia_v4!$B$13),"EST_CARRY_FORWARD",IF(AND(Dados_Observados_v4!O43&lt;&gt;"",(2020-2019)&lt;=Metodologia_v4!$B$14),"EST_CARRY_BACKWARD","SEM_DADO")))))</f>
        <v/>
      </c>
      <c r="O43" s="10">
        <f>IF(Dados_Observados_v4!O43&lt;&gt;"","OBS",IF(Dados_Ajustados_v4!O43="","SEM_DADO",IF(AND(Dados_Observados_v4!N43&lt;&gt;"",Dados_Observados_v4!P43&lt;&gt;"",(2021-2019-1)&lt;=Metodologia_v4!$B$12),"EST_INTERP_LINEAR",IF(AND(Dados_Observados_v4!N43&lt;&gt;"",(2020-2019)&lt;=Metodologia_v4!$B$13),"EST_CARRY_FORWARD",IF(AND(Dados_Observados_v4!P43&lt;&gt;"",(2021-2020)&lt;=Metodologia_v4!$B$14),"EST_CARRY_BACKWARD","SEM_DADO")))))</f>
        <v/>
      </c>
      <c r="P43" s="10">
        <f>IF(Dados_Observados_v4!P43&lt;&gt;"","OBS",IF(Dados_Ajustados_v4!P43="","SEM_DADO",IF(AND(Dados_Observados_v4!O43&lt;&gt;"",Dados_Observados_v4!Q43&lt;&gt;"",(2022-2020-1)&lt;=Metodologia_v4!$B$12),"EST_INTERP_LINEAR",IF(AND(Dados_Observados_v4!O43&lt;&gt;"",(2021-2020)&lt;=Metodologia_v4!$B$13),"EST_CARRY_FORWARD",IF(AND(Dados_Observados_v4!Q43&lt;&gt;"",(2022-2021)&lt;=Metodologia_v4!$B$14),"EST_CARRY_BACKWARD","SEM_DADO")))))</f>
        <v/>
      </c>
      <c r="Q43" s="10">
        <f>IF(Dados_Observados_v4!Q43&lt;&gt;"","OBS",IF(Dados_Ajustados_v4!Q43="","SEM_DADO",IF(AND(Dados_Observados_v4!P43&lt;&gt;"",Dados_Observados_v4!R43&lt;&gt;"",(2023-2021-1)&lt;=Metodologia_v4!$B$12),"EST_INTERP_LINEAR",IF(AND(Dados_Observados_v4!P43&lt;&gt;"",(2022-2021)&lt;=Metodologia_v4!$B$13),"EST_CARRY_FORWARD",IF(AND(Dados_Observados_v4!R43&lt;&gt;"",(2023-2022)&lt;=Metodologia_v4!$B$14),"EST_CARRY_BACKWARD","SEM_DADO")))))</f>
        <v/>
      </c>
      <c r="R43" s="10">
        <f>IF(Dados_Observados_v4!R43&lt;&gt;"","OBS",IF(Dados_Ajustados_v4!R43="","SEM_DADO",IF(AND(Dados_Observados_v4!Q43&lt;&gt;"",Dados_Observados_v4!S43&lt;&gt;"",(2024-2022-1)&lt;=Metodologia_v4!$B$12),"EST_INTERP_LINEAR",IF(AND(Dados_Observados_v4!Q43&lt;&gt;"",(2023-2022)&lt;=Metodologia_v4!$B$13),"EST_CARRY_FORWARD",IF(AND(Dados_Observados_v4!S43&lt;&gt;"",(2024-2023)&lt;=Metodologia_v4!$B$14),"EST_CARRY_BACKWARD","SEM_DADO")))))</f>
        <v/>
      </c>
      <c r="S43" s="10">
        <f>IF(Dados_Observados_v4!S43&lt;&gt;"","OBS",IF(Dados_Ajustados_v4!S43="","SEM_DADO",IF(AND(Dados_Observados_v4!R43&lt;&gt;"",Dados_Observados_v4!T43&lt;&gt;"",(2025-2023-1)&lt;=Metodologia_v4!$B$12),"EST_INTERP_LINEAR",IF(AND(Dados_Observados_v4!R43&lt;&gt;"",(2024-2023)&lt;=Metodologia_v4!$B$13),"EST_CARRY_FORWARD",IF(AND(Dados_Observados_v4!T43&lt;&gt;"",(2025-2024)&lt;=Metodologia_v4!$B$14),"EST_CARRY_BACKWARD","SEM_DADO")))))</f>
        <v/>
      </c>
      <c r="T43" s="10">
        <f>IF(Dados_Observados_v4!T43&lt;&gt;"","OBS",IF(Dados_Ajustados_v4!T43="","SEM_DADO",IF(AND(Dados_Observados_v4!S43&lt;&gt;"",(2025-2024)&lt;=Metodologia_v4!$B$13),"EST_CARRY_FORWARD","SEM_DADO")))</f>
        <v/>
      </c>
    </row>
    <row r="44">
      <c r="A44" s="5" t="inlineStr">
        <is>
          <t>LAB02</t>
        </is>
      </c>
      <c r="B44" s="5" t="inlineStr">
        <is>
          <t>6. Mercado de Trabalho</t>
        </is>
      </c>
      <c r="C44" s="5" t="inlineStr">
        <is>
          <t>Taxa de desemprego</t>
        </is>
      </c>
      <c r="D44" s="5" t="inlineStr">
        <is>
          <t>Banco Mundial/OIT</t>
        </is>
      </c>
      <c r="E44" s="5" t="inlineStr">
        <is>
          <t>SL.UEM.TOTL.ZS</t>
        </is>
      </c>
      <c r="F44" s="5" t="inlineStr">
        <is>
          <t>Fonte Banco Mundial API/CSV</t>
        </is>
      </c>
      <c r="G44" s="5" t="inlineStr">
        <is>
          <t>11/11</t>
        </is>
      </c>
      <c r="H44" s="5" t="n">
        <v>2025</v>
      </c>
      <c r="I44" s="5" t="inlineStr">
        <is>
          <t>Referenciado pelas regras de Metodologia_v4</t>
        </is>
      </c>
      <c r="J44" s="10">
        <f>IF(Dados_Observados_v4!J44&lt;&gt;"","OBS",IF(Dados_Ajustados_v4!J44="","SEM_DADO",IF(AND(Dados_Observados_v4!K44&lt;&gt;"",(2016-2015)&lt;=Metodologia_v4!$B$14),"EST_CARRY_BACKWARD","SEM_DADO")))</f>
        <v/>
      </c>
      <c r="K44" s="10">
        <f>IF(Dados_Observados_v4!K44&lt;&gt;"","OBS",IF(Dados_Ajustados_v4!K44="","SEM_DADO",IF(AND(Dados_Observados_v4!J44&lt;&gt;"",Dados_Observados_v4!L44&lt;&gt;"",(2017-2015-1)&lt;=Metodologia_v4!$B$12),"EST_INTERP_LINEAR",IF(AND(Dados_Observados_v4!J44&lt;&gt;"",(2016-2015)&lt;=Metodologia_v4!$B$13),"EST_CARRY_FORWARD",IF(AND(Dados_Observados_v4!L44&lt;&gt;"",(2017-2016)&lt;=Metodologia_v4!$B$14),"EST_CARRY_BACKWARD","SEM_DADO")))))</f>
        <v/>
      </c>
      <c r="L44" s="10">
        <f>IF(Dados_Observados_v4!L44&lt;&gt;"","OBS",IF(Dados_Ajustados_v4!L44="","SEM_DADO",IF(AND(Dados_Observados_v4!K44&lt;&gt;"",Dados_Observados_v4!M44&lt;&gt;"",(2018-2016-1)&lt;=Metodologia_v4!$B$12),"EST_INTERP_LINEAR",IF(AND(Dados_Observados_v4!K44&lt;&gt;"",(2017-2016)&lt;=Metodologia_v4!$B$13),"EST_CARRY_FORWARD",IF(AND(Dados_Observados_v4!M44&lt;&gt;"",(2018-2017)&lt;=Metodologia_v4!$B$14),"EST_CARRY_BACKWARD","SEM_DADO")))))</f>
        <v/>
      </c>
      <c r="M44" s="10">
        <f>IF(Dados_Observados_v4!M44&lt;&gt;"","OBS",IF(Dados_Ajustados_v4!M44="","SEM_DADO",IF(AND(Dados_Observados_v4!L44&lt;&gt;"",Dados_Observados_v4!N44&lt;&gt;"",(2019-2017-1)&lt;=Metodologia_v4!$B$12),"EST_INTERP_LINEAR",IF(AND(Dados_Observados_v4!L44&lt;&gt;"",(2018-2017)&lt;=Metodologia_v4!$B$13),"EST_CARRY_FORWARD",IF(AND(Dados_Observados_v4!N44&lt;&gt;"",(2019-2018)&lt;=Metodologia_v4!$B$14),"EST_CARRY_BACKWARD","SEM_DADO")))))</f>
        <v/>
      </c>
      <c r="N44" s="10">
        <f>IF(Dados_Observados_v4!N44&lt;&gt;"","OBS",IF(Dados_Ajustados_v4!N44="","SEM_DADO",IF(AND(Dados_Observados_v4!M44&lt;&gt;"",Dados_Observados_v4!O44&lt;&gt;"",(2020-2018-1)&lt;=Metodologia_v4!$B$12),"EST_INTERP_LINEAR",IF(AND(Dados_Observados_v4!M44&lt;&gt;"",(2019-2018)&lt;=Metodologia_v4!$B$13),"EST_CARRY_FORWARD",IF(AND(Dados_Observados_v4!O44&lt;&gt;"",(2020-2019)&lt;=Metodologia_v4!$B$14),"EST_CARRY_BACKWARD","SEM_DADO")))))</f>
        <v/>
      </c>
      <c r="O44" s="10">
        <f>IF(Dados_Observados_v4!O44&lt;&gt;"","OBS",IF(Dados_Ajustados_v4!O44="","SEM_DADO",IF(AND(Dados_Observados_v4!N44&lt;&gt;"",Dados_Observados_v4!P44&lt;&gt;"",(2021-2019-1)&lt;=Metodologia_v4!$B$12),"EST_INTERP_LINEAR",IF(AND(Dados_Observados_v4!N44&lt;&gt;"",(2020-2019)&lt;=Metodologia_v4!$B$13),"EST_CARRY_FORWARD",IF(AND(Dados_Observados_v4!P44&lt;&gt;"",(2021-2020)&lt;=Metodologia_v4!$B$14),"EST_CARRY_BACKWARD","SEM_DADO")))))</f>
        <v/>
      </c>
      <c r="P44" s="10">
        <f>IF(Dados_Observados_v4!P44&lt;&gt;"","OBS",IF(Dados_Ajustados_v4!P44="","SEM_DADO",IF(AND(Dados_Observados_v4!O44&lt;&gt;"",Dados_Observados_v4!Q44&lt;&gt;"",(2022-2020-1)&lt;=Metodologia_v4!$B$12),"EST_INTERP_LINEAR",IF(AND(Dados_Observados_v4!O44&lt;&gt;"",(2021-2020)&lt;=Metodologia_v4!$B$13),"EST_CARRY_FORWARD",IF(AND(Dados_Observados_v4!Q44&lt;&gt;"",(2022-2021)&lt;=Metodologia_v4!$B$14),"EST_CARRY_BACKWARD","SEM_DADO")))))</f>
        <v/>
      </c>
      <c r="Q44" s="10">
        <f>IF(Dados_Observados_v4!Q44&lt;&gt;"","OBS",IF(Dados_Ajustados_v4!Q44="","SEM_DADO",IF(AND(Dados_Observados_v4!P44&lt;&gt;"",Dados_Observados_v4!R44&lt;&gt;"",(2023-2021-1)&lt;=Metodologia_v4!$B$12),"EST_INTERP_LINEAR",IF(AND(Dados_Observados_v4!P44&lt;&gt;"",(2022-2021)&lt;=Metodologia_v4!$B$13),"EST_CARRY_FORWARD",IF(AND(Dados_Observados_v4!R44&lt;&gt;"",(2023-2022)&lt;=Metodologia_v4!$B$14),"EST_CARRY_BACKWARD","SEM_DADO")))))</f>
        <v/>
      </c>
      <c r="R44" s="10">
        <f>IF(Dados_Observados_v4!R44&lt;&gt;"","OBS",IF(Dados_Ajustados_v4!R44="","SEM_DADO",IF(AND(Dados_Observados_v4!Q44&lt;&gt;"",Dados_Observados_v4!S44&lt;&gt;"",(2024-2022-1)&lt;=Metodologia_v4!$B$12),"EST_INTERP_LINEAR",IF(AND(Dados_Observados_v4!Q44&lt;&gt;"",(2023-2022)&lt;=Metodologia_v4!$B$13),"EST_CARRY_FORWARD",IF(AND(Dados_Observados_v4!S44&lt;&gt;"",(2024-2023)&lt;=Metodologia_v4!$B$14),"EST_CARRY_BACKWARD","SEM_DADO")))))</f>
        <v/>
      </c>
      <c r="S44" s="10">
        <f>IF(Dados_Observados_v4!S44&lt;&gt;"","OBS",IF(Dados_Ajustados_v4!S44="","SEM_DADO",IF(AND(Dados_Observados_v4!R44&lt;&gt;"",Dados_Observados_v4!T44&lt;&gt;"",(2025-2023-1)&lt;=Metodologia_v4!$B$12),"EST_INTERP_LINEAR",IF(AND(Dados_Observados_v4!R44&lt;&gt;"",(2024-2023)&lt;=Metodologia_v4!$B$13),"EST_CARRY_FORWARD",IF(AND(Dados_Observados_v4!T44&lt;&gt;"",(2025-2024)&lt;=Metodologia_v4!$B$14),"EST_CARRY_BACKWARD","SEM_DADO")))))</f>
        <v/>
      </c>
      <c r="T44" s="10">
        <f>IF(Dados_Observados_v4!T44&lt;&gt;"","OBS",IF(Dados_Ajustados_v4!T44="","SEM_DADO",IF(AND(Dados_Observados_v4!S44&lt;&gt;"",(2025-2024)&lt;=Metodologia_v4!$B$13),"EST_CARRY_FORWARD","SEM_DADO")))</f>
        <v/>
      </c>
    </row>
    <row r="45">
      <c r="A45" s="5" t="inlineStr">
        <is>
          <t>LAB03</t>
        </is>
      </c>
      <c r="B45" s="5" t="inlineStr">
        <is>
          <t>6. Mercado de Trabalho</t>
        </is>
      </c>
      <c r="C45" s="5" t="inlineStr">
        <is>
          <t>Desemprego juvenil</t>
        </is>
      </c>
      <c r="D45" s="5" t="inlineStr">
        <is>
          <t>Banco Mundial/OIT</t>
        </is>
      </c>
      <c r="E45" s="5" t="inlineStr">
        <is>
          <t>SL.UEM.1524.ZS</t>
        </is>
      </c>
      <c r="F45" s="5" t="inlineStr">
        <is>
          <t>Fonte Banco Mundial API/CSV</t>
        </is>
      </c>
      <c r="G45" s="5" t="inlineStr">
        <is>
          <t>11/11</t>
        </is>
      </c>
      <c r="H45" s="5" t="n">
        <v>2025</v>
      </c>
      <c r="I45" s="5" t="inlineStr">
        <is>
          <t>Referenciado pelas regras de Metodologia_v4</t>
        </is>
      </c>
      <c r="J45" s="10">
        <f>IF(Dados_Observados_v4!J45&lt;&gt;"","OBS",IF(Dados_Ajustados_v4!J45="","SEM_DADO",IF(AND(Dados_Observados_v4!K45&lt;&gt;"",(2016-2015)&lt;=Metodologia_v4!$B$14),"EST_CARRY_BACKWARD","SEM_DADO")))</f>
        <v/>
      </c>
      <c r="K45" s="10">
        <f>IF(Dados_Observados_v4!K45&lt;&gt;"","OBS",IF(Dados_Ajustados_v4!K45="","SEM_DADO",IF(AND(Dados_Observados_v4!J45&lt;&gt;"",Dados_Observados_v4!L45&lt;&gt;"",(2017-2015-1)&lt;=Metodologia_v4!$B$12),"EST_INTERP_LINEAR",IF(AND(Dados_Observados_v4!J45&lt;&gt;"",(2016-2015)&lt;=Metodologia_v4!$B$13),"EST_CARRY_FORWARD",IF(AND(Dados_Observados_v4!L45&lt;&gt;"",(2017-2016)&lt;=Metodologia_v4!$B$14),"EST_CARRY_BACKWARD","SEM_DADO")))))</f>
        <v/>
      </c>
      <c r="L45" s="10">
        <f>IF(Dados_Observados_v4!L45&lt;&gt;"","OBS",IF(Dados_Ajustados_v4!L45="","SEM_DADO",IF(AND(Dados_Observados_v4!K45&lt;&gt;"",Dados_Observados_v4!M45&lt;&gt;"",(2018-2016-1)&lt;=Metodologia_v4!$B$12),"EST_INTERP_LINEAR",IF(AND(Dados_Observados_v4!K45&lt;&gt;"",(2017-2016)&lt;=Metodologia_v4!$B$13),"EST_CARRY_FORWARD",IF(AND(Dados_Observados_v4!M45&lt;&gt;"",(2018-2017)&lt;=Metodologia_v4!$B$14),"EST_CARRY_BACKWARD","SEM_DADO")))))</f>
        <v/>
      </c>
      <c r="M45" s="10">
        <f>IF(Dados_Observados_v4!M45&lt;&gt;"","OBS",IF(Dados_Ajustados_v4!M45="","SEM_DADO",IF(AND(Dados_Observados_v4!L45&lt;&gt;"",Dados_Observados_v4!N45&lt;&gt;"",(2019-2017-1)&lt;=Metodologia_v4!$B$12),"EST_INTERP_LINEAR",IF(AND(Dados_Observados_v4!L45&lt;&gt;"",(2018-2017)&lt;=Metodologia_v4!$B$13),"EST_CARRY_FORWARD",IF(AND(Dados_Observados_v4!N45&lt;&gt;"",(2019-2018)&lt;=Metodologia_v4!$B$14),"EST_CARRY_BACKWARD","SEM_DADO")))))</f>
        <v/>
      </c>
      <c r="N45" s="10">
        <f>IF(Dados_Observados_v4!N45&lt;&gt;"","OBS",IF(Dados_Ajustados_v4!N45="","SEM_DADO",IF(AND(Dados_Observados_v4!M45&lt;&gt;"",Dados_Observados_v4!O45&lt;&gt;"",(2020-2018-1)&lt;=Metodologia_v4!$B$12),"EST_INTERP_LINEAR",IF(AND(Dados_Observados_v4!M45&lt;&gt;"",(2019-2018)&lt;=Metodologia_v4!$B$13),"EST_CARRY_FORWARD",IF(AND(Dados_Observados_v4!O45&lt;&gt;"",(2020-2019)&lt;=Metodologia_v4!$B$14),"EST_CARRY_BACKWARD","SEM_DADO")))))</f>
        <v/>
      </c>
      <c r="O45" s="10">
        <f>IF(Dados_Observados_v4!O45&lt;&gt;"","OBS",IF(Dados_Ajustados_v4!O45="","SEM_DADO",IF(AND(Dados_Observados_v4!N45&lt;&gt;"",Dados_Observados_v4!P45&lt;&gt;"",(2021-2019-1)&lt;=Metodologia_v4!$B$12),"EST_INTERP_LINEAR",IF(AND(Dados_Observados_v4!N45&lt;&gt;"",(2020-2019)&lt;=Metodologia_v4!$B$13),"EST_CARRY_FORWARD",IF(AND(Dados_Observados_v4!P45&lt;&gt;"",(2021-2020)&lt;=Metodologia_v4!$B$14),"EST_CARRY_BACKWARD","SEM_DADO")))))</f>
        <v/>
      </c>
      <c r="P45" s="10">
        <f>IF(Dados_Observados_v4!P45&lt;&gt;"","OBS",IF(Dados_Ajustados_v4!P45="","SEM_DADO",IF(AND(Dados_Observados_v4!O45&lt;&gt;"",Dados_Observados_v4!Q45&lt;&gt;"",(2022-2020-1)&lt;=Metodologia_v4!$B$12),"EST_INTERP_LINEAR",IF(AND(Dados_Observados_v4!O45&lt;&gt;"",(2021-2020)&lt;=Metodologia_v4!$B$13),"EST_CARRY_FORWARD",IF(AND(Dados_Observados_v4!Q45&lt;&gt;"",(2022-2021)&lt;=Metodologia_v4!$B$14),"EST_CARRY_BACKWARD","SEM_DADO")))))</f>
        <v/>
      </c>
      <c r="Q45" s="10">
        <f>IF(Dados_Observados_v4!Q45&lt;&gt;"","OBS",IF(Dados_Ajustados_v4!Q45="","SEM_DADO",IF(AND(Dados_Observados_v4!P45&lt;&gt;"",Dados_Observados_v4!R45&lt;&gt;"",(2023-2021-1)&lt;=Metodologia_v4!$B$12),"EST_INTERP_LINEAR",IF(AND(Dados_Observados_v4!P45&lt;&gt;"",(2022-2021)&lt;=Metodologia_v4!$B$13),"EST_CARRY_FORWARD",IF(AND(Dados_Observados_v4!R45&lt;&gt;"",(2023-2022)&lt;=Metodologia_v4!$B$14),"EST_CARRY_BACKWARD","SEM_DADO")))))</f>
        <v/>
      </c>
      <c r="R45" s="10">
        <f>IF(Dados_Observados_v4!R45&lt;&gt;"","OBS",IF(Dados_Ajustados_v4!R45="","SEM_DADO",IF(AND(Dados_Observados_v4!Q45&lt;&gt;"",Dados_Observados_v4!S45&lt;&gt;"",(2024-2022-1)&lt;=Metodologia_v4!$B$12),"EST_INTERP_LINEAR",IF(AND(Dados_Observados_v4!Q45&lt;&gt;"",(2023-2022)&lt;=Metodologia_v4!$B$13),"EST_CARRY_FORWARD",IF(AND(Dados_Observados_v4!S45&lt;&gt;"",(2024-2023)&lt;=Metodologia_v4!$B$14),"EST_CARRY_BACKWARD","SEM_DADO")))))</f>
        <v/>
      </c>
      <c r="S45" s="10">
        <f>IF(Dados_Observados_v4!S45&lt;&gt;"","OBS",IF(Dados_Ajustados_v4!S45="","SEM_DADO",IF(AND(Dados_Observados_v4!R45&lt;&gt;"",Dados_Observados_v4!T45&lt;&gt;"",(2025-2023-1)&lt;=Metodologia_v4!$B$12),"EST_INTERP_LINEAR",IF(AND(Dados_Observados_v4!R45&lt;&gt;"",(2024-2023)&lt;=Metodologia_v4!$B$13),"EST_CARRY_FORWARD",IF(AND(Dados_Observados_v4!T45&lt;&gt;"",(2025-2024)&lt;=Metodologia_v4!$B$14),"EST_CARRY_BACKWARD","SEM_DADO")))))</f>
        <v/>
      </c>
      <c r="T45" s="10">
        <f>IF(Dados_Observados_v4!T45&lt;&gt;"","OBS",IF(Dados_Ajustados_v4!T45="","SEM_DADO",IF(AND(Dados_Observados_v4!S45&lt;&gt;"",(2025-2024)&lt;=Metodologia_v4!$B$13),"EST_CARRY_FORWARD","SEM_DADO")))</f>
        <v/>
      </c>
    </row>
    <row r="46">
      <c r="A46" s="5" t="inlineStr">
        <is>
          <t>LAB04</t>
        </is>
      </c>
      <c r="B46" s="5" t="inlineStr">
        <is>
          <t>6. Mercado de Trabalho</t>
        </is>
      </c>
      <c r="C46" s="5" t="inlineStr">
        <is>
          <t>Participação na força de trabalho</t>
        </is>
      </c>
      <c r="D46" s="5" t="inlineStr">
        <is>
          <t>Banco Mundial/OIT</t>
        </is>
      </c>
      <c r="E46" s="5" t="inlineStr">
        <is>
          <t>SL.TLF.CACT.ZS</t>
        </is>
      </c>
      <c r="F46" s="5" t="inlineStr">
        <is>
          <t>Fonte Banco Mundial API/CSV</t>
        </is>
      </c>
      <c r="G46" s="5" t="inlineStr">
        <is>
          <t>11/11</t>
        </is>
      </c>
      <c r="H46" s="5" t="n">
        <v>2025</v>
      </c>
      <c r="I46" s="5" t="inlineStr">
        <is>
          <t>Referenciado pelas regras de Metodologia_v4</t>
        </is>
      </c>
      <c r="J46" s="10">
        <f>IF(Dados_Observados_v4!J46&lt;&gt;"","OBS",IF(Dados_Ajustados_v4!J46="","SEM_DADO",IF(AND(Dados_Observados_v4!K46&lt;&gt;"",(2016-2015)&lt;=Metodologia_v4!$B$14),"EST_CARRY_BACKWARD","SEM_DADO")))</f>
        <v/>
      </c>
      <c r="K46" s="10">
        <f>IF(Dados_Observados_v4!K46&lt;&gt;"","OBS",IF(Dados_Ajustados_v4!K46="","SEM_DADO",IF(AND(Dados_Observados_v4!J46&lt;&gt;"",Dados_Observados_v4!L46&lt;&gt;"",(2017-2015-1)&lt;=Metodologia_v4!$B$12),"EST_INTERP_LINEAR",IF(AND(Dados_Observados_v4!J46&lt;&gt;"",(2016-2015)&lt;=Metodologia_v4!$B$13),"EST_CARRY_FORWARD",IF(AND(Dados_Observados_v4!L46&lt;&gt;"",(2017-2016)&lt;=Metodologia_v4!$B$14),"EST_CARRY_BACKWARD","SEM_DADO")))))</f>
        <v/>
      </c>
      <c r="L46" s="10">
        <f>IF(Dados_Observados_v4!L46&lt;&gt;"","OBS",IF(Dados_Ajustados_v4!L46="","SEM_DADO",IF(AND(Dados_Observados_v4!K46&lt;&gt;"",Dados_Observados_v4!M46&lt;&gt;"",(2018-2016-1)&lt;=Metodologia_v4!$B$12),"EST_INTERP_LINEAR",IF(AND(Dados_Observados_v4!K46&lt;&gt;"",(2017-2016)&lt;=Metodologia_v4!$B$13),"EST_CARRY_FORWARD",IF(AND(Dados_Observados_v4!M46&lt;&gt;"",(2018-2017)&lt;=Metodologia_v4!$B$14),"EST_CARRY_BACKWARD","SEM_DADO")))))</f>
        <v/>
      </c>
      <c r="M46" s="10">
        <f>IF(Dados_Observados_v4!M46&lt;&gt;"","OBS",IF(Dados_Ajustados_v4!M46="","SEM_DADO",IF(AND(Dados_Observados_v4!L46&lt;&gt;"",Dados_Observados_v4!N46&lt;&gt;"",(2019-2017-1)&lt;=Metodologia_v4!$B$12),"EST_INTERP_LINEAR",IF(AND(Dados_Observados_v4!L46&lt;&gt;"",(2018-2017)&lt;=Metodologia_v4!$B$13),"EST_CARRY_FORWARD",IF(AND(Dados_Observados_v4!N46&lt;&gt;"",(2019-2018)&lt;=Metodologia_v4!$B$14),"EST_CARRY_BACKWARD","SEM_DADO")))))</f>
        <v/>
      </c>
      <c r="N46" s="10">
        <f>IF(Dados_Observados_v4!N46&lt;&gt;"","OBS",IF(Dados_Ajustados_v4!N46="","SEM_DADO",IF(AND(Dados_Observados_v4!M46&lt;&gt;"",Dados_Observados_v4!O46&lt;&gt;"",(2020-2018-1)&lt;=Metodologia_v4!$B$12),"EST_INTERP_LINEAR",IF(AND(Dados_Observados_v4!M46&lt;&gt;"",(2019-2018)&lt;=Metodologia_v4!$B$13),"EST_CARRY_FORWARD",IF(AND(Dados_Observados_v4!O46&lt;&gt;"",(2020-2019)&lt;=Metodologia_v4!$B$14),"EST_CARRY_BACKWARD","SEM_DADO")))))</f>
        <v/>
      </c>
      <c r="O46" s="10">
        <f>IF(Dados_Observados_v4!O46&lt;&gt;"","OBS",IF(Dados_Ajustados_v4!O46="","SEM_DADO",IF(AND(Dados_Observados_v4!N46&lt;&gt;"",Dados_Observados_v4!P46&lt;&gt;"",(2021-2019-1)&lt;=Metodologia_v4!$B$12),"EST_INTERP_LINEAR",IF(AND(Dados_Observados_v4!N46&lt;&gt;"",(2020-2019)&lt;=Metodologia_v4!$B$13),"EST_CARRY_FORWARD",IF(AND(Dados_Observados_v4!P46&lt;&gt;"",(2021-2020)&lt;=Metodologia_v4!$B$14),"EST_CARRY_BACKWARD","SEM_DADO")))))</f>
        <v/>
      </c>
      <c r="P46" s="10">
        <f>IF(Dados_Observados_v4!P46&lt;&gt;"","OBS",IF(Dados_Ajustados_v4!P46="","SEM_DADO",IF(AND(Dados_Observados_v4!O46&lt;&gt;"",Dados_Observados_v4!Q46&lt;&gt;"",(2022-2020-1)&lt;=Metodologia_v4!$B$12),"EST_INTERP_LINEAR",IF(AND(Dados_Observados_v4!O46&lt;&gt;"",(2021-2020)&lt;=Metodologia_v4!$B$13),"EST_CARRY_FORWARD",IF(AND(Dados_Observados_v4!Q46&lt;&gt;"",(2022-2021)&lt;=Metodologia_v4!$B$14),"EST_CARRY_BACKWARD","SEM_DADO")))))</f>
        <v/>
      </c>
      <c r="Q46" s="10">
        <f>IF(Dados_Observados_v4!Q46&lt;&gt;"","OBS",IF(Dados_Ajustados_v4!Q46="","SEM_DADO",IF(AND(Dados_Observados_v4!P46&lt;&gt;"",Dados_Observados_v4!R46&lt;&gt;"",(2023-2021-1)&lt;=Metodologia_v4!$B$12),"EST_INTERP_LINEAR",IF(AND(Dados_Observados_v4!P46&lt;&gt;"",(2022-2021)&lt;=Metodologia_v4!$B$13),"EST_CARRY_FORWARD",IF(AND(Dados_Observados_v4!R46&lt;&gt;"",(2023-2022)&lt;=Metodologia_v4!$B$14),"EST_CARRY_BACKWARD","SEM_DADO")))))</f>
        <v/>
      </c>
      <c r="R46" s="10">
        <f>IF(Dados_Observados_v4!R46&lt;&gt;"","OBS",IF(Dados_Ajustados_v4!R46="","SEM_DADO",IF(AND(Dados_Observados_v4!Q46&lt;&gt;"",Dados_Observados_v4!S46&lt;&gt;"",(2024-2022-1)&lt;=Metodologia_v4!$B$12),"EST_INTERP_LINEAR",IF(AND(Dados_Observados_v4!Q46&lt;&gt;"",(2023-2022)&lt;=Metodologia_v4!$B$13),"EST_CARRY_FORWARD",IF(AND(Dados_Observados_v4!S46&lt;&gt;"",(2024-2023)&lt;=Metodologia_v4!$B$14),"EST_CARRY_BACKWARD","SEM_DADO")))))</f>
        <v/>
      </c>
      <c r="S46" s="10">
        <f>IF(Dados_Observados_v4!S46&lt;&gt;"","OBS",IF(Dados_Ajustados_v4!S46="","SEM_DADO",IF(AND(Dados_Observados_v4!R46&lt;&gt;"",Dados_Observados_v4!T46&lt;&gt;"",(2025-2023-1)&lt;=Metodologia_v4!$B$12),"EST_INTERP_LINEAR",IF(AND(Dados_Observados_v4!R46&lt;&gt;"",(2024-2023)&lt;=Metodologia_v4!$B$13),"EST_CARRY_FORWARD",IF(AND(Dados_Observados_v4!T46&lt;&gt;"",(2025-2024)&lt;=Metodologia_v4!$B$14),"EST_CARRY_BACKWARD","SEM_DADO")))))</f>
        <v/>
      </c>
      <c r="T46" s="10">
        <f>IF(Dados_Observados_v4!T46&lt;&gt;"","OBS",IF(Dados_Ajustados_v4!T46="","SEM_DADO",IF(AND(Dados_Observados_v4!S46&lt;&gt;"",(2025-2024)&lt;=Metodologia_v4!$B$13),"EST_CARRY_FORWARD","SEM_DADO")))</f>
        <v/>
      </c>
    </row>
    <row r="47">
      <c r="A47" s="5" t="inlineStr">
        <is>
          <t>LAB05</t>
        </is>
      </c>
      <c r="B47" s="5" t="inlineStr">
        <is>
          <t>6. Mercado de Trabalho</t>
        </is>
      </c>
      <c r="C47" s="5" t="inlineStr">
        <is>
          <t>Emprego vulnerável</t>
        </is>
      </c>
      <c r="D47" s="5" t="inlineStr">
        <is>
          <t>Banco Mundial/OIT</t>
        </is>
      </c>
      <c r="E47" s="5" t="inlineStr">
        <is>
          <t>SL.EMP.VULN.ZS</t>
        </is>
      </c>
      <c r="F47" s="5" t="inlineStr">
        <is>
          <t>Fonte Banco Mundial API/CSV</t>
        </is>
      </c>
      <c r="G47" s="5" t="inlineStr">
        <is>
          <t>11/11</t>
        </is>
      </c>
      <c r="H47" s="5" t="n">
        <v>2025</v>
      </c>
      <c r="I47" s="5" t="inlineStr">
        <is>
          <t>Referenciado pelas regras de Metodologia_v4</t>
        </is>
      </c>
      <c r="J47" s="10">
        <f>IF(Dados_Observados_v4!J47&lt;&gt;"","OBS",IF(Dados_Ajustados_v4!J47="","SEM_DADO",IF(AND(Dados_Observados_v4!K47&lt;&gt;"",(2016-2015)&lt;=Metodologia_v4!$B$14),"EST_CARRY_BACKWARD","SEM_DADO")))</f>
        <v/>
      </c>
      <c r="K47" s="10">
        <f>IF(Dados_Observados_v4!K47&lt;&gt;"","OBS",IF(Dados_Ajustados_v4!K47="","SEM_DADO",IF(AND(Dados_Observados_v4!J47&lt;&gt;"",Dados_Observados_v4!L47&lt;&gt;"",(2017-2015-1)&lt;=Metodologia_v4!$B$12),"EST_INTERP_LINEAR",IF(AND(Dados_Observados_v4!J47&lt;&gt;"",(2016-2015)&lt;=Metodologia_v4!$B$13),"EST_CARRY_FORWARD",IF(AND(Dados_Observados_v4!L47&lt;&gt;"",(2017-2016)&lt;=Metodologia_v4!$B$14),"EST_CARRY_BACKWARD","SEM_DADO")))))</f>
        <v/>
      </c>
      <c r="L47" s="10">
        <f>IF(Dados_Observados_v4!L47&lt;&gt;"","OBS",IF(Dados_Ajustados_v4!L47="","SEM_DADO",IF(AND(Dados_Observados_v4!K47&lt;&gt;"",Dados_Observados_v4!M47&lt;&gt;"",(2018-2016-1)&lt;=Metodologia_v4!$B$12),"EST_INTERP_LINEAR",IF(AND(Dados_Observados_v4!K47&lt;&gt;"",(2017-2016)&lt;=Metodologia_v4!$B$13),"EST_CARRY_FORWARD",IF(AND(Dados_Observados_v4!M47&lt;&gt;"",(2018-2017)&lt;=Metodologia_v4!$B$14),"EST_CARRY_BACKWARD","SEM_DADO")))))</f>
        <v/>
      </c>
      <c r="M47" s="10">
        <f>IF(Dados_Observados_v4!M47&lt;&gt;"","OBS",IF(Dados_Ajustados_v4!M47="","SEM_DADO",IF(AND(Dados_Observados_v4!L47&lt;&gt;"",Dados_Observados_v4!N47&lt;&gt;"",(2019-2017-1)&lt;=Metodologia_v4!$B$12),"EST_INTERP_LINEAR",IF(AND(Dados_Observados_v4!L47&lt;&gt;"",(2018-2017)&lt;=Metodologia_v4!$B$13),"EST_CARRY_FORWARD",IF(AND(Dados_Observados_v4!N47&lt;&gt;"",(2019-2018)&lt;=Metodologia_v4!$B$14),"EST_CARRY_BACKWARD","SEM_DADO")))))</f>
        <v/>
      </c>
      <c r="N47" s="10">
        <f>IF(Dados_Observados_v4!N47&lt;&gt;"","OBS",IF(Dados_Ajustados_v4!N47="","SEM_DADO",IF(AND(Dados_Observados_v4!M47&lt;&gt;"",Dados_Observados_v4!O47&lt;&gt;"",(2020-2018-1)&lt;=Metodologia_v4!$B$12),"EST_INTERP_LINEAR",IF(AND(Dados_Observados_v4!M47&lt;&gt;"",(2019-2018)&lt;=Metodologia_v4!$B$13),"EST_CARRY_FORWARD",IF(AND(Dados_Observados_v4!O47&lt;&gt;"",(2020-2019)&lt;=Metodologia_v4!$B$14),"EST_CARRY_BACKWARD","SEM_DADO")))))</f>
        <v/>
      </c>
      <c r="O47" s="10">
        <f>IF(Dados_Observados_v4!O47&lt;&gt;"","OBS",IF(Dados_Ajustados_v4!O47="","SEM_DADO",IF(AND(Dados_Observados_v4!N47&lt;&gt;"",Dados_Observados_v4!P47&lt;&gt;"",(2021-2019-1)&lt;=Metodologia_v4!$B$12),"EST_INTERP_LINEAR",IF(AND(Dados_Observados_v4!N47&lt;&gt;"",(2020-2019)&lt;=Metodologia_v4!$B$13),"EST_CARRY_FORWARD",IF(AND(Dados_Observados_v4!P47&lt;&gt;"",(2021-2020)&lt;=Metodologia_v4!$B$14),"EST_CARRY_BACKWARD","SEM_DADO")))))</f>
        <v/>
      </c>
      <c r="P47" s="10">
        <f>IF(Dados_Observados_v4!P47&lt;&gt;"","OBS",IF(Dados_Ajustados_v4!P47="","SEM_DADO",IF(AND(Dados_Observados_v4!O47&lt;&gt;"",Dados_Observados_v4!Q47&lt;&gt;"",(2022-2020-1)&lt;=Metodologia_v4!$B$12),"EST_INTERP_LINEAR",IF(AND(Dados_Observados_v4!O47&lt;&gt;"",(2021-2020)&lt;=Metodologia_v4!$B$13),"EST_CARRY_FORWARD",IF(AND(Dados_Observados_v4!Q47&lt;&gt;"",(2022-2021)&lt;=Metodologia_v4!$B$14),"EST_CARRY_BACKWARD","SEM_DADO")))))</f>
        <v/>
      </c>
      <c r="Q47" s="10">
        <f>IF(Dados_Observados_v4!Q47&lt;&gt;"","OBS",IF(Dados_Ajustados_v4!Q47="","SEM_DADO",IF(AND(Dados_Observados_v4!P47&lt;&gt;"",Dados_Observados_v4!R47&lt;&gt;"",(2023-2021-1)&lt;=Metodologia_v4!$B$12),"EST_INTERP_LINEAR",IF(AND(Dados_Observados_v4!P47&lt;&gt;"",(2022-2021)&lt;=Metodologia_v4!$B$13),"EST_CARRY_FORWARD",IF(AND(Dados_Observados_v4!R47&lt;&gt;"",(2023-2022)&lt;=Metodologia_v4!$B$14),"EST_CARRY_BACKWARD","SEM_DADO")))))</f>
        <v/>
      </c>
      <c r="R47" s="10">
        <f>IF(Dados_Observados_v4!R47&lt;&gt;"","OBS",IF(Dados_Ajustados_v4!R47="","SEM_DADO",IF(AND(Dados_Observados_v4!Q47&lt;&gt;"",Dados_Observados_v4!S47&lt;&gt;"",(2024-2022-1)&lt;=Metodologia_v4!$B$12),"EST_INTERP_LINEAR",IF(AND(Dados_Observados_v4!Q47&lt;&gt;"",(2023-2022)&lt;=Metodologia_v4!$B$13),"EST_CARRY_FORWARD",IF(AND(Dados_Observados_v4!S47&lt;&gt;"",(2024-2023)&lt;=Metodologia_v4!$B$14),"EST_CARRY_BACKWARD","SEM_DADO")))))</f>
        <v/>
      </c>
      <c r="S47" s="10">
        <f>IF(Dados_Observados_v4!S47&lt;&gt;"","OBS",IF(Dados_Ajustados_v4!S47="","SEM_DADO",IF(AND(Dados_Observados_v4!R47&lt;&gt;"",Dados_Observados_v4!T47&lt;&gt;"",(2025-2023-1)&lt;=Metodologia_v4!$B$12),"EST_INTERP_LINEAR",IF(AND(Dados_Observados_v4!R47&lt;&gt;"",(2024-2023)&lt;=Metodologia_v4!$B$13),"EST_CARRY_FORWARD",IF(AND(Dados_Observados_v4!T47&lt;&gt;"",(2025-2024)&lt;=Metodologia_v4!$B$14),"EST_CARRY_BACKWARD","SEM_DADO")))))</f>
        <v/>
      </c>
      <c r="T47" s="10">
        <f>IF(Dados_Observados_v4!T47&lt;&gt;"","OBS",IF(Dados_Ajustados_v4!T47="","SEM_DADO",IF(AND(Dados_Observados_v4!S47&lt;&gt;"",(2025-2024)&lt;=Metodologia_v4!$B$13),"EST_CARRY_FORWARD","SEM_DADO")))</f>
        <v/>
      </c>
    </row>
    <row r="48">
      <c r="A48" s="5" t="inlineStr">
        <is>
          <t>LAB06</t>
        </is>
      </c>
      <c r="B48" s="5" t="inlineStr">
        <is>
          <t>6. Mercado de Trabalho</t>
        </is>
      </c>
      <c r="C48" s="5" t="inlineStr">
        <is>
          <t>Trabalhadores assalariados</t>
        </is>
      </c>
      <c r="D48" s="5" t="inlineStr">
        <is>
          <t>Banco Mundial/OIT</t>
        </is>
      </c>
      <c r="E48" s="5" t="inlineStr">
        <is>
          <t>SL.EMP.WORK.ZS</t>
        </is>
      </c>
      <c r="F48" s="5" t="inlineStr">
        <is>
          <t>Fonte Banco Mundial API/CSV</t>
        </is>
      </c>
      <c r="G48" s="5" t="inlineStr">
        <is>
          <t>11/11</t>
        </is>
      </c>
      <c r="H48" s="5" t="n">
        <v>2025</v>
      </c>
      <c r="I48" s="5" t="inlineStr">
        <is>
          <t>Referenciado pelas regras de Metodologia_v4</t>
        </is>
      </c>
      <c r="J48" s="10">
        <f>IF(Dados_Observados_v4!J48&lt;&gt;"","OBS",IF(Dados_Ajustados_v4!J48="","SEM_DADO",IF(AND(Dados_Observados_v4!K48&lt;&gt;"",(2016-2015)&lt;=Metodologia_v4!$B$14),"EST_CARRY_BACKWARD","SEM_DADO")))</f>
        <v/>
      </c>
      <c r="K48" s="10">
        <f>IF(Dados_Observados_v4!K48&lt;&gt;"","OBS",IF(Dados_Ajustados_v4!K48="","SEM_DADO",IF(AND(Dados_Observados_v4!J48&lt;&gt;"",Dados_Observados_v4!L48&lt;&gt;"",(2017-2015-1)&lt;=Metodologia_v4!$B$12),"EST_INTERP_LINEAR",IF(AND(Dados_Observados_v4!J48&lt;&gt;"",(2016-2015)&lt;=Metodologia_v4!$B$13),"EST_CARRY_FORWARD",IF(AND(Dados_Observados_v4!L48&lt;&gt;"",(2017-2016)&lt;=Metodologia_v4!$B$14),"EST_CARRY_BACKWARD","SEM_DADO")))))</f>
        <v/>
      </c>
      <c r="L48" s="10">
        <f>IF(Dados_Observados_v4!L48&lt;&gt;"","OBS",IF(Dados_Ajustados_v4!L48="","SEM_DADO",IF(AND(Dados_Observados_v4!K48&lt;&gt;"",Dados_Observados_v4!M48&lt;&gt;"",(2018-2016-1)&lt;=Metodologia_v4!$B$12),"EST_INTERP_LINEAR",IF(AND(Dados_Observados_v4!K48&lt;&gt;"",(2017-2016)&lt;=Metodologia_v4!$B$13),"EST_CARRY_FORWARD",IF(AND(Dados_Observados_v4!M48&lt;&gt;"",(2018-2017)&lt;=Metodologia_v4!$B$14),"EST_CARRY_BACKWARD","SEM_DADO")))))</f>
        <v/>
      </c>
      <c r="M48" s="10">
        <f>IF(Dados_Observados_v4!M48&lt;&gt;"","OBS",IF(Dados_Ajustados_v4!M48="","SEM_DADO",IF(AND(Dados_Observados_v4!L48&lt;&gt;"",Dados_Observados_v4!N48&lt;&gt;"",(2019-2017-1)&lt;=Metodologia_v4!$B$12),"EST_INTERP_LINEAR",IF(AND(Dados_Observados_v4!L48&lt;&gt;"",(2018-2017)&lt;=Metodologia_v4!$B$13),"EST_CARRY_FORWARD",IF(AND(Dados_Observados_v4!N48&lt;&gt;"",(2019-2018)&lt;=Metodologia_v4!$B$14),"EST_CARRY_BACKWARD","SEM_DADO")))))</f>
        <v/>
      </c>
      <c r="N48" s="10">
        <f>IF(Dados_Observados_v4!N48&lt;&gt;"","OBS",IF(Dados_Ajustados_v4!N48="","SEM_DADO",IF(AND(Dados_Observados_v4!M48&lt;&gt;"",Dados_Observados_v4!O48&lt;&gt;"",(2020-2018-1)&lt;=Metodologia_v4!$B$12),"EST_INTERP_LINEAR",IF(AND(Dados_Observados_v4!M48&lt;&gt;"",(2019-2018)&lt;=Metodologia_v4!$B$13),"EST_CARRY_FORWARD",IF(AND(Dados_Observados_v4!O48&lt;&gt;"",(2020-2019)&lt;=Metodologia_v4!$B$14),"EST_CARRY_BACKWARD","SEM_DADO")))))</f>
        <v/>
      </c>
      <c r="O48" s="10">
        <f>IF(Dados_Observados_v4!O48&lt;&gt;"","OBS",IF(Dados_Ajustados_v4!O48="","SEM_DADO",IF(AND(Dados_Observados_v4!N48&lt;&gt;"",Dados_Observados_v4!P48&lt;&gt;"",(2021-2019-1)&lt;=Metodologia_v4!$B$12),"EST_INTERP_LINEAR",IF(AND(Dados_Observados_v4!N48&lt;&gt;"",(2020-2019)&lt;=Metodologia_v4!$B$13),"EST_CARRY_FORWARD",IF(AND(Dados_Observados_v4!P48&lt;&gt;"",(2021-2020)&lt;=Metodologia_v4!$B$14),"EST_CARRY_BACKWARD","SEM_DADO")))))</f>
        <v/>
      </c>
      <c r="P48" s="10">
        <f>IF(Dados_Observados_v4!P48&lt;&gt;"","OBS",IF(Dados_Ajustados_v4!P48="","SEM_DADO",IF(AND(Dados_Observados_v4!O48&lt;&gt;"",Dados_Observados_v4!Q48&lt;&gt;"",(2022-2020-1)&lt;=Metodologia_v4!$B$12),"EST_INTERP_LINEAR",IF(AND(Dados_Observados_v4!O48&lt;&gt;"",(2021-2020)&lt;=Metodologia_v4!$B$13),"EST_CARRY_FORWARD",IF(AND(Dados_Observados_v4!Q48&lt;&gt;"",(2022-2021)&lt;=Metodologia_v4!$B$14),"EST_CARRY_BACKWARD","SEM_DADO")))))</f>
        <v/>
      </c>
      <c r="Q48" s="10">
        <f>IF(Dados_Observados_v4!Q48&lt;&gt;"","OBS",IF(Dados_Ajustados_v4!Q48="","SEM_DADO",IF(AND(Dados_Observados_v4!P48&lt;&gt;"",Dados_Observados_v4!R48&lt;&gt;"",(2023-2021-1)&lt;=Metodologia_v4!$B$12),"EST_INTERP_LINEAR",IF(AND(Dados_Observados_v4!P48&lt;&gt;"",(2022-2021)&lt;=Metodologia_v4!$B$13),"EST_CARRY_FORWARD",IF(AND(Dados_Observados_v4!R48&lt;&gt;"",(2023-2022)&lt;=Metodologia_v4!$B$14),"EST_CARRY_BACKWARD","SEM_DADO")))))</f>
        <v/>
      </c>
      <c r="R48" s="10">
        <f>IF(Dados_Observados_v4!R48&lt;&gt;"","OBS",IF(Dados_Ajustados_v4!R48="","SEM_DADO",IF(AND(Dados_Observados_v4!Q48&lt;&gt;"",Dados_Observados_v4!S48&lt;&gt;"",(2024-2022-1)&lt;=Metodologia_v4!$B$12),"EST_INTERP_LINEAR",IF(AND(Dados_Observados_v4!Q48&lt;&gt;"",(2023-2022)&lt;=Metodologia_v4!$B$13),"EST_CARRY_FORWARD",IF(AND(Dados_Observados_v4!S48&lt;&gt;"",(2024-2023)&lt;=Metodologia_v4!$B$14),"EST_CARRY_BACKWARD","SEM_DADO")))))</f>
        <v/>
      </c>
      <c r="S48" s="10">
        <f>IF(Dados_Observados_v4!S48&lt;&gt;"","OBS",IF(Dados_Ajustados_v4!S48="","SEM_DADO",IF(AND(Dados_Observados_v4!R48&lt;&gt;"",Dados_Observados_v4!T48&lt;&gt;"",(2025-2023-1)&lt;=Metodologia_v4!$B$12),"EST_INTERP_LINEAR",IF(AND(Dados_Observados_v4!R48&lt;&gt;"",(2024-2023)&lt;=Metodologia_v4!$B$13),"EST_CARRY_FORWARD",IF(AND(Dados_Observados_v4!T48&lt;&gt;"",(2025-2024)&lt;=Metodologia_v4!$B$14),"EST_CARRY_BACKWARD","SEM_DADO")))))</f>
        <v/>
      </c>
      <c r="T48" s="10">
        <f>IF(Dados_Observados_v4!T48&lt;&gt;"","OBS",IF(Dados_Ajustados_v4!T48="","SEM_DADO",IF(AND(Dados_Observados_v4!S48&lt;&gt;"",(2025-2024)&lt;=Metodologia_v4!$B$13),"EST_CARRY_FORWARD","SEM_DADO")))</f>
        <v/>
      </c>
    </row>
    <row r="49">
      <c r="A49" s="5" t="inlineStr">
        <is>
          <t>LAB07</t>
        </is>
      </c>
      <c r="B49" s="5" t="inlineStr">
        <is>
          <t>6. Mercado de Trabalho</t>
        </is>
      </c>
      <c r="C49" s="5" t="inlineStr">
        <is>
          <t>PIB por pessoa empregada</t>
        </is>
      </c>
      <c r="D49" s="5" t="inlineStr">
        <is>
          <t>Banco Mundial/OIT</t>
        </is>
      </c>
      <c r="E49" s="5" t="inlineStr">
        <is>
          <t>SL.GDP.PCAP.EM.KD</t>
        </is>
      </c>
      <c r="F49" s="5" t="inlineStr">
        <is>
          <t>Fonte Banco Mundial API/CSV</t>
        </is>
      </c>
      <c r="G49" s="5" t="inlineStr">
        <is>
          <t>10/11</t>
        </is>
      </c>
      <c r="H49" s="5" t="n">
        <v>2024</v>
      </c>
      <c r="I49" s="5" t="inlineStr">
        <is>
          <t>Referenciado pelas regras de Metodologia_v4</t>
        </is>
      </c>
      <c r="J49" s="10">
        <f>IF(Dados_Observados_v4!J49&lt;&gt;"","OBS",IF(Dados_Ajustados_v4!J49="","SEM_DADO",IF(AND(Dados_Observados_v4!K49&lt;&gt;"",(2016-2015)&lt;=Metodologia_v4!$B$14),"EST_CARRY_BACKWARD","SEM_DADO")))</f>
        <v/>
      </c>
      <c r="K49" s="10">
        <f>IF(Dados_Observados_v4!K49&lt;&gt;"","OBS",IF(Dados_Ajustados_v4!K49="","SEM_DADO",IF(AND(Dados_Observados_v4!J49&lt;&gt;"",Dados_Observados_v4!L49&lt;&gt;"",(2017-2015-1)&lt;=Metodologia_v4!$B$12),"EST_INTERP_LINEAR",IF(AND(Dados_Observados_v4!J49&lt;&gt;"",(2016-2015)&lt;=Metodologia_v4!$B$13),"EST_CARRY_FORWARD",IF(AND(Dados_Observados_v4!L49&lt;&gt;"",(2017-2016)&lt;=Metodologia_v4!$B$14),"EST_CARRY_BACKWARD","SEM_DADO")))))</f>
        <v/>
      </c>
      <c r="L49" s="10">
        <f>IF(Dados_Observados_v4!L49&lt;&gt;"","OBS",IF(Dados_Ajustados_v4!L49="","SEM_DADO",IF(AND(Dados_Observados_v4!K49&lt;&gt;"",Dados_Observados_v4!M49&lt;&gt;"",(2018-2016-1)&lt;=Metodologia_v4!$B$12),"EST_INTERP_LINEAR",IF(AND(Dados_Observados_v4!K49&lt;&gt;"",(2017-2016)&lt;=Metodologia_v4!$B$13),"EST_CARRY_FORWARD",IF(AND(Dados_Observados_v4!M49&lt;&gt;"",(2018-2017)&lt;=Metodologia_v4!$B$14),"EST_CARRY_BACKWARD","SEM_DADO")))))</f>
        <v/>
      </c>
      <c r="M49" s="10">
        <f>IF(Dados_Observados_v4!M49&lt;&gt;"","OBS",IF(Dados_Ajustados_v4!M49="","SEM_DADO",IF(AND(Dados_Observados_v4!L49&lt;&gt;"",Dados_Observados_v4!N49&lt;&gt;"",(2019-2017-1)&lt;=Metodologia_v4!$B$12),"EST_INTERP_LINEAR",IF(AND(Dados_Observados_v4!L49&lt;&gt;"",(2018-2017)&lt;=Metodologia_v4!$B$13),"EST_CARRY_FORWARD",IF(AND(Dados_Observados_v4!N49&lt;&gt;"",(2019-2018)&lt;=Metodologia_v4!$B$14),"EST_CARRY_BACKWARD","SEM_DADO")))))</f>
        <v/>
      </c>
      <c r="N49" s="10">
        <f>IF(Dados_Observados_v4!N49&lt;&gt;"","OBS",IF(Dados_Ajustados_v4!N49="","SEM_DADO",IF(AND(Dados_Observados_v4!M49&lt;&gt;"",Dados_Observados_v4!O49&lt;&gt;"",(2020-2018-1)&lt;=Metodologia_v4!$B$12),"EST_INTERP_LINEAR",IF(AND(Dados_Observados_v4!M49&lt;&gt;"",(2019-2018)&lt;=Metodologia_v4!$B$13),"EST_CARRY_FORWARD",IF(AND(Dados_Observados_v4!O49&lt;&gt;"",(2020-2019)&lt;=Metodologia_v4!$B$14),"EST_CARRY_BACKWARD","SEM_DADO")))))</f>
        <v/>
      </c>
      <c r="O49" s="10">
        <f>IF(Dados_Observados_v4!O49&lt;&gt;"","OBS",IF(Dados_Ajustados_v4!O49="","SEM_DADO",IF(AND(Dados_Observados_v4!N49&lt;&gt;"",Dados_Observados_v4!P49&lt;&gt;"",(2021-2019-1)&lt;=Metodologia_v4!$B$12),"EST_INTERP_LINEAR",IF(AND(Dados_Observados_v4!N49&lt;&gt;"",(2020-2019)&lt;=Metodologia_v4!$B$13),"EST_CARRY_FORWARD",IF(AND(Dados_Observados_v4!P49&lt;&gt;"",(2021-2020)&lt;=Metodologia_v4!$B$14),"EST_CARRY_BACKWARD","SEM_DADO")))))</f>
        <v/>
      </c>
      <c r="P49" s="10">
        <f>IF(Dados_Observados_v4!P49&lt;&gt;"","OBS",IF(Dados_Ajustados_v4!P49="","SEM_DADO",IF(AND(Dados_Observados_v4!O49&lt;&gt;"",Dados_Observados_v4!Q49&lt;&gt;"",(2022-2020-1)&lt;=Metodologia_v4!$B$12),"EST_INTERP_LINEAR",IF(AND(Dados_Observados_v4!O49&lt;&gt;"",(2021-2020)&lt;=Metodologia_v4!$B$13),"EST_CARRY_FORWARD",IF(AND(Dados_Observados_v4!Q49&lt;&gt;"",(2022-2021)&lt;=Metodologia_v4!$B$14),"EST_CARRY_BACKWARD","SEM_DADO")))))</f>
        <v/>
      </c>
      <c r="Q49" s="10">
        <f>IF(Dados_Observados_v4!Q49&lt;&gt;"","OBS",IF(Dados_Ajustados_v4!Q49="","SEM_DADO",IF(AND(Dados_Observados_v4!P49&lt;&gt;"",Dados_Observados_v4!R49&lt;&gt;"",(2023-2021-1)&lt;=Metodologia_v4!$B$12),"EST_INTERP_LINEAR",IF(AND(Dados_Observados_v4!P49&lt;&gt;"",(2022-2021)&lt;=Metodologia_v4!$B$13),"EST_CARRY_FORWARD",IF(AND(Dados_Observados_v4!R49&lt;&gt;"",(2023-2022)&lt;=Metodologia_v4!$B$14),"EST_CARRY_BACKWARD","SEM_DADO")))))</f>
        <v/>
      </c>
      <c r="R49" s="10">
        <f>IF(Dados_Observados_v4!R49&lt;&gt;"","OBS",IF(Dados_Ajustados_v4!R49="","SEM_DADO",IF(AND(Dados_Observados_v4!Q49&lt;&gt;"",Dados_Observados_v4!S49&lt;&gt;"",(2024-2022-1)&lt;=Metodologia_v4!$B$12),"EST_INTERP_LINEAR",IF(AND(Dados_Observados_v4!Q49&lt;&gt;"",(2023-2022)&lt;=Metodologia_v4!$B$13),"EST_CARRY_FORWARD",IF(AND(Dados_Observados_v4!S49&lt;&gt;"",(2024-2023)&lt;=Metodologia_v4!$B$14),"EST_CARRY_BACKWARD","SEM_DADO")))))</f>
        <v/>
      </c>
      <c r="S49" s="10">
        <f>IF(Dados_Observados_v4!S49&lt;&gt;"","OBS",IF(Dados_Ajustados_v4!S49="","SEM_DADO",IF(AND(Dados_Observados_v4!R49&lt;&gt;"",(2024-2023)&lt;=Metodologia_v4!$B$13),"EST_CARRY_FORWARD","SEM_DADO")))</f>
        <v/>
      </c>
      <c r="T49" s="10">
        <f>IF(Dados_Observados_v4!T49&lt;&gt;"","OBS",IF(Dados_Ajustados_v4!T49="","SEM_DADO",IF(AND(Dados_Observados_v4!S49&lt;&gt;"",(2025-2024)&lt;=Metodologia_v4!$B$13),"EST_CARRY_FORWARD","SEM_DADO")))</f>
        <v/>
      </c>
    </row>
    <row r="50">
      <c r="A50" s="5" t="inlineStr">
        <is>
          <t>LAB08</t>
        </is>
      </c>
      <c r="B50" s="5" t="inlineStr">
        <is>
          <t>6. Mercado de Trabalho</t>
        </is>
      </c>
      <c r="C50" s="5" t="inlineStr">
        <is>
          <t>Emprego informal</t>
        </is>
      </c>
      <c r="D50" s="5" t="inlineStr">
        <is>
          <t>INE / ficheiro base</t>
        </is>
      </c>
      <c r="E50" s="5" t="inlineStr"/>
      <c r="F50" s="5" t="inlineStr">
        <is>
          <t>Série observada do ficheiro base</t>
        </is>
      </c>
      <c r="G50" s="5" t="inlineStr">
        <is>
          <t>7/11</t>
        </is>
      </c>
      <c r="H50" s="5" t="n">
        <v>2025</v>
      </c>
      <c r="I50" s="5" t="inlineStr">
        <is>
          <t>Referenciado pelas regras de Metodologia_v4</t>
        </is>
      </c>
      <c r="J50" s="10">
        <f>IF(Dados_Observados_v4!J50&lt;&gt;"","OBS",IF(Dados_Ajustados_v4!J50="","SEM_DADO",IF(AND(Dados_Observados_v4!N50&lt;&gt;"",(2019-2015)&lt;=Metodologia_v4!$B$14),"EST_CARRY_BACKWARD","SEM_DADO")))</f>
        <v/>
      </c>
      <c r="K50" s="10">
        <f>IF(Dados_Observados_v4!K50&lt;&gt;"","OBS",IF(Dados_Ajustados_v4!K50="","SEM_DADO",IF(AND(Dados_Observados_v4!N50&lt;&gt;"",(2019-2016)&lt;=Metodologia_v4!$B$14),"EST_CARRY_BACKWARD","SEM_DADO")))</f>
        <v/>
      </c>
      <c r="L50" s="10">
        <f>IF(Dados_Observados_v4!L50&lt;&gt;"","OBS",IF(Dados_Ajustados_v4!L50="","SEM_DADO",IF(AND(Dados_Observados_v4!N50&lt;&gt;"",(2019-2017)&lt;=Metodologia_v4!$B$14),"EST_CARRY_BACKWARD","SEM_DADO")))</f>
        <v/>
      </c>
      <c r="M50" s="10">
        <f>IF(Dados_Observados_v4!M50&lt;&gt;"","OBS",IF(Dados_Ajustados_v4!M50="","SEM_DADO",IF(AND(Dados_Observados_v4!N50&lt;&gt;"",(2019-2018)&lt;=Metodologia_v4!$B$14),"EST_CARRY_BACKWARD","SEM_DADO")))</f>
        <v/>
      </c>
      <c r="N50" s="10">
        <f>IF(Dados_Observados_v4!N50&lt;&gt;"","OBS",IF(Dados_Ajustados_v4!N50="","SEM_DADO",IF(AND(Dados_Observados_v4!O50&lt;&gt;"",(2020-2019)&lt;=Metodologia_v4!$B$14),"EST_CARRY_BACKWARD","SEM_DADO")))</f>
        <v/>
      </c>
      <c r="O50" s="10">
        <f>IF(Dados_Observados_v4!O50&lt;&gt;"","OBS",IF(Dados_Ajustados_v4!O50="","SEM_DADO",IF(AND(Dados_Observados_v4!N50&lt;&gt;"",Dados_Observados_v4!P50&lt;&gt;"",(2021-2019-1)&lt;=Metodologia_v4!$B$12),"EST_INTERP_LINEAR",IF(AND(Dados_Observados_v4!N50&lt;&gt;"",(2020-2019)&lt;=Metodologia_v4!$B$13),"EST_CARRY_FORWARD",IF(AND(Dados_Observados_v4!P50&lt;&gt;"",(2021-2020)&lt;=Metodologia_v4!$B$14),"EST_CARRY_BACKWARD","SEM_DADO")))))</f>
        <v/>
      </c>
      <c r="P50" s="10">
        <f>IF(Dados_Observados_v4!P50&lt;&gt;"","OBS",IF(Dados_Ajustados_v4!P50="","SEM_DADO",IF(AND(Dados_Observados_v4!O50&lt;&gt;"",Dados_Observados_v4!Q50&lt;&gt;"",(2022-2020-1)&lt;=Metodologia_v4!$B$12),"EST_INTERP_LINEAR",IF(AND(Dados_Observados_v4!O50&lt;&gt;"",(2021-2020)&lt;=Metodologia_v4!$B$13),"EST_CARRY_FORWARD",IF(AND(Dados_Observados_v4!Q50&lt;&gt;"",(2022-2021)&lt;=Metodologia_v4!$B$14),"EST_CARRY_BACKWARD","SEM_DADO")))))</f>
        <v/>
      </c>
      <c r="Q50" s="10">
        <f>IF(Dados_Observados_v4!Q50&lt;&gt;"","OBS",IF(Dados_Ajustados_v4!Q50="","SEM_DADO",IF(AND(Dados_Observados_v4!P50&lt;&gt;"",Dados_Observados_v4!R50&lt;&gt;"",(2023-2021-1)&lt;=Metodologia_v4!$B$12),"EST_INTERP_LINEAR",IF(AND(Dados_Observados_v4!P50&lt;&gt;"",(2022-2021)&lt;=Metodologia_v4!$B$13),"EST_CARRY_FORWARD",IF(AND(Dados_Observados_v4!R50&lt;&gt;"",(2023-2022)&lt;=Metodologia_v4!$B$14),"EST_CARRY_BACKWARD","SEM_DADO")))))</f>
        <v/>
      </c>
      <c r="R50" s="10">
        <f>IF(Dados_Observados_v4!R50&lt;&gt;"","OBS",IF(Dados_Ajustados_v4!R50="","SEM_DADO",IF(AND(Dados_Observados_v4!Q50&lt;&gt;"",Dados_Observados_v4!S50&lt;&gt;"",(2024-2022-1)&lt;=Metodologia_v4!$B$12),"EST_INTERP_LINEAR",IF(AND(Dados_Observados_v4!Q50&lt;&gt;"",(2023-2022)&lt;=Metodologia_v4!$B$13),"EST_CARRY_FORWARD",IF(AND(Dados_Observados_v4!S50&lt;&gt;"",(2024-2023)&lt;=Metodologia_v4!$B$14),"EST_CARRY_BACKWARD","SEM_DADO")))))</f>
        <v/>
      </c>
      <c r="S50" s="10">
        <f>IF(Dados_Observados_v4!S50&lt;&gt;"","OBS",IF(Dados_Ajustados_v4!S50="","SEM_DADO",IF(AND(Dados_Observados_v4!R50&lt;&gt;"",Dados_Observados_v4!T50&lt;&gt;"",(2025-2023-1)&lt;=Metodologia_v4!$B$12),"EST_INTERP_LINEAR",IF(AND(Dados_Observados_v4!R50&lt;&gt;"",(2024-2023)&lt;=Metodologia_v4!$B$13),"EST_CARRY_FORWARD",IF(AND(Dados_Observados_v4!T50&lt;&gt;"",(2025-2024)&lt;=Metodologia_v4!$B$14),"EST_CARRY_BACKWARD","SEM_DADO")))))</f>
        <v/>
      </c>
      <c r="T50" s="10">
        <f>IF(Dados_Observados_v4!T50&lt;&gt;"","OBS",IF(Dados_Ajustados_v4!T50="","SEM_DADO",IF(AND(Dados_Observados_v4!S50&lt;&gt;"",(2025-2024)&lt;=Metodologia_v4!$B$13),"EST_CARRY_FORWARD","SEM_DADO")))</f>
        <v/>
      </c>
    </row>
    <row r="51">
      <c r="A51" s="5" t="inlineStr">
        <is>
          <t>LAB09</t>
        </is>
      </c>
      <c r="B51" s="5" t="inlineStr">
        <is>
          <t>6. Mercado de Trabalho</t>
        </is>
      </c>
      <c r="C51" s="5" t="inlineStr">
        <is>
          <t>Taxa de formalização</t>
        </is>
      </c>
      <c r="D51" s="5" t="inlineStr">
        <is>
          <t>INSS / ficheiro base</t>
        </is>
      </c>
      <c r="E51" s="5" t="inlineStr"/>
      <c r="F51" s="5" t="inlineStr">
        <is>
          <t>Série observada do ficheiro base</t>
        </is>
      </c>
      <c r="G51" s="5" t="inlineStr">
        <is>
          <t>7/11</t>
        </is>
      </c>
      <c r="H51" s="5" t="n">
        <v>2025</v>
      </c>
      <c r="I51" s="5" t="inlineStr">
        <is>
          <t>Referenciado pelas regras de Metodologia_v4</t>
        </is>
      </c>
      <c r="J51" s="10">
        <f>IF(Dados_Observados_v4!J51&lt;&gt;"","OBS",IF(Dados_Ajustados_v4!J51="","SEM_DADO",IF(AND(Dados_Observados_v4!N51&lt;&gt;"",(2019-2015)&lt;=Metodologia_v4!$B$14),"EST_CARRY_BACKWARD","SEM_DADO")))</f>
        <v/>
      </c>
      <c r="K51" s="10">
        <f>IF(Dados_Observados_v4!K51&lt;&gt;"","OBS",IF(Dados_Ajustados_v4!K51="","SEM_DADO",IF(AND(Dados_Observados_v4!N51&lt;&gt;"",(2019-2016)&lt;=Metodologia_v4!$B$14),"EST_CARRY_BACKWARD","SEM_DADO")))</f>
        <v/>
      </c>
      <c r="L51" s="10">
        <f>IF(Dados_Observados_v4!L51&lt;&gt;"","OBS",IF(Dados_Ajustados_v4!L51="","SEM_DADO",IF(AND(Dados_Observados_v4!N51&lt;&gt;"",(2019-2017)&lt;=Metodologia_v4!$B$14),"EST_CARRY_BACKWARD","SEM_DADO")))</f>
        <v/>
      </c>
      <c r="M51" s="10">
        <f>IF(Dados_Observados_v4!M51&lt;&gt;"","OBS",IF(Dados_Ajustados_v4!M51="","SEM_DADO",IF(AND(Dados_Observados_v4!N51&lt;&gt;"",(2019-2018)&lt;=Metodologia_v4!$B$14),"EST_CARRY_BACKWARD","SEM_DADO")))</f>
        <v/>
      </c>
      <c r="N51" s="10">
        <f>IF(Dados_Observados_v4!N51&lt;&gt;"","OBS",IF(Dados_Ajustados_v4!N51="","SEM_DADO",IF(AND(Dados_Observados_v4!O51&lt;&gt;"",(2020-2019)&lt;=Metodologia_v4!$B$14),"EST_CARRY_BACKWARD","SEM_DADO")))</f>
        <v/>
      </c>
      <c r="O51" s="10">
        <f>IF(Dados_Observados_v4!O51&lt;&gt;"","OBS",IF(Dados_Ajustados_v4!O51="","SEM_DADO",IF(AND(Dados_Observados_v4!N51&lt;&gt;"",Dados_Observados_v4!P51&lt;&gt;"",(2021-2019-1)&lt;=Metodologia_v4!$B$12),"EST_INTERP_LINEAR",IF(AND(Dados_Observados_v4!N51&lt;&gt;"",(2020-2019)&lt;=Metodologia_v4!$B$13),"EST_CARRY_FORWARD",IF(AND(Dados_Observados_v4!P51&lt;&gt;"",(2021-2020)&lt;=Metodologia_v4!$B$14),"EST_CARRY_BACKWARD","SEM_DADO")))))</f>
        <v/>
      </c>
      <c r="P51" s="10">
        <f>IF(Dados_Observados_v4!P51&lt;&gt;"","OBS",IF(Dados_Ajustados_v4!P51="","SEM_DADO",IF(AND(Dados_Observados_v4!O51&lt;&gt;"",Dados_Observados_v4!Q51&lt;&gt;"",(2022-2020-1)&lt;=Metodologia_v4!$B$12),"EST_INTERP_LINEAR",IF(AND(Dados_Observados_v4!O51&lt;&gt;"",(2021-2020)&lt;=Metodologia_v4!$B$13),"EST_CARRY_FORWARD",IF(AND(Dados_Observados_v4!Q51&lt;&gt;"",(2022-2021)&lt;=Metodologia_v4!$B$14),"EST_CARRY_BACKWARD","SEM_DADO")))))</f>
        <v/>
      </c>
      <c r="Q51" s="10">
        <f>IF(Dados_Observados_v4!Q51&lt;&gt;"","OBS",IF(Dados_Ajustados_v4!Q51="","SEM_DADO",IF(AND(Dados_Observados_v4!P51&lt;&gt;"",Dados_Observados_v4!R51&lt;&gt;"",(2023-2021-1)&lt;=Metodologia_v4!$B$12),"EST_INTERP_LINEAR",IF(AND(Dados_Observados_v4!P51&lt;&gt;"",(2022-2021)&lt;=Metodologia_v4!$B$13),"EST_CARRY_FORWARD",IF(AND(Dados_Observados_v4!R51&lt;&gt;"",(2023-2022)&lt;=Metodologia_v4!$B$14),"EST_CARRY_BACKWARD","SEM_DADO")))))</f>
        <v/>
      </c>
      <c r="R51" s="10">
        <f>IF(Dados_Observados_v4!R51&lt;&gt;"","OBS",IF(Dados_Ajustados_v4!R51="","SEM_DADO",IF(AND(Dados_Observados_v4!Q51&lt;&gt;"",Dados_Observados_v4!S51&lt;&gt;"",(2024-2022-1)&lt;=Metodologia_v4!$B$12),"EST_INTERP_LINEAR",IF(AND(Dados_Observados_v4!Q51&lt;&gt;"",(2023-2022)&lt;=Metodologia_v4!$B$13),"EST_CARRY_FORWARD",IF(AND(Dados_Observados_v4!S51&lt;&gt;"",(2024-2023)&lt;=Metodologia_v4!$B$14),"EST_CARRY_BACKWARD","SEM_DADO")))))</f>
        <v/>
      </c>
      <c r="S51" s="10">
        <f>IF(Dados_Observados_v4!S51&lt;&gt;"","OBS",IF(Dados_Ajustados_v4!S51="","SEM_DADO",IF(AND(Dados_Observados_v4!R51&lt;&gt;"",Dados_Observados_v4!T51&lt;&gt;"",(2025-2023-1)&lt;=Metodologia_v4!$B$12),"EST_INTERP_LINEAR",IF(AND(Dados_Observados_v4!R51&lt;&gt;"",(2024-2023)&lt;=Metodologia_v4!$B$13),"EST_CARRY_FORWARD",IF(AND(Dados_Observados_v4!T51&lt;&gt;"",(2025-2024)&lt;=Metodologia_v4!$B$14),"EST_CARRY_BACKWARD","SEM_DADO")))))</f>
        <v/>
      </c>
      <c r="T51" s="10">
        <f>IF(Dados_Observados_v4!T51&lt;&gt;"","OBS",IF(Dados_Ajustados_v4!T51="","SEM_DADO",IF(AND(Dados_Observados_v4!S51&lt;&gt;"",(2025-2024)&lt;=Metodologia_v4!$B$13),"EST_CARRY_FORWARD","SEM_DADO")))</f>
        <v/>
      </c>
    </row>
    <row r="52">
      <c r="A52" s="5" t="inlineStr">
        <is>
          <t>SAU01</t>
        </is>
      </c>
      <c r="B52" s="5" t="inlineStr">
        <is>
          <t>7. Segurança Alimentar e Saúde</t>
        </is>
      </c>
      <c r="C52" s="5" t="inlineStr">
        <is>
          <t>Prevalência de subalimentação</t>
        </is>
      </c>
      <c r="D52" s="5" t="inlineStr">
        <is>
          <t>Banco Mundial/FAO</t>
        </is>
      </c>
      <c r="E52" s="5" t="inlineStr">
        <is>
          <t>SN.ITK.DEFC.ZS</t>
        </is>
      </c>
      <c r="F52" s="5" t="inlineStr">
        <is>
          <t>Fonte Banco Mundial API/CSV</t>
        </is>
      </c>
      <c r="G52" s="5" t="inlineStr">
        <is>
          <t>9/11</t>
        </is>
      </c>
      <c r="H52" s="5" t="n">
        <v>2023</v>
      </c>
      <c r="I52" s="5" t="inlineStr">
        <is>
          <t>Referenciado pelas regras de Metodologia_v4</t>
        </is>
      </c>
      <c r="J52" s="10">
        <f>IF(Dados_Observados_v4!J52&lt;&gt;"","OBS",IF(Dados_Ajustados_v4!J52="","SEM_DADO",IF(AND(Dados_Observados_v4!K52&lt;&gt;"",(2016-2015)&lt;=Metodologia_v4!$B$14),"EST_CARRY_BACKWARD","SEM_DADO")))</f>
        <v/>
      </c>
      <c r="K52" s="10">
        <f>IF(Dados_Observados_v4!K52&lt;&gt;"","OBS",IF(Dados_Ajustados_v4!K52="","SEM_DADO",IF(AND(Dados_Observados_v4!J52&lt;&gt;"",Dados_Observados_v4!L52&lt;&gt;"",(2017-2015-1)&lt;=Metodologia_v4!$B$12),"EST_INTERP_LINEAR",IF(AND(Dados_Observados_v4!J52&lt;&gt;"",(2016-2015)&lt;=Metodologia_v4!$B$13),"EST_CARRY_FORWARD",IF(AND(Dados_Observados_v4!L52&lt;&gt;"",(2017-2016)&lt;=Metodologia_v4!$B$14),"EST_CARRY_BACKWARD","SEM_DADO")))))</f>
        <v/>
      </c>
      <c r="L52" s="10">
        <f>IF(Dados_Observados_v4!L52&lt;&gt;"","OBS",IF(Dados_Ajustados_v4!L52="","SEM_DADO",IF(AND(Dados_Observados_v4!K52&lt;&gt;"",Dados_Observados_v4!M52&lt;&gt;"",(2018-2016-1)&lt;=Metodologia_v4!$B$12),"EST_INTERP_LINEAR",IF(AND(Dados_Observados_v4!K52&lt;&gt;"",(2017-2016)&lt;=Metodologia_v4!$B$13),"EST_CARRY_FORWARD",IF(AND(Dados_Observados_v4!M52&lt;&gt;"",(2018-2017)&lt;=Metodologia_v4!$B$14),"EST_CARRY_BACKWARD","SEM_DADO")))))</f>
        <v/>
      </c>
      <c r="M52" s="10">
        <f>IF(Dados_Observados_v4!M52&lt;&gt;"","OBS",IF(Dados_Ajustados_v4!M52="","SEM_DADO",IF(AND(Dados_Observados_v4!L52&lt;&gt;"",Dados_Observados_v4!N52&lt;&gt;"",(2019-2017-1)&lt;=Metodologia_v4!$B$12),"EST_INTERP_LINEAR",IF(AND(Dados_Observados_v4!L52&lt;&gt;"",(2018-2017)&lt;=Metodologia_v4!$B$13),"EST_CARRY_FORWARD",IF(AND(Dados_Observados_v4!N52&lt;&gt;"",(2019-2018)&lt;=Metodologia_v4!$B$14),"EST_CARRY_BACKWARD","SEM_DADO")))))</f>
        <v/>
      </c>
      <c r="N52" s="10">
        <f>IF(Dados_Observados_v4!N52&lt;&gt;"","OBS",IF(Dados_Ajustados_v4!N52="","SEM_DADO",IF(AND(Dados_Observados_v4!M52&lt;&gt;"",Dados_Observados_v4!O52&lt;&gt;"",(2020-2018-1)&lt;=Metodologia_v4!$B$12),"EST_INTERP_LINEAR",IF(AND(Dados_Observados_v4!M52&lt;&gt;"",(2019-2018)&lt;=Metodologia_v4!$B$13),"EST_CARRY_FORWARD",IF(AND(Dados_Observados_v4!O52&lt;&gt;"",(2020-2019)&lt;=Metodologia_v4!$B$14),"EST_CARRY_BACKWARD","SEM_DADO")))))</f>
        <v/>
      </c>
      <c r="O52" s="10">
        <f>IF(Dados_Observados_v4!O52&lt;&gt;"","OBS",IF(Dados_Ajustados_v4!O52="","SEM_DADO",IF(AND(Dados_Observados_v4!N52&lt;&gt;"",Dados_Observados_v4!P52&lt;&gt;"",(2021-2019-1)&lt;=Metodologia_v4!$B$12),"EST_INTERP_LINEAR",IF(AND(Dados_Observados_v4!N52&lt;&gt;"",(2020-2019)&lt;=Metodologia_v4!$B$13),"EST_CARRY_FORWARD",IF(AND(Dados_Observados_v4!P52&lt;&gt;"",(2021-2020)&lt;=Metodologia_v4!$B$14),"EST_CARRY_BACKWARD","SEM_DADO")))))</f>
        <v/>
      </c>
      <c r="P52" s="10">
        <f>IF(Dados_Observados_v4!P52&lt;&gt;"","OBS",IF(Dados_Ajustados_v4!P52="","SEM_DADO",IF(AND(Dados_Observados_v4!O52&lt;&gt;"",Dados_Observados_v4!Q52&lt;&gt;"",(2022-2020-1)&lt;=Metodologia_v4!$B$12),"EST_INTERP_LINEAR",IF(AND(Dados_Observados_v4!O52&lt;&gt;"",(2021-2020)&lt;=Metodologia_v4!$B$13),"EST_CARRY_FORWARD",IF(AND(Dados_Observados_v4!Q52&lt;&gt;"",(2022-2021)&lt;=Metodologia_v4!$B$14),"EST_CARRY_BACKWARD","SEM_DADO")))))</f>
        <v/>
      </c>
      <c r="Q52" s="10">
        <f>IF(Dados_Observados_v4!Q52&lt;&gt;"","OBS",IF(Dados_Ajustados_v4!Q52="","SEM_DADO",IF(AND(Dados_Observados_v4!P52&lt;&gt;"",Dados_Observados_v4!R52&lt;&gt;"",(2023-2021-1)&lt;=Metodologia_v4!$B$12),"EST_INTERP_LINEAR",IF(AND(Dados_Observados_v4!P52&lt;&gt;"",(2022-2021)&lt;=Metodologia_v4!$B$13),"EST_CARRY_FORWARD",IF(AND(Dados_Observados_v4!R52&lt;&gt;"",(2023-2022)&lt;=Metodologia_v4!$B$14),"EST_CARRY_BACKWARD","SEM_DADO")))))</f>
        <v/>
      </c>
      <c r="R52" s="10">
        <f>IF(Dados_Observados_v4!R52&lt;&gt;"","OBS",IF(Dados_Ajustados_v4!R52="","SEM_DADO",IF(AND(Dados_Observados_v4!Q52&lt;&gt;"",(2023-2022)&lt;=Metodologia_v4!$B$13),"EST_CARRY_FORWARD","SEM_DADO")))</f>
        <v/>
      </c>
      <c r="S52" s="10">
        <f>IF(Dados_Observados_v4!S52&lt;&gt;"","OBS",IF(Dados_Ajustados_v4!S52="","SEM_DADO",IF(AND(Dados_Observados_v4!R52&lt;&gt;"",(2024-2023)&lt;=Metodologia_v4!$B$13),"EST_CARRY_FORWARD","SEM_DADO")))</f>
        <v/>
      </c>
      <c r="T52" s="10">
        <f>IF(Dados_Observados_v4!T52&lt;&gt;"","OBS",IF(Dados_Ajustados_v4!T52="","SEM_DADO",IF(AND(Dados_Observados_v4!R52&lt;&gt;"",(2025-2023)&lt;=Metodologia_v4!$B$13),"EST_CARRY_FORWARD","SEM_DADO")))</f>
        <v/>
      </c>
    </row>
    <row r="53">
      <c r="A53" s="5" t="inlineStr">
        <is>
          <t>SAU02</t>
        </is>
      </c>
      <c r="B53" s="5" t="inlineStr">
        <is>
          <t>7. Segurança Alimentar e Saúde</t>
        </is>
      </c>
      <c r="C53" s="5" t="inlineStr">
        <is>
          <t>Insegurança alimentar moderada ou severa</t>
        </is>
      </c>
      <c r="D53" s="5" t="inlineStr">
        <is>
          <t>Banco Mundial/FAO</t>
        </is>
      </c>
      <c r="E53" s="5" t="inlineStr">
        <is>
          <t>SN.ITK.MSFI.ZS</t>
        </is>
      </c>
      <c r="F53" s="5" t="inlineStr">
        <is>
          <t>Fonte Banco Mundial API/CSV</t>
        </is>
      </c>
      <c r="G53" s="5" t="inlineStr">
        <is>
          <t>3/11</t>
        </is>
      </c>
      <c r="H53" s="5" t="n">
        <v>2021</v>
      </c>
      <c r="I53" s="5" t="inlineStr">
        <is>
          <t>Referenciado pelas regras de Metodologia_v4</t>
        </is>
      </c>
      <c r="J53" s="10">
        <f>IF(Dados_Observados_v4!J53&lt;&gt;"","OBS",IF(Dados_Ajustados_v4!J53="","SEM_DADO",IF(AND(Dados_Observados_v4!N53&lt;&gt;"",(2019-2015)&lt;=Metodologia_v4!$B$14),"EST_CARRY_BACKWARD","SEM_DADO")))</f>
        <v/>
      </c>
      <c r="K53" s="10">
        <f>IF(Dados_Observados_v4!K53&lt;&gt;"","OBS",IF(Dados_Ajustados_v4!K53="","SEM_DADO",IF(AND(Dados_Observados_v4!N53&lt;&gt;"",(2019-2016)&lt;=Metodologia_v4!$B$14),"EST_CARRY_BACKWARD","SEM_DADO")))</f>
        <v/>
      </c>
      <c r="L53" s="10">
        <f>IF(Dados_Observados_v4!L53&lt;&gt;"","OBS",IF(Dados_Ajustados_v4!L53="","SEM_DADO",IF(AND(Dados_Observados_v4!N53&lt;&gt;"",(2019-2017)&lt;=Metodologia_v4!$B$14),"EST_CARRY_BACKWARD","SEM_DADO")))</f>
        <v/>
      </c>
      <c r="M53" s="10">
        <f>IF(Dados_Observados_v4!M53&lt;&gt;"","OBS",IF(Dados_Ajustados_v4!M53="","SEM_DADO",IF(AND(Dados_Observados_v4!N53&lt;&gt;"",(2019-2018)&lt;=Metodologia_v4!$B$14),"EST_CARRY_BACKWARD","SEM_DADO")))</f>
        <v/>
      </c>
      <c r="N53" s="10">
        <f>IF(Dados_Observados_v4!N53&lt;&gt;"","OBS",IF(Dados_Ajustados_v4!N53="","SEM_DADO",IF(AND(Dados_Observados_v4!O53&lt;&gt;"",(2020-2019)&lt;=Metodologia_v4!$B$14),"EST_CARRY_BACKWARD","SEM_DADO")))</f>
        <v/>
      </c>
      <c r="O53" s="10">
        <f>IF(Dados_Observados_v4!O53&lt;&gt;"","OBS",IF(Dados_Ajustados_v4!O53="","SEM_DADO",IF(AND(Dados_Observados_v4!N53&lt;&gt;"",Dados_Observados_v4!P53&lt;&gt;"",(2021-2019-1)&lt;=Metodologia_v4!$B$12),"EST_INTERP_LINEAR",IF(AND(Dados_Observados_v4!N53&lt;&gt;"",(2020-2019)&lt;=Metodologia_v4!$B$13),"EST_CARRY_FORWARD",IF(AND(Dados_Observados_v4!P53&lt;&gt;"",(2021-2020)&lt;=Metodologia_v4!$B$14),"EST_CARRY_BACKWARD","SEM_DADO")))))</f>
        <v/>
      </c>
      <c r="P53" s="10">
        <f>IF(Dados_Observados_v4!P53&lt;&gt;"","OBS",IF(Dados_Ajustados_v4!P53="","SEM_DADO",IF(AND(Dados_Observados_v4!O53&lt;&gt;"",(2021-2020)&lt;=Metodologia_v4!$B$13),"EST_CARRY_FORWARD","SEM_DADO")))</f>
        <v/>
      </c>
      <c r="Q53" s="10">
        <f>IF(Dados_Observados_v4!Q53&lt;&gt;"","OBS",IF(Dados_Ajustados_v4!Q53="","SEM_DADO",IF(AND(Dados_Observados_v4!P53&lt;&gt;"",(2022-2021)&lt;=Metodologia_v4!$B$13),"EST_CARRY_FORWARD","SEM_DADO")))</f>
        <v/>
      </c>
      <c r="R53" s="10">
        <f>IF(Dados_Observados_v4!R53&lt;&gt;"","OBS",IF(Dados_Ajustados_v4!R53="","SEM_DADO",IF(AND(Dados_Observados_v4!P53&lt;&gt;"",(2023-2021)&lt;=Metodologia_v4!$B$13),"EST_CARRY_FORWARD","SEM_DADO")))</f>
        <v/>
      </c>
      <c r="S53" s="10">
        <f>IF(Dados_Observados_v4!S53&lt;&gt;"","OBS",IF(Dados_Ajustados_v4!S53="","SEM_DADO",IF(AND(Dados_Observados_v4!P53&lt;&gt;"",(2024-2021)&lt;=Metodologia_v4!$B$13),"EST_CARRY_FORWARD","SEM_DADO")))</f>
        <v/>
      </c>
      <c r="T53" s="10">
        <f>IF(Dados_Observados_v4!T53&lt;&gt;"","OBS",IF(Dados_Ajustados_v4!T53="","SEM_DADO",IF(AND(Dados_Observados_v4!P53&lt;&gt;"",(2025-2021)&lt;=Metodologia_v4!$B$13),"EST_CARRY_FORWARD","SEM_DADO")))</f>
        <v/>
      </c>
    </row>
    <row r="54">
      <c r="A54" s="5" t="inlineStr">
        <is>
          <t>SAU03</t>
        </is>
      </c>
      <c r="B54" s="5" t="inlineStr">
        <is>
          <t>7. Segurança Alimentar e Saúde</t>
        </is>
      </c>
      <c r="C54" s="5" t="inlineStr">
        <is>
          <t>Mortalidade materna</t>
        </is>
      </c>
      <c r="D54" s="5" t="inlineStr">
        <is>
          <t>Banco Mundial/OMS</t>
        </is>
      </c>
      <c r="E54" s="5" t="inlineStr">
        <is>
          <t>SH.STA.MMRT</t>
        </is>
      </c>
      <c r="F54" s="5" t="inlineStr">
        <is>
          <t>Fonte Banco Mundial API/CSV</t>
        </is>
      </c>
      <c r="G54" s="5" t="inlineStr">
        <is>
          <t>9/11</t>
        </is>
      </c>
      <c r="H54" s="5" t="n">
        <v>2023</v>
      </c>
      <c r="I54" s="5" t="inlineStr">
        <is>
          <t>Referenciado pelas regras de Metodologia_v4</t>
        </is>
      </c>
      <c r="J54" s="10">
        <f>IF(Dados_Observados_v4!J54&lt;&gt;"","OBS",IF(Dados_Ajustados_v4!J54="","SEM_DADO",IF(AND(Dados_Observados_v4!K54&lt;&gt;"",(2016-2015)&lt;=Metodologia_v4!$B$14),"EST_CARRY_BACKWARD","SEM_DADO")))</f>
        <v/>
      </c>
      <c r="K54" s="10">
        <f>IF(Dados_Observados_v4!K54&lt;&gt;"","OBS",IF(Dados_Ajustados_v4!K54="","SEM_DADO",IF(AND(Dados_Observados_v4!J54&lt;&gt;"",Dados_Observados_v4!L54&lt;&gt;"",(2017-2015-1)&lt;=Metodologia_v4!$B$12),"EST_INTERP_LINEAR",IF(AND(Dados_Observados_v4!J54&lt;&gt;"",(2016-2015)&lt;=Metodologia_v4!$B$13),"EST_CARRY_FORWARD",IF(AND(Dados_Observados_v4!L54&lt;&gt;"",(2017-2016)&lt;=Metodologia_v4!$B$14),"EST_CARRY_BACKWARD","SEM_DADO")))))</f>
        <v/>
      </c>
      <c r="L54" s="10">
        <f>IF(Dados_Observados_v4!L54&lt;&gt;"","OBS",IF(Dados_Ajustados_v4!L54="","SEM_DADO",IF(AND(Dados_Observados_v4!K54&lt;&gt;"",Dados_Observados_v4!M54&lt;&gt;"",(2018-2016-1)&lt;=Metodologia_v4!$B$12),"EST_INTERP_LINEAR",IF(AND(Dados_Observados_v4!K54&lt;&gt;"",(2017-2016)&lt;=Metodologia_v4!$B$13),"EST_CARRY_FORWARD",IF(AND(Dados_Observados_v4!M54&lt;&gt;"",(2018-2017)&lt;=Metodologia_v4!$B$14),"EST_CARRY_BACKWARD","SEM_DADO")))))</f>
        <v/>
      </c>
      <c r="M54" s="10">
        <f>IF(Dados_Observados_v4!M54&lt;&gt;"","OBS",IF(Dados_Ajustados_v4!M54="","SEM_DADO",IF(AND(Dados_Observados_v4!L54&lt;&gt;"",Dados_Observados_v4!N54&lt;&gt;"",(2019-2017-1)&lt;=Metodologia_v4!$B$12),"EST_INTERP_LINEAR",IF(AND(Dados_Observados_v4!L54&lt;&gt;"",(2018-2017)&lt;=Metodologia_v4!$B$13),"EST_CARRY_FORWARD",IF(AND(Dados_Observados_v4!N54&lt;&gt;"",(2019-2018)&lt;=Metodologia_v4!$B$14),"EST_CARRY_BACKWARD","SEM_DADO")))))</f>
        <v/>
      </c>
      <c r="N54" s="10">
        <f>IF(Dados_Observados_v4!N54&lt;&gt;"","OBS",IF(Dados_Ajustados_v4!N54="","SEM_DADO",IF(AND(Dados_Observados_v4!M54&lt;&gt;"",Dados_Observados_v4!O54&lt;&gt;"",(2020-2018-1)&lt;=Metodologia_v4!$B$12),"EST_INTERP_LINEAR",IF(AND(Dados_Observados_v4!M54&lt;&gt;"",(2019-2018)&lt;=Metodologia_v4!$B$13),"EST_CARRY_FORWARD",IF(AND(Dados_Observados_v4!O54&lt;&gt;"",(2020-2019)&lt;=Metodologia_v4!$B$14),"EST_CARRY_BACKWARD","SEM_DADO")))))</f>
        <v/>
      </c>
      <c r="O54" s="10">
        <f>IF(Dados_Observados_v4!O54&lt;&gt;"","OBS",IF(Dados_Ajustados_v4!O54="","SEM_DADO",IF(AND(Dados_Observados_v4!N54&lt;&gt;"",Dados_Observados_v4!P54&lt;&gt;"",(2021-2019-1)&lt;=Metodologia_v4!$B$12),"EST_INTERP_LINEAR",IF(AND(Dados_Observados_v4!N54&lt;&gt;"",(2020-2019)&lt;=Metodologia_v4!$B$13),"EST_CARRY_FORWARD",IF(AND(Dados_Observados_v4!P54&lt;&gt;"",(2021-2020)&lt;=Metodologia_v4!$B$14),"EST_CARRY_BACKWARD","SEM_DADO")))))</f>
        <v/>
      </c>
      <c r="P54" s="10">
        <f>IF(Dados_Observados_v4!P54&lt;&gt;"","OBS",IF(Dados_Ajustados_v4!P54="","SEM_DADO",IF(AND(Dados_Observados_v4!O54&lt;&gt;"",Dados_Observados_v4!Q54&lt;&gt;"",(2022-2020-1)&lt;=Metodologia_v4!$B$12),"EST_INTERP_LINEAR",IF(AND(Dados_Observados_v4!O54&lt;&gt;"",(2021-2020)&lt;=Metodologia_v4!$B$13),"EST_CARRY_FORWARD",IF(AND(Dados_Observados_v4!Q54&lt;&gt;"",(2022-2021)&lt;=Metodologia_v4!$B$14),"EST_CARRY_BACKWARD","SEM_DADO")))))</f>
        <v/>
      </c>
      <c r="Q54" s="10">
        <f>IF(Dados_Observados_v4!Q54&lt;&gt;"","OBS",IF(Dados_Ajustados_v4!Q54="","SEM_DADO",IF(AND(Dados_Observados_v4!P54&lt;&gt;"",Dados_Observados_v4!R54&lt;&gt;"",(2023-2021-1)&lt;=Metodologia_v4!$B$12),"EST_INTERP_LINEAR",IF(AND(Dados_Observados_v4!P54&lt;&gt;"",(2022-2021)&lt;=Metodologia_v4!$B$13),"EST_CARRY_FORWARD",IF(AND(Dados_Observados_v4!R54&lt;&gt;"",(2023-2022)&lt;=Metodologia_v4!$B$14),"EST_CARRY_BACKWARD","SEM_DADO")))))</f>
        <v/>
      </c>
      <c r="R54" s="10">
        <f>IF(Dados_Observados_v4!R54&lt;&gt;"","OBS",IF(Dados_Ajustados_v4!R54="","SEM_DADO",IF(AND(Dados_Observados_v4!Q54&lt;&gt;"",(2023-2022)&lt;=Metodologia_v4!$B$13),"EST_CARRY_FORWARD","SEM_DADO")))</f>
        <v/>
      </c>
      <c r="S54" s="10">
        <f>IF(Dados_Observados_v4!S54&lt;&gt;"","OBS",IF(Dados_Ajustados_v4!S54="","SEM_DADO",IF(AND(Dados_Observados_v4!R54&lt;&gt;"",(2024-2023)&lt;=Metodologia_v4!$B$13),"EST_CARRY_FORWARD","SEM_DADO")))</f>
        <v/>
      </c>
      <c r="T54" s="10">
        <f>IF(Dados_Observados_v4!T54&lt;&gt;"","OBS",IF(Dados_Ajustados_v4!T54="","SEM_DADO",IF(AND(Dados_Observados_v4!R54&lt;&gt;"",(2025-2023)&lt;=Metodologia_v4!$B$13),"EST_CARRY_FORWARD","SEM_DADO")))</f>
        <v/>
      </c>
    </row>
    <row r="55">
      <c r="A55" s="5" t="inlineStr">
        <is>
          <t>SAU04</t>
        </is>
      </c>
      <c r="B55" s="5" t="inlineStr">
        <is>
          <t>7. Segurança Alimentar e Saúde</t>
        </is>
      </c>
      <c r="C55" s="5" t="inlineStr">
        <is>
          <t>Mortalidade de menores de 5 anos</t>
        </is>
      </c>
      <c r="D55" s="5" t="inlineStr">
        <is>
          <t>Banco Mundial/UNICEF</t>
        </is>
      </c>
      <c r="E55" s="5" t="inlineStr">
        <is>
          <t>SH.DYN.MORT</t>
        </is>
      </c>
      <c r="F55" s="5" t="inlineStr">
        <is>
          <t>Fonte Banco Mundial API/CSV</t>
        </is>
      </c>
      <c r="G55" s="5" t="inlineStr">
        <is>
          <t>10/11</t>
        </is>
      </c>
      <c r="H55" s="5" t="n">
        <v>2024</v>
      </c>
      <c r="I55" s="5" t="inlineStr">
        <is>
          <t>Referenciado pelas regras de Metodologia_v4</t>
        </is>
      </c>
      <c r="J55" s="10">
        <f>IF(Dados_Observados_v4!J55&lt;&gt;"","OBS",IF(Dados_Ajustados_v4!J55="","SEM_DADO",IF(AND(Dados_Observados_v4!K55&lt;&gt;"",(2016-2015)&lt;=Metodologia_v4!$B$14),"EST_CARRY_BACKWARD","SEM_DADO")))</f>
        <v/>
      </c>
      <c r="K55" s="10">
        <f>IF(Dados_Observados_v4!K55&lt;&gt;"","OBS",IF(Dados_Ajustados_v4!K55="","SEM_DADO",IF(AND(Dados_Observados_v4!J55&lt;&gt;"",Dados_Observados_v4!L55&lt;&gt;"",(2017-2015-1)&lt;=Metodologia_v4!$B$12),"EST_INTERP_LINEAR",IF(AND(Dados_Observados_v4!J55&lt;&gt;"",(2016-2015)&lt;=Metodologia_v4!$B$13),"EST_CARRY_FORWARD",IF(AND(Dados_Observados_v4!L55&lt;&gt;"",(2017-2016)&lt;=Metodologia_v4!$B$14),"EST_CARRY_BACKWARD","SEM_DADO")))))</f>
        <v/>
      </c>
      <c r="L55" s="10">
        <f>IF(Dados_Observados_v4!L55&lt;&gt;"","OBS",IF(Dados_Ajustados_v4!L55="","SEM_DADO",IF(AND(Dados_Observados_v4!K55&lt;&gt;"",Dados_Observados_v4!M55&lt;&gt;"",(2018-2016-1)&lt;=Metodologia_v4!$B$12),"EST_INTERP_LINEAR",IF(AND(Dados_Observados_v4!K55&lt;&gt;"",(2017-2016)&lt;=Metodologia_v4!$B$13),"EST_CARRY_FORWARD",IF(AND(Dados_Observados_v4!M55&lt;&gt;"",(2018-2017)&lt;=Metodologia_v4!$B$14),"EST_CARRY_BACKWARD","SEM_DADO")))))</f>
        <v/>
      </c>
      <c r="M55" s="10">
        <f>IF(Dados_Observados_v4!M55&lt;&gt;"","OBS",IF(Dados_Ajustados_v4!M55="","SEM_DADO",IF(AND(Dados_Observados_v4!L55&lt;&gt;"",Dados_Observados_v4!N55&lt;&gt;"",(2019-2017-1)&lt;=Metodologia_v4!$B$12),"EST_INTERP_LINEAR",IF(AND(Dados_Observados_v4!L55&lt;&gt;"",(2018-2017)&lt;=Metodologia_v4!$B$13),"EST_CARRY_FORWARD",IF(AND(Dados_Observados_v4!N55&lt;&gt;"",(2019-2018)&lt;=Metodologia_v4!$B$14),"EST_CARRY_BACKWARD","SEM_DADO")))))</f>
        <v/>
      </c>
      <c r="N55" s="10">
        <f>IF(Dados_Observados_v4!N55&lt;&gt;"","OBS",IF(Dados_Ajustados_v4!N55="","SEM_DADO",IF(AND(Dados_Observados_v4!M55&lt;&gt;"",Dados_Observados_v4!O55&lt;&gt;"",(2020-2018-1)&lt;=Metodologia_v4!$B$12),"EST_INTERP_LINEAR",IF(AND(Dados_Observados_v4!M55&lt;&gt;"",(2019-2018)&lt;=Metodologia_v4!$B$13),"EST_CARRY_FORWARD",IF(AND(Dados_Observados_v4!O55&lt;&gt;"",(2020-2019)&lt;=Metodologia_v4!$B$14),"EST_CARRY_BACKWARD","SEM_DADO")))))</f>
        <v/>
      </c>
      <c r="O55" s="10">
        <f>IF(Dados_Observados_v4!O55&lt;&gt;"","OBS",IF(Dados_Ajustados_v4!O55="","SEM_DADO",IF(AND(Dados_Observados_v4!N55&lt;&gt;"",Dados_Observados_v4!P55&lt;&gt;"",(2021-2019-1)&lt;=Metodologia_v4!$B$12),"EST_INTERP_LINEAR",IF(AND(Dados_Observados_v4!N55&lt;&gt;"",(2020-2019)&lt;=Metodologia_v4!$B$13),"EST_CARRY_FORWARD",IF(AND(Dados_Observados_v4!P55&lt;&gt;"",(2021-2020)&lt;=Metodologia_v4!$B$14),"EST_CARRY_BACKWARD","SEM_DADO")))))</f>
        <v/>
      </c>
      <c r="P55" s="10">
        <f>IF(Dados_Observados_v4!P55&lt;&gt;"","OBS",IF(Dados_Ajustados_v4!P55="","SEM_DADO",IF(AND(Dados_Observados_v4!O55&lt;&gt;"",Dados_Observados_v4!Q55&lt;&gt;"",(2022-2020-1)&lt;=Metodologia_v4!$B$12),"EST_INTERP_LINEAR",IF(AND(Dados_Observados_v4!O55&lt;&gt;"",(2021-2020)&lt;=Metodologia_v4!$B$13),"EST_CARRY_FORWARD",IF(AND(Dados_Observados_v4!Q55&lt;&gt;"",(2022-2021)&lt;=Metodologia_v4!$B$14),"EST_CARRY_BACKWARD","SEM_DADO")))))</f>
        <v/>
      </c>
      <c r="Q55" s="10">
        <f>IF(Dados_Observados_v4!Q55&lt;&gt;"","OBS",IF(Dados_Ajustados_v4!Q55="","SEM_DADO",IF(AND(Dados_Observados_v4!P55&lt;&gt;"",Dados_Observados_v4!R55&lt;&gt;"",(2023-2021-1)&lt;=Metodologia_v4!$B$12),"EST_INTERP_LINEAR",IF(AND(Dados_Observados_v4!P55&lt;&gt;"",(2022-2021)&lt;=Metodologia_v4!$B$13),"EST_CARRY_FORWARD",IF(AND(Dados_Observados_v4!R55&lt;&gt;"",(2023-2022)&lt;=Metodologia_v4!$B$14),"EST_CARRY_BACKWARD","SEM_DADO")))))</f>
        <v/>
      </c>
      <c r="R55" s="10">
        <f>IF(Dados_Observados_v4!R55&lt;&gt;"","OBS",IF(Dados_Ajustados_v4!R55="","SEM_DADO",IF(AND(Dados_Observados_v4!Q55&lt;&gt;"",Dados_Observados_v4!S55&lt;&gt;"",(2024-2022-1)&lt;=Metodologia_v4!$B$12),"EST_INTERP_LINEAR",IF(AND(Dados_Observados_v4!Q55&lt;&gt;"",(2023-2022)&lt;=Metodologia_v4!$B$13),"EST_CARRY_FORWARD",IF(AND(Dados_Observados_v4!S55&lt;&gt;"",(2024-2023)&lt;=Metodologia_v4!$B$14),"EST_CARRY_BACKWARD","SEM_DADO")))))</f>
        <v/>
      </c>
      <c r="S55" s="10">
        <f>IF(Dados_Observados_v4!S55&lt;&gt;"","OBS",IF(Dados_Ajustados_v4!S55="","SEM_DADO",IF(AND(Dados_Observados_v4!R55&lt;&gt;"",(2024-2023)&lt;=Metodologia_v4!$B$13),"EST_CARRY_FORWARD","SEM_DADO")))</f>
        <v/>
      </c>
      <c r="T55" s="10">
        <f>IF(Dados_Observados_v4!T55&lt;&gt;"","OBS",IF(Dados_Ajustados_v4!T55="","SEM_DADO",IF(AND(Dados_Observados_v4!S55&lt;&gt;"",(2025-2024)&lt;=Metodologia_v4!$B$13),"EST_CARRY_FORWARD","SEM_DADO")))</f>
        <v/>
      </c>
    </row>
    <row r="56">
      <c r="A56" s="5" t="inlineStr">
        <is>
          <t>SAU05</t>
        </is>
      </c>
      <c r="B56" s="5" t="inlineStr">
        <is>
          <t>7. Segurança Alimentar e Saúde</t>
        </is>
      </c>
      <c r="C56" s="5" t="inlineStr">
        <is>
          <t>Despesa corrente em saúde</t>
        </is>
      </c>
      <c r="D56" s="5" t="inlineStr">
        <is>
          <t>Banco Mundial/OMS</t>
        </is>
      </c>
      <c r="E56" s="5" t="inlineStr">
        <is>
          <t>SH.XPD.CHEX.GD.ZS</t>
        </is>
      </c>
      <c r="F56" s="5" t="inlineStr">
        <is>
          <t>Fonte Banco Mundial API/CSV</t>
        </is>
      </c>
      <c r="G56" s="5" t="inlineStr">
        <is>
          <t>9/11</t>
        </is>
      </c>
      <c r="H56" s="5" t="n">
        <v>2023</v>
      </c>
      <c r="I56" s="5" t="inlineStr">
        <is>
          <t>Referenciado pelas regras de Metodologia_v4</t>
        </is>
      </c>
      <c r="J56" s="10">
        <f>IF(Dados_Observados_v4!J56&lt;&gt;"","OBS",IF(Dados_Ajustados_v4!J56="","SEM_DADO",IF(AND(Dados_Observados_v4!K56&lt;&gt;"",(2016-2015)&lt;=Metodologia_v4!$B$14),"EST_CARRY_BACKWARD","SEM_DADO")))</f>
        <v/>
      </c>
      <c r="K56" s="10">
        <f>IF(Dados_Observados_v4!K56&lt;&gt;"","OBS",IF(Dados_Ajustados_v4!K56="","SEM_DADO",IF(AND(Dados_Observados_v4!J56&lt;&gt;"",Dados_Observados_v4!L56&lt;&gt;"",(2017-2015-1)&lt;=Metodologia_v4!$B$12),"EST_INTERP_LINEAR",IF(AND(Dados_Observados_v4!J56&lt;&gt;"",(2016-2015)&lt;=Metodologia_v4!$B$13),"EST_CARRY_FORWARD",IF(AND(Dados_Observados_v4!L56&lt;&gt;"",(2017-2016)&lt;=Metodologia_v4!$B$14),"EST_CARRY_BACKWARD","SEM_DADO")))))</f>
        <v/>
      </c>
      <c r="L56" s="10">
        <f>IF(Dados_Observados_v4!L56&lt;&gt;"","OBS",IF(Dados_Ajustados_v4!L56="","SEM_DADO",IF(AND(Dados_Observados_v4!K56&lt;&gt;"",Dados_Observados_v4!M56&lt;&gt;"",(2018-2016-1)&lt;=Metodologia_v4!$B$12),"EST_INTERP_LINEAR",IF(AND(Dados_Observados_v4!K56&lt;&gt;"",(2017-2016)&lt;=Metodologia_v4!$B$13),"EST_CARRY_FORWARD",IF(AND(Dados_Observados_v4!M56&lt;&gt;"",(2018-2017)&lt;=Metodologia_v4!$B$14),"EST_CARRY_BACKWARD","SEM_DADO")))))</f>
        <v/>
      </c>
      <c r="M56" s="10">
        <f>IF(Dados_Observados_v4!M56&lt;&gt;"","OBS",IF(Dados_Ajustados_v4!M56="","SEM_DADO",IF(AND(Dados_Observados_v4!L56&lt;&gt;"",Dados_Observados_v4!N56&lt;&gt;"",(2019-2017-1)&lt;=Metodologia_v4!$B$12),"EST_INTERP_LINEAR",IF(AND(Dados_Observados_v4!L56&lt;&gt;"",(2018-2017)&lt;=Metodologia_v4!$B$13),"EST_CARRY_FORWARD",IF(AND(Dados_Observados_v4!N56&lt;&gt;"",(2019-2018)&lt;=Metodologia_v4!$B$14),"EST_CARRY_BACKWARD","SEM_DADO")))))</f>
        <v/>
      </c>
      <c r="N56" s="10">
        <f>IF(Dados_Observados_v4!N56&lt;&gt;"","OBS",IF(Dados_Ajustados_v4!N56="","SEM_DADO",IF(AND(Dados_Observados_v4!M56&lt;&gt;"",Dados_Observados_v4!O56&lt;&gt;"",(2020-2018-1)&lt;=Metodologia_v4!$B$12),"EST_INTERP_LINEAR",IF(AND(Dados_Observados_v4!M56&lt;&gt;"",(2019-2018)&lt;=Metodologia_v4!$B$13),"EST_CARRY_FORWARD",IF(AND(Dados_Observados_v4!O56&lt;&gt;"",(2020-2019)&lt;=Metodologia_v4!$B$14),"EST_CARRY_BACKWARD","SEM_DADO")))))</f>
        <v/>
      </c>
      <c r="O56" s="10">
        <f>IF(Dados_Observados_v4!O56&lt;&gt;"","OBS",IF(Dados_Ajustados_v4!O56="","SEM_DADO",IF(AND(Dados_Observados_v4!N56&lt;&gt;"",Dados_Observados_v4!P56&lt;&gt;"",(2021-2019-1)&lt;=Metodologia_v4!$B$12),"EST_INTERP_LINEAR",IF(AND(Dados_Observados_v4!N56&lt;&gt;"",(2020-2019)&lt;=Metodologia_v4!$B$13),"EST_CARRY_FORWARD",IF(AND(Dados_Observados_v4!P56&lt;&gt;"",(2021-2020)&lt;=Metodologia_v4!$B$14),"EST_CARRY_BACKWARD","SEM_DADO")))))</f>
        <v/>
      </c>
      <c r="P56" s="10">
        <f>IF(Dados_Observados_v4!P56&lt;&gt;"","OBS",IF(Dados_Ajustados_v4!P56="","SEM_DADO",IF(AND(Dados_Observados_v4!O56&lt;&gt;"",Dados_Observados_v4!Q56&lt;&gt;"",(2022-2020-1)&lt;=Metodologia_v4!$B$12),"EST_INTERP_LINEAR",IF(AND(Dados_Observados_v4!O56&lt;&gt;"",(2021-2020)&lt;=Metodologia_v4!$B$13),"EST_CARRY_FORWARD",IF(AND(Dados_Observados_v4!Q56&lt;&gt;"",(2022-2021)&lt;=Metodologia_v4!$B$14),"EST_CARRY_BACKWARD","SEM_DADO")))))</f>
        <v/>
      </c>
      <c r="Q56" s="10">
        <f>IF(Dados_Observados_v4!Q56&lt;&gt;"","OBS",IF(Dados_Ajustados_v4!Q56="","SEM_DADO",IF(AND(Dados_Observados_v4!P56&lt;&gt;"",Dados_Observados_v4!R56&lt;&gt;"",(2023-2021-1)&lt;=Metodologia_v4!$B$12),"EST_INTERP_LINEAR",IF(AND(Dados_Observados_v4!P56&lt;&gt;"",(2022-2021)&lt;=Metodologia_v4!$B$13),"EST_CARRY_FORWARD",IF(AND(Dados_Observados_v4!R56&lt;&gt;"",(2023-2022)&lt;=Metodologia_v4!$B$14),"EST_CARRY_BACKWARD","SEM_DADO")))))</f>
        <v/>
      </c>
      <c r="R56" s="10">
        <f>IF(Dados_Observados_v4!R56&lt;&gt;"","OBS",IF(Dados_Ajustados_v4!R56="","SEM_DADO",IF(AND(Dados_Observados_v4!Q56&lt;&gt;"",(2023-2022)&lt;=Metodologia_v4!$B$13),"EST_CARRY_FORWARD","SEM_DADO")))</f>
        <v/>
      </c>
      <c r="S56" s="10">
        <f>IF(Dados_Observados_v4!S56&lt;&gt;"","OBS",IF(Dados_Ajustados_v4!S56="","SEM_DADO",IF(AND(Dados_Observados_v4!R56&lt;&gt;"",(2024-2023)&lt;=Metodologia_v4!$B$13),"EST_CARRY_FORWARD","SEM_DADO")))</f>
        <v/>
      </c>
      <c r="T56" s="10">
        <f>IF(Dados_Observados_v4!T56&lt;&gt;"","OBS",IF(Dados_Ajustados_v4!T56="","SEM_DADO",IF(AND(Dados_Observados_v4!R56&lt;&gt;"",(2025-2023)&lt;=Metodologia_v4!$B$13),"EST_CARRY_FORWARD","SEM_DADO")))</f>
        <v/>
      </c>
    </row>
    <row r="57">
      <c r="A57" s="5" t="inlineStr">
        <is>
          <t>SAU06</t>
        </is>
      </c>
      <c r="B57" s="5" t="inlineStr">
        <is>
          <t>7. Segurança Alimentar e Saúde</t>
        </is>
      </c>
      <c r="C57" s="5" t="inlineStr">
        <is>
          <t>Vacinação DPT</t>
        </is>
      </c>
      <c r="D57" s="5" t="inlineStr">
        <is>
          <t>Banco Mundial/OMS/UNICEF</t>
        </is>
      </c>
      <c r="E57" s="5" t="inlineStr">
        <is>
          <t>SH.IMM.IDPT</t>
        </is>
      </c>
      <c r="F57" s="5" t="inlineStr">
        <is>
          <t>Fonte Banco Mundial API/CSV</t>
        </is>
      </c>
      <c r="G57" s="5" t="inlineStr">
        <is>
          <t>10/11</t>
        </is>
      </c>
      <c r="H57" s="5" t="n">
        <v>2024</v>
      </c>
      <c r="I57" s="5" t="inlineStr">
        <is>
          <t>Referenciado pelas regras de Metodologia_v4</t>
        </is>
      </c>
      <c r="J57" s="10">
        <f>IF(Dados_Observados_v4!J57&lt;&gt;"","OBS",IF(Dados_Ajustados_v4!J57="","SEM_DADO",IF(AND(Dados_Observados_v4!K57&lt;&gt;"",(2016-2015)&lt;=Metodologia_v4!$B$14),"EST_CARRY_BACKWARD","SEM_DADO")))</f>
        <v/>
      </c>
      <c r="K57" s="10">
        <f>IF(Dados_Observados_v4!K57&lt;&gt;"","OBS",IF(Dados_Ajustados_v4!K57="","SEM_DADO",IF(AND(Dados_Observados_v4!J57&lt;&gt;"",Dados_Observados_v4!L57&lt;&gt;"",(2017-2015-1)&lt;=Metodologia_v4!$B$12),"EST_INTERP_LINEAR",IF(AND(Dados_Observados_v4!J57&lt;&gt;"",(2016-2015)&lt;=Metodologia_v4!$B$13),"EST_CARRY_FORWARD",IF(AND(Dados_Observados_v4!L57&lt;&gt;"",(2017-2016)&lt;=Metodologia_v4!$B$14),"EST_CARRY_BACKWARD","SEM_DADO")))))</f>
        <v/>
      </c>
      <c r="L57" s="10">
        <f>IF(Dados_Observados_v4!L57&lt;&gt;"","OBS",IF(Dados_Ajustados_v4!L57="","SEM_DADO",IF(AND(Dados_Observados_v4!K57&lt;&gt;"",Dados_Observados_v4!M57&lt;&gt;"",(2018-2016-1)&lt;=Metodologia_v4!$B$12),"EST_INTERP_LINEAR",IF(AND(Dados_Observados_v4!K57&lt;&gt;"",(2017-2016)&lt;=Metodologia_v4!$B$13),"EST_CARRY_FORWARD",IF(AND(Dados_Observados_v4!M57&lt;&gt;"",(2018-2017)&lt;=Metodologia_v4!$B$14),"EST_CARRY_BACKWARD","SEM_DADO")))))</f>
        <v/>
      </c>
      <c r="M57" s="10">
        <f>IF(Dados_Observados_v4!M57&lt;&gt;"","OBS",IF(Dados_Ajustados_v4!M57="","SEM_DADO",IF(AND(Dados_Observados_v4!L57&lt;&gt;"",Dados_Observados_v4!N57&lt;&gt;"",(2019-2017-1)&lt;=Metodologia_v4!$B$12),"EST_INTERP_LINEAR",IF(AND(Dados_Observados_v4!L57&lt;&gt;"",(2018-2017)&lt;=Metodologia_v4!$B$13),"EST_CARRY_FORWARD",IF(AND(Dados_Observados_v4!N57&lt;&gt;"",(2019-2018)&lt;=Metodologia_v4!$B$14),"EST_CARRY_BACKWARD","SEM_DADO")))))</f>
        <v/>
      </c>
      <c r="N57" s="10">
        <f>IF(Dados_Observados_v4!N57&lt;&gt;"","OBS",IF(Dados_Ajustados_v4!N57="","SEM_DADO",IF(AND(Dados_Observados_v4!M57&lt;&gt;"",Dados_Observados_v4!O57&lt;&gt;"",(2020-2018-1)&lt;=Metodologia_v4!$B$12),"EST_INTERP_LINEAR",IF(AND(Dados_Observados_v4!M57&lt;&gt;"",(2019-2018)&lt;=Metodologia_v4!$B$13),"EST_CARRY_FORWARD",IF(AND(Dados_Observados_v4!O57&lt;&gt;"",(2020-2019)&lt;=Metodologia_v4!$B$14),"EST_CARRY_BACKWARD","SEM_DADO")))))</f>
        <v/>
      </c>
      <c r="O57" s="10">
        <f>IF(Dados_Observados_v4!O57&lt;&gt;"","OBS",IF(Dados_Ajustados_v4!O57="","SEM_DADO",IF(AND(Dados_Observados_v4!N57&lt;&gt;"",Dados_Observados_v4!P57&lt;&gt;"",(2021-2019-1)&lt;=Metodologia_v4!$B$12),"EST_INTERP_LINEAR",IF(AND(Dados_Observados_v4!N57&lt;&gt;"",(2020-2019)&lt;=Metodologia_v4!$B$13),"EST_CARRY_FORWARD",IF(AND(Dados_Observados_v4!P57&lt;&gt;"",(2021-2020)&lt;=Metodologia_v4!$B$14),"EST_CARRY_BACKWARD","SEM_DADO")))))</f>
        <v/>
      </c>
      <c r="P57" s="10">
        <f>IF(Dados_Observados_v4!P57&lt;&gt;"","OBS",IF(Dados_Ajustados_v4!P57="","SEM_DADO",IF(AND(Dados_Observados_v4!O57&lt;&gt;"",Dados_Observados_v4!Q57&lt;&gt;"",(2022-2020-1)&lt;=Metodologia_v4!$B$12),"EST_INTERP_LINEAR",IF(AND(Dados_Observados_v4!O57&lt;&gt;"",(2021-2020)&lt;=Metodologia_v4!$B$13),"EST_CARRY_FORWARD",IF(AND(Dados_Observados_v4!Q57&lt;&gt;"",(2022-2021)&lt;=Metodologia_v4!$B$14),"EST_CARRY_BACKWARD","SEM_DADO")))))</f>
        <v/>
      </c>
      <c r="Q57" s="10">
        <f>IF(Dados_Observados_v4!Q57&lt;&gt;"","OBS",IF(Dados_Ajustados_v4!Q57="","SEM_DADO",IF(AND(Dados_Observados_v4!P57&lt;&gt;"",Dados_Observados_v4!R57&lt;&gt;"",(2023-2021-1)&lt;=Metodologia_v4!$B$12),"EST_INTERP_LINEAR",IF(AND(Dados_Observados_v4!P57&lt;&gt;"",(2022-2021)&lt;=Metodologia_v4!$B$13),"EST_CARRY_FORWARD",IF(AND(Dados_Observados_v4!R57&lt;&gt;"",(2023-2022)&lt;=Metodologia_v4!$B$14),"EST_CARRY_BACKWARD","SEM_DADO")))))</f>
        <v/>
      </c>
      <c r="R57" s="10">
        <f>IF(Dados_Observados_v4!R57&lt;&gt;"","OBS",IF(Dados_Ajustados_v4!R57="","SEM_DADO",IF(AND(Dados_Observados_v4!Q57&lt;&gt;"",Dados_Observados_v4!S57&lt;&gt;"",(2024-2022-1)&lt;=Metodologia_v4!$B$12),"EST_INTERP_LINEAR",IF(AND(Dados_Observados_v4!Q57&lt;&gt;"",(2023-2022)&lt;=Metodologia_v4!$B$13),"EST_CARRY_FORWARD",IF(AND(Dados_Observados_v4!S57&lt;&gt;"",(2024-2023)&lt;=Metodologia_v4!$B$14),"EST_CARRY_BACKWARD","SEM_DADO")))))</f>
        <v/>
      </c>
      <c r="S57" s="10">
        <f>IF(Dados_Observados_v4!S57&lt;&gt;"","OBS",IF(Dados_Ajustados_v4!S57="","SEM_DADO",IF(AND(Dados_Observados_v4!R57&lt;&gt;"",(2024-2023)&lt;=Metodologia_v4!$B$13),"EST_CARRY_FORWARD","SEM_DADO")))</f>
        <v/>
      </c>
      <c r="T57" s="10">
        <f>IF(Dados_Observados_v4!T57&lt;&gt;"","OBS",IF(Dados_Ajustados_v4!T57="","SEM_DADO",IF(AND(Dados_Observados_v4!S57&lt;&gt;"",(2025-2024)&lt;=Metodologia_v4!$B$13),"EST_CARRY_FORWARD","SEM_DADO")))</f>
        <v/>
      </c>
    </row>
    <row r="58">
      <c r="A58" s="5" t="inlineStr">
        <is>
          <t>SAU07</t>
        </is>
      </c>
      <c r="B58" s="5" t="inlineStr">
        <is>
          <t>7. Segurança Alimentar e Saúde</t>
        </is>
      </c>
      <c r="C58" s="5" t="inlineStr">
        <is>
          <t>Médicos</t>
        </is>
      </c>
      <c r="D58" s="5" t="inlineStr">
        <is>
          <t>Banco Mundial/OMS</t>
        </is>
      </c>
      <c r="E58" s="5" t="inlineStr">
        <is>
          <t>SH.MED.PHYS.ZS</t>
        </is>
      </c>
      <c r="F58" s="5" t="inlineStr">
        <is>
          <t>Fonte Banco Mundial API/CSV</t>
        </is>
      </c>
      <c r="G58" s="5" t="inlineStr">
        <is>
          <t>3/11</t>
        </is>
      </c>
      <c r="H58" s="5" t="n">
        <v>2022</v>
      </c>
      <c r="I58" s="5" t="inlineStr">
        <is>
          <t>Referenciado pelas regras de Metodologia_v4</t>
        </is>
      </c>
      <c r="J58" s="10">
        <f>IF(Dados_Observados_v4!J58&lt;&gt;"","OBS",IF(Dados_Ajustados_v4!J58="","SEM_DADO",IF(AND(Dados_Observados_v4!L58&lt;&gt;"",(2017-2015)&lt;=Metodologia_v4!$B$14),"EST_CARRY_BACKWARD","SEM_DADO")))</f>
        <v/>
      </c>
      <c r="K58" s="10">
        <f>IF(Dados_Observados_v4!K58&lt;&gt;"","OBS",IF(Dados_Ajustados_v4!K58="","SEM_DADO",IF(AND(Dados_Observados_v4!L58&lt;&gt;"",(2017-2016)&lt;=Metodologia_v4!$B$14),"EST_CARRY_BACKWARD","SEM_DADO")))</f>
        <v/>
      </c>
      <c r="L58" s="10">
        <f>IF(Dados_Observados_v4!L58&lt;&gt;"","OBS",IF(Dados_Ajustados_v4!L58="","SEM_DADO",IF(AND(Dados_Observados_v4!M58&lt;&gt;"",(2018-2017)&lt;=Metodologia_v4!$B$14),"EST_CARRY_BACKWARD","SEM_DADO")))</f>
        <v/>
      </c>
      <c r="M58" s="10">
        <f>IF(Dados_Observados_v4!M58&lt;&gt;"","OBS",IF(Dados_Ajustados_v4!M58="","SEM_DADO",IF(AND(Dados_Observados_v4!L58&lt;&gt;"",Dados_Observados_v4!Q58&lt;&gt;"",(2022-2017-1)&lt;=Metodologia_v4!$B$12),"EST_INTERP_LINEAR",IF(AND(Dados_Observados_v4!L58&lt;&gt;"",(2018-2017)&lt;=Metodologia_v4!$B$13),"EST_CARRY_FORWARD",IF(AND(Dados_Observados_v4!Q58&lt;&gt;"",(2022-2018)&lt;=Metodologia_v4!$B$14),"EST_CARRY_BACKWARD","SEM_DADO")))))</f>
        <v/>
      </c>
      <c r="N58" s="10">
        <f>IF(Dados_Observados_v4!N58&lt;&gt;"","OBS",IF(Dados_Ajustados_v4!N58="","SEM_DADO",IF(AND(Dados_Observados_v4!M58&lt;&gt;"",Dados_Observados_v4!Q58&lt;&gt;"",(2022-2018-1)&lt;=Metodologia_v4!$B$12),"EST_INTERP_LINEAR",IF(AND(Dados_Observados_v4!M58&lt;&gt;"",(2019-2018)&lt;=Metodologia_v4!$B$13),"EST_CARRY_FORWARD",IF(AND(Dados_Observados_v4!Q58&lt;&gt;"",(2022-2019)&lt;=Metodologia_v4!$B$14),"EST_CARRY_BACKWARD","SEM_DADO")))))</f>
        <v/>
      </c>
      <c r="O58" s="10">
        <f>IF(Dados_Observados_v4!O58&lt;&gt;"","OBS",IF(Dados_Ajustados_v4!O58="","SEM_DADO",IF(AND(Dados_Observados_v4!M58&lt;&gt;"",Dados_Observados_v4!Q58&lt;&gt;"",(2022-2018-1)&lt;=Metodologia_v4!$B$12),"EST_INTERP_LINEAR",IF(AND(Dados_Observados_v4!M58&lt;&gt;"",(2020-2018)&lt;=Metodologia_v4!$B$13),"EST_CARRY_FORWARD",IF(AND(Dados_Observados_v4!Q58&lt;&gt;"",(2022-2020)&lt;=Metodologia_v4!$B$14),"EST_CARRY_BACKWARD","SEM_DADO")))))</f>
        <v/>
      </c>
      <c r="P58" s="10">
        <f>IF(Dados_Observados_v4!P58&lt;&gt;"","OBS",IF(Dados_Ajustados_v4!P58="","SEM_DADO",IF(AND(Dados_Observados_v4!M58&lt;&gt;"",Dados_Observados_v4!Q58&lt;&gt;"",(2022-2018-1)&lt;=Metodologia_v4!$B$12),"EST_INTERP_LINEAR",IF(AND(Dados_Observados_v4!M58&lt;&gt;"",(2021-2018)&lt;=Metodologia_v4!$B$13),"EST_CARRY_FORWARD",IF(AND(Dados_Observados_v4!Q58&lt;&gt;"",(2022-2021)&lt;=Metodologia_v4!$B$14),"EST_CARRY_BACKWARD","SEM_DADO")))))</f>
        <v/>
      </c>
      <c r="Q58" s="10">
        <f>IF(Dados_Observados_v4!Q58&lt;&gt;"","OBS",IF(Dados_Ajustados_v4!Q58="","SEM_DADO",IF(AND(Dados_Observados_v4!M58&lt;&gt;"",(2022-2018)&lt;=Metodologia_v4!$B$13),"EST_CARRY_FORWARD","SEM_DADO")))</f>
        <v/>
      </c>
      <c r="R58" s="10">
        <f>IF(Dados_Observados_v4!R58&lt;&gt;"","OBS",IF(Dados_Ajustados_v4!R58="","SEM_DADO",IF(AND(Dados_Observados_v4!Q58&lt;&gt;"",(2023-2022)&lt;=Metodologia_v4!$B$13),"EST_CARRY_FORWARD","SEM_DADO")))</f>
        <v/>
      </c>
      <c r="S58" s="10">
        <f>IF(Dados_Observados_v4!S58&lt;&gt;"","OBS",IF(Dados_Ajustados_v4!S58="","SEM_DADO",IF(AND(Dados_Observados_v4!Q58&lt;&gt;"",(2024-2022)&lt;=Metodologia_v4!$B$13),"EST_CARRY_FORWARD","SEM_DADO")))</f>
        <v/>
      </c>
      <c r="T58" s="10">
        <f>IF(Dados_Observados_v4!T58&lt;&gt;"","OBS",IF(Dados_Ajustados_v4!T58="","SEM_DADO",IF(AND(Dados_Observados_v4!Q58&lt;&gt;"",(2025-2022)&lt;=Metodologia_v4!$B$13),"EST_CARRY_FORWARD","SEM_DADO")))</f>
        <v/>
      </c>
    </row>
    <row r="59">
      <c r="A59" s="5" t="inlineStr">
        <is>
          <t>SAU08</t>
        </is>
      </c>
      <c r="B59" s="5" t="inlineStr">
        <is>
          <t>7. Segurança Alimentar e Saúde</t>
        </is>
      </c>
      <c r="C59" s="5" t="inlineStr">
        <is>
          <t>Camas hospitalares</t>
        </is>
      </c>
      <c r="D59" s="5" t="inlineStr">
        <is>
          <t>Banco Mundial/OMS</t>
        </is>
      </c>
      <c r="E59" s="5" t="inlineStr">
        <is>
          <t>SH.MED.BEDS.ZS</t>
        </is>
      </c>
      <c r="F59" s="5" t="inlineStr">
        <is>
          <t>Fonte Banco Mundial API/CSV</t>
        </is>
      </c>
      <c r="G59" s="5" t="inlineStr">
        <is>
          <t>1/11</t>
        </is>
      </c>
      <c r="H59" s="5" t="n">
        <v>2019</v>
      </c>
      <c r="I59" s="5" t="inlineStr">
        <is>
          <t>Referenciado pelas regras de Metodologia_v4</t>
        </is>
      </c>
      <c r="J59" s="10">
        <f>IF(Dados_Observados_v4!J59&lt;&gt;"","OBS",IF(Dados_Ajustados_v4!J59="","SEM_DADO",IF(AND(Dados_Observados_v4!N59&lt;&gt;"",(2019-2015)&lt;=Metodologia_v4!$B$14),"EST_CARRY_BACKWARD","SEM_DADO")))</f>
        <v/>
      </c>
      <c r="K59" s="10">
        <f>IF(Dados_Observados_v4!K59&lt;&gt;"","OBS",IF(Dados_Ajustados_v4!K59="","SEM_DADO",IF(AND(Dados_Observados_v4!N59&lt;&gt;"",(2019-2016)&lt;=Metodologia_v4!$B$14),"EST_CARRY_BACKWARD","SEM_DADO")))</f>
        <v/>
      </c>
      <c r="L59" s="10">
        <f>IF(Dados_Observados_v4!L59&lt;&gt;"","OBS",IF(Dados_Ajustados_v4!L59="","SEM_DADO",IF(AND(Dados_Observados_v4!N59&lt;&gt;"",(2019-2017)&lt;=Metodologia_v4!$B$14),"EST_CARRY_BACKWARD","SEM_DADO")))</f>
        <v/>
      </c>
      <c r="M59" s="10">
        <f>IF(Dados_Observados_v4!M59&lt;&gt;"","OBS",IF(Dados_Ajustados_v4!M59="","SEM_DADO",IF(AND(Dados_Observados_v4!N59&lt;&gt;"",(2019-2018)&lt;=Metodologia_v4!$B$14),"EST_CARRY_BACKWARD","SEM_DADO")))</f>
        <v/>
      </c>
      <c r="N59" s="10">
        <f>IF(Dados_Observados_v4!N59&lt;&gt;"","OBS",IF(Dados_Ajustados_v4!N59="","SEM_DADO","SEM_DADO"))</f>
        <v/>
      </c>
      <c r="O59" s="10">
        <f>IF(Dados_Observados_v4!O59&lt;&gt;"","OBS",IF(Dados_Ajustados_v4!O59="","SEM_DADO",IF(AND(Dados_Observados_v4!N59&lt;&gt;"",(2020-2019)&lt;=Metodologia_v4!$B$13),"EST_CARRY_FORWARD","SEM_DADO")))</f>
        <v/>
      </c>
      <c r="P59" s="10">
        <f>IF(Dados_Observados_v4!P59&lt;&gt;"","OBS",IF(Dados_Ajustados_v4!P59="","SEM_DADO",IF(AND(Dados_Observados_v4!N59&lt;&gt;"",(2021-2019)&lt;=Metodologia_v4!$B$13),"EST_CARRY_FORWARD","SEM_DADO")))</f>
        <v/>
      </c>
      <c r="Q59" s="10">
        <f>IF(Dados_Observados_v4!Q59&lt;&gt;"","OBS",IF(Dados_Ajustados_v4!Q59="","SEM_DADO",IF(AND(Dados_Observados_v4!N59&lt;&gt;"",(2022-2019)&lt;=Metodologia_v4!$B$13),"EST_CARRY_FORWARD","SEM_DADO")))</f>
        <v/>
      </c>
      <c r="R59" s="10">
        <f>IF(Dados_Observados_v4!R59&lt;&gt;"","OBS",IF(Dados_Ajustados_v4!R59="","SEM_DADO",IF(AND(Dados_Observados_v4!N59&lt;&gt;"",(2023-2019)&lt;=Metodologia_v4!$B$13),"EST_CARRY_FORWARD","SEM_DADO")))</f>
        <v/>
      </c>
      <c r="S59" s="10">
        <f>IF(Dados_Observados_v4!S59&lt;&gt;"","OBS",IF(Dados_Ajustados_v4!S59="","SEM_DADO",IF(AND(Dados_Observados_v4!N59&lt;&gt;"",(2024-2019)&lt;=Metodologia_v4!$B$13),"EST_CARRY_FORWARD","SEM_DADO")))</f>
        <v/>
      </c>
      <c r="T59" s="10">
        <f>IF(Dados_Observados_v4!T59&lt;&gt;"","OBS",IF(Dados_Ajustados_v4!T59="","SEM_DADO",IF(AND(Dados_Observados_v4!N59&lt;&gt;"",(2025-2019)&lt;=Metodologia_v4!$B$13),"EST_CARRY_FORWARD","SEM_DADO")))</f>
        <v/>
      </c>
    </row>
    <row r="60">
      <c r="A60" s="5" t="inlineStr">
        <is>
          <t>SAU09</t>
        </is>
      </c>
      <c r="B60" s="5" t="inlineStr">
        <is>
          <t>7. Segurança Alimentar e Saúde</t>
        </is>
      </c>
      <c r="C60" s="5" t="inlineStr">
        <is>
          <t>Índice de produção alimentar</t>
        </is>
      </c>
      <c r="D60" s="5" t="inlineStr">
        <is>
          <t>Banco Mundial/FAO</t>
        </is>
      </c>
      <c r="E60" s="5" t="inlineStr">
        <is>
          <t>AG.PRD.FOOD.XD</t>
        </is>
      </c>
      <c r="F60" s="5" t="inlineStr">
        <is>
          <t>Fonte Banco Mundial API/CSV</t>
        </is>
      </c>
      <c r="G60" s="5" t="inlineStr">
        <is>
          <t>8/11</t>
        </is>
      </c>
      <c r="H60" s="5" t="n">
        <v>2022</v>
      </c>
      <c r="I60" s="5" t="inlineStr">
        <is>
          <t>Referenciado pelas regras de Metodologia_v4</t>
        </is>
      </c>
      <c r="J60" s="10">
        <f>IF(Dados_Observados_v4!J60&lt;&gt;"","OBS",IF(Dados_Ajustados_v4!J60="","SEM_DADO",IF(AND(Dados_Observados_v4!K60&lt;&gt;"",(2016-2015)&lt;=Metodologia_v4!$B$14),"EST_CARRY_BACKWARD","SEM_DADO")))</f>
        <v/>
      </c>
      <c r="K60" s="10">
        <f>IF(Dados_Observados_v4!K60&lt;&gt;"","OBS",IF(Dados_Ajustados_v4!K60="","SEM_DADO",IF(AND(Dados_Observados_v4!J60&lt;&gt;"",Dados_Observados_v4!L60&lt;&gt;"",(2017-2015-1)&lt;=Metodologia_v4!$B$12),"EST_INTERP_LINEAR",IF(AND(Dados_Observados_v4!J60&lt;&gt;"",(2016-2015)&lt;=Metodologia_v4!$B$13),"EST_CARRY_FORWARD",IF(AND(Dados_Observados_v4!L60&lt;&gt;"",(2017-2016)&lt;=Metodologia_v4!$B$14),"EST_CARRY_BACKWARD","SEM_DADO")))))</f>
        <v/>
      </c>
      <c r="L60" s="10">
        <f>IF(Dados_Observados_v4!L60&lt;&gt;"","OBS",IF(Dados_Ajustados_v4!L60="","SEM_DADO",IF(AND(Dados_Observados_v4!K60&lt;&gt;"",Dados_Observados_v4!M60&lt;&gt;"",(2018-2016-1)&lt;=Metodologia_v4!$B$12),"EST_INTERP_LINEAR",IF(AND(Dados_Observados_v4!K60&lt;&gt;"",(2017-2016)&lt;=Metodologia_v4!$B$13),"EST_CARRY_FORWARD",IF(AND(Dados_Observados_v4!M60&lt;&gt;"",(2018-2017)&lt;=Metodologia_v4!$B$14),"EST_CARRY_BACKWARD","SEM_DADO")))))</f>
        <v/>
      </c>
      <c r="M60" s="10">
        <f>IF(Dados_Observados_v4!M60&lt;&gt;"","OBS",IF(Dados_Ajustados_v4!M60="","SEM_DADO",IF(AND(Dados_Observados_v4!L60&lt;&gt;"",Dados_Observados_v4!N60&lt;&gt;"",(2019-2017-1)&lt;=Metodologia_v4!$B$12),"EST_INTERP_LINEAR",IF(AND(Dados_Observados_v4!L60&lt;&gt;"",(2018-2017)&lt;=Metodologia_v4!$B$13),"EST_CARRY_FORWARD",IF(AND(Dados_Observados_v4!N60&lt;&gt;"",(2019-2018)&lt;=Metodologia_v4!$B$14),"EST_CARRY_BACKWARD","SEM_DADO")))))</f>
        <v/>
      </c>
      <c r="N60" s="10">
        <f>IF(Dados_Observados_v4!N60&lt;&gt;"","OBS",IF(Dados_Ajustados_v4!N60="","SEM_DADO",IF(AND(Dados_Observados_v4!M60&lt;&gt;"",Dados_Observados_v4!O60&lt;&gt;"",(2020-2018-1)&lt;=Metodologia_v4!$B$12),"EST_INTERP_LINEAR",IF(AND(Dados_Observados_v4!M60&lt;&gt;"",(2019-2018)&lt;=Metodologia_v4!$B$13),"EST_CARRY_FORWARD",IF(AND(Dados_Observados_v4!O60&lt;&gt;"",(2020-2019)&lt;=Metodologia_v4!$B$14),"EST_CARRY_BACKWARD","SEM_DADO")))))</f>
        <v/>
      </c>
      <c r="O60" s="10">
        <f>IF(Dados_Observados_v4!O60&lt;&gt;"","OBS",IF(Dados_Ajustados_v4!O60="","SEM_DADO",IF(AND(Dados_Observados_v4!N60&lt;&gt;"",Dados_Observados_v4!P60&lt;&gt;"",(2021-2019-1)&lt;=Metodologia_v4!$B$12),"EST_INTERP_LINEAR",IF(AND(Dados_Observados_v4!N60&lt;&gt;"",(2020-2019)&lt;=Metodologia_v4!$B$13),"EST_CARRY_FORWARD",IF(AND(Dados_Observados_v4!P60&lt;&gt;"",(2021-2020)&lt;=Metodologia_v4!$B$14),"EST_CARRY_BACKWARD","SEM_DADO")))))</f>
        <v/>
      </c>
      <c r="P60" s="10">
        <f>IF(Dados_Observados_v4!P60&lt;&gt;"","OBS",IF(Dados_Ajustados_v4!P60="","SEM_DADO",IF(AND(Dados_Observados_v4!O60&lt;&gt;"",Dados_Observados_v4!Q60&lt;&gt;"",(2022-2020-1)&lt;=Metodologia_v4!$B$12),"EST_INTERP_LINEAR",IF(AND(Dados_Observados_v4!O60&lt;&gt;"",(2021-2020)&lt;=Metodologia_v4!$B$13),"EST_CARRY_FORWARD",IF(AND(Dados_Observados_v4!Q60&lt;&gt;"",(2022-2021)&lt;=Metodologia_v4!$B$14),"EST_CARRY_BACKWARD","SEM_DADO")))))</f>
        <v/>
      </c>
      <c r="Q60" s="10">
        <f>IF(Dados_Observados_v4!Q60&lt;&gt;"","OBS",IF(Dados_Ajustados_v4!Q60="","SEM_DADO",IF(AND(Dados_Observados_v4!P60&lt;&gt;"",(2022-2021)&lt;=Metodologia_v4!$B$13),"EST_CARRY_FORWARD","SEM_DADO")))</f>
        <v/>
      </c>
      <c r="R60" s="10">
        <f>IF(Dados_Observados_v4!R60&lt;&gt;"","OBS",IF(Dados_Ajustados_v4!R60="","SEM_DADO",IF(AND(Dados_Observados_v4!Q60&lt;&gt;"",(2023-2022)&lt;=Metodologia_v4!$B$13),"EST_CARRY_FORWARD","SEM_DADO")))</f>
        <v/>
      </c>
      <c r="S60" s="10">
        <f>IF(Dados_Observados_v4!S60&lt;&gt;"","OBS",IF(Dados_Ajustados_v4!S60="","SEM_DADO",IF(AND(Dados_Observados_v4!Q60&lt;&gt;"",(2024-2022)&lt;=Metodologia_v4!$B$13),"EST_CARRY_FORWARD","SEM_DADO")))</f>
        <v/>
      </c>
      <c r="T60" s="10">
        <f>IF(Dados_Observados_v4!T60&lt;&gt;"","OBS",IF(Dados_Ajustados_v4!T60="","SEM_DADO",IF(AND(Dados_Observados_v4!Q60&lt;&gt;"",(2025-2022)&lt;=Metodologia_v4!$B$13),"EST_CARRY_FORWARD","SEM_DADO")))</f>
        <v/>
      </c>
    </row>
  </sheetData>
  <autoFilter ref="A4:T60"/>
  <conditionalFormatting sqref="J5:T60">
    <cfRule type="expression" priority="1" dxfId="0">
      <formula>J5="OBS"</formula>
    </cfRule>
    <cfRule type="expression" priority="2" dxfId="1">
      <formula>LEFT(J5,3)="EST"</formula>
    </cfRule>
    <cfRule type="expression" priority="3" dxfId="2">
      <formula>J5="SEM_DADO"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R60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10" customWidth="1" min="4" max="4"/>
    <col width="10" customWidth="1" min="5" max="5"/>
    <col width="18" customWidth="1" min="6" max="6"/>
    <col width="4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Normalização 0-100</t>
        </is>
      </c>
    </row>
    <row r="2"/>
    <row r="3"/>
    <row r="4">
      <c r="A4" s="7" t="inlineStr">
        <is>
          <t>ID</t>
        </is>
      </c>
      <c r="B4" s="7" t="inlineStr">
        <is>
          <t>Dimensão</t>
        </is>
      </c>
      <c r="C4" s="7" t="inlineStr">
        <is>
          <t>Indicador</t>
        </is>
      </c>
      <c r="D4" s="7" t="inlineStr">
        <is>
          <t>Ativo</t>
        </is>
      </c>
      <c r="E4" s="7" t="inlineStr">
        <is>
          <t>Peso</t>
        </is>
      </c>
      <c r="F4" s="7" t="inlineStr">
        <is>
          <t>Cobertura ajustada</t>
        </is>
      </c>
      <c r="G4" s="7" t="inlineStr">
        <is>
          <t>Nota</t>
        </is>
      </c>
      <c r="H4" s="7" t="inlineStr">
        <is>
          <t>2015</t>
        </is>
      </c>
      <c r="I4" s="7" t="inlineStr">
        <is>
          <t>2016</t>
        </is>
      </c>
      <c r="J4" s="7" t="inlineStr">
        <is>
          <t>2017</t>
        </is>
      </c>
      <c r="K4" s="7" t="inlineStr">
        <is>
          <t>2018</t>
        </is>
      </c>
      <c r="L4" s="7" t="inlineStr">
        <is>
          <t>2019</t>
        </is>
      </c>
      <c r="M4" s="7" t="inlineStr">
        <is>
          <t>2020</t>
        </is>
      </c>
      <c r="N4" s="7" t="inlineStr">
        <is>
          <t>2021</t>
        </is>
      </c>
      <c r="O4" s="7" t="inlineStr">
        <is>
          <t>2022</t>
        </is>
      </c>
      <c r="P4" s="7" t="inlineStr">
        <is>
          <t>2023</t>
        </is>
      </c>
      <c r="Q4" s="7" t="inlineStr">
        <is>
          <t>2024</t>
        </is>
      </c>
      <c r="R4" s="7" t="inlineStr">
        <is>
          <t>2025</t>
        </is>
      </c>
    </row>
    <row r="5">
      <c r="A5" s="5" t="inlineStr">
        <is>
          <t>GOV01</t>
        </is>
      </c>
      <c r="B5" s="5" t="inlineStr">
        <is>
          <t>1. Governança e Estado de Direito</t>
        </is>
      </c>
      <c r="C5" s="5" t="inlineStr">
        <is>
          <t>Índice de Percepção da Corrupção</t>
        </is>
      </c>
      <c r="D5" s="5">
        <f>Indicadores_v4!J5</f>
        <v/>
      </c>
      <c r="E5" s="5">
        <f>Indicadores_v4!I5</f>
        <v/>
      </c>
      <c r="F5" s="5">
        <f>COUNT(H5:R5)&amp;"/"&amp;COUNTA(H$4:R$4)</f>
        <v/>
      </c>
      <c r="G5" s="5" t="inlineStr">
        <is>
          <t>Min/max/sentido vêm de Indicadores_v4</t>
        </is>
      </c>
      <c r="H5" s="9">
        <f>IF(Dados_Ajustados_v4!J5="","",IF(Indicadores_v4!$E5="+",MIN(Metodologia_v4!$B$9,MAX(Metodologia_v4!$B$8,(Dados_Ajustados_v4!J5-Indicadores_v4!$F5)/(Indicadores_v4!$G5-Indicadores_v4!$F5)*100)),MIN(Metodologia_v4!$B$9,MAX(Metodologia_v4!$B$8,(Indicadores_v4!$G5-Dados_Ajustados_v4!J5)/(Indicadores_v4!$G5-Indicadores_v4!$F5)*100))))</f>
        <v/>
      </c>
      <c r="I5" s="9">
        <f>IF(Dados_Ajustados_v4!K5="","",IF(Indicadores_v4!$E5="+",MIN(Metodologia_v4!$B$9,MAX(Metodologia_v4!$B$8,(Dados_Ajustados_v4!K5-Indicadores_v4!$F5)/(Indicadores_v4!$G5-Indicadores_v4!$F5)*100)),MIN(Metodologia_v4!$B$9,MAX(Metodologia_v4!$B$8,(Indicadores_v4!$G5-Dados_Ajustados_v4!K5)/(Indicadores_v4!$G5-Indicadores_v4!$F5)*100))))</f>
        <v/>
      </c>
      <c r="J5" s="9">
        <f>IF(Dados_Ajustados_v4!L5="","",IF(Indicadores_v4!$E5="+",MIN(Metodologia_v4!$B$9,MAX(Metodologia_v4!$B$8,(Dados_Ajustados_v4!L5-Indicadores_v4!$F5)/(Indicadores_v4!$G5-Indicadores_v4!$F5)*100)),MIN(Metodologia_v4!$B$9,MAX(Metodologia_v4!$B$8,(Indicadores_v4!$G5-Dados_Ajustados_v4!L5)/(Indicadores_v4!$G5-Indicadores_v4!$F5)*100))))</f>
        <v/>
      </c>
      <c r="K5" s="9">
        <f>IF(Dados_Ajustados_v4!M5="","",IF(Indicadores_v4!$E5="+",MIN(Metodologia_v4!$B$9,MAX(Metodologia_v4!$B$8,(Dados_Ajustados_v4!M5-Indicadores_v4!$F5)/(Indicadores_v4!$G5-Indicadores_v4!$F5)*100)),MIN(Metodologia_v4!$B$9,MAX(Metodologia_v4!$B$8,(Indicadores_v4!$G5-Dados_Ajustados_v4!M5)/(Indicadores_v4!$G5-Indicadores_v4!$F5)*100))))</f>
        <v/>
      </c>
      <c r="L5" s="9">
        <f>IF(Dados_Ajustados_v4!N5="","",IF(Indicadores_v4!$E5="+",MIN(Metodologia_v4!$B$9,MAX(Metodologia_v4!$B$8,(Dados_Ajustados_v4!N5-Indicadores_v4!$F5)/(Indicadores_v4!$G5-Indicadores_v4!$F5)*100)),MIN(Metodologia_v4!$B$9,MAX(Metodologia_v4!$B$8,(Indicadores_v4!$G5-Dados_Ajustados_v4!N5)/(Indicadores_v4!$G5-Indicadores_v4!$F5)*100))))</f>
        <v/>
      </c>
      <c r="M5" s="9">
        <f>IF(Dados_Ajustados_v4!O5="","",IF(Indicadores_v4!$E5="+",MIN(Metodologia_v4!$B$9,MAX(Metodologia_v4!$B$8,(Dados_Ajustados_v4!O5-Indicadores_v4!$F5)/(Indicadores_v4!$G5-Indicadores_v4!$F5)*100)),MIN(Metodologia_v4!$B$9,MAX(Metodologia_v4!$B$8,(Indicadores_v4!$G5-Dados_Ajustados_v4!O5)/(Indicadores_v4!$G5-Indicadores_v4!$F5)*100))))</f>
        <v/>
      </c>
      <c r="N5" s="9">
        <f>IF(Dados_Ajustados_v4!P5="","",IF(Indicadores_v4!$E5="+",MIN(Metodologia_v4!$B$9,MAX(Metodologia_v4!$B$8,(Dados_Ajustados_v4!P5-Indicadores_v4!$F5)/(Indicadores_v4!$G5-Indicadores_v4!$F5)*100)),MIN(Metodologia_v4!$B$9,MAX(Metodologia_v4!$B$8,(Indicadores_v4!$G5-Dados_Ajustados_v4!P5)/(Indicadores_v4!$G5-Indicadores_v4!$F5)*100))))</f>
        <v/>
      </c>
      <c r="O5" s="9">
        <f>IF(Dados_Ajustados_v4!Q5="","",IF(Indicadores_v4!$E5="+",MIN(Metodologia_v4!$B$9,MAX(Metodologia_v4!$B$8,(Dados_Ajustados_v4!Q5-Indicadores_v4!$F5)/(Indicadores_v4!$G5-Indicadores_v4!$F5)*100)),MIN(Metodologia_v4!$B$9,MAX(Metodologia_v4!$B$8,(Indicadores_v4!$G5-Dados_Ajustados_v4!Q5)/(Indicadores_v4!$G5-Indicadores_v4!$F5)*100))))</f>
        <v/>
      </c>
      <c r="P5" s="9">
        <f>IF(Dados_Ajustados_v4!R5="","",IF(Indicadores_v4!$E5="+",MIN(Metodologia_v4!$B$9,MAX(Metodologia_v4!$B$8,(Dados_Ajustados_v4!R5-Indicadores_v4!$F5)/(Indicadores_v4!$G5-Indicadores_v4!$F5)*100)),MIN(Metodologia_v4!$B$9,MAX(Metodologia_v4!$B$8,(Indicadores_v4!$G5-Dados_Ajustados_v4!R5)/(Indicadores_v4!$G5-Indicadores_v4!$F5)*100))))</f>
        <v/>
      </c>
      <c r="Q5" s="9">
        <f>IF(Dados_Ajustados_v4!S5="","",IF(Indicadores_v4!$E5="+",MIN(Metodologia_v4!$B$9,MAX(Metodologia_v4!$B$8,(Dados_Ajustados_v4!S5-Indicadores_v4!$F5)/(Indicadores_v4!$G5-Indicadores_v4!$F5)*100)),MIN(Metodologia_v4!$B$9,MAX(Metodologia_v4!$B$8,(Indicadores_v4!$G5-Dados_Ajustados_v4!S5)/(Indicadores_v4!$G5-Indicadores_v4!$F5)*100))))</f>
        <v/>
      </c>
      <c r="R5" s="9">
        <f>IF(Dados_Ajustados_v4!T5="","",IF(Indicadores_v4!$E5="+",MIN(Metodologia_v4!$B$9,MAX(Metodologia_v4!$B$8,(Dados_Ajustados_v4!T5-Indicadores_v4!$F5)/(Indicadores_v4!$G5-Indicadores_v4!$F5)*100)),MIN(Metodologia_v4!$B$9,MAX(Metodologia_v4!$B$8,(Indicadores_v4!$G5-Dados_Ajustados_v4!T5)/(Indicadores_v4!$G5-Indicadores_v4!$F5)*100))))</f>
        <v/>
      </c>
    </row>
    <row r="6">
      <c r="A6" s="5" t="inlineStr">
        <is>
          <t>GOV02</t>
        </is>
      </c>
      <c r="B6" s="5" t="inlineStr">
        <is>
          <t>1. Governança e Estado de Direito</t>
        </is>
      </c>
      <c r="C6" s="5" t="inlineStr">
        <is>
          <t>WGI - Estado de Direito</t>
        </is>
      </c>
      <c r="D6" s="5">
        <f>Indicadores_v4!J6</f>
        <v/>
      </c>
      <c r="E6" s="5">
        <f>Indicadores_v4!I6</f>
        <v/>
      </c>
      <c r="F6" s="5">
        <f>COUNT(H6:R6)&amp;"/"&amp;COUNTA(H$4:R$4)</f>
        <v/>
      </c>
      <c r="G6" s="5" t="inlineStr">
        <is>
          <t>Min/max/sentido vêm de Indicadores_v4</t>
        </is>
      </c>
      <c r="H6" s="9">
        <f>IF(Dados_Ajustados_v4!J6="","",IF(Indicadores_v4!$E6="+",MIN(Metodologia_v4!$B$9,MAX(Metodologia_v4!$B$8,(Dados_Ajustados_v4!J6-Indicadores_v4!$F6)/(Indicadores_v4!$G6-Indicadores_v4!$F6)*100)),MIN(Metodologia_v4!$B$9,MAX(Metodologia_v4!$B$8,(Indicadores_v4!$G6-Dados_Ajustados_v4!J6)/(Indicadores_v4!$G6-Indicadores_v4!$F6)*100))))</f>
        <v/>
      </c>
      <c r="I6" s="9">
        <f>IF(Dados_Ajustados_v4!K6="","",IF(Indicadores_v4!$E6="+",MIN(Metodologia_v4!$B$9,MAX(Metodologia_v4!$B$8,(Dados_Ajustados_v4!K6-Indicadores_v4!$F6)/(Indicadores_v4!$G6-Indicadores_v4!$F6)*100)),MIN(Metodologia_v4!$B$9,MAX(Metodologia_v4!$B$8,(Indicadores_v4!$G6-Dados_Ajustados_v4!K6)/(Indicadores_v4!$G6-Indicadores_v4!$F6)*100))))</f>
        <v/>
      </c>
      <c r="J6" s="9">
        <f>IF(Dados_Ajustados_v4!L6="","",IF(Indicadores_v4!$E6="+",MIN(Metodologia_v4!$B$9,MAX(Metodologia_v4!$B$8,(Dados_Ajustados_v4!L6-Indicadores_v4!$F6)/(Indicadores_v4!$G6-Indicadores_v4!$F6)*100)),MIN(Metodologia_v4!$B$9,MAX(Metodologia_v4!$B$8,(Indicadores_v4!$G6-Dados_Ajustados_v4!L6)/(Indicadores_v4!$G6-Indicadores_v4!$F6)*100))))</f>
        <v/>
      </c>
      <c r="K6" s="9">
        <f>IF(Dados_Ajustados_v4!M6="","",IF(Indicadores_v4!$E6="+",MIN(Metodologia_v4!$B$9,MAX(Metodologia_v4!$B$8,(Dados_Ajustados_v4!M6-Indicadores_v4!$F6)/(Indicadores_v4!$G6-Indicadores_v4!$F6)*100)),MIN(Metodologia_v4!$B$9,MAX(Metodologia_v4!$B$8,(Indicadores_v4!$G6-Dados_Ajustados_v4!M6)/(Indicadores_v4!$G6-Indicadores_v4!$F6)*100))))</f>
        <v/>
      </c>
      <c r="L6" s="9">
        <f>IF(Dados_Ajustados_v4!N6="","",IF(Indicadores_v4!$E6="+",MIN(Metodologia_v4!$B$9,MAX(Metodologia_v4!$B$8,(Dados_Ajustados_v4!N6-Indicadores_v4!$F6)/(Indicadores_v4!$G6-Indicadores_v4!$F6)*100)),MIN(Metodologia_v4!$B$9,MAX(Metodologia_v4!$B$8,(Indicadores_v4!$G6-Dados_Ajustados_v4!N6)/(Indicadores_v4!$G6-Indicadores_v4!$F6)*100))))</f>
        <v/>
      </c>
      <c r="M6" s="9">
        <f>IF(Dados_Ajustados_v4!O6="","",IF(Indicadores_v4!$E6="+",MIN(Metodologia_v4!$B$9,MAX(Metodologia_v4!$B$8,(Dados_Ajustados_v4!O6-Indicadores_v4!$F6)/(Indicadores_v4!$G6-Indicadores_v4!$F6)*100)),MIN(Metodologia_v4!$B$9,MAX(Metodologia_v4!$B$8,(Indicadores_v4!$G6-Dados_Ajustados_v4!O6)/(Indicadores_v4!$G6-Indicadores_v4!$F6)*100))))</f>
        <v/>
      </c>
      <c r="N6" s="9">
        <f>IF(Dados_Ajustados_v4!P6="","",IF(Indicadores_v4!$E6="+",MIN(Metodologia_v4!$B$9,MAX(Metodologia_v4!$B$8,(Dados_Ajustados_v4!P6-Indicadores_v4!$F6)/(Indicadores_v4!$G6-Indicadores_v4!$F6)*100)),MIN(Metodologia_v4!$B$9,MAX(Metodologia_v4!$B$8,(Indicadores_v4!$G6-Dados_Ajustados_v4!P6)/(Indicadores_v4!$G6-Indicadores_v4!$F6)*100))))</f>
        <v/>
      </c>
      <c r="O6" s="9">
        <f>IF(Dados_Ajustados_v4!Q6="","",IF(Indicadores_v4!$E6="+",MIN(Metodologia_v4!$B$9,MAX(Metodologia_v4!$B$8,(Dados_Ajustados_v4!Q6-Indicadores_v4!$F6)/(Indicadores_v4!$G6-Indicadores_v4!$F6)*100)),MIN(Metodologia_v4!$B$9,MAX(Metodologia_v4!$B$8,(Indicadores_v4!$G6-Dados_Ajustados_v4!Q6)/(Indicadores_v4!$G6-Indicadores_v4!$F6)*100))))</f>
        <v/>
      </c>
      <c r="P6" s="9">
        <f>IF(Dados_Ajustados_v4!R6="","",IF(Indicadores_v4!$E6="+",MIN(Metodologia_v4!$B$9,MAX(Metodologia_v4!$B$8,(Dados_Ajustados_v4!R6-Indicadores_v4!$F6)/(Indicadores_v4!$G6-Indicadores_v4!$F6)*100)),MIN(Metodologia_v4!$B$9,MAX(Metodologia_v4!$B$8,(Indicadores_v4!$G6-Dados_Ajustados_v4!R6)/(Indicadores_v4!$G6-Indicadores_v4!$F6)*100))))</f>
        <v/>
      </c>
      <c r="Q6" s="9">
        <f>IF(Dados_Ajustados_v4!S6="","",IF(Indicadores_v4!$E6="+",MIN(Metodologia_v4!$B$9,MAX(Metodologia_v4!$B$8,(Dados_Ajustados_v4!S6-Indicadores_v4!$F6)/(Indicadores_v4!$G6-Indicadores_v4!$F6)*100)),MIN(Metodologia_v4!$B$9,MAX(Metodologia_v4!$B$8,(Indicadores_v4!$G6-Dados_Ajustados_v4!S6)/(Indicadores_v4!$G6-Indicadores_v4!$F6)*100))))</f>
        <v/>
      </c>
      <c r="R6" s="9">
        <f>IF(Dados_Ajustados_v4!T6="","",IF(Indicadores_v4!$E6="+",MIN(Metodologia_v4!$B$9,MAX(Metodologia_v4!$B$8,(Dados_Ajustados_v4!T6-Indicadores_v4!$F6)/(Indicadores_v4!$G6-Indicadores_v4!$F6)*100)),MIN(Metodologia_v4!$B$9,MAX(Metodologia_v4!$B$8,(Indicadores_v4!$G6-Dados_Ajustados_v4!T6)/(Indicadores_v4!$G6-Indicadores_v4!$F6)*100))))</f>
        <v/>
      </c>
    </row>
    <row r="7">
      <c r="A7" s="5" t="inlineStr">
        <is>
          <t>GOV03</t>
        </is>
      </c>
      <c r="B7" s="5" t="inlineStr">
        <is>
          <t>1. Governança e Estado de Direito</t>
        </is>
      </c>
      <c r="C7" s="5" t="inlineStr">
        <is>
          <t>WGI - Eficiência do Governo</t>
        </is>
      </c>
      <c r="D7" s="5">
        <f>Indicadores_v4!J7</f>
        <v/>
      </c>
      <c r="E7" s="5">
        <f>Indicadores_v4!I7</f>
        <v/>
      </c>
      <c r="F7" s="5">
        <f>COUNT(H7:R7)&amp;"/"&amp;COUNTA(H$4:R$4)</f>
        <v/>
      </c>
      <c r="G7" s="5" t="inlineStr">
        <is>
          <t>Min/max/sentido vêm de Indicadores_v4</t>
        </is>
      </c>
      <c r="H7" s="9">
        <f>IF(Dados_Ajustados_v4!J7="","",IF(Indicadores_v4!$E7="+",MIN(Metodologia_v4!$B$9,MAX(Metodologia_v4!$B$8,(Dados_Ajustados_v4!J7-Indicadores_v4!$F7)/(Indicadores_v4!$G7-Indicadores_v4!$F7)*100)),MIN(Metodologia_v4!$B$9,MAX(Metodologia_v4!$B$8,(Indicadores_v4!$G7-Dados_Ajustados_v4!J7)/(Indicadores_v4!$G7-Indicadores_v4!$F7)*100))))</f>
        <v/>
      </c>
      <c r="I7" s="9">
        <f>IF(Dados_Ajustados_v4!K7="","",IF(Indicadores_v4!$E7="+",MIN(Metodologia_v4!$B$9,MAX(Metodologia_v4!$B$8,(Dados_Ajustados_v4!K7-Indicadores_v4!$F7)/(Indicadores_v4!$G7-Indicadores_v4!$F7)*100)),MIN(Metodologia_v4!$B$9,MAX(Metodologia_v4!$B$8,(Indicadores_v4!$G7-Dados_Ajustados_v4!K7)/(Indicadores_v4!$G7-Indicadores_v4!$F7)*100))))</f>
        <v/>
      </c>
      <c r="J7" s="9">
        <f>IF(Dados_Ajustados_v4!L7="","",IF(Indicadores_v4!$E7="+",MIN(Metodologia_v4!$B$9,MAX(Metodologia_v4!$B$8,(Dados_Ajustados_v4!L7-Indicadores_v4!$F7)/(Indicadores_v4!$G7-Indicadores_v4!$F7)*100)),MIN(Metodologia_v4!$B$9,MAX(Metodologia_v4!$B$8,(Indicadores_v4!$G7-Dados_Ajustados_v4!L7)/(Indicadores_v4!$G7-Indicadores_v4!$F7)*100))))</f>
        <v/>
      </c>
      <c r="K7" s="9">
        <f>IF(Dados_Ajustados_v4!M7="","",IF(Indicadores_v4!$E7="+",MIN(Metodologia_v4!$B$9,MAX(Metodologia_v4!$B$8,(Dados_Ajustados_v4!M7-Indicadores_v4!$F7)/(Indicadores_v4!$G7-Indicadores_v4!$F7)*100)),MIN(Metodologia_v4!$B$9,MAX(Metodologia_v4!$B$8,(Indicadores_v4!$G7-Dados_Ajustados_v4!M7)/(Indicadores_v4!$G7-Indicadores_v4!$F7)*100))))</f>
        <v/>
      </c>
      <c r="L7" s="9">
        <f>IF(Dados_Ajustados_v4!N7="","",IF(Indicadores_v4!$E7="+",MIN(Metodologia_v4!$B$9,MAX(Metodologia_v4!$B$8,(Dados_Ajustados_v4!N7-Indicadores_v4!$F7)/(Indicadores_v4!$G7-Indicadores_v4!$F7)*100)),MIN(Metodologia_v4!$B$9,MAX(Metodologia_v4!$B$8,(Indicadores_v4!$G7-Dados_Ajustados_v4!N7)/(Indicadores_v4!$G7-Indicadores_v4!$F7)*100))))</f>
        <v/>
      </c>
      <c r="M7" s="9">
        <f>IF(Dados_Ajustados_v4!O7="","",IF(Indicadores_v4!$E7="+",MIN(Metodologia_v4!$B$9,MAX(Metodologia_v4!$B$8,(Dados_Ajustados_v4!O7-Indicadores_v4!$F7)/(Indicadores_v4!$G7-Indicadores_v4!$F7)*100)),MIN(Metodologia_v4!$B$9,MAX(Metodologia_v4!$B$8,(Indicadores_v4!$G7-Dados_Ajustados_v4!O7)/(Indicadores_v4!$G7-Indicadores_v4!$F7)*100))))</f>
        <v/>
      </c>
      <c r="N7" s="9">
        <f>IF(Dados_Ajustados_v4!P7="","",IF(Indicadores_v4!$E7="+",MIN(Metodologia_v4!$B$9,MAX(Metodologia_v4!$B$8,(Dados_Ajustados_v4!P7-Indicadores_v4!$F7)/(Indicadores_v4!$G7-Indicadores_v4!$F7)*100)),MIN(Metodologia_v4!$B$9,MAX(Metodologia_v4!$B$8,(Indicadores_v4!$G7-Dados_Ajustados_v4!P7)/(Indicadores_v4!$G7-Indicadores_v4!$F7)*100))))</f>
        <v/>
      </c>
      <c r="O7" s="9">
        <f>IF(Dados_Ajustados_v4!Q7="","",IF(Indicadores_v4!$E7="+",MIN(Metodologia_v4!$B$9,MAX(Metodologia_v4!$B$8,(Dados_Ajustados_v4!Q7-Indicadores_v4!$F7)/(Indicadores_v4!$G7-Indicadores_v4!$F7)*100)),MIN(Metodologia_v4!$B$9,MAX(Metodologia_v4!$B$8,(Indicadores_v4!$G7-Dados_Ajustados_v4!Q7)/(Indicadores_v4!$G7-Indicadores_v4!$F7)*100))))</f>
        <v/>
      </c>
      <c r="P7" s="9">
        <f>IF(Dados_Ajustados_v4!R7="","",IF(Indicadores_v4!$E7="+",MIN(Metodologia_v4!$B$9,MAX(Metodologia_v4!$B$8,(Dados_Ajustados_v4!R7-Indicadores_v4!$F7)/(Indicadores_v4!$G7-Indicadores_v4!$F7)*100)),MIN(Metodologia_v4!$B$9,MAX(Metodologia_v4!$B$8,(Indicadores_v4!$G7-Dados_Ajustados_v4!R7)/(Indicadores_v4!$G7-Indicadores_v4!$F7)*100))))</f>
        <v/>
      </c>
      <c r="Q7" s="9">
        <f>IF(Dados_Ajustados_v4!S7="","",IF(Indicadores_v4!$E7="+",MIN(Metodologia_v4!$B$9,MAX(Metodologia_v4!$B$8,(Dados_Ajustados_v4!S7-Indicadores_v4!$F7)/(Indicadores_v4!$G7-Indicadores_v4!$F7)*100)),MIN(Metodologia_v4!$B$9,MAX(Metodologia_v4!$B$8,(Indicadores_v4!$G7-Dados_Ajustados_v4!S7)/(Indicadores_v4!$G7-Indicadores_v4!$F7)*100))))</f>
        <v/>
      </c>
      <c r="R7" s="9">
        <f>IF(Dados_Ajustados_v4!T7="","",IF(Indicadores_v4!$E7="+",MIN(Metodologia_v4!$B$9,MAX(Metodologia_v4!$B$8,(Dados_Ajustados_v4!T7-Indicadores_v4!$F7)/(Indicadores_v4!$G7-Indicadores_v4!$F7)*100)),MIN(Metodologia_v4!$B$9,MAX(Metodologia_v4!$B$8,(Indicadores_v4!$G7-Dados_Ajustados_v4!T7)/(Indicadores_v4!$G7-Indicadores_v4!$F7)*100))))</f>
        <v/>
      </c>
    </row>
    <row r="8">
      <c r="A8" s="5" t="inlineStr">
        <is>
          <t>GOV04</t>
        </is>
      </c>
      <c r="B8" s="5" t="inlineStr">
        <is>
          <t>1. Governança e Estado de Direito</t>
        </is>
      </c>
      <c r="C8" s="5" t="inlineStr">
        <is>
          <t>WGI - Estabilidade Política</t>
        </is>
      </c>
      <c r="D8" s="5">
        <f>Indicadores_v4!J8</f>
        <v/>
      </c>
      <c r="E8" s="5">
        <f>Indicadores_v4!I8</f>
        <v/>
      </c>
      <c r="F8" s="5">
        <f>COUNT(H8:R8)&amp;"/"&amp;COUNTA(H$4:R$4)</f>
        <v/>
      </c>
      <c r="G8" s="5" t="inlineStr">
        <is>
          <t>Min/max/sentido vêm de Indicadores_v4</t>
        </is>
      </c>
      <c r="H8" s="9">
        <f>IF(Dados_Ajustados_v4!J8="","",IF(Indicadores_v4!$E8="+",MIN(Metodologia_v4!$B$9,MAX(Metodologia_v4!$B$8,(Dados_Ajustados_v4!J8-Indicadores_v4!$F8)/(Indicadores_v4!$G8-Indicadores_v4!$F8)*100)),MIN(Metodologia_v4!$B$9,MAX(Metodologia_v4!$B$8,(Indicadores_v4!$G8-Dados_Ajustados_v4!J8)/(Indicadores_v4!$G8-Indicadores_v4!$F8)*100))))</f>
        <v/>
      </c>
      <c r="I8" s="9">
        <f>IF(Dados_Ajustados_v4!K8="","",IF(Indicadores_v4!$E8="+",MIN(Metodologia_v4!$B$9,MAX(Metodologia_v4!$B$8,(Dados_Ajustados_v4!K8-Indicadores_v4!$F8)/(Indicadores_v4!$G8-Indicadores_v4!$F8)*100)),MIN(Metodologia_v4!$B$9,MAX(Metodologia_v4!$B$8,(Indicadores_v4!$G8-Dados_Ajustados_v4!K8)/(Indicadores_v4!$G8-Indicadores_v4!$F8)*100))))</f>
        <v/>
      </c>
      <c r="J8" s="9">
        <f>IF(Dados_Ajustados_v4!L8="","",IF(Indicadores_v4!$E8="+",MIN(Metodologia_v4!$B$9,MAX(Metodologia_v4!$B$8,(Dados_Ajustados_v4!L8-Indicadores_v4!$F8)/(Indicadores_v4!$G8-Indicadores_v4!$F8)*100)),MIN(Metodologia_v4!$B$9,MAX(Metodologia_v4!$B$8,(Indicadores_v4!$G8-Dados_Ajustados_v4!L8)/(Indicadores_v4!$G8-Indicadores_v4!$F8)*100))))</f>
        <v/>
      </c>
      <c r="K8" s="9">
        <f>IF(Dados_Ajustados_v4!M8="","",IF(Indicadores_v4!$E8="+",MIN(Metodologia_v4!$B$9,MAX(Metodologia_v4!$B$8,(Dados_Ajustados_v4!M8-Indicadores_v4!$F8)/(Indicadores_v4!$G8-Indicadores_v4!$F8)*100)),MIN(Metodologia_v4!$B$9,MAX(Metodologia_v4!$B$8,(Indicadores_v4!$G8-Dados_Ajustados_v4!M8)/(Indicadores_v4!$G8-Indicadores_v4!$F8)*100))))</f>
        <v/>
      </c>
      <c r="L8" s="9">
        <f>IF(Dados_Ajustados_v4!N8="","",IF(Indicadores_v4!$E8="+",MIN(Metodologia_v4!$B$9,MAX(Metodologia_v4!$B$8,(Dados_Ajustados_v4!N8-Indicadores_v4!$F8)/(Indicadores_v4!$G8-Indicadores_v4!$F8)*100)),MIN(Metodologia_v4!$B$9,MAX(Metodologia_v4!$B$8,(Indicadores_v4!$G8-Dados_Ajustados_v4!N8)/(Indicadores_v4!$G8-Indicadores_v4!$F8)*100))))</f>
        <v/>
      </c>
      <c r="M8" s="9">
        <f>IF(Dados_Ajustados_v4!O8="","",IF(Indicadores_v4!$E8="+",MIN(Metodologia_v4!$B$9,MAX(Metodologia_v4!$B$8,(Dados_Ajustados_v4!O8-Indicadores_v4!$F8)/(Indicadores_v4!$G8-Indicadores_v4!$F8)*100)),MIN(Metodologia_v4!$B$9,MAX(Metodologia_v4!$B$8,(Indicadores_v4!$G8-Dados_Ajustados_v4!O8)/(Indicadores_v4!$G8-Indicadores_v4!$F8)*100))))</f>
        <v/>
      </c>
      <c r="N8" s="9">
        <f>IF(Dados_Ajustados_v4!P8="","",IF(Indicadores_v4!$E8="+",MIN(Metodologia_v4!$B$9,MAX(Metodologia_v4!$B$8,(Dados_Ajustados_v4!P8-Indicadores_v4!$F8)/(Indicadores_v4!$G8-Indicadores_v4!$F8)*100)),MIN(Metodologia_v4!$B$9,MAX(Metodologia_v4!$B$8,(Indicadores_v4!$G8-Dados_Ajustados_v4!P8)/(Indicadores_v4!$G8-Indicadores_v4!$F8)*100))))</f>
        <v/>
      </c>
      <c r="O8" s="9">
        <f>IF(Dados_Ajustados_v4!Q8="","",IF(Indicadores_v4!$E8="+",MIN(Metodologia_v4!$B$9,MAX(Metodologia_v4!$B$8,(Dados_Ajustados_v4!Q8-Indicadores_v4!$F8)/(Indicadores_v4!$G8-Indicadores_v4!$F8)*100)),MIN(Metodologia_v4!$B$9,MAX(Metodologia_v4!$B$8,(Indicadores_v4!$G8-Dados_Ajustados_v4!Q8)/(Indicadores_v4!$G8-Indicadores_v4!$F8)*100))))</f>
        <v/>
      </c>
      <c r="P8" s="9">
        <f>IF(Dados_Ajustados_v4!R8="","",IF(Indicadores_v4!$E8="+",MIN(Metodologia_v4!$B$9,MAX(Metodologia_v4!$B$8,(Dados_Ajustados_v4!R8-Indicadores_v4!$F8)/(Indicadores_v4!$G8-Indicadores_v4!$F8)*100)),MIN(Metodologia_v4!$B$9,MAX(Metodologia_v4!$B$8,(Indicadores_v4!$G8-Dados_Ajustados_v4!R8)/(Indicadores_v4!$G8-Indicadores_v4!$F8)*100))))</f>
        <v/>
      </c>
      <c r="Q8" s="9">
        <f>IF(Dados_Ajustados_v4!S8="","",IF(Indicadores_v4!$E8="+",MIN(Metodologia_v4!$B$9,MAX(Metodologia_v4!$B$8,(Dados_Ajustados_v4!S8-Indicadores_v4!$F8)/(Indicadores_v4!$G8-Indicadores_v4!$F8)*100)),MIN(Metodologia_v4!$B$9,MAX(Metodologia_v4!$B$8,(Indicadores_v4!$G8-Dados_Ajustados_v4!S8)/(Indicadores_v4!$G8-Indicadores_v4!$F8)*100))))</f>
        <v/>
      </c>
      <c r="R8" s="9">
        <f>IF(Dados_Ajustados_v4!T8="","",IF(Indicadores_v4!$E8="+",MIN(Metodologia_v4!$B$9,MAX(Metodologia_v4!$B$8,(Dados_Ajustados_v4!T8-Indicadores_v4!$F8)/(Indicadores_v4!$G8-Indicadores_v4!$F8)*100)),MIN(Metodologia_v4!$B$9,MAX(Metodologia_v4!$B$8,(Indicadores_v4!$G8-Dados_Ajustados_v4!T8)/(Indicadores_v4!$G8-Indicadores_v4!$F8)*100))))</f>
        <v/>
      </c>
    </row>
    <row r="9">
      <c r="A9" s="5" t="inlineStr">
        <is>
          <t>GOV05</t>
        </is>
      </c>
      <c r="B9" s="5" t="inlineStr">
        <is>
          <t>1. Governança e Estado de Direito</t>
        </is>
      </c>
      <c r="C9" s="5" t="inlineStr">
        <is>
          <t>WGI - Qualidade Regulatória</t>
        </is>
      </c>
      <c r="D9" s="5">
        <f>Indicadores_v4!J9</f>
        <v/>
      </c>
      <c r="E9" s="5">
        <f>Indicadores_v4!I9</f>
        <v/>
      </c>
      <c r="F9" s="5">
        <f>COUNT(H9:R9)&amp;"/"&amp;COUNTA(H$4:R$4)</f>
        <v/>
      </c>
      <c r="G9" s="5" t="inlineStr">
        <is>
          <t>Min/max/sentido vêm de Indicadores_v4</t>
        </is>
      </c>
      <c r="H9" s="9">
        <f>IF(Dados_Ajustados_v4!J9="","",IF(Indicadores_v4!$E9="+",MIN(Metodologia_v4!$B$9,MAX(Metodologia_v4!$B$8,(Dados_Ajustados_v4!J9-Indicadores_v4!$F9)/(Indicadores_v4!$G9-Indicadores_v4!$F9)*100)),MIN(Metodologia_v4!$B$9,MAX(Metodologia_v4!$B$8,(Indicadores_v4!$G9-Dados_Ajustados_v4!J9)/(Indicadores_v4!$G9-Indicadores_v4!$F9)*100))))</f>
        <v/>
      </c>
      <c r="I9" s="9">
        <f>IF(Dados_Ajustados_v4!K9="","",IF(Indicadores_v4!$E9="+",MIN(Metodologia_v4!$B$9,MAX(Metodologia_v4!$B$8,(Dados_Ajustados_v4!K9-Indicadores_v4!$F9)/(Indicadores_v4!$G9-Indicadores_v4!$F9)*100)),MIN(Metodologia_v4!$B$9,MAX(Metodologia_v4!$B$8,(Indicadores_v4!$G9-Dados_Ajustados_v4!K9)/(Indicadores_v4!$G9-Indicadores_v4!$F9)*100))))</f>
        <v/>
      </c>
      <c r="J9" s="9">
        <f>IF(Dados_Ajustados_v4!L9="","",IF(Indicadores_v4!$E9="+",MIN(Metodologia_v4!$B$9,MAX(Metodologia_v4!$B$8,(Dados_Ajustados_v4!L9-Indicadores_v4!$F9)/(Indicadores_v4!$G9-Indicadores_v4!$F9)*100)),MIN(Metodologia_v4!$B$9,MAX(Metodologia_v4!$B$8,(Indicadores_v4!$G9-Dados_Ajustados_v4!L9)/(Indicadores_v4!$G9-Indicadores_v4!$F9)*100))))</f>
        <v/>
      </c>
      <c r="K9" s="9">
        <f>IF(Dados_Ajustados_v4!M9="","",IF(Indicadores_v4!$E9="+",MIN(Metodologia_v4!$B$9,MAX(Metodologia_v4!$B$8,(Dados_Ajustados_v4!M9-Indicadores_v4!$F9)/(Indicadores_v4!$G9-Indicadores_v4!$F9)*100)),MIN(Metodologia_v4!$B$9,MAX(Metodologia_v4!$B$8,(Indicadores_v4!$G9-Dados_Ajustados_v4!M9)/(Indicadores_v4!$G9-Indicadores_v4!$F9)*100))))</f>
        <v/>
      </c>
      <c r="L9" s="9">
        <f>IF(Dados_Ajustados_v4!N9="","",IF(Indicadores_v4!$E9="+",MIN(Metodologia_v4!$B$9,MAX(Metodologia_v4!$B$8,(Dados_Ajustados_v4!N9-Indicadores_v4!$F9)/(Indicadores_v4!$G9-Indicadores_v4!$F9)*100)),MIN(Metodologia_v4!$B$9,MAX(Metodologia_v4!$B$8,(Indicadores_v4!$G9-Dados_Ajustados_v4!N9)/(Indicadores_v4!$G9-Indicadores_v4!$F9)*100))))</f>
        <v/>
      </c>
      <c r="M9" s="9">
        <f>IF(Dados_Ajustados_v4!O9="","",IF(Indicadores_v4!$E9="+",MIN(Metodologia_v4!$B$9,MAX(Metodologia_v4!$B$8,(Dados_Ajustados_v4!O9-Indicadores_v4!$F9)/(Indicadores_v4!$G9-Indicadores_v4!$F9)*100)),MIN(Metodologia_v4!$B$9,MAX(Metodologia_v4!$B$8,(Indicadores_v4!$G9-Dados_Ajustados_v4!O9)/(Indicadores_v4!$G9-Indicadores_v4!$F9)*100))))</f>
        <v/>
      </c>
      <c r="N9" s="9">
        <f>IF(Dados_Ajustados_v4!P9="","",IF(Indicadores_v4!$E9="+",MIN(Metodologia_v4!$B$9,MAX(Metodologia_v4!$B$8,(Dados_Ajustados_v4!P9-Indicadores_v4!$F9)/(Indicadores_v4!$G9-Indicadores_v4!$F9)*100)),MIN(Metodologia_v4!$B$9,MAX(Metodologia_v4!$B$8,(Indicadores_v4!$G9-Dados_Ajustados_v4!P9)/(Indicadores_v4!$G9-Indicadores_v4!$F9)*100))))</f>
        <v/>
      </c>
      <c r="O9" s="9">
        <f>IF(Dados_Ajustados_v4!Q9="","",IF(Indicadores_v4!$E9="+",MIN(Metodologia_v4!$B$9,MAX(Metodologia_v4!$B$8,(Dados_Ajustados_v4!Q9-Indicadores_v4!$F9)/(Indicadores_v4!$G9-Indicadores_v4!$F9)*100)),MIN(Metodologia_v4!$B$9,MAX(Metodologia_v4!$B$8,(Indicadores_v4!$G9-Dados_Ajustados_v4!Q9)/(Indicadores_v4!$G9-Indicadores_v4!$F9)*100))))</f>
        <v/>
      </c>
      <c r="P9" s="9">
        <f>IF(Dados_Ajustados_v4!R9="","",IF(Indicadores_v4!$E9="+",MIN(Metodologia_v4!$B$9,MAX(Metodologia_v4!$B$8,(Dados_Ajustados_v4!R9-Indicadores_v4!$F9)/(Indicadores_v4!$G9-Indicadores_v4!$F9)*100)),MIN(Metodologia_v4!$B$9,MAX(Metodologia_v4!$B$8,(Indicadores_v4!$G9-Dados_Ajustados_v4!R9)/(Indicadores_v4!$G9-Indicadores_v4!$F9)*100))))</f>
        <v/>
      </c>
      <c r="Q9" s="9">
        <f>IF(Dados_Ajustados_v4!S9="","",IF(Indicadores_v4!$E9="+",MIN(Metodologia_v4!$B$9,MAX(Metodologia_v4!$B$8,(Dados_Ajustados_v4!S9-Indicadores_v4!$F9)/(Indicadores_v4!$G9-Indicadores_v4!$F9)*100)),MIN(Metodologia_v4!$B$9,MAX(Metodologia_v4!$B$8,(Indicadores_v4!$G9-Dados_Ajustados_v4!S9)/(Indicadores_v4!$G9-Indicadores_v4!$F9)*100))))</f>
        <v/>
      </c>
      <c r="R9" s="9">
        <f>IF(Dados_Ajustados_v4!T9="","",IF(Indicadores_v4!$E9="+",MIN(Metodologia_v4!$B$9,MAX(Metodologia_v4!$B$8,(Dados_Ajustados_v4!T9-Indicadores_v4!$F9)/(Indicadores_v4!$G9-Indicadores_v4!$F9)*100)),MIN(Metodologia_v4!$B$9,MAX(Metodologia_v4!$B$8,(Indicadores_v4!$G9-Dados_Ajustados_v4!T9)/(Indicadores_v4!$G9-Indicadores_v4!$F9)*100))))</f>
        <v/>
      </c>
    </row>
    <row r="10">
      <c r="A10" s="5" t="inlineStr">
        <is>
          <t>GOV06</t>
        </is>
      </c>
      <c r="B10" s="5" t="inlineStr">
        <is>
          <t>1. Governança e Estado de Direito</t>
        </is>
      </c>
      <c r="C10" s="5" t="inlineStr">
        <is>
          <t>WGI - Controlo da Corrupção</t>
        </is>
      </c>
      <c r="D10" s="5">
        <f>Indicadores_v4!J10</f>
        <v/>
      </c>
      <c r="E10" s="5">
        <f>Indicadores_v4!I10</f>
        <v/>
      </c>
      <c r="F10" s="5">
        <f>COUNT(H10:R10)&amp;"/"&amp;COUNTA(H$4:R$4)</f>
        <v/>
      </c>
      <c r="G10" s="5" t="inlineStr">
        <is>
          <t>Min/max/sentido vêm de Indicadores_v4</t>
        </is>
      </c>
      <c r="H10" s="9">
        <f>IF(Dados_Ajustados_v4!J10="","",IF(Indicadores_v4!$E10="+",MIN(Metodologia_v4!$B$9,MAX(Metodologia_v4!$B$8,(Dados_Ajustados_v4!J10-Indicadores_v4!$F10)/(Indicadores_v4!$G10-Indicadores_v4!$F10)*100)),MIN(Metodologia_v4!$B$9,MAX(Metodologia_v4!$B$8,(Indicadores_v4!$G10-Dados_Ajustados_v4!J10)/(Indicadores_v4!$G10-Indicadores_v4!$F10)*100))))</f>
        <v/>
      </c>
      <c r="I10" s="9">
        <f>IF(Dados_Ajustados_v4!K10="","",IF(Indicadores_v4!$E10="+",MIN(Metodologia_v4!$B$9,MAX(Metodologia_v4!$B$8,(Dados_Ajustados_v4!K10-Indicadores_v4!$F10)/(Indicadores_v4!$G10-Indicadores_v4!$F10)*100)),MIN(Metodologia_v4!$B$9,MAX(Metodologia_v4!$B$8,(Indicadores_v4!$G10-Dados_Ajustados_v4!K10)/(Indicadores_v4!$G10-Indicadores_v4!$F10)*100))))</f>
        <v/>
      </c>
      <c r="J10" s="9">
        <f>IF(Dados_Ajustados_v4!L10="","",IF(Indicadores_v4!$E10="+",MIN(Metodologia_v4!$B$9,MAX(Metodologia_v4!$B$8,(Dados_Ajustados_v4!L10-Indicadores_v4!$F10)/(Indicadores_v4!$G10-Indicadores_v4!$F10)*100)),MIN(Metodologia_v4!$B$9,MAX(Metodologia_v4!$B$8,(Indicadores_v4!$G10-Dados_Ajustados_v4!L10)/(Indicadores_v4!$G10-Indicadores_v4!$F10)*100))))</f>
        <v/>
      </c>
      <c r="K10" s="9">
        <f>IF(Dados_Ajustados_v4!M10="","",IF(Indicadores_v4!$E10="+",MIN(Metodologia_v4!$B$9,MAX(Metodologia_v4!$B$8,(Dados_Ajustados_v4!M10-Indicadores_v4!$F10)/(Indicadores_v4!$G10-Indicadores_v4!$F10)*100)),MIN(Metodologia_v4!$B$9,MAX(Metodologia_v4!$B$8,(Indicadores_v4!$G10-Dados_Ajustados_v4!M10)/(Indicadores_v4!$G10-Indicadores_v4!$F10)*100))))</f>
        <v/>
      </c>
      <c r="L10" s="9">
        <f>IF(Dados_Ajustados_v4!N10="","",IF(Indicadores_v4!$E10="+",MIN(Metodologia_v4!$B$9,MAX(Metodologia_v4!$B$8,(Dados_Ajustados_v4!N10-Indicadores_v4!$F10)/(Indicadores_v4!$G10-Indicadores_v4!$F10)*100)),MIN(Metodologia_v4!$B$9,MAX(Metodologia_v4!$B$8,(Indicadores_v4!$G10-Dados_Ajustados_v4!N10)/(Indicadores_v4!$G10-Indicadores_v4!$F10)*100))))</f>
        <v/>
      </c>
      <c r="M10" s="9">
        <f>IF(Dados_Ajustados_v4!O10="","",IF(Indicadores_v4!$E10="+",MIN(Metodologia_v4!$B$9,MAX(Metodologia_v4!$B$8,(Dados_Ajustados_v4!O10-Indicadores_v4!$F10)/(Indicadores_v4!$G10-Indicadores_v4!$F10)*100)),MIN(Metodologia_v4!$B$9,MAX(Metodologia_v4!$B$8,(Indicadores_v4!$G10-Dados_Ajustados_v4!O10)/(Indicadores_v4!$G10-Indicadores_v4!$F10)*100))))</f>
        <v/>
      </c>
      <c r="N10" s="9">
        <f>IF(Dados_Ajustados_v4!P10="","",IF(Indicadores_v4!$E10="+",MIN(Metodologia_v4!$B$9,MAX(Metodologia_v4!$B$8,(Dados_Ajustados_v4!P10-Indicadores_v4!$F10)/(Indicadores_v4!$G10-Indicadores_v4!$F10)*100)),MIN(Metodologia_v4!$B$9,MAX(Metodologia_v4!$B$8,(Indicadores_v4!$G10-Dados_Ajustados_v4!P10)/(Indicadores_v4!$G10-Indicadores_v4!$F10)*100))))</f>
        <v/>
      </c>
      <c r="O10" s="9">
        <f>IF(Dados_Ajustados_v4!Q10="","",IF(Indicadores_v4!$E10="+",MIN(Metodologia_v4!$B$9,MAX(Metodologia_v4!$B$8,(Dados_Ajustados_v4!Q10-Indicadores_v4!$F10)/(Indicadores_v4!$G10-Indicadores_v4!$F10)*100)),MIN(Metodologia_v4!$B$9,MAX(Metodologia_v4!$B$8,(Indicadores_v4!$G10-Dados_Ajustados_v4!Q10)/(Indicadores_v4!$G10-Indicadores_v4!$F10)*100))))</f>
        <v/>
      </c>
      <c r="P10" s="9">
        <f>IF(Dados_Ajustados_v4!R10="","",IF(Indicadores_v4!$E10="+",MIN(Metodologia_v4!$B$9,MAX(Metodologia_v4!$B$8,(Dados_Ajustados_v4!R10-Indicadores_v4!$F10)/(Indicadores_v4!$G10-Indicadores_v4!$F10)*100)),MIN(Metodologia_v4!$B$9,MAX(Metodologia_v4!$B$8,(Indicadores_v4!$G10-Dados_Ajustados_v4!R10)/(Indicadores_v4!$G10-Indicadores_v4!$F10)*100))))</f>
        <v/>
      </c>
      <c r="Q10" s="9">
        <f>IF(Dados_Ajustados_v4!S10="","",IF(Indicadores_v4!$E10="+",MIN(Metodologia_v4!$B$9,MAX(Metodologia_v4!$B$8,(Dados_Ajustados_v4!S10-Indicadores_v4!$F10)/(Indicadores_v4!$G10-Indicadores_v4!$F10)*100)),MIN(Metodologia_v4!$B$9,MAX(Metodologia_v4!$B$8,(Indicadores_v4!$G10-Dados_Ajustados_v4!S10)/(Indicadores_v4!$G10-Indicadores_v4!$F10)*100))))</f>
        <v/>
      </c>
      <c r="R10" s="9">
        <f>IF(Dados_Ajustados_v4!T10="","",IF(Indicadores_v4!$E10="+",MIN(Metodologia_v4!$B$9,MAX(Metodologia_v4!$B$8,(Dados_Ajustados_v4!T10-Indicadores_v4!$F10)/(Indicadores_v4!$G10-Indicadores_v4!$F10)*100)),MIN(Metodologia_v4!$B$9,MAX(Metodologia_v4!$B$8,(Indicadores_v4!$G10-Dados_Ajustados_v4!T10)/(Indicadores_v4!$G10-Indicadores_v4!$F10)*100))))</f>
        <v/>
      </c>
    </row>
    <row r="11">
      <c r="A11" s="5" t="inlineStr">
        <is>
          <t>MAC01</t>
        </is>
      </c>
      <c r="B11" s="5" t="inlineStr">
        <is>
          <t>2. Estabilidade Macroeconómica</t>
        </is>
      </c>
      <c r="C11" s="5" t="inlineStr">
        <is>
          <t>Crescimento real do PIB</t>
        </is>
      </c>
      <c r="D11" s="5">
        <f>Indicadores_v4!J11</f>
        <v/>
      </c>
      <c r="E11" s="5">
        <f>Indicadores_v4!I11</f>
        <v/>
      </c>
      <c r="F11" s="5">
        <f>COUNT(H11:R11)&amp;"/"&amp;COUNTA(H$4:R$4)</f>
        <v/>
      </c>
      <c r="G11" s="5" t="inlineStr">
        <is>
          <t>Min/max/sentido vêm de Indicadores_v4</t>
        </is>
      </c>
      <c r="H11" s="9">
        <f>IF(Dados_Ajustados_v4!J11="","",IF(Indicadores_v4!$E11="+",MIN(Metodologia_v4!$B$9,MAX(Metodologia_v4!$B$8,(Dados_Ajustados_v4!J11-Indicadores_v4!$F11)/(Indicadores_v4!$G11-Indicadores_v4!$F11)*100)),MIN(Metodologia_v4!$B$9,MAX(Metodologia_v4!$B$8,(Indicadores_v4!$G11-Dados_Ajustados_v4!J11)/(Indicadores_v4!$G11-Indicadores_v4!$F11)*100))))</f>
        <v/>
      </c>
      <c r="I11" s="9">
        <f>IF(Dados_Ajustados_v4!K11="","",IF(Indicadores_v4!$E11="+",MIN(Metodologia_v4!$B$9,MAX(Metodologia_v4!$B$8,(Dados_Ajustados_v4!K11-Indicadores_v4!$F11)/(Indicadores_v4!$G11-Indicadores_v4!$F11)*100)),MIN(Metodologia_v4!$B$9,MAX(Metodologia_v4!$B$8,(Indicadores_v4!$G11-Dados_Ajustados_v4!K11)/(Indicadores_v4!$G11-Indicadores_v4!$F11)*100))))</f>
        <v/>
      </c>
      <c r="J11" s="9">
        <f>IF(Dados_Ajustados_v4!L11="","",IF(Indicadores_v4!$E11="+",MIN(Metodologia_v4!$B$9,MAX(Metodologia_v4!$B$8,(Dados_Ajustados_v4!L11-Indicadores_v4!$F11)/(Indicadores_v4!$G11-Indicadores_v4!$F11)*100)),MIN(Metodologia_v4!$B$9,MAX(Metodologia_v4!$B$8,(Indicadores_v4!$G11-Dados_Ajustados_v4!L11)/(Indicadores_v4!$G11-Indicadores_v4!$F11)*100))))</f>
        <v/>
      </c>
      <c r="K11" s="9">
        <f>IF(Dados_Ajustados_v4!M11="","",IF(Indicadores_v4!$E11="+",MIN(Metodologia_v4!$B$9,MAX(Metodologia_v4!$B$8,(Dados_Ajustados_v4!M11-Indicadores_v4!$F11)/(Indicadores_v4!$G11-Indicadores_v4!$F11)*100)),MIN(Metodologia_v4!$B$9,MAX(Metodologia_v4!$B$8,(Indicadores_v4!$G11-Dados_Ajustados_v4!M11)/(Indicadores_v4!$G11-Indicadores_v4!$F11)*100))))</f>
        <v/>
      </c>
      <c r="L11" s="9">
        <f>IF(Dados_Ajustados_v4!N11="","",IF(Indicadores_v4!$E11="+",MIN(Metodologia_v4!$B$9,MAX(Metodologia_v4!$B$8,(Dados_Ajustados_v4!N11-Indicadores_v4!$F11)/(Indicadores_v4!$G11-Indicadores_v4!$F11)*100)),MIN(Metodologia_v4!$B$9,MAX(Metodologia_v4!$B$8,(Indicadores_v4!$G11-Dados_Ajustados_v4!N11)/(Indicadores_v4!$G11-Indicadores_v4!$F11)*100))))</f>
        <v/>
      </c>
      <c r="M11" s="9">
        <f>IF(Dados_Ajustados_v4!O11="","",IF(Indicadores_v4!$E11="+",MIN(Metodologia_v4!$B$9,MAX(Metodologia_v4!$B$8,(Dados_Ajustados_v4!O11-Indicadores_v4!$F11)/(Indicadores_v4!$G11-Indicadores_v4!$F11)*100)),MIN(Metodologia_v4!$B$9,MAX(Metodologia_v4!$B$8,(Indicadores_v4!$G11-Dados_Ajustados_v4!O11)/(Indicadores_v4!$G11-Indicadores_v4!$F11)*100))))</f>
        <v/>
      </c>
      <c r="N11" s="9">
        <f>IF(Dados_Ajustados_v4!P11="","",IF(Indicadores_v4!$E11="+",MIN(Metodologia_v4!$B$9,MAX(Metodologia_v4!$B$8,(Dados_Ajustados_v4!P11-Indicadores_v4!$F11)/(Indicadores_v4!$G11-Indicadores_v4!$F11)*100)),MIN(Metodologia_v4!$B$9,MAX(Metodologia_v4!$B$8,(Indicadores_v4!$G11-Dados_Ajustados_v4!P11)/(Indicadores_v4!$G11-Indicadores_v4!$F11)*100))))</f>
        <v/>
      </c>
      <c r="O11" s="9">
        <f>IF(Dados_Ajustados_v4!Q11="","",IF(Indicadores_v4!$E11="+",MIN(Metodologia_v4!$B$9,MAX(Metodologia_v4!$B$8,(Dados_Ajustados_v4!Q11-Indicadores_v4!$F11)/(Indicadores_v4!$G11-Indicadores_v4!$F11)*100)),MIN(Metodologia_v4!$B$9,MAX(Metodologia_v4!$B$8,(Indicadores_v4!$G11-Dados_Ajustados_v4!Q11)/(Indicadores_v4!$G11-Indicadores_v4!$F11)*100))))</f>
        <v/>
      </c>
      <c r="P11" s="9">
        <f>IF(Dados_Ajustados_v4!R11="","",IF(Indicadores_v4!$E11="+",MIN(Metodologia_v4!$B$9,MAX(Metodologia_v4!$B$8,(Dados_Ajustados_v4!R11-Indicadores_v4!$F11)/(Indicadores_v4!$G11-Indicadores_v4!$F11)*100)),MIN(Metodologia_v4!$B$9,MAX(Metodologia_v4!$B$8,(Indicadores_v4!$G11-Dados_Ajustados_v4!R11)/(Indicadores_v4!$G11-Indicadores_v4!$F11)*100))))</f>
        <v/>
      </c>
      <c r="Q11" s="9">
        <f>IF(Dados_Ajustados_v4!S11="","",IF(Indicadores_v4!$E11="+",MIN(Metodologia_v4!$B$9,MAX(Metodologia_v4!$B$8,(Dados_Ajustados_v4!S11-Indicadores_v4!$F11)/(Indicadores_v4!$G11-Indicadores_v4!$F11)*100)),MIN(Metodologia_v4!$B$9,MAX(Metodologia_v4!$B$8,(Indicadores_v4!$G11-Dados_Ajustados_v4!S11)/(Indicadores_v4!$G11-Indicadores_v4!$F11)*100))))</f>
        <v/>
      </c>
      <c r="R11" s="9">
        <f>IF(Dados_Ajustados_v4!T11="","",IF(Indicadores_v4!$E11="+",MIN(Metodologia_v4!$B$9,MAX(Metodologia_v4!$B$8,(Dados_Ajustados_v4!T11-Indicadores_v4!$F11)/(Indicadores_v4!$G11-Indicadores_v4!$F11)*100)),MIN(Metodologia_v4!$B$9,MAX(Metodologia_v4!$B$8,(Indicadores_v4!$G11-Dados_Ajustados_v4!T11)/(Indicadores_v4!$G11-Indicadores_v4!$F11)*100))))</f>
        <v/>
      </c>
    </row>
    <row r="12">
      <c r="A12" s="5" t="inlineStr">
        <is>
          <t>MAC02</t>
        </is>
      </c>
      <c r="B12" s="5" t="inlineStr">
        <is>
          <t>2. Estabilidade Macroeconómica</t>
        </is>
      </c>
      <c r="C12" s="5" t="inlineStr">
        <is>
          <t>PIB per capita</t>
        </is>
      </c>
      <c r="D12" s="5">
        <f>Indicadores_v4!J12</f>
        <v/>
      </c>
      <c r="E12" s="5">
        <f>Indicadores_v4!I12</f>
        <v/>
      </c>
      <c r="F12" s="5">
        <f>COUNT(H12:R12)&amp;"/"&amp;COUNTA(H$4:R$4)</f>
        <v/>
      </c>
      <c r="G12" s="5" t="inlineStr">
        <is>
          <t>Min/max/sentido vêm de Indicadores_v4</t>
        </is>
      </c>
      <c r="H12" s="9">
        <f>IF(Dados_Ajustados_v4!J12="","",IF(Indicadores_v4!$E12="+",MIN(Metodologia_v4!$B$9,MAX(Metodologia_v4!$B$8,(Dados_Ajustados_v4!J12-Indicadores_v4!$F12)/(Indicadores_v4!$G12-Indicadores_v4!$F12)*100)),MIN(Metodologia_v4!$B$9,MAX(Metodologia_v4!$B$8,(Indicadores_v4!$G12-Dados_Ajustados_v4!J12)/(Indicadores_v4!$G12-Indicadores_v4!$F12)*100))))</f>
        <v/>
      </c>
      <c r="I12" s="9">
        <f>IF(Dados_Ajustados_v4!K12="","",IF(Indicadores_v4!$E12="+",MIN(Metodologia_v4!$B$9,MAX(Metodologia_v4!$B$8,(Dados_Ajustados_v4!K12-Indicadores_v4!$F12)/(Indicadores_v4!$G12-Indicadores_v4!$F12)*100)),MIN(Metodologia_v4!$B$9,MAX(Metodologia_v4!$B$8,(Indicadores_v4!$G12-Dados_Ajustados_v4!K12)/(Indicadores_v4!$G12-Indicadores_v4!$F12)*100))))</f>
        <v/>
      </c>
      <c r="J12" s="9">
        <f>IF(Dados_Ajustados_v4!L12="","",IF(Indicadores_v4!$E12="+",MIN(Metodologia_v4!$B$9,MAX(Metodologia_v4!$B$8,(Dados_Ajustados_v4!L12-Indicadores_v4!$F12)/(Indicadores_v4!$G12-Indicadores_v4!$F12)*100)),MIN(Metodologia_v4!$B$9,MAX(Metodologia_v4!$B$8,(Indicadores_v4!$G12-Dados_Ajustados_v4!L12)/(Indicadores_v4!$G12-Indicadores_v4!$F12)*100))))</f>
        <v/>
      </c>
      <c r="K12" s="9">
        <f>IF(Dados_Ajustados_v4!M12="","",IF(Indicadores_v4!$E12="+",MIN(Metodologia_v4!$B$9,MAX(Metodologia_v4!$B$8,(Dados_Ajustados_v4!M12-Indicadores_v4!$F12)/(Indicadores_v4!$G12-Indicadores_v4!$F12)*100)),MIN(Metodologia_v4!$B$9,MAX(Metodologia_v4!$B$8,(Indicadores_v4!$G12-Dados_Ajustados_v4!M12)/(Indicadores_v4!$G12-Indicadores_v4!$F12)*100))))</f>
        <v/>
      </c>
      <c r="L12" s="9">
        <f>IF(Dados_Ajustados_v4!N12="","",IF(Indicadores_v4!$E12="+",MIN(Metodologia_v4!$B$9,MAX(Metodologia_v4!$B$8,(Dados_Ajustados_v4!N12-Indicadores_v4!$F12)/(Indicadores_v4!$G12-Indicadores_v4!$F12)*100)),MIN(Metodologia_v4!$B$9,MAX(Metodologia_v4!$B$8,(Indicadores_v4!$G12-Dados_Ajustados_v4!N12)/(Indicadores_v4!$G12-Indicadores_v4!$F12)*100))))</f>
        <v/>
      </c>
      <c r="M12" s="9">
        <f>IF(Dados_Ajustados_v4!O12="","",IF(Indicadores_v4!$E12="+",MIN(Metodologia_v4!$B$9,MAX(Metodologia_v4!$B$8,(Dados_Ajustados_v4!O12-Indicadores_v4!$F12)/(Indicadores_v4!$G12-Indicadores_v4!$F12)*100)),MIN(Metodologia_v4!$B$9,MAX(Metodologia_v4!$B$8,(Indicadores_v4!$G12-Dados_Ajustados_v4!O12)/(Indicadores_v4!$G12-Indicadores_v4!$F12)*100))))</f>
        <v/>
      </c>
      <c r="N12" s="9">
        <f>IF(Dados_Ajustados_v4!P12="","",IF(Indicadores_v4!$E12="+",MIN(Metodologia_v4!$B$9,MAX(Metodologia_v4!$B$8,(Dados_Ajustados_v4!P12-Indicadores_v4!$F12)/(Indicadores_v4!$G12-Indicadores_v4!$F12)*100)),MIN(Metodologia_v4!$B$9,MAX(Metodologia_v4!$B$8,(Indicadores_v4!$G12-Dados_Ajustados_v4!P12)/(Indicadores_v4!$G12-Indicadores_v4!$F12)*100))))</f>
        <v/>
      </c>
      <c r="O12" s="9">
        <f>IF(Dados_Ajustados_v4!Q12="","",IF(Indicadores_v4!$E12="+",MIN(Metodologia_v4!$B$9,MAX(Metodologia_v4!$B$8,(Dados_Ajustados_v4!Q12-Indicadores_v4!$F12)/(Indicadores_v4!$G12-Indicadores_v4!$F12)*100)),MIN(Metodologia_v4!$B$9,MAX(Metodologia_v4!$B$8,(Indicadores_v4!$G12-Dados_Ajustados_v4!Q12)/(Indicadores_v4!$G12-Indicadores_v4!$F12)*100))))</f>
        <v/>
      </c>
      <c r="P12" s="9">
        <f>IF(Dados_Ajustados_v4!R12="","",IF(Indicadores_v4!$E12="+",MIN(Metodologia_v4!$B$9,MAX(Metodologia_v4!$B$8,(Dados_Ajustados_v4!R12-Indicadores_v4!$F12)/(Indicadores_v4!$G12-Indicadores_v4!$F12)*100)),MIN(Metodologia_v4!$B$9,MAX(Metodologia_v4!$B$8,(Indicadores_v4!$G12-Dados_Ajustados_v4!R12)/(Indicadores_v4!$G12-Indicadores_v4!$F12)*100))))</f>
        <v/>
      </c>
      <c r="Q12" s="9">
        <f>IF(Dados_Ajustados_v4!S12="","",IF(Indicadores_v4!$E12="+",MIN(Metodologia_v4!$B$9,MAX(Metodologia_v4!$B$8,(Dados_Ajustados_v4!S12-Indicadores_v4!$F12)/(Indicadores_v4!$G12-Indicadores_v4!$F12)*100)),MIN(Metodologia_v4!$B$9,MAX(Metodologia_v4!$B$8,(Indicadores_v4!$G12-Dados_Ajustados_v4!S12)/(Indicadores_v4!$G12-Indicadores_v4!$F12)*100))))</f>
        <v/>
      </c>
      <c r="R12" s="9">
        <f>IF(Dados_Ajustados_v4!T12="","",IF(Indicadores_v4!$E12="+",MIN(Metodologia_v4!$B$9,MAX(Metodologia_v4!$B$8,(Dados_Ajustados_v4!T12-Indicadores_v4!$F12)/(Indicadores_v4!$G12-Indicadores_v4!$F12)*100)),MIN(Metodologia_v4!$B$9,MAX(Metodologia_v4!$B$8,(Indicadores_v4!$G12-Dados_Ajustados_v4!T12)/(Indicadores_v4!$G12-Indicadores_v4!$F12)*100))))</f>
        <v/>
      </c>
    </row>
    <row r="13">
      <c r="A13" s="5" t="inlineStr">
        <is>
          <t>MAC03</t>
        </is>
      </c>
      <c r="B13" s="5" t="inlineStr">
        <is>
          <t>2. Estabilidade Macroeconómica</t>
        </is>
      </c>
      <c r="C13" s="5" t="inlineStr">
        <is>
          <t>Inflação, preços ao consumidor</t>
        </is>
      </c>
      <c r="D13" s="5">
        <f>Indicadores_v4!J13</f>
        <v/>
      </c>
      <c r="E13" s="5">
        <f>Indicadores_v4!I13</f>
        <v/>
      </c>
      <c r="F13" s="5">
        <f>COUNT(H13:R13)&amp;"/"&amp;COUNTA(H$4:R$4)</f>
        <v/>
      </c>
      <c r="G13" s="5" t="inlineStr">
        <is>
          <t>Min/max/sentido vêm de Indicadores_v4</t>
        </is>
      </c>
      <c r="H13" s="9">
        <f>IF(Dados_Ajustados_v4!J13="","",IF(Indicadores_v4!$E13="+",MIN(Metodologia_v4!$B$9,MAX(Metodologia_v4!$B$8,(Dados_Ajustados_v4!J13-Indicadores_v4!$F13)/(Indicadores_v4!$G13-Indicadores_v4!$F13)*100)),MIN(Metodologia_v4!$B$9,MAX(Metodologia_v4!$B$8,(Indicadores_v4!$G13-Dados_Ajustados_v4!J13)/(Indicadores_v4!$G13-Indicadores_v4!$F13)*100))))</f>
        <v/>
      </c>
      <c r="I13" s="9">
        <f>IF(Dados_Ajustados_v4!K13="","",IF(Indicadores_v4!$E13="+",MIN(Metodologia_v4!$B$9,MAX(Metodologia_v4!$B$8,(Dados_Ajustados_v4!K13-Indicadores_v4!$F13)/(Indicadores_v4!$G13-Indicadores_v4!$F13)*100)),MIN(Metodologia_v4!$B$9,MAX(Metodologia_v4!$B$8,(Indicadores_v4!$G13-Dados_Ajustados_v4!K13)/(Indicadores_v4!$G13-Indicadores_v4!$F13)*100))))</f>
        <v/>
      </c>
      <c r="J13" s="9">
        <f>IF(Dados_Ajustados_v4!L13="","",IF(Indicadores_v4!$E13="+",MIN(Metodologia_v4!$B$9,MAX(Metodologia_v4!$B$8,(Dados_Ajustados_v4!L13-Indicadores_v4!$F13)/(Indicadores_v4!$G13-Indicadores_v4!$F13)*100)),MIN(Metodologia_v4!$B$9,MAX(Metodologia_v4!$B$8,(Indicadores_v4!$G13-Dados_Ajustados_v4!L13)/(Indicadores_v4!$G13-Indicadores_v4!$F13)*100))))</f>
        <v/>
      </c>
      <c r="K13" s="9">
        <f>IF(Dados_Ajustados_v4!M13="","",IF(Indicadores_v4!$E13="+",MIN(Metodologia_v4!$B$9,MAX(Metodologia_v4!$B$8,(Dados_Ajustados_v4!M13-Indicadores_v4!$F13)/(Indicadores_v4!$G13-Indicadores_v4!$F13)*100)),MIN(Metodologia_v4!$B$9,MAX(Metodologia_v4!$B$8,(Indicadores_v4!$G13-Dados_Ajustados_v4!M13)/(Indicadores_v4!$G13-Indicadores_v4!$F13)*100))))</f>
        <v/>
      </c>
      <c r="L13" s="9">
        <f>IF(Dados_Ajustados_v4!N13="","",IF(Indicadores_v4!$E13="+",MIN(Metodologia_v4!$B$9,MAX(Metodologia_v4!$B$8,(Dados_Ajustados_v4!N13-Indicadores_v4!$F13)/(Indicadores_v4!$G13-Indicadores_v4!$F13)*100)),MIN(Metodologia_v4!$B$9,MAX(Metodologia_v4!$B$8,(Indicadores_v4!$G13-Dados_Ajustados_v4!N13)/(Indicadores_v4!$G13-Indicadores_v4!$F13)*100))))</f>
        <v/>
      </c>
      <c r="M13" s="9">
        <f>IF(Dados_Ajustados_v4!O13="","",IF(Indicadores_v4!$E13="+",MIN(Metodologia_v4!$B$9,MAX(Metodologia_v4!$B$8,(Dados_Ajustados_v4!O13-Indicadores_v4!$F13)/(Indicadores_v4!$G13-Indicadores_v4!$F13)*100)),MIN(Metodologia_v4!$B$9,MAX(Metodologia_v4!$B$8,(Indicadores_v4!$G13-Dados_Ajustados_v4!O13)/(Indicadores_v4!$G13-Indicadores_v4!$F13)*100))))</f>
        <v/>
      </c>
      <c r="N13" s="9">
        <f>IF(Dados_Ajustados_v4!P13="","",IF(Indicadores_v4!$E13="+",MIN(Metodologia_v4!$B$9,MAX(Metodologia_v4!$B$8,(Dados_Ajustados_v4!P13-Indicadores_v4!$F13)/(Indicadores_v4!$G13-Indicadores_v4!$F13)*100)),MIN(Metodologia_v4!$B$9,MAX(Metodologia_v4!$B$8,(Indicadores_v4!$G13-Dados_Ajustados_v4!P13)/(Indicadores_v4!$G13-Indicadores_v4!$F13)*100))))</f>
        <v/>
      </c>
      <c r="O13" s="9">
        <f>IF(Dados_Ajustados_v4!Q13="","",IF(Indicadores_v4!$E13="+",MIN(Metodologia_v4!$B$9,MAX(Metodologia_v4!$B$8,(Dados_Ajustados_v4!Q13-Indicadores_v4!$F13)/(Indicadores_v4!$G13-Indicadores_v4!$F13)*100)),MIN(Metodologia_v4!$B$9,MAX(Metodologia_v4!$B$8,(Indicadores_v4!$G13-Dados_Ajustados_v4!Q13)/(Indicadores_v4!$G13-Indicadores_v4!$F13)*100))))</f>
        <v/>
      </c>
      <c r="P13" s="9">
        <f>IF(Dados_Ajustados_v4!R13="","",IF(Indicadores_v4!$E13="+",MIN(Metodologia_v4!$B$9,MAX(Metodologia_v4!$B$8,(Dados_Ajustados_v4!R13-Indicadores_v4!$F13)/(Indicadores_v4!$G13-Indicadores_v4!$F13)*100)),MIN(Metodologia_v4!$B$9,MAX(Metodologia_v4!$B$8,(Indicadores_v4!$G13-Dados_Ajustados_v4!R13)/(Indicadores_v4!$G13-Indicadores_v4!$F13)*100))))</f>
        <v/>
      </c>
      <c r="Q13" s="9">
        <f>IF(Dados_Ajustados_v4!S13="","",IF(Indicadores_v4!$E13="+",MIN(Metodologia_v4!$B$9,MAX(Metodologia_v4!$B$8,(Dados_Ajustados_v4!S13-Indicadores_v4!$F13)/(Indicadores_v4!$G13-Indicadores_v4!$F13)*100)),MIN(Metodologia_v4!$B$9,MAX(Metodologia_v4!$B$8,(Indicadores_v4!$G13-Dados_Ajustados_v4!S13)/(Indicadores_v4!$G13-Indicadores_v4!$F13)*100))))</f>
        <v/>
      </c>
      <c r="R13" s="9">
        <f>IF(Dados_Ajustados_v4!T13="","",IF(Indicadores_v4!$E13="+",MIN(Metodologia_v4!$B$9,MAX(Metodologia_v4!$B$8,(Dados_Ajustados_v4!T13-Indicadores_v4!$F13)/(Indicadores_v4!$G13-Indicadores_v4!$F13)*100)),MIN(Metodologia_v4!$B$9,MAX(Metodologia_v4!$B$8,(Indicadores_v4!$G13-Dados_Ajustados_v4!T13)/(Indicadores_v4!$G13-Indicadores_v4!$F13)*100))))</f>
        <v/>
      </c>
    </row>
    <row r="14">
      <c r="A14" s="5" t="inlineStr">
        <is>
          <t>MAC04</t>
        </is>
      </c>
      <c r="B14" s="5" t="inlineStr">
        <is>
          <t>2. Estabilidade Macroeconómica</t>
        </is>
      </c>
      <c r="C14" s="5" t="inlineStr">
        <is>
          <t>Dívida pública do governo central</t>
        </is>
      </c>
      <c r="D14" s="5">
        <f>Indicadores_v4!J14</f>
        <v/>
      </c>
      <c r="E14" s="5">
        <f>Indicadores_v4!I14</f>
        <v/>
      </c>
      <c r="F14" s="5">
        <f>COUNT(H14:R14)&amp;"/"&amp;COUNTA(H$4:R$4)</f>
        <v/>
      </c>
      <c r="G14" s="5" t="inlineStr">
        <is>
          <t>Min/max/sentido vêm de Indicadores_v4</t>
        </is>
      </c>
      <c r="H14" s="9">
        <f>IF(Dados_Ajustados_v4!J14="","",IF(Indicadores_v4!$E14="+",MIN(Metodologia_v4!$B$9,MAX(Metodologia_v4!$B$8,(Dados_Ajustados_v4!J14-Indicadores_v4!$F14)/(Indicadores_v4!$G14-Indicadores_v4!$F14)*100)),MIN(Metodologia_v4!$B$9,MAX(Metodologia_v4!$B$8,(Indicadores_v4!$G14-Dados_Ajustados_v4!J14)/(Indicadores_v4!$G14-Indicadores_v4!$F14)*100))))</f>
        <v/>
      </c>
      <c r="I14" s="9">
        <f>IF(Dados_Ajustados_v4!K14="","",IF(Indicadores_v4!$E14="+",MIN(Metodologia_v4!$B$9,MAX(Metodologia_v4!$B$8,(Dados_Ajustados_v4!K14-Indicadores_v4!$F14)/(Indicadores_v4!$G14-Indicadores_v4!$F14)*100)),MIN(Metodologia_v4!$B$9,MAX(Metodologia_v4!$B$8,(Indicadores_v4!$G14-Dados_Ajustados_v4!K14)/(Indicadores_v4!$G14-Indicadores_v4!$F14)*100))))</f>
        <v/>
      </c>
      <c r="J14" s="9">
        <f>IF(Dados_Ajustados_v4!L14="","",IF(Indicadores_v4!$E14="+",MIN(Metodologia_v4!$B$9,MAX(Metodologia_v4!$B$8,(Dados_Ajustados_v4!L14-Indicadores_v4!$F14)/(Indicadores_v4!$G14-Indicadores_v4!$F14)*100)),MIN(Metodologia_v4!$B$9,MAX(Metodologia_v4!$B$8,(Indicadores_v4!$G14-Dados_Ajustados_v4!L14)/(Indicadores_v4!$G14-Indicadores_v4!$F14)*100))))</f>
        <v/>
      </c>
      <c r="K14" s="9">
        <f>IF(Dados_Ajustados_v4!M14="","",IF(Indicadores_v4!$E14="+",MIN(Metodologia_v4!$B$9,MAX(Metodologia_v4!$B$8,(Dados_Ajustados_v4!M14-Indicadores_v4!$F14)/(Indicadores_v4!$G14-Indicadores_v4!$F14)*100)),MIN(Metodologia_v4!$B$9,MAX(Metodologia_v4!$B$8,(Indicadores_v4!$G14-Dados_Ajustados_v4!M14)/(Indicadores_v4!$G14-Indicadores_v4!$F14)*100))))</f>
        <v/>
      </c>
      <c r="L14" s="9">
        <f>IF(Dados_Ajustados_v4!N14="","",IF(Indicadores_v4!$E14="+",MIN(Metodologia_v4!$B$9,MAX(Metodologia_v4!$B$8,(Dados_Ajustados_v4!N14-Indicadores_v4!$F14)/(Indicadores_v4!$G14-Indicadores_v4!$F14)*100)),MIN(Metodologia_v4!$B$9,MAX(Metodologia_v4!$B$8,(Indicadores_v4!$G14-Dados_Ajustados_v4!N14)/(Indicadores_v4!$G14-Indicadores_v4!$F14)*100))))</f>
        <v/>
      </c>
      <c r="M14" s="9">
        <f>IF(Dados_Ajustados_v4!O14="","",IF(Indicadores_v4!$E14="+",MIN(Metodologia_v4!$B$9,MAX(Metodologia_v4!$B$8,(Dados_Ajustados_v4!O14-Indicadores_v4!$F14)/(Indicadores_v4!$G14-Indicadores_v4!$F14)*100)),MIN(Metodologia_v4!$B$9,MAX(Metodologia_v4!$B$8,(Indicadores_v4!$G14-Dados_Ajustados_v4!O14)/(Indicadores_v4!$G14-Indicadores_v4!$F14)*100))))</f>
        <v/>
      </c>
      <c r="N14" s="9">
        <f>IF(Dados_Ajustados_v4!P14="","",IF(Indicadores_v4!$E14="+",MIN(Metodologia_v4!$B$9,MAX(Metodologia_v4!$B$8,(Dados_Ajustados_v4!P14-Indicadores_v4!$F14)/(Indicadores_v4!$G14-Indicadores_v4!$F14)*100)),MIN(Metodologia_v4!$B$9,MAX(Metodologia_v4!$B$8,(Indicadores_v4!$G14-Dados_Ajustados_v4!P14)/(Indicadores_v4!$G14-Indicadores_v4!$F14)*100))))</f>
        <v/>
      </c>
      <c r="O14" s="9">
        <f>IF(Dados_Ajustados_v4!Q14="","",IF(Indicadores_v4!$E14="+",MIN(Metodologia_v4!$B$9,MAX(Metodologia_v4!$B$8,(Dados_Ajustados_v4!Q14-Indicadores_v4!$F14)/(Indicadores_v4!$G14-Indicadores_v4!$F14)*100)),MIN(Metodologia_v4!$B$9,MAX(Metodologia_v4!$B$8,(Indicadores_v4!$G14-Dados_Ajustados_v4!Q14)/(Indicadores_v4!$G14-Indicadores_v4!$F14)*100))))</f>
        <v/>
      </c>
      <c r="P14" s="9">
        <f>IF(Dados_Ajustados_v4!R14="","",IF(Indicadores_v4!$E14="+",MIN(Metodologia_v4!$B$9,MAX(Metodologia_v4!$B$8,(Dados_Ajustados_v4!R14-Indicadores_v4!$F14)/(Indicadores_v4!$G14-Indicadores_v4!$F14)*100)),MIN(Metodologia_v4!$B$9,MAX(Metodologia_v4!$B$8,(Indicadores_v4!$G14-Dados_Ajustados_v4!R14)/(Indicadores_v4!$G14-Indicadores_v4!$F14)*100))))</f>
        <v/>
      </c>
      <c r="Q14" s="9">
        <f>IF(Dados_Ajustados_v4!S14="","",IF(Indicadores_v4!$E14="+",MIN(Metodologia_v4!$B$9,MAX(Metodologia_v4!$B$8,(Dados_Ajustados_v4!S14-Indicadores_v4!$F14)/(Indicadores_v4!$G14-Indicadores_v4!$F14)*100)),MIN(Metodologia_v4!$B$9,MAX(Metodologia_v4!$B$8,(Indicadores_v4!$G14-Dados_Ajustados_v4!S14)/(Indicadores_v4!$G14-Indicadores_v4!$F14)*100))))</f>
        <v/>
      </c>
      <c r="R14" s="9">
        <f>IF(Dados_Ajustados_v4!T14="","",IF(Indicadores_v4!$E14="+",MIN(Metodologia_v4!$B$9,MAX(Metodologia_v4!$B$8,(Dados_Ajustados_v4!T14-Indicadores_v4!$F14)/(Indicadores_v4!$G14-Indicadores_v4!$F14)*100)),MIN(Metodologia_v4!$B$9,MAX(Metodologia_v4!$B$8,(Indicadores_v4!$G14-Dados_Ajustados_v4!T14)/(Indicadores_v4!$G14-Indicadores_v4!$F14)*100))))</f>
        <v/>
      </c>
    </row>
    <row r="15">
      <c r="A15" s="5" t="inlineStr">
        <is>
          <t>MAC05</t>
        </is>
      </c>
      <c r="B15" s="5" t="inlineStr">
        <is>
          <t>2. Estabilidade Macroeconómica</t>
        </is>
      </c>
      <c r="C15" s="5" t="inlineStr">
        <is>
          <t>Saldo orçamental de caixa</t>
        </is>
      </c>
      <c r="D15" s="5">
        <f>Indicadores_v4!J15</f>
        <v/>
      </c>
      <c r="E15" s="5">
        <f>Indicadores_v4!I15</f>
        <v/>
      </c>
      <c r="F15" s="5">
        <f>COUNT(H15:R15)&amp;"/"&amp;COUNTA(H$4:R$4)</f>
        <v/>
      </c>
      <c r="G15" s="5" t="inlineStr">
        <is>
          <t>Min/max/sentido vêm de Indicadores_v4</t>
        </is>
      </c>
      <c r="H15" s="9">
        <f>IF(Dados_Ajustados_v4!J15="","",IF(Indicadores_v4!$E15="+",MIN(Metodologia_v4!$B$9,MAX(Metodologia_v4!$B$8,(Dados_Ajustados_v4!J15-Indicadores_v4!$F15)/(Indicadores_v4!$G15-Indicadores_v4!$F15)*100)),MIN(Metodologia_v4!$B$9,MAX(Metodologia_v4!$B$8,(Indicadores_v4!$G15-Dados_Ajustados_v4!J15)/(Indicadores_v4!$G15-Indicadores_v4!$F15)*100))))</f>
        <v/>
      </c>
      <c r="I15" s="9">
        <f>IF(Dados_Ajustados_v4!K15="","",IF(Indicadores_v4!$E15="+",MIN(Metodologia_v4!$B$9,MAX(Metodologia_v4!$B$8,(Dados_Ajustados_v4!K15-Indicadores_v4!$F15)/(Indicadores_v4!$G15-Indicadores_v4!$F15)*100)),MIN(Metodologia_v4!$B$9,MAX(Metodologia_v4!$B$8,(Indicadores_v4!$G15-Dados_Ajustados_v4!K15)/(Indicadores_v4!$G15-Indicadores_v4!$F15)*100))))</f>
        <v/>
      </c>
      <c r="J15" s="9">
        <f>IF(Dados_Ajustados_v4!L15="","",IF(Indicadores_v4!$E15="+",MIN(Metodologia_v4!$B$9,MAX(Metodologia_v4!$B$8,(Dados_Ajustados_v4!L15-Indicadores_v4!$F15)/(Indicadores_v4!$G15-Indicadores_v4!$F15)*100)),MIN(Metodologia_v4!$B$9,MAX(Metodologia_v4!$B$8,(Indicadores_v4!$G15-Dados_Ajustados_v4!L15)/(Indicadores_v4!$G15-Indicadores_v4!$F15)*100))))</f>
        <v/>
      </c>
      <c r="K15" s="9">
        <f>IF(Dados_Ajustados_v4!M15="","",IF(Indicadores_v4!$E15="+",MIN(Metodologia_v4!$B$9,MAX(Metodologia_v4!$B$8,(Dados_Ajustados_v4!M15-Indicadores_v4!$F15)/(Indicadores_v4!$G15-Indicadores_v4!$F15)*100)),MIN(Metodologia_v4!$B$9,MAX(Metodologia_v4!$B$8,(Indicadores_v4!$G15-Dados_Ajustados_v4!M15)/(Indicadores_v4!$G15-Indicadores_v4!$F15)*100))))</f>
        <v/>
      </c>
      <c r="L15" s="9">
        <f>IF(Dados_Ajustados_v4!N15="","",IF(Indicadores_v4!$E15="+",MIN(Metodologia_v4!$B$9,MAX(Metodologia_v4!$B$8,(Dados_Ajustados_v4!N15-Indicadores_v4!$F15)/(Indicadores_v4!$G15-Indicadores_v4!$F15)*100)),MIN(Metodologia_v4!$B$9,MAX(Metodologia_v4!$B$8,(Indicadores_v4!$G15-Dados_Ajustados_v4!N15)/(Indicadores_v4!$G15-Indicadores_v4!$F15)*100))))</f>
        <v/>
      </c>
      <c r="M15" s="9">
        <f>IF(Dados_Ajustados_v4!O15="","",IF(Indicadores_v4!$E15="+",MIN(Metodologia_v4!$B$9,MAX(Metodologia_v4!$B$8,(Dados_Ajustados_v4!O15-Indicadores_v4!$F15)/(Indicadores_v4!$G15-Indicadores_v4!$F15)*100)),MIN(Metodologia_v4!$B$9,MAX(Metodologia_v4!$B$8,(Indicadores_v4!$G15-Dados_Ajustados_v4!O15)/(Indicadores_v4!$G15-Indicadores_v4!$F15)*100))))</f>
        <v/>
      </c>
      <c r="N15" s="9">
        <f>IF(Dados_Ajustados_v4!P15="","",IF(Indicadores_v4!$E15="+",MIN(Metodologia_v4!$B$9,MAX(Metodologia_v4!$B$8,(Dados_Ajustados_v4!P15-Indicadores_v4!$F15)/(Indicadores_v4!$G15-Indicadores_v4!$F15)*100)),MIN(Metodologia_v4!$B$9,MAX(Metodologia_v4!$B$8,(Indicadores_v4!$G15-Dados_Ajustados_v4!P15)/(Indicadores_v4!$G15-Indicadores_v4!$F15)*100))))</f>
        <v/>
      </c>
      <c r="O15" s="9">
        <f>IF(Dados_Ajustados_v4!Q15="","",IF(Indicadores_v4!$E15="+",MIN(Metodologia_v4!$B$9,MAX(Metodologia_v4!$B$8,(Dados_Ajustados_v4!Q15-Indicadores_v4!$F15)/(Indicadores_v4!$G15-Indicadores_v4!$F15)*100)),MIN(Metodologia_v4!$B$9,MAX(Metodologia_v4!$B$8,(Indicadores_v4!$G15-Dados_Ajustados_v4!Q15)/(Indicadores_v4!$G15-Indicadores_v4!$F15)*100))))</f>
        <v/>
      </c>
      <c r="P15" s="9">
        <f>IF(Dados_Ajustados_v4!R15="","",IF(Indicadores_v4!$E15="+",MIN(Metodologia_v4!$B$9,MAX(Metodologia_v4!$B$8,(Dados_Ajustados_v4!R15-Indicadores_v4!$F15)/(Indicadores_v4!$G15-Indicadores_v4!$F15)*100)),MIN(Metodologia_v4!$B$9,MAX(Metodologia_v4!$B$8,(Indicadores_v4!$G15-Dados_Ajustados_v4!R15)/(Indicadores_v4!$G15-Indicadores_v4!$F15)*100))))</f>
        <v/>
      </c>
      <c r="Q15" s="9">
        <f>IF(Dados_Ajustados_v4!S15="","",IF(Indicadores_v4!$E15="+",MIN(Metodologia_v4!$B$9,MAX(Metodologia_v4!$B$8,(Dados_Ajustados_v4!S15-Indicadores_v4!$F15)/(Indicadores_v4!$G15-Indicadores_v4!$F15)*100)),MIN(Metodologia_v4!$B$9,MAX(Metodologia_v4!$B$8,(Indicadores_v4!$G15-Dados_Ajustados_v4!S15)/(Indicadores_v4!$G15-Indicadores_v4!$F15)*100))))</f>
        <v/>
      </c>
      <c r="R15" s="9">
        <f>IF(Dados_Ajustados_v4!T15="","",IF(Indicadores_v4!$E15="+",MIN(Metodologia_v4!$B$9,MAX(Metodologia_v4!$B$8,(Dados_Ajustados_v4!T15-Indicadores_v4!$F15)/(Indicadores_v4!$G15-Indicadores_v4!$F15)*100)),MIN(Metodologia_v4!$B$9,MAX(Metodologia_v4!$B$8,(Indicadores_v4!$G15-Dados_Ajustados_v4!T15)/(Indicadores_v4!$G15-Indicadores_v4!$F15)*100))))</f>
        <v/>
      </c>
    </row>
    <row r="16">
      <c r="A16" s="5" t="inlineStr">
        <is>
          <t>MAC06</t>
        </is>
      </c>
      <c r="B16" s="5" t="inlineStr">
        <is>
          <t>2. Estabilidade Macroeconómica</t>
        </is>
      </c>
      <c r="C16" s="5" t="inlineStr">
        <is>
          <t>Saldo da conta corrente</t>
        </is>
      </c>
      <c r="D16" s="5">
        <f>Indicadores_v4!J16</f>
        <v/>
      </c>
      <c r="E16" s="5">
        <f>Indicadores_v4!I16</f>
        <v/>
      </c>
      <c r="F16" s="5">
        <f>COUNT(H16:R16)&amp;"/"&amp;COUNTA(H$4:R$4)</f>
        <v/>
      </c>
      <c r="G16" s="5" t="inlineStr">
        <is>
          <t>Min/max/sentido vêm de Indicadores_v4</t>
        </is>
      </c>
      <c r="H16" s="9">
        <f>IF(Dados_Ajustados_v4!J16="","",IF(Indicadores_v4!$E16="+",MIN(Metodologia_v4!$B$9,MAX(Metodologia_v4!$B$8,(Dados_Ajustados_v4!J16-Indicadores_v4!$F16)/(Indicadores_v4!$G16-Indicadores_v4!$F16)*100)),MIN(Metodologia_v4!$B$9,MAX(Metodologia_v4!$B$8,(Indicadores_v4!$G16-Dados_Ajustados_v4!J16)/(Indicadores_v4!$G16-Indicadores_v4!$F16)*100))))</f>
        <v/>
      </c>
      <c r="I16" s="9">
        <f>IF(Dados_Ajustados_v4!K16="","",IF(Indicadores_v4!$E16="+",MIN(Metodologia_v4!$B$9,MAX(Metodologia_v4!$B$8,(Dados_Ajustados_v4!K16-Indicadores_v4!$F16)/(Indicadores_v4!$G16-Indicadores_v4!$F16)*100)),MIN(Metodologia_v4!$B$9,MAX(Metodologia_v4!$B$8,(Indicadores_v4!$G16-Dados_Ajustados_v4!K16)/(Indicadores_v4!$G16-Indicadores_v4!$F16)*100))))</f>
        <v/>
      </c>
      <c r="J16" s="9">
        <f>IF(Dados_Ajustados_v4!L16="","",IF(Indicadores_v4!$E16="+",MIN(Metodologia_v4!$B$9,MAX(Metodologia_v4!$B$8,(Dados_Ajustados_v4!L16-Indicadores_v4!$F16)/(Indicadores_v4!$G16-Indicadores_v4!$F16)*100)),MIN(Metodologia_v4!$B$9,MAX(Metodologia_v4!$B$8,(Indicadores_v4!$G16-Dados_Ajustados_v4!L16)/(Indicadores_v4!$G16-Indicadores_v4!$F16)*100))))</f>
        <v/>
      </c>
      <c r="K16" s="9">
        <f>IF(Dados_Ajustados_v4!M16="","",IF(Indicadores_v4!$E16="+",MIN(Metodologia_v4!$B$9,MAX(Metodologia_v4!$B$8,(Dados_Ajustados_v4!M16-Indicadores_v4!$F16)/(Indicadores_v4!$G16-Indicadores_v4!$F16)*100)),MIN(Metodologia_v4!$B$9,MAX(Metodologia_v4!$B$8,(Indicadores_v4!$G16-Dados_Ajustados_v4!M16)/(Indicadores_v4!$G16-Indicadores_v4!$F16)*100))))</f>
        <v/>
      </c>
      <c r="L16" s="9">
        <f>IF(Dados_Ajustados_v4!N16="","",IF(Indicadores_v4!$E16="+",MIN(Metodologia_v4!$B$9,MAX(Metodologia_v4!$B$8,(Dados_Ajustados_v4!N16-Indicadores_v4!$F16)/(Indicadores_v4!$G16-Indicadores_v4!$F16)*100)),MIN(Metodologia_v4!$B$9,MAX(Metodologia_v4!$B$8,(Indicadores_v4!$G16-Dados_Ajustados_v4!N16)/(Indicadores_v4!$G16-Indicadores_v4!$F16)*100))))</f>
        <v/>
      </c>
      <c r="M16" s="9">
        <f>IF(Dados_Ajustados_v4!O16="","",IF(Indicadores_v4!$E16="+",MIN(Metodologia_v4!$B$9,MAX(Metodologia_v4!$B$8,(Dados_Ajustados_v4!O16-Indicadores_v4!$F16)/(Indicadores_v4!$G16-Indicadores_v4!$F16)*100)),MIN(Metodologia_v4!$B$9,MAX(Metodologia_v4!$B$8,(Indicadores_v4!$G16-Dados_Ajustados_v4!O16)/(Indicadores_v4!$G16-Indicadores_v4!$F16)*100))))</f>
        <v/>
      </c>
      <c r="N16" s="9">
        <f>IF(Dados_Ajustados_v4!P16="","",IF(Indicadores_v4!$E16="+",MIN(Metodologia_v4!$B$9,MAX(Metodologia_v4!$B$8,(Dados_Ajustados_v4!P16-Indicadores_v4!$F16)/(Indicadores_v4!$G16-Indicadores_v4!$F16)*100)),MIN(Metodologia_v4!$B$9,MAX(Metodologia_v4!$B$8,(Indicadores_v4!$G16-Dados_Ajustados_v4!P16)/(Indicadores_v4!$G16-Indicadores_v4!$F16)*100))))</f>
        <v/>
      </c>
      <c r="O16" s="9">
        <f>IF(Dados_Ajustados_v4!Q16="","",IF(Indicadores_v4!$E16="+",MIN(Metodologia_v4!$B$9,MAX(Metodologia_v4!$B$8,(Dados_Ajustados_v4!Q16-Indicadores_v4!$F16)/(Indicadores_v4!$G16-Indicadores_v4!$F16)*100)),MIN(Metodologia_v4!$B$9,MAX(Metodologia_v4!$B$8,(Indicadores_v4!$G16-Dados_Ajustados_v4!Q16)/(Indicadores_v4!$G16-Indicadores_v4!$F16)*100))))</f>
        <v/>
      </c>
      <c r="P16" s="9">
        <f>IF(Dados_Ajustados_v4!R16="","",IF(Indicadores_v4!$E16="+",MIN(Metodologia_v4!$B$9,MAX(Metodologia_v4!$B$8,(Dados_Ajustados_v4!R16-Indicadores_v4!$F16)/(Indicadores_v4!$G16-Indicadores_v4!$F16)*100)),MIN(Metodologia_v4!$B$9,MAX(Metodologia_v4!$B$8,(Indicadores_v4!$G16-Dados_Ajustados_v4!R16)/(Indicadores_v4!$G16-Indicadores_v4!$F16)*100))))</f>
        <v/>
      </c>
      <c r="Q16" s="9">
        <f>IF(Dados_Ajustados_v4!S16="","",IF(Indicadores_v4!$E16="+",MIN(Metodologia_v4!$B$9,MAX(Metodologia_v4!$B$8,(Dados_Ajustados_v4!S16-Indicadores_v4!$F16)/(Indicadores_v4!$G16-Indicadores_v4!$F16)*100)),MIN(Metodologia_v4!$B$9,MAX(Metodologia_v4!$B$8,(Indicadores_v4!$G16-Dados_Ajustados_v4!S16)/(Indicadores_v4!$G16-Indicadores_v4!$F16)*100))))</f>
        <v/>
      </c>
      <c r="R16" s="9">
        <f>IF(Dados_Ajustados_v4!T16="","",IF(Indicadores_v4!$E16="+",MIN(Metodologia_v4!$B$9,MAX(Metodologia_v4!$B$8,(Dados_Ajustados_v4!T16-Indicadores_v4!$F16)/(Indicadores_v4!$G16-Indicadores_v4!$F16)*100)),MIN(Metodologia_v4!$B$9,MAX(Metodologia_v4!$B$8,(Indicadores_v4!$G16-Dados_Ajustados_v4!T16)/(Indicadores_v4!$G16-Indicadores_v4!$F16)*100))))</f>
        <v/>
      </c>
    </row>
    <row r="17">
      <c r="A17" s="5" t="inlineStr">
        <is>
          <t>MAC07</t>
        </is>
      </c>
      <c r="B17" s="5" t="inlineStr">
        <is>
          <t>2. Estabilidade Macroeconómica</t>
        </is>
      </c>
      <c r="C17" s="5" t="inlineStr">
        <is>
          <t>Reservas internacionais</t>
        </is>
      </c>
      <c r="D17" s="5">
        <f>Indicadores_v4!J17</f>
        <v/>
      </c>
      <c r="E17" s="5">
        <f>Indicadores_v4!I17</f>
        <v/>
      </c>
      <c r="F17" s="5">
        <f>COUNT(H17:R17)&amp;"/"&amp;COUNTA(H$4:R$4)</f>
        <v/>
      </c>
      <c r="G17" s="5" t="inlineStr">
        <is>
          <t>Min/max/sentido vêm de Indicadores_v4</t>
        </is>
      </c>
      <c r="H17" s="9">
        <f>IF(Dados_Ajustados_v4!J17="","",IF(Indicadores_v4!$E17="+",MIN(Metodologia_v4!$B$9,MAX(Metodologia_v4!$B$8,(Dados_Ajustados_v4!J17-Indicadores_v4!$F17)/(Indicadores_v4!$G17-Indicadores_v4!$F17)*100)),MIN(Metodologia_v4!$B$9,MAX(Metodologia_v4!$B$8,(Indicadores_v4!$G17-Dados_Ajustados_v4!J17)/(Indicadores_v4!$G17-Indicadores_v4!$F17)*100))))</f>
        <v/>
      </c>
      <c r="I17" s="9">
        <f>IF(Dados_Ajustados_v4!K17="","",IF(Indicadores_v4!$E17="+",MIN(Metodologia_v4!$B$9,MAX(Metodologia_v4!$B$8,(Dados_Ajustados_v4!K17-Indicadores_v4!$F17)/(Indicadores_v4!$G17-Indicadores_v4!$F17)*100)),MIN(Metodologia_v4!$B$9,MAX(Metodologia_v4!$B$8,(Indicadores_v4!$G17-Dados_Ajustados_v4!K17)/(Indicadores_v4!$G17-Indicadores_v4!$F17)*100))))</f>
        <v/>
      </c>
      <c r="J17" s="9">
        <f>IF(Dados_Ajustados_v4!L17="","",IF(Indicadores_v4!$E17="+",MIN(Metodologia_v4!$B$9,MAX(Metodologia_v4!$B$8,(Dados_Ajustados_v4!L17-Indicadores_v4!$F17)/(Indicadores_v4!$G17-Indicadores_v4!$F17)*100)),MIN(Metodologia_v4!$B$9,MAX(Metodologia_v4!$B$8,(Indicadores_v4!$G17-Dados_Ajustados_v4!L17)/(Indicadores_v4!$G17-Indicadores_v4!$F17)*100))))</f>
        <v/>
      </c>
      <c r="K17" s="9">
        <f>IF(Dados_Ajustados_v4!M17="","",IF(Indicadores_v4!$E17="+",MIN(Metodologia_v4!$B$9,MAX(Metodologia_v4!$B$8,(Dados_Ajustados_v4!M17-Indicadores_v4!$F17)/(Indicadores_v4!$G17-Indicadores_v4!$F17)*100)),MIN(Metodologia_v4!$B$9,MAX(Metodologia_v4!$B$8,(Indicadores_v4!$G17-Dados_Ajustados_v4!M17)/(Indicadores_v4!$G17-Indicadores_v4!$F17)*100))))</f>
        <v/>
      </c>
      <c r="L17" s="9">
        <f>IF(Dados_Ajustados_v4!N17="","",IF(Indicadores_v4!$E17="+",MIN(Metodologia_v4!$B$9,MAX(Metodologia_v4!$B$8,(Dados_Ajustados_v4!N17-Indicadores_v4!$F17)/(Indicadores_v4!$G17-Indicadores_v4!$F17)*100)),MIN(Metodologia_v4!$B$9,MAX(Metodologia_v4!$B$8,(Indicadores_v4!$G17-Dados_Ajustados_v4!N17)/(Indicadores_v4!$G17-Indicadores_v4!$F17)*100))))</f>
        <v/>
      </c>
      <c r="M17" s="9">
        <f>IF(Dados_Ajustados_v4!O17="","",IF(Indicadores_v4!$E17="+",MIN(Metodologia_v4!$B$9,MAX(Metodologia_v4!$B$8,(Dados_Ajustados_v4!O17-Indicadores_v4!$F17)/(Indicadores_v4!$G17-Indicadores_v4!$F17)*100)),MIN(Metodologia_v4!$B$9,MAX(Metodologia_v4!$B$8,(Indicadores_v4!$G17-Dados_Ajustados_v4!O17)/(Indicadores_v4!$G17-Indicadores_v4!$F17)*100))))</f>
        <v/>
      </c>
      <c r="N17" s="9">
        <f>IF(Dados_Ajustados_v4!P17="","",IF(Indicadores_v4!$E17="+",MIN(Metodologia_v4!$B$9,MAX(Metodologia_v4!$B$8,(Dados_Ajustados_v4!P17-Indicadores_v4!$F17)/(Indicadores_v4!$G17-Indicadores_v4!$F17)*100)),MIN(Metodologia_v4!$B$9,MAX(Metodologia_v4!$B$8,(Indicadores_v4!$G17-Dados_Ajustados_v4!P17)/(Indicadores_v4!$G17-Indicadores_v4!$F17)*100))))</f>
        <v/>
      </c>
      <c r="O17" s="9">
        <f>IF(Dados_Ajustados_v4!Q17="","",IF(Indicadores_v4!$E17="+",MIN(Metodologia_v4!$B$9,MAX(Metodologia_v4!$B$8,(Dados_Ajustados_v4!Q17-Indicadores_v4!$F17)/(Indicadores_v4!$G17-Indicadores_v4!$F17)*100)),MIN(Metodologia_v4!$B$9,MAX(Metodologia_v4!$B$8,(Indicadores_v4!$G17-Dados_Ajustados_v4!Q17)/(Indicadores_v4!$G17-Indicadores_v4!$F17)*100))))</f>
        <v/>
      </c>
      <c r="P17" s="9">
        <f>IF(Dados_Ajustados_v4!R17="","",IF(Indicadores_v4!$E17="+",MIN(Metodologia_v4!$B$9,MAX(Metodologia_v4!$B$8,(Dados_Ajustados_v4!R17-Indicadores_v4!$F17)/(Indicadores_v4!$G17-Indicadores_v4!$F17)*100)),MIN(Metodologia_v4!$B$9,MAX(Metodologia_v4!$B$8,(Indicadores_v4!$G17-Dados_Ajustados_v4!R17)/(Indicadores_v4!$G17-Indicadores_v4!$F17)*100))))</f>
        <v/>
      </c>
      <c r="Q17" s="9">
        <f>IF(Dados_Ajustados_v4!S17="","",IF(Indicadores_v4!$E17="+",MIN(Metodologia_v4!$B$9,MAX(Metodologia_v4!$B$8,(Dados_Ajustados_v4!S17-Indicadores_v4!$F17)/(Indicadores_v4!$G17-Indicadores_v4!$F17)*100)),MIN(Metodologia_v4!$B$9,MAX(Metodologia_v4!$B$8,(Indicadores_v4!$G17-Dados_Ajustados_v4!S17)/(Indicadores_v4!$G17-Indicadores_v4!$F17)*100))))</f>
        <v/>
      </c>
      <c r="R17" s="9">
        <f>IF(Dados_Ajustados_v4!T17="","",IF(Indicadores_v4!$E17="+",MIN(Metodologia_v4!$B$9,MAX(Metodologia_v4!$B$8,(Dados_Ajustados_v4!T17-Indicadores_v4!$F17)/(Indicadores_v4!$G17-Indicadores_v4!$F17)*100)),MIN(Metodologia_v4!$B$9,MAX(Metodologia_v4!$B$8,(Indicadores_v4!$G17-Dados_Ajustados_v4!T17)/(Indicadores_v4!$G17-Indicadores_v4!$F17)*100))))</f>
        <v/>
      </c>
    </row>
    <row r="18">
      <c r="A18" s="5" t="inlineStr">
        <is>
          <t>MAC08</t>
        </is>
      </c>
      <c r="B18" s="5" t="inlineStr">
        <is>
          <t>2. Estabilidade Macroeconómica</t>
        </is>
      </c>
      <c r="C18" s="5" t="inlineStr">
        <is>
          <t>Receita fiscal</t>
        </is>
      </c>
      <c r="D18" s="5">
        <f>Indicadores_v4!J18</f>
        <v/>
      </c>
      <c r="E18" s="5">
        <f>Indicadores_v4!I18</f>
        <v/>
      </c>
      <c r="F18" s="5">
        <f>COUNT(H18:R18)&amp;"/"&amp;COUNTA(H$4:R$4)</f>
        <v/>
      </c>
      <c r="G18" s="5" t="inlineStr">
        <is>
          <t>Min/max/sentido vêm de Indicadores_v4</t>
        </is>
      </c>
      <c r="H18" s="9">
        <f>IF(Dados_Ajustados_v4!J18="","",IF(Indicadores_v4!$E18="+",MIN(Metodologia_v4!$B$9,MAX(Metodologia_v4!$B$8,(Dados_Ajustados_v4!J18-Indicadores_v4!$F18)/(Indicadores_v4!$G18-Indicadores_v4!$F18)*100)),MIN(Metodologia_v4!$B$9,MAX(Metodologia_v4!$B$8,(Indicadores_v4!$G18-Dados_Ajustados_v4!J18)/(Indicadores_v4!$G18-Indicadores_v4!$F18)*100))))</f>
        <v/>
      </c>
      <c r="I18" s="9">
        <f>IF(Dados_Ajustados_v4!K18="","",IF(Indicadores_v4!$E18="+",MIN(Metodologia_v4!$B$9,MAX(Metodologia_v4!$B$8,(Dados_Ajustados_v4!K18-Indicadores_v4!$F18)/(Indicadores_v4!$G18-Indicadores_v4!$F18)*100)),MIN(Metodologia_v4!$B$9,MAX(Metodologia_v4!$B$8,(Indicadores_v4!$G18-Dados_Ajustados_v4!K18)/(Indicadores_v4!$G18-Indicadores_v4!$F18)*100))))</f>
        <v/>
      </c>
      <c r="J18" s="9">
        <f>IF(Dados_Ajustados_v4!L18="","",IF(Indicadores_v4!$E18="+",MIN(Metodologia_v4!$B$9,MAX(Metodologia_v4!$B$8,(Dados_Ajustados_v4!L18-Indicadores_v4!$F18)/(Indicadores_v4!$G18-Indicadores_v4!$F18)*100)),MIN(Metodologia_v4!$B$9,MAX(Metodologia_v4!$B$8,(Indicadores_v4!$G18-Dados_Ajustados_v4!L18)/(Indicadores_v4!$G18-Indicadores_v4!$F18)*100))))</f>
        <v/>
      </c>
      <c r="K18" s="9">
        <f>IF(Dados_Ajustados_v4!M18="","",IF(Indicadores_v4!$E18="+",MIN(Metodologia_v4!$B$9,MAX(Metodologia_v4!$B$8,(Dados_Ajustados_v4!M18-Indicadores_v4!$F18)/(Indicadores_v4!$G18-Indicadores_v4!$F18)*100)),MIN(Metodologia_v4!$B$9,MAX(Metodologia_v4!$B$8,(Indicadores_v4!$G18-Dados_Ajustados_v4!M18)/(Indicadores_v4!$G18-Indicadores_v4!$F18)*100))))</f>
        <v/>
      </c>
      <c r="L18" s="9">
        <f>IF(Dados_Ajustados_v4!N18="","",IF(Indicadores_v4!$E18="+",MIN(Metodologia_v4!$B$9,MAX(Metodologia_v4!$B$8,(Dados_Ajustados_v4!N18-Indicadores_v4!$F18)/(Indicadores_v4!$G18-Indicadores_v4!$F18)*100)),MIN(Metodologia_v4!$B$9,MAX(Metodologia_v4!$B$8,(Indicadores_v4!$G18-Dados_Ajustados_v4!N18)/(Indicadores_v4!$G18-Indicadores_v4!$F18)*100))))</f>
        <v/>
      </c>
      <c r="M18" s="9">
        <f>IF(Dados_Ajustados_v4!O18="","",IF(Indicadores_v4!$E18="+",MIN(Metodologia_v4!$B$9,MAX(Metodologia_v4!$B$8,(Dados_Ajustados_v4!O18-Indicadores_v4!$F18)/(Indicadores_v4!$G18-Indicadores_v4!$F18)*100)),MIN(Metodologia_v4!$B$9,MAX(Metodologia_v4!$B$8,(Indicadores_v4!$G18-Dados_Ajustados_v4!O18)/(Indicadores_v4!$G18-Indicadores_v4!$F18)*100))))</f>
        <v/>
      </c>
      <c r="N18" s="9">
        <f>IF(Dados_Ajustados_v4!P18="","",IF(Indicadores_v4!$E18="+",MIN(Metodologia_v4!$B$9,MAX(Metodologia_v4!$B$8,(Dados_Ajustados_v4!P18-Indicadores_v4!$F18)/(Indicadores_v4!$G18-Indicadores_v4!$F18)*100)),MIN(Metodologia_v4!$B$9,MAX(Metodologia_v4!$B$8,(Indicadores_v4!$G18-Dados_Ajustados_v4!P18)/(Indicadores_v4!$G18-Indicadores_v4!$F18)*100))))</f>
        <v/>
      </c>
      <c r="O18" s="9">
        <f>IF(Dados_Ajustados_v4!Q18="","",IF(Indicadores_v4!$E18="+",MIN(Metodologia_v4!$B$9,MAX(Metodologia_v4!$B$8,(Dados_Ajustados_v4!Q18-Indicadores_v4!$F18)/(Indicadores_v4!$G18-Indicadores_v4!$F18)*100)),MIN(Metodologia_v4!$B$9,MAX(Metodologia_v4!$B$8,(Indicadores_v4!$G18-Dados_Ajustados_v4!Q18)/(Indicadores_v4!$G18-Indicadores_v4!$F18)*100))))</f>
        <v/>
      </c>
      <c r="P18" s="9">
        <f>IF(Dados_Ajustados_v4!R18="","",IF(Indicadores_v4!$E18="+",MIN(Metodologia_v4!$B$9,MAX(Metodologia_v4!$B$8,(Dados_Ajustados_v4!R18-Indicadores_v4!$F18)/(Indicadores_v4!$G18-Indicadores_v4!$F18)*100)),MIN(Metodologia_v4!$B$9,MAX(Metodologia_v4!$B$8,(Indicadores_v4!$G18-Dados_Ajustados_v4!R18)/(Indicadores_v4!$G18-Indicadores_v4!$F18)*100))))</f>
        <v/>
      </c>
      <c r="Q18" s="9">
        <f>IF(Dados_Ajustados_v4!S18="","",IF(Indicadores_v4!$E18="+",MIN(Metodologia_v4!$B$9,MAX(Metodologia_v4!$B$8,(Dados_Ajustados_v4!S18-Indicadores_v4!$F18)/(Indicadores_v4!$G18-Indicadores_v4!$F18)*100)),MIN(Metodologia_v4!$B$9,MAX(Metodologia_v4!$B$8,(Indicadores_v4!$G18-Dados_Ajustados_v4!S18)/(Indicadores_v4!$G18-Indicadores_v4!$F18)*100))))</f>
        <v/>
      </c>
      <c r="R18" s="9">
        <f>IF(Dados_Ajustados_v4!T18="","",IF(Indicadores_v4!$E18="+",MIN(Metodologia_v4!$B$9,MAX(Metodologia_v4!$B$8,(Dados_Ajustados_v4!T18-Indicadores_v4!$F18)/(Indicadores_v4!$G18-Indicadores_v4!$F18)*100)),MIN(Metodologia_v4!$B$9,MAX(Metodologia_v4!$B$8,(Indicadores_v4!$G18-Dados_Ajustados_v4!T18)/(Indicadores_v4!$G18-Indicadores_v4!$F18)*100))))</f>
        <v/>
      </c>
    </row>
    <row r="19">
      <c r="A19" s="5" t="inlineStr">
        <is>
          <t>HUM01</t>
        </is>
      </c>
      <c r="B19" s="5" t="inlineStr">
        <is>
          <t>3. Capital Humano</t>
        </is>
      </c>
      <c r="C19" s="5" t="inlineStr">
        <is>
          <t>Índice de Desenvolvimento Humano</t>
        </is>
      </c>
      <c r="D19" s="5">
        <f>Indicadores_v4!J19</f>
        <v/>
      </c>
      <c r="E19" s="5">
        <f>Indicadores_v4!I19</f>
        <v/>
      </c>
      <c r="F19" s="5">
        <f>COUNT(H19:R19)&amp;"/"&amp;COUNTA(H$4:R$4)</f>
        <v/>
      </c>
      <c r="G19" s="5" t="inlineStr">
        <is>
          <t>Min/max/sentido vêm de Indicadores_v4</t>
        </is>
      </c>
      <c r="H19" s="9">
        <f>IF(Dados_Ajustados_v4!J19="","",IF(Indicadores_v4!$E19="+",MIN(Metodologia_v4!$B$9,MAX(Metodologia_v4!$B$8,(Dados_Ajustados_v4!J19-Indicadores_v4!$F19)/(Indicadores_v4!$G19-Indicadores_v4!$F19)*100)),MIN(Metodologia_v4!$B$9,MAX(Metodologia_v4!$B$8,(Indicadores_v4!$G19-Dados_Ajustados_v4!J19)/(Indicadores_v4!$G19-Indicadores_v4!$F19)*100))))</f>
        <v/>
      </c>
      <c r="I19" s="9">
        <f>IF(Dados_Ajustados_v4!K19="","",IF(Indicadores_v4!$E19="+",MIN(Metodologia_v4!$B$9,MAX(Metodologia_v4!$B$8,(Dados_Ajustados_v4!K19-Indicadores_v4!$F19)/(Indicadores_v4!$G19-Indicadores_v4!$F19)*100)),MIN(Metodologia_v4!$B$9,MAX(Metodologia_v4!$B$8,(Indicadores_v4!$G19-Dados_Ajustados_v4!K19)/(Indicadores_v4!$G19-Indicadores_v4!$F19)*100))))</f>
        <v/>
      </c>
      <c r="J19" s="9">
        <f>IF(Dados_Ajustados_v4!L19="","",IF(Indicadores_v4!$E19="+",MIN(Metodologia_v4!$B$9,MAX(Metodologia_v4!$B$8,(Dados_Ajustados_v4!L19-Indicadores_v4!$F19)/(Indicadores_v4!$G19-Indicadores_v4!$F19)*100)),MIN(Metodologia_v4!$B$9,MAX(Metodologia_v4!$B$8,(Indicadores_v4!$G19-Dados_Ajustados_v4!L19)/(Indicadores_v4!$G19-Indicadores_v4!$F19)*100))))</f>
        <v/>
      </c>
      <c r="K19" s="9">
        <f>IF(Dados_Ajustados_v4!M19="","",IF(Indicadores_v4!$E19="+",MIN(Metodologia_v4!$B$9,MAX(Metodologia_v4!$B$8,(Dados_Ajustados_v4!M19-Indicadores_v4!$F19)/(Indicadores_v4!$G19-Indicadores_v4!$F19)*100)),MIN(Metodologia_v4!$B$9,MAX(Metodologia_v4!$B$8,(Indicadores_v4!$G19-Dados_Ajustados_v4!M19)/(Indicadores_v4!$G19-Indicadores_v4!$F19)*100))))</f>
        <v/>
      </c>
      <c r="L19" s="9">
        <f>IF(Dados_Ajustados_v4!N19="","",IF(Indicadores_v4!$E19="+",MIN(Metodologia_v4!$B$9,MAX(Metodologia_v4!$B$8,(Dados_Ajustados_v4!N19-Indicadores_v4!$F19)/(Indicadores_v4!$G19-Indicadores_v4!$F19)*100)),MIN(Metodologia_v4!$B$9,MAX(Metodologia_v4!$B$8,(Indicadores_v4!$G19-Dados_Ajustados_v4!N19)/(Indicadores_v4!$G19-Indicadores_v4!$F19)*100))))</f>
        <v/>
      </c>
      <c r="M19" s="9">
        <f>IF(Dados_Ajustados_v4!O19="","",IF(Indicadores_v4!$E19="+",MIN(Metodologia_v4!$B$9,MAX(Metodologia_v4!$B$8,(Dados_Ajustados_v4!O19-Indicadores_v4!$F19)/(Indicadores_v4!$G19-Indicadores_v4!$F19)*100)),MIN(Metodologia_v4!$B$9,MAX(Metodologia_v4!$B$8,(Indicadores_v4!$G19-Dados_Ajustados_v4!O19)/(Indicadores_v4!$G19-Indicadores_v4!$F19)*100))))</f>
        <v/>
      </c>
      <c r="N19" s="9">
        <f>IF(Dados_Ajustados_v4!P19="","",IF(Indicadores_v4!$E19="+",MIN(Metodologia_v4!$B$9,MAX(Metodologia_v4!$B$8,(Dados_Ajustados_v4!P19-Indicadores_v4!$F19)/(Indicadores_v4!$G19-Indicadores_v4!$F19)*100)),MIN(Metodologia_v4!$B$9,MAX(Metodologia_v4!$B$8,(Indicadores_v4!$G19-Dados_Ajustados_v4!P19)/(Indicadores_v4!$G19-Indicadores_v4!$F19)*100))))</f>
        <v/>
      </c>
      <c r="O19" s="9">
        <f>IF(Dados_Ajustados_v4!Q19="","",IF(Indicadores_v4!$E19="+",MIN(Metodologia_v4!$B$9,MAX(Metodologia_v4!$B$8,(Dados_Ajustados_v4!Q19-Indicadores_v4!$F19)/(Indicadores_v4!$G19-Indicadores_v4!$F19)*100)),MIN(Metodologia_v4!$B$9,MAX(Metodologia_v4!$B$8,(Indicadores_v4!$G19-Dados_Ajustados_v4!Q19)/(Indicadores_v4!$G19-Indicadores_v4!$F19)*100))))</f>
        <v/>
      </c>
      <c r="P19" s="9">
        <f>IF(Dados_Ajustados_v4!R19="","",IF(Indicadores_v4!$E19="+",MIN(Metodologia_v4!$B$9,MAX(Metodologia_v4!$B$8,(Dados_Ajustados_v4!R19-Indicadores_v4!$F19)/(Indicadores_v4!$G19-Indicadores_v4!$F19)*100)),MIN(Metodologia_v4!$B$9,MAX(Metodologia_v4!$B$8,(Indicadores_v4!$G19-Dados_Ajustados_v4!R19)/(Indicadores_v4!$G19-Indicadores_v4!$F19)*100))))</f>
        <v/>
      </c>
      <c r="Q19" s="9">
        <f>IF(Dados_Ajustados_v4!S19="","",IF(Indicadores_v4!$E19="+",MIN(Metodologia_v4!$B$9,MAX(Metodologia_v4!$B$8,(Dados_Ajustados_v4!S19-Indicadores_v4!$F19)/(Indicadores_v4!$G19-Indicadores_v4!$F19)*100)),MIN(Metodologia_v4!$B$9,MAX(Metodologia_v4!$B$8,(Indicadores_v4!$G19-Dados_Ajustados_v4!S19)/(Indicadores_v4!$G19-Indicadores_v4!$F19)*100))))</f>
        <v/>
      </c>
      <c r="R19" s="9">
        <f>IF(Dados_Ajustados_v4!T19="","",IF(Indicadores_v4!$E19="+",MIN(Metodologia_v4!$B$9,MAX(Metodologia_v4!$B$8,(Dados_Ajustados_v4!T19-Indicadores_v4!$F19)/(Indicadores_v4!$G19-Indicadores_v4!$F19)*100)),MIN(Metodologia_v4!$B$9,MAX(Metodologia_v4!$B$8,(Indicadores_v4!$G19-Dados_Ajustados_v4!T19)/(Indicadores_v4!$G19-Indicadores_v4!$F19)*100))))</f>
        <v/>
      </c>
    </row>
    <row r="20">
      <c r="A20" s="5" t="inlineStr">
        <is>
          <t>HUM02</t>
        </is>
      </c>
      <c r="B20" s="5" t="inlineStr">
        <is>
          <t>3. Capital Humano</t>
        </is>
      </c>
      <c r="C20" s="5" t="inlineStr">
        <is>
          <t>Esperança de vida à nascença</t>
        </is>
      </c>
      <c r="D20" s="5">
        <f>Indicadores_v4!J20</f>
        <v/>
      </c>
      <c r="E20" s="5">
        <f>Indicadores_v4!I20</f>
        <v/>
      </c>
      <c r="F20" s="5">
        <f>COUNT(H20:R20)&amp;"/"&amp;COUNTA(H$4:R$4)</f>
        <v/>
      </c>
      <c r="G20" s="5" t="inlineStr">
        <is>
          <t>Min/max/sentido vêm de Indicadores_v4</t>
        </is>
      </c>
      <c r="H20" s="9">
        <f>IF(Dados_Ajustados_v4!J20="","",IF(Indicadores_v4!$E20="+",MIN(Metodologia_v4!$B$9,MAX(Metodologia_v4!$B$8,(Dados_Ajustados_v4!J20-Indicadores_v4!$F20)/(Indicadores_v4!$G20-Indicadores_v4!$F20)*100)),MIN(Metodologia_v4!$B$9,MAX(Metodologia_v4!$B$8,(Indicadores_v4!$G20-Dados_Ajustados_v4!J20)/(Indicadores_v4!$G20-Indicadores_v4!$F20)*100))))</f>
        <v/>
      </c>
      <c r="I20" s="9">
        <f>IF(Dados_Ajustados_v4!K20="","",IF(Indicadores_v4!$E20="+",MIN(Metodologia_v4!$B$9,MAX(Metodologia_v4!$B$8,(Dados_Ajustados_v4!K20-Indicadores_v4!$F20)/(Indicadores_v4!$G20-Indicadores_v4!$F20)*100)),MIN(Metodologia_v4!$B$9,MAX(Metodologia_v4!$B$8,(Indicadores_v4!$G20-Dados_Ajustados_v4!K20)/(Indicadores_v4!$G20-Indicadores_v4!$F20)*100))))</f>
        <v/>
      </c>
      <c r="J20" s="9">
        <f>IF(Dados_Ajustados_v4!L20="","",IF(Indicadores_v4!$E20="+",MIN(Metodologia_v4!$B$9,MAX(Metodologia_v4!$B$8,(Dados_Ajustados_v4!L20-Indicadores_v4!$F20)/(Indicadores_v4!$G20-Indicadores_v4!$F20)*100)),MIN(Metodologia_v4!$B$9,MAX(Metodologia_v4!$B$8,(Indicadores_v4!$G20-Dados_Ajustados_v4!L20)/(Indicadores_v4!$G20-Indicadores_v4!$F20)*100))))</f>
        <v/>
      </c>
      <c r="K20" s="9">
        <f>IF(Dados_Ajustados_v4!M20="","",IF(Indicadores_v4!$E20="+",MIN(Metodologia_v4!$B$9,MAX(Metodologia_v4!$B$8,(Dados_Ajustados_v4!M20-Indicadores_v4!$F20)/(Indicadores_v4!$G20-Indicadores_v4!$F20)*100)),MIN(Metodologia_v4!$B$9,MAX(Metodologia_v4!$B$8,(Indicadores_v4!$G20-Dados_Ajustados_v4!M20)/(Indicadores_v4!$G20-Indicadores_v4!$F20)*100))))</f>
        <v/>
      </c>
      <c r="L20" s="9">
        <f>IF(Dados_Ajustados_v4!N20="","",IF(Indicadores_v4!$E20="+",MIN(Metodologia_v4!$B$9,MAX(Metodologia_v4!$B$8,(Dados_Ajustados_v4!N20-Indicadores_v4!$F20)/(Indicadores_v4!$G20-Indicadores_v4!$F20)*100)),MIN(Metodologia_v4!$B$9,MAX(Metodologia_v4!$B$8,(Indicadores_v4!$G20-Dados_Ajustados_v4!N20)/(Indicadores_v4!$G20-Indicadores_v4!$F20)*100))))</f>
        <v/>
      </c>
      <c r="M20" s="9">
        <f>IF(Dados_Ajustados_v4!O20="","",IF(Indicadores_v4!$E20="+",MIN(Metodologia_v4!$B$9,MAX(Metodologia_v4!$B$8,(Dados_Ajustados_v4!O20-Indicadores_v4!$F20)/(Indicadores_v4!$G20-Indicadores_v4!$F20)*100)),MIN(Metodologia_v4!$B$9,MAX(Metodologia_v4!$B$8,(Indicadores_v4!$G20-Dados_Ajustados_v4!O20)/(Indicadores_v4!$G20-Indicadores_v4!$F20)*100))))</f>
        <v/>
      </c>
      <c r="N20" s="9">
        <f>IF(Dados_Ajustados_v4!P20="","",IF(Indicadores_v4!$E20="+",MIN(Metodologia_v4!$B$9,MAX(Metodologia_v4!$B$8,(Dados_Ajustados_v4!P20-Indicadores_v4!$F20)/(Indicadores_v4!$G20-Indicadores_v4!$F20)*100)),MIN(Metodologia_v4!$B$9,MAX(Metodologia_v4!$B$8,(Indicadores_v4!$G20-Dados_Ajustados_v4!P20)/(Indicadores_v4!$G20-Indicadores_v4!$F20)*100))))</f>
        <v/>
      </c>
      <c r="O20" s="9">
        <f>IF(Dados_Ajustados_v4!Q20="","",IF(Indicadores_v4!$E20="+",MIN(Metodologia_v4!$B$9,MAX(Metodologia_v4!$B$8,(Dados_Ajustados_v4!Q20-Indicadores_v4!$F20)/(Indicadores_v4!$G20-Indicadores_v4!$F20)*100)),MIN(Metodologia_v4!$B$9,MAX(Metodologia_v4!$B$8,(Indicadores_v4!$G20-Dados_Ajustados_v4!Q20)/(Indicadores_v4!$G20-Indicadores_v4!$F20)*100))))</f>
        <v/>
      </c>
      <c r="P20" s="9">
        <f>IF(Dados_Ajustados_v4!R20="","",IF(Indicadores_v4!$E20="+",MIN(Metodologia_v4!$B$9,MAX(Metodologia_v4!$B$8,(Dados_Ajustados_v4!R20-Indicadores_v4!$F20)/(Indicadores_v4!$G20-Indicadores_v4!$F20)*100)),MIN(Metodologia_v4!$B$9,MAX(Metodologia_v4!$B$8,(Indicadores_v4!$G20-Dados_Ajustados_v4!R20)/(Indicadores_v4!$G20-Indicadores_v4!$F20)*100))))</f>
        <v/>
      </c>
      <c r="Q20" s="9">
        <f>IF(Dados_Ajustados_v4!S20="","",IF(Indicadores_v4!$E20="+",MIN(Metodologia_v4!$B$9,MAX(Metodologia_v4!$B$8,(Dados_Ajustados_v4!S20-Indicadores_v4!$F20)/(Indicadores_v4!$G20-Indicadores_v4!$F20)*100)),MIN(Metodologia_v4!$B$9,MAX(Metodologia_v4!$B$8,(Indicadores_v4!$G20-Dados_Ajustados_v4!S20)/(Indicadores_v4!$G20-Indicadores_v4!$F20)*100))))</f>
        <v/>
      </c>
      <c r="R20" s="9">
        <f>IF(Dados_Ajustados_v4!T20="","",IF(Indicadores_v4!$E20="+",MIN(Metodologia_v4!$B$9,MAX(Metodologia_v4!$B$8,(Dados_Ajustados_v4!T20-Indicadores_v4!$F20)/(Indicadores_v4!$G20-Indicadores_v4!$F20)*100)),MIN(Metodologia_v4!$B$9,MAX(Metodologia_v4!$B$8,(Indicadores_v4!$G20-Dados_Ajustados_v4!T20)/(Indicadores_v4!$G20-Indicadores_v4!$F20)*100))))</f>
        <v/>
      </c>
    </row>
    <row r="21">
      <c r="A21" s="5" t="inlineStr">
        <is>
          <t>HUM03</t>
        </is>
      </c>
      <c r="B21" s="5" t="inlineStr">
        <is>
          <t>3. Capital Humano</t>
        </is>
      </c>
      <c r="C21" s="5" t="inlineStr">
        <is>
          <t>Alfabetização adulta</t>
        </is>
      </c>
      <c r="D21" s="5">
        <f>Indicadores_v4!J21</f>
        <v/>
      </c>
      <c r="E21" s="5">
        <f>Indicadores_v4!I21</f>
        <v/>
      </c>
      <c r="F21" s="5">
        <f>COUNT(H21:R21)&amp;"/"&amp;COUNTA(H$4:R$4)</f>
        <v/>
      </c>
      <c r="G21" s="5" t="inlineStr">
        <is>
          <t>Min/max/sentido vêm de Indicadores_v4</t>
        </is>
      </c>
      <c r="H21" s="9">
        <f>IF(Dados_Ajustados_v4!J21="","",IF(Indicadores_v4!$E21="+",MIN(Metodologia_v4!$B$9,MAX(Metodologia_v4!$B$8,(Dados_Ajustados_v4!J21-Indicadores_v4!$F21)/(Indicadores_v4!$G21-Indicadores_v4!$F21)*100)),MIN(Metodologia_v4!$B$9,MAX(Metodologia_v4!$B$8,(Indicadores_v4!$G21-Dados_Ajustados_v4!J21)/(Indicadores_v4!$G21-Indicadores_v4!$F21)*100))))</f>
        <v/>
      </c>
      <c r="I21" s="9">
        <f>IF(Dados_Ajustados_v4!K21="","",IF(Indicadores_v4!$E21="+",MIN(Metodologia_v4!$B$9,MAX(Metodologia_v4!$B$8,(Dados_Ajustados_v4!K21-Indicadores_v4!$F21)/(Indicadores_v4!$G21-Indicadores_v4!$F21)*100)),MIN(Metodologia_v4!$B$9,MAX(Metodologia_v4!$B$8,(Indicadores_v4!$G21-Dados_Ajustados_v4!K21)/(Indicadores_v4!$G21-Indicadores_v4!$F21)*100))))</f>
        <v/>
      </c>
      <c r="J21" s="9">
        <f>IF(Dados_Ajustados_v4!L21="","",IF(Indicadores_v4!$E21="+",MIN(Metodologia_v4!$B$9,MAX(Metodologia_v4!$B$8,(Dados_Ajustados_v4!L21-Indicadores_v4!$F21)/(Indicadores_v4!$G21-Indicadores_v4!$F21)*100)),MIN(Metodologia_v4!$B$9,MAX(Metodologia_v4!$B$8,(Indicadores_v4!$G21-Dados_Ajustados_v4!L21)/(Indicadores_v4!$G21-Indicadores_v4!$F21)*100))))</f>
        <v/>
      </c>
      <c r="K21" s="9">
        <f>IF(Dados_Ajustados_v4!M21="","",IF(Indicadores_v4!$E21="+",MIN(Metodologia_v4!$B$9,MAX(Metodologia_v4!$B$8,(Dados_Ajustados_v4!M21-Indicadores_v4!$F21)/(Indicadores_v4!$G21-Indicadores_v4!$F21)*100)),MIN(Metodologia_v4!$B$9,MAX(Metodologia_v4!$B$8,(Indicadores_v4!$G21-Dados_Ajustados_v4!M21)/(Indicadores_v4!$G21-Indicadores_v4!$F21)*100))))</f>
        <v/>
      </c>
      <c r="L21" s="9">
        <f>IF(Dados_Ajustados_v4!N21="","",IF(Indicadores_v4!$E21="+",MIN(Metodologia_v4!$B$9,MAX(Metodologia_v4!$B$8,(Dados_Ajustados_v4!N21-Indicadores_v4!$F21)/(Indicadores_v4!$G21-Indicadores_v4!$F21)*100)),MIN(Metodologia_v4!$B$9,MAX(Metodologia_v4!$B$8,(Indicadores_v4!$G21-Dados_Ajustados_v4!N21)/(Indicadores_v4!$G21-Indicadores_v4!$F21)*100))))</f>
        <v/>
      </c>
      <c r="M21" s="9">
        <f>IF(Dados_Ajustados_v4!O21="","",IF(Indicadores_v4!$E21="+",MIN(Metodologia_v4!$B$9,MAX(Metodologia_v4!$B$8,(Dados_Ajustados_v4!O21-Indicadores_v4!$F21)/(Indicadores_v4!$G21-Indicadores_v4!$F21)*100)),MIN(Metodologia_v4!$B$9,MAX(Metodologia_v4!$B$8,(Indicadores_v4!$G21-Dados_Ajustados_v4!O21)/(Indicadores_v4!$G21-Indicadores_v4!$F21)*100))))</f>
        <v/>
      </c>
      <c r="N21" s="9">
        <f>IF(Dados_Ajustados_v4!P21="","",IF(Indicadores_v4!$E21="+",MIN(Metodologia_v4!$B$9,MAX(Metodologia_v4!$B$8,(Dados_Ajustados_v4!P21-Indicadores_v4!$F21)/(Indicadores_v4!$G21-Indicadores_v4!$F21)*100)),MIN(Metodologia_v4!$B$9,MAX(Metodologia_v4!$B$8,(Indicadores_v4!$G21-Dados_Ajustados_v4!P21)/(Indicadores_v4!$G21-Indicadores_v4!$F21)*100))))</f>
        <v/>
      </c>
      <c r="O21" s="9">
        <f>IF(Dados_Ajustados_v4!Q21="","",IF(Indicadores_v4!$E21="+",MIN(Metodologia_v4!$B$9,MAX(Metodologia_v4!$B$8,(Dados_Ajustados_v4!Q21-Indicadores_v4!$F21)/(Indicadores_v4!$G21-Indicadores_v4!$F21)*100)),MIN(Metodologia_v4!$B$9,MAX(Metodologia_v4!$B$8,(Indicadores_v4!$G21-Dados_Ajustados_v4!Q21)/(Indicadores_v4!$G21-Indicadores_v4!$F21)*100))))</f>
        <v/>
      </c>
      <c r="P21" s="9">
        <f>IF(Dados_Ajustados_v4!R21="","",IF(Indicadores_v4!$E21="+",MIN(Metodologia_v4!$B$9,MAX(Metodologia_v4!$B$8,(Dados_Ajustados_v4!R21-Indicadores_v4!$F21)/(Indicadores_v4!$G21-Indicadores_v4!$F21)*100)),MIN(Metodologia_v4!$B$9,MAX(Metodologia_v4!$B$8,(Indicadores_v4!$G21-Dados_Ajustados_v4!R21)/(Indicadores_v4!$G21-Indicadores_v4!$F21)*100))))</f>
        <v/>
      </c>
      <c r="Q21" s="9">
        <f>IF(Dados_Ajustados_v4!S21="","",IF(Indicadores_v4!$E21="+",MIN(Metodologia_v4!$B$9,MAX(Metodologia_v4!$B$8,(Dados_Ajustados_v4!S21-Indicadores_v4!$F21)/(Indicadores_v4!$G21-Indicadores_v4!$F21)*100)),MIN(Metodologia_v4!$B$9,MAX(Metodologia_v4!$B$8,(Indicadores_v4!$G21-Dados_Ajustados_v4!S21)/(Indicadores_v4!$G21-Indicadores_v4!$F21)*100))))</f>
        <v/>
      </c>
      <c r="R21" s="9">
        <f>IF(Dados_Ajustados_v4!T21="","",IF(Indicadores_v4!$E21="+",MIN(Metodologia_v4!$B$9,MAX(Metodologia_v4!$B$8,(Dados_Ajustados_v4!T21-Indicadores_v4!$F21)/(Indicadores_v4!$G21-Indicadores_v4!$F21)*100)),MIN(Metodologia_v4!$B$9,MAX(Metodologia_v4!$B$8,(Indicadores_v4!$G21-Dados_Ajustados_v4!T21)/(Indicadores_v4!$G21-Indicadores_v4!$F21)*100))))</f>
        <v/>
      </c>
    </row>
    <row r="22">
      <c r="A22" s="5" t="inlineStr">
        <is>
          <t>HUM04</t>
        </is>
      </c>
      <c r="B22" s="5" t="inlineStr">
        <is>
          <t>3. Capital Humano</t>
        </is>
      </c>
      <c r="C22" s="5" t="inlineStr">
        <is>
          <t>Conclusão do ensino primário</t>
        </is>
      </c>
      <c r="D22" s="5">
        <f>Indicadores_v4!J22</f>
        <v/>
      </c>
      <c r="E22" s="5">
        <f>Indicadores_v4!I22</f>
        <v/>
      </c>
      <c r="F22" s="5">
        <f>COUNT(H22:R22)&amp;"/"&amp;COUNTA(H$4:R$4)</f>
        <v/>
      </c>
      <c r="G22" s="5" t="inlineStr">
        <is>
          <t>Min/max/sentido vêm de Indicadores_v4</t>
        </is>
      </c>
      <c r="H22" s="9">
        <f>IF(Dados_Ajustados_v4!J22="","",IF(Indicadores_v4!$E22="+",MIN(Metodologia_v4!$B$9,MAX(Metodologia_v4!$B$8,(Dados_Ajustados_v4!J22-Indicadores_v4!$F22)/(Indicadores_v4!$G22-Indicadores_v4!$F22)*100)),MIN(Metodologia_v4!$B$9,MAX(Metodologia_v4!$B$8,(Indicadores_v4!$G22-Dados_Ajustados_v4!J22)/(Indicadores_v4!$G22-Indicadores_v4!$F22)*100))))</f>
        <v/>
      </c>
      <c r="I22" s="9">
        <f>IF(Dados_Ajustados_v4!K22="","",IF(Indicadores_v4!$E22="+",MIN(Metodologia_v4!$B$9,MAX(Metodologia_v4!$B$8,(Dados_Ajustados_v4!K22-Indicadores_v4!$F22)/(Indicadores_v4!$G22-Indicadores_v4!$F22)*100)),MIN(Metodologia_v4!$B$9,MAX(Metodologia_v4!$B$8,(Indicadores_v4!$G22-Dados_Ajustados_v4!K22)/(Indicadores_v4!$G22-Indicadores_v4!$F22)*100))))</f>
        <v/>
      </c>
      <c r="J22" s="9">
        <f>IF(Dados_Ajustados_v4!L22="","",IF(Indicadores_v4!$E22="+",MIN(Metodologia_v4!$B$9,MAX(Metodologia_v4!$B$8,(Dados_Ajustados_v4!L22-Indicadores_v4!$F22)/(Indicadores_v4!$G22-Indicadores_v4!$F22)*100)),MIN(Metodologia_v4!$B$9,MAX(Metodologia_v4!$B$8,(Indicadores_v4!$G22-Dados_Ajustados_v4!L22)/(Indicadores_v4!$G22-Indicadores_v4!$F22)*100))))</f>
        <v/>
      </c>
      <c r="K22" s="9">
        <f>IF(Dados_Ajustados_v4!M22="","",IF(Indicadores_v4!$E22="+",MIN(Metodologia_v4!$B$9,MAX(Metodologia_v4!$B$8,(Dados_Ajustados_v4!M22-Indicadores_v4!$F22)/(Indicadores_v4!$G22-Indicadores_v4!$F22)*100)),MIN(Metodologia_v4!$B$9,MAX(Metodologia_v4!$B$8,(Indicadores_v4!$G22-Dados_Ajustados_v4!M22)/(Indicadores_v4!$G22-Indicadores_v4!$F22)*100))))</f>
        <v/>
      </c>
      <c r="L22" s="9">
        <f>IF(Dados_Ajustados_v4!N22="","",IF(Indicadores_v4!$E22="+",MIN(Metodologia_v4!$B$9,MAX(Metodologia_v4!$B$8,(Dados_Ajustados_v4!N22-Indicadores_v4!$F22)/(Indicadores_v4!$G22-Indicadores_v4!$F22)*100)),MIN(Metodologia_v4!$B$9,MAX(Metodologia_v4!$B$8,(Indicadores_v4!$G22-Dados_Ajustados_v4!N22)/(Indicadores_v4!$G22-Indicadores_v4!$F22)*100))))</f>
        <v/>
      </c>
      <c r="M22" s="9">
        <f>IF(Dados_Ajustados_v4!O22="","",IF(Indicadores_v4!$E22="+",MIN(Metodologia_v4!$B$9,MAX(Metodologia_v4!$B$8,(Dados_Ajustados_v4!O22-Indicadores_v4!$F22)/(Indicadores_v4!$G22-Indicadores_v4!$F22)*100)),MIN(Metodologia_v4!$B$9,MAX(Metodologia_v4!$B$8,(Indicadores_v4!$G22-Dados_Ajustados_v4!O22)/(Indicadores_v4!$G22-Indicadores_v4!$F22)*100))))</f>
        <v/>
      </c>
      <c r="N22" s="9">
        <f>IF(Dados_Ajustados_v4!P22="","",IF(Indicadores_v4!$E22="+",MIN(Metodologia_v4!$B$9,MAX(Metodologia_v4!$B$8,(Dados_Ajustados_v4!P22-Indicadores_v4!$F22)/(Indicadores_v4!$G22-Indicadores_v4!$F22)*100)),MIN(Metodologia_v4!$B$9,MAX(Metodologia_v4!$B$8,(Indicadores_v4!$G22-Dados_Ajustados_v4!P22)/(Indicadores_v4!$G22-Indicadores_v4!$F22)*100))))</f>
        <v/>
      </c>
      <c r="O22" s="9">
        <f>IF(Dados_Ajustados_v4!Q22="","",IF(Indicadores_v4!$E22="+",MIN(Metodologia_v4!$B$9,MAX(Metodologia_v4!$B$8,(Dados_Ajustados_v4!Q22-Indicadores_v4!$F22)/(Indicadores_v4!$G22-Indicadores_v4!$F22)*100)),MIN(Metodologia_v4!$B$9,MAX(Metodologia_v4!$B$8,(Indicadores_v4!$G22-Dados_Ajustados_v4!Q22)/(Indicadores_v4!$G22-Indicadores_v4!$F22)*100))))</f>
        <v/>
      </c>
      <c r="P22" s="9">
        <f>IF(Dados_Ajustados_v4!R22="","",IF(Indicadores_v4!$E22="+",MIN(Metodologia_v4!$B$9,MAX(Metodologia_v4!$B$8,(Dados_Ajustados_v4!R22-Indicadores_v4!$F22)/(Indicadores_v4!$G22-Indicadores_v4!$F22)*100)),MIN(Metodologia_v4!$B$9,MAX(Metodologia_v4!$B$8,(Indicadores_v4!$G22-Dados_Ajustados_v4!R22)/(Indicadores_v4!$G22-Indicadores_v4!$F22)*100))))</f>
        <v/>
      </c>
      <c r="Q22" s="9">
        <f>IF(Dados_Ajustados_v4!S22="","",IF(Indicadores_v4!$E22="+",MIN(Metodologia_v4!$B$9,MAX(Metodologia_v4!$B$8,(Dados_Ajustados_v4!S22-Indicadores_v4!$F22)/(Indicadores_v4!$G22-Indicadores_v4!$F22)*100)),MIN(Metodologia_v4!$B$9,MAX(Metodologia_v4!$B$8,(Indicadores_v4!$G22-Dados_Ajustados_v4!S22)/(Indicadores_v4!$G22-Indicadores_v4!$F22)*100))))</f>
        <v/>
      </c>
      <c r="R22" s="9">
        <f>IF(Dados_Ajustados_v4!T22="","",IF(Indicadores_v4!$E22="+",MIN(Metodologia_v4!$B$9,MAX(Metodologia_v4!$B$8,(Dados_Ajustados_v4!T22-Indicadores_v4!$F22)/(Indicadores_v4!$G22-Indicadores_v4!$F22)*100)),MIN(Metodologia_v4!$B$9,MAX(Metodologia_v4!$B$8,(Indicadores_v4!$G22-Dados_Ajustados_v4!T22)/(Indicadores_v4!$G22-Indicadores_v4!$F22)*100))))</f>
        <v/>
      </c>
    </row>
    <row r="23">
      <c r="A23" s="5" t="inlineStr">
        <is>
          <t>HUM05</t>
        </is>
      </c>
      <c r="B23" s="5" t="inlineStr">
        <is>
          <t>3. Capital Humano</t>
        </is>
      </c>
      <c r="C23" s="5" t="inlineStr">
        <is>
          <t>Matrícula no ensino secundário</t>
        </is>
      </c>
      <c r="D23" s="5">
        <f>Indicadores_v4!J23</f>
        <v/>
      </c>
      <c r="E23" s="5">
        <f>Indicadores_v4!I23</f>
        <v/>
      </c>
      <c r="F23" s="5">
        <f>COUNT(H23:R23)&amp;"/"&amp;COUNTA(H$4:R$4)</f>
        <v/>
      </c>
      <c r="G23" s="5" t="inlineStr">
        <is>
          <t>Min/max/sentido vêm de Indicadores_v4</t>
        </is>
      </c>
      <c r="H23" s="9">
        <f>IF(Dados_Ajustados_v4!J23="","",IF(Indicadores_v4!$E23="+",MIN(Metodologia_v4!$B$9,MAX(Metodologia_v4!$B$8,(Dados_Ajustados_v4!J23-Indicadores_v4!$F23)/(Indicadores_v4!$G23-Indicadores_v4!$F23)*100)),MIN(Metodologia_v4!$B$9,MAX(Metodologia_v4!$B$8,(Indicadores_v4!$G23-Dados_Ajustados_v4!J23)/(Indicadores_v4!$G23-Indicadores_v4!$F23)*100))))</f>
        <v/>
      </c>
      <c r="I23" s="9">
        <f>IF(Dados_Ajustados_v4!K23="","",IF(Indicadores_v4!$E23="+",MIN(Metodologia_v4!$B$9,MAX(Metodologia_v4!$B$8,(Dados_Ajustados_v4!K23-Indicadores_v4!$F23)/(Indicadores_v4!$G23-Indicadores_v4!$F23)*100)),MIN(Metodologia_v4!$B$9,MAX(Metodologia_v4!$B$8,(Indicadores_v4!$G23-Dados_Ajustados_v4!K23)/(Indicadores_v4!$G23-Indicadores_v4!$F23)*100))))</f>
        <v/>
      </c>
      <c r="J23" s="9">
        <f>IF(Dados_Ajustados_v4!L23="","",IF(Indicadores_v4!$E23="+",MIN(Metodologia_v4!$B$9,MAX(Metodologia_v4!$B$8,(Dados_Ajustados_v4!L23-Indicadores_v4!$F23)/(Indicadores_v4!$G23-Indicadores_v4!$F23)*100)),MIN(Metodologia_v4!$B$9,MAX(Metodologia_v4!$B$8,(Indicadores_v4!$G23-Dados_Ajustados_v4!L23)/(Indicadores_v4!$G23-Indicadores_v4!$F23)*100))))</f>
        <v/>
      </c>
      <c r="K23" s="9">
        <f>IF(Dados_Ajustados_v4!M23="","",IF(Indicadores_v4!$E23="+",MIN(Metodologia_v4!$B$9,MAX(Metodologia_v4!$B$8,(Dados_Ajustados_v4!M23-Indicadores_v4!$F23)/(Indicadores_v4!$G23-Indicadores_v4!$F23)*100)),MIN(Metodologia_v4!$B$9,MAX(Metodologia_v4!$B$8,(Indicadores_v4!$G23-Dados_Ajustados_v4!M23)/(Indicadores_v4!$G23-Indicadores_v4!$F23)*100))))</f>
        <v/>
      </c>
      <c r="L23" s="9">
        <f>IF(Dados_Ajustados_v4!N23="","",IF(Indicadores_v4!$E23="+",MIN(Metodologia_v4!$B$9,MAX(Metodologia_v4!$B$8,(Dados_Ajustados_v4!N23-Indicadores_v4!$F23)/(Indicadores_v4!$G23-Indicadores_v4!$F23)*100)),MIN(Metodologia_v4!$B$9,MAX(Metodologia_v4!$B$8,(Indicadores_v4!$G23-Dados_Ajustados_v4!N23)/(Indicadores_v4!$G23-Indicadores_v4!$F23)*100))))</f>
        <v/>
      </c>
      <c r="M23" s="9">
        <f>IF(Dados_Ajustados_v4!O23="","",IF(Indicadores_v4!$E23="+",MIN(Metodologia_v4!$B$9,MAX(Metodologia_v4!$B$8,(Dados_Ajustados_v4!O23-Indicadores_v4!$F23)/(Indicadores_v4!$G23-Indicadores_v4!$F23)*100)),MIN(Metodologia_v4!$B$9,MAX(Metodologia_v4!$B$8,(Indicadores_v4!$G23-Dados_Ajustados_v4!O23)/(Indicadores_v4!$G23-Indicadores_v4!$F23)*100))))</f>
        <v/>
      </c>
      <c r="N23" s="9">
        <f>IF(Dados_Ajustados_v4!P23="","",IF(Indicadores_v4!$E23="+",MIN(Metodologia_v4!$B$9,MAX(Metodologia_v4!$B$8,(Dados_Ajustados_v4!P23-Indicadores_v4!$F23)/(Indicadores_v4!$G23-Indicadores_v4!$F23)*100)),MIN(Metodologia_v4!$B$9,MAX(Metodologia_v4!$B$8,(Indicadores_v4!$G23-Dados_Ajustados_v4!P23)/(Indicadores_v4!$G23-Indicadores_v4!$F23)*100))))</f>
        <v/>
      </c>
      <c r="O23" s="9">
        <f>IF(Dados_Ajustados_v4!Q23="","",IF(Indicadores_v4!$E23="+",MIN(Metodologia_v4!$B$9,MAX(Metodologia_v4!$B$8,(Dados_Ajustados_v4!Q23-Indicadores_v4!$F23)/(Indicadores_v4!$G23-Indicadores_v4!$F23)*100)),MIN(Metodologia_v4!$B$9,MAX(Metodologia_v4!$B$8,(Indicadores_v4!$G23-Dados_Ajustados_v4!Q23)/(Indicadores_v4!$G23-Indicadores_v4!$F23)*100))))</f>
        <v/>
      </c>
      <c r="P23" s="9">
        <f>IF(Dados_Ajustados_v4!R23="","",IF(Indicadores_v4!$E23="+",MIN(Metodologia_v4!$B$9,MAX(Metodologia_v4!$B$8,(Dados_Ajustados_v4!R23-Indicadores_v4!$F23)/(Indicadores_v4!$G23-Indicadores_v4!$F23)*100)),MIN(Metodologia_v4!$B$9,MAX(Metodologia_v4!$B$8,(Indicadores_v4!$G23-Dados_Ajustados_v4!R23)/(Indicadores_v4!$G23-Indicadores_v4!$F23)*100))))</f>
        <v/>
      </c>
      <c r="Q23" s="9">
        <f>IF(Dados_Ajustados_v4!S23="","",IF(Indicadores_v4!$E23="+",MIN(Metodologia_v4!$B$9,MAX(Metodologia_v4!$B$8,(Dados_Ajustados_v4!S23-Indicadores_v4!$F23)/(Indicadores_v4!$G23-Indicadores_v4!$F23)*100)),MIN(Metodologia_v4!$B$9,MAX(Metodologia_v4!$B$8,(Indicadores_v4!$G23-Dados_Ajustados_v4!S23)/(Indicadores_v4!$G23-Indicadores_v4!$F23)*100))))</f>
        <v/>
      </c>
      <c r="R23" s="9">
        <f>IF(Dados_Ajustados_v4!T23="","",IF(Indicadores_v4!$E23="+",MIN(Metodologia_v4!$B$9,MAX(Metodologia_v4!$B$8,(Dados_Ajustados_v4!T23-Indicadores_v4!$F23)/(Indicadores_v4!$G23-Indicadores_v4!$F23)*100)),MIN(Metodologia_v4!$B$9,MAX(Metodologia_v4!$B$8,(Indicadores_v4!$G23-Dados_Ajustados_v4!T23)/(Indicadores_v4!$G23-Indicadores_v4!$F23)*100))))</f>
        <v/>
      </c>
    </row>
    <row r="24">
      <c r="A24" s="5" t="inlineStr">
        <is>
          <t>HUM06</t>
        </is>
      </c>
      <c r="B24" s="5" t="inlineStr">
        <is>
          <t>3. Capital Humano</t>
        </is>
      </c>
      <c r="C24" s="5" t="inlineStr">
        <is>
          <t>Despesa pública em educação</t>
        </is>
      </c>
      <c r="D24" s="5">
        <f>Indicadores_v4!J24</f>
        <v/>
      </c>
      <c r="E24" s="5">
        <f>Indicadores_v4!I24</f>
        <v/>
      </c>
      <c r="F24" s="5">
        <f>COUNT(H24:R24)&amp;"/"&amp;COUNTA(H$4:R$4)</f>
        <v/>
      </c>
      <c r="G24" s="5" t="inlineStr">
        <is>
          <t>Min/max/sentido vêm de Indicadores_v4</t>
        </is>
      </c>
      <c r="H24" s="9">
        <f>IF(Dados_Ajustados_v4!J24="","",IF(Indicadores_v4!$E24="+",MIN(Metodologia_v4!$B$9,MAX(Metodologia_v4!$B$8,(Dados_Ajustados_v4!J24-Indicadores_v4!$F24)/(Indicadores_v4!$G24-Indicadores_v4!$F24)*100)),MIN(Metodologia_v4!$B$9,MAX(Metodologia_v4!$B$8,(Indicadores_v4!$G24-Dados_Ajustados_v4!J24)/(Indicadores_v4!$G24-Indicadores_v4!$F24)*100))))</f>
        <v/>
      </c>
      <c r="I24" s="9">
        <f>IF(Dados_Ajustados_v4!K24="","",IF(Indicadores_v4!$E24="+",MIN(Metodologia_v4!$B$9,MAX(Metodologia_v4!$B$8,(Dados_Ajustados_v4!K24-Indicadores_v4!$F24)/(Indicadores_v4!$G24-Indicadores_v4!$F24)*100)),MIN(Metodologia_v4!$B$9,MAX(Metodologia_v4!$B$8,(Indicadores_v4!$G24-Dados_Ajustados_v4!K24)/(Indicadores_v4!$G24-Indicadores_v4!$F24)*100))))</f>
        <v/>
      </c>
      <c r="J24" s="9">
        <f>IF(Dados_Ajustados_v4!L24="","",IF(Indicadores_v4!$E24="+",MIN(Metodologia_v4!$B$9,MAX(Metodologia_v4!$B$8,(Dados_Ajustados_v4!L24-Indicadores_v4!$F24)/(Indicadores_v4!$G24-Indicadores_v4!$F24)*100)),MIN(Metodologia_v4!$B$9,MAX(Metodologia_v4!$B$8,(Indicadores_v4!$G24-Dados_Ajustados_v4!L24)/(Indicadores_v4!$G24-Indicadores_v4!$F24)*100))))</f>
        <v/>
      </c>
      <c r="K24" s="9">
        <f>IF(Dados_Ajustados_v4!M24="","",IF(Indicadores_v4!$E24="+",MIN(Metodologia_v4!$B$9,MAX(Metodologia_v4!$B$8,(Dados_Ajustados_v4!M24-Indicadores_v4!$F24)/(Indicadores_v4!$G24-Indicadores_v4!$F24)*100)),MIN(Metodologia_v4!$B$9,MAX(Metodologia_v4!$B$8,(Indicadores_v4!$G24-Dados_Ajustados_v4!M24)/(Indicadores_v4!$G24-Indicadores_v4!$F24)*100))))</f>
        <v/>
      </c>
      <c r="L24" s="9">
        <f>IF(Dados_Ajustados_v4!N24="","",IF(Indicadores_v4!$E24="+",MIN(Metodologia_v4!$B$9,MAX(Metodologia_v4!$B$8,(Dados_Ajustados_v4!N24-Indicadores_v4!$F24)/(Indicadores_v4!$G24-Indicadores_v4!$F24)*100)),MIN(Metodologia_v4!$B$9,MAX(Metodologia_v4!$B$8,(Indicadores_v4!$G24-Dados_Ajustados_v4!N24)/(Indicadores_v4!$G24-Indicadores_v4!$F24)*100))))</f>
        <v/>
      </c>
      <c r="M24" s="9">
        <f>IF(Dados_Ajustados_v4!O24="","",IF(Indicadores_v4!$E24="+",MIN(Metodologia_v4!$B$9,MAX(Metodologia_v4!$B$8,(Dados_Ajustados_v4!O24-Indicadores_v4!$F24)/(Indicadores_v4!$G24-Indicadores_v4!$F24)*100)),MIN(Metodologia_v4!$B$9,MAX(Metodologia_v4!$B$8,(Indicadores_v4!$G24-Dados_Ajustados_v4!O24)/(Indicadores_v4!$G24-Indicadores_v4!$F24)*100))))</f>
        <v/>
      </c>
      <c r="N24" s="9">
        <f>IF(Dados_Ajustados_v4!P24="","",IF(Indicadores_v4!$E24="+",MIN(Metodologia_v4!$B$9,MAX(Metodologia_v4!$B$8,(Dados_Ajustados_v4!P24-Indicadores_v4!$F24)/(Indicadores_v4!$G24-Indicadores_v4!$F24)*100)),MIN(Metodologia_v4!$B$9,MAX(Metodologia_v4!$B$8,(Indicadores_v4!$G24-Dados_Ajustados_v4!P24)/(Indicadores_v4!$G24-Indicadores_v4!$F24)*100))))</f>
        <v/>
      </c>
      <c r="O24" s="9">
        <f>IF(Dados_Ajustados_v4!Q24="","",IF(Indicadores_v4!$E24="+",MIN(Metodologia_v4!$B$9,MAX(Metodologia_v4!$B$8,(Dados_Ajustados_v4!Q24-Indicadores_v4!$F24)/(Indicadores_v4!$G24-Indicadores_v4!$F24)*100)),MIN(Metodologia_v4!$B$9,MAX(Metodologia_v4!$B$8,(Indicadores_v4!$G24-Dados_Ajustados_v4!Q24)/(Indicadores_v4!$G24-Indicadores_v4!$F24)*100))))</f>
        <v/>
      </c>
      <c r="P24" s="9">
        <f>IF(Dados_Ajustados_v4!R24="","",IF(Indicadores_v4!$E24="+",MIN(Metodologia_v4!$B$9,MAX(Metodologia_v4!$B$8,(Dados_Ajustados_v4!R24-Indicadores_v4!$F24)/(Indicadores_v4!$G24-Indicadores_v4!$F24)*100)),MIN(Metodologia_v4!$B$9,MAX(Metodologia_v4!$B$8,(Indicadores_v4!$G24-Dados_Ajustados_v4!R24)/(Indicadores_v4!$G24-Indicadores_v4!$F24)*100))))</f>
        <v/>
      </c>
      <c r="Q24" s="9">
        <f>IF(Dados_Ajustados_v4!S24="","",IF(Indicadores_v4!$E24="+",MIN(Metodologia_v4!$B$9,MAX(Metodologia_v4!$B$8,(Dados_Ajustados_v4!S24-Indicadores_v4!$F24)/(Indicadores_v4!$G24-Indicadores_v4!$F24)*100)),MIN(Metodologia_v4!$B$9,MAX(Metodologia_v4!$B$8,(Indicadores_v4!$G24-Dados_Ajustados_v4!S24)/(Indicadores_v4!$G24-Indicadores_v4!$F24)*100))))</f>
        <v/>
      </c>
      <c r="R24" s="9">
        <f>IF(Dados_Ajustados_v4!T24="","",IF(Indicadores_v4!$E24="+",MIN(Metodologia_v4!$B$9,MAX(Metodologia_v4!$B$8,(Dados_Ajustados_v4!T24-Indicadores_v4!$F24)/(Indicadores_v4!$G24-Indicadores_v4!$F24)*100)),MIN(Metodologia_v4!$B$9,MAX(Metodologia_v4!$B$8,(Indicadores_v4!$G24-Dados_Ajustados_v4!T24)/(Indicadores_v4!$G24-Indicadores_v4!$F24)*100))))</f>
        <v/>
      </c>
    </row>
    <row r="25">
      <c r="A25" s="5" t="inlineStr">
        <is>
          <t>HUM07</t>
        </is>
      </c>
      <c r="B25" s="5" t="inlineStr">
        <is>
          <t>3. Capital Humano</t>
        </is>
      </c>
      <c r="C25" s="5" t="inlineStr">
        <is>
          <t>Mortalidade infantil</t>
        </is>
      </c>
      <c r="D25" s="5">
        <f>Indicadores_v4!J25</f>
        <v/>
      </c>
      <c r="E25" s="5">
        <f>Indicadores_v4!I25</f>
        <v/>
      </c>
      <c r="F25" s="5">
        <f>COUNT(H25:R25)&amp;"/"&amp;COUNTA(H$4:R$4)</f>
        <v/>
      </c>
      <c r="G25" s="5" t="inlineStr">
        <is>
          <t>Min/max/sentido vêm de Indicadores_v4</t>
        </is>
      </c>
      <c r="H25" s="9">
        <f>IF(Dados_Ajustados_v4!J25="","",IF(Indicadores_v4!$E25="+",MIN(Metodologia_v4!$B$9,MAX(Metodologia_v4!$B$8,(Dados_Ajustados_v4!J25-Indicadores_v4!$F25)/(Indicadores_v4!$G25-Indicadores_v4!$F25)*100)),MIN(Metodologia_v4!$B$9,MAX(Metodologia_v4!$B$8,(Indicadores_v4!$G25-Dados_Ajustados_v4!J25)/(Indicadores_v4!$G25-Indicadores_v4!$F25)*100))))</f>
        <v/>
      </c>
      <c r="I25" s="9">
        <f>IF(Dados_Ajustados_v4!K25="","",IF(Indicadores_v4!$E25="+",MIN(Metodologia_v4!$B$9,MAX(Metodologia_v4!$B$8,(Dados_Ajustados_v4!K25-Indicadores_v4!$F25)/(Indicadores_v4!$G25-Indicadores_v4!$F25)*100)),MIN(Metodologia_v4!$B$9,MAX(Metodologia_v4!$B$8,(Indicadores_v4!$G25-Dados_Ajustados_v4!K25)/(Indicadores_v4!$G25-Indicadores_v4!$F25)*100))))</f>
        <v/>
      </c>
      <c r="J25" s="9">
        <f>IF(Dados_Ajustados_v4!L25="","",IF(Indicadores_v4!$E25="+",MIN(Metodologia_v4!$B$9,MAX(Metodologia_v4!$B$8,(Dados_Ajustados_v4!L25-Indicadores_v4!$F25)/(Indicadores_v4!$G25-Indicadores_v4!$F25)*100)),MIN(Metodologia_v4!$B$9,MAX(Metodologia_v4!$B$8,(Indicadores_v4!$G25-Dados_Ajustados_v4!L25)/(Indicadores_v4!$G25-Indicadores_v4!$F25)*100))))</f>
        <v/>
      </c>
      <c r="K25" s="9">
        <f>IF(Dados_Ajustados_v4!M25="","",IF(Indicadores_v4!$E25="+",MIN(Metodologia_v4!$B$9,MAX(Metodologia_v4!$B$8,(Dados_Ajustados_v4!M25-Indicadores_v4!$F25)/(Indicadores_v4!$G25-Indicadores_v4!$F25)*100)),MIN(Metodologia_v4!$B$9,MAX(Metodologia_v4!$B$8,(Indicadores_v4!$G25-Dados_Ajustados_v4!M25)/(Indicadores_v4!$G25-Indicadores_v4!$F25)*100))))</f>
        <v/>
      </c>
      <c r="L25" s="9">
        <f>IF(Dados_Ajustados_v4!N25="","",IF(Indicadores_v4!$E25="+",MIN(Metodologia_v4!$B$9,MAX(Metodologia_v4!$B$8,(Dados_Ajustados_v4!N25-Indicadores_v4!$F25)/(Indicadores_v4!$G25-Indicadores_v4!$F25)*100)),MIN(Metodologia_v4!$B$9,MAX(Metodologia_v4!$B$8,(Indicadores_v4!$G25-Dados_Ajustados_v4!N25)/(Indicadores_v4!$G25-Indicadores_v4!$F25)*100))))</f>
        <v/>
      </c>
      <c r="M25" s="9">
        <f>IF(Dados_Ajustados_v4!O25="","",IF(Indicadores_v4!$E25="+",MIN(Metodologia_v4!$B$9,MAX(Metodologia_v4!$B$8,(Dados_Ajustados_v4!O25-Indicadores_v4!$F25)/(Indicadores_v4!$G25-Indicadores_v4!$F25)*100)),MIN(Metodologia_v4!$B$9,MAX(Metodologia_v4!$B$8,(Indicadores_v4!$G25-Dados_Ajustados_v4!O25)/(Indicadores_v4!$G25-Indicadores_v4!$F25)*100))))</f>
        <v/>
      </c>
      <c r="N25" s="9">
        <f>IF(Dados_Ajustados_v4!P25="","",IF(Indicadores_v4!$E25="+",MIN(Metodologia_v4!$B$9,MAX(Metodologia_v4!$B$8,(Dados_Ajustados_v4!P25-Indicadores_v4!$F25)/(Indicadores_v4!$G25-Indicadores_v4!$F25)*100)),MIN(Metodologia_v4!$B$9,MAX(Metodologia_v4!$B$8,(Indicadores_v4!$G25-Dados_Ajustados_v4!P25)/(Indicadores_v4!$G25-Indicadores_v4!$F25)*100))))</f>
        <v/>
      </c>
      <c r="O25" s="9">
        <f>IF(Dados_Ajustados_v4!Q25="","",IF(Indicadores_v4!$E25="+",MIN(Metodologia_v4!$B$9,MAX(Metodologia_v4!$B$8,(Dados_Ajustados_v4!Q25-Indicadores_v4!$F25)/(Indicadores_v4!$G25-Indicadores_v4!$F25)*100)),MIN(Metodologia_v4!$B$9,MAX(Metodologia_v4!$B$8,(Indicadores_v4!$G25-Dados_Ajustados_v4!Q25)/(Indicadores_v4!$G25-Indicadores_v4!$F25)*100))))</f>
        <v/>
      </c>
      <c r="P25" s="9">
        <f>IF(Dados_Ajustados_v4!R25="","",IF(Indicadores_v4!$E25="+",MIN(Metodologia_v4!$B$9,MAX(Metodologia_v4!$B$8,(Dados_Ajustados_v4!R25-Indicadores_v4!$F25)/(Indicadores_v4!$G25-Indicadores_v4!$F25)*100)),MIN(Metodologia_v4!$B$9,MAX(Metodologia_v4!$B$8,(Indicadores_v4!$G25-Dados_Ajustados_v4!R25)/(Indicadores_v4!$G25-Indicadores_v4!$F25)*100))))</f>
        <v/>
      </c>
      <c r="Q25" s="9">
        <f>IF(Dados_Ajustados_v4!S25="","",IF(Indicadores_v4!$E25="+",MIN(Metodologia_v4!$B$9,MAX(Metodologia_v4!$B$8,(Dados_Ajustados_v4!S25-Indicadores_v4!$F25)/(Indicadores_v4!$G25-Indicadores_v4!$F25)*100)),MIN(Metodologia_v4!$B$9,MAX(Metodologia_v4!$B$8,(Indicadores_v4!$G25-Dados_Ajustados_v4!S25)/(Indicadores_v4!$G25-Indicadores_v4!$F25)*100))))</f>
        <v/>
      </c>
      <c r="R25" s="9">
        <f>IF(Dados_Ajustados_v4!T25="","",IF(Indicadores_v4!$E25="+",MIN(Metodologia_v4!$B$9,MAX(Metodologia_v4!$B$8,(Dados_Ajustados_v4!T25-Indicadores_v4!$F25)/(Indicadores_v4!$G25-Indicadores_v4!$F25)*100)),MIN(Metodologia_v4!$B$9,MAX(Metodologia_v4!$B$8,(Indicadores_v4!$G25-Dados_Ajustados_v4!T25)/(Indicadores_v4!$G25-Indicadores_v4!$F25)*100))))</f>
        <v/>
      </c>
    </row>
    <row r="26">
      <c r="A26" s="5" t="inlineStr">
        <is>
          <t>INC01</t>
        </is>
      </c>
      <c r="B26" s="5" t="inlineStr">
        <is>
          <t>4. Inclusão Social e Protecção</t>
        </is>
      </c>
      <c r="C26" s="5" t="inlineStr">
        <is>
          <t>Pobreza internacional</t>
        </is>
      </c>
      <c r="D26" s="5">
        <f>Indicadores_v4!J26</f>
        <v/>
      </c>
      <c r="E26" s="5">
        <f>Indicadores_v4!I26</f>
        <v/>
      </c>
      <c r="F26" s="5">
        <f>COUNT(H26:R26)&amp;"/"&amp;COUNTA(H$4:R$4)</f>
        <v/>
      </c>
      <c r="G26" s="5" t="inlineStr">
        <is>
          <t>Min/max/sentido vêm de Indicadores_v4</t>
        </is>
      </c>
      <c r="H26" s="9">
        <f>IF(Dados_Ajustados_v4!J26="","",IF(Indicadores_v4!$E26="+",MIN(Metodologia_v4!$B$9,MAX(Metodologia_v4!$B$8,(Dados_Ajustados_v4!J26-Indicadores_v4!$F26)/(Indicadores_v4!$G26-Indicadores_v4!$F26)*100)),MIN(Metodologia_v4!$B$9,MAX(Metodologia_v4!$B$8,(Indicadores_v4!$G26-Dados_Ajustados_v4!J26)/(Indicadores_v4!$G26-Indicadores_v4!$F26)*100))))</f>
        <v/>
      </c>
      <c r="I26" s="9">
        <f>IF(Dados_Ajustados_v4!K26="","",IF(Indicadores_v4!$E26="+",MIN(Metodologia_v4!$B$9,MAX(Metodologia_v4!$B$8,(Dados_Ajustados_v4!K26-Indicadores_v4!$F26)/(Indicadores_v4!$G26-Indicadores_v4!$F26)*100)),MIN(Metodologia_v4!$B$9,MAX(Metodologia_v4!$B$8,(Indicadores_v4!$G26-Dados_Ajustados_v4!K26)/(Indicadores_v4!$G26-Indicadores_v4!$F26)*100))))</f>
        <v/>
      </c>
      <c r="J26" s="9">
        <f>IF(Dados_Ajustados_v4!L26="","",IF(Indicadores_v4!$E26="+",MIN(Metodologia_v4!$B$9,MAX(Metodologia_v4!$B$8,(Dados_Ajustados_v4!L26-Indicadores_v4!$F26)/(Indicadores_v4!$G26-Indicadores_v4!$F26)*100)),MIN(Metodologia_v4!$B$9,MAX(Metodologia_v4!$B$8,(Indicadores_v4!$G26-Dados_Ajustados_v4!L26)/(Indicadores_v4!$G26-Indicadores_v4!$F26)*100))))</f>
        <v/>
      </c>
      <c r="K26" s="9">
        <f>IF(Dados_Ajustados_v4!M26="","",IF(Indicadores_v4!$E26="+",MIN(Metodologia_v4!$B$9,MAX(Metodologia_v4!$B$8,(Dados_Ajustados_v4!M26-Indicadores_v4!$F26)/(Indicadores_v4!$G26-Indicadores_v4!$F26)*100)),MIN(Metodologia_v4!$B$9,MAX(Metodologia_v4!$B$8,(Indicadores_v4!$G26-Dados_Ajustados_v4!M26)/(Indicadores_v4!$G26-Indicadores_v4!$F26)*100))))</f>
        <v/>
      </c>
      <c r="L26" s="9">
        <f>IF(Dados_Ajustados_v4!N26="","",IF(Indicadores_v4!$E26="+",MIN(Metodologia_v4!$B$9,MAX(Metodologia_v4!$B$8,(Dados_Ajustados_v4!N26-Indicadores_v4!$F26)/(Indicadores_v4!$G26-Indicadores_v4!$F26)*100)),MIN(Metodologia_v4!$B$9,MAX(Metodologia_v4!$B$8,(Indicadores_v4!$G26-Dados_Ajustados_v4!N26)/(Indicadores_v4!$G26-Indicadores_v4!$F26)*100))))</f>
        <v/>
      </c>
      <c r="M26" s="9">
        <f>IF(Dados_Ajustados_v4!O26="","",IF(Indicadores_v4!$E26="+",MIN(Metodologia_v4!$B$9,MAX(Metodologia_v4!$B$8,(Dados_Ajustados_v4!O26-Indicadores_v4!$F26)/(Indicadores_v4!$G26-Indicadores_v4!$F26)*100)),MIN(Metodologia_v4!$B$9,MAX(Metodologia_v4!$B$8,(Indicadores_v4!$G26-Dados_Ajustados_v4!O26)/(Indicadores_v4!$G26-Indicadores_v4!$F26)*100))))</f>
        <v/>
      </c>
      <c r="N26" s="9">
        <f>IF(Dados_Ajustados_v4!P26="","",IF(Indicadores_v4!$E26="+",MIN(Metodologia_v4!$B$9,MAX(Metodologia_v4!$B$8,(Dados_Ajustados_v4!P26-Indicadores_v4!$F26)/(Indicadores_v4!$G26-Indicadores_v4!$F26)*100)),MIN(Metodologia_v4!$B$9,MAX(Metodologia_v4!$B$8,(Indicadores_v4!$G26-Dados_Ajustados_v4!P26)/(Indicadores_v4!$G26-Indicadores_v4!$F26)*100))))</f>
        <v/>
      </c>
      <c r="O26" s="9">
        <f>IF(Dados_Ajustados_v4!Q26="","",IF(Indicadores_v4!$E26="+",MIN(Metodologia_v4!$B$9,MAX(Metodologia_v4!$B$8,(Dados_Ajustados_v4!Q26-Indicadores_v4!$F26)/(Indicadores_v4!$G26-Indicadores_v4!$F26)*100)),MIN(Metodologia_v4!$B$9,MAX(Metodologia_v4!$B$8,(Indicadores_v4!$G26-Dados_Ajustados_v4!Q26)/(Indicadores_v4!$G26-Indicadores_v4!$F26)*100))))</f>
        <v/>
      </c>
      <c r="P26" s="9">
        <f>IF(Dados_Ajustados_v4!R26="","",IF(Indicadores_v4!$E26="+",MIN(Metodologia_v4!$B$9,MAX(Metodologia_v4!$B$8,(Dados_Ajustados_v4!R26-Indicadores_v4!$F26)/(Indicadores_v4!$G26-Indicadores_v4!$F26)*100)),MIN(Metodologia_v4!$B$9,MAX(Metodologia_v4!$B$8,(Indicadores_v4!$G26-Dados_Ajustados_v4!R26)/(Indicadores_v4!$G26-Indicadores_v4!$F26)*100))))</f>
        <v/>
      </c>
      <c r="Q26" s="9">
        <f>IF(Dados_Ajustados_v4!S26="","",IF(Indicadores_v4!$E26="+",MIN(Metodologia_v4!$B$9,MAX(Metodologia_v4!$B$8,(Dados_Ajustados_v4!S26-Indicadores_v4!$F26)/(Indicadores_v4!$G26-Indicadores_v4!$F26)*100)),MIN(Metodologia_v4!$B$9,MAX(Metodologia_v4!$B$8,(Indicadores_v4!$G26-Dados_Ajustados_v4!S26)/(Indicadores_v4!$G26-Indicadores_v4!$F26)*100))))</f>
        <v/>
      </c>
      <c r="R26" s="9">
        <f>IF(Dados_Ajustados_v4!T26="","",IF(Indicadores_v4!$E26="+",MIN(Metodologia_v4!$B$9,MAX(Metodologia_v4!$B$8,(Dados_Ajustados_v4!T26-Indicadores_v4!$F26)/(Indicadores_v4!$G26-Indicadores_v4!$F26)*100)),MIN(Metodologia_v4!$B$9,MAX(Metodologia_v4!$B$8,(Indicadores_v4!$G26-Dados_Ajustados_v4!T26)/(Indicadores_v4!$G26-Indicadores_v4!$F26)*100))))</f>
        <v/>
      </c>
    </row>
    <row r="27">
      <c r="A27" s="5" t="inlineStr">
        <is>
          <t>INC02</t>
        </is>
      </c>
      <c r="B27" s="5" t="inlineStr">
        <is>
          <t>4. Inclusão Social e Protecção</t>
        </is>
      </c>
      <c r="C27" s="5" t="inlineStr">
        <is>
          <t>Índice de Gini</t>
        </is>
      </c>
      <c r="D27" s="5">
        <f>Indicadores_v4!J27</f>
        <v/>
      </c>
      <c r="E27" s="5">
        <f>Indicadores_v4!I27</f>
        <v/>
      </c>
      <c r="F27" s="5">
        <f>COUNT(H27:R27)&amp;"/"&amp;COUNTA(H$4:R$4)</f>
        <v/>
      </c>
      <c r="G27" s="5" t="inlineStr">
        <is>
          <t>Min/max/sentido vêm de Indicadores_v4</t>
        </is>
      </c>
      <c r="H27" s="9">
        <f>IF(Dados_Ajustados_v4!J27="","",IF(Indicadores_v4!$E27="+",MIN(Metodologia_v4!$B$9,MAX(Metodologia_v4!$B$8,(Dados_Ajustados_v4!J27-Indicadores_v4!$F27)/(Indicadores_v4!$G27-Indicadores_v4!$F27)*100)),MIN(Metodologia_v4!$B$9,MAX(Metodologia_v4!$B$8,(Indicadores_v4!$G27-Dados_Ajustados_v4!J27)/(Indicadores_v4!$G27-Indicadores_v4!$F27)*100))))</f>
        <v/>
      </c>
      <c r="I27" s="9">
        <f>IF(Dados_Ajustados_v4!K27="","",IF(Indicadores_v4!$E27="+",MIN(Metodologia_v4!$B$9,MAX(Metodologia_v4!$B$8,(Dados_Ajustados_v4!K27-Indicadores_v4!$F27)/(Indicadores_v4!$G27-Indicadores_v4!$F27)*100)),MIN(Metodologia_v4!$B$9,MAX(Metodologia_v4!$B$8,(Indicadores_v4!$G27-Dados_Ajustados_v4!K27)/(Indicadores_v4!$G27-Indicadores_v4!$F27)*100))))</f>
        <v/>
      </c>
      <c r="J27" s="9">
        <f>IF(Dados_Ajustados_v4!L27="","",IF(Indicadores_v4!$E27="+",MIN(Metodologia_v4!$B$9,MAX(Metodologia_v4!$B$8,(Dados_Ajustados_v4!L27-Indicadores_v4!$F27)/(Indicadores_v4!$G27-Indicadores_v4!$F27)*100)),MIN(Metodologia_v4!$B$9,MAX(Metodologia_v4!$B$8,(Indicadores_v4!$G27-Dados_Ajustados_v4!L27)/(Indicadores_v4!$G27-Indicadores_v4!$F27)*100))))</f>
        <v/>
      </c>
      <c r="K27" s="9">
        <f>IF(Dados_Ajustados_v4!M27="","",IF(Indicadores_v4!$E27="+",MIN(Metodologia_v4!$B$9,MAX(Metodologia_v4!$B$8,(Dados_Ajustados_v4!M27-Indicadores_v4!$F27)/(Indicadores_v4!$G27-Indicadores_v4!$F27)*100)),MIN(Metodologia_v4!$B$9,MAX(Metodologia_v4!$B$8,(Indicadores_v4!$G27-Dados_Ajustados_v4!M27)/(Indicadores_v4!$G27-Indicadores_v4!$F27)*100))))</f>
        <v/>
      </c>
      <c r="L27" s="9">
        <f>IF(Dados_Ajustados_v4!N27="","",IF(Indicadores_v4!$E27="+",MIN(Metodologia_v4!$B$9,MAX(Metodologia_v4!$B$8,(Dados_Ajustados_v4!N27-Indicadores_v4!$F27)/(Indicadores_v4!$G27-Indicadores_v4!$F27)*100)),MIN(Metodologia_v4!$B$9,MAX(Metodologia_v4!$B$8,(Indicadores_v4!$G27-Dados_Ajustados_v4!N27)/(Indicadores_v4!$G27-Indicadores_v4!$F27)*100))))</f>
        <v/>
      </c>
      <c r="M27" s="9">
        <f>IF(Dados_Ajustados_v4!O27="","",IF(Indicadores_v4!$E27="+",MIN(Metodologia_v4!$B$9,MAX(Metodologia_v4!$B$8,(Dados_Ajustados_v4!O27-Indicadores_v4!$F27)/(Indicadores_v4!$G27-Indicadores_v4!$F27)*100)),MIN(Metodologia_v4!$B$9,MAX(Metodologia_v4!$B$8,(Indicadores_v4!$G27-Dados_Ajustados_v4!O27)/(Indicadores_v4!$G27-Indicadores_v4!$F27)*100))))</f>
        <v/>
      </c>
      <c r="N27" s="9">
        <f>IF(Dados_Ajustados_v4!P27="","",IF(Indicadores_v4!$E27="+",MIN(Metodologia_v4!$B$9,MAX(Metodologia_v4!$B$8,(Dados_Ajustados_v4!P27-Indicadores_v4!$F27)/(Indicadores_v4!$G27-Indicadores_v4!$F27)*100)),MIN(Metodologia_v4!$B$9,MAX(Metodologia_v4!$B$8,(Indicadores_v4!$G27-Dados_Ajustados_v4!P27)/(Indicadores_v4!$G27-Indicadores_v4!$F27)*100))))</f>
        <v/>
      </c>
      <c r="O27" s="9">
        <f>IF(Dados_Ajustados_v4!Q27="","",IF(Indicadores_v4!$E27="+",MIN(Metodologia_v4!$B$9,MAX(Metodologia_v4!$B$8,(Dados_Ajustados_v4!Q27-Indicadores_v4!$F27)/(Indicadores_v4!$G27-Indicadores_v4!$F27)*100)),MIN(Metodologia_v4!$B$9,MAX(Metodologia_v4!$B$8,(Indicadores_v4!$G27-Dados_Ajustados_v4!Q27)/(Indicadores_v4!$G27-Indicadores_v4!$F27)*100))))</f>
        <v/>
      </c>
      <c r="P27" s="9">
        <f>IF(Dados_Ajustados_v4!R27="","",IF(Indicadores_v4!$E27="+",MIN(Metodologia_v4!$B$9,MAX(Metodologia_v4!$B$8,(Dados_Ajustados_v4!R27-Indicadores_v4!$F27)/(Indicadores_v4!$G27-Indicadores_v4!$F27)*100)),MIN(Metodologia_v4!$B$9,MAX(Metodologia_v4!$B$8,(Indicadores_v4!$G27-Dados_Ajustados_v4!R27)/(Indicadores_v4!$G27-Indicadores_v4!$F27)*100))))</f>
        <v/>
      </c>
      <c r="Q27" s="9">
        <f>IF(Dados_Ajustados_v4!S27="","",IF(Indicadores_v4!$E27="+",MIN(Metodologia_v4!$B$9,MAX(Metodologia_v4!$B$8,(Dados_Ajustados_v4!S27-Indicadores_v4!$F27)/(Indicadores_v4!$G27-Indicadores_v4!$F27)*100)),MIN(Metodologia_v4!$B$9,MAX(Metodologia_v4!$B$8,(Indicadores_v4!$G27-Dados_Ajustados_v4!S27)/(Indicadores_v4!$G27-Indicadores_v4!$F27)*100))))</f>
        <v/>
      </c>
      <c r="R27" s="9">
        <f>IF(Dados_Ajustados_v4!T27="","",IF(Indicadores_v4!$E27="+",MIN(Metodologia_v4!$B$9,MAX(Metodologia_v4!$B$8,(Dados_Ajustados_v4!T27-Indicadores_v4!$F27)/(Indicadores_v4!$G27-Indicadores_v4!$F27)*100)),MIN(Metodologia_v4!$B$9,MAX(Metodologia_v4!$B$8,(Indicadores_v4!$G27-Dados_Ajustados_v4!T27)/(Indicadores_v4!$G27-Indicadores_v4!$F27)*100))))</f>
        <v/>
      </c>
    </row>
    <row r="28">
      <c r="A28" s="5" t="inlineStr">
        <is>
          <t>INC03</t>
        </is>
      </c>
      <c r="B28" s="5" t="inlineStr">
        <is>
          <t>4. Inclusão Social e Protecção</t>
        </is>
      </c>
      <c r="C28" s="5" t="inlineStr">
        <is>
          <t>Rendimento dos 20% mais pobres</t>
        </is>
      </c>
      <c r="D28" s="5">
        <f>Indicadores_v4!J28</f>
        <v/>
      </c>
      <c r="E28" s="5">
        <f>Indicadores_v4!I28</f>
        <v/>
      </c>
      <c r="F28" s="5">
        <f>COUNT(H28:R28)&amp;"/"&amp;COUNTA(H$4:R$4)</f>
        <v/>
      </c>
      <c r="G28" s="5" t="inlineStr">
        <is>
          <t>Min/max/sentido vêm de Indicadores_v4</t>
        </is>
      </c>
      <c r="H28" s="9">
        <f>IF(Dados_Ajustados_v4!J28="","",IF(Indicadores_v4!$E28="+",MIN(Metodologia_v4!$B$9,MAX(Metodologia_v4!$B$8,(Dados_Ajustados_v4!J28-Indicadores_v4!$F28)/(Indicadores_v4!$G28-Indicadores_v4!$F28)*100)),MIN(Metodologia_v4!$B$9,MAX(Metodologia_v4!$B$8,(Indicadores_v4!$G28-Dados_Ajustados_v4!J28)/(Indicadores_v4!$G28-Indicadores_v4!$F28)*100))))</f>
        <v/>
      </c>
      <c r="I28" s="9">
        <f>IF(Dados_Ajustados_v4!K28="","",IF(Indicadores_v4!$E28="+",MIN(Metodologia_v4!$B$9,MAX(Metodologia_v4!$B$8,(Dados_Ajustados_v4!K28-Indicadores_v4!$F28)/(Indicadores_v4!$G28-Indicadores_v4!$F28)*100)),MIN(Metodologia_v4!$B$9,MAX(Metodologia_v4!$B$8,(Indicadores_v4!$G28-Dados_Ajustados_v4!K28)/(Indicadores_v4!$G28-Indicadores_v4!$F28)*100))))</f>
        <v/>
      </c>
      <c r="J28" s="9">
        <f>IF(Dados_Ajustados_v4!L28="","",IF(Indicadores_v4!$E28="+",MIN(Metodologia_v4!$B$9,MAX(Metodologia_v4!$B$8,(Dados_Ajustados_v4!L28-Indicadores_v4!$F28)/(Indicadores_v4!$G28-Indicadores_v4!$F28)*100)),MIN(Metodologia_v4!$B$9,MAX(Metodologia_v4!$B$8,(Indicadores_v4!$G28-Dados_Ajustados_v4!L28)/(Indicadores_v4!$G28-Indicadores_v4!$F28)*100))))</f>
        <v/>
      </c>
      <c r="K28" s="9">
        <f>IF(Dados_Ajustados_v4!M28="","",IF(Indicadores_v4!$E28="+",MIN(Metodologia_v4!$B$9,MAX(Metodologia_v4!$B$8,(Dados_Ajustados_v4!M28-Indicadores_v4!$F28)/(Indicadores_v4!$G28-Indicadores_v4!$F28)*100)),MIN(Metodologia_v4!$B$9,MAX(Metodologia_v4!$B$8,(Indicadores_v4!$G28-Dados_Ajustados_v4!M28)/(Indicadores_v4!$G28-Indicadores_v4!$F28)*100))))</f>
        <v/>
      </c>
      <c r="L28" s="9">
        <f>IF(Dados_Ajustados_v4!N28="","",IF(Indicadores_v4!$E28="+",MIN(Metodologia_v4!$B$9,MAX(Metodologia_v4!$B$8,(Dados_Ajustados_v4!N28-Indicadores_v4!$F28)/(Indicadores_v4!$G28-Indicadores_v4!$F28)*100)),MIN(Metodologia_v4!$B$9,MAX(Metodologia_v4!$B$8,(Indicadores_v4!$G28-Dados_Ajustados_v4!N28)/(Indicadores_v4!$G28-Indicadores_v4!$F28)*100))))</f>
        <v/>
      </c>
      <c r="M28" s="9">
        <f>IF(Dados_Ajustados_v4!O28="","",IF(Indicadores_v4!$E28="+",MIN(Metodologia_v4!$B$9,MAX(Metodologia_v4!$B$8,(Dados_Ajustados_v4!O28-Indicadores_v4!$F28)/(Indicadores_v4!$G28-Indicadores_v4!$F28)*100)),MIN(Metodologia_v4!$B$9,MAX(Metodologia_v4!$B$8,(Indicadores_v4!$G28-Dados_Ajustados_v4!O28)/(Indicadores_v4!$G28-Indicadores_v4!$F28)*100))))</f>
        <v/>
      </c>
      <c r="N28" s="9">
        <f>IF(Dados_Ajustados_v4!P28="","",IF(Indicadores_v4!$E28="+",MIN(Metodologia_v4!$B$9,MAX(Metodologia_v4!$B$8,(Dados_Ajustados_v4!P28-Indicadores_v4!$F28)/(Indicadores_v4!$G28-Indicadores_v4!$F28)*100)),MIN(Metodologia_v4!$B$9,MAX(Metodologia_v4!$B$8,(Indicadores_v4!$G28-Dados_Ajustados_v4!P28)/(Indicadores_v4!$G28-Indicadores_v4!$F28)*100))))</f>
        <v/>
      </c>
      <c r="O28" s="9">
        <f>IF(Dados_Ajustados_v4!Q28="","",IF(Indicadores_v4!$E28="+",MIN(Metodologia_v4!$B$9,MAX(Metodologia_v4!$B$8,(Dados_Ajustados_v4!Q28-Indicadores_v4!$F28)/(Indicadores_v4!$G28-Indicadores_v4!$F28)*100)),MIN(Metodologia_v4!$B$9,MAX(Metodologia_v4!$B$8,(Indicadores_v4!$G28-Dados_Ajustados_v4!Q28)/(Indicadores_v4!$G28-Indicadores_v4!$F28)*100))))</f>
        <v/>
      </c>
      <c r="P28" s="9">
        <f>IF(Dados_Ajustados_v4!R28="","",IF(Indicadores_v4!$E28="+",MIN(Metodologia_v4!$B$9,MAX(Metodologia_v4!$B$8,(Dados_Ajustados_v4!R28-Indicadores_v4!$F28)/(Indicadores_v4!$G28-Indicadores_v4!$F28)*100)),MIN(Metodologia_v4!$B$9,MAX(Metodologia_v4!$B$8,(Indicadores_v4!$G28-Dados_Ajustados_v4!R28)/(Indicadores_v4!$G28-Indicadores_v4!$F28)*100))))</f>
        <v/>
      </c>
      <c r="Q28" s="9">
        <f>IF(Dados_Ajustados_v4!S28="","",IF(Indicadores_v4!$E28="+",MIN(Metodologia_v4!$B$9,MAX(Metodologia_v4!$B$8,(Dados_Ajustados_v4!S28-Indicadores_v4!$F28)/(Indicadores_v4!$G28-Indicadores_v4!$F28)*100)),MIN(Metodologia_v4!$B$9,MAX(Metodologia_v4!$B$8,(Indicadores_v4!$G28-Dados_Ajustados_v4!S28)/(Indicadores_v4!$G28-Indicadores_v4!$F28)*100))))</f>
        <v/>
      </c>
      <c r="R28" s="9">
        <f>IF(Dados_Ajustados_v4!T28="","",IF(Indicadores_v4!$E28="+",MIN(Metodologia_v4!$B$9,MAX(Metodologia_v4!$B$8,(Dados_Ajustados_v4!T28-Indicadores_v4!$F28)/(Indicadores_v4!$G28-Indicadores_v4!$F28)*100)),MIN(Metodologia_v4!$B$9,MAX(Metodologia_v4!$B$8,(Indicadores_v4!$G28-Dados_Ajustados_v4!T28)/(Indicadores_v4!$G28-Indicadores_v4!$F28)*100))))</f>
        <v/>
      </c>
    </row>
    <row r="29">
      <c r="A29" s="5" t="inlineStr">
        <is>
          <t>INC04</t>
        </is>
      </c>
      <c r="B29" s="5" t="inlineStr">
        <is>
          <t>4. Inclusão Social e Protecção</t>
        </is>
      </c>
      <c r="C29" s="5" t="inlineStr">
        <is>
          <t>Global Gender Gap Index</t>
        </is>
      </c>
      <c r="D29" s="5">
        <f>Indicadores_v4!J29</f>
        <v/>
      </c>
      <c r="E29" s="5">
        <f>Indicadores_v4!I29</f>
        <v/>
      </c>
      <c r="F29" s="5">
        <f>COUNT(H29:R29)&amp;"/"&amp;COUNTA(H$4:R$4)</f>
        <v/>
      </c>
      <c r="G29" s="5" t="inlineStr">
        <is>
          <t>Min/max/sentido vêm de Indicadores_v4</t>
        </is>
      </c>
      <c r="H29" s="9">
        <f>IF(Dados_Ajustados_v4!J29="","",IF(Indicadores_v4!$E29="+",MIN(Metodologia_v4!$B$9,MAX(Metodologia_v4!$B$8,(Dados_Ajustados_v4!J29-Indicadores_v4!$F29)/(Indicadores_v4!$G29-Indicadores_v4!$F29)*100)),MIN(Metodologia_v4!$B$9,MAX(Metodologia_v4!$B$8,(Indicadores_v4!$G29-Dados_Ajustados_v4!J29)/(Indicadores_v4!$G29-Indicadores_v4!$F29)*100))))</f>
        <v/>
      </c>
      <c r="I29" s="9">
        <f>IF(Dados_Ajustados_v4!K29="","",IF(Indicadores_v4!$E29="+",MIN(Metodologia_v4!$B$9,MAX(Metodologia_v4!$B$8,(Dados_Ajustados_v4!K29-Indicadores_v4!$F29)/(Indicadores_v4!$G29-Indicadores_v4!$F29)*100)),MIN(Metodologia_v4!$B$9,MAX(Metodologia_v4!$B$8,(Indicadores_v4!$G29-Dados_Ajustados_v4!K29)/(Indicadores_v4!$G29-Indicadores_v4!$F29)*100))))</f>
        <v/>
      </c>
      <c r="J29" s="9">
        <f>IF(Dados_Ajustados_v4!L29="","",IF(Indicadores_v4!$E29="+",MIN(Metodologia_v4!$B$9,MAX(Metodologia_v4!$B$8,(Dados_Ajustados_v4!L29-Indicadores_v4!$F29)/(Indicadores_v4!$G29-Indicadores_v4!$F29)*100)),MIN(Metodologia_v4!$B$9,MAX(Metodologia_v4!$B$8,(Indicadores_v4!$G29-Dados_Ajustados_v4!L29)/(Indicadores_v4!$G29-Indicadores_v4!$F29)*100))))</f>
        <v/>
      </c>
      <c r="K29" s="9">
        <f>IF(Dados_Ajustados_v4!M29="","",IF(Indicadores_v4!$E29="+",MIN(Metodologia_v4!$B$9,MAX(Metodologia_v4!$B$8,(Dados_Ajustados_v4!M29-Indicadores_v4!$F29)/(Indicadores_v4!$G29-Indicadores_v4!$F29)*100)),MIN(Metodologia_v4!$B$9,MAX(Metodologia_v4!$B$8,(Indicadores_v4!$G29-Dados_Ajustados_v4!M29)/(Indicadores_v4!$G29-Indicadores_v4!$F29)*100))))</f>
        <v/>
      </c>
      <c r="L29" s="9">
        <f>IF(Dados_Ajustados_v4!N29="","",IF(Indicadores_v4!$E29="+",MIN(Metodologia_v4!$B$9,MAX(Metodologia_v4!$B$8,(Dados_Ajustados_v4!N29-Indicadores_v4!$F29)/(Indicadores_v4!$G29-Indicadores_v4!$F29)*100)),MIN(Metodologia_v4!$B$9,MAX(Metodologia_v4!$B$8,(Indicadores_v4!$G29-Dados_Ajustados_v4!N29)/(Indicadores_v4!$G29-Indicadores_v4!$F29)*100))))</f>
        <v/>
      </c>
      <c r="M29" s="9">
        <f>IF(Dados_Ajustados_v4!O29="","",IF(Indicadores_v4!$E29="+",MIN(Metodologia_v4!$B$9,MAX(Metodologia_v4!$B$8,(Dados_Ajustados_v4!O29-Indicadores_v4!$F29)/(Indicadores_v4!$G29-Indicadores_v4!$F29)*100)),MIN(Metodologia_v4!$B$9,MAX(Metodologia_v4!$B$8,(Indicadores_v4!$G29-Dados_Ajustados_v4!O29)/(Indicadores_v4!$G29-Indicadores_v4!$F29)*100))))</f>
        <v/>
      </c>
      <c r="N29" s="9">
        <f>IF(Dados_Ajustados_v4!P29="","",IF(Indicadores_v4!$E29="+",MIN(Metodologia_v4!$B$9,MAX(Metodologia_v4!$B$8,(Dados_Ajustados_v4!P29-Indicadores_v4!$F29)/(Indicadores_v4!$G29-Indicadores_v4!$F29)*100)),MIN(Metodologia_v4!$B$9,MAX(Metodologia_v4!$B$8,(Indicadores_v4!$G29-Dados_Ajustados_v4!P29)/(Indicadores_v4!$G29-Indicadores_v4!$F29)*100))))</f>
        <v/>
      </c>
      <c r="O29" s="9">
        <f>IF(Dados_Ajustados_v4!Q29="","",IF(Indicadores_v4!$E29="+",MIN(Metodologia_v4!$B$9,MAX(Metodologia_v4!$B$8,(Dados_Ajustados_v4!Q29-Indicadores_v4!$F29)/(Indicadores_v4!$G29-Indicadores_v4!$F29)*100)),MIN(Metodologia_v4!$B$9,MAX(Metodologia_v4!$B$8,(Indicadores_v4!$G29-Dados_Ajustados_v4!Q29)/(Indicadores_v4!$G29-Indicadores_v4!$F29)*100))))</f>
        <v/>
      </c>
      <c r="P29" s="9">
        <f>IF(Dados_Ajustados_v4!R29="","",IF(Indicadores_v4!$E29="+",MIN(Metodologia_v4!$B$9,MAX(Metodologia_v4!$B$8,(Dados_Ajustados_v4!R29-Indicadores_v4!$F29)/(Indicadores_v4!$G29-Indicadores_v4!$F29)*100)),MIN(Metodologia_v4!$B$9,MAX(Metodologia_v4!$B$8,(Indicadores_v4!$G29-Dados_Ajustados_v4!R29)/(Indicadores_v4!$G29-Indicadores_v4!$F29)*100))))</f>
        <v/>
      </c>
      <c r="Q29" s="9">
        <f>IF(Dados_Ajustados_v4!S29="","",IF(Indicadores_v4!$E29="+",MIN(Metodologia_v4!$B$9,MAX(Metodologia_v4!$B$8,(Dados_Ajustados_v4!S29-Indicadores_v4!$F29)/(Indicadores_v4!$G29-Indicadores_v4!$F29)*100)),MIN(Metodologia_v4!$B$9,MAX(Metodologia_v4!$B$8,(Indicadores_v4!$G29-Dados_Ajustados_v4!S29)/(Indicadores_v4!$G29-Indicadores_v4!$F29)*100))))</f>
        <v/>
      </c>
      <c r="R29" s="9">
        <f>IF(Dados_Ajustados_v4!T29="","",IF(Indicadores_v4!$E29="+",MIN(Metodologia_v4!$B$9,MAX(Metodologia_v4!$B$8,(Dados_Ajustados_v4!T29-Indicadores_v4!$F29)/(Indicadores_v4!$G29-Indicadores_v4!$F29)*100)),MIN(Metodologia_v4!$B$9,MAX(Metodologia_v4!$B$8,(Indicadores_v4!$G29-Dados_Ajustados_v4!T29)/(Indicadores_v4!$G29-Indicadores_v4!$F29)*100))))</f>
        <v/>
      </c>
    </row>
    <row r="30">
      <c r="A30" s="5" t="inlineStr">
        <is>
          <t>INC05</t>
        </is>
      </c>
      <c r="B30" s="5" t="inlineStr">
        <is>
          <t>4. Inclusão Social e Protecção</t>
        </is>
      </c>
      <c r="C30" s="5" t="inlineStr">
        <is>
          <t>Participação feminina na força de trabalho</t>
        </is>
      </c>
      <c r="D30" s="5">
        <f>Indicadores_v4!J30</f>
        <v/>
      </c>
      <c r="E30" s="5">
        <f>Indicadores_v4!I30</f>
        <v/>
      </c>
      <c r="F30" s="5">
        <f>COUNT(H30:R30)&amp;"/"&amp;COUNTA(H$4:R$4)</f>
        <v/>
      </c>
      <c r="G30" s="5" t="inlineStr">
        <is>
          <t>Min/max/sentido vêm de Indicadores_v4</t>
        </is>
      </c>
      <c r="H30" s="9">
        <f>IF(Dados_Ajustados_v4!J30="","",IF(Indicadores_v4!$E30="+",MIN(Metodologia_v4!$B$9,MAX(Metodologia_v4!$B$8,(Dados_Ajustados_v4!J30-Indicadores_v4!$F30)/(Indicadores_v4!$G30-Indicadores_v4!$F30)*100)),MIN(Metodologia_v4!$B$9,MAX(Metodologia_v4!$B$8,(Indicadores_v4!$G30-Dados_Ajustados_v4!J30)/(Indicadores_v4!$G30-Indicadores_v4!$F30)*100))))</f>
        <v/>
      </c>
      <c r="I30" s="9">
        <f>IF(Dados_Ajustados_v4!K30="","",IF(Indicadores_v4!$E30="+",MIN(Metodologia_v4!$B$9,MAX(Metodologia_v4!$B$8,(Dados_Ajustados_v4!K30-Indicadores_v4!$F30)/(Indicadores_v4!$G30-Indicadores_v4!$F30)*100)),MIN(Metodologia_v4!$B$9,MAX(Metodologia_v4!$B$8,(Indicadores_v4!$G30-Dados_Ajustados_v4!K30)/(Indicadores_v4!$G30-Indicadores_v4!$F30)*100))))</f>
        <v/>
      </c>
      <c r="J30" s="9">
        <f>IF(Dados_Ajustados_v4!L30="","",IF(Indicadores_v4!$E30="+",MIN(Metodologia_v4!$B$9,MAX(Metodologia_v4!$B$8,(Dados_Ajustados_v4!L30-Indicadores_v4!$F30)/(Indicadores_v4!$G30-Indicadores_v4!$F30)*100)),MIN(Metodologia_v4!$B$9,MAX(Metodologia_v4!$B$8,(Indicadores_v4!$G30-Dados_Ajustados_v4!L30)/(Indicadores_v4!$G30-Indicadores_v4!$F30)*100))))</f>
        <v/>
      </c>
      <c r="K30" s="9">
        <f>IF(Dados_Ajustados_v4!M30="","",IF(Indicadores_v4!$E30="+",MIN(Metodologia_v4!$B$9,MAX(Metodologia_v4!$B$8,(Dados_Ajustados_v4!M30-Indicadores_v4!$F30)/(Indicadores_v4!$G30-Indicadores_v4!$F30)*100)),MIN(Metodologia_v4!$B$9,MAX(Metodologia_v4!$B$8,(Indicadores_v4!$G30-Dados_Ajustados_v4!M30)/(Indicadores_v4!$G30-Indicadores_v4!$F30)*100))))</f>
        <v/>
      </c>
      <c r="L30" s="9">
        <f>IF(Dados_Ajustados_v4!N30="","",IF(Indicadores_v4!$E30="+",MIN(Metodologia_v4!$B$9,MAX(Metodologia_v4!$B$8,(Dados_Ajustados_v4!N30-Indicadores_v4!$F30)/(Indicadores_v4!$G30-Indicadores_v4!$F30)*100)),MIN(Metodologia_v4!$B$9,MAX(Metodologia_v4!$B$8,(Indicadores_v4!$G30-Dados_Ajustados_v4!N30)/(Indicadores_v4!$G30-Indicadores_v4!$F30)*100))))</f>
        <v/>
      </c>
      <c r="M30" s="9">
        <f>IF(Dados_Ajustados_v4!O30="","",IF(Indicadores_v4!$E30="+",MIN(Metodologia_v4!$B$9,MAX(Metodologia_v4!$B$8,(Dados_Ajustados_v4!O30-Indicadores_v4!$F30)/(Indicadores_v4!$G30-Indicadores_v4!$F30)*100)),MIN(Metodologia_v4!$B$9,MAX(Metodologia_v4!$B$8,(Indicadores_v4!$G30-Dados_Ajustados_v4!O30)/(Indicadores_v4!$G30-Indicadores_v4!$F30)*100))))</f>
        <v/>
      </c>
      <c r="N30" s="9">
        <f>IF(Dados_Ajustados_v4!P30="","",IF(Indicadores_v4!$E30="+",MIN(Metodologia_v4!$B$9,MAX(Metodologia_v4!$B$8,(Dados_Ajustados_v4!P30-Indicadores_v4!$F30)/(Indicadores_v4!$G30-Indicadores_v4!$F30)*100)),MIN(Metodologia_v4!$B$9,MAX(Metodologia_v4!$B$8,(Indicadores_v4!$G30-Dados_Ajustados_v4!P30)/(Indicadores_v4!$G30-Indicadores_v4!$F30)*100))))</f>
        <v/>
      </c>
      <c r="O30" s="9">
        <f>IF(Dados_Ajustados_v4!Q30="","",IF(Indicadores_v4!$E30="+",MIN(Metodologia_v4!$B$9,MAX(Metodologia_v4!$B$8,(Dados_Ajustados_v4!Q30-Indicadores_v4!$F30)/(Indicadores_v4!$G30-Indicadores_v4!$F30)*100)),MIN(Metodologia_v4!$B$9,MAX(Metodologia_v4!$B$8,(Indicadores_v4!$G30-Dados_Ajustados_v4!Q30)/(Indicadores_v4!$G30-Indicadores_v4!$F30)*100))))</f>
        <v/>
      </c>
      <c r="P30" s="9">
        <f>IF(Dados_Ajustados_v4!R30="","",IF(Indicadores_v4!$E30="+",MIN(Metodologia_v4!$B$9,MAX(Metodologia_v4!$B$8,(Dados_Ajustados_v4!R30-Indicadores_v4!$F30)/(Indicadores_v4!$G30-Indicadores_v4!$F30)*100)),MIN(Metodologia_v4!$B$9,MAX(Metodologia_v4!$B$8,(Indicadores_v4!$G30-Dados_Ajustados_v4!R30)/(Indicadores_v4!$G30-Indicadores_v4!$F30)*100))))</f>
        <v/>
      </c>
      <c r="Q30" s="9">
        <f>IF(Dados_Ajustados_v4!S30="","",IF(Indicadores_v4!$E30="+",MIN(Metodologia_v4!$B$9,MAX(Metodologia_v4!$B$8,(Dados_Ajustados_v4!S30-Indicadores_v4!$F30)/(Indicadores_v4!$G30-Indicadores_v4!$F30)*100)),MIN(Metodologia_v4!$B$9,MAX(Metodologia_v4!$B$8,(Indicadores_v4!$G30-Dados_Ajustados_v4!S30)/(Indicadores_v4!$G30-Indicadores_v4!$F30)*100))))</f>
        <v/>
      </c>
      <c r="R30" s="9">
        <f>IF(Dados_Ajustados_v4!T30="","",IF(Indicadores_v4!$E30="+",MIN(Metodologia_v4!$B$9,MAX(Metodologia_v4!$B$8,(Dados_Ajustados_v4!T30-Indicadores_v4!$F30)/(Indicadores_v4!$G30-Indicadores_v4!$F30)*100)),MIN(Metodologia_v4!$B$9,MAX(Metodologia_v4!$B$8,(Indicadores_v4!$G30-Dados_Ajustados_v4!T30)/(Indicadores_v4!$G30-Indicadores_v4!$F30)*100))))</f>
        <v/>
      </c>
    </row>
    <row r="31">
      <c r="A31" s="5" t="inlineStr">
        <is>
          <t>INC06</t>
        </is>
      </c>
      <c r="B31" s="5" t="inlineStr">
        <is>
          <t>4. Inclusão Social e Protecção</t>
        </is>
      </c>
      <c r="C31" s="5" t="inlineStr">
        <is>
          <t>Mulheres no parlamento</t>
        </is>
      </c>
      <c r="D31" s="5">
        <f>Indicadores_v4!J31</f>
        <v/>
      </c>
      <c r="E31" s="5">
        <f>Indicadores_v4!I31</f>
        <v/>
      </c>
      <c r="F31" s="5">
        <f>COUNT(H31:R31)&amp;"/"&amp;COUNTA(H$4:R$4)</f>
        <v/>
      </c>
      <c r="G31" s="5" t="inlineStr">
        <is>
          <t>Min/max/sentido vêm de Indicadores_v4</t>
        </is>
      </c>
      <c r="H31" s="9">
        <f>IF(Dados_Ajustados_v4!J31="","",IF(Indicadores_v4!$E31="+",MIN(Metodologia_v4!$B$9,MAX(Metodologia_v4!$B$8,(Dados_Ajustados_v4!J31-Indicadores_v4!$F31)/(Indicadores_v4!$G31-Indicadores_v4!$F31)*100)),MIN(Metodologia_v4!$B$9,MAX(Metodologia_v4!$B$8,(Indicadores_v4!$G31-Dados_Ajustados_v4!J31)/(Indicadores_v4!$G31-Indicadores_v4!$F31)*100))))</f>
        <v/>
      </c>
      <c r="I31" s="9">
        <f>IF(Dados_Ajustados_v4!K31="","",IF(Indicadores_v4!$E31="+",MIN(Metodologia_v4!$B$9,MAX(Metodologia_v4!$B$8,(Dados_Ajustados_v4!K31-Indicadores_v4!$F31)/(Indicadores_v4!$G31-Indicadores_v4!$F31)*100)),MIN(Metodologia_v4!$B$9,MAX(Metodologia_v4!$B$8,(Indicadores_v4!$G31-Dados_Ajustados_v4!K31)/(Indicadores_v4!$G31-Indicadores_v4!$F31)*100))))</f>
        <v/>
      </c>
      <c r="J31" s="9">
        <f>IF(Dados_Ajustados_v4!L31="","",IF(Indicadores_v4!$E31="+",MIN(Metodologia_v4!$B$9,MAX(Metodologia_v4!$B$8,(Dados_Ajustados_v4!L31-Indicadores_v4!$F31)/(Indicadores_v4!$G31-Indicadores_v4!$F31)*100)),MIN(Metodologia_v4!$B$9,MAX(Metodologia_v4!$B$8,(Indicadores_v4!$G31-Dados_Ajustados_v4!L31)/(Indicadores_v4!$G31-Indicadores_v4!$F31)*100))))</f>
        <v/>
      </c>
      <c r="K31" s="9">
        <f>IF(Dados_Ajustados_v4!M31="","",IF(Indicadores_v4!$E31="+",MIN(Metodologia_v4!$B$9,MAX(Metodologia_v4!$B$8,(Dados_Ajustados_v4!M31-Indicadores_v4!$F31)/(Indicadores_v4!$G31-Indicadores_v4!$F31)*100)),MIN(Metodologia_v4!$B$9,MAX(Metodologia_v4!$B$8,(Indicadores_v4!$G31-Dados_Ajustados_v4!M31)/(Indicadores_v4!$G31-Indicadores_v4!$F31)*100))))</f>
        <v/>
      </c>
      <c r="L31" s="9">
        <f>IF(Dados_Ajustados_v4!N31="","",IF(Indicadores_v4!$E31="+",MIN(Metodologia_v4!$B$9,MAX(Metodologia_v4!$B$8,(Dados_Ajustados_v4!N31-Indicadores_v4!$F31)/(Indicadores_v4!$G31-Indicadores_v4!$F31)*100)),MIN(Metodologia_v4!$B$9,MAX(Metodologia_v4!$B$8,(Indicadores_v4!$G31-Dados_Ajustados_v4!N31)/(Indicadores_v4!$G31-Indicadores_v4!$F31)*100))))</f>
        <v/>
      </c>
      <c r="M31" s="9">
        <f>IF(Dados_Ajustados_v4!O31="","",IF(Indicadores_v4!$E31="+",MIN(Metodologia_v4!$B$9,MAX(Metodologia_v4!$B$8,(Dados_Ajustados_v4!O31-Indicadores_v4!$F31)/(Indicadores_v4!$G31-Indicadores_v4!$F31)*100)),MIN(Metodologia_v4!$B$9,MAX(Metodologia_v4!$B$8,(Indicadores_v4!$G31-Dados_Ajustados_v4!O31)/(Indicadores_v4!$G31-Indicadores_v4!$F31)*100))))</f>
        <v/>
      </c>
      <c r="N31" s="9">
        <f>IF(Dados_Ajustados_v4!P31="","",IF(Indicadores_v4!$E31="+",MIN(Metodologia_v4!$B$9,MAX(Metodologia_v4!$B$8,(Dados_Ajustados_v4!P31-Indicadores_v4!$F31)/(Indicadores_v4!$G31-Indicadores_v4!$F31)*100)),MIN(Metodologia_v4!$B$9,MAX(Metodologia_v4!$B$8,(Indicadores_v4!$G31-Dados_Ajustados_v4!P31)/(Indicadores_v4!$G31-Indicadores_v4!$F31)*100))))</f>
        <v/>
      </c>
      <c r="O31" s="9">
        <f>IF(Dados_Ajustados_v4!Q31="","",IF(Indicadores_v4!$E31="+",MIN(Metodologia_v4!$B$9,MAX(Metodologia_v4!$B$8,(Dados_Ajustados_v4!Q31-Indicadores_v4!$F31)/(Indicadores_v4!$G31-Indicadores_v4!$F31)*100)),MIN(Metodologia_v4!$B$9,MAX(Metodologia_v4!$B$8,(Indicadores_v4!$G31-Dados_Ajustados_v4!Q31)/(Indicadores_v4!$G31-Indicadores_v4!$F31)*100))))</f>
        <v/>
      </c>
      <c r="P31" s="9">
        <f>IF(Dados_Ajustados_v4!R31="","",IF(Indicadores_v4!$E31="+",MIN(Metodologia_v4!$B$9,MAX(Metodologia_v4!$B$8,(Dados_Ajustados_v4!R31-Indicadores_v4!$F31)/(Indicadores_v4!$G31-Indicadores_v4!$F31)*100)),MIN(Metodologia_v4!$B$9,MAX(Metodologia_v4!$B$8,(Indicadores_v4!$G31-Dados_Ajustados_v4!R31)/(Indicadores_v4!$G31-Indicadores_v4!$F31)*100))))</f>
        <v/>
      </c>
      <c r="Q31" s="9">
        <f>IF(Dados_Ajustados_v4!S31="","",IF(Indicadores_v4!$E31="+",MIN(Metodologia_v4!$B$9,MAX(Metodologia_v4!$B$8,(Dados_Ajustados_v4!S31-Indicadores_v4!$F31)/(Indicadores_v4!$G31-Indicadores_v4!$F31)*100)),MIN(Metodologia_v4!$B$9,MAX(Metodologia_v4!$B$8,(Indicadores_v4!$G31-Dados_Ajustados_v4!S31)/(Indicadores_v4!$G31-Indicadores_v4!$F31)*100))))</f>
        <v/>
      </c>
      <c r="R31" s="9">
        <f>IF(Dados_Ajustados_v4!T31="","",IF(Indicadores_v4!$E31="+",MIN(Metodologia_v4!$B$9,MAX(Metodologia_v4!$B$8,(Dados_Ajustados_v4!T31-Indicadores_v4!$F31)/(Indicadores_v4!$G31-Indicadores_v4!$F31)*100)),MIN(Metodologia_v4!$B$9,MAX(Metodologia_v4!$B$8,(Indicadores_v4!$G31-Dados_Ajustados_v4!T31)/(Indicadores_v4!$G31-Indicadores_v4!$F31)*100))))</f>
        <v/>
      </c>
    </row>
    <row r="32">
      <c r="A32" s="5" t="inlineStr">
        <is>
          <t>INC07</t>
        </is>
      </c>
      <c r="B32" s="5" t="inlineStr">
        <is>
          <t>4. Inclusão Social e Protecção</t>
        </is>
      </c>
      <c r="C32" s="5" t="inlineStr">
        <is>
          <t>Jovens NEET</t>
        </is>
      </c>
      <c r="D32" s="5">
        <f>Indicadores_v4!J32</f>
        <v/>
      </c>
      <c r="E32" s="5">
        <f>Indicadores_v4!I32</f>
        <v/>
      </c>
      <c r="F32" s="5">
        <f>COUNT(H32:R32)&amp;"/"&amp;COUNTA(H$4:R$4)</f>
        <v/>
      </c>
      <c r="G32" s="5" t="inlineStr">
        <is>
          <t>Min/max/sentido vêm de Indicadores_v4</t>
        </is>
      </c>
      <c r="H32" s="9">
        <f>IF(Dados_Ajustados_v4!J32="","",IF(Indicadores_v4!$E32="+",MIN(Metodologia_v4!$B$9,MAX(Metodologia_v4!$B$8,(Dados_Ajustados_v4!J32-Indicadores_v4!$F32)/(Indicadores_v4!$G32-Indicadores_v4!$F32)*100)),MIN(Metodologia_v4!$B$9,MAX(Metodologia_v4!$B$8,(Indicadores_v4!$G32-Dados_Ajustados_v4!J32)/(Indicadores_v4!$G32-Indicadores_v4!$F32)*100))))</f>
        <v/>
      </c>
      <c r="I32" s="9">
        <f>IF(Dados_Ajustados_v4!K32="","",IF(Indicadores_v4!$E32="+",MIN(Metodologia_v4!$B$9,MAX(Metodologia_v4!$B$8,(Dados_Ajustados_v4!K32-Indicadores_v4!$F32)/(Indicadores_v4!$G32-Indicadores_v4!$F32)*100)),MIN(Metodologia_v4!$B$9,MAX(Metodologia_v4!$B$8,(Indicadores_v4!$G32-Dados_Ajustados_v4!K32)/(Indicadores_v4!$G32-Indicadores_v4!$F32)*100))))</f>
        <v/>
      </c>
      <c r="J32" s="9">
        <f>IF(Dados_Ajustados_v4!L32="","",IF(Indicadores_v4!$E32="+",MIN(Metodologia_v4!$B$9,MAX(Metodologia_v4!$B$8,(Dados_Ajustados_v4!L32-Indicadores_v4!$F32)/(Indicadores_v4!$G32-Indicadores_v4!$F32)*100)),MIN(Metodologia_v4!$B$9,MAX(Metodologia_v4!$B$8,(Indicadores_v4!$G32-Dados_Ajustados_v4!L32)/(Indicadores_v4!$G32-Indicadores_v4!$F32)*100))))</f>
        <v/>
      </c>
      <c r="K32" s="9">
        <f>IF(Dados_Ajustados_v4!M32="","",IF(Indicadores_v4!$E32="+",MIN(Metodologia_v4!$B$9,MAX(Metodologia_v4!$B$8,(Dados_Ajustados_v4!M32-Indicadores_v4!$F32)/(Indicadores_v4!$G32-Indicadores_v4!$F32)*100)),MIN(Metodologia_v4!$B$9,MAX(Metodologia_v4!$B$8,(Indicadores_v4!$G32-Dados_Ajustados_v4!M32)/(Indicadores_v4!$G32-Indicadores_v4!$F32)*100))))</f>
        <v/>
      </c>
      <c r="L32" s="9">
        <f>IF(Dados_Ajustados_v4!N32="","",IF(Indicadores_v4!$E32="+",MIN(Metodologia_v4!$B$9,MAX(Metodologia_v4!$B$8,(Dados_Ajustados_v4!N32-Indicadores_v4!$F32)/(Indicadores_v4!$G32-Indicadores_v4!$F32)*100)),MIN(Metodologia_v4!$B$9,MAX(Metodologia_v4!$B$8,(Indicadores_v4!$G32-Dados_Ajustados_v4!N32)/(Indicadores_v4!$G32-Indicadores_v4!$F32)*100))))</f>
        <v/>
      </c>
      <c r="M32" s="9">
        <f>IF(Dados_Ajustados_v4!O32="","",IF(Indicadores_v4!$E32="+",MIN(Metodologia_v4!$B$9,MAX(Metodologia_v4!$B$8,(Dados_Ajustados_v4!O32-Indicadores_v4!$F32)/(Indicadores_v4!$G32-Indicadores_v4!$F32)*100)),MIN(Metodologia_v4!$B$9,MAX(Metodologia_v4!$B$8,(Indicadores_v4!$G32-Dados_Ajustados_v4!O32)/(Indicadores_v4!$G32-Indicadores_v4!$F32)*100))))</f>
        <v/>
      </c>
      <c r="N32" s="9">
        <f>IF(Dados_Ajustados_v4!P32="","",IF(Indicadores_v4!$E32="+",MIN(Metodologia_v4!$B$9,MAX(Metodologia_v4!$B$8,(Dados_Ajustados_v4!P32-Indicadores_v4!$F32)/(Indicadores_v4!$G32-Indicadores_v4!$F32)*100)),MIN(Metodologia_v4!$B$9,MAX(Metodologia_v4!$B$8,(Indicadores_v4!$G32-Dados_Ajustados_v4!P32)/(Indicadores_v4!$G32-Indicadores_v4!$F32)*100))))</f>
        <v/>
      </c>
      <c r="O32" s="9">
        <f>IF(Dados_Ajustados_v4!Q32="","",IF(Indicadores_v4!$E32="+",MIN(Metodologia_v4!$B$9,MAX(Metodologia_v4!$B$8,(Dados_Ajustados_v4!Q32-Indicadores_v4!$F32)/(Indicadores_v4!$G32-Indicadores_v4!$F32)*100)),MIN(Metodologia_v4!$B$9,MAX(Metodologia_v4!$B$8,(Indicadores_v4!$G32-Dados_Ajustados_v4!Q32)/(Indicadores_v4!$G32-Indicadores_v4!$F32)*100))))</f>
        <v/>
      </c>
      <c r="P32" s="9">
        <f>IF(Dados_Ajustados_v4!R32="","",IF(Indicadores_v4!$E32="+",MIN(Metodologia_v4!$B$9,MAX(Metodologia_v4!$B$8,(Dados_Ajustados_v4!R32-Indicadores_v4!$F32)/(Indicadores_v4!$G32-Indicadores_v4!$F32)*100)),MIN(Metodologia_v4!$B$9,MAX(Metodologia_v4!$B$8,(Indicadores_v4!$G32-Dados_Ajustados_v4!R32)/(Indicadores_v4!$G32-Indicadores_v4!$F32)*100))))</f>
        <v/>
      </c>
      <c r="Q32" s="9">
        <f>IF(Dados_Ajustados_v4!S32="","",IF(Indicadores_v4!$E32="+",MIN(Metodologia_v4!$B$9,MAX(Metodologia_v4!$B$8,(Dados_Ajustados_v4!S32-Indicadores_v4!$F32)/(Indicadores_v4!$G32-Indicadores_v4!$F32)*100)),MIN(Metodologia_v4!$B$9,MAX(Metodologia_v4!$B$8,(Indicadores_v4!$G32-Dados_Ajustados_v4!S32)/(Indicadores_v4!$G32-Indicadores_v4!$F32)*100))))</f>
        <v/>
      </c>
      <c r="R32" s="9">
        <f>IF(Dados_Ajustados_v4!T32="","",IF(Indicadores_v4!$E32="+",MIN(Metodologia_v4!$B$9,MAX(Metodologia_v4!$B$8,(Dados_Ajustados_v4!T32-Indicadores_v4!$F32)/(Indicadores_v4!$G32-Indicadores_v4!$F32)*100)),MIN(Metodologia_v4!$B$9,MAX(Metodologia_v4!$B$8,(Indicadores_v4!$G32-Dados_Ajustados_v4!T32)/(Indicadores_v4!$G32-Indicadores_v4!$F32)*100))))</f>
        <v/>
      </c>
    </row>
    <row r="33">
      <c r="A33" s="5" t="inlineStr">
        <is>
          <t>INC08</t>
        </is>
      </c>
      <c r="B33" s="5" t="inlineStr">
        <is>
          <t>4. Inclusão Social e Protecção</t>
        </is>
      </c>
      <c r="C33" s="5" t="inlineStr">
        <is>
          <t>RNB per capita</t>
        </is>
      </c>
      <c r="D33" s="5">
        <f>Indicadores_v4!J33</f>
        <v/>
      </c>
      <c r="E33" s="5">
        <f>Indicadores_v4!I33</f>
        <v/>
      </c>
      <c r="F33" s="5">
        <f>COUNT(H33:R33)&amp;"/"&amp;COUNTA(H$4:R$4)</f>
        <v/>
      </c>
      <c r="G33" s="5" t="inlineStr">
        <is>
          <t>Min/max/sentido vêm de Indicadores_v4</t>
        </is>
      </c>
      <c r="H33" s="9">
        <f>IF(Dados_Ajustados_v4!J33="","",IF(Indicadores_v4!$E33="+",MIN(Metodologia_v4!$B$9,MAX(Metodologia_v4!$B$8,(Dados_Ajustados_v4!J33-Indicadores_v4!$F33)/(Indicadores_v4!$G33-Indicadores_v4!$F33)*100)),MIN(Metodologia_v4!$B$9,MAX(Metodologia_v4!$B$8,(Indicadores_v4!$G33-Dados_Ajustados_v4!J33)/(Indicadores_v4!$G33-Indicadores_v4!$F33)*100))))</f>
        <v/>
      </c>
      <c r="I33" s="9">
        <f>IF(Dados_Ajustados_v4!K33="","",IF(Indicadores_v4!$E33="+",MIN(Metodologia_v4!$B$9,MAX(Metodologia_v4!$B$8,(Dados_Ajustados_v4!K33-Indicadores_v4!$F33)/(Indicadores_v4!$G33-Indicadores_v4!$F33)*100)),MIN(Metodologia_v4!$B$9,MAX(Metodologia_v4!$B$8,(Indicadores_v4!$G33-Dados_Ajustados_v4!K33)/(Indicadores_v4!$G33-Indicadores_v4!$F33)*100))))</f>
        <v/>
      </c>
      <c r="J33" s="9">
        <f>IF(Dados_Ajustados_v4!L33="","",IF(Indicadores_v4!$E33="+",MIN(Metodologia_v4!$B$9,MAX(Metodologia_v4!$B$8,(Dados_Ajustados_v4!L33-Indicadores_v4!$F33)/(Indicadores_v4!$G33-Indicadores_v4!$F33)*100)),MIN(Metodologia_v4!$B$9,MAX(Metodologia_v4!$B$8,(Indicadores_v4!$G33-Dados_Ajustados_v4!L33)/(Indicadores_v4!$G33-Indicadores_v4!$F33)*100))))</f>
        <v/>
      </c>
      <c r="K33" s="9">
        <f>IF(Dados_Ajustados_v4!M33="","",IF(Indicadores_v4!$E33="+",MIN(Metodologia_v4!$B$9,MAX(Metodologia_v4!$B$8,(Dados_Ajustados_v4!M33-Indicadores_v4!$F33)/(Indicadores_v4!$G33-Indicadores_v4!$F33)*100)),MIN(Metodologia_v4!$B$9,MAX(Metodologia_v4!$B$8,(Indicadores_v4!$G33-Dados_Ajustados_v4!M33)/(Indicadores_v4!$G33-Indicadores_v4!$F33)*100))))</f>
        <v/>
      </c>
      <c r="L33" s="9">
        <f>IF(Dados_Ajustados_v4!N33="","",IF(Indicadores_v4!$E33="+",MIN(Metodologia_v4!$B$9,MAX(Metodologia_v4!$B$8,(Dados_Ajustados_v4!N33-Indicadores_v4!$F33)/(Indicadores_v4!$G33-Indicadores_v4!$F33)*100)),MIN(Metodologia_v4!$B$9,MAX(Metodologia_v4!$B$8,(Indicadores_v4!$G33-Dados_Ajustados_v4!N33)/(Indicadores_v4!$G33-Indicadores_v4!$F33)*100))))</f>
        <v/>
      </c>
      <c r="M33" s="9">
        <f>IF(Dados_Ajustados_v4!O33="","",IF(Indicadores_v4!$E33="+",MIN(Metodologia_v4!$B$9,MAX(Metodologia_v4!$B$8,(Dados_Ajustados_v4!O33-Indicadores_v4!$F33)/(Indicadores_v4!$G33-Indicadores_v4!$F33)*100)),MIN(Metodologia_v4!$B$9,MAX(Metodologia_v4!$B$8,(Indicadores_v4!$G33-Dados_Ajustados_v4!O33)/(Indicadores_v4!$G33-Indicadores_v4!$F33)*100))))</f>
        <v/>
      </c>
      <c r="N33" s="9">
        <f>IF(Dados_Ajustados_v4!P33="","",IF(Indicadores_v4!$E33="+",MIN(Metodologia_v4!$B$9,MAX(Metodologia_v4!$B$8,(Dados_Ajustados_v4!P33-Indicadores_v4!$F33)/(Indicadores_v4!$G33-Indicadores_v4!$F33)*100)),MIN(Metodologia_v4!$B$9,MAX(Metodologia_v4!$B$8,(Indicadores_v4!$G33-Dados_Ajustados_v4!P33)/(Indicadores_v4!$G33-Indicadores_v4!$F33)*100))))</f>
        <v/>
      </c>
      <c r="O33" s="9">
        <f>IF(Dados_Ajustados_v4!Q33="","",IF(Indicadores_v4!$E33="+",MIN(Metodologia_v4!$B$9,MAX(Metodologia_v4!$B$8,(Dados_Ajustados_v4!Q33-Indicadores_v4!$F33)/(Indicadores_v4!$G33-Indicadores_v4!$F33)*100)),MIN(Metodologia_v4!$B$9,MAX(Metodologia_v4!$B$8,(Indicadores_v4!$G33-Dados_Ajustados_v4!Q33)/(Indicadores_v4!$G33-Indicadores_v4!$F33)*100))))</f>
        <v/>
      </c>
      <c r="P33" s="9">
        <f>IF(Dados_Ajustados_v4!R33="","",IF(Indicadores_v4!$E33="+",MIN(Metodologia_v4!$B$9,MAX(Metodologia_v4!$B$8,(Dados_Ajustados_v4!R33-Indicadores_v4!$F33)/(Indicadores_v4!$G33-Indicadores_v4!$F33)*100)),MIN(Metodologia_v4!$B$9,MAX(Metodologia_v4!$B$8,(Indicadores_v4!$G33-Dados_Ajustados_v4!R33)/(Indicadores_v4!$G33-Indicadores_v4!$F33)*100))))</f>
        <v/>
      </c>
      <c r="Q33" s="9">
        <f>IF(Dados_Ajustados_v4!S33="","",IF(Indicadores_v4!$E33="+",MIN(Metodologia_v4!$B$9,MAX(Metodologia_v4!$B$8,(Dados_Ajustados_v4!S33-Indicadores_v4!$F33)/(Indicadores_v4!$G33-Indicadores_v4!$F33)*100)),MIN(Metodologia_v4!$B$9,MAX(Metodologia_v4!$B$8,(Indicadores_v4!$G33-Dados_Ajustados_v4!S33)/(Indicadores_v4!$G33-Indicadores_v4!$F33)*100))))</f>
        <v/>
      </c>
      <c r="R33" s="9">
        <f>IF(Dados_Ajustados_v4!T33="","",IF(Indicadores_v4!$E33="+",MIN(Metodologia_v4!$B$9,MAX(Metodologia_v4!$B$8,(Dados_Ajustados_v4!T33-Indicadores_v4!$F33)/(Indicadores_v4!$G33-Indicadores_v4!$F33)*100)),MIN(Metodologia_v4!$B$9,MAX(Metodologia_v4!$B$8,(Indicadores_v4!$G33-Dados_Ajustados_v4!T33)/(Indicadores_v4!$G33-Indicadores_v4!$F33)*100))))</f>
        <v/>
      </c>
    </row>
    <row r="34">
      <c r="A34" s="5" t="inlineStr">
        <is>
          <t>INF01</t>
        </is>
      </c>
      <c r="B34" s="5" t="inlineStr">
        <is>
          <t>5. Infraestruturas e Serviços</t>
        </is>
      </c>
      <c r="C34" s="5" t="inlineStr">
        <is>
          <t>Acesso à eletricidade</t>
        </is>
      </c>
      <c r="D34" s="5">
        <f>Indicadores_v4!J34</f>
        <v/>
      </c>
      <c r="E34" s="5">
        <f>Indicadores_v4!I34</f>
        <v/>
      </c>
      <c r="F34" s="5">
        <f>COUNT(H34:R34)&amp;"/"&amp;COUNTA(H$4:R$4)</f>
        <v/>
      </c>
      <c r="G34" s="5" t="inlineStr">
        <is>
          <t>Min/max/sentido vêm de Indicadores_v4</t>
        </is>
      </c>
      <c r="H34" s="9">
        <f>IF(Dados_Ajustados_v4!J34="","",IF(Indicadores_v4!$E34="+",MIN(Metodologia_v4!$B$9,MAX(Metodologia_v4!$B$8,(Dados_Ajustados_v4!J34-Indicadores_v4!$F34)/(Indicadores_v4!$G34-Indicadores_v4!$F34)*100)),MIN(Metodologia_v4!$B$9,MAX(Metodologia_v4!$B$8,(Indicadores_v4!$G34-Dados_Ajustados_v4!J34)/(Indicadores_v4!$G34-Indicadores_v4!$F34)*100))))</f>
        <v/>
      </c>
      <c r="I34" s="9">
        <f>IF(Dados_Ajustados_v4!K34="","",IF(Indicadores_v4!$E34="+",MIN(Metodologia_v4!$B$9,MAX(Metodologia_v4!$B$8,(Dados_Ajustados_v4!K34-Indicadores_v4!$F34)/(Indicadores_v4!$G34-Indicadores_v4!$F34)*100)),MIN(Metodologia_v4!$B$9,MAX(Metodologia_v4!$B$8,(Indicadores_v4!$G34-Dados_Ajustados_v4!K34)/(Indicadores_v4!$G34-Indicadores_v4!$F34)*100))))</f>
        <v/>
      </c>
      <c r="J34" s="9">
        <f>IF(Dados_Ajustados_v4!L34="","",IF(Indicadores_v4!$E34="+",MIN(Metodologia_v4!$B$9,MAX(Metodologia_v4!$B$8,(Dados_Ajustados_v4!L34-Indicadores_v4!$F34)/(Indicadores_v4!$G34-Indicadores_v4!$F34)*100)),MIN(Metodologia_v4!$B$9,MAX(Metodologia_v4!$B$8,(Indicadores_v4!$G34-Dados_Ajustados_v4!L34)/(Indicadores_v4!$G34-Indicadores_v4!$F34)*100))))</f>
        <v/>
      </c>
      <c r="K34" s="9">
        <f>IF(Dados_Ajustados_v4!M34="","",IF(Indicadores_v4!$E34="+",MIN(Metodologia_v4!$B$9,MAX(Metodologia_v4!$B$8,(Dados_Ajustados_v4!M34-Indicadores_v4!$F34)/(Indicadores_v4!$G34-Indicadores_v4!$F34)*100)),MIN(Metodologia_v4!$B$9,MAX(Metodologia_v4!$B$8,(Indicadores_v4!$G34-Dados_Ajustados_v4!M34)/(Indicadores_v4!$G34-Indicadores_v4!$F34)*100))))</f>
        <v/>
      </c>
      <c r="L34" s="9">
        <f>IF(Dados_Ajustados_v4!N34="","",IF(Indicadores_v4!$E34="+",MIN(Metodologia_v4!$B$9,MAX(Metodologia_v4!$B$8,(Dados_Ajustados_v4!N34-Indicadores_v4!$F34)/(Indicadores_v4!$G34-Indicadores_v4!$F34)*100)),MIN(Metodologia_v4!$B$9,MAX(Metodologia_v4!$B$8,(Indicadores_v4!$G34-Dados_Ajustados_v4!N34)/(Indicadores_v4!$G34-Indicadores_v4!$F34)*100))))</f>
        <v/>
      </c>
      <c r="M34" s="9">
        <f>IF(Dados_Ajustados_v4!O34="","",IF(Indicadores_v4!$E34="+",MIN(Metodologia_v4!$B$9,MAX(Metodologia_v4!$B$8,(Dados_Ajustados_v4!O34-Indicadores_v4!$F34)/(Indicadores_v4!$G34-Indicadores_v4!$F34)*100)),MIN(Metodologia_v4!$B$9,MAX(Metodologia_v4!$B$8,(Indicadores_v4!$G34-Dados_Ajustados_v4!O34)/(Indicadores_v4!$G34-Indicadores_v4!$F34)*100))))</f>
        <v/>
      </c>
      <c r="N34" s="9">
        <f>IF(Dados_Ajustados_v4!P34="","",IF(Indicadores_v4!$E34="+",MIN(Metodologia_v4!$B$9,MAX(Metodologia_v4!$B$8,(Dados_Ajustados_v4!P34-Indicadores_v4!$F34)/(Indicadores_v4!$G34-Indicadores_v4!$F34)*100)),MIN(Metodologia_v4!$B$9,MAX(Metodologia_v4!$B$8,(Indicadores_v4!$G34-Dados_Ajustados_v4!P34)/(Indicadores_v4!$G34-Indicadores_v4!$F34)*100))))</f>
        <v/>
      </c>
      <c r="O34" s="9">
        <f>IF(Dados_Ajustados_v4!Q34="","",IF(Indicadores_v4!$E34="+",MIN(Metodologia_v4!$B$9,MAX(Metodologia_v4!$B$8,(Dados_Ajustados_v4!Q34-Indicadores_v4!$F34)/(Indicadores_v4!$G34-Indicadores_v4!$F34)*100)),MIN(Metodologia_v4!$B$9,MAX(Metodologia_v4!$B$8,(Indicadores_v4!$G34-Dados_Ajustados_v4!Q34)/(Indicadores_v4!$G34-Indicadores_v4!$F34)*100))))</f>
        <v/>
      </c>
      <c r="P34" s="9">
        <f>IF(Dados_Ajustados_v4!R34="","",IF(Indicadores_v4!$E34="+",MIN(Metodologia_v4!$B$9,MAX(Metodologia_v4!$B$8,(Dados_Ajustados_v4!R34-Indicadores_v4!$F34)/(Indicadores_v4!$G34-Indicadores_v4!$F34)*100)),MIN(Metodologia_v4!$B$9,MAX(Metodologia_v4!$B$8,(Indicadores_v4!$G34-Dados_Ajustados_v4!R34)/(Indicadores_v4!$G34-Indicadores_v4!$F34)*100))))</f>
        <v/>
      </c>
      <c r="Q34" s="9">
        <f>IF(Dados_Ajustados_v4!S34="","",IF(Indicadores_v4!$E34="+",MIN(Metodologia_v4!$B$9,MAX(Metodologia_v4!$B$8,(Dados_Ajustados_v4!S34-Indicadores_v4!$F34)/(Indicadores_v4!$G34-Indicadores_v4!$F34)*100)),MIN(Metodologia_v4!$B$9,MAX(Metodologia_v4!$B$8,(Indicadores_v4!$G34-Dados_Ajustados_v4!S34)/(Indicadores_v4!$G34-Indicadores_v4!$F34)*100))))</f>
        <v/>
      </c>
      <c r="R34" s="9">
        <f>IF(Dados_Ajustados_v4!T34="","",IF(Indicadores_v4!$E34="+",MIN(Metodologia_v4!$B$9,MAX(Metodologia_v4!$B$8,(Dados_Ajustados_v4!T34-Indicadores_v4!$F34)/(Indicadores_v4!$G34-Indicadores_v4!$F34)*100)),MIN(Metodologia_v4!$B$9,MAX(Metodologia_v4!$B$8,(Indicadores_v4!$G34-Dados_Ajustados_v4!T34)/(Indicadores_v4!$G34-Indicadores_v4!$F34)*100))))</f>
        <v/>
      </c>
    </row>
    <row r="35">
      <c r="A35" s="5" t="inlineStr">
        <is>
          <t>INF02</t>
        </is>
      </c>
      <c r="B35" s="5" t="inlineStr">
        <is>
          <t>5. Infraestruturas e Serviços</t>
        </is>
      </c>
      <c r="C35" s="5" t="inlineStr">
        <is>
          <t>Perdas na rede elétrica</t>
        </is>
      </c>
      <c r="D35" s="5">
        <f>Indicadores_v4!J35</f>
        <v/>
      </c>
      <c r="E35" s="5">
        <f>Indicadores_v4!I35</f>
        <v/>
      </c>
      <c r="F35" s="5">
        <f>COUNT(H35:R35)&amp;"/"&amp;COUNTA(H$4:R$4)</f>
        <v/>
      </c>
      <c r="G35" s="5" t="inlineStr">
        <is>
          <t>Min/max/sentido vêm de Indicadores_v4</t>
        </is>
      </c>
      <c r="H35" s="9">
        <f>IF(Dados_Ajustados_v4!J35="","",IF(Indicadores_v4!$E35="+",MIN(Metodologia_v4!$B$9,MAX(Metodologia_v4!$B$8,(Dados_Ajustados_v4!J35-Indicadores_v4!$F35)/(Indicadores_v4!$G35-Indicadores_v4!$F35)*100)),MIN(Metodologia_v4!$B$9,MAX(Metodologia_v4!$B$8,(Indicadores_v4!$G35-Dados_Ajustados_v4!J35)/(Indicadores_v4!$G35-Indicadores_v4!$F35)*100))))</f>
        <v/>
      </c>
      <c r="I35" s="9">
        <f>IF(Dados_Ajustados_v4!K35="","",IF(Indicadores_v4!$E35="+",MIN(Metodologia_v4!$B$9,MAX(Metodologia_v4!$B$8,(Dados_Ajustados_v4!K35-Indicadores_v4!$F35)/(Indicadores_v4!$G35-Indicadores_v4!$F35)*100)),MIN(Metodologia_v4!$B$9,MAX(Metodologia_v4!$B$8,(Indicadores_v4!$G35-Dados_Ajustados_v4!K35)/(Indicadores_v4!$G35-Indicadores_v4!$F35)*100))))</f>
        <v/>
      </c>
      <c r="J35" s="9">
        <f>IF(Dados_Ajustados_v4!L35="","",IF(Indicadores_v4!$E35="+",MIN(Metodologia_v4!$B$9,MAX(Metodologia_v4!$B$8,(Dados_Ajustados_v4!L35-Indicadores_v4!$F35)/(Indicadores_v4!$G35-Indicadores_v4!$F35)*100)),MIN(Metodologia_v4!$B$9,MAX(Metodologia_v4!$B$8,(Indicadores_v4!$G35-Dados_Ajustados_v4!L35)/(Indicadores_v4!$G35-Indicadores_v4!$F35)*100))))</f>
        <v/>
      </c>
      <c r="K35" s="9">
        <f>IF(Dados_Ajustados_v4!M35="","",IF(Indicadores_v4!$E35="+",MIN(Metodologia_v4!$B$9,MAX(Metodologia_v4!$B$8,(Dados_Ajustados_v4!M35-Indicadores_v4!$F35)/(Indicadores_v4!$G35-Indicadores_v4!$F35)*100)),MIN(Metodologia_v4!$B$9,MAX(Metodologia_v4!$B$8,(Indicadores_v4!$G35-Dados_Ajustados_v4!M35)/(Indicadores_v4!$G35-Indicadores_v4!$F35)*100))))</f>
        <v/>
      </c>
      <c r="L35" s="9">
        <f>IF(Dados_Ajustados_v4!N35="","",IF(Indicadores_v4!$E35="+",MIN(Metodologia_v4!$B$9,MAX(Metodologia_v4!$B$8,(Dados_Ajustados_v4!N35-Indicadores_v4!$F35)/(Indicadores_v4!$G35-Indicadores_v4!$F35)*100)),MIN(Metodologia_v4!$B$9,MAX(Metodologia_v4!$B$8,(Indicadores_v4!$G35-Dados_Ajustados_v4!N35)/(Indicadores_v4!$G35-Indicadores_v4!$F35)*100))))</f>
        <v/>
      </c>
      <c r="M35" s="9">
        <f>IF(Dados_Ajustados_v4!O35="","",IF(Indicadores_v4!$E35="+",MIN(Metodologia_v4!$B$9,MAX(Metodologia_v4!$B$8,(Dados_Ajustados_v4!O35-Indicadores_v4!$F35)/(Indicadores_v4!$G35-Indicadores_v4!$F35)*100)),MIN(Metodologia_v4!$B$9,MAX(Metodologia_v4!$B$8,(Indicadores_v4!$G35-Dados_Ajustados_v4!O35)/(Indicadores_v4!$G35-Indicadores_v4!$F35)*100))))</f>
        <v/>
      </c>
      <c r="N35" s="9">
        <f>IF(Dados_Ajustados_v4!P35="","",IF(Indicadores_v4!$E35="+",MIN(Metodologia_v4!$B$9,MAX(Metodologia_v4!$B$8,(Dados_Ajustados_v4!P35-Indicadores_v4!$F35)/(Indicadores_v4!$G35-Indicadores_v4!$F35)*100)),MIN(Metodologia_v4!$B$9,MAX(Metodologia_v4!$B$8,(Indicadores_v4!$G35-Dados_Ajustados_v4!P35)/(Indicadores_v4!$G35-Indicadores_v4!$F35)*100))))</f>
        <v/>
      </c>
      <c r="O35" s="9">
        <f>IF(Dados_Ajustados_v4!Q35="","",IF(Indicadores_v4!$E35="+",MIN(Metodologia_v4!$B$9,MAX(Metodologia_v4!$B$8,(Dados_Ajustados_v4!Q35-Indicadores_v4!$F35)/(Indicadores_v4!$G35-Indicadores_v4!$F35)*100)),MIN(Metodologia_v4!$B$9,MAX(Metodologia_v4!$B$8,(Indicadores_v4!$G35-Dados_Ajustados_v4!Q35)/(Indicadores_v4!$G35-Indicadores_v4!$F35)*100))))</f>
        <v/>
      </c>
      <c r="P35" s="9">
        <f>IF(Dados_Ajustados_v4!R35="","",IF(Indicadores_v4!$E35="+",MIN(Metodologia_v4!$B$9,MAX(Metodologia_v4!$B$8,(Dados_Ajustados_v4!R35-Indicadores_v4!$F35)/(Indicadores_v4!$G35-Indicadores_v4!$F35)*100)),MIN(Metodologia_v4!$B$9,MAX(Metodologia_v4!$B$8,(Indicadores_v4!$G35-Dados_Ajustados_v4!R35)/(Indicadores_v4!$G35-Indicadores_v4!$F35)*100))))</f>
        <v/>
      </c>
      <c r="Q35" s="9">
        <f>IF(Dados_Ajustados_v4!S35="","",IF(Indicadores_v4!$E35="+",MIN(Metodologia_v4!$B$9,MAX(Metodologia_v4!$B$8,(Dados_Ajustados_v4!S35-Indicadores_v4!$F35)/(Indicadores_v4!$G35-Indicadores_v4!$F35)*100)),MIN(Metodologia_v4!$B$9,MAX(Metodologia_v4!$B$8,(Indicadores_v4!$G35-Dados_Ajustados_v4!S35)/(Indicadores_v4!$G35-Indicadores_v4!$F35)*100))))</f>
        <v/>
      </c>
      <c r="R35" s="9">
        <f>IF(Dados_Ajustados_v4!T35="","",IF(Indicadores_v4!$E35="+",MIN(Metodologia_v4!$B$9,MAX(Metodologia_v4!$B$8,(Dados_Ajustados_v4!T35-Indicadores_v4!$F35)/(Indicadores_v4!$G35-Indicadores_v4!$F35)*100)),MIN(Metodologia_v4!$B$9,MAX(Metodologia_v4!$B$8,(Indicadores_v4!$G35-Dados_Ajustados_v4!T35)/(Indicadores_v4!$G35-Indicadores_v4!$F35)*100))))</f>
        <v/>
      </c>
    </row>
    <row r="36">
      <c r="A36" s="5" t="inlineStr">
        <is>
          <t>INF03</t>
        </is>
      </c>
      <c r="B36" s="5" t="inlineStr">
        <is>
          <t>5. Infraestruturas e Serviços</t>
        </is>
      </c>
      <c r="C36" s="5" t="inlineStr">
        <is>
          <t>Acesso a água potável básica</t>
        </is>
      </c>
      <c r="D36" s="5">
        <f>Indicadores_v4!J36</f>
        <v/>
      </c>
      <c r="E36" s="5">
        <f>Indicadores_v4!I36</f>
        <v/>
      </c>
      <c r="F36" s="5">
        <f>COUNT(H36:R36)&amp;"/"&amp;COUNTA(H$4:R$4)</f>
        <v/>
      </c>
      <c r="G36" s="5" t="inlineStr">
        <is>
          <t>Min/max/sentido vêm de Indicadores_v4</t>
        </is>
      </c>
      <c r="H36" s="9">
        <f>IF(Dados_Ajustados_v4!J36="","",IF(Indicadores_v4!$E36="+",MIN(Metodologia_v4!$B$9,MAX(Metodologia_v4!$B$8,(Dados_Ajustados_v4!J36-Indicadores_v4!$F36)/(Indicadores_v4!$G36-Indicadores_v4!$F36)*100)),MIN(Metodologia_v4!$B$9,MAX(Metodologia_v4!$B$8,(Indicadores_v4!$G36-Dados_Ajustados_v4!J36)/(Indicadores_v4!$G36-Indicadores_v4!$F36)*100))))</f>
        <v/>
      </c>
      <c r="I36" s="9">
        <f>IF(Dados_Ajustados_v4!K36="","",IF(Indicadores_v4!$E36="+",MIN(Metodologia_v4!$B$9,MAX(Metodologia_v4!$B$8,(Dados_Ajustados_v4!K36-Indicadores_v4!$F36)/(Indicadores_v4!$G36-Indicadores_v4!$F36)*100)),MIN(Metodologia_v4!$B$9,MAX(Metodologia_v4!$B$8,(Indicadores_v4!$G36-Dados_Ajustados_v4!K36)/(Indicadores_v4!$G36-Indicadores_v4!$F36)*100))))</f>
        <v/>
      </c>
      <c r="J36" s="9">
        <f>IF(Dados_Ajustados_v4!L36="","",IF(Indicadores_v4!$E36="+",MIN(Metodologia_v4!$B$9,MAX(Metodologia_v4!$B$8,(Dados_Ajustados_v4!L36-Indicadores_v4!$F36)/(Indicadores_v4!$G36-Indicadores_v4!$F36)*100)),MIN(Metodologia_v4!$B$9,MAX(Metodologia_v4!$B$8,(Indicadores_v4!$G36-Dados_Ajustados_v4!L36)/(Indicadores_v4!$G36-Indicadores_v4!$F36)*100))))</f>
        <v/>
      </c>
      <c r="K36" s="9">
        <f>IF(Dados_Ajustados_v4!M36="","",IF(Indicadores_v4!$E36="+",MIN(Metodologia_v4!$B$9,MAX(Metodologia_v4!$B$8,(Dados_Ajustados_v4!M36-Indicadores_v4!$F36)/(Indicadores_v4!$G36-Indicadores_v4!$F36)*100)),MIN(Metodologia_v4!$B$9,MAX(Metodologia_v4!$B$8,(Indicadores_v4!$G36-Dados_Ajustados_v4!M36)/(Indicadores_v4!$G36-Indicadores_v4!$F36)*100))))</f>
        <v/>
      </c>
      <c r="L36" s="9">
        <f>IF(Dados_Ajustados_v4!N36="","",IF(Indicadores_v4!$E36="+",MIN(Metodologia_v4!$B$9,MAX(Metodologia_v4!$B$8,(Dados_Ajustados_v4!N36-Indicadores_v4!$F36)/(Indicadores_v4!$G36-Indicadores_v4!$F36)*100)),MIN(Metodologia_v4!$B$9,MAX(Metodologia_v4!$B$8,(Indicadores_v4!$G36-Dados_Ajustados_v4!N36)/(Indicadores_v4!$G36-Indicadores_v4!$F36)*100))))</f>
        <v/>
      </c>
      <c r="M36" s="9">
        <f>IF(Dados_Ajustados_v4!O36="","",IF(Indicadores_v4!$E36="+",MIN(Metodologia_v4!$B$9,MAX(Metodologia_v4!$B$8,(Dados_Ajustados_v4!O36-Indicadores_v4!$F36)/(Indicadores_v4!$G36-Indicadores_v4!$F36)*100)),MIN(Metodologia_v4!$B$9,MAX(Metodologia_v4!$B$8,(Indicadores_v4!$G36-Dados_Ajustados_v4!O36)/(Indicadores_v4!$G36-Indicadores_v4!$F36)*100))))</f>
        <v/>
      </c>
      <c r="N36" s="9">
        <f>IF(Dados_Ajustados_v4!P36="","",IF(Indicadores_v4!$E36="+",MIN(Metodologia_v4!$B$9,MAX(Metodologia_v4!$B$8,(Dados_Ajustados_v4!P36-Indicadores_v4!$F36)/(Indicadores_v4!$G36-Indicadores_v4!$F36)*100)),MIN(Metodologia_v4!$B$9,MAX(Metodologia_v4!$B$8,(Indicadores_v4!$G36-Dados_Ajustados_v4!P36)/(Indicadores_v4!$G36-Indicadores_v4!$F36)*100))))</f>
        <v/>
      </c>
      <c r="O36" s="9">
        <f>IF(Dados_Ajustados_v4!Q36="","",IF(Indicadores_v4!$E36="+",MIN(Metodologia_v4!$B$9,MAX(Metodologia_v4!$B$8,(Dados_Ajustados_v4!Q36-Indicadores_v4!$F36)/(Indicadores_v4!$G36-Indicadores_v4!$F36)*100)),MIN(Metodologia_v4!$B$9,MAX(Metodologia_v4!$B$8,(Indicadores_v4!$G36-Dados_Ajustados_v4!Q36)/(Indicadores_v4!$G36-Indicadores_v4!$F36)*100))))</f>
        <v/>
      </c>
      <c r="P36" s="9">
        <f>IF(Dados_Ajustados_v4!R36="","",IF(Indicadores_v4!$E36="+",MIN(Metodologia_v4!$B$9,MAX(Metodologia_v4!$B$8,(Dados_Ajustados_v4!R36-Indicadores_v4!$F36)/(Indicadores_v4!$G36-Indicadores_v4!$F36)*100)),MIN(Metodologia_v4!$B$9,MAX(Metodologia_v4!$B$8,(Indicadores_v4!$G36-Dados_Ajustados_v4!R36)/(Indicadores_v4!$G36-Indicadores_v4!$F36)*100))))</f>
        <v/>
      </c>
      <c r="Q36" s="9">
        <f>IF(Dados_Ajustados_v4!S36="","",IF(Indicadores_v4!$E36="+",MIN(Metodologia_v4!$B$9,MAX(Metodologia_v4!$B$8,(Dados_Ajustados_v4!S36-Indicadores_v4!$F36)/(Indicadores_v4!$G36-Indicadores_v4!$F36)*100)),MIN(Metodologia_v4!$B$9,MAX(Metodologia_v4!$B$8,(Indicadores_v4!$G36-Dados_Ajustados_v4!S36)/(Indicadores_v4!$G36-Indicadores_v4!$F36)*100))))</f>
        <v/>
      </c>
      <c r="R36" s="9">
        <f>IF(Dados_Ajustados_v4!T36="","",IF(Indicadores_v4!$E36="+",MIN(Metodologia_v4!$B$9,MAX(Metodologia_v4!$B$8,(Dados_Ajustados_v4!T36-Indicadores_v4!$F36)/(Indicadores_v4!$G36-Indicadores_v4!$F36)*100)),MIN(Metodologia_v4!$B$9,MAX(Metodologia_v4!$B$8,(Indicadores_v4!$G36-Dados_Ajustados_v4!T36)/(Indicadores_v4!$G36-Indicadores_v4!$F36)*100))))</f>
        <v/>
      </c>
    </row>
    <row r="37">
      <c r="A37" s="5" t="inlineStr">
        <is>
          <t>INF04</t>
        </is>
      </c>
      <c r="B37" s="5" t="inlineStr">
        <is>
          <t>5. Infraestruturas e Serviços</t>
        </is>
      </c>
      <c r="C37" s="5" t="inlineStr">
        <is>
          <t>Acesso a saneamento básico</t>
        </is>
      </c>
      <c r="D37" s="5">
        <f>Indicadores_v4!J37</f>
        <v/>
      </c>
      <c r="E37" s="5">
        <f>Indicadores_v4!I37</f>
        <v/>
      </c>
      <c r="F37" s="5">
        <f>COUNT(H37:R37)&amp;"/"&amp;COUNTA(H$4:R$4)</f>
        <v/>
      </c>
      <c r="G37" s="5" t="inlineStr">
        <is>
          <t>Min/max/sentido vêm de Indicadores_v4</t>
        </is>
      </c>
      <c r="H37" s="9">
        <f>IF(Dados_Ajustados_v4!J37="","",IF(Indicadores_v4!$E37="+",MIN(Metodologia_v4!$B$9,MAX(Metodologia_v4!$B$8,(Dados_Ajustados_v4!J37-Indicadores_v4!$F37)/(Indicadores_v4!$G37-Indicadores_v4!$F37)*100)),MIN(Metodologia_v4!$B$9,MAX(Metodologia_v4!$B$8,(Indicadores_v4!$G37-Dados_Ajustados_v4!J37)/(Indicadores_v4!$G37-Indicadores_v4!$F37)*100))))</f>
        <v/>
      </c>
      <c r="I37" s="9">
        <f>IF(Dados_Ajustados_v4!K37="","",IF(Indicadores_v4!$E37="+",MIN(Metodologia_v4!$B$9,MAX(Metodologia_v4!$B$8,(Dados_Ajustados_v4!K37-Indicadores_v4!$F37)/(Indicadores_v4!$G37-Indicadores_v4!$F37)*100)),MIN(Metodologia_v4!$B$9,MAX(Metodologia_v4!$B$8,(Indicadores_v4!$G37-Dados_Ajustados_v4!K37)/(Indicadores_v4!$G37-Indicadores_v4!$F37)*100))))</f>
        <v/>
      </c>
      <c r="J37" s="9">
        <f>IF(Dados_Ajustados_v4!L37="","",IF(Indicadores_v4!$E37="+",MIN(Metodologia_v4!$B$9,MAX(Metodologia_v4!$B$8,(Dados_Ajustados_v4!L37-Indicadores_v4!$F37)/(Indicadores_v4!$G37-Indicadores_v4!$F37)*100)),MIN(Metodologia_v4!$B$9,MAX(Metodologia_v4!$B$8,(Indicadores_v4!$G37-Dados_Ajustados_v4!L37)/(Indicadores_v4!$G37-Indicadores_v4!$F37)*100))))</f>
        <v/>
      </c>
      <c r="K37" s="9">
        <f>IF(Dados_Ajustados_v4!M37="","",IF(Indicadores_v4!$E37="+",MIN(Metodologia_v4!$B$9,MAX(Metodologia_v4!$B$8,(Dados_Ajustados_v4!M37-Indicadores_v4!$F37)/(Indicadores_v4!$G37-Indicadores_v4!$F37)*100)),MIN(Metodologia_v4!$B$9,MAX(Metodologia_v4!$B$8,(Indicadores_v4!$G37-Dados_Ajustados_v4!M37)/(Indicadores_v4!$G37-Indicadores_v4!$F37)*100))))</f>
        <v/>
      </c>
      <c r="L37" s="9">
        <f>IF(Dados_Ajustados_v4!N37="","",IF(Indicadores_v4!$E37="+",MIN(Metodologia_v4!$B$9,MAX(Metodologia_v4!$B$8,(Dados_Ajustados_v4!N37-Indicadores_v4!$F37)/(Indicadores_v4!$G37-Indicadores_v4!$F37)*100)),MIN(Metodologia_v4!$B$9,MAX(Metodologia_v4!$B$8,(Indicadores_v4!$G37-Dados_Ajustados_v4!N37)/(Indicadores_v4!$G37-Indicadores_v4!$F37)*100))))</f>
        <v/>
      </c>
      <c r="M37" s="9">
        <f>IF(Dados_Ajustados_v4!O37="","",IF(Indicadores_v4!$E37="+",MIN(Metodologia_v4!$B$9,MAX(Metodologia_v4!$B$8,(Dados_Ajustados_v4!O37-Indicadores_v4!$F37)/(Indicadores_v4!$G37-Indicadores_v4!$F37)*100)),MIN(Metodologia_v4!$B$9,MAX(Metodologia_v4!$B$8,(Indicadores_v4!$G37-Dados_Ajustados_v4!O37)/(Indicadores_v4!$G37-Indicadores_v4!$F37)*100))))</f>
        <v/>
      </c>
      <c r="N37" s="9">
        <f>IF(Dados_Ajustados_v4!P37="","",IF(Indicadores_v4!$E37="+",MIN(Metodologia_v4!$B$9,MAX(Metodologia_v4!$B$8,(Dados_Ajustados_v4!P37-Indicadores_v4!$F37)/(Indicadores_v4!$G37-Indicadores_v4!$F37)*100)),MIN(Metodologia_v4!$B$9,MAX(Metodologia_v4!$B$8,(Indicadores_v4!$G37-Dados_Ajustados_v4!P37)/(Indicadores_v4!$G37-Indicadores_v4!$F37)*100))))</f>
        <v/>
      </c>
      <c r="O37" s="9">
        <f>IF(Dados_Ajustados_v4!Q37="","",IF(Indicadores_v4!$E37="+",MIN(Metodologia_v4!$B$9,MAX(Metodologia_v4!$B$8,(Dados_Ajustados_v4!Q37-Indicadores_v4!$F37)/(Indicadores_v4!$G37-Indicadores_v4!$F37)*100)),MIN(Metodologia_v4!$B$9,MAX(Metodologia_v4!$B$8,(Indicadores_v4!$G37-Dados_Ajustados_v4!Q37)/(Indicadores_v4!$G37-Indicadores_v4!$F37)*100))))</f>
        <v/>
      </c>
      <c r="P37" s="9">
        <f>IF(Dados_Ajustados_v4!R37="","",IF(Indicadores_v4!$E37="+",MIN(Metodologia_v4!$B$9,MAX(Metodologia_v4!$B$8,(Dados_Ajustados_v4!R37-Indicadores_v4!$F37)/(Indicadores_v4!$G37-Indicadores_v4!$F37)*100)),MIN(Metodologia_v4!$B$9,MAX(Metodologia_v4!$B$8,(Indicadores_v4!$G37-Dados_Ajustados_v4!R37)/(Indicadores_v4!$G37-Indicadores_v4!$F37)*100))))</f>
        <v/>
      </c>
      <c r="Q37" s="9">
        <f>IF(Dados_Ajustados_v4!S37="","",IF(Indicadores_v4!$E37="+",MIN(Metodologia_v4!$B$9,MAX(Metodologia_v4!$B$8,(Dados_Ajustados_v4!S37-Indicadores_v4!$F37)/(Indicadores_v4!$G37-Indicadores_v4!$F37)*100)),MIN(Metodologia_v4!$B$9,MAX(Metodologia_v4!$B$8,(Indicadores_v4!$G37-Dados_Ajustados_v4!S37)/(Indicadores_v4!$G37-Indicadores_v4!$F37)*100))))</f>
        <v/>
      </c>
      <c r="R37" s="9">
        <f>IF(Dados_Ajustados_v4!T37="","",IF(Indicadores_v4!$E37="+",MIN(Metodologia_v4!$B$9,MAX(Metodologia_v4!$B$8,(Dados_Ajustados_v4!T37-Indicadores_v4!$F37)/(Indicadores_v4!$G37-Indicadores_v4!$F37)*100)),MIN(Metodologia_v4!$B$9,MAX(Metodologia_v4!$B$8,(Indicadores_v4!$G37-Dados_Ajustados_v4!T37)/(Indicadores_v4!$G37-Indicadores_v4!$F37)*100))))</f>
        <v/>
      </c>
    </row>
    <row r="38">
      <c r="A38" s="5" t="inlineStr">
        <is>
          <t>INF05</t>
        </is>
      </c>
      <c r="B38" s="5" t="inlineStr">
        <is>
          <t>5. Infraestruturas e Serviços</t>
        </is>
      </c>
      <c r="C38" s="5" t="inlineStr">
        <is>
          <t>Acesso a energia limpa para cozinhar</t>
        </is>
      </c>
      <c r="D38" s="5">
        <f>Indicadores_v4!J38</f>
        <v/>
      </c>
      <c r="E38" s="5">
        <f>Indicadores_v4!I38</f>
        <v/>
      </c>
      <c r="F38" s="5">
        <f>COUNT(H38:R38)&amp;"/"&amp;COUNTA(H$4:R$4)</f>
        <v/>
      </c>
      <c r="G38" s="5" t="inlineStr">
        <is>
          <t>Min/max/sentido vêm de Indicadores_v4</t>
        </is>
      </c>
      <c r="H38" s="9">
        <f>IF(Dados_Ajustados_v4!J38="","",IF(Indicadores_v4!$E38="+",MIN(Metodologia_v4!$B$9,MAX(Metodologia_v4!$B$8,(Dados_Ajustados_v4!J38-Indicadores_v4!$F38)/(Indicadores_v4!$G38-Indicadores_v4!$F38)*100)),MIN(Metodologia_v4!$B$9,MAX(Metodologia_v4!$B$8,(Indicadores_v4!$G38-Dados_Ajustados_v4!J38)/(Indicadores_v4!$G38-Indicadores_v4!$F38)*100))))</f>
        <v/>
      </c>
      <c r="I38" s="9">
        <f>IF(Dados_Ajustados_v4!K38="","",IF(Indicadores_v4!$E38="+",MIN(Metodologia_v4!$B$9,MAX(Metodologia_v4!$B$8,(Dados_Ajustados_v4!K38-Indicadores_v4!$F38)/(Indicadores_v4!$G38-Indicadores_v4!$F38)*100)),MIN(Metodologia_v4!$B$9,MAX(Metodologia_v4!$B$8,(Indicadores_v4!$G38-Dados_Ajustados_v4!K38)/(Indicadores_v4!$G38-Indicadores_v4!$F38)*100))))</f>
        <v/>
      </c>
      <c r="J38" s="9">
        <f>IF(Dados_Ajustados_v4!L38="","",IF(Indicadores_v4!$E38="+",MIN(Metodologia_v4!$B$9,MAX(Metodologia_v4!$B$8,(Dados_Ajustados_v4!L38-Indicadores_v4!$F38)/(Indicadores_v4!$G38-Indicadores_v4!$F38)*100)),MIN(Metodologia_v4!$B$9,MAX(Metodologia_v4!$B$8,(Indicadores_v4!$G38-Dados_Ajustados_v4!L38)/(Indicadores_v4!$G38-Indicadores_v4!$F38)*100))))</f>
        <v/>
      </c>
      <c r="K38" s="9">
        <f>IF(Dados_Ajustados_v4!M38="","",IF(Indicadores_v4!$E38="+",MIN(Metodologia_v4!$B$9,MAX(Metodologia_v4!$B$8,(Dados_Ajustados_v4!M38-Indicadores_v4!$F38)/(Indicadores_v4!$G38-Indicadores_v4!$F38)*100)),MIN(Metodologia_v4!$B$9,MAX(Metodologia_v4!$B$8,(Indicadores_v4!$G38-Dados_Ajustados_v4!M38)/(Indicadores_v4!$G38-Indicadores_v4!$F38)*100))))</f>
        <v/>
      </c>
      <c r="L38" s="9">
        <f>IF(Dados_Ajustados_v4!N38="","",IF(Indicadores_v4!$E38="+",MIN(Metodologia_v4!$B$9,MAX(Metodologia_v4!$B$8,(Dados_Ajustados_v4!N38-Indicadores_v4!$F38)/(Indicadores_v4!$G38-Indicadores_v4!$F38)*100)),MIN(Metodologia_v4!$B$9,MAX(Metodologia_v4!$B$8,(Indicadores_v4!$G38-Dados_Ajustados_v4!N38)/(Indicadores_v4!$G38-Indicadores_v4!$F38)*100))))</f>
        <v/>
      </c>
      <c r="M38" s="9">
        <f>IF(Dados_Ajustados_v4!O38="","",IF(Indicadores_v4!$E38="+",MIN(Metodologia_v4!$B$9,MAX(Metodologia_v4!$B$8,(Dados_Ajustados_v4!O38-Indicadores_v4!$F38)/(Indicadores_v4!$G38-Indicadores_v4!$F38)*100)),MIN(Metodologia_v4!$B$9,MAX(Metodologia_v4!$B$8,(Indicadores_v4!$G38-Dados_Ajustados_v4!O38)/(Indicadores_v4!$G38-Indicadores_v4!$F38)*100))))</f>
        <v/>
      </c>
      <c r="N38" s="9">
        <f>IF(Dados_Ajustados_v4!P38="","",IF(Indicadores_v4!$E38="+",MIN(Metodologia_v4!$B$9,MAX(Metodologia_v4!$B$8,(Dados_Ajustados_v4!P38-Indicadores_v4!$F38)/(Indicadores_v4!$G38-Indicadores_v4!$F38)*100)),MIN(Metodologia_v4!$B$9,MAX(Metodologia_v4!$B$8,(Indicadores_v4!$G38-Dados_Ajustados_v4!P38)/(Indicadores_v4!$G38-Indicadores_v4!$F38)*100))))</f>
        <v/>
      </c>
      <c r="O38" s="9">
        <f>IF(Dados_Ajustados_v4!Q38="","",IF(Indicadores_v4!$E38="+",MIN(Metodologia_v4!$B$9,MAX(Metodologia_v4!$B$8,(Dados_Ajustados_v4!Q38-Indicadores_v4!$F38)/(Indicadores_v4!$G38-Indicadores_v4!$F38)*100)),MIN(Metodologia_v4!$B$9,MAX(Metodologia_v4!$B$8,(Indicadores_v4!$G38-Dados_Ajustados_v4!Q38)/(Indicadores_v4!$G38-Indicadores_v4!$F38)*100))))</f>
        <v/>
      </c>
      <c r="P38" s="9">
        <f>IF(Dados_Ajustados_v4!R38="","",IF(Indicadores_v4!$E38="+",MIN(Metodologia_v4!$B$9,MAX(Metodologia_v4!$B$8,(Dados_Ajustados_v4!R38-Indicadores_v4!$F38)/(Indicadores_v4!$G38-Indicadores_v4!$F38)*100)),MIN(Metodologia_v4!$B$9,MAX(Metodologia_v4!$B$8,(Indicadores_v4!$G38-Dados_Ajustados_v4!R38)/(Indicadores_v4!$G38-Indicadores_v4!$F38)*100))))</f>
        <v/>
      </c>
      <c r="Q38" s="9">
        <f>IF(Dados_Ajustados_v4!S38="","",IF(Indicadores_v4!$E38="+",MIN(Metodologia_v4!$B$9,MAX(Metodologia_v4!$B$8,(Dados_Ajustados_v4!S38-Indicadores_v4!$F38)/(Indicadores_v4!$G38-Indicadores_v4!$F38)*100)),MIN(Metodologia_v4!$B$9,MAX(Metodologia_v4!$B$8,(Indicadores_v4!$G38-Dados_Ajustados_v4!S38)/(Indicadores_v4!$G38-Indicadores_v4!$F38)*100))))</f>
        <v/>
      </c>
      <c r="R38" s="9">
        <f>IF(Dados_Ajustados_v4!T38="","",IF(Indicadores_v4!$E38="+",MIN(Metodologia_v4!$B$9,MAX(Metodologia_v4!$B$8,(Dados_Ajustados_v4!T38-Indicadores_v4!$F38)/(Indicadores_v4!$G38-Indicadores_v4!$F38)*100)),MIN(Metodologia_v4!$B$9,MAX(Metodologia_v4!$B$8,(Indicadores_v4!$G38-Dados_Ajustados_v4!T38)/(Indicadores_v4!$G38-Indicadores_v4!$F38)*100))))</f>
        <v/>
      </c>
    </row>
    <row r="39">
      <c r="A39" s="5" t="inlineStr">
        <is>
          <t>INF06</t>
        </is>
      </c>
      <c r="B39" s="5" t="inlineStr">
        <is>
          <t>5. Infraestruturas e Serviços</t>
        </is>
      </c>
      <c r="C39" s="5" t="inlineStr">
        <is>
          <t>Utilizadores de internet</t>
        </is>
      </c>
      <c r="D39" s="5">
        <f>Indicadores_v4!J39</f>
        <v/>
      </c>
      <c r="E39" s="5">
        <f>Indicadores_v4!I39</f>
        <v/>
      </c>
      <c r="F39" s="5">
        <f>COUNT(H39:R39)&amp;"/"&amp;COUNTA(H$4:R$4)</f>
        <v/>
      </c>
      <c r="G39" s="5" t="inlineStr">
        <is>
          <t>Min/max/sentido vêm de Indicadores_v4</t>
        </is>
      </c>
      <c r="H39" s="9">
        <f>IF(Dados_Ajustados_v4!J39="","",IF(Indicadores_v4!$E39="+",MIN(Metodologia_v4!$B$9,MAX(Metodologia_v4!$B$8,(Dados_Ajustados_v4!J39-Indicadores_v4!$F39)/(Indicadores_v4!$G39-Indicadores_v4!$F39)*100)),MIN(Metodologia_v4!$B$9,MAX(Metodologia_v4!$B$8,(Indicadores_v4!$G39-Dados_Ajustados_v4!J39)/(Indicadores_v4!$G39-Indicadores_v4!$F39)*100))))</f>
        <v/>
      </c>
      <c r="I39" s="9">
        <f>IF(Dados_Ajustados_v4!K39="","",IF(Indicadores_v4!$E39="+",MIN(Metodologia_v4!$B$9,MAX(Metodologia_v4!$B$8,(Dados_Ajustados_v4!K39-Indicadores_v4!$F39)/(Indicadores_v4!$G39-Indicadores_v4!$F39)*100)),MIN(Metodologia_v4!$B$9,MAX(Metodologia_v4!$B$8,(Indicadores_v4!$G39-Dados_Ajustados_v4!K39)/(Indicadores_v4!$G39-Indicadores_v4!$F39)*100))))</f>
        <v/>
      </c>
      <c r="J39" s="9">
        <f>IF(Dados_Ajustados_v4!L39="","",IF(Indicadores_v4!$E39="+",MIN(Metodologia_v4!$B$9,MAX(Metodologia_v4!$B$8,(Dados_Ajustados_v4!L39-Indicadores_v4!$F39)/(Indicadores_v4!$G39-Indicadores_v4!$F39)*100)),MIN(Metodologia_v4!$B$9,MAX(Metodologia_v4!$B$8,(Indicadores_v4!$G39-Dados_Ajustados_v4!L39)/(Indicadores_v4!$G39-Indicadores_v4!$F39)*100))))</f>
        <v/>
      </c>
      <c r="K39" s="9">
        <f>IF(Dados_Ajustados_v4!M39="","",IF(Indicadores_v4!$E39="+",MIN(Metodologia_v4!$B$9,MAX(Metodologia_v4!$B$8,(Dados_Ajustados_v4!M39-Indicadores_v4!$F39)/(Indicadores_v4!$G39-Indicadores_v4!$F39)*100)),MIN(Metodologia_v4!$B$9,MAX(Metodologia_v4!$B$8,(Indicadores_v4!$G39-Dados_Ajustados_v4!M39)/(Indicadores_v4!$G39-Indicadores_v4!$F39)*100))))</f>
        <v/>
      </c>
      <c r="L39" s="9">
        <f>IF(Dados_Ajustados_v4!N39="","",IF(Indicadores_v4!$E39="+",MIN(Metodologia_v4!$B$9,MAX(Metodologia_v4!$B$8,(Dados_Ajustados_v4!N39-Indicadores_v4!$F39)/(Indicadores_v4!$G39-Indicadores_v4!$F39)*100)),MIN(Metodologia_v4!$B$9,MAX(Metodologia_v4!$B$8,(Indicadores_v4!$G39-Dados_Ajustados_v4!N39)/(Indicadores_v4!$G39-Indicadores_v4!$F39)*100))))</f>
        <v/>
      </c>
      <c r="M39" s="9">
        <f>IF(Dados_Ajustados_v4!O39="","",IF(Indicadores_v4!$E39="+",MIN(Metodologia_v4!$B$9,MAX(Metodologia_v4!$B$8,(Dados_Ajustados_v4!O39-Indicadores_v4!$F39)/(Indicadores_v4!$G39-Indicadores_v4!$F39)*100)),MIN(Metodologia_v4!$B$9,MAX(Metodologia_v4!$B$8,(Indicadores_v4!$G39-Dados_Ajustados_v4!O39)/(Indicadores_v4!$G39-Indicadores_v4!$F39)*100))))</f>
        <v/>
      </c>
      <c r="N39" s="9">
        <f>IF(Dados_Ajustados_v4!P39="","",IF(Indicadores_v4!$E39="+",MIN(Metodologia_v4!$B$9,MAX(Metodologia_v4!$B$8,(Dados_Ajustados_v4!P39-Indicadores_v4!$F39)/(Indicadores_v4!$G39-Indicadores_v4!$F39)*100)),MIN(Metodologia_v4!$B$9,MAX(Metodologia_v4!$B$8,(Indicadores_v4!$G39-Dados_Ajustados_v4!P39)/(Indicadores_v4!$G39-Indicadores_v4!$F39)*100))))</f>
        <v/>
      </c>
      <c r="O39" s="9">
        <f>IF(Dados_Ajustados_v4!Q39="","",IF(Indicadores_v4!$E39="+",MIN(Metodologia_v4!$B$9,MAX(Metodologia_v4!$B$8,(Dados_Ajustados_v4!Q39-Indicadores_v4!$F39)/(Indicadores_v4!$G39-Indicadores_v4!$F39)*100)),MIN(Metodologia_v4!$B$9,MAX(Metodologia_v4!$B$8,(Indicadores_v4!$G39-Dados_Ajustados_v4!Q39)/(Indicadores_v4!$G39-Indicadores_v4!$F39)*100))))</f>
        <v/>
      </c>
      <c r="P39" s="9">
        <f>IF(Dados_Ajustados_v4!R39="","",IF(Indicadores_v4!$E39="+",MIN(Metodologia_v4!$B$9,MAX(Metodologia_v4!$B$8,(Dados_Ajustados_v4!R39-Indicadores_v4!$F39)/(Indicadores_v4!$G39-Indicadores_v4!$F39)*100)),MIN(Metodologia_v4!$B$9,MAX(Metodologia_v4!$B$8,(Indicadores_v4!$G39-Dados_Ajustados_v4!R39)/(Indicadores_v4!$G39-Indicadores_v4!$F39)*100))))</f>
        <v/>
      </c>
      <c r="Q39" s="9">
        <f>IF(Dados_Ajustados_v4!S39="","",IF(Indicadores_v4!$E39="+",MIN(Metodologia_v4!$B$9,MAX(Metodologia_v4!$B$8,(Dados_Ajustados_v4!S39-Indicadores_v4!$F39)/(Indicadores_v4!$G39-Indicadores_v4!$F39)*100)),MIN(Metodologia_v4!$B$9,MAX(Metodologia_v4!$B$8,(Indicadores_v4!$G39-Dados_Ajustados_v4!S39)/(Indicadores_v4!$G39-Indicadores_v4!$F39)*100))))</f>
        <v/>
      </c>
      <c r="R39" s="9">
        <f>IF(Dados_Ajustados_v4!T39="","",IF(Indicadores_v4!$E39="+",MIN(Metodologia_v4!$B$9,MAX(Metodologia_v4!$B$8,(Dados_Ajustados_v4!T39-Indicadores_v4!$F39)/(Indicadores_v4!$G39-Indicadores_v4!$F39)*100)),MIN(Metodologia_v4!$B$9,MAX(Metodologia_v4!$B$8,(Indicadores_v4!$G39-Dados_Ajustados_v4!T39)/(Indicadores_v4!$G39-Indicadores_v4!$F39)*100))))</f>
        <v/>
      </c>
    </row>
    <row r="40">
      <c r="A40" s="5" t="inlineStr">
        <is>
          <t>INF07</t>
        </is>
      </c>
      <c r="B40" s="5" t="inlineStr">
        <is>
          <t>5. Infraestruturas e Serviços</t>
        </is>
      </c>
      <c r="C40" s="5" t="inlineStr">
        <is>
          <t>Subscrições móveis</t>
        </is>
      </c>
      <c r="D40" s="5">
        <f>Indicadores_v4!J40</f>
        <v/>
      </c>
      <c r="E40" s="5">
        <f>Indicadores_v4!I40</f>
        <v/>
      </c>
      <c r="F40" s="5">
        <f>COUNT(H40:R40)&amp;"/"&amp;COUNTA(H$4:R$4)</f>
        <v/>
      </c>
      <c r="G40" s="5" t="inlineStr">
        <is>
          <t>Min/max/sentido vêm de Indicadores_v4</t>
        </is>
      </c>
      <c r="H40" s="9">
        <f>IF(Dados_Ajustados_v4!J40="","",IF(Indicadores_v4!$E40="+",MIN(Metodologia_v4!$B$9,MAX(Metodologia_v4!$B$8,(Dados_Ajustados_v4!J40-Indicadores_v4!$F40)/(Indicadores_v4!$G40-Indicadores_v4!$F40)*100)),MIN(Metodologia_v4!$B$9,MAX(Metodologia_v4!$B$8,(Indicadores_v4!$G40-Dados_Ajustados_v4!J40)/(Indicadores_v4!$G40-Indicadores_v4!$F40)*100))))</f>
        <v/>
      </c>
      <c r="I40" s="9">
        <f>IF(Dados_Ajustados_v4!K40="","",IF(Indicadores_v4!$E40="+",MIN(Metodologia_v4!$B$9,MAX(Metodologia_v4!$B$8,(Dados_Ajustados_v4!K40-Indicadores_v4!$F40)/(Indicadores_v4!$G40-Indicadores_v4!$F40)*100)),MIN(Metodologia_v4!$B$9,MAX(Metodologia_v4!$B$8,(Indicadores_v4!$G40-Dados_Ajustados_v4!K40)/(Indicadores_v4!$G40-Indicadores_v4!$F40)*100))))</f>
        <v/>
      </c>
      <c r="J40" s="9">
        <f>IF(Dados_Ajustados_v4!L40="","",IF(Indicadores_v4!$E40="+",MIN(Metodologia_v4!$B$9,MAX(Metodologia_v4!$B$8,(Dados_Ajustados_v4!L40-Indicadores_v4!$F40)/(Indicadores_v4!$G40-Indicadores_v4!$F40)*100)),MIN(Metodologia_v4!$B$9,MAX(Metodologia_v4!$B$8,(Indicadores_v4!$G40-Dados_Ajustados_v4!L40)/(Indicadores_v4!$G40-Indicadores_v4!$F40)*100))))</f>
        <v/>
      </c>
      <c r="K40" s="9">
        <f>IF(Dados_Ajustados_v4!M40="","",IF(Indicadores_v4!$E40="+",MIN(Metodologia_v4!$B$9,MAX(Metodologia_v4!$B$8,(Dados_Ajustados_v4!M40-Indicadores_v4!$F40)/(Indicadores_v4!$G40-Indicadores_v4!$F40)*100)),MIN(Metodologia_v4!$B$9,MAX(Metodologia_v4!$B$8,(Indicadores_v4!$G40-Dados_Ajustados_v4!M40)/(Indicadores_v4!$G40-Indicadores_v4!$F40)*100))))</f>
        <v/>
      </c>
      <c r="L40" s="9">
        <f>IF(Dados_Ajustados_v4!N40="","",IF(Indicadores_v4!$E40="+",MIN(Metodologia_v4!$B$9,MAX(Metodologia_v4!$B$8,(Dados_Ajustados_v4!N40-Indicadores_v4!$F40)/(Indicadores_v4!$G40-Indicadores_v4!$F40)*100)),MIN(Metodologia_v4!$B$9,MAX(Metodologia_v4!$B$8,(Indicadores_v4!$G40-Dados_Ajustados_v4!N40)/(Indicadores_v4!$G40-Indicadores_v4!$F40)*100))))</f>
        <v/>
      </c>
      <c r="M40" s="9">
        <f>IF(Dados_Ajustados_v4!O40="","",IF(Indicadores_v4!$E40="+",MIN(Metodologia_v4!$B$9,MAX(Metodologia_v4!$B$8,(Dados_Ajustados_v4!O40-Indicadores_v4!$F40)/(Indicadores_v4!$G40-Indicadores_v4!$F40)*100)),MIN(Metodologia_v4!$B$9,MAX(Metodologia_v4!$B$8,(Indicadores_v4!$G40-Dados_Ajustados_v4!O40)/(Indicadores_v4!$G40-Indicadores_v4!$F40)*100))))</f>
        <v/>
      </c>
      <c r="N40" s="9">
        <f>IF(Dados_Ajustados_v4!P40="","",IF(Indicadores_v4!$E40="+",MIN(Metodologia_v4!$B$9,MAX(Metodologia_v4!$B$8,(Dados_Ajustados_v4!P40-Indicadores_v4!$F40)/(Indicadores_v4!$G40-Indicadores_v4!$F40)*100)),MIN(Metodologia_v4!$B$9,MAX(Metodologia_v4!$B$8,(Indicadores_v4!$G40-Dados_Ajustados_v4!P40)/(Indicadores_v4!$G40-Indicadores_v4!$F40)*100))))</f>
        <v/>
      </c>
      <c r="O40" s="9">
        <f>IF(Dados_Ajustados_v4!Q40="","",IF(Indicadores_v4!$E40="+",MIN(Metodologia_v4!$B$9,MAX(Metodologia_v4!$B$8,(Dados_Ajustados_v4!Q40-Indicadores_v4!$F40)/(Indicadores_v4!$G40-Indicadores_v4!$F40)*100)),MIN(Metodologia_v4!$B$9,MAX(Metodologia_v4!$B$8,(Indicadores_v4!$G40-Dados_Ajustados_v4!Q40)/(Indicadores_v4!$G40-Indicadores_v4!$F40)*100))))</f>
        <v/>
      </c>
      <c r="P40" s="9">
        <f>IF(Dados_Ajustados_v4!R40="","",IF(Indicadores_v4!$E40="+",MIN(Metodologia_v4!$B$9,MAX(Metodologia_v4!$B$8,(Dados_Ajustados_v4!R40-Indicadores_v4!$F40)/(Indicadores_v4!$G40-Indicadores_v4!$F40)*100)),MIN(Metodologia_v4!$B$9,MAX(Metodologia_v4!$B$8,(Indicadores_v4!$G40-Dados_Ajustados_v4!R40)/(Indicadores_v4!$G40-Indicadores_v4!$F40)*100))))</f>
        <v/>
      </c>
      <c r="Q40" s="9">
        <f>IF(Dados_Ajustados_v4!S40="","",IF(Indicadores_v4!$E40="+",MIN(Metodologia_v4!$B$9,MAX(Metodologia_v4!$B$8,(Dados_Ajustados_v4!S40-Indicadores_v4!$F40)/(Indicadores_v4!$G40-Indicadores_v4!$F40)*100)),MIN(Metodologia_v4!$B$9,MAX(Metodologia_v4!$B$8,(Indicadores_v4!$G40-Dados_Ajustados_v4!S40)/(Indicadores_v4!$G40-Indicadores_v4!$F40)*100))))</f>
        <v/>
      </c>
      <c r="R40" s="9">
        <f>IF(Dados_Ajustados_v4!T40="","",IF(Indicadores_v4!$E40="+",MIN(Metodologia_v4!$B$9,MAX(Metodologia_v4!$B$8,(Dados_Ajustados_v4!T40-Indicadores_v4!$F40)/(Indicadores_v4!$G40-Indicadores_v4!$F40)*100)),MIN(Metodologia_v4!$B$9,MAX(Metodologia_v4!$B$8,(Indicadores_v4!$G40-Dados_Ajustados_v4!T40)/(Indicadores_v4!$G40-Indicadores_v4!$F40)*100))))</f>
        <v/>
      </c>
    </row>
    <row r="41">
      <c r="A41" s="5" t="inlineStr">
        <is>
          <t>INF08</t>
        </is>
      </c>
      <c r="B41" s="5" t="inlineStr">
        <is>
          <t>5. Infraestruturas e Serviços</t>
        </is>
      </c>
      <c r="C41" s="5" t="inlineStr">
        <is>
          <t>Banda larga fixa</t>
        </is>
      </c>
      <c r="D41" s="5">
        <f>Indicadores_v4!J41</f>
        <v/>
      </c>
      <c r="E41" s="5">
        <f>Indicadores_v4!I41</f>
        <v/>
      </c>
      <c r="F41" s="5">
        <f>COUNT(H41:R41)&amp;"/"&amp;COUNTA(H$4:R$4)</f>
        <v/>
      </c>
      <c r="G41" s="5" t="inlineStr">
        <is>
          <t>Min/max/sentido vêm de Indicadores_v4</t>
        </is>
      </c>
      <c r="H41" s="9">
        <f>IF(Dados_Ajustados_v4!J41="","",IF(Indicadores_v4!$E41="+",MIN(Metodologia_v4!$B$9,MAX(Metodologia_v4!$B$8,(Dados_Ajustados_v4!J41-Indicadores_v4!$F41)/(Indicadores_v4!$G41-Indicadores_v4!$F41)*100)),MIN(Metodologia_v4!$B$9,MAX(Metodologia_v4!$B$8,(Indicadores_v4!$G41-Dados_Ajustados_v4!J41)/(Indicadores_v4!$G41-Indicadores_v4!$F41)*100))))</f>
        <v/>
      </c>
      <c r="I41" s="9">
        <f>IF(Dados_Ajustados_v4!K41="","",IF(Indicadores_v4!$E41="+",MIN(Metodologia_v4!$B$9,MAX(Metodologia_v4!$B$8,(Dados_Ajustados_v4!K41-Indicadores_v4!$F41)/(Indicadores_v4!$G41-Indicadores_v4!$F41)*100)),MIN(Metodologia_v4!$B$9,MAX(Metodologia_v4!$B$8,(Indicadores_v4!$G41-Dados_Ajustados_v4!K41)/(Indicadores_v4!$G41-Indicadores_v4!$F41)*100))))</f>
        <v/>
      </c>
      <c r="J41" s="9">
        <f>IF(Dados_Ajustados_v4!L41="","",IF(Indicadores_v4!$E41="+",MIN(Metodologia_v4!$B$9,MAX(Metodologia_v4!$B$8,(Dados_Ajustados_v4!L41-Indicadores_v4!$F41)/(Indicadores_v4!$G41-Indicadores_v4!$F41)*100)),MIN(Metodologia_v4!$B$9,MAX(Metodologia_v4!$B$8,(Indicadores_v4!$G41-Dados_Ajustados_v4!L41)/(Indicadores_v4!$G41-Indicadores_v4!$F41)*100))))</f>
        <v/>
      </c>
      <c r="K41" s="9">
        <f>IF(Dados_Ajustados_v4!M41="","",IF(Indicadores_v4!$E41="+",MIN(Metodologia_v4!$B$9,MAX(Metodologia_v4!$B$8,(Dados_Ajustados_v4!M41-Indicadores_v4!$F41)/(Indicadores_v4!$G41-Indicadores_v4!$F41)*100)),MIN(Metodologia_v4!$B$9,MAX(Metodologia_v4!$B$8,(Indicadores_v4!$G41-Dados_Ajustados_v4!M41)/(Indicadores_v4!$G41-Indicadores_v4!$F41)*100))))</f>
        <v/>
      </c>
      <c r="L41" s="9">
        <f>IF(Dados_Ajustados_v4!N41="","",IF(Indicadores_v4!$E41="+",MIN(Metodologia_v4!$B$9,MAX(Metodologia_v4!$B$8,(Dados_Ajustados_v4!N41-Indicadores_v4!$F41)/(Indicadores_v4!$G41-Indicadores_v4!$F41)*100)),MIN(Metodologia_v4!$B$9,MAX(Metodologia_v4!$B$8,(Indicadores_v4!$G41-Dados_Ajustados_v4!N41)/(Indicadores_v4!$G41-Indicadores_v4!$F41)*100))))</f>
        <v/>
      </c>
      <c r="M41" s="9">
        <f>IF(Dados_Ajustados_v4!O41="","",IF(Indicadores_v4!$E41="+",MIN(Metodologia_v4!$B$9,MAX(Metodologia_v4!$B$8,(Dados_Ajustados_v4!O41-Indicadores_v4!$F41)/(Indicadores_v4!$G41-Indicadores_v4!$F41)*100)),MIN(Metodologia_v4!$B$9,MAX(Metodologia_v4!$B$8,(Indicadores_v4!$G41-Dados_Ajustados_v4!O41)/(Indicadores_v4!$G41-Indicadores_v4!$F41)*100))))</f>
        <v/>
      </c>
      <c r="N41" s="9">
        <f>IF(Dados_Ajustados_v4!P41="","",IF(Indicadores_v4!$E41="+",MIN(Metodologia_v4!$B$9,MAX(Metodologia_v4!$B$8,(Dados_Ajustados_v4!P41-Indicadores_v4!$F41)/(Indicadores_v4!$G41-Indicadores_v4!$F41)*100)),MIN(Metodologia_v4!$B$9,MAX(Metodologia_v4!$B$8,(Indicadores_v4!$G41-Dados_Ajustados_v4!P41)/(Indicadores_v4!$G41-Indicadores_v4!$F41)*100))))</f>
        <v/>
      </c>
      <c r="O41" s="9">
        <f>IF(Dados_Ajustados_v4!Q41="","",IF(Indicadores_v4!$E41="+",MIN(Metodologia_v4!$B$9,MAX(Metodologia_v4!$B$8,(Dados_Ajustados_v4!Q41-Indicadores_v4!$F41)/(Indicadores_v4!$G41-Indicadores_v4!$F41)*100)),MIN(Metodologia_v4!$B$9,MAX(Metodologia_v4!$B$8,(Indicadores_v4!$G41-Dados_Ajustados_v4!Q41)/(Indicadores_v4!$G41-Indicadores_v4!$F41)*100))))</f>
        <v/>
      </c>
      <c r="P41" s="9">
        <f>IF(Dados_Ajustados_v4!R41="","",IF(Indicadores_v4!$E41="+",MIN(Metodologia_v4!$B$9,MAX(Metodologia_v4!$B$8,(Dados_Ajustados_v4!R41-Indicadores_v4!$F41)/(Indicadores_v4!$G41-Indicadores_v4!$F41)*100)),MIN(Metodologia_v4!$B$9,MAX(Metodologia_v4!$B$8,(Indicadores_v4!$G41-Dados_Ajustados_v4!R41)/(Indicadores_v4!$G41-Indicadores_v4!$F41)*100))))</f>
        <v/>
      </c>
      <c r="Q41" s="9">
        <f>IF(Dados_Ajustados_v4!S41="","",IF(Indicadores_v4!$E41="+",MIN(Metodologia_v4!$B$9,MAX(Metodologia_v4!$B$8,(Dados_Ajustados_v4!S41-Indicadores_v4!$F41)/(Indicadores_v4!$G41-Indicadores_v4!$F41)*100)),MIN(Metodologia_v4!$B$9,MAX(Metodologia_v4!$B$8,(Indicadores_v4!$G41-Dados_Ajustados_v4!S41)/(Indicadores_v4!$G41-Indicadores_v4!$F41)*100))))</f>
        <v/>
      </c>
      <c r="R41" s="9">
        <f>IF(Dados_Ajustados_v4!T41="","",IF(Indicadores_v4!$E41="+",MIN(Metodologia_v4!$B$9,MAX(Metodologia_v4!$B$8,(Dados_Ajustados_v4!T41-Indicadores_v4!$F41)/(Indicadores_v4!$G41-Indicadores_v4!$F41)*100)),MIN(Metodologia_v4!$B$9,MAX(Metodologia_v4!$B$8,(Indicadores_v4!$G41-Dados_Ajustados_v4!T41)/(Indicadores_v4!$G41-Indicadores_v4!$F41)*100))))</f>
        <v/>
      </c>
    </row>
    <row r="42">
      <c r="A42" s="5" t="inlineStr">
        <is>
          <t>INF09</t>
        </is>
      </c>
      <c r="B42" s="5" t="inlineStr">
        <is>
          <t>5. Infraestruturas e Serviços</t>
        </is>
      </c>
      <c r="C42" s="5" t="inlineStr">
        <is>
          <t>Densidade rodoviária</t>
        </is>
      </c>
      <c r="D42" s="5">
        <f>Indicadores_v4!J42</f>
        <v/>
      </c>
      <c r="E42" s="5">
        <f>Indicadores_v4!I42</f>
        <v/>
      </c>
      <c r="F42" s="5">
        <f>COUNT(H42:R42)&amp;"/"&amp;COUNTA(H$4:R$4)</f>
        <v/>
      </c>
      <c r="G42" s="5" t="inlineStr">
        <is>
          <t>Min/max/sentido vêm de Indicadores_v4</t>
        </is>
      </c>
      <c r="H42" s="9">
        <f>IF(Dados_Ajustados_v4!J42="","",IF(Indicadores_v4!$E42="+",MIN(Metodologia_v4!$B$9,MAX(Metodologia_v4!$B$8,(Dados_Ajustados_v4!J42-Indicadores_v4!$F42)/(Indicadores_v4!$G42-Indicadores_v4!$F42)*100)),MIN(Metodologia_v4!$B$9,MAX(Metodologia_v4!$B$8,(Indicadores_v4!$G42-Dados_Ajustados_v4!J42)/(Indicadores_v4!$G42-Indicadores_v4!$F42)*100))))</f>
        <v/>
      </c>
      <c r="I42" s="9">
        <f>IF(Dados_Ajustados_v4!K42="","",IF(Indicadores_v4!$E42="+",MIN(Metodologia_v4!$B$9,MAX(Metodologia_v4!$B$8,(Dados_Ajustados_v4!K42-Indicadores_v4!$F42)/(Indicadores_v4!$G42-Indicadores_v4!$F42)*100)),MIN(Metodologia_v4!$B$9,MAX(Metodologia_v4!$B$8,(Indicadores_v4!$G42-Dados_Ajustados_v4!K42)/(Indicadores_v4!$G42-Indicadores_v4!$F42)*100))))</f>
        <v/>
      </c>
      <c r="J42" s="9">
        <f>IF(Dados_Ajustados_v4!L42="","",IF(Indicadores_v4!$E42="+",MIN(Metodologia_v4!$B$9,MAX(Metodologia_v4!$B$8,(Dados_Ajustados_v4!L42-Indicadores_v4!$F42)/(Indicadores_v4!$G42-Indicadores_v4!$F42)*100)),MIN(Metodologia_v4!$B$9,MAX(Metodologia_v4!$B$8,(Indicadores_v4!$G42-Dados_Ajustados_v4!L42)/(Indicadores_v4!$G42-Indicadores_v4!$F42)*100))))</f>
        <v/>
      </c>
      <c r="K42" s="9">
        <f>IF(Dados_Ajustados_v4!M42="","",IF(Indicadores_v4!$E42="+",MIN(Metodologia_v4!$B$9,MAX(Metodologia_v4!$B$8,(Dados_Ajustados_v4!M42-Indicadores_v4!$F42)/(Indicadores_v4!$G42-Indicadores_v4!$F42)*100)),MIN(Metodologia_v4!$B$9,MAX(Metodologia_v4!$B$8,(Indicadores_v4!$G42-Dados_Ajustados_v4!M42)/(Indicadores_v4!$G42-Indicadores_v4!$F42)*100))))</f>
        <v/>
      </c>
      <c r="L42" s="9">
        <f>IF(Dados_Ajustados_v4!N42="","",IF(Indicadores_v4!$E42="+",MIN(Metodologia_v4!$B$9,MAX(Metodologia_v4!$B$8,(Dados_Ajustados_v4!N42-Indicadores_v4!$F42)/(Indicadores_v4!$G42-Indicadores_v4!$F42)*100)),MIN(Metodologia_v4!$B$9,MAX(Metodologia_v4!$B$8,(Indicadores_v4!$G42-Dados_Ajustados_v4!N42)/(Indicadores_v4!$G42-Indicadores_v4!$F42)*100))))</f>
        <v/>
      </c>
      <c r="M42" s="9">
        <f>IF(Dados_Ajustados_v4!O42="","",IF(Indicadores_v4!$E42="+",MIN(Metodologia_v4!$B$9,MAX(Metodologia_v4!$B$8,(Dados_Ajustados_v4!O42-Indicadores_v4!$F42)/(Indicadores_v4!$G42-Indicadores_v4!$F42)*100)),MIN(Metodologia_v4!$B$9,MAX(Metodologia_v4!$B$8,(Indicadores_v4!$G42-Dados_Ajustados_v4!O42)/(Indicadores_v4!$G42-Indicadores_v4!$F42)*100))))</f>
        <v/>
      </c>
      <c r="N42" s="9">
        <f>IF(Dados_Ajustados_v4!P42="","",IF(Indicadores_v4!$E42="+",MIN(Metodologia_v4!$B$9,MAX(Metodologia_v4!$B$8,(Dados_Ajustados_v4!P42-Indicadores_v4!$F42)/(Indicadores_v4!$G42-Indicadores_v4!$F42)*100)),MIN(Metodologia_v4!$B$9,MAX(Metodologia_v4!$B$8,(Indicadores_v4!$G42-Dados_Ajustados_v4!P42)/(Indicadores_v4!$G42-Indicadores_v4!$F42)*100))))</f>
        <v/>
      </c>
      <c r="O42" s="9">
        <f>IF(Dados_Ajustados_v4!Q42="","",IF(Indicadores_v4!$E42="+",MIN(Metodologia_v4!$B$9,MAX(Metodologia_v4!$B$8,(Dados_Ajustados_v4!Q42-Indicadores_v4!$F42)/(Indicadores_v4!$G42-Indicadores_v4!$F42)*100)),MIN(Metodologia_v4!$B$9,MAX(Metodologia_v4!$B$8,(Indicadores_v4!$G42-Dados_Ajustados_v4!Q42)/(Indicadores_v4!$G42-Indicadores_v4!$F42)*100))))</f>
        <v/>
      </c>
      <c r="P42" s="9">
        <f>IF(Dados_Ajustados_v4!R42="","",IF(Indicadores_v4!$E42="+",MIN(Metodologia_v4!$B$9,MAX(Metodologia_v4!$B$8,(Dados_Ajustados_v4!R42-Indicadores_v4!$F42)/(Indicadores_v4!$G42-Indicadores_v4!$F42)*100)),MIN(Metodologia_v4!$B$9,MAX(Metodologia_v4!$B$8,(Indicadores_v4!$G42-Dados_Ajustados_v4!R42)/(Indicadores_v4!$G42-Indicadores_v4!$F42)*100))))</f>
        <v/>
      </c>
      <c r="Q42" s="9">
        <f>IF(Dados_Ajustados_v4!S42="","",IF(Indicadores_v4!$E42="+",MIN(Metodologia_v4!$B$9,MAX(Metodologia_v4!$B$8,(Dados_Ajustados_v4!S42-Indicadores_v4!$F42)/(Indicadores_v4!$G42-Indicadores_v4!$F42)*100)),MIN(Metodologia_v4!$B$9,MAX(Metodologia_v4!$B$8,(Indicadores_v4!$G42-Dados_Ajustados_v4!S42)/(Indicadores_v4!$G42-Indicadores_v4!$F42)*100))))</f>
        <v/>
      </c>
      <c r="R42" s="9">
        <f>IF(Dados_Ajustados_v4!T42="","",IF(Indicadores_v4!$E42="+",MIN(Metodologia_v4!$B$9,MAX(Metodologia_v4!$B$8,(Dados_Ajustados_v4!T42-Indicadores_v4!$F42)/(Indicadores_v4!$G42-Indicadores_v4!$F42)*100)),MIN(Metodologia_v4!$B$9,MAX(Metodologia_v4!$B$8,(Indicadores_v4!$G42-Dados_Ajustados_v4!T42)/(Indicadores_v4!$G42-Indicadores_v4!$F42)*100))))</f>
        <v/>
      </c>
    </row>
    <row r="43">
      <c r="A43" s="5" t="inlineStr">
        <is>
          <t>LAB01</t>
        </is>
      </c>
      <c r="B43" s="5" t="inlineStr">
        <is>
          <t>6. Mercado de Trabalho</t>
        </is>
      </c>
      <c r="C43" s="5" t="inlineStr">
        <is>
          <t>Taxa de emprego</t>
        </is>
      </c>
      <c r="D43" s="5">
        <f>Indicadores_v4!J43</f>
        <v/>
      </c>
      <c r="E43" s="5">
        <f>Indicadores_v4!I43</f>
        <v/>
      </c>
      <c r="F43" s="5">
        <f>COUNT(H43:R43)&amp;"/"&amp;COUNTA(H$4:R$4)</f>
        <v/>
      </c>
      <c r="G43" s="5" t="inlineStr">
        <is>
          <t>Min/max/sentido vêm de Indicadores_v4</t>
        </is>
      </c>
      <c r="H43" s="9">
        <f>IF(Dados_Ajustados_v4!J43="","",IF(Indicadores_v4!$E43="+",MIN(Metodologia_v4!$B$9,MAX(Metodologia_v4!$B$8,(Dados_Ajustados_v4!J43-Indicadores_v4!$F43)/(Indicadores_v4!$G43-Indicadores_v4!$F43)*100)),MIN(Metodologia_v4!$B$9,MAX(Metodologia_v4!$B$8,(Indicadores_v4!$G43-Dados_Ajustados_v4!J43)/(Indicadores_v4!$G43-Indicadores_v4!$F43)*100))))</f>
        <v/>
      </c>
      <c r="I43" s="9">
        <f>IF(Dados_Ajustados_v4!K43="","",IF(Indicadores_v4!$E43="+",MIN(Metodologia_v4!$B$9,MAX(Metodologia_v4!$B$8,(Dados_Ajustados_v4!K43-Indicadores_v4!$F43)/(Indicadores_v4!$G43-Indicadores_v4!$F43)*100)),MIN(Metodologia_v4!$B$9,MAX(Metodologia_v4!$B$8,(Indicadores_v4!$G43-Dados_Ajustados_v4!K43)/(Indicadores_v4!$G43-Indicadores_v4!$F43)*100))))</f>
        <v/>
      </c>
      <c r="J43" s="9">
        <f>IF(Dados_Ajustados_v4!L43="","",IF(Indicadores_v4!$E43="+",MIN(Metodologia_v4!$B$9,MAX(Metodologia_v4!$B$8,(Dados_Ajustados_v4!L43-Indicadores_v4!$F43)/(Indicadores_v4!$G43-Indicadores_v4!$F43)*100)),MIN(Metodologia_v4!$B$9,MAX(Metodologia_v4!$B$8,(Indicadores_v4!$G43-Dados_Ajustados_v4!L43)/(Indicadores_v4!$G43-Indicadores_v4!$F43)*100))))</f>
        <v/>
      </c>
      <c r="K43" s="9">
        <f>IF(Dados_Ajustados_v4!M43="","",IF(Indicadores_v4!$E43="+",MIN(Metodologia_v4!$B$9,MAX(Metodologia_v4!$B$8,(Dados_Ajustados_v4!M43-Indicadores_v4!$F43)/(Indicadores_v4!$G43-Indicadores_v4!$F43)*100)),MIN(Metodologia_v4!$B$9,MAX(Metodologia_v4!$B$8,(Indicadores_v4!$G43-Dados_Ajustados_v4!M43)/(Indicadores_v4!$G43-Indicadores_v4!$F43)*100))))</f>
        <v/>
      </c>
      <c r="L43" s="9">
        <f>IF(Dados_Ajustados_v4!N43="","",IF(Indicadores_v4!$E43="+",MIN(Metodologia_v4!$B$9,MAX(Metodologia_v4!$B$8,(Dados_Ajustados_v4!N43-Indicadores_v4!$F43)/(Indicadores_v4!$G43-Indicadores_v4!$F43)*100)),MIN(Metodologia_v4!$B$9,MAX(Metodologia_v4!$B$8,(Indicadores_v4!$G43-Dados_Ajustados_v4!N43)/(Indicadores_v4!$G43-Indicadores_v4!$F43)*100))))</f>
        <v/>
      </c>
      <c r="M43" s="9">
        <f>IF(Dados_Ajustados_v4!O43="","",IF(Indicadores_v4!$E43="+",MIN(Metodologia_v4!$B$9,MAX(Metodologia_v4!$B$8,(Dados_Ajustados_v4!O43-Indicadores_v4!$F43)/(Indicadores_v4!$G43-Indicadores_v4!$F43)*100)),MIN(Metodologia_v4!$B$9,MAX(Metodologia_v4!$B$8,(Indicadores_v4!$G43-Dados_Ajustados_v4!O43)/(Indicadores_v4!$G43-Indicadores_v4!$F43)*100))))</f>
        <v/>
      </c>
      <c r="N43" s="9">
        <f>IF(Dados_Ajustados_v4!P43="","",IF(Indicadores_v4!$E43="+",MIN(Metodologia_v4!$B$9,MAX(Metodologia_v4!$B$8,(Dados_Ajustados_v4!P43-Indicadores_v4!$F43)/(Indicadores_v4!$G43-Indicadores_v4!$F43)*100)),MIN(Metodologia_v4!$B$9,MAX(Metodologia_v4!$B$8,(Indicadores_v4!$G43-Dados_Ajustados_v4!P43)/(Indicadores_v4!$G43-Indicadores_v4!$F43)*100))))</f>
        <v/>
      </c>
      <c r="O43" s="9">
        <f>IF(Dados_Ajustados_v4!Q43="","",IF(Indicadores_v4!$E43="+",MIN(Metodologia_v4!$B$9,MAX(Metodologia_v4!$B$8,(Dados_Ajustados_v4!Q43-Indicadores_v4!$F43)/(Indicadores_v4!$G43-Indicadores_v4!$F43)*100)),MIN(Metodologia_v4!$B$9,MAX(Metodologia_v4!$B$8,(Indicadores_v4!$G43-Dados_Ajustados_v4!Q43)/(Indicadores_v4!$G43-Indicadores_v4!$F43)*100))))</f>
        <v/>
      </c>
      <c r="P43" s="9">
        <f>IF(Dados_Ajustados_v4!R43="","",IF(Indicadores_v4!$E43="+",MIN(Metodologia_v4!$B$9,MAX(Metodologia_v4!$B$8,(Dados_Ajustados_v4!R43-Indicadores_v4!$F43)/(Indicadores_v4!$G43-Indicadores_v4!$F43)*100)),MIN(Metodologia_v4!$B$9,MAX(Metodologia_v4!$B$8,(Indicadores_v4!$G43-Dados_Ajustados_v4!R43)/(Indicadores_v4!$G43-Indicadores_v4!$F43)*100))))</f>
        <v/>
      </c>
      <c r="Q43" s="9">
        <f>IF(Dados_Ajustados_v4!S43="","",IF(Indicadores_v4!$E43="+",MIN(Metodologia_v4!$B$9,MAX(Metodologia_v4!$B$8,(Dados_Ajustados_v4!S43-Indicadores_v4!$F43)/(Indicadores_v4!$G43-Indicadores_v4!$F43)*100)),MIN(Metodologia_v4!$B$9,MAX(Metodologia_v4!$B$8,(Indicadores_v4!$G43-Dados_Ajustados_v4!S43)/(Indicadores_v4!$G43-Indicadores_v4!$F43)*100))))</f>
        <v/>
      </c>
      <c r="R43" s="9">
        <f>IF(Dados_Ajustados_v4!T43="","",IF(Indicadores_v4!$E43="+",MIN(Metodologia_v4!$B$9,MAX(Metodologia_v4!$B$8,(Dados_Ajustados_v4!T43-Indicadores_v4!$F43)/(Indicadores_v4!$G43-Indicadores_v4!$F43)*100)),MIN(Metodologia_v4!$B$9,MAX(Metodologia_v4!$B$8,(Indicadores_v4!$G43-Dados_Ajustados_v4!T43)/(Indicadores_v4!$G43-Indicadores_v4!$F43)*100))))</f>
        <v/>
      </c>
    </row>
    <row r="44">
      <c r="A44" s="5" t="inlineStr">
        <is>
          <t>LAB02</t>
        </is>
      </c>
      <c r="B44" s="5" t="inlineStr">
        <is>
          <t>6. Mercado de Trabalho</t>
        </is>
      </c>
      <c r="C44" s="5" t="inlineStr">
        <is>
          <t>Taxa de desemprego</t>
        </is>
      </c>
      <c r="D44" s="5">
        <f>Indicadores_v4!J44</f>
        <v/>
      </c>
      <c r="E44" s="5">
        <f>Indicadores_v4!I44</f>
        <v/>
      </c>
      <c r="F44" s="5">
        <f>COUNT(H44:R44)&amp;"/"&amp;COUNTA(H$4:R$4)</f>
        <v/>
      </c>
      <c r="G44" s="5" t="inlineStr">
        <is>
          <t>Min/max/sentido vêm de Indicadores_v4</t>
        </is>
      </c>
      <c r="H44" s="9">
        <f>IF(Dados_Ajustados_v4!J44="","",IF(Indicadores_v4!$E44="+",MIN(Metodologia_v4!$B$9,MAX(Metodologia_v4!$B$8,(Dados_Ajustados_v4!J44-Indicadores_v4!$F44)/(Indicadores_v4!$G44-Indicadores_v4!$F44)*100)),MIN(Metodologia_v4!$B$9,MAX(Metodologia_v4!$B$8,(Indicadores_v4!$G44-Dados_Ajustados_v4!J44)/(Indicadores_v4!$G44-Indicadores_v4!$F44)*100))))</f>
        <v/>
      </c>
      <c r="I44" s="9">
        <f>IF(Dados_Ajustados_v4!K44="","",IF(Indicadores_v4!$E44="+",MIN(Metodologia_v4!$B$9,MAX(Metodologia_v4!$B$8,(Dados_Ajustados_v4!K44-Indicadores_v4!$F44)/(Indicadores_v4!$G44-Indicadores_v4!$F44)*100)),MIN(Metodologia_v4!$B$9,MAX(Metodologia_v4!$B$8,(Indicadores_v4!$G44-Dados_Ajustados_v4!K44)/(Indicadores_v4!$G44-Indicadores_v4!$F44)*100))))</f>
        <v/>
      </c>
      <c r="J44" s="9">
        <f>IF(Dados_Ajustados_v4!L44="","",IF(Indicadores_v4!$E44="+",MIN(Metodologia_v4!$B$9,MAX(Metodologia_v4!$B$8,(Dados_Ajustados_v4!L44-Indicadores_v4!$F44)/(Indicadores_v4!$G44-Indicadores_v4!$F44)*100)),MIN(Metodologia_v4!$B$9,MAX(Metodologia_v4!$B$8,(Indicadores_v4!$G44-Dados_Ajustados_v4!L44)/(Indicadores_v4!$G44-Indicadores_v4!$F44)*100))))</f>
        <v/>
      </c>
      <c r="K44" s="9">
        <f>IF(Dados_Ajustados_v4!M44="","",IF(Indicadores_v4!$E44="+",MIN(Metodologia_v4!$B$9,MAX(Metodologia_v4!$B$8,(Dados_Ajustados_v4!M44-Indicadores_v4!$F44)/(Indicadores_v4!$G44-Indicadores_v4!$F44)*100)),MIN(Metodologia_v4!$B$9,MAX(Metodologia_v4!$B$8,(Indicadores_v4!$G44-Dados_Ajustados_v4!M44)/(Indicadores_v4!$G44-Indicadores_v4!$F44)*100))))</f>
        <v/>
      </c>
      <c r="L44" s="9">
        <f>IF(Dados_Ajustados_v4!N44="","",IF(Indicadores_v4!$E44="+",MIN(Metodologia_v4!$B$9,MAX(Metodologia_v4!$B$8,(Dados_Ajustados_v4!N44-Indicadores_v4!$F44)/(Indicadores_v4!$G44-Indicadores_v4!$F44)*100)),MIN(Metodologia_v4!$B$9,MAX(Metodologia_v4!$B$8,(Indicadores_v4!$G44-Dados_Ajustados_v4!N44)/(Indicadores_v4!$G44-Indicadores_v4!$F44)*100))))</f>
        <v/>
      </c>
      <c r="M44" s="9">
        <f>IF(Dados_Ajustados_v4!O44="","",IF(Indicadores_v4!$E44="+",MIN(Metodologia_v4!$B$9,MAX(Metodologia_v4!$B$8,(Dados_Ajustados_v4!O44-Indicadores_v4!$F44)/(Indicadores_v4!$G44-Indicadores_v4!$F44)*100)),MIN(Metodologia_v4!$B$9,MAX(Metodologia_v4!$B$8,(Indicadores_v4!$G44-Dados_Ajustados_v4!O44)/(Indicadores_v4!$G44-Indicadores_v4!$F44)*100))))</f>
        <v/>
      </c>
      <c r="N44" s="9">
        <f>IF(Dados_Ajustados_v4!P44="","",IF(Indicadores_v4!$E44="+",MIN(Metodologia_v4!$B$9,MAX(Metodologia_v4!$B$8,(Dados_Ajustados_v4!P44-Indicadores_v4!$F44)/(Indicadores_v4!$G44-Indicadores_v4!$F44)*100)),MIN(Metodologia_v4!$B$9,MAX(Metodologia_v4!$B$8,(Indicadores_v4!$G44-Dados_Ajustados_v4!P44)/(Indicadores_v4!$G44-Indicadores_v4!$F44)*100))))</f>
        <v/>
      </c>
      <c r="O44" s="9">
        <f>IF(Dados_Ajustados_v4!Q44="","",IF(Indicadores_v4!$E44="+",MIN(Metodologia_v4!$B$9,MAX(Metodologia_v4!$B$8,(Dados_Ajustados_v4!Q44-Indicadores_v4!$F44)/(Indicadores_v4!$G44-Indicadores_v4!$F44)*100)),MIN(Metodologia_v4!$B$9,MAX(Metodologia_v4!$B$8,(Indicadores_v4!$G44-Dados_Ajustados_v4!Q44)/(Indicadores_v4!$G44-Indicadores_v4!$F44)*100))))</f>
        <v/>
      </c>
      <c r="P44" s="9">
        <f>IF(Dados_Ajustados_v4!R44="","",IF(Indicadores_v4!$E44="+",MIN(Metodologia_v4!$B$9,MAX(Metodologia_v4!$B$8,(Dados_Ajustados_v4!R44-Indicadores_v4!$F44)/(Indicadores_v4!$G44-Indicadores_v4!$F44)*100)),MIN(Metodologia_v4!$B$9,MAX(Metodologia_v4!$B$8,(Indicadores_v4!$G44-Dados_Ajustados_v4!R44)/(Indicadores_v4!$G44-Indicadores_v4!$F44)*100))))</f>
        <v/>
      </c>
      <c r="Q44" s="9">
        <f>IF(Dados_Ajustados_v4!S44="","",IF(Indicadores_v4!$E44="+",MIN(Metodologia_v4!$B$9,MAX(Metodologia_v4!$B$8,(Dados_Ajustados_v4!S44-Indicadores_v4!$F44)/(Indicadores_v4!$G44-Indicadores_v4!$F44)*100)),MIN(Metodologia_v4!$B$9,MAX(Metodologia_v4!$B$8,(Indicadores_v4!$G44-Dados_Ajustados_v4!S44)/(Indicadores_v4!$G44-Indicadores_v4!$F44)*100))))</f>
        <v/>
      </c>
      <c r="R44" s="9">
        <f>IF(Dados_Ajustados_v4!T44="","",IF(Indicadores_v4!$E44="+",MIN(Metodologia_v4!$B$9,MAX(Metodologia_v4!$B$8,(Dados_Ajustados_v4!T44-Indicadores_v4!$F44)/(Indicadores_v4!$G44-Indicadores_v4!$F44)*100)),MIN(Metodologia_v4!$B$9,MAX(Metodologia_v4!$B$8,(Indicadores_v4!$G44-Dados_Ajustados_v4!T44)/(Indicadores_v4!$G44-Indicadores_v4!$F44)*100))))</f>
        <v/>
      </c>
    </row>
    <row r="45">
      <c r="A45" s="5" t="inlineStr">
        <is>
          <t>LAB03</t>
        </is>
      </c>
      <c r="B45" s="5" t="inlineStr">
        <is>
          <t>6. Mercado de Trabalho</t>
        </is>
      </c>
      <c r="C45" s="5" t="inlineStr">
        <is>
          <t>Desemprego juvenil</t>
        </is>
      </c>
      <c r="D45" s="5">
        <f>Indicadores_v4!J45</f>
        <v/>
      </c>
      <c r="E45" s="5">
        <f>Indicadores_v4!I45</f>
        <v/>
      </c>
      <c r="F45" s="5">
        <f>COUNT(H45:R45)&amp;"/"&amp;COUNTA(H$4:R$4)</f>
        <v/>
      </c>
      <c r="G45" s="5" t="inlineStr">
        <is>
          <t>Min/max/sentido vêm de Indicadores_v4</t>
        </is>
      </c>
      <c r="H45" s="9">
        <f>IF(Dados_Ajustados_v4!J45="","",IF(Indicadores_v4!$E45="+",MIN(Metodologia_v4!$B$9,MAX(Metodologia_v4!$B$8,(Dados_Ajustados_v4!J45-Indicadores_v4!$F45)/(Indicadores_v4!$G45-Indicadores_v4!$F45)*100)),MIN(Metodologia_v4!$B$9,MAX(Metodologia_v4!$B$8,(Indicadores_v4!$G45-Dados_Ajustados_v4!J45)/(Indicadores_v4!$G45-Indicadores_v4!$F45)*100))))</f>
        <v/>
      </c>
      <c r="I45" s="9">
        <f>IF(Dados_Ajustados_v4!K45="","",IF(Indicadores_v4!$E45="+",MIN(Metodologia_v4!$B$9,MAX(Metodologia_v4!$B$8,(Dados_Ajustados_v4!K45-Indicadores_v4!$F45)/(Indicadores_v4!$G45-Indicadores_v4!$F45)*100)),MIN(Metodologia_v4!$B$9,MAX(Metodologia_v4!$B$8,(Indicadores_v4!$G45-Dados_Ajustados_v4!K45)/(Indicadores_v4!$G45-Indicadores_v4!$F45)*100))))</f>
        <v/>
      </c>
      <c r="J45" s="9">
        <f>IF(Dados_Ajustados_v4!L45="","",IF(Indicadores_v4!$E45="+",MIN(Metodologia_v4!$B$9,MAX(Metodologia_v4!$B$8,(Dados_Ajustados_v4!L45-Indicadores_v4!$F45)/(Indicadores_v4!$G45-Indicadores_v4!$F45)*100)),MIN(Metodologia_v4!$B$9,MAX(Metodologia_v4!$B$8,(Indicadores_v4!$G45-Dados_Ajustados_v4!L45)/(Indicadores_v4!$G45-Indicadores_v4!$F45)*100))))</f>
        <v/>
      </c>
      <c r="K45" s="9">
        <f>IF(Dados_Ajustados_v4!M45="","",IF(Indicadores_v4!$E45="+",MIN(Metodologia_v4!$B$9,MAX(Metodologia_v4!$B$8,(Dados_Ajustados_v4!M45-Indicadores_v4!$F45)/(Indicadores_v4!$G45-Indicadores_v4!$F45)*100)),MIN(Metodologia_v4!$B$9,MAX(Metodologia_v4!$B$8,(Indicadores_v4!$G45-Dados_Ajustados_v4!M45)/(Indicadores_v4!$G45-Indicadores_v4!$F45)*100))))</f>
        <v/>
      </c>
      <c r="L45" s="9">
        <f>IF(Dados_Ajustados_v4!N45="","",IF(Indicadores_v4!$E45="+",MIN(Metodologia_v4!$B$9,MAX(Metodologia_v4!$B$8,(Dados_Ajustados_v4!N45-Indicadores_v4!$F45)/(Indicadores_v4!$G45-Indicadores_v4!$F45)*100)),MIN(Metodologia_v4!$B$9,MAX(Metodologia_v4!$B$8,(Indicadores_v4!$G45-Dados_Ajustados_v4!N45)/(Indicadores_v4!$G45-Indicadores_v4!$F45)*100))))</f>
        <v/>
      </c>
      <c r="M45" s="9">
        <f>IF(Dados_Ajustados_v4!O45="","",IF(Indicadores_v4!$E45="+",MIN(Metodologia_v4!$B$9,MAX(Metodologia_v4!$B$8,(Dados_Ajustados_v4!O45-Indicadores_v4!$F45)/(Indicadores_v4!$G45-Indicadores_v4!$F45)*100)),MIN(Metodologia_v4!$B$9,MAX(Metodologia_v4!$B$8,(Indicadores_v4!$G45-Dados_Ajustados_v4!O45)/(Indicadores_v4!$G45-Indicadores_v4!$F45)*100))))</f>
        <v/>
      </c>
      <c r="N45" s="9">
        <f>IF(Dados_Ajustados_v4!P45="","",IF(Indicadores_v4!$E45="+",MIN(Metodologia_v4!$B$9,MAX(Metodologia_v4!$B$8,(Dados_Ajustados_v4!P45-Indicadores_v4!$F45)/(Indicadores_v4!$G45-Indicadores_v4!$F45)*100)),MIN(Metodologia_v4!$B$9,MAX(Metodologia_v4!$B$8,(Indicadores_v4!$G45-Dados_Ajustados_v4!P45)/(Indicadores_v4!$G45-Indicadores_v4!$F45)*100))))</f>
        <v/>
      </c>
      <c r="O45" s="9">
        <f>IF(Dados_Ajustados_v4!Q45="","",IF(Indicadores_v4!$E45="+",MIN(Metodologia_v4!$B$9,MAX(Metodologia_v4!$B$8,(Dados_Ajustados_v4!Q45-Indicadores_v4!$F45)/(Indicadores_v4!$G45-Indicadores_v4!$F45)*100)),MIN(Metodologia_v4!$B$9,MAX(Metodologia_v4!$B$8,(Indicadores_v4!$G45-Dados_Ajustados_v4!Q45)/(Indicadores_v4!$G45-Indicadores_v4!$F45)*100))))</f>
        <v/>
      </c>
      <c r="P45" s="9">
        <f>IF(Dados_Ajustados_v4!R45="","",IF(Indicadores_v4!$E45="+",MIN(Metodologia_v4!$B$9,MAX(Metodologia_v4!$B$8,(Dados_Ajustados_v4!R45-Indicadores_v4!$F45)/(Indicadores_v4!$G45-Indicadores_v4!$F45)*100)),MIN(Metodologia_v4!$B$9,MAX(Metodologia_v4!$B$8,(Indicadores_v4!$G45-Dados_Ajustados_v4!R45)/(Indicadores_v4!$G45-Indicadores_v4!$F45)*100))))</f>
        <v/>
      </c>
      <c r="Q45" s="9">
        <f>IF(Dados_Ajustados_v4!S45="","",IF(Indicadores_v4!$E45="+",MIN(Metodologia_v4!$B$9,MAX(Metodologia_v4!$B$8,(Dados_Ajustados_v4!S45-Indicadores_v4!$F45)/(Indicadores_v4!$G45-Indicadores_v4!$F45)*100)),MIN(Metodologia_v4!$B$9,MAX(Metodologia_v4!$B$8,(Indicadores_v4!$G45-Dados_Ajustados_v4!S45)/(Indicadores_v4!$G45-Indicadores_v4!$F45)*100))))</f>
        <v/>
      </c>
      <c r="R45" s="9">
        <f>IF(Dados_Ajustados_v4!T45="","",IF(Indicadores_v4!$E45="+",MIN(Metodologia_v4!$B$9,MAX(Metodologia_v4!$B$8,(Dados_Ajustados_v4!T45-Indicadores_v4!$F45)/(Indicadores_v4!$G45-Indicadores_v4!$F45)*100)),MIN(Metodologia_v4!$B$9,MAX(Metodologia_v4!$B$8,(Indicadores_v4!$G45-Dados_Ajustados_v4!T45)/(Indicadores_v4!$G45-Indicadores_v4!$F45)*100))))</f>
        <v/>
      </c>
    </row>
    <row r="46">
      <c r="A46" s="5" t="inlineStr">
        <is>
          <t>LAB04</t>
        </is>
      </c>
      <c r="B46" s="5" t="inlineStr">
        <is>
          <t>6. Mercado de Trabalho</t>
        </is>
      </c>
      <c r="C46" s="5" t="inlineStr">
        <is>
          <t>Participação na força de trabalho</t>
        </is>
      </c>
      <c r="D46" s="5">
        <f>Indicadores_v4!J46</f>
        <v/>
      </c>
      <c r="E46" s="5">
        <f>Indicadores_v4!I46</f>
        <v/>
      </c>
      <c r="F46" s="5">
        <f>COUNT(H46:R46)&amp;"/"&amp;COUNTA(H$4:R$4)</f>
        <v/>
      </c>
      <c r="G46" s="5" t="inlineStr">
        <is>
          <t>Min/max/sentido vêm de Indicadores_v4</t>
        </is>
      </c>
      <c r="H46" s="9">
        <f>IF(Dados_Ajustados_v4!J46="","",IF(Indicadores_v4!$E46="+",MIN(Metodologia_v4!$B$9,MAX(Metodologia_v4!$B$8,(Dados_Ajustados_v4!J46-Indicadores_v4!$F46)/(Indicadores_v4!$G46-Indicadores_v4!$F46)*100)),MIN(Metodologia_v4!$B$9,MAX(Metodologia_v4!$B$8,(Indicadores_v4!$G46-Dados_Ajustados_v4!J46)/(Indicadores_v4!$G46-Indicadores_v4!$F46)*100))))</f>
        <v/>
      </c>
      <c r="I46" s="9">
        <f>IF(Dados_Ajustados_v4!K46="","",IF(Indicadores_v4!$E46="+",MIN(Metodologia_v4!$B$9,MAX(Metodologia_v4!$B$8,(Dados_Ajustados_v4!K46-Indicadores_v4!$F46)/(Indicadores_v4!$G46-Indicadores_v4!$F46)*100)),MIN(Metodologia_v4!$B$9,MAX(Metodologia_v4!$B$8,(Indicadores_v4!$G46-Dados_Ajustados_v4!K46)/(Indicadores_v4!$G46-Indicadores_v4!$F46)*100))))</f>
        <v/>
      </c>
      <c r="J46" s="9">
        <f>IF(Dados_Ajustados_v4!L46="","",IF(Indicadores_v4!$E46="+",MIN(Metodologia_v4!$B$9,MAX(Metodologia_v4!$B$8,(Dados_Ajustados_v4!L46-Indicadores_v4!$F46)/(Indicadores_v4!$G46-Indicadores_v4!$F46)*100)),MIN(Metodologia_v4!$B$9,MAX(Metodologia_v4!$B$8,(Indicadores_v4!$G46-Dados_Ajustados_v4!L46)/(Indicadores_v4!$G46-Indicadores_v4!$F46)*100))))</f>
        <v/>
      </c>
      <c r="K46" s="9">
        <f>IF(Dados_Ajustados_v4!M46="","",IF(Indicadores_v4!$E46="+",MIN(Metodologia_v4!$B$9,MAX(Metodologia_v4!$B$8,(Dados_Ajustados_v4!M46-Indicadores_v4!$F46)/(Indicadores_v4!$G46-Indicadores_v4!$F46)*100)),MIN(Metodologia_v4!$B$9,MAX(Metodologia_v4!$B$8,(Indicadores_v4!$G46-Dados_Ajustados_v4!M46)/(Indicadores_v4!$G46-Indicadores_v4!$F46)*100))))</f>
        <v/>
      </c>
      <c r="L46" s="9">
        <f>IF(Dados_Ajustados_v4!N46="","",IF(Indicadores_v4!$E46="+",MIN(Metodologia_v4!$B$9,MAX(Metodologia_v4!$B$8,(Dados_Ajustados_v4!N46-Indicadores_v4!$F46)/(Indicadores_v4!$G46-Indicadores_v4!$F46)*100)),MIN(Metodologia_v4!$B$9,MAX(Metodologia_v4!$B$8,(Indicadores_v4!$G46-Dados_Ajustados_v4!N46)/(Indicadores_v4!$G46-Indicadores_v4!$F46)*100))))</f>
        <v/>
      </c>
      <c r="M46" s="9">
        <f>IF(Dados_Ajustados_v4!O46="","",IF(Indicadores_v4!$E46="+",MIN(Metodologia_v4!$B$9,MAX(Metodologia_v4!$B$8,(Dados_Ajustados_v4!O46-Indicadores_v4!$F46)/(Indicadores_v4!$G46-Indicadores_v4!$F46)*100)),MIN(Metodologia_v4!$B$9,MAX(Metodologia_v4!$B$8,(Indicadores_v4!$G46-Dados_Ajustados_v4!O46)/(Indicadores_v4!$G46-Indicadores_v4!$F46)*100))))</f>
        <v/>
      </c>
      <c r="N46" s="9">
        <f>IF(Dados_Ajustados_v4!P46="","",IF(Indicadores_v4!$E46="+",MIN(Metodologia_v4!$B$9,MAX(Metodologia_v4!$B$8,(Dados_Ajustados_v4!P46-Indicadores_v4!$F46)/(Indicadores_v4!$G46-Indicadores_v4!$F46)*100)),MIN(Metodologia_v4!$B$9,MAX(Metodologia_v4!$B$8,(Indicadores_v4!$G46-Dados_Ajustados_v4!P46)/(Indicadores_v4!$G46-Indicadores_v4!$F46)*100))))</f>
        <v/>
      </c>
      <c r="O46" s="9">
        <f>IF(Dados_Ajustados_v4!Q46="","",IF(Indicadores_v4!$E46="+",MIN(Metodologia_v4!$B$9,MAX(Metodologia_v4!$B$8,(Dados_Ajustados_v4!Q46-Indicadores_v4!$F46)/(Indicadores_v4!$G46-Indicadores_v4!$F46)*100)),MIN(Metodologia_v4!$B$9,MAX(Metodologia_v4!$B$8,(Indicadores_v4!$G46-Dados_Ajustados_v4!Q46)/(Indicadores_v4!$G46-Indicadores_v4!$F46)*100))))</f>
        <v/>
      </c>
      <c r="P46" s="9">
        <f>IF(Dados_Ajustados_v4!R46="","",IF(Indicadores_v4!$E46="+",MIN(Metodologia_v4!$B$9,MAX(Metodologia_v4!$B$8,(Dados_Ajustados_v4!R46-Indicadores_v4!$F46)/(Indicadores_v4!$G46-Indicadores_v4!$F46)*100)),MIN(Metodologia_v4!$B$9,MAX(Metodologia_v4!$B$8,(Indicadores_v4!$G46-Dados_Ajustados_v4!R46)/(Indicadores_v4!$G46-Indicadores_v4!$F46)*100))))</f>
        <v/>
      </c>
      <c r="Q46" s="9">
        <f>IF(Dados_Ajustados_v4!S46="","",IF(Indicadores_v4!$E46="+",MIN(Metodologia_v4!$B$9,MAX(Metodologia_v4!$B$8,(Dados_Ajustados_v4!S46-Indicadores_v4!$F46)/(Indicadores_v4!$G46-Indicadores_v4!$F46)*100)),MIN(Metodologia_v4!$B$9,MAX(Metodologia_v4!$B$8,(Indicadores_v4!$G46-Dados_Ajustados_v4!S46)/(Indicadores_v4!$G46-Indicadores_v4!$F46)*100))))</f>
        <v/>
      </c>
      <c r="R46" s="9">
        <f>IF(Dados_Ajustados_v4!T46="","",IF(Indicadores_v4!$E46="+",MIN(Metodologia_v4!$B$9,MAX(Metodologia_v4!$B$8,(Dados_Ajustados_v4!T46-Indicadores_v4!$F46)/(Indicadores_v4!$G46-Indicadores_v4!$F46)*100)),MIN(Metodologia_v4!$B$9,MAX(Metodologia_v4!$B$8,(Indicadores_v4!$G46-Dados_Ajustados_v4!T46)/(Indicadores_v4!$G46-Indicadores_v4!$F46)*100))))</f>
        <v/>
      </c>
    </row>
    <row r="47">
      <c r="A47" s="5" t="inlineStr">
        <is>
          <t>LAB05</t>
        </is>
      </c>
      <c r="B47" s="5" t="inlineStr">
        <is>
          <t>6. Mercado de Trabalho</t>
        </is>
      </c>
      <c r="C47" s="5" t="inlineStr">
        <is>
          <t>Emprego vulnerável</t>
        </is>
      </c>
      <c r="D47" s="5">
        <f>Indicadores_v4!J47</f>
        <v/>
      </c>
      <c r="E47" s="5">
        <f>Indicadores_v4!I47</f>
        <v/>
      </c>
      <c r="F47" s="5">
        <f>COUNT(H47:R47)&amp;"/"&amp;COUNTA(H$4:R$4)</f>
        <v/>
      </c>
      <c r="G47" s="5" t="inlineStr">
        <is>
          <t>Min/max/sentido vêm de Indicadores_v4</t>
        </is>
      </c>
      <c r="H47" s="9">
        <f>IF(Dados_Ajustados_v4!J47="","",IF(Indicadores_v4!$E47="+",MIN(Metodologia_v4!$B$9,MAX(Metodologia_v4!$B$8,(Dados_Ajustados_v4!J47-Indicadores_v4!$F47)/(Indicadores_v4!$G47-Indicadores_v4!$F47)*100)),MIN(Metodologia_v4!$B$9,MAX(Metodologia_v4!$B$8,(Indicadores_v4!$G47-Dados_Ajustados_v4!J47)/(Indicadores_v4!$G47-Indicadores_v4!$F47)*100))))</f>
        <v/>
      </c>
      <c r="I47" s="9">
        <f>IF(Dados_Ajustados_v4!K47="","",IF(Indicadores_v4!$E47="+",MIN(Metodologia_v4!$B$9,MAX(Metodologia_v4!$B$8,(Dados_Ajustados_v4!K47-Indicadores_v4!$F47)/(Indicadores_v4!$G47-Indicadores_v4!$F47)*100)),MIN(Metodologia_v4!$B$9,MAX(Metodologia_v4!$B$8,(Indicadores_v4!$G47-Dados_Ajustados_v4!K47)/(Indicadores_v4!$G47-Indicadores_v4!$F47)*100))))</f>
        <v/>
      </c>
      <c r="J47" s="9">
        <f>IF(Dados_Ajustados_v4!L47="","",IF(Indicadores_v4!$E47="+",MIN(Metodologia_v4!$B$9,MAX(Metodologia_v4!$B$8,(Dados_Ajustados_v4!L47-Indicadores_v4!$F47)/(Indicadores_v4!$G47-Indicadores_v4!$F47)*100)),MIN(Metodologia_v4!$B$9,MAX(Metodologia_v4!$B$8,(Indicadores_v4!$G47-Dados_Ajustados_v4!L47)/(Indicadores_v4!$G47-Indicadores_v4!$F47)*100))))</f>
        <v/>
      </c>
      <c r="K47" s="9">
        <f>IF(Dados_Ajustados_v4!M47="","",IF(Indicadores_v4!$E47="+",MIN(Metodologia_v4!$B$9,MAX(Metodologia_v4!$B$8,(Dados_Ajustados_v4!M47-Indicadores_v4!$F47)/(Indicadores_v4!$G47-Indicadores_v4!$F47)*100)),MIN(Metodologia_v4!$B$9,MAX(Metodologia_v4!$B$8,(Indicadores_v4!$G47-Dados_Ajustados_v4!M47)/(Indicadores_v4!$G47-Indicadores_v4!$F47)*100))))</f>
        <v/>
      </c>
      <c r="L47" s="9">
        <f>IF(Dados_Ajustados_v4!N47="","",IF(Indicadores_v4!$E47="+",MIN(Metodologia_v4!$B$9,MAX(Metodologia_v4!$B$8,(Dados_Ajustados_v4!N47-Indicadores_v4!$F47)/(Indicadores_v4!$G47-Indicadores_v4!$F47)*100)),MIN(Metodologia_v4!$B$9,MAX(Metodologia_v4!$B$8,(Indicadores_v4!$G47-Dados_Ajustados_v4!N47)/(Indicadores_v4!$G47-Indicadores_v4!$F47)*100))))</f>
        <v/>
      </c>
      <c r="M47" s="9">
        <f>IF(Dados_Ajustados_v4!O47="","",IF(Indicadores_v4!$E47="+",MIN(Metodologia_v4!$B$9,MAX(Metodologia_v4!$B$8,(Dados_Ajustados_v4!O47-Indicadores_v4!$F47)/(Indicadores_v4!$G47-Indicadores_v4!$F47)*100)),MIN(Metodologia_v4!$B$9,MAX(Metodologia_v4!$B$8,(Indicadores_v4!$G47-Dados_Ajustados_v4!O47)/(Indicadores_v4!$G47-Indicadores_v4!$F47)*100))))</f>
        <v/>
      </c>
      <c r="N47" s="9">
        <f>IF(Dados_Ajustados_v4!P47="","",IF(Indicadores_v4!$E47="+",MIN(Metodologia_v4!$B$9,MAX(Metodologia_v4!$B$8,(Dados_Ajustados_v4!P47-Indicadores_v4!$F47)/(Indicadores_v4!$G47-Indicadores_v4!$F47)*100)),MIN(Metodologia_v4!$B$9,MAX(Metodologia_v4!$B$8,(Indicadores_v4!$G47-Dados_Ajustados_v4!P47)/(Indicadores_v4!$G47-Indicadores_v4!$F47)*100))))</f>
        <v/>
      </c>
      <c r="O47" s="9">
        <f>IF(Dados_Ajustados_v4!Q47="","",IF(Indicadores_v4!$E47="+",MIN(Metodologia_v4!$B$9,MAX(Metodologia_v4!$B$8,(Dados_Ajustados_v4!Q47-Indicadores_v4!$F47)/(Indicadores_v4!$G47-Indicadores_v4!$F47)*100)),MIN(Metodologia_v4!$B$9,MAX(Metodologia_v4!$B$8,(Indicadores_v4!$G47-Dados_Ajustados_v4!Q47)/(Indicadores_v4!$G47-Indicadores_v4!$F47)*100))))</f>
        <v/>
      </c>
      <c r="P47" s="9">
        <f>IF(Dados_Ajustados_v4!R47="","",IF(Indicadores_v4!$E47="+",MIN(Metodologia_v4!$B$9,MAX(Metodologia_v4!$B$8,(Dados_Ajustados_v4!R47-Indicadores_v4!$F47)/(Indicadores_v4!$G47-Indicadores_v4!$F47)*100)),MIN(Metodologia_v4!$B$9,MAX(Metodologia_v4!$B$8,(Indicadores_v4!$G47-Dados_Ajustados_v4!R47)/(Indicadores_v4!$G47-Indicadores_v4!$F47)*100))))</f>
        <v/>
      </c>
      <c r="Q47" s="9">
        <f>IF(Dados_Ajustados_v4!S47="","",IF(Indicadores_v4!$E47="+",MIN(Metodologia_v4!$B$9,MAX(Metodologia_v4!$B$8,(Dados_Ajustados_v4!S47-Indicadores_v4!$F47)/(Indicadores_v4!$G47-Indicadores_v4!$F47)*100)),MIN(Metodologia_v4!$B$9,MAX(Metodologia_v4!$B$8,(Indicadores_v4!$G47-Dados_Ajustados_v4!S47)/(Indicadores_v4!$G47-Indicadores_v4!$F47)*100))))</f>
        <v/>
      </c>
      <c r="R47" s="9">
        <f>IF(Dados_Ajustados_v4!T47="","",IF(Indicadores_v4!$E47="+",MIN(Metodologia_v4!$B$9,MAX(Metodologia_v4!$B$8,(Dados_Ajustados_v4!T47-Indicadores_v4!$F47)/(Indicadores_v4!$G47-Indicadores_v4!$F47)*100)),MIN(Metodologia_v4!$B$9,MAX(Metodologia_v4!$B$8,(Indicadores_v4!$G47-Dados_Ajustados_v4!T47)/(Indicadores_v4!$G47-Indicadores_v4!$F47)*100))))</f>
        <v/>
      </c>
    </row>
    <row r="48">
      <c r="A48" s="5" t="inlineStr">
        <is>
          <t>LAB06</t>
        </is>
      </c>
      <c r="B48" s="5" t="inlineStr">
        <is>
          <t>6. Mercado de Trabalho</t>
        </is>
      </c>
      <c r="C48" s="5" t="inlineStr">
        <is>
          <t>Trabalhadores assalariados</t>
        </is>
      </c>
      <c r="D48" s="5">
        <f>Indicadores_v4!J48</f>
        <v/>
      </c>
      <c r="E48" s="5">
        <f>Indicadores_v4!I48</f>
        <v/>
      </c>
      <c r="F48" s="5">
        <f>COUNT(H48:R48)&amp;"/"&amp;COUNTA(H$4:R$4)</f>
        <v/>
      </c>
      <c r="G48" s="5" t="inlineStr">
        <is>
          <t>Min/max/sentido vêm de Indicadores_v4</t>
        </is>
      </c>
      <c r="H48" s="9">
        <f>IF(Dados_Ajustados_v4!J48="","",IF(Indicadores_v4!$E48="+",MIN(Metodologia_v4!$B$9,MAX(Metodologia_v4!$B$8,(Dados_Ajustados_v4!J48-Indicadores_v4!$F48)/(Indicadores_v4!$G48-Indicadores_v4!$F48)*100)),MIN(Metodologia_v4!$B$9,MAX(Metodologia_v4!$B$8,(Indicadores_v4!$G48-Dados_Ajustados_v4!J48)/(Indicadores_v4!$G48-Indicadores_v4!$F48)*100))))</f>
        <v/>
      </c>
      <c r="I48" s="9">
        <f>IF(Dados_Ajustados_v4!K48="","",IF(Indicadores_v4!$E48="+",MIN(Metodologia_v4!$B$9,MAX(Metodologia_v4!$B$8,(Dados_Ajustados_v4!K48-Indicadores_v4!$F48)/(Indicadores_v4!$G48-Indicadores_v4!$F48)*100)),MIN(Metodologia_v4!$B$9,MAX(Metodologia_v4!$B$8,(Indicadores_v4!$G48-Dados_Ajustados_v4!K48)/(Indicadores_v4!$G48-Indicadores_v4!$F48)*100))))</f>
        <v/>
      </c>
      <c r="J48" s="9">
        <f>IF(Dados_Ajustados_v4!L48="","",IF(Indicadores_v4!$E48="+",MIN(Metodologia_v4!$B$9,MAX(Metodologia_v4!$B$8,(Dados_Ajustados_v4!L48-Indicadores_v4!$F48)/(Indicadores_v4!$G48-Indicadores_v4!$F48)*100)),MIN(Metodologia_v4!$B$9,MAX(Metodologia_v4!$B$8,(Indicadores_v4!$G48-Dados_Ajustados_v4!L48)/(Indicadores_v4!$G48-Indicadores_v4!$F48)*100))))</f>
        <v/>
      </c>
      <c r="K48" s="9">
        <f>IF(Dados_Ajustados_v4!M48="","",IF(Indicadores_v4!$E48="+",MIN(Metodologia_v4!$B$9,MAX(Metodologia_v4!$B$8,(Dados_Ajustados_v4!M48-Indicadores_v4!$F48)/(Indicadores_v4!$G48-Indicadores_v4!$F48)*100)),MIN(Metodologia_v4!$B$9,MAX(Metodologia_v4!$B$8,(Indicadores_v4!$G48-Dados_Ajustados_v4!M48)/(Indicadores_v4!$G48-Indicadores_v4!$F48)*100))))</f>
        <v/>
      </c>
      <c r="L48" s="9">
        <f>IF(Dados_Ajustados_v4!N48="","",IF(Indicadores_v4!$E48="+",MIN(Metodologia_v4!$B$9,MAX(Metodologia_v4!$B$8,(Dados_Ajustados_v4!N48-Indicadores_v4!$F48)/(Indicadores_v4!$G48-Indicadores_v4!$F48)*100)),MIN(Metodologia_v4!$B$9,MAX(Metodologia_v4!$B$8,(Indicadores_v4!$G48-Dados_Ajustados_v4!N48)/(Indicadores_v4!$G48-Indicadores_v4!$F48)*100))))</f>
        <v/>
      </c>
      <c r="M48" s="9">
        <f>IF(Dados_Ajustados_v4!O48="","",IF(Indicadores_v4!$E48="+",MIN(Metodologia_v4!$B$9,MAX(Metodologia_v4!$B$8,(Dados_Ajustados_v4!O48-Indicadores_v4!$F48)/(Indicadores_v4!$G48-Indicadores_v4!$F48)*100)),MIN(Metodologia_v4!$B$9,MAX(Metodologia_v4!$B$8,(Indicadores_v4!$G48-Dados_Ajustados_v4!O48)/(Indicadores_v4!$G48-Indicadores_v4!$F48)*100))))</f>
        <v/>
      </c>
      <c r="N48" s="9">
        <f>IF(Dados_Ajustados_v4!P48="","",IF(Indicadores_v4!$E48="+",MIN(Metodologia_v4!$B$9,MAX(Metodologia_v4!$B$8,(Dados_Ajustados_v4!P48-Indicadores_v4!$F48)/(Indicadores_v4!$G48-Indicadores_v4!$F48)*100)),MIN(Metodologia_v4!$B$9,MAX(Metodologia_v4!$B$8,(Indicadores_v4!$G48-Dados_Ajustados_v4!P48)/(Indicadores_v4!$G48-Indicadores_v4!$F48)*100))))</f>
        <v/>
      </c>
      <c r="O48" s="9">
        <f>IF(Dados_Ajustados_v4!Q48="","",IF(Indicadores_v4!$E48="+",MIN(Metodologia_v4!$B$9,MAX(Metodologia_v4!$B$8,(Dados_Ajustados_v4!Q48-Indicadores_v4!$F48)/(Indicadores_v4!$G48-Indicadores_v4!$F48)*100)),MIN(Metodologia_v4!$B$9,MAX(Metodologia_v4!$B$8,(Indicadores_v4!$G48-Dados_Ajustados_v4!Q48)/(Indicadores_v4!$G48-Indicadores_v4!$F48)*100))))</f>
        <v/>
      </c>
      <c r="P48" s="9">
        <f>IF(Dados_Ajustados_v4!R48="","",IF(Indicadores_v4!$E48="+",MIN(Metodologia_v4!$B$9,MAX(Metodologia_v4!$B$8,(Dados_Ajustados_v4!R48-Indicadores_v4!$F48)/(Indicadores_v4!$G48-Indicadores_v4!$F48)*100)),MIN(Metodologia_v4!$B$9,MAX(Metodologia_v4!$B$8,(Indicadores_v4!$G48-Dados_Ajustados_v4!R48)/(Indicadores_v4!$G48-Indicadores_v4!$F48)*100))))</f>
        <v/>
      </c>
      <c r="Q48" s="9">
        <f>IF(Dados_Ajustados_v4!S48="","",IF(Indicadores_v4!$E48="+",MIN(Metodologia_v4!$B$9,MAX(Metodologia_v4!$B$8,(Dados_Ajustados_v4!S48-Indicadores_v4!$F48)/(Indicadores_v4!$G48-Indicadores_v4!$F48)*100)),MIN(Metodologia_v4!$B$9,MAX(Metodologia_v4!$B$8,(Indicadores_v4!$G48-Dados_Ajustados_v4!S48)/(Indicadores_v4!$G48-Indicadores_v4!$F48)*100))))</f>
        <v/>
      </c>
      <c r="R48" s="9">
        <f>IF(Dados_Ajustados_v4!T48="","",IF(Indicadores_v4!$E48="+",MIN(Metodologia_v4!$B$9,MAX(Metodologia_v4!$B$8,(Dados_Ajustados_v4!T48-Indicadores_v4!$F48)/(Indicadores_v4!$G48-Indicadores_v4!$F48)*100)),MIN(Metodologia_v4!$B$9,MAX(Metodologia_v4!$B$8,(Indicadores_v4!$G48-Dados_Ajustados_v4!T48)/(Indicadores_v4!$G48-Indicadores_v4!$F48)*100))))</f>
        <v/>
      </c>
    </row>
    <row r="49">
      <c r="A49" s="5" t="inlineStr">
        <is>
          <t>LAB07</t>
        </is>
      </c>
      <c r="B49" s="5" t="inlineStr">
        <is>
          <t>6. Mercado de Trabalho</t>
        </is>
      </c>
      <c r="C49" s="5" t="inlineStr">
        <is>
          <t>PIB por pessoa empregada</t>
        </is>
      </c>
      <c r="D49" s="5">
        <f>Indicadores_v4!J49</f>
        <v/>
      </c>
      <c r="E49" s="5">
        <f>Indicadores_v4!I49</f>
        <v/>
      </c>
      <c r="F49" s="5">
        <f>COUNT(H49:R49)&amp;"/"&amp;COUNTA(H$4:R$4)</f>
        <v/>
      </c>
      <c r="G49" s="5" t="inlineStr">
        <is>
          <t>Min/max/sentido vêm de Indicadores_v4</t>
        </is>
      </c>
      <c r="H49" s="9">
        <f>IF(Dados_Ajustados_v4!J49="","",IF(Indicadores_v4!$E49="+",MIN(Metodologia_v4!$B$9,MAX(Metodologia_v4!$B$8,(Dados_Ajustados_v4!J49-Indicadores_v4!$F49)/(Indicadores_v4!$G49-Indicadores_v4!$F49)*100)),MIN(Metodologia_v4!$B$9,MAX(Metodologia_v4!$B$8,(Indicadores_v4!$G49-Dados_Ajustados_v4!J49)/(Indicadores_v4!$G49-Indicadores_v4!$F49)*100))))</f>
        <v/>
      </c>
      <c r="I49" s="9">
        <f>IF(Dados_Ajustados_v4!K49="","",IF(Indicadores_v4!$E49="+",MIN(Metodologia_v4!$B$9,MAX(Metodologia_v4!$B$8,(Dados_Ajustados_v4!K49-Indicadores_v4!$F49)/(Indicadores_v4!$G49-Indicadores_v4!$F49)*100)),MIN(Metodologia_v4!$B$9,MAX(Metodologia_v4!$B$8,(Indicadores_v4!$G49-Dados_Ajustados_v4!K49)/(Indicadores_v4!$G49-Indicadores_v4!$F49)*100))))</f>
        <v/>
      </c>
      <c r="J49" s="9">
        <f>IF(Dados_Ajustados_v4!L49="","",IF(Indicadores_v4!$E49="+",MIN(Metodologia_v4!$B$9,MAX(Metodologia_v4!$B$8,(Dados_Ajustados_v4!L49-Indicadores_v4!$F49)/(Indicadores_v4!$G49-Indicadores_v4!$F49)*100)),MIN(Metodologia_v4!$B$9,MAX(Metodologia_v4!$B$8,(Indicadores_v4!$G49-Dados_Ajustados_v4!L49)/(Indicadores_v4!$G49-Indicadores_v4!$F49)*100))))</f>
        <v/>
      </c>
      <c r="K49" s="9">
        <f>IF(Dados_Ajustados_v4!M49="","",IF(Indicadores_v4!$E49="+",MIN(Metodologia_v4!$B$9,MAX(Metodologia_v4!$B$8,(Dados_Ajustados_v4!M49-Indicadores_v4!$F49)/(Indicadores_v4!$G49-Indicadores_v4!$F49)*100)),MIN(Metodologia_v4!$B$9,MAX(Metodologia_v4!$B$8,(Indicadores_v4!$G49-Dados_Ajustados_v4!M49)/(Indicadores_v4!$G49-Indicadores_v4!$F49)*100))))</f>
        <v/>
      </c>
      <c r="L49" s="9">
        <f>IF(Dados_Ajustados_v4!N49="","",IF(Indicadores_v4!$E49="+",MIN(Metodologia_v4!$B$9,MAX(Metodologia_v4!$B$8,(Dados_Ajustados_v4!N49-Indicadores_v4!$F49)/(Indicadores_v4!$G49-Indicadores_v4!$F49)*100)),MIN(Metodologia_v4!$B$9,MAX(Metodologia_v4!$B$8,(Indicadores_v4!$G49-Dados_Ajustados_v4!N49)/(Indicadores_v4!$G49-Indicadores_v4!$F49)*100))))</f>
        <v/>
      </c>
      <c r="M49" s="9">
        <f>IF(Dados_Ajustados_v4!O49="","",IF(Indicadores_v4!$E49="+",MIN(Metodologia_v4!$B$9,MAX(Metodologia_v4!$B$8,(Dados_Ajustados_v4!O49-Indicadores_v4!$F49)/(Indicadores_v4!$G49-Indicadores_v4!$F49)*100)),MIN(Metodologia_v4!$B$9,MAX(Metodologia_v4!$B$8,(Indicadores_v4!$G49-Dados_Ajustados_v4!O49)/(Indicadores_v4!$G49-Indicadores_v4!$F49)*100))))</f>
        <v/>
      </c>
      <c r="N49" s="9">
        <f>IF(Dados_Ajustados_v4!P49="","",IF(Indicadores_v4!$E49="+",MIN(Metodologia_v4!$B$9,MAX(Metodologia_v4!$B$8,(Dados_Ajustados_v4!P49-Indicadores_v4!$F49)/(Indicadores_v4!$G49-Indicadores_v4!$F49)*100)),MIN(Metodologia_v4!$B$9,MAX(Metodologia_v4!$B$8,(Indicadores_v4!$G49-Dados_Ajustados_v4!P49)/(Indicadores_v4!$G49-Indicadores_v4!$F49)*100))))</f>
        <v/>
      </c>
      <c r="O49" s="9">
        <f>IF(Dados_Ajustados_v4!Q49="","",IF(Indicadores_v4!$E49="+",MIN(Metodologia_v4!$B$9,MAX(Metodologia_v4!$B$8,(Dados_Ajustados_v4!Q49-Indicadores_v4!$F49)/(Indicadores_v4!$G49-Indicadores_v4!$F49)*100)),MIN(Metodologia_v4!$B$9,MAX(Metodologia_v4!$B$8,(Indicadores_v4!$G49-Dados_Ajustados_v4!Q49)/(Indicadores_v4!$G49-Indicadores_v4!$F49)*100))))</f>
        <v/>
      </c>
      <c r="P49" s="9">
        <f>IF(Dados_Ajustados_v4!R49="","",IF(Indicadores_v4!$E49="+",MIN(Metodologia_v4!$B$9,MAX(Metodologia_v4!$B$8,(Dados_Ajustados_v4!R49-Indicadores_v4!$F49)/(Indicadores_v4!$G49-Indicadores_v4!$F49)*100)),MIN(Metodologia_v4!$B$9,MAX(Metodologia_v4!$B$8,(Indicadores_v4!$G49-Dados_Ajustados_v4!R49)/(Indicadores_v4!$G49-Indicadores_v4!$F49)*100))))</f>
        <v/>
      </c>
      <c r="Q49" s="9">
        <f>IF(Dados_Ajustados_v4!S49="","",IF(Indicadores_v4!$E49="+",MIN(Metodologia_v4!$B$9,MAX(Metodologia_v4!$B$8,(Dados_Ajustados_v4!S49-Indicadores_v4!$F49)/(Indicadores_v4!$G49-Indicadores_v4!$F49)*100)),MIN(Metodologia_v4!$B$9,MAX(Metodologia_v4!$B$8,(Indicadores_v4!$G49-Dados_Ajustados_v4!S49)/(Indicadores_v4!$G49-Indicadores_v4!$F49)*100))))</f>
        <v/>
      </c>
      <c r="R49" s="9">
        <f>IF(Dados_Ajustados_v4!T49="","",IF(Indicadores_v4!$E49="+",MIN(Metodologia_v4!$B$9,MAX(Metodologia_v4!$B$8,(Dados_Ajustados_v4!T49-Indicadores_v4!$F49)/(Indicadores_v4!$G49-Indicadores_v4!$F49)*100)),MIN(Metodologia_v4!$B$9,MAX(Metodologia_v4!$B$8,(Indicadores_v4!$G49-Dados_Ajustados_v4!T49)/(Indicadores_v4!$G49-Indicadores_v4!$F49)*100))))</f>
        <v/>
      </c>
    </row>
    <row r="50">
      <c r="A50" s="5" t="inlineStr">
        <is>
          <t>LAB08</t>
        </is>
      </c>
      <c r="B50" s="5" t="inlineStr">
        <is>
          <t>6. Mercado de Trabalho</t>
        </is>
      </c>
      <c r="C50" s="5" t="inlineStr">
        <is>
          <t>Emprego informal</t>
        </is>
      </c>
      <c r="D50" s="5">
        <f>Indicadores_v4!J50</f>
        <v/>
      </c>
      <c r="E50" s="5">
        <f>Indicadores_v4!I50</f>
        <v/>
      </c>
      <c r="F50" s="5">
        <f>COUNT(H50:R50)&amp;"/"&amp;COUNTA(H$4:R$4)</f>
        <v/>
      </c>
      <c r="G50" s="5" t="inlineStr">
        <is>
          <t>Min/max/sentido vêm de Indicadores_v4</t>
        </is>
      </c>
      <c r="H50" s="9">
        <f>IF(Dados_Ajustados_v4!J50="","",IF(Indicadores_v4!$E50="+",MIN(Metodologia_v4!$B$9,MAX(Metodologia_v4!$B$8,(Dados_Ajustados_v4!J50-Indicadores_v4!$F50)/(Indicadores_v4!$G50-Indicadores_v4!$F50)*100)),MIN(Metodologia_v4!$B$9,MAX(Metodologia_v4!$B$8,(Indicadores_v4!$G50-Dados_Ajustados_v4!J50)/(Indicadores_v4!$G50-Indicadores_v4!$F50)*100))))</f>
        <v/>
      </c>
      <c r="I50" s="9">
        <f>IF(Dados_Ajustados_v4!K50="","",IF(Indicadores_v4!$E50="+",MIN(Metodologia_v4!$B$9,MAX(Metodologia_v4!$B$8,(Dados_Ajustados_v4!K50-Indicadores_v4!$F50)/(Indicadores_v4!$G50-Indicadores_v4!$F50)*100)),MIN(Metodologia_v4!$B$9,MAX(Metodologia_v4!$B$8,(Indicadores_v4!$G50-Dados_Ajustados_v4!K50)/(Indicadores_v4!$G50-Indicadores_v4!$F50)*100))))</f>
        <v/>
      </c>
      <c r="J50" s="9">
        <f>IF(Dados_Ajustados_v4!L50="","",IF(Indicadores_v4!$E50="+",MIN(Metodologia_v4!$B$9,MAX(Metodologia_v4!$B$8,(Dados_Ajustados_v4!L50-Indicadores_v4!$F50)/(Indicadores_v4!$G50-Indicadores_v4!$F50)*100)),MIN(Metodologia_v4!$B$9,MAX(Metodologia_v4!$B$8,(Indicadores_v4!$G50-Dados_Ajustados_v4!L50)/(Indicadores_v4!$G50-Indicadores_v4!$F50)*100))))</f>
        <v/>
      </c>
      <c r="K50" s="9">
        <f>IF(Dados_Ajustados_v4!M50="","",IF(Indicadores_v4!$E50="+",MIN(Metodologia_v4!$B$9,MAX(Metodologia_v4!$B$8,(Dados_Ajustados_v4!M50-Indicadores_v4!$F50)/(Indicadores_v4!$G50-Indicadores_v4!$F50)*100)),MIN(Metodologia_v4!$B$9,MAX(Metodologia_v4!$B$8,(Indicadores_v4!$G50-Dados_Ajustados_v4!M50)/(Indicadores_v4!$G50-Indicadores_v4!$F50)*100))))</f>
        <v/>
      </c>
      <c r="L50" s="9">
        <f>IF(Dados_Ajustados_v4!N50="","",IF(Indicadores_v4!$E50="+",MIN(Metodologia_v4!$B$9,MAX(Metodologia_v4!$B$8,(Dados_Ajustados_v4!N50-Indicadores_v4!$F50)/(Indicadores_v4!$G50-Indicadores_v4!$F50)*100)),MIN(Metodologia_v4!$B$9,MAX(Metodologia_v4!$B$8,(Indicadores_v4!$G50-Dados_Ajustados_v4!N50)/(Indicadores_v4!$G50-Indicadores_v4!$F50)*100))))</f>
        <v/>
      </c>
      <c r="M50" s="9">
        <f>IF(Dados_Ajustados_v4!O50="","",IF(Indicadores_v4!$E50="+",MIN(Metodologia_v4!$B$9,MAX(Metodologia_v4!$B$8,(Dados_Ajustados_v4!O50-Indicadores_v4!$F50)/(Indicadores_v4!$G50-Indicadores_v4!$F50)*100)),MIN(Metodologia_v4!$B$9,MAX(Metodologia_v4!$B$8,(Indicadores_v4!$G50-Dados_Ajustados_v4!O50)/(Indicadores_v4!$G50-Indicadores_v4!$F50)*100))))</f>
        <v/>
      </c>
      <c r="N50" s="9">
        <f>IF(Dados_Ajustados_v4!P50="","",IF(Indicadores_v4!$E50="+",MIN(Metodologia_v4!$B$9,MAX(Metodologia_v4!$B$8,(Dados_Ajustados_v4!P50-Indicadores_v4!$F50)/(Indicadores_v4!$G50-Indicadores_v4!$F50)*100)),MIN(Metodologia_v4!$B$9,MAX(Metodologia_v4!$B$8,(Indicadores_v4!$G50-Dados_Ajustados_v4!P50)/(Indicadores_v4!$G50-Indicadores_v4!$F50)*100))))</f>
        <v/>
      </c>
      <c r="O50" s="9">
        <f>IF(Dados_Ajustados_v4!Q50="","",IF(Indicadores_v4!$E50="+",MIN(Metodologia_v4!$B$9,MAX(Metodologia_v4!$B$8,(Dados_Ajustados_v4!Q50-Indicadores_v4!$F50)/(Indicadores_v4!$G50-Indicadores_v4!$F50)*100)),MIN(Metodologia_v4!$B$9,MAX(Metodologia_v4!$B$8,(Indicadores_v4!$G50-Dados_Ajustados_v4!Q50)/(Indicadores_v4!$G50-Indicadores_v4!$F50)*100))))</f>
        <v/>
      </c>
      <c r="P50" s="9">
        <f>IF(Dados_Ajustados_v4!R50="","",IF(Indicadores_v4!$E50="+",MIN(Metodologia_v4!$B$9,MAX(Metodologia_v4!$B$8,(Dados_Ajustados_v4!R50-Indicadores_v4!$F50)/(Indicadores_v4!$G50-Indicadores_v4!$F50)*100)),MIN(Metodologia_v4!$B$9,MAX(Metodologia_v4!$B$8,(Indicadores_v4!$G50-Dados_Ajustados_v4!R50)/(Indicadores_v4!$G50-Indicadores_v4!$F50)*100))))</f>
        <v/>
      </c>
      <c r="Q50" s="9">
        <f>IF(Dados_Ajustados_v4!S50="","",IF(Indicadores_v4!$E50="+",MIN(Metodologia_v4!$B$9,MAX(Metodologia_v4!$B$8,(Dados_Ajustados_v4!S50-Indicadores_v4!$F50)/(Indicadores_v4!$G50-Indicadores_v4!$F50)*100)),MIN(Metodologia_v4!$B$9,MAX(Metodologia_v4!$B$8,(Indicadores_v4!$G50-Dados_Ajustados_v4!S50)/(Indicadores_v4!$G50-Indicadores_v4!$F50)*100))))</f>
        <v/>
      </c>
      <c r="R50" s="9">
        <f>IF(Dados_Ajustados_v4!T50="","",IF(Indicadores_v4!$E50="+",MIN(Metodologia_v4!$B$9,MAX(Metodologia_v4!$B$8,(Dados_Ajustados_v4!T50-Indicadores_v4!$F50)/(Indicadores_v4!$G50-Indicadores_v4!$F50)*100)),MIN(Metodologia_v4!$B$9,MAX(Metodologia_v4!$B$8,(Indicadores_v4!$G50-Dados_Ajustados_v4!T50)/(Indicadores_v4!$G50-Indicadores_v4!$F50)*100))))</f>
        <v/>
      </c>
    </row>
    <row r="51">
      <c r="A51" s="5" t="inlineStr">
        <is>
          <t>LAB09</t>
        </is>
      </c>
      <c r="B51" s="5" t="inlineStr">
        <is>
          <t>6. Mercado de Trabalho</t>
        </is>
      </c>
      <c r="C51" s="5" t="inlineStr">
        <is>
          <t>Taxa de formalização</t>
        </is>
      </c>
      <c r="D51" s="5">
        <f>Indicadores_v4!J51</f>
        <v/>
      </c>
      <c r="E51" s="5">
        <f>Indicadores_v4!I51</f>
        <v/>
      </c>
      <c r="F51" s="5">
        <f>COUNT(H51:R51)&amp;"/"&amp;COUNTA(H$4:R$4)</f>
        <v/>
      </c>
      <c r="G51" s="5" t="inlineStr">
        <is>
          <t>Min/max/sentido vêm de Indicadores_v4</t>
        </is>
      </c>
      <c r="H51" s="9">
        <f>IF(Dados_Ajustados_v4!J51="","",IF(Indicadores_v4!$E51="+",MIN(Metodologia_v4!$B$9,MAX(Metodologia_v4!$B$8,(Dados_Ajustados_v4!J51-Indicadores_v4!$F51)/(Indicadores_v4!$G51-Indicadores_v4!$F51)*100)),MIN(Metodologia_v4!$B$9,MAX(Metodologia_v4!$B$8,(Indicadores_v4!$G51-Dados_Ajustados_v4!J51)/(Indicadores_v4!$G51-Indicadores_v4!$F51)*100))))</f>
        <v/>
      </c>
      <c r="I51" s="9">
        <f>IF(Dados_Ajustados_v4!K51="","",IF(Indicadores_v4!$E51="+",MIN(Metodologia_v4!$B$9,MAX(Metodologia_v4!$B$8,(Dados_Ajustados_v4!K51-Indicadores_v4!$F51)/(Indicadores_v4!$G51-Indicadores_v4!$F51)*100)),MIN(Metodologia_v4!$B$9,MAX(Metodologia_v4!$B$8,(Indicadores_v4!$G51-Dados_Ajustados_v4!K51)/(Indicadores_v4!$G51-Indicadores_v4!$F51)*100))))</f>
        <v/>
      </c>
      <c r="J51" s="9">
        <f>IF(Dados_Ajustados_v4!L51="","",IF(Indicadores_v4!$E51="+",MIN(Metodologia_v4!$B$9,MAX(Metodologia_v4!$B$8,(Dados_Ajustados_v4!L51-Indicadores_v4!$F51)/(Indicadores_v4!$G51-Indicadores_v4!$F51)*100)),MIN(Metodologia_v4!$B$9,MAX(Metodologia_v4!$B$8,(Indicadores_v4!$G51-Dados_Ajustados_v4!L51)/(Indicadores_v4!$G51-Indicadores_v4!$F51)*100))))</f>
        <v/>
      </c>
      <c r="K51" s="9">
        <f>IF(Dados_Ajustados_v4!M51="","",IF(Indicadores_v4!$E51="+",MIN(Metodologia_v4!$B$9,MAX(Metodologia_v4!$B$8,(Dados_Ajustados_v4!M51-Indicadores_v4!$F51)/(Indicadores_v4!$G51-Indicadores_v4!$F51)*100)),MIN(Metodologia_v4!$B$9,MAX(Metodologia_v4!$B$8,(Indicadores_v4!$G51-Dados_Ajustados_v4!M51)/(Indicadores_v4!$G51-Indicadores_v4!$F51)*100))))</f>
        <v/>
      </c>
      <c r="L51" s="9">
        <f>IF(Dados_Ajustados_v4!N51="","",IF(Indicadores_v4!$E51="+",MIN(Metodologia_v4!$B$9,MAX(Metodologia_v4!$B$8,(Dados_Ajustados_v4!N51-Indicadores_v4!$F51)/(Indicadores_v4!$G51-Indicadores_v4!$F51)*100)),MIN(Metodologia_v4!$B$9,MAX(Metodologia_v4!$B$8,(Indicadores_v4!$G51-Dados_Ajustados_v4!N51)/(Indicadores_v4!$G51-Indicadores_v4!$F51)*100))))</f>
        <v/>
      </c>
      <c r="M51" s="9">
        <f>IF(Dados_Ajustados_v4!O51="","",IF(Indicadores_v4!$E51="+",MIN(Metodologia_v4!$B$9,MAX(Metodologia_v4!$B$8,(Dados_Ajustados_v4!O51-Indicadores_v4!$F51)/(Indicadores_v4!$G51-Indicadores_v4!$F51)*100)),MIN(Metodologia_v4!$B$9,MAX(Metodologia_v4!$B$8,(Indicadores_v4!$G51-Dados_Ajustados_v4!O51)/(Indicadores_v4!$G51-Indicadores_v4!$F51)*100))))</f>
        <v/>
      </c>
      <c r="N51" s="9">
        <f>IF(Dados_Ajustados_v4!P51="","",IF(Indicadores_v4!$E51="+",MIN(Metodologia_v4!$B$9,MAX(Metodologia_v4!$B$8,(Dados_Ajustados_v4!P51-Indicadores_v4!$F51)/(Indicadores_v4!$G51-Indicadores_v4!$F51)*100)),MIN(Metodologia_v4!$B$9,MAX(Metodologia_v4!$B$8,(Indicadores_v4!$G51-Dados_Ajustados_v4!P51)/(Indicadores_v4!$G51-Indicadores_v4!$F51)*100))))</f>
        <v/>
      </c>
      <c r="O51" s="9">
        <f>IF(Dados_Ajustados_v4!Q51="","",IF(Indicadores_v4!$E51="+",MIN(Metodologia_v4!$B$9,MAX(Metodologia_v4!$B$8,(Dados_Ajustados_v4!Q51-Indicadores_v4!$F51)/(Indicadores_v4!$G51-Indicadores_v4!$F51)*100)),MIN(Metodologia_v4!$B$9,MAX(Metodologia_v4!$B$8,(Indicadores_v4!$G51-Dados_Ajustados_v4!Q51)/(Indicadores_v4!$G51-Indicadores_v4!$F51)*100))))</f>
        <v/>
      </c>
      <c r="P51" s="9">
        <f>IF(Dados_Ajustados_v4!R51="","",IF(Indicadores_v4!$E51="+",MIN(Metodologia_v4!$B$9,MAX(Metodologia_v4!$B$8,(Dados_Ajustados_v4!R51-Indicadores_v4!$F51)/(Indicadores_v4!$G51-Indicadores_v4!$F51)*100)),MIN(Metodologia_v4!$B$9,MAX(Metodologia_v4!$B$8,(Indicadores_v4!$G51-Dados_Ajustados_v4!R51)/(Indicadores_v4!$G51-Indicadores_v4!$F51)*100))))</f>
        <v/>
      </c>
      <c r="Q51" s="9">
        <f>IF(Dados_Ajustados_v4!S51="","",IF(Indicadores_v4!$E51="+",MIN(Metodologia_v4!$B$9,MAX(Metodologia_v4!$B$8,(Dados_Ajustados_v4!S51-Indicadores_v4!$F51)/(Indicadores_v4!$G51-Indicadores_v4!$F51)*100)),MIN(Metodologia_v4!$B$9,MAX(Metodologia_v4!$B$8,(Indicadores_v4!$G51-Dados_Ajustados_v4!S51)/(Indicadores_v4!$G51-Indicadores_v4!$F51)*100))))</f>
        <v/>
      </c>
      <c r="R51" s="9">
        <f>IF(Dados_Ajustados_v4!T51="","",IF(Indicadores_v4!$E51="+",MIN(Metodologia_v4!$B$9,MAX(Metodologia_v4!$B$8,(Dados_Ajustados_v4!T51-Indicadores_v4!$F51)/(Indicadores_v4!$G51-Indicadores_v4!$F51)*100)),MIN(Metodologia_v4!$B$9,MAX(Metodologia_v4!$B$8,(Indicadores_v4!$G51-Dados_Ajustados_v4!T51)/(Indicadores_v4!$G51-Indicadores_v4!$F51)*100))))</f>
        <v/>
      </c>
    </row>
    <row r="52">
      <c r="A52" s="5" t="inlineStr">
        <is>
          <t>SAU01</t>
        </is>
      </c>
      <c r="B52" s="5" t="inlineStr">
        <is>
          <t>7. Segurança Alimentar e Saúde</t>
        </is>
      </c>
      <c r="C52" s="5" t="inlineStr">
        <is>
          <t>Prevalência de subalimentação</t>
        </is>
      </c>
      <c r="D52" s="5">
        <f>Indicadores_v4!J52</f>
        <v/>
      </c>
      <c r="E52" s="5">
        <f>Indicadores_v4!I52</f>
        <v/>
      </c>
      <c r="F52" s="5">
        <f>COUNT(H52:R52)&amp;"/"&amp;COUNTA(H$4:R$4)</f>
        <v/>
      </c>
      <c r="G52" s="5" t="inlineStr">
        <is>
          <t>Min/max/sentido vêm de Indicadores_v4</t>
        </is>
      </c>
      <c r="H52" s="9">
        <f>IF(Dados_Ajustados_v4!J52="","",IF(Indicadores_v4!$E52="+",MIN(Metodologia_v4!$B$9,MAX(Metodologia_v4!$B$8,(Dados_Ajustados_v4!J52-Indicadores_v4!$F52)/(Indicadores_v4!$G52-Indicadores_v4!$F52)*100)),MIN(Metodologia_v4!$B$9,MAX(Metodologia_v4!$B$8,(Indicadores_v4!$G52-Dados_Ajustados_v4!J52)/(Indicadores_v4!$G52-Indicadores_v4!$F52)*100))))</f>
        <v/>
      </c>
      <c r="I52" s="9">
        <f>IF(Dados_Ajustados_v4!K52="","",IF(Indicadores_v4!$E52="+",MIN(Metodologia_v4!$B$9,MAX(Metodologia_v4!$B$8,(Dados_Ajustados_v4!K52-Indicadores_v4!$F52)/(Indicadores_v4!$G52-Indicadores_v4!$F52)*100)),MIN(Metodologia_v4!$B$9,MAX(Metodologia_v4!$B$8,(Indicadores_v4!$G52-Dados_Ajustados_v4!K52)/(Indicadores_v4!$G52-Indicadores_v4!$F52)*100))))</f>
        <v/>
      </c>
      <c r="J52" s="9">
        <f>IF(Dados_Ajustados_v4!L52="","",IF(Indicadores_v4!$E52="+",MIN(Metodologia_v4!$B$9,MAX(Metodologia_v4!$B$8,(Dados_Ajustados_v4!L52-Indicadores_v4!$F52)/(Indicadores_v4!$G52-Indicadores_v4!$F52)*100)),MIN(Metodologia_v4!$B$9,MAX(Metodologia_v4!$B$8,(Indicadores_v4!$G52-Dados_Ajustados_v4!L52)/(Indicadores_v4!$G52-Indicadores_v4!$F52)*100))))</f>
        <v/>
      </c>
      <c r="K52" s="9">
        <f>IF(Dados_Ajustados_v4!M52="","",IF(Indicadores_v4!$E52="+",MIN(Metodologia_v4!$B$9,MAX(Metodologia_v4!$B$8,(Dados_Ajustados_v4!M52-Indicadores_v4!$F52)/(Indicadores_v4!$G52-Indicadores_v4!$F52)*100)),MIN(Metodologia_v4!$B$9,MAX(Metodologia_v4!$B$8,(Indicadores_v4!$G52-Dados_Ajustados_v4!M52)/(Indicadores_v4!$G52-Indicadores_v4!$F52)*100))))</f>
        <v/>
      </c>
      <c r="L52" s="9">
        <f>IF(Dados_Ajustados_v4!N52="","",IF(Indicadores_v4!$E52="+",MIN(Metodologia_v4!$B$9,MAX(Metodologia_v4!$B$8,(Dados_Ajustados_v4!N52-Indicadores_v4!$F52)/(Indicadores_v4!$G52-Indicadores_v4!$F52)*100)),MIN(Metodologia_v4!$B$9,MAX(Metodologia_v4!$B$8,(Indicadores_v4!$G52-Dados_Ajustados_v4!N52)/(Indicadores_v4!$G52-Indicadores_v4!$F52)*100))))</f>
        <v/>
      </c>
      <c r="M52" s="9">
        <f>IF(Dados_Ajustados_v4!O52="","",IF(Indicadores_v4!$E52="+",MIN(Metodologia_v4!$B$9,MAX(Metodologia_v4!$B$8,(Dados_Ajustados_v4!O52-Indicadores_v4!$F52)/(Indicadores_v4!$G52-Indicadores_v4!$F52)*100)),MIN(Metodologia_v4!$B$9,MAX(Metodologia_v4!$B$8,(Indicadores_v4!$G52-Dados_Ajustados_v4!O52)/(Indicadores_v4!$G52-Indicadores_v4!$F52)*100))))</f>
        <v/>
      </c>
      <c r="N52" s="9">
        <f>IF(Dados_Ajustados_v4!P52="","",IF(Indicadores_v4!$E52="+",MIN(Metodologia_v4!$B$9,MAX(Metodologia_v4!$B$8,(Dados_Ajustados_v4!P52-Indicadores_v4!$F52)/(Indicadores_v4!$G52-Indicadores_v4!$F52)*100)),MIN(Metodologia_v4!$B$9,MAX(Metodologia_v4!$B$8,(Indicadores_v4!$G52-Dados_Ajustados_v4!P52)/(Indicadores_v4!$G52-Indicadores_v4!$F52)*100))))</f>
        <v/>
      </c>
      <c r="O52" s="9">
        <f>IF(Dados_Ajustados_v4!Q52="","",IF(Indicadores_v4!$E52="+",MIN(Metodologia_v4!$B$9,MAX(Metodologia_v4!$B$8,(Dados_Ajustados_v4!Q52-Indicadores_v4!$F52)/(Indicadores_v4!$G52-Indicadores_v4!$F52)*100)),MIN(Metodologia_v4!$B$9,MAX(Metodologia_v4!$B$8,(Indicadores_v4!$G52-Dados_Ajustados_v4!Q52)/(Indicadores_v4!$G52-Indicadores_v4!$F52)*100))))</f>
        <v/>
      </c>
      <c r="P52" s="9">
        <f>IF(Dados_Ajustados_v4!R52="","",IF(Indicadores_v4!$E52="+",MIN(Metodologia_v4!$B$9,MAX(Metodologia_v4!$B$8,(Dados_Ajustados_v4!R52-Indicadores_v4!$F52)/(Indicadores_v4!$G52-Indicadores_v4!$F52)*100)),MIN(Metodologia_v4!$B$9,MAX(Metodologia_v4!$B$8,(Indicadores_v4!$G52-Dados_Ajustados_v4!R52)/(Indicadores_v4!$G52-Indicadores_v4!$F52)*100))))</f>
        <v/>
      </c>
      <c r="Q52" s="9">
        <f>IF(Dados_Ajustados_v4!S52="","",IF(Indicadores_v4!$E52="+",MIN(Metodologia_v4!$B$9,MAX(Metodologia_v4!$B$8,(Dados_Ajustados_v4!S52-Indicadores_v4!$F52)/(Indicadores_v4!$G52-Indicadores_v4!$F52)*100)),MIN(Metodologia_v4!$B$9,MAX(Metodologia_v4!$B$8,(Indicadores_v4!$G52-Dados_Ajustados_v4!S52)/(Indicadores_v4!$G52-Indicadores_v4!$F52)*100))))</f>
        <v/>
      </c>
      <c r="R52" s="9">
        <f>IF(Dados_Ajustados_v4!T52="","",IF(Indicadores_v4!$E52="+",MIN(Metodologia_v4!$B$9,MAX(Metodologia_v4!$B$8,(Dados_Ajustados_v4!T52-Indicadores_v4!$F52)/(Indicadores_v4!$G52-Indicadores_v4!$F52)*100)),MIN(Metodologia_v4!$B$9,MAX(Metodologia_v4!$B$8,(Indicadores_v4!$G52-Dados_Ajustados_v4!T52)/(Indicadores_v4!$G52-Indicadores_v4!$F52)*100))))</f>
        <v/>
      </c>
    </row>
    <row r="53">
      <c r="A53" s="5" t="inlineStr">
        <is>
          <t>SAU02</t>
        </is>
      </c>
      <c r="B53" s="5" t="inlineStr">
        <is>
          <t>7. Segurança Alimentar e Saúde</t>
        </is>
      </c>
      <c r="C53" s="5" t="inlineStr">
        <is>
          <t>Insegurança alimentar moderada ou severa</t>
        </is>
      </c>
      <c r="D53" s="5">
        <f>Indicadores_v4!J53</f>
        <v/>
      </c>
      <c r="E53" s="5">
        <f>Indicadores_v4!I53</f>
        <v/>
      </c>
      <c r="F53" s="5">
        <f>COUNT(H53:R53)&amp;"/"&amp;COUNTA(H$4:R$4)</f>
        <v/>
      </c>
      <c r="G53" s="5" t="inlineStr">
        <is>
          <t>Min/max/sentido vêm de Indicadores_v4</t>
        </is>
      </c>
      <c r="H53" s="9">
        <f>IF(Dados_Ajustados_v4!J53="","",IF(Indicadores_v4!$E53="+",MIN(Metodologia_v4!$B$9,MAX(Metodologia_v4!$B$8,(Dados_Ajustados_v4!J53-Indicadores_v4!$F53)/(Indicadores_v4!$G53-Indicadores_v4!$F53)*100)),MIN(Metodologia_v4!$B$9,MAX(Metodologia_v4!$B$8,(Indicadores_v4!$G53-Dados_Ajustados_v4!J53)/(Indicadores_v4!$G53-Indicadores_v4!$F53)*100))))</f>
        <v/>
      </c>
      <c r="I53" s="9">
        <f>IF(Dados_Ajustados_v4!K53="","",IF(Indicadores_v4!$E53="+",MIN(Metodologia_v4!$B$9,MAX(Metodologia_v4!$B$8,(Dados_Ajustados_v4!K53-Indicadores_v4!$F53)/(Indicadores_v4!$G53-Indicadores_v4!$F53)*100)),MIN(Metodologia_v4!$B$9,MAX(Metodologia_v4!$B$8,(Indicadores_v4!$G53-Dados_Ajustados_v4!K53)/(Indicadores_v4!$G53-Indicadores_v4!$F53)*100))))</f>
        <v/>
      </c>
      <c r="J53" s="9">
        <f>IF(Dados_Ajustados_v4!L53="","",IF(Indicadores_v4!$E53="+",MIN(Metodologia_v4!$B$9,MAX(Metodologia_v4!$B$8,(Dados_Ajustados_v4!L53-Indicadores_v4!$F53)/(Indicadores_v4!$G53-Indicadores_v4!$F53)*100)),MIN(Metodologia_v4!$B$9,MAX(Metodologia_v4!$B$8,(Indicadores_v4!$G53-Dados_Ajustados_v4!L53)/(Indicadores_v4!$G53-Indicadores_v4!$F53)*100))))</f>
        <v/>
      </c>
      <c r="K53" s="9">
        <f>IF(Dados_Ajustados_v4!M53="","",IF(Indicadores_v4!$E53="+",MIN(Metodologia_v4!$B$9,MAX(Metodologia_v4!$B$8,(Dados_Ajustados_v4!M53-Indicadores_v4!$F53)/(Indicadores_v4!$G53-Indicadores_v4!$F53)*100)),MIN(Metodologia_v4!$B$9,MAX(Metodologia_v4!$B$8,(Indicadores_v4!$G53-Dados_Ajustados_v4!M53)/(Indicadores_v4!$G53-Indicadores_v4!$F53)*100))))</f>
        <v/>
      </c>
      <c r="L53" s="9">
        <f>IF(Dados_Ajustados_v4!N53="","",IF(Indicadores_v4!$E53="+",MIN(Metodologia_v4!$B$9,MAX(Metodologia_v4!$B$8,(Dados_Ajustados_v4!N53-Indicadores_v4!$F53)/(Indicadores_v4!$G53-Indicadores_v4!$F53)*100)),MIN(Metodologia_v4!$B$9,MAX(Metodologia_v4!$B$8,(Indicadores_v4!$G53-Dados_Ajustados_v4!N53)/(Indicadores_v4!$G53-Indicadores_v4!$F53)*100))))</f>
        <v/>
      </c>
      <c r="M53" s="9">
        <f>IF(Dados_Ajustados_v4!O53="","",IF(Indicadores_v4!$E53="+",MIN(Metodologia_v4!$B$9,MAX(Metodologia_v4!$B$8,(Dados_Ajustados_v4!O53-Indicadores_v4!$F53)/(Indicadores_v4!$G53-Indicadores_v4!$F53)*100)),MIN(Metodologia_v4!$B$9,MAX(Metodologia_v4!$B$8,(Indicadores_v4!$G53-Dados_Ajustados_v4!O53)/(Indicadores_v4!$G53-Indicadores_v4!$F53)*100))))</f>
        <v/>
      </c>
      <c r="N53" s="9">
        <f>IF(Dados_Ajustados_v4!P53="","",IF(Indicadores_v4!$E53="+",MIN(Metodologia_v4!$B$9,MAX(Metodologia_v4!$B$8,(Dados_Ajustados_v4!P53-Indicadores_v4!$F53)/(Indicadores_v4!$G53-Indicadores_v4!$F53)*100)),MIN(Metodologia_v4!$B$9,MAX(Metodologia_v4!$B$8,(Indicadores_v4!$G53-Dados_Ajustados_v4!P53)/(Indicadores_v4!$G53-Indicadores_v4!$F53)*100))))</f>
        <v/>
      </c>
      <c r="O53" s="9">
        <f>IF(Dados_Ajustados_v4!Q53="","",IF(Indicadores_v4!$E53="+",MIN(Metodologia_v4!$B$9,MAX(Metodologia_v4!$B$8,(Dados_Ajustados_v4!Q53-Indicadores_v4!$F53)/(Indicadores_v4!$G53-Indicadores_v4!$F53)*100)),MIN(Metodologia_v4!$B$9,MAX(Metodologia_v4!$B$8,(Indicadores_v4!$G53-Dados_Ajustados_v4!Q53)/(Indicadores_v4!$G53-Indicadores_v4!$F53)*100))))</f>
        <v/>
      </c>
      <c r="P53" s="9">
        <f>IF(Dados_Ajustados_v4!R53="","",IF(Indicadores_v4!$E53="+",MIN(Metodologia_v4!$B$9,MAX(Metodologia_v4!$B$8,(Dados_Ajustados_v4!R53-Indicadores_v4!$F53)/(Indicadores_v4!$G53-Indicadores_v4!$F53)*100)),MIN(Metodologia_v4!$B$9,MAX(Metodologia_v4!$B$8,(Indicadores_v4!$G53-Dados_Ajustados_v4!R53)/(Indicadores_v4!$G53-Indicadores_v4!$F53)*100))))</f>
        <v/>
      </c>
      <c r="Q53" s="9">
        <f>IF(Dados_Ajustados_v4!S53="","",IF(Indicadores_v4!$E53="+",MIN(Metodologia_v4!$B$9,MAX(Metodologia_v4!$B$8,(Dados_Ajustados_v4!S53-Indicadores_v4!$F53)/(Indicadores_v4!$G53-Indicadores_v4!$F53)*100)),MIN(Metodologia_v4!$B$9,MAX(Metodologia_v4!$B$8,(Indicadores_v4!$G53-Dados_Ajustados_v4!S53)/(Indicadores_v4!$G53-Indicadores_v4!$F53)*100))))</f>
        <v/>
      </c>
      <c r="R53" s="9">
        <f>IF(Dados_Ajustados_v4!T53="","",IF(Indicadores_v4!$E53="+",MIN(Metodologia_v4!$B$9,MAX(Metodologia_v4!$B$8,(Dados_Ajustados_v4!T53-Indicadores_v4!$F53)/(Indicadores_v4!$G53-Indicadores_v4!$F53)*100)),MIN(Metodologia_v4!$B$9,MAX(Metodologia_v4!$B$8,(Indicadores_v4!$G53-Dados_Ajustados_v4!T53)/(Indicadores_v4!$G53-Indicadores_v4!$F53)*100))))</f>
        <v/>
      </c>
    </row>
    <row r="54">
      <c r="A54" s="5" t="inlineStr">
        <is>
          <t>SAU03</t>
        </is>
      </c>
      <c r="B54" s="5" t="inlineStr">
        <is>
          <t>7. Segurança Alimentar e Saúde</t>
        </is>
      </c>
      <c r="C54" s="5" t="inlineStr">
        <is>
          <t>Mortalidade materna</t>
        </is>
      </c>
      <c r="D54" s="5">
        <f>Indicadores_v4!J54</f>
        <v/>
      </c>
      <c r="E54" s="5">
        <f>Indicadores_v4!I54</f>
        <v/>
      </c>
      <c r="F54" s="5">
        <f>COUNT(H54:R54)&amp;"/"&amp;COUNTA(H$4:R$4)</f>
        <v/>
      </c>
      <c r="G54" s="5" t="inlineStr">
        <is>
          <t>Min/max/sentido vêm de Indicadores_v4</t>
        </is>
      </c>
      <c r="H54" s="9">
        <f>IF(Dados_Ajustados_v4!J54="","",IF(Indicadores_v4!$E54="+",MIN(Metodologia_v4!$B$9,MAX(Metodologia_v4!$B$8,(Dados_Ajustados_v4!J54-Indicadores_v4!$F54)/(Indicadores_v4!$G54-Indicadores_v4!$F54)*100)),MIN(Metodologia_v4!$B$9,MAX(Metodologia_v4!$B$8,(Indicadores_v4!$G54-Dados_Ajustados_v4!J54)/(Indicadores_v4!$G54-Indicadores_v4!$F54)*100))))</f>
        <v/>
      </c>
      <c r="I54" s="9">
        <f>IF(Dados_Ajustados_v4!K54="","",IF(Indicadores_v4!$E54="+",MIN(Metodologia_v4!$B$9,MAX(Metodologia_v4!$B$8,(Dados_Ajustados_v4!K54-Indicadores_v4!$F54)/(Indicadores_v4!$G54-Indicadores_v4!$F54)*100)),MIN(Metodologia_v4!$B$9,MAX(Metodologia_v4!$B$8,(Indicadores_v4!$G54-Dados_Ajustados_v4!K54)/(Indicadores_v4!$G54-Indicadores_v4!$F54)*100))))</f>
        <v/>
      </c>
      <c r="J54" s="9">
        <f>IF(Dados_Ajustados_v4!L54="","",IF(Indicadores_v4!$E54="+",MIN(Metodologia_v4!$B$9,MAX(Metodologia_v4!$B$8,(Dados_Ajustados_v4!L54-Indicadores_v4!$F54)/(Indicadores_v4!$G54-Indicadores_v4!$F54)*100)),MIN(Metodologia_v4!$B$9,MAX(Metodologia_v4!$B$8,(Indicadores_v4!$G54-Dados_Ajustados_v4!L54)/(Indicadores_v4!$G54-Indicadores_v4!$F54)*100))))</f>
        <v/>
      </c>
      <c r="K54" s="9">
        <f>IF(Dados_Ajustados_v4!M54="","",IF(Indicadores_v4!$E54="+",MIN(Metodologia_v4!$B$9,MAX(Metodologia_v4!$B$8,(Dados_Ajustados_v4!M54-Indicadores_v4!$F54)/(Indicadores_v4!$G54-Indicadores_v4!$F54)*100)),MIN(Metodologia_v4!$B$9,MAX(Metodologia_v4!$B$8,(Indicadores_v4!$G54-Dados_Ajustados_v4!M54)/(Indicadores_v4!$G54-Indicadores_v4!$F54)*100))))</f>
        <v/>
      </c>
      <c r="L54" s="9">
        <f>IF(Dados_Ajustados_v4!N54="","",IF(Indicadores_v4!$E54="+",MIN(Metodologia_v4!$B$9,MAX(Metodologia_v4!$B$8,(Dados_Ajustados_v4!N54-Indicadores_v4!$F54)/(Indicadores_v4!$G54-Indicadores_v4!$F54)*100)),MIN(Metodologia_v4!$B$9,MAX(Metodologia_v4!$B$8,(Indicadores_v4!$G54-Dados_Ajustados_v4!N54)/(Indicadores_v4!$G54-Indicadores_v4!$F54)*100))))</f>
        <v/>
      </c>
      <c r="M54" s="9">
        <f>IF(Dados_Ajustados_v4!O54="","",IF(Indicadores_v4!$E54="+",MIN(Metodologia_v4!$B$9,MAX(Metodologia_v4!$B$8,(Dados_Ajustados_v4!O54-Indicadores_v4!$F54)/(Indicadores_v4!$G54-Indicadores_v4!$F54)*100)),MIN(Metodologia_v4!$B$9,MAX(Metodologia_v4!$B$8,(Indicadores_v4!$G54-Dados_Ajustados_v4!O54)/(Indicadores_v4!$G54-Indicadores_v4!$F54)*100))))</f>
        <v/>
      </c>
      <c r="N54" s="9">
        <f>IF(Dados_Ajustados_v4!P54="","",IF(Indicadores_v4!$E54="+",MIN(Metodologia_v4!$B$9,MAX(Metodologia_v4!$B$8,(Dados_Ajustados_v4!P54-Indicadores_v4!$F54)/(Indicadores_v4!$G54-Indicadores_v4!$F54)*100)),MIN(Metodologia_v4!$B$9,MAX(Metodologia_v4!$B$8,(Indicadores_v4!$G54-Dados_Ajustados_v4!P54)/(Indicadores_v4!$G54-Indicadores_v4!$F54)*100))))</f>
        <v/>
      </c>
      <c r="O54" s="9">
        <f>IF(Dados_Ajustados_v4!Q54="","",IF(Indicadores_v4!$E54="+",MIN(Metodologia_v4!$B$9,MAX(Metodologia_v4!$B$8,(Dados_Ajustados_v4!Q54-Indicadores_v4!$F54)/(Indicadores_v4!$G54-Indicadores_v4!$F54)*100)),MIN(Metodologia_v4!$B$9,MAX(Metodologia_v4!$B$8,(Indicadores_v4!$G54-Dados_Ajustados_v4!Q54)/(Indicadores_v4!$G54-Indicadores_v4!$F54)*100))))</f>
        <v/>
      </c>
      <c r="P54" s="9">
        <f>IF(Dados_Ajustados_v4!R54="","",IF(Indicadores_v4!$E54="+",MIN(Metodologia_v4!$B$9,MAX(Metodologia_v4!$B$8,(Dados_Ajustados_v4!R54-Indicadores_v4!$F54)/(Indicadores_v4!$G54-Indicadores_v4!$F54)*100)),MIN(Metodologia_v4!$B$9,MAX(Metodologia_v4!$B$8,(Indicadores_v4!$G54-Dados_Ajustados_v4!R54)/(Indicadores_v4!$G54-Indicadores_v4!$F54)*100))))</f>
        <v/>
      </c>
      <c r="Q54" s="9">
        <f>IF(Dados_Ajustados_v4!S54="","",IF(Indicadores_v4!$E54="+",MIN(Metodologia_v4!$B$9,MAX(Metodologia_v4!$B$8,(Dados_Ajustados_v4!S54-Indicadores_v4!$F54)/(Indicadores_v4!$G54-Indicadores_v4!$F54)*100)),MIN(Metodologia_v4!$B$9,MAX(Metodologia_v4!$B$8,(Indicadores_v4!$G54-Dados_Ajustados_v4!S54)/(Indicadores_v4!$G54-Indicadores_v4!$F54)*100))))</f>
        <v/>
      </c>
      <c r="R54" s="9">
        <f>IF(Dados_Ajustados_v4!T54="","",IF(Indicadores_v4!$E54="+",MIN(Metodologia_v4!$B$9,MAX(Metodologia_v4!$B$8,(Dados_Ajustados_v4!T54-Indicadores_v4!$F54)/(Indicadores_v4!$G54-Indicadores_v4!$F54)*100)),MIN(Metodologia_v4!$B$9,MAX(Metodologia_v4!$B$8,(Indicadores_v4!$G54-Dados_Ajustados_v4!T54)/(Indicadores_v4!$G54-Indicadores_v4!$F54)*100))))</f>
        <v/>
      </c>
    </row>
    <row r="55">
      <c r="A55" s="5" t="inlineStr">
        <is>
          <t>SAU04</t>
        </is>
      </c>
      <c r="B55" s="5" t="inlineStr">
        <is>
          <t>7. Segurança Alimentar e Saúde</t>
        </is>
      </c>
      <c r="C55" s="5" t="inlineStr">
        <is>
          <t>Mortalidade de menores de 5 anos</t>
        </is>
      </c>
      <c r="D55" s="5">
        <f>Indicadores_v4!J55</f>
        <v/>
      </c>
      <c r="E55" s="5">
        <f>Indicadores_v4!I55</f>
        <v/>
      </c>
      <c r="F55" s="5">
        <f>COUNT(H55:R55)&amp;"/"&amp;COUNTA(H$4:R$4)</f>
        <v/>
      </c>
      <c r="G55" s="5" t="inlineStr">
        <is>
          <t>Min/max/sentido vêm de Indicadores_v4</t>
        </is>
      </c>
      <c r="H55" s="9">
        <f>IF(Dados_Ajustados_v4!J55="","",IF(Indicadores_v4!$E55="+",MIN(Metodologia_v4!$B$9,MAX(Metodologia_v4!$B$8,(Dados_Ajustados_v4!J55-Indicadores_v4!$F55)/(Indicadores_v4!$G55-Indicadores_v4!$F55)*100)),MIN(Metodologia_v4!$B$9,MAX(Metodologia_v4!$B$8,(Indicadores_v4!$G55-Dados_Ajustados_v4!J55)/(Indicadores_v4!$G55-Indicadores_v4!$F55)*100))))</f>
        <v/>
      </c>
      <c r="I55" s="9">
        <f>IF(Dados_Ajustados_v4!K55="","",IF(Indicadores_v4!$E55="+",MIN(Metodologia_v4!$B$9,MAX(Metodologia_v4!$B$8,(Dados_Ajustados_v4!K55-Indicadores_v4!$F55)/(Indicadores_v4!$G55-Indicadores_v4!$F55)*100)),MIN(Metodologia_v4!$B$9,MAX(Metodologia_v4!$B$8,(Indicadores_v4!$G55-Dados_Ajustados_v4!K55)/(Indicadores_v4!$G55-Indicadores_v4!$F55)*100))))</f>
        <v/>
      </c>
      <c r="J55" s="9">
        <f>IF(Dados_Ajustados_v4!L55="","",IF(Indicadores_v4!$E55="+",MIN(Metodologia_v4!$B$9,MAX(Metodologia_v4!$B$8,(Dados_Ajustados_v4!L55-Indicadores_v4!$F55)/(Indicadores_v4!$G55-Indicadores_v4!$F55)*100)),MIN(Metodologia_v4!$B$9,MAX(Metodologia_v4!$B$8,(Indicadores_v4!$G55-Dados_Ajustados_v4!L55)/(Indicadores_v4!$G55-Indicadores_v4!$F55)*100))))</f>
        <v/>
      </c>
      <c r="K55" s="9">
        <f>IF(Dados_Ajustados_v4!M55="","",IF(Indicadores_v4!$E55="+",MIN(Metodologia_v4!$B$9,MAX(Metodologia_v4!$B$8,(Dados_Ajustados_v4!M55-Indicadores_v4!$F55)/(Indicadores_v4!$G55-Indicadores_v4!$F55)*100)),MIN(Metodologia_v4!$B$9,MAX(Metodologia_v4!$B$8,(Indicadores_v4!$G55-Dados_Ajustados_v4!M55)/(Indicadores_v4!$G55-Indicadores_v4!$F55)*100))))</f>
        <v/>
      </c>
      <c r="L55" s="9">
        <f>IF(Dados_Ajustados_v4!N55="","",IF(Indicadores_v4!$E55="+",MIN(Metodologia_v4!$B$9,MAX(Metodologia_v4!$B$8,(Dados_Ajustados_v4!N55-Indicadores_v4!$F55)/(Indicadores_v4!$G55-Indicadores_v4!$F55)*100)),MIN(Metodologia_v4!$B$9,MAX(Metodologia_v4!$B$8,(Indicadores_v4!$G55-Dados_Ajustados_v4!N55)/(Indicadores_v4!$G55-Indicadores_v4!$F55)*100))))</f>
        <v/>
      </c>
      <c r="M55" s="9">
        <f>IF(Dados_Ajustados_v4!O55="","",IF(Indicadores_v4!$E55="+",MIN(Metodologia_v4!$B$9,MAX(Metodologia_v4!$B$8,(Dados_Ajustados_v4!O55-Indicadores_v4!$F55)/(Indicadores_v4!$G55-Indicadores_v4!$F55)*100)),MIN(Metodologia_v4!$B$9,MAX(Metodologia_v4!$B$8,(Indicadores_v4!$G55-Dados_Ajustados_v4!O55)/(Indicadores_v4!$G55-Indicadores_v4!$F55)*100))))</f>
        <v/>
      </c>
      <c r="N55" s="9">
        <f>IF(Dados_Ajustados_v4!P55="","",IF(Indicadores_v4!$E55="+",MIN(Metodologia_v4!$B$9,MAX(Metodologia_v4!$B$8,(Dados_Ajustados_v4!P55-Indicadores_v4!$F55)/(Indicadores_v4!$G55-Indicadores_v4!$F55)*100)),MIN(Metodologia_v4!$B$9,MAX(Metodologia_v4!$B$8,(Indicadores_v4!$G55-Dados_Ajustados_v4!P55)/(Indicadores_v4!$G55-Indicadores_v4!$F55)*100))))</f>
        <v/>
      </c>
      <c r="O55" s="9">
        <f>IF(Dados_Ajustados_v4!Q55="","",IF(Indicadores_v4!$E55="+",MIN(Metodologia_v4!$B$9,MAX(Metodologia_v4!$B$8,(Dados_Ajustados_v4!Q55-Indicadores_v4!$F55)/(Indicadores_v4!$G55-Indicadores_v4!$F55)*100)),MIN(Metodologia_v4!$B$9,MAX(Metodologia_v4!$B$8,(Indicadores_v4!$G55-Dados_Ajustados_v4!Q55)/(Indicadores_v4!$G55-Indicadores_v4!$F55)*100))))</f>
        <v/>
      </c>
      <c r="P55" s="9">
        <f>IF(Dados_Ajustados_v4!R55="","",IF(Indicadores_v4!$E55="+",MIN(Metodologia_v4!$B$9,MAX(Metodologia_v4!$B$8,(Dados_Ajustados_v4!R55-Indicadores_v4!$F55)/(Indicadores_v4!$G55-Indicadores_v4!$F55)*100)),MIN(Metodologia_v4!$B$9,MAX(Metodologia_v4!$B$8,(Indicadores_v4!$G55-Dados_Ajustados_v4!R55)/(Indicadores_v4!$G55-Indicadores_v4!$F55)*100))))</f>
        <v/>
      </c>
      <c r="Q55" s="9">
        <f>IF(Dados_Ajustados_v4!S55="","",IF(Indicadores_v4!$E55="+",MIN(Metodologia_v4!$B$9,MAX(Metodologia_v4!$B$8,(Dados_Ajustados_v4!S55-Indicadores_v4!$F55)/(Indicadores_v4!$G55-Indicadores_v4!$F55)*100)),MIN(Metodologia_v4!$B$9,MAX(Metodologia_v4!$B$8,(Indicadores_v4!$G55-Dados_Ajustados_v4!S55)/(Indicadores_v4!$G55-Indicadores_v4!$F55)*100))))</f>
        <v/>
      </c>
      <c r="R55" s="9">
        <f>IF(Dados_Ajustados_v4!T55="","",IF(Indicadores_v4!$E55="+",MIN(Metodologia_v4!$B$9,MAX(Metodologia_v4!$B$8,(Dados_Ajustados_v4!T55-Indicadores_v4!$F55)/(Indicadores_v4!$G55-Indicadores_v4!$F55)*100)),MIN(Metodologia_v4!$B$9,MAX(Metodologia_v4!$B$8,(Indicadores_v4!$G55-Dados_Ajustados_v4!T55)/(Indicadores_v4!$G55-Indicadores_v4!$F55)*100))))</f>
        <v/>
      </c>
    </row>
    <row r="56">
      <c r="A56" s="5" t="inlineStr">
        <is>
          <t>SAU05</t>
        </is>
      </c>
      <c r="B56" s="5" t="inlineStr">
        <is>
          <t>7. Segurança Alimentar e Saúde</t>
        </is>
      </c>
      <c r="C56" s="5" t="inlineStr">
        <is>
          <t>Despesa corrente em saúde</t>
        </is>
      </c>
      <c r="D56" s="5">
        <f>Indicadores_v4!J56</f>
        <v/>
      </c>
      <c r="E56" s="5">
        <f>Indicadores_v4!I56</f>
        <v/>
      </c>
      <c r="F56" s="5">
        <f>COUNT(H56:R56)&amp;"/"&amp;COUNTA(H$4:R$4)</f>
        <v/>
      </c>
      <c r="G56" s="5" t="inlineStr">
        <is>
          <t>Min/max/sentido vêm de Indicadores_v4</t>
        </is>
      </c>
      <c r="H56" s="9">
        <f>IF(Dados_Ajustados_v4!J56="","",IF(Indicadores_v4!$E56="+",MIN(Metodologia_v4!$B$9,MAX(Metodologia_v4!$B$8,(Dados_Ajustados_v4!J56-Indicadores_v4!$F56)/(Indicadores_v4!$G56-Indicadores_v4!$F56)*100)),MIN(Metodologia_v4!$B$9,MAX(Metodologia_v4!$B$8,(Indicadores_v4!$G56-Dados_Ajustados_v4!J56)/(Indicadores_v4!$G56-Indicadores_v4!$F56)*100))))</f>
        <v/>
      </c>
      <c r="I56" s="9">
        <f>IF(Dados_Ajustados_v4!K56="","",IF(Indicadores_v4!$E56="+",MIN(Metodologia_v4!$B$9,MAX(Metodologia_v4!$B$8,(Dados_Ajustados_v4!K56-Indicadores_v4!$F56)/(Indicadores_v4!$G56-Indicadores_v4!$F56)*100)),MIN(Metodologia_v4!$B$9,MAX(Metodologia_v4!$B$8,(Indicadores_v4!$G56-Dados_Ajustados_v4!K56)/(Indicadores_v4!$G56-Indicadores_v4!$F56)*100))))</f>
        <v/>
      </c>
      <c r="J56" s="9">
        <f>IF(Dados_Ajustados_v4!L56="","",IF(Indicadores_v4!$E56="+",MIN(Metodologia_v4!$B$9,MAX(Metodologia_v4!$B$8,(Dados_Ajustados_v4!L56-Indicadores_v4!$F56)/(Indicadores_v4!$G56-Indicadores_v4!$F56)*100)),MIN(Metodologia_v4!$B$9,MAX(Metodologia_v4!$B$8,(Indicadores_v4!$G56-Dados_Ajustados_v4!L56)/(Indicadores_v4!$G56-Indicadores_v4!$F56)*100))))</f>
        <v/>
      </c>
      <c r="K56" s="9">
        <f>IF(Dados_Ajustados_v4!M56="","",IF(Indicadores_v4!$E56="+",MIN(Metodologia_v4!$B$9,MAX(Metodologia_v4!$B$8,(Dados_Ajustados_v4!M56-Indicadores_v4!$F56)/(Indicadores_v4!$G56-Indicadores_v4!$F56)*100)),MIN(Metodologia_v4!$B$9,MAX(Metodologia_v4!$B$8,(Indicadores_v4!$G56-Dados_Ajustados_v4!M56)/(Indicadores_v4!$G56-Indicadores_v4!$F56)*100))))</f>
        <v/>
      </c>
      <c r="L56" s="9">
        <f>IF(Dados_Ajustados_v4!N56="","",IF(Indicadores_v4!$E56="+",MIN(Metodologia_v4!$B$9,MAX(Metodologia_v4!$B$8,(Dados_Ajustados_v4!N56-Indicadores_v4!$F56)/(Indicadores_v4!$G56-Indicadores_v4!$F56)*100)),MIN(Metodologia_v4!$B$9,MAX(Metodologia_v4!$B$8,(Indicadores_v4!$G56-Dados_Ajustados_v4!N56)/(Indicadores_v4!$G56-Indicadores_v4!$F56)*100))))</f>
        <v/>
      </c>
      <c r="M56" s="9">
        <f>IF(Dados_Ajustados_v4!O56="","",IF(Indicadores_v4!$E56="+",MIN(Metodologia_v4!$B$9,MAX(Metodologia_v4!$B$8,(Dados_Ajustados_v4!O56-Indicadores_v4!$F56)/(Indicadores_v4!$G56-Indicadores_v4!$F56)*100)),MIN(Metodologia_v4!$B$9,MAX(Metodologia_v4!$B$8,(Indicadores_v4!$G56-Dados_Ajustados_v4!O56)/(Indicadores_v4!$G56-Indicadores_v4!$F56)*100))))</f>
        <v/>
      </c>
      <c r="N56" s="9">
        <f>IF(Dados_Ajustados_v4!P56="","",IF(Indicadores_v4!$E56="+",MIN(Metodologia_v4!$B$9,MAX(Metodologia_v4!$B$8,(Dados_Ajustados_v4!P56-Indicadores_v4!$F56)/(Indicadores_v4!$G56-Indicadores_v4!$F56)*100)),MIN(Metodologia_v4!$B$9,MAX(Metodologia_v4!$B$8,(Indicadores_v4!$G56-Dados_Ajustados_v4!P56)/(Indicadores_v4!$G56-Indicadores_v4!$F56)*100))))</f>
        <v/>
      </c>
      <c r="O56" s="9">
        <f>IF(Dados_Ajustados_v4!Q56="","",IF(Indicadores_v4!$E56="+",MIN(Metodologia_v4!$B$9,MAX(Metodologia_v4!$B$8,(Dados_Ajustados_v4!Q56-Indicadores_v4!$F56)/(Indicadores_v4!$G56-Indicadores_v4!$F56)*100)),MIN(Metodologia_v4!$B$9,MAX(Metodologia_v4!$B$8,(Indicadores_v4!$G56-Dados_Ajustados_v4!Q56)/(Indicadores_v4!$G56-Indicadores_v4!$F56)*100))))</f>
        <v/>
      </c>
      <c r="P56" s="9">
        <f>IF(Dados_Ajustados_v4!R56="","",IF(Indicadores_v4!$E56="+",MIN(Metodologia_v4!$B$9,MAX(Metodologia_v4!$B$8,(Dados_Ajustados_v4!R56-Indicadores_v4!$F56)/(Indicadores_v4!$G56-Indicadores_v4!$F56)*100)),MIN(Metodologia_v4!$B$9,MAX(Metodologia_v4!$B$8,(Indicadores_v4!$G56-Dados_Ajustados_v4!R56)/(Indicadores_v4!$G56-Indicadores_v4!$F56)*100))))</f>
        <v/>
      </c>
      <c r="Q56" s="9">
        <f>IF(Dados_Ajustados_v4!S56="","",IF(Indicadores_v4!$E56="+",MIN(Metodologia_v4!$B$9,MAX(Metodologia_v4!$B$8,(Dados_Ajustados_v4!S56-Indicadores_v4!$F56)/(Indicadores_v4!$G56-Indicadores_v4!$F56)*100)),MIN(Metodologia_v4!$B$9,MAX(Metodologia_v4!$B$8,(Indicadores_v4!$G56-Dados_Ajustados_v4!S56)/(Indicadores_v4!$G56-Indicadores_v4!$F56)*100))))</f>
        <v/>
      </c>
      <c r="R56" s="9">
        <f>IF(Dados_Ajustados_v4!T56="","",IF(Indicadores_v4!$E56="+",MIN(Metodologia_v4!$B$9,MAX(Metodologia_v4!$B$8,(Dados_Ajustados_v4!T56-Indicadores_v4!$F56)/(Indicadores_v4!$G56-Indicadores_v4!$F56)*100)),MIN(Metodologia_v4!$B$9,MAX(Metodologia_v4!$B$8,(Indicadores_v4!$G56-Dados_Ajustados_v4!T56)/(Indicadores_v4!$G56-Indicadores_v4!$F56)*100))))</f>
        <v/>
      </c>
    </row>
    <row r="57">
      <c r="A57" s="5" t="inlineStr">
        <is>
          <t>SAU06</t>
        </is>
      </c>
      <c r="B57" s="5" t="inlineStr">
        <is>
          <t>7. Segurança Alimentar e Saúde</t>
        </is>
      </c>
      <c r="C57" s="5" t="inlineStr">
        <is>
          <t>Vacinação DPT</t>
        </is>
      </c>
      <c r="D57" s="5">
        <f>Indicadores_v4!J57</f>
        <v/>
      </c>
      <c r="E57" s="5">
        <f>Indicadores_v4!I57</f>
        <v/>
      </c>
      <c r="F57" s="5">
        <f>COUNT(H57:R57)&amp;"/"&amp;COUNTA(H$4:R$4)</f>
        <v/>
      </c>
      <c r="G57" s="5" t="inlineStr">
        <is>
          <t>Min/max/sentido vêm de Indicadores_v4</t>
        </is>
      </c>
      <c r="H57" s="9">
        <f>IF(Dados_Ajustados_v4!J57="","",IF(Indicadores_v4!$E57="+",MIN(Metodologia_v4!$B$9,MAX(Metodologia_v4!$B$8,(Dados_Ajustados_v4!J57-Indicadores_v4!$F57)/(Indicadores_v4!$G57-Indicadores_v4!$F57)*100)),MIN(Metodologia_v4!$B$9,MAX(Metodologia_v4!$B$8,(Indicadores_v4!$G57-Dados_Ajustados_v4!J57)/(Indicadores_v4!$G57-Indicadores_v4!$F57)*100))))</f>
        <v/>
      </c>
      <c r="I57" s="9">
        <f>IF(Dados_Ajustados_v4!K57="","",IF(Indicadores_v4!$E57="+",MIN(Metodologia_v4!$B$9,MAX(Metodologia_v4!$B$8,(Dados_Ajustados_v4!K57-Indicadores_v4!$F57)/(Indicadores_v4!$G57-Indicadores_v4!$F57)*100)),MIN(Metodologia_v4!$B$9,MAX(Metodologia_v4!$B$8,(Indicadores_v4!$G57-Dados_Ajustados_v4!K57)/(Indicadores_v4!$G57-Indicadores_v4!$F57)*100))))</f>
        <v/>
      </c>
      <c r="J57" s="9">
        <f>IF(Dados_Ajustados_v4!L57="","",IF(Indicadores_v4!$E57="+",MIN(Metodologia_v4!$B$9,MAX(Metodologia_v4!$B$8,(Dados_Ajustados_v4!L57-Indicadores_v4!$F57)/(Indicadores_v4!$G57-Indicadores_v4!$F57)*100)),MIN(Metodologia_v4!$B$9,MAX(Metodologia_v4!$B$8,(Indicadores_v4!$G57-Dados_Ajustados_v4!L57)/(Indicadores_v4!$G57-Indicadores_v4!$F57)*100))))</f>
        <v/>
      </c>
      <c r="K57" s="9">
        <f>IF(Dados_Ajustados_v4!M57="","",IF(Indicadores_v4!$E57="+",MIN(Metodologia_v4!$B$9,MAX(Metodologia_v4!$B$8,(Dados_Ajustados_v4!M57-Indicadores_v4!$F57)/(Indicadores_v4!$G57-Indicadores_v4!$F57)*100)),MIN(Metodologia_v4!$B$9,MAX(Metodologia_v4!$B$8,(Indicadores_v4!$G57-Dados_Ajustados_v4!M57)/(Indicadores_v4!$G57-Indicadores_v4!$F57)*100))))</f>
        <v/>
      </c>
      <c r="L57" s="9">
        <f>IF(Dados_Ajustados_v4!N57="","",IF(Indicadores_v4!$E57="+",MIN(Metodologia_v4!$B$9,MAX(Metodologia_v4!$B$8,(Dados_Ajustados_v4!N57-Indicadores_v4!$F57)/(Indicadores_v4!$G57-Indicadores_v4!$F57)*100)),MIN(Metodologia_v4!$B$9,MAX(Metodologia_v4!$B$8,(Indicadores_v4!$G57-Dados_Ajustados_v4!N57)/(Indicadores_v4!$G57-Indicadores_v4!$F57)*100))))</f>
        <v/>
      </c>
      <c r="M57" s="9">
        <f>IF(Dados_Ajustados_v4!O57="","",IF(Indicadores_v4!$E57="+",MIN(Metodologia_v4!$B$9,MAX(Metodologia_v4!$B$8,(Dados_Ajustados_v4!O57-Indicadores_v4!$F57)/(Indicadores_v4!$G57-Indicadores_v4!$F57)*100)),MIN(Metodologia_v4!$B$9,MAX(Metodologia_v4!$B$8,(Indicadores_v4!$G57-Dados_Ajustados_v4!O57)/(Indicadores_v4!$G57-Indicadores_v4!$F57)*100))))</f>
        <v/>
      </c>
      <c r="N57" s="9">
        <f>IF(Dados_Ajustados_v4!P57="","",IF(Indicadores_v4!$E57="+",MIN(Metodologia_v4!$B$9,MAX(Metodologia_v4!$B$8,(Dados_Ajustados_v4!P57-Indicadores_v4!$F57)/(Indicadores_v4!$G57-Indicadores_v4!$F57)*100)),MIN(Metodologia_v4!$B$9,MAX(Metodologia_v4!$B$8,(Indicadores_v4!$G57-Dados_Ajustados_v4!P57)/(Indicadores_v4!$G57-Indicadores_v4!$F57)*100))))</f>
        <v/>
      </c>
      <c r="O57" s="9">
        <f>IF(Dados_Ajustados_v4!Q57="","",IF(Indicadores_v4!$E57="+",MIN(Metodologia_v4!$B$9,MAX(Metodologia_v4!$B$8,(Dados_Ajustados_v4!Q57-Indicadores_v4!$F57)/(Indicadores_v4!$G57-Indicadores_v4!$F57)*100)),MIN(Metodologia_v4!$B$9,MAX(Metodologia_v4!$B$8,(Indicadores_v4!$G57-Dados_Ajustados_v4!Q57)/(Indicadores_v4!$G57-Indicadores_v4!$F57)*100))))</f>
        <v/>
      </c>
      <c r="P57" s="9">
        <f>IF(Dados_Ajustados_v4!R57="","",IF(Indicadores_v4!$E57="+",MIN(Metodologia_v4!$B$9,MAX(Metodologia_v4!$B$8,(Dados_Ajustados_v4!R57-Indicadores_v4!$F57)/(Indicadores_v4!$G57-Indicadores_v4!$F57)*100)),MIN(Metodologia_v4!$B$9,MAX(Metodologia_v4!$B$8,(Indicadores_v4!$G57-Dados_Ajustados_v4!R57)/(Indicadores_v4!$G57-Indicadores_v4!$F57)*100))))</f>
        <v/>
      </c>
      <c r="Q57" s="9">
        <f>IF(Dados_Ajustados_v4!S57="","",IF(Indicadores_v4!$E57="+",MIN(Metodologia_v4!$B$9,MAX(Metodologia_v4!$B$8,(Dados_Ajustados_v4!S57-Indicadores_v4!$F57)/(Indicadores_v4!$G57-Indicadores_v4!$F57)*100)),MIN(Metodologia_v4!$B$9,MAX(Metodologia_v4!$B$8,(Indicadores_v4!$G57-Dados_Ajustados_v4!S57)/(Indicadores_v4!$G57-Indicadores_v4!$F57)*100))))</f>
        <v/>
      </c>
      <c r="R57" s="9">
        <f>IF(Dados_Ajustados_v4!T57="","",IF(Indicadores_v4!$E57="+",MIN(Metodologia_v4!$B$9,MAX(Metodologia_v4!$B$8,(Dados_Ajustados_v4!T57-Indicadores_v4!$F57)/(Indicadores_v4!$G57-Indicadores_v4!$F57)*100)),MIN(Metodologia_v4!$B$9,MAX(Metodologia_v4!$B$8,(Indicadores_v4!$G57-Dados_Ajustados_v4!T57)/(Indicadores_v4!$G57-Indicadores_v4!$F57)*100))))</f>
        <v/>
      </c>
    </row>
    <row r="58">
      <c r="A58" s="5" t="inlineStr">
        <is>
          <t>SAU07</t>
        </is>
      </c>
      <c r="B58" s="5" t="inlineStr">
        <is>
          <t>7. Segurança Alimentar e Saúde</t>
        </is>
      </c>
      <c r="C58" s="5" t="inlineStr">
        <is>
          <t>Médicos</t>
        </is>
      </c>
      <c r="D58" s="5">
        <f>Indicadores_v4!J58</f>
        <v/>
      </c>
      <c r="E58" s="5">
        <f>Indicadores_v4!I58</f>
        <v/>
      </c>
      <c r="F58" s="5">
        <f>COUNT(H58:R58)&amp;"/"&amp;COUNTA(H$4:R$4)</f>
        <v/>
      </c>
      <c r="G58" s="5" t="inlineStr">
        <is>
          <t>Min/max/sentido vêm de Indicadores_v4</t>
        </is>
      </c>
      <c r="H58" s="9">
        <f>IF(Dados_Ajustados_v4!J58="","",IF(Indicadores_v4!$E58="+",MIN(Metodologia_v4!$B$9,MAX(Metodologia_v4!$B$8,(Dados_Ajustados_v4!J58-Indicadores_v4!$F58)/(Indicadores_v4!$G58-Indicadores_v4!$F58)*100)),MIN(Metodologia_v4!$B$9,MAX(Metodologia_v4!$B$8,(Indicadores_v4!$G58-Dados_Ajustados_v4!J58)/(Indicadores_v4!$G58-Indicadores_v4!$F58)*100))))</f>
        <v/>
      </c>
      <c r="I58" s="9">
        <f>IF(Dados_Ajustados_v4!K58="","",IF(Indicadores_v4!$E58="+",MIN(Metodologia_v4!$B$9,MAX(Metodologia_v4!$B$8,(Dados_Ajustados_v4!K58-Indicadores_v4!$F58)/(Indicadores_v4!$G58-Indicadores_v4!$F58)*100)),MIN(Metodologia_v4!$B$9,MAX(Metodologia_v4!$B$8,(Indicadores_v4!$G58-Dados_Ajustados_v4!K58)/(Indicadores_v4!$G58-Indicadores_v4!$F58)*100))))</f>
        <v/>
      </c>
      <c r="J58" s="9">
        <f>IF(Dados_Ajustados_v4!L58="","",IF(Indicadores_v4!$E58="+",MIN(Metodologia_v4!$B$9,MAX(Metodologia_v4!$B$8,(Dados_Ajustados_v4!L58-Indicadores_v4!$F58)/(Indicadores_v4!$G58-Indicadores_v4!$F58)*100)),MIN(Metodologia_v4!$B$9,MAX(Metodologia_v4!$B$8,(Indicadores_v4!$G58-Dados_Ajustados_v4!L58)/(Indicadores_v4!$G58-Indicadores_v4!$F58)*100))))</f>
        <v/>
      </c>
      <c r="K58" s="9">
        <f>IF(Dados_Ajustados_v4!M58="","",IF(Indicadores_v4!$E58="+",MIN(Metodologia_v4!$B$9,MAX(Metodologia_v4!$B$8,(Dados_Ajustados_v4!M58-Indicadores_v4!$F58)/(Indicadores_v4!$G58-Indicadores_v4!$F58)*100)),MIN(Metodologia_v4!$B$9,MAX(Metodologia_v4!$B$8,(Indicadores_v4!$G58-Dados_Ajustados_v4!M58)/(Indicadores_v4!$G58-Indicadores_v4!$F58)*100))))</f>
        <v/>
      </c>
      <c r="L58" s="9">
        <f>IF(Dados_Ajustados_v4!N58="","",IF(Indicadores_v4!$E58="+",MIN(Metodologia_v4!$B$9,MAX(Metodologia_v4!$B$8,(Dados_Ajustados_v4!N58-Indicadores_v4!$F58)/(Indicadores_v4!$G58-Indicadores_v4!$F58)*100)),MIN(Metodologia_v4!$B$9,MAX(Metodologia_v4!$B$8,(Indicadores_v4!$G58-Dados_Ajustados_v4!N58)/(Indicadores_v4!$G58-Indicadores_v4!$F58)*100))))</f>
        <v/>
      </c>
      <c r="M58" s="9">
        <f>IF(Dados_Ajustados_v4!O58="","",IF(Indicadores_v4!$E58="+",MIN(Metodologia_v4!$B$9,MAX(Metodologia_v4!$B$8,(Dados_Ajustados_v4!O58-Indicadores_v4!$F58)/(Indicadores_v4!$G58-Indicadores_v4!$F58)*100)),MIN(Metodologia_v4!$B$9,MAX(Metodologia_v4!$B$8,(Indicadores_v4!$G58-Dados_Ajustados_v4!O58)/(Indicadores_v4!$G58-Indicadores_v4!$F58)*100))))</f>
        <v/>
      </c>
      <c r="N58" s="9">
        <f>IF(Dados_Ajustados_v4!P58="","",IF(Indicadores_v4!$E58="+",MIN(Metodologia_v4!$B$9,MAX(Metodologia_v4!$B$8,(Dados_Ajustados_v4!P58-Indicadores_v4!$F58)/(Indicadores_v4!$G58-Indicadores_v4!$F58)*100)),MIN(Metodologia_v4!$B$9,MAX(Metodologia_v4!$B$8,(Indicadores_v4!$G58-Dados_Ajustados_v4!P58)/(Indicadores_v4!$G58-Indicadores_v4!$F58)*100))))</f>
        <v/>
      </c>
      <c r="O58" s="9">
        <f>IF(Dados_Ajustados_v4!Q58="","",IF(Indicadores_v4!$E58="+",MIN(Metodologia_v4!$B$9,MAX(Metodologia_v4!$B$8,(Dados_Ajustados_v4!Q58-Indicadores_v4!$F58)/(Indicadores_v4!$G58-Indicadores_v4!$F58)*100)),MIN(Metodologia_v4!$B$9,MAX(Metodologia_v4!$B$8,(Indicadores_v4!$G58-Dados_Ajustados_v4!Q58)/(Indicadores_v4!$G58-Indicadores_v4!$F58)*100))))</f>
        <v/>
      </c>
      <c r="P58" s="9">
        <f>IF(Dados_Ajustados_v4!R58="","",IF(Indicadores_v4!$E58="+",MIN(Metodologia_v4!$B$9,MAX(Metodologia_v4!$B$8,(Dados_Ajustados_v4!R58-Indicadores_v4!$F58)/(Indicadores_v4!$G58-Indicadores_v4!$F58)*100)),MIN(Metodologia_v4!$B$9,MAX(Metodologia_v4!$B$8,(Indicadores_v4!$G58-Dados_Ajustados_v4!R58)/(Indicadores_v4!$G58-Indicadores_v4!$F58)*100))))</f>
        <v/>
      </c>
      <c r="Q58" s="9">
        <f>IF(Dados_Ajustados_v4!S58="","",IF(Indicadores_v4!$E58="+",MIN(Metodologia_v4!$B$9,MAX(Metodologia_v4!$B$8,(Dados_Ajustados_v4!S58-Indicadores_v4!$F58)/(Indicadores_v4!$G58-Indicadores_v4!$F58)*100)),MIN(Metodologia_v4!$B$9,MAX(Metodologia_v4!$B$8,(Indicadores_v4!$G58-Dados_Ajustados_v4!S58)/(Indicadores_v4!$G58-Indicadores_v4!$F58)*100))))</f>
        <v/>
      </c>
      <c r="R58" s="9">
        <f>IF(Dados_Ajustados_v4!T58="","",IF(Indicadores_v4!$E58="+",MIN(Metodologia_v4!$B$9,MAX(Metodologia_v4!$B$8,(Dados_Ajustados_v4!T58-Indicadores_v4!$F58)/(Indicadores_v4!$G58-Indicadores_v4!$F58)*100)),MIN(Metodologia_v4!$B$9,MAX(Metodologia_v4!$B$8,(Indicadores_v4!$G58-Dados_Ajustados_v4!T58)/(Indicadores_v4!$G58-Indicadores_v4!$F58)*100))))</f>
        <v/>
      </c>
    </row>
    <row r="59">
      <c r="A59" s="5" t="inlineStr">
        <is>
          <t>SAU08</t>
        </is>
      </c>
      <c r="B59" s="5" t="inlineStr">
        <is>
          <t>7. Segurança Alimentar e Saúde</t>
        </is>
      </c>
      <c r="C59" s="5" t="inlineStr">
        <is>
          <t>Camas hospitalares</t>
        </is>
      </c>
      <c r="D59" s="5">
        <f>Indicadores_v4!J59</f>
        <v/>
      </c>
      <c r="E59" s="5">
        <f>Indicadores_v4!I59</f>
        <v/>
      </c>
      <c r="F59" s="5">
        <f>COUNT(H59:R59)&amp;"/"&amp;COUNTA(H$4:R$4)</f>
        <v/>
      </c>
      <c r="G59" s="5" t="inlineStr">
        <is>
          <t>Min/max/sentido vêm de Indicadores_v4</t>
        </is>
      </c>
      <c r="H59" s="9">
        <f>IF(Dados_Ajustados_v4!J59="","",IF(Indicadores_v4!$E59="+",MIN(Metodologia_v4!$B$9,MAX(Metodologia_v4!$B$8,(Dados_Ajustados_v4!J59-Indicadores_v4!$F59)/(Indicadores_v4!$G59-Indicadores_v4!$F59)*100)),MIN(Metodologia_v4!$B$9,MAX(Metodologia_v4!$B$8,(Indicadores_v4!$G59-Dados_Ajustados_v4!J59)/(Indicadores_v4!$G59-Indicadores_v4!$F59)*100))))</f>
        <v/>
      </c>
      <c r="I59" s="9">
        <f>IF(Dados_Ajustados_v4!K59="","",IF(Indicadores_v4!$E59="+",MIN(Metodologia_v4!$B$9,MAX(Metodologia_v4!$B$8,(Dados_Ajustados_v4!K59-Indicadores_v4!$F59)/(Indicadores_v4!$G59-Indicadores_v4!$F59)*100)),MIN(Metodologia_v4!$B$9,MAX(Metodologia_v4!$B$8,(Indicadores_v4!$G59-Dados_Ajustados_v4!K59)/(Indicadores_v4!$G59-Indicadores_v4!$F59)*100))))</f>
        <v/>
      </c>
      <c r="J59" s="9">
        <f>IF(Dados_Ajustados_v4!L59="","",IF(Indicadores_v4!$E59="+",MIN(Metodologia_v4!$B$9,MAX(Metodologia_v4!$B$8,(Dados_Ajustados_v4!L59-Indicadores_v4!$F59)/(Indicadores_v4!$G59-Indicadores_v4!$F59)*100)),MIN(Metodologia_v4!$B$9,MAX(Metodologia_v4!$B$8,(Indicadores_v4!$G59-Dados_Ajustados_v4!L59)/(Indicadores_v4!$G59-Indicadores_v4!$F59)*100))))</f>
        <v/>
      </c>
      <c r="K59" s="9">
        <f>IF(Dados_Ajustados_v4!M59="","",IF(Indicadores_v4!$E59="+",MIN(Metodologia_v4!$B$9,MAX(Metodologia_v4!$B$8,(Dados_Ajustados_v4!M59-Indicadores_v4!$F59)/(Indicadores_v4!$G59-Indicadores_v4!$F59)*100)),MIN(Metodologia_v4!$B$9,MAX(Metodologia_v4!$B$8,(Indicadores_v4!$G59-Dados_Ajustados_v4!M59)/(Indicadores_v4!$G59-Indicadores_v4!$F59)*100))))</f>
        <v/>
      </c>
      <c r="L59" s="9">
        <f>IF(Dados_Ajustados_v4!N59="","",IF(Indicadores_v4!$E59="+",MIN(Metodologia_v4!$B$9,MAX(Metodologia_v4!$B$8,(Dados_Ajustados_v4!N59-Indicadores_v4!$F59)/(Indicadores_v4!$G59-Indicadores_v4!$F59)*100)),MIN(Metodologia_v4!$B$9,MAX(Metodologia_v4!$B$8,(Indicadores_v4!$G59-Dados_Ajustados_v4!N59)/(Indicadores_v4!$G59-Indicadores_v4!$F59)*100))))</f>
        <v/>
      </c>
      <c r="M59" s="9">
        <f>IF(Dados_Ajustados_v4!O59="","",IF(Indicadores_v4!$E59="+",MIN(Metodologia_v4!$B$9,MAX(Metodologia_v4!$B$8,(Dados_Ajustados_v4!O59-Indicadores_v4!$F59)/(Indicadores_v4!$G59-Indicadores_v4!$F59)*100)),MIN(Metodologia_v4!$B$9,MAX(Metodologia_v4!$B$8,(Indicadores_v4!$G59-Dados_Ajustados_v4!O59)/(Indicadores_v4!$G59-Indicadores_v4!$F59)*100))))</f>
        <v/>
      </c>
      <c r="N59" s="9">
        <f>IF(Dados_Ajustados_v4!P59="","",IF(Indicadores_v4!$E59="+",MIN(Metodologia_v4!$B$9,MAX(Metodologia_v4!$B$8,(Dados_Ajustados_v4!P59-Indicadores_v4!$F59)/(Indicadores_v4!$G59-Indicadores_v4!$F59)*100)),MIN(Metodologia_v4!$B$9,MAX(Metodologia_v4!$B$8,(Indicadores_v4!$G59-Dados_Ajustados_v4!P59)/(Indicadores_v4!$G59-Indicadores_v4!$F59)*100))))</f>
        <v/>
      </c>
      <c r="O59" s="9">
        <f>IF(Dados_Ajustados_v4!Q59="","",IF(Indicadores_v4!$E59="+",MIN(Metodologia_v4!$B$9,MAX(Metodologia_v4!$B$8,(Dados_Ajustados_v4!Q59-Indicadores_v4!$F59)/(Indicadores_v4!$G59-Indicadores_v4!$F59)*100)),MIN(Metodologia_v4!$B$9,MAX(Metodologia_v4!$B$8,(Indicadores_v4!$G59-Dados_Ajustados_v4!Q59)/(Indicadores_v4!$G59-Indicadores_v4!$F59)*100))))</f>
        <v/>
      </c>
      <c r="P59" s="9">
        <f>IF(Dados_Ajustados_v4!R59="","",IF(Indicadores_v4!$E59="+",MIN(Metodologia_v4!$B$9,MAX(Metodologia_v4!$B$8,(Dados_Ajustados_v4!R59-Indicadores_v4!$F59)/(Indicadores_v4!$G59-Indicadores_v4!$F59)*100)),MIN(Metodologia_v4!$B$9,MAX(Metodologia_v4!$B$8,(Indicadores_v4!$G59-Dados_Ajustados_v4!R59)/(Indicadores_v4!$G59-Indicadores_v4!$F59)*100))))</f>
        <v/>
      </c>
      <c r="Q59" s="9">
        <f>IF(Dados_Ajustados_v4!S59="","",IF(Indicadores_v4!$E59="+",MIN(Metodologia_v4!$B$9,MAX(Metodologia_v4!$B$8,(Dados_Ajustados_v4!S59-Indicadores_v4!$F59)/(Indicadores_v4!$G59-Indicadores_v4!$F59)*100)),MIN(Metodologia_v4!$B$9,MAX(Metodologia_v4!$B$8,(Indicadores_v4!$G59-Dados_Ajustados_v4!S59)/(Indicadores_v4!$G59-Indicadores_v4!$F59)*100))))</f>
        <v/>
      </c>
      <c r="R59" s="9">
        <f>IF(Dados_Ajustados_v4!T59="","",IF(Indicadores_v4!$E59="+",MIN(Metodologia_v4!$B$9,MAX(Metodologia_v4!$B$8,(Dados_Ajustados_v4!T59-Indicadores_v4!$F59)/(Indicadores_v4!$G59-Indicadores_v4!$F59)*100)),MIN(Metodologia_v4!$B$9,MAX(Metodologia_v4!$B$8,(Indicadores_v4!$G59-Dados_Ajustados_v4!T59)/(Indicadores_v4!$G59-Indicadores_v4!$F59)*100))))</f>
        <v/>
      </c>
    </row>
    <row r="60">
      <c r="A60" s="5" t="inlineStr">
        <is>
          <t>SAU09</t>
        </is>
      </c>
      <c r="B60" s="5" t="inlineStr">
        <is>
          <t>7. Segurança Alimentar e Saúde</t>
        </is>
      </c>
      <c r="C60" s="5" t="inlineStr">
        <is>
          <t>Índice de produção alimentar</t>
        </is>
      </c>
      <c r="D60" s="5">
        <f>Indicadores_v4!J60</f>
        <v/>
      </c>
      <c r="E60" s="5">
        <f>Indicadores_v4!I60</f>
        <v/>
      </c>
      <c r="F60" s="5">
        <f>COUNT(H60:R60)&amp;"/"&amp;COUNTA(H$4:R$4)</f>
        <v/>
      </c>
      <c r="G60" s="5" t="inlineStr">
        <is>
          <t>Min/max/sentido vêm de Indicadores_v4</t>
        </is>
      </c>
      <c r="H60" s="9">
        <f>IF(Dados_Ajustados_v4!J60="","",IF(Indicadores_v4!$E60="+",MIN(Metodologia_v4!$B$9,MAX(Metodologia_v4!$B$8,(Dados_Ajustados_v4!J60-Indicadores_v4!$F60)/(Indicadores_v4!$G60-Indicadores_v4!$F60)*100)),MIN(Metodologia_v4!$B$9,MAX(Metodologia_v4!$B$8,(Indicadores_v4!$G60-Dados_Ajustados_v4!J60)/(Indicadores_v4!$G60-Indicadores_v4!$F60)*100))))</f>
        <v/>
      </c>
      <c r="I60" s="9">
        <f>IF(Dados_Ajustados_v4!K60="","",IF(Indicadores_v4!$E60="+",MIN(Metodologia_v4!$B$9,MAX(Metodologia_v4!$B$8,(Dados_Ajustados_v4!K60-Indicadores_v4!$F60)/(Indicadores_v4!$G60-Indicadores_v4!$F60)*100)),MIN(Metodologia_v4!$B$9,MAX(Metodologia_v4!$B$8,(Indicadores_v4!$G60-Dados_Ajustados_v4!K60)/(Indicadores_v4!$G60-Indicadores_v4!$F60)*100))))</f>
        <v/>
      </c>
      <c r="J60" s="9">
        <f>IF(Dados_Ajustados_v4!L60="","",IF(Indicadores_v4!$E60="+",MIN(Metodologia_v4!$B$9,MAX(Metodologia_v4!$B$8,(Dados_Ajustados_v4!L60-Indicadores_v4!$F60)/(Indicadores_v4!$G60-Indicadores_v4!$F60)*100)),MIN(Metodologia_v4!$B$9,MAX(Metodologia_v4!$B$8,(Indicadores_v4!$G60-Dados_Ajustados_v4!L60)/(Indicadores_v4!$G60-Indicadores_v4!$F60)*100))))</f>
        <v/>
      </c>
      <c r="K60" s="9">
        <f>IF(Dados_Ajustados_v4!M60="","",IF(Indicadores_v4!$E60="+",MIN(Metodologia_v4!$B$9,MAX(Metodologia_v4!$B$8,(Dados_Ajustados_v4!M60-Indicadores_v4!$F60)/(Indicadores_v4!$G60-Indicadores_v4!$F60)*100)),MIN(Metodologia_v4!$B$9,MAX(Metodologia_v4!$B$8,(Indicadores_v4!$G60-Dados_Ajustados_v4!M60)/(Indicadores_v4!$G60-Indicadores_v4!$F60)*100))))</f>
        <v/>
      </c>
      <c r="L60" s="9">
        <f>IF(Dados_Ajustados_v4!N60="","",IF(Indicadores_v4!$E60="+",MIN(Metodologia_v4!$B$9,MAX(Metodologia_v4!$B$8,(Dados_Ajustados_v4!N60-Indicadores_v4!$F60)/(Indicadores_v4!$G60-Indicadores_v4!$F60)*100)),MIN(Metodologia_v4!$B$9,MAX(Metodologia_v4!$B$8,(Indicadores_v4!$G60-Dados_Ajustados_v4!N60)/(Indicadores_v4!$G60-Indicadores_v4!$F60)*100))))</f>
        <v/>
      </c>
      <c r="M60" s="9">
        <f>IF(Dados_Ajustados_v4!O60="","",IF(Indicadores_v4!$E60="+",MIN(Metodologia_v4!$B$9,MAX(Metodologia_v4!$B$8,(Dados_Ajustados_v4!O60-Indicadores_v4!$F60)/(Indicadores_v4!$G60-Indicadores_v4!$F60)*100)),MIN(Metodologia_v4!$B$9,MAX(Metodologia_v4!$B$8,(Indicadores_v4!$G60-Dados_Ajustados_v4!O60)/(Indicadores_v4!$G60-Indicadores_v4!$F60)*100))))</f>
        <v/>
      </c>
      <c r="N60" s="9">
        <f>IF(Dados_Ajustados_v4!P60="","",IF(Indicadores_v4!$E60="+",MIN(Metodologia_v4!$B$9,MAX(Metodologia_v4!$B$8,(Dados_Ajustados_v4!P60-Indicadores_v4!$F60)/(Indicadores_v4!$G60-Indicadores_v4!$F60)*100)),MIN(Metodologia_v4!$B$9,MAX(Metodologia_v4!$B$8,(Indicadores_v4!$G60-Dados_Ajustados_v4!P60)/(Indicadores_v4!$G60-Indicadores_v4!$F60)*100))))</f>
        <v/>
      </c>
      <c r="O60" s="9">
        <f>IF(Dados_Ajustados_v4!Q60="","",IF(Indicadores_v4!$E60="+",MIN(Metodologia_v4!$B$9,MAX(Metodologia_v4!$B$8,(Dados_Ajustados_v4!Q60-Indicadores_v4!$F60)/(Indicadores_v4!$G60-Indicadores_v4!$F60)*100)),MIN(Metodologia_v4!$B$9,MAX(Metodologia_v4!$B$8,(Indicadores_v4!$G60-Dados_Ajustados_v4!Q60)/(Indicadores_v4!$G60-Indicadores_v4!$F60)*100))))</f>
        <v/>
      </c>
      <c r="P60" s="9">
        <f>IF(Dados_Ajustados_v4!R60="","",IF(Indicadores_v4!$E60="+",MIN(Metodologia_v4!$B$9,MAX(Metodologia_v4!$B$8,(Dados_Ajustados_v4!R60-Indicadores_v4!$F60)/(Indicadores_v4!$G60-Indicadores_v4!$F60)*100)),MIN(Metodologia_v4!$B$9,MAX(Metodologia_v4!$B$8,(Indicadores_v4!$G60-Dados_Ajustados_v4!R60)/(Indicadores_v4!$G60-Indicadores_v4!$F60)*100))))</f>
        <v/>
      </c>
      <c r="Q60" s="9">
        <f>IF(Dados_Ajustados_v4!S60="","",IF(Indicadores_v4!$E60="+",MIN(Metodologia_v4!$B$9,MAX(Metodologia_v4!$B$8,(Dados_Ajustados_v4!S60-Indicadores_v4!$F60)/(Indicadores_v4!$G60-Indicadores_v4!$F60)*100)),MIN(Metodologia_v4!$B$9,MAX(Metodologia_v4!$B$8,(Indicadores_v4!$G60-Dados_Ajustados_v4!S60)/(Indicadores_v4!$G60-Indicadores_v4!$F60)*100))))</f>
        <v/>
      </c>
      <c r="R60" s="9">
        <f>IF(Dados_Ajustados_v4!T60="","",IF(Indicadores_v4!$E60="+",MIN(Metodologia_v4!$B$9,MAX(Metodologia_v4!$B$8,(Dados_Ajustados_v4!T60-Indicadores_v4!$F60)/(Indicadores_v4!$G60-Indicadores_v4!$F60)*100)),MIN(Metodologia_v4!$B$9,MAX(Metodologia_v4!$B$8,(Indicadores_v4!$G60-Dados_Ajustados_v4!T60)/(Indicadores_v4!$G60-Indicadores_v4!$F60)*100))))</f>
        <v/>
      </c>
    </row>
  </sheetData>
  <autoFilter ref="A4:R60"/>
  <conditionalFormatting sqref="H5:R6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O2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Subíndices temáticos IGDA-BDA v4</t>
        </is>
      </c>
    </row>
    <row r="2"/>
    <row r="3"/>
    <row r="4">
      <c r="A4" s="7" t="inlineStr">
        <is>
          <t>Subíndice</t>
        </is>
      </c>
      <c r="B4" s="7" t="inlineStr">
        <is>
          <t>Peso subíndice</t>
        </is>
      </c>
      <c r="C4" s="7" t="inlineStr">
        <is>
          <t>Indicadores ativos</t>
        </is>
      </c>
      <c r="D4" s="7" t="inlineStr">
        <is>
          <t>Cobertura mínima</t>
        </is>
      </c>
      <c r="E4" s="7" t="inlineStr">
        <is>
          <t>2015</t>
        </is>
      </c>
      <c r="F4" s="7" t="inlineStr">
        <is>
          <t>2016</t>
        </is>
      </c>
      <c r="G4" s="7" t="inlineStr">
        <is>
          <t>2017</t>
        </is>
      </c>
      <c r="H4" s="7" t="inlineStr">
        <is>
          <t>2018</t>
        </is>
      </c>
      <c r="I4" s="7" t="inlineStr">
        <is>
          <t>2019</t>
        </is>
      </c>
      <c r="J4" s="7" t="inlineStr">
        <is>
          <t>2020</t>
        </is>
      </c>
      <c r="K4" s="7" t="inlineStr">
        <is>
          <t>2021</t>
        </is>
      </c>
      <c r="L4" s="7" t="inlineStr">
        <is>
          <t>2022</t>
        </is>
      </c>
      <c r="M4" s="7" t="inlineStr">
        <is>
          <t>2023</t>
        </is>
      </c>
      <c r="N4" s="7" t="inlineStr">
        <is>
          <t>2024</t>
        </is>
      </c>
      <c r="O4" s="7" t="inlineStr">
        <is>
          <t>2025</t>
        </is>
      </c>
    </row>
    <row r="5">
      <c r="A5" s="5" t="inlineStr">
        <is>
          <t>1. Governança e Estado de Direito</t>
        </is>
      </c>
      <c r="B5" s="5" t="n">
        <v>1</v>
      </c>
      <c r="C5" s="5">
        <f>SUMPRODUCT((Indicadores_v4!$B$5:$B$10=A5)*(Indicadores_v4!$J$5:$J$10=1))</f>
        <v/>
      </c>
      <c r="D5" s="5">
        <f>ROUNDUP(C5*Metodologia_v4!$B$10,0)</f>
        <v/>
      </c>
      <c r="E5" s="9">
        <f>IF(SUMPRODUCT((Normalizacao_v4!H$5:H$10&lt;&gt;"")*(Indicadores_v4!$J$5:$J$10=1))&lt;D5,"",SUMPRODUCT(IFERROR(Normalizacao_v4!H$5:H$10*Indicadores_v4!$I$5:$I$10*(Indicadores_v4!$J$5:$J$10=1),0))/SUMPRODUCT((Normalizacao_v4!H$5:H$10&lt;&gt;"")*Indicadores_v4!$I$5:$I$10*(Indicadores_v4!$J$5:$J$10=1)))</f>
        <v/>
      </c>
      <c r="F5" s="9">
        <f>IF(SUMPRODUCT((Normalizacao_v4!I$5:I$10&lt;&gt;"")*(Indicadores_v4!$J$5:$J$10=1))&lt;D5,"",SUMPRODUCT(IFERROR(Normalizacao_v4!I$5:I$10*Indicadores_v4!$I$5:$I$10*(Indicadores_v4!$J$5:$J$10=1),0))/SUMPRODUCT((Normalizacao_v4!I$5:I$10&lt;&gt;"")*Indicadores_v4!$I$5:$I$10*(Indicadores_v4!$J$5:$J$10=1)))</f>
        <v/>
      </c>
      <c r="G5" s="9">
        <f>IF(SUMPRODUCT((Normalizacao_v4!J$5:J$10&lt;&gt;"")*(Indicadores_v4!$J$5:$J$10=1))&lt;D5,"",SUMPRODUCT(IFERROR(Normalizacao_v4!J$5:J$10*Indicadores_v4!$I$5:$I$10*(Indicadores_v4!$J$5:$J$10=1),0))/SUMPRODUCT((Normalizacao_v4!J$5:J$10&lt;&gt;"")*Indicadores_v4!$I$5:$I$10*(Indicadores_v4!$J$5:$J$10=1)))</f>
        <v/>
      </c>
      <c r="H5" s="9">
        <f>IF(SUMPRODUCT((Normalizacao_v4!K$5:K$10&lt;&gt;"")*(Indicadores_v4!$J$5:$J$10=1))&lt;D5,"",SUMPRODUCT(IFERROR(Normalizacao_v4!K$5:K$10*Indicadores_v4!$I$5:$I$10*(Indicadores_v4!$J$5:$J$10=1),0))/SUMPRODUCT((Normalizacao_v4!K$5:K$10&lt;&gt;"")*Indicadores_v4!$I$5:$I$10*(Indicadores_v4!$J$5:$J$10=1)))</f>
        <v/>
      </c>
      <c r="I5" s="9">
        <f>IF(SUMPRODUCT((Normalizacao_v4!L$5:L$10&lt;&gt;"")*(Indicadores_v4!$J$5:$J$10=1))&lt;D5,"",SUMPRODUCT(IFERROR(Normalizacao_v4!L$5:L$10*Indicadores_v4!$I$5:$I$10*(Indicadores_v4!$J$5:$J$10=1),0))/SUMPRODUCT((Normalizacao_v4!L$5:L$10&lt;&gt;"")*Indicadores_v4!$I$5:$I$10*(Indicadores_v4!$J$5:$J$10=1)))</f>
        <v/>
      </c>
      <c r="J5" s="9">
        <f>IF(SUMPRODUCT((Normalizacao_v4!M$5:M$10&lt;&gt;"")*(Indicadores_v4!$J$5:$J$10=1))&lt;D5,"",SUMPRODUCT(IFERROR(Normalizacao_v4!M$5:M$10*Indicadores_v4!$I$5:$I$10*(Indicadores_v4!$J$5:$J$10=1),0))/SUMPRODUCT((Normalizacao_v4!M$5:M$10&lt;&gt;"")*Indicadores_v4!$I$5:$I$10*(Indicadores_v4!$J$5:$J$10=1)))</f>
        <v/>
      </c>
      <c r="K5" s="9">
        <f>IF(SUMPRODUCT((Normalizacao_v4!N$5:N$10&lt;&gt;"")*(Indicadores_v4!$J$5:$J$10=1))&lt;D5,"",SUMPRODUCT(IFERROR(Normalizacao_v4!N$5:N$10*Indicadores_v4!$I$5:$I$10*(Indicadores_v4!$J$5:$J$10=1),0))/SUMPRODUCT((Normalizacao_v4!N$5:N$10&lt;&gt;"")*Indicadores_v4!$I$5:$I$10*(Indicadores_v4!$J$5:$J$10=1)))</f>
        <v/>
      </c>
      <c r="L5" s="9">
        <f>IF(SUMPRODUCT((Normalizacao_v4!O$5:O$10&lt;&gt;"")*(Indicadores_v4!$J$5:$J$10=1))&lt;D5,"",SUMPRODUCT(IFERROR(Normalizacao_v4!O$5:O$10*Indicadores_v4!$I$5:$I$10*(Indicadores_v4!$J$5:$J$10=1),0))/SUMPRODUCT((Normalizacao_v4!O$5:O$10&lt;&gt;"")*Indicadores_v4!$I$5:$I$10*(Indicadores_v4!$J$5:$J$10=1)))</f>
        <v/>
      </c>
      <c r="M5" s="9">
        <f>IF(SUMPRODUCT((Normalizacao_v4!P$5:P$10&lt;&gt;"")*(Indicadores_v4!$J$5:$J$10=1))&lt;D5,"",SUMPRODUCT(IFERROR(Normalizacao_v4!P$5:P$10*Indicadores_v4!$I$5:$I$10*(Indicadores_v4!$J$5:$J$10=1),0))/SUMPRODUCT((Normalizacao_v4!P$5:P$10&lt;&gt;"")*Indicadores_v4!$I$5:$I$10*(Indicadores_v4!$J$5:$J$10=1)))</f>
        <v/>
      </c>
      <c r="N5" s="9">
        <f>IF(SUMPRODUCT((Normalizacao_v4!Q$5:Q$10&lt;&gt;"")*(Indicadores_v4!$J$5:$J$10=1))&lt;D5,"",SUMPRODUCT(IFERROR(Normalizacao_v4!Q$5:Q$10*Indicadores_v4!$I$5:$I$10*(Indicadores_v4!$J$5:$J$10=1),0))/SUMPRODUCT((Normalizacao_v4!Q$5:Q$10&lt;&gt;"")*Indicadores_v4!$I$5:$I$10*(Indicadores_v4!$J$5:$J$10=1)))</f>
        <v/>
      </c>
      <c r="O5" s="9">
        <f>IF(SUMPRODUCT((Normalizacao_v4!R$5:R$10&lt;&gt;"")*(Indicadores_v4!$J$5:$J$10=1))&lt;D5,"",SUMPRODUCT(IFERROR(Normalizacao_v4!R$5:R$10*Indicadores_v4!$I$5:$I$10*(Indicadores_v4!$J$5:$J$10=1),0))/SUMPRODUCT((Normalizacao_v4!R$5:R$10&lt;&gt;"")*Indicadores_v4!$I$5:$I$10*(Indicadores_v4!$J$5:$J$10=1)))</f>
        <v/>
      </c>
    </row>
    <row r="6">
      <c r="A6" s="5" t="inlineStr">
        <is>
          <t>2. Estabilidade Macroeconómica</t>
        </is>
      </c>
      <c r="B6" s="5" t="n">
        <v>1</v>
      </c>
      <c r="C6" s="5">
        <f>SUMPRODUCT((Indicadores_v4!$B$11:$B$18=A6)*(Indicadores_v4!$J$11:$J$18=1))</f>
        <v/>
      </c>
      <c r="D6" s="5">
        <f>ROUNDUP(C6*Metodologia_v4!$B$10,0)</f>
        <v/>
      </c>
      <c r="E6" s="9">
        <f>IF(SUMPRODUCT((Normalizacao_v4!H$11:H$18&lt;&gt;"")*(Indicadores_v4!$J$11:$J$18=1))&lt;D6,"",SUMPRODUCT(IFERROR(Normalizacao_v4!H$11:H$18*Indicadores_v4!$I$11:$I$18*(Indicadores_v4!$J$11:$J$18=1),0))/SUMPRODUCT((Normalizacao_v4!H$11:H$18&lt;&gt;"")*Indicadores_v4!$I$11:$I$18*(Indicadores_v4!$J$11:$J$18=1)))</f>
        <v/>
      </c>
      <c r="F6" s="9">
        <f>IF(SUMPRODUCT((Normalizacao_v4!I$11:I$18&lt;&gt;"")*(Indicadores_v4!$J$11:$J$18=1))&lt;D6,"",SUMPRODUCT(IFERROR(Normalizacao_v4!I$11:I$18*Indicadores_v4!$I$11:$I$18*(Indicadores_v4!$J$11:$J$18=1),0))/SUMPRODUCT((Normalizacao_v4!I$11:I$18&lt;&gt;"")*Indicadores_v4!$I$11:$I$18*(Indicadores_v4!$J$11:$J$18=1)))</f>
        <v/>
      </c>
      <c r="G6" s="9">
        <f>IF(SUMPRODUCT((Normalizacao_v4!J$11:J$18&lt;&gt;"")*(Indicadores_v4!$J$11:$J$18=1))&lt;D6,"",SUMPRODUCT(IFERROR(Normalizacao_v4!J$11:J$18*Indicadores_v4!$I$11:$I$18*(Indicadores_v4!$J$11:$J$18=1),0))/SUMPRODUCT((Normalizacao_v4!J$11:J$18&lt;&gt;"")*Indicadores_v4!$I$11:$I$18*(Indicadores_v4!$J$11:$J$18=1)))</f>
        <v/>
      </c>
      <c r="H6" s="9">
        <f>IF(SUMPRODUCT((Normalizacao_v4!K$11:K$18&lt;&gt;"")*(Indicadores_v4!$J$11:$J$18=1))&lt;D6,"",SUMPRODUCT(IFERROR(Normalizacao_v4!K$11:K$18*Indicadores_v4!$I$11:$I$18*(Indicadores_v4!$J$11:$J$18=1),0))/SUMPRODUCT((Normalizacao_v4!K$11:K$18&lt;&gt;"")*Indicadores_v4!$I$11:$I$18*(Indicadores_v4!$J$11:$J$18=1)))</f>
        <v/>
      </c>
      <c r="I6" s="9">
        <f>IF(SUMPRODUCT((Normalizacao_v4!L$11:L$18&lt;&gt;"")*(Indicadores_v4!$J$11:$J$18=1))&lt;D6,"",SUMPRODUCT(IFERROR(Normalizacao_v4!L$11:L$18*Indicadores_v4!$I$11:$I$18*(Indicadores_v4!$J$11:$J$18=1),0))/SUMPRODUCT((Normalizacao_v4!L$11:L$18&lt;&gt;"")*Indicadores_v4!$I$11:$I$18*(Indicadores_v4!$J$11:$J$18=1)))</f>
        <v/>
      </c>
      <c r="J6" s="9">
        <f>IF(SUMPRODUCT((Normalizacao_v4!M$11:M$18&lt;&gt;"")*(Indicadores_v4!$J$11:$J$18=1))&lt;D6,"",SUMPRODUCT(IFERROR(Normalizacao_v4!M$11:M$18*Indicadores_v4!$I$11:$I$18*(Indicadores_v4!$J$11:$J$18=1),0))/SUMPRODUCT((Normalizacao_v4!M$11:M$18&lt;&gt;"")*Indicadores_v4!$I$11:$I$18*(Indicadores_v4!$J$11:$J$18=1)))</f>
        <v/>
      </c>
      <c r="K6" s="9">
        <f>IF(SUMPRODUCT((Normalizacao_v4!N$11:N$18&lt;&gt;"")*(Indicadores_v4!$J$11:$J$18=1))&lt;D6,"",SUMPRODUCT(IFERROR(Normalizacao_v4!N$11:N$18*Indicadores_v4!$I$11:$I$18*(Indicadores_v4!$J$11:$J$18=1),0))/SUMPRODUCT((Normalizacao_v4!N$11:N$18&lt;&gt;"")*Indicadores_v4!$I$11:$I$18*(Indicadores_v4!$J$11:$J$18=1)))</f>
        <v/>
      </c>
      <c r="L6" s="9">
        <f>IF(SUMPRODUCT((Normalizacao_v4!O$11:O$18&lt;&gt;"")*(Indicadores_v4!$J$11:$J$18=1))&lt;D6,"",SUMPRODUCT(IFERROR(Normalizacao_v4!O$11:O$18*Indicadores_v4!$I$11:$I$18*(Indicadores_v4!$J$11:$J$18=1),0))/SUMPRODUCT((Normalizacao_v4!O$11:O$18&lt;&gt;"")*Indicadores_v4!$I$11:$I$18*(Indicadores_v4!$J$11:$J$18=1)))</f>
        <v/>
      </c>
      <c r="M6" s="9">
        <f>IF(SUMPRODUCT((Normalizacao_v4!P$11:P$18&lt;&gt;"")*(Indicadores_v4!$J$11:$J$18=1))&lt;D6,"",SUMPRODUCT(IFERROR(Normalizacao_v4!P$11:P$18*Indicadores_v4!$I$11:$I$18*(Indicadores_v4!$J$11:$J$18=1),0))/SUMPRODUCT((Normalizacao_v4!P$11:P$18&lt;&gt;"")*Indicadores_v4!$I$11:$I$18*(Indicadores_v4!$J$11:$J$18=1)))</f>
        <v/>
      </c>
      <c r="N6" s="9">
        <f>IF(SUMPRODUCT((Normalizacao_v4!Q$11:Q$18&lt;&gt;"")*(Indicadores_v4!$J$11:$J$18=1))&lt;D6,"",SUMPRODUCT(IFERROR(Normalizacao_v4!Q$11:Q$18*Indicadores_v4!$I$11:$I$18*(Indicadores_v4!$J$11:$J$18=1),0))/SUMPRODUCT((Normalizacao_v4!Q$11:Q$18&lt;&gt;"")*Indicadores_v4!$I$11:$I$18*(Indicadores_v4!$J$11:$J$18=1)))</f>
        <v/>
      </c>
      <c r="O6" s="9">
        <f>IF(SUMPRODUCT((Normalizacao_v4!R$11:R$18&lt;&gt;"")*(Indicadores_v4!$J$11:$J$18=1))&lt;D6,"",SUMPRODUCT(IFERROR(Normalizacao_v4!R$11:R$18*Indicadores_v4!$I$11:$I$18*(Indicadores_v4!$J$11:$J$18=1),0))/SUMPRODUCT((Normalizacao_v4!R$11:R$18&lt;&gt;"")*Indicadores_v4!$I$11:$I$18*(Indicadores_v4!$J$11:$J$18=1)))</f>
        <v/>
      </c>
    </row>
    <row r="7">
      <c r="A7" s="5" t="inlineStr">
        <is>
          <t>3. Capital Humano</t>
        </is>
      </c>
      <c r="B7" s="5" t="n">
        <v>1</v>
      </c>
      <c r="C7" s="5">
        <f>SUMPRODUCT((Indicadores_v4!$B$19:$B$25=A7)*(Indicadores_v4!$J$19:$J$25=1))</f>
        <v/>
      </c>
      <c r="D7" s="5">
        <f>ROUNDUP(C7*Metodologia_v4!$B$10,0)</f>
        <v/>
      </c>
      <c r="E7" s="9">
        <f>IF(SUMPRODUCT((Normalizacao_v4!H$19:H$25&lt;&gt;"")*(Indicadores_v4!$J$19:$J$25=1))&lt;D7,"",SUMPRODUCT(IFERROR(Normalizacao_v4!H$19:H$25*Indicadores_v4!$I$19:$I$25*(Indicadores_v4!$J$19:$J$25=1),0))/SUMPRODUCT((Normalizacao_v4!H$19:H$25&lt;&gt;"")*Indicadores_v4!$I$19:$I$25*(Indicadores_v4!$J$19:$J$25=1)))</f>
        <v/>
      </c>
      <c r="F7" s="9">
        <f>IF(SUMPRODUCT((Normalizacao_v4!I$19:I$25&lt;&gt;"")*(Indicadores_v4!$J$19:$J$25=1))&lt;D7,"",SUMPRODUCT(IFERROR(Normalizacao_v4!I$19:I$25*Indicadores_v4!$I$19:$I$25*(Indicadores_v4!$J$19:$J$25=1),0))/SUMPRODUCT((Normalizacao_v4!I$19:I$25&lt;&gt;"")*Indicadores_v4!$I$19:$I$25*(Indicadores_v4!$J$19:$J$25=1)))</f>
        <v/>
      </c>
      <c r="G7" s="9">
        <f>IF(SUMPRODUCT((Normalizacao_v4!J$19:J$25&lt;&gt;"")*(Indicadores_v4!$J$19:$J$25=1))&lt;D7,"",SUMPRODUCT(IFERROR(Normalizacao_v4!J$19:J$25*Indicadores_v4!$I$19:$I$25*(Indicadores_v4!$J$19:$J$25=1),0))/SUMPRODUCT((Normalizacao_v4!J$19:J$25&lt;&gt;"")*Indicadores_v4!$I$19:$I$25*(Indicadores_v4!$J$19:$J$25=1)))</f>
        <v/>
      </c>
      <c r="H7" s="9">
        <f>IF(SUMPRODUCT((Normalizacao_v4!K$19:K$25&lt;&gt;"")*(Indicadores_v4!$J$19:$J$25=1))&lt;D7,"",SUMPRODUCT(IFERROR(Normalizacao_v4!K$19:K$25*Indicadores_v4!$I$19:$I$25*(Indicadores_v4!$J$19:$J$25=1),0))/SUMPRODUCT((Normalizacao_v4!K$19:K$25&lt;&gt;"")*Indicadores_v4!$I$19:$I$25*(Indicadores_v4!$J$19:$J$25=1)))</f>
        <v/>
      </c>
      <c r="I7" s="9">
        <f>IF(SUMPRODUCT((Normalizacao_v4!L$19:L$25&lt;&gt;"")*(Indicadores_v4!$J$19:$J$25=1))&lt;D7,"",SUMPRODUCT(IFERROR(Normalizacao_v4!L$19:L$25*Indicadores_v4!$I$19:$I$25*(Indicadores_v4!$J$19:$J$25=1),0))/SUMPRODUCT((Normalizacao_v4!L$19:L$25&lt;&gt;"")*Indicadores_v4!$I$19:$I$25*(Indicadores_v4!$J$19:$J$25=1)))</f>
        <v/>
      </c>
      <c r="J7" s="9">
        <f>IF(SUMPRODUCT((Normalizacao_v4!M$19:M$25&lt;&gt;"")*(Indicadores_v4!$J$19:$J$25=1))&lt;D7,"",SUMPRODUCT(IFERROR(Normalizacao_v4!M$19:M$25*Indicadores_v4!$I$19:$I$25*(Indicadores_v4!$J$19:$J$25=1),0))/SUMPRODUCT((Normalizacao_v4!M$19:M$25&lt;&gt;"")*Indicadores_v4!$I$19:$I$25*(Indicadores_v4!$J$19:$J$25=1)))</f>
        <v/>
      </c>
      <c r="K7" s="9">
        <f>IF(SUMPRODUCT((Normalizacao_v4!N$19:N$25&lt;&gt;"")*(Indicadores_v4!$J$19:$J$25=1))&lt;D7,"",SUMPRODUCT(IFERROR(Normalizacao_v4!N$19:N$25*Indicadores_v4!$I$19:$I$25*(Indicadores_v4!$J$19:$J$25=1),0))/SUMPRODUCT((Normalizacao_v4!N$19:N$25&lt;&gt;"")*Indicadores_v4!$I$19:$I$25*(Indicadores_v4!$J$19:$J$25=1)))</f>
        <v/>
      </c>
      <c r="L7" s="9">
        <f>IF(SUMPRODUCT((Normalizacao_v4!O$19:O$25&lt;&gt;"")*(Indicadores_v4!$J$19:$J$25=1))&lt;D7,"",SUMPRODUCT(IFERROR(Normalizacao_v4!O$19:O$25*Indicadores_v4!$I$19:$I$25*(Indicadores_v4!$J$19:$J$25=1),0))/SUMPRODUCT((Normalizacao_v4!O$19:O$25&lt;&gt;"")*Indicadores_v4!$I$19:$I$25*(Indicadores_v4!$J$19:$J$25=1)))</f>
        <v/>
      </c>
      <c r="M7" s="9">
        <f>IF(SUMPRODUCT((Normalizacao_v4!P$19:P$25&lt;&gt;"")*(Indicadores_v4!$J$19:$J$25=1))&lt;D7,"",SUMPRODUCT(IFERROR(Normalizacao_v4!P$19:P$25*Indicadores_v4!$I$19:$I$25*(Indicadores_v4!$J$19:$J$25=1),0))/SUMPRODUCT((Normalizacao_v4!P$19:P$25&lt;&gt;"")*Indicadores_v4!$I$19:$I$25*(Indicadores_v4!$J$19:$J$25=1)))</f>
        <v/>
      </c>
      <c r="N7" s="9">
        <f>IF(SUMPRODUCT((Normalizacao_v4!Q$19:Q$25&lt;&gt;"")*(Indicadores_v4!$J$19:$J$25=1))&lt;D7,"",SUMPRODUCT(IFERROR(Normalizacao_v4!Q$19:Q$25*Indicadores_v4!$I$19:$I$25*(Indicadores_v4!$J$19:$J$25=1),0))/SUMPRODUCT((Normalizacao_v4!Q$19:Q$25&lt;&gt;"")*Indicadores_v4!$I$19:$I$25*(Indicadores_v4!$J$19:$J$25=1)))</f>
        <v/>
      </c>
      <c r="O7" s="9">
        <f>IF(SUMPRODUCT((Normalizacao_v4!R$19:R$25&lt;&gt;"")*(Indicadores_v4!$J$19:$J$25=1))&lt;D7,"",SUMPRODUCT(IFERROR(Normalizacao_v4!R$19:R$25*Indicadores_v4!$I$19:$I$25*(Indicadores_v4!$J$19:$J$25=1),0))/SUMPRODUCT((Normalizacao_v4!R$19:R$25&lt;&gt;"")*Indicadores_v4!$I$19:$I$25*(Indicadores_v4!$J$19:$J$25=1)))</f>
        <v/>
      </c>
    </row>
    <row r="8">
      <c r="A8" s="5" t="inlineStr">
        <is>
          <t>4. Inclusão Social e Protecção</t>
        </is>
      </c>
      <c r="B8" s="5" t="n">
        <v>1</v>
      </c>
      <c r="C8" s="5">
        <f>SUMPRODUCT((Indicadores_v4!$B$26:$B$33=A8)*(Indicadores_v4!$J$26:$J$33=1))</f>
        <v/>
      </c>
      <c r="D8" s="5">
        <f>ROUNDUP(C8*Metodologia_v4!$B$10,0)</f>
        <v/>
      </c>
      <c r="E8" s="9">
        <f>IF(SUMPRODUCT((Normalizacao_v4!H$26:H$33&lt;&gt;"")*(Indicadores_v4!$J$26:$J$33=1))&lt;D8,"",SUMPRODUCT(IFERROR(Normalizacao_v4!H$26:H$33*Indicadores_v4!$I$26:$I$33*(Indicadores_v4!$J$26:$J$33=1),0))/SUMPRODUCT((Normalizacao_v4!H$26:H$33&lt;&gt;"")*Indicadores_v4!$I$26:$I$33*(Indicadores_v4!$J$26:$J$33=1)))</f>
        <v/>
      </c>
      <c r="F8" s="9">
        <f>IF(SUMPRODUCT((Normalizacao_v4!I$26:I$33&lt;&gt;"")*(Indicadores_v4!$J$26:$J$33=1))&lt;D8,"",SUMPRODUCT(IFERROR(Normalizacao_v4!I$26:I$33*Indicadores_v4!$I$26:$I$33*(Indicadores_v4!$J$26:$J$33=1),0))/SUMPRODUCT((Normalizacao_v4!I$26:I$33&lt;&gt;"")*Indicadores_v4!$I$26:$I$33*(Indicadores_v4!$J$26:$J$33=1)))</f>
        <v/>
      </c>
      <c r="G8" s="9">
        <f>IF(SUMPRODUCT((Normalizacao_v4!J$26:J$33&lt;&gt;"")*(Indicadores_v4!$J$26:$J$33=1))&lt;D8,"",SUMPRODUCT(IFERROR(Normalizacao_v4!J$26:J$33*Indicadores_v4!$I$26:$I$33*(Indicadores_v4!$J$26:$J$33=1),0))/SUMPRODUCT((Normalizacao_v4!J$26:J$33&lt;&gt;"")*Indicadores_v4!$I$26:$I$33*(Indicadores_v4!$J$26:$J$33=1)))</f>
        <v/>
      </c>
      <c r="H8" s="9">
        <f>IF(SUMPRODUCT((Normalizacao_v4!K$26:K$33&lt;&gt;"")*(Indicadores_v4!$J$26:$J$33=1))&lt;D8,"",SUMPRODUCT(IFERROR(Normalizacao_v4!K$26:K$33*Indicadores_v4!$I$26:$I$33*(Indicadores_v4!$J$26:$J$33=1),0))/SUMPRODUCT((Normalizacao_v4!K$26:K$33&lt;&gt;"")*Indicadores_v4!$I$26:$I$33*(Indicadores_v4!$J$26:$J$33=1)))</f>
        <v/>
      </c>
      <c r="I8" s="9">
        <f>IF(SUMPRODUCT((Normalizacao_v4!L$26:L$33&lt;&gt;"")*(Indicadores_v4!$J$26:$J$33=1))&lt;D8,"",SUMPRODUCT(IFERROR(Normalizacao_v4!L$26:L$33*Indicadores_v4!$I$26:$I$33*(Indicadores_v4!$J$26:$J$33=1),0))/SUMPRODUCT((Normalizacao_v4!L$26:L$33&lt;&gt;"")*Indicadores_v4!$I$26:$I$33*(Indicadores_v4!$J$26:$J$33=1)))</f>
        <v/>
      </c>
      <c r="J8" s="9">
        <f>IF(SUMPRODUCT((Normalizacao_v4!M$26:M$33&lt;&gt;"")*(Indicadores_v4!$J$26:$J$33=1))&lt;D8,"",SUMPRODUCT(IFERROR(Normalizacao_v4!M$26:M$33*Indicadores_v4!$I$26:$I$33*(Indicadores_v4!$J$26:$J$33=1),0))/SUMPRODUCT((Normalizacao_v4!M$26:M$33&lt;&gt;"")*Indicadores_v4!$I$26:$I$33*(Indicadores_v4!$J$26:$J$33=1)))</f>
        <v/>
      </c>
      <c r="K8" s="9">
        <f>IF(SUMPRODUCT((Normalizacao_v4!N$26:N$33&lt;&gt;"")*(Indicadores_v4!$J$26:$J$33=1))&lt;D8,"",SUMPRODUCT(IFERROR(Normalizacao_v4!N$26:N$33*Indicadores_v4!$I$26:$I$33*(Indicadores_v4!$J$26:$J$33=1),0))/SUMPRODUCT((Normalizacao_v4!N$26:N$33&lt;&gt;"")*Indicadores_v4!$I$26:$I$33*(Indicadores_v4!$J$26:$J$33=1)))</f>
        <v/>
      </c>
      <c r="L8" s="9">
        <f>IF(SUMPRODUCT((Normalizacao_v4!O$26:O$33&lt;&gt;"")*(Indicadores_v4!$J$26:$J$33=1))&lt;D8,"",SUMPRODUCT(IFERROR(Normalizacao_v4!O$26:O$33*Indicadores_v4!$I$26:$I$33*(Indicadores_v4!$J$26:$J$33=1),0))/SUMPRODUCT((Normalizacao_v4!O$26:O$33&lt;&gt;"")*Indicadores_v4!$I$26:$I$33*(Indicadores_v4!$J$26:$J$33=1)))</f>
        <v/>
      </c>
      <c r="M8" s="9">
        <f>IF(SUMPRODUCT((Normalizacao_v4!P$26:P$33&lt;&gt;"")*(Indicadores_v4!$J$26:$J$33=1))&lt;D8,"",SUMPRODUCT(IFERROR(Normalizacao_v4!P$26:P$33*Indicadores_v4!$I$26:$I$33*(Indicadores_v4!$J$26:$J$33=1),0))/SUMPRODUCT((Normalizacao_v4!P$26:P$33&lt;&gt;"")*Indicadores_v4!$I$26:$I$33*(Indicadores_v4!$J$26:$J$33=1)))</f>
        <v/>
      </c>
      <c r="N8" s="9">
        <f>IF(SUMPRODUCT((Normalizacao_v4!Q$26:Q$33&lt;&gt;"")*(Indicadores_v4!$J$26:$J$33=1))&lt;D8,"",SUMPRODUCT(IFERROR(Normalizacao_v4!Q$26:Q$33*Indicadores_v4!$I$26:$I$33*(Indicadores_v4!$J$26:$J$33=1),0))/SUMPRODUCT((Normalizacao_v4!Q$26:Q$33&lt;&gt;"")*Indicadores_v4!$I$26:$I$33*(Indicadores_v4!$J$26:$J$33=1)))</f>
        <v/>
      </c>
      <c r="O8" s="9">
        <f>IF(SUMPRODUCT((Normalizacao_v4!R$26:R$33&lt;&gt;"")*(Indicadores_v4!$J$26:$J$33=1))&lt;D8,"",SUMPRODUCT(IFERROR(Normalizacao_v4!R$26:R$33*Indicadores_v4!$I$26:$I$33*(Indicadores_v4!$J$26:$J$33=1),0))/SUMPRODUCT((Normalizacao_v4!R$26:R$33&lt;&gt;"")*Indicadores_v4!$I$26:$I$33*(Indicadores_v4!$J$26:$J$33=1)))</f>
        <v/>
      </c>
    </row>
    <row r="9">
      <c r="A9" s="5" t="inlineStr">
        <is>
          <t>5. Infraestruturas e Serviços</t>
        </is>
      </c>
      <c r="B9" s="5" t="n">
        <v>1</v>
      </c>
      <c r="C9" s="5">
        <f>SUMPRODUCT((Indicadores_v4!$B$34:$B$42=A9)*(Indicadores_v4!$J$34:$J$42=1))</f>
        <v/>
      </c>
      <c r="D9" s="5">
        <f>ROUNDUP(C9*Metodologia_v4!$B$10,0)</f>
        <v/>
      </c>
      <c r="E9" s="9">
        <f>IF(SUMPRODUCT((Normalizacao_v4!H$34:H$42&lt;&gt;"")*(Indicadores_v4!$J$34:$J$42=1))&lt;D9,"",SUMPRODUCT(IFERROR(Normalizacao_v4!H$34:H$42*Indicadores_v4!$I$34:$I$42*(Indicadores_v4!$J$34:$J$42=1),0))/SUMPRODUCT((Normalizacao_v4!H$34:H$42&lt;&gt;"")*Indicadores_v4!$I$34:$I$42*(Indicadores_v4!$J$34:$J$42=1)))</f>
        <v/>
      </c>
      <c r="F9" s="9">
        <f>IF(SUMPRODUCT((Normalizacao_v4!I$34:I$42&lt;&gt;"")*(Indicadores_v4!$J$34:$J$42=1))&lt;D9,"",SUMPRODUCT(IFERROR(Normalizacao_v4!I$34:I$42*Indicadores_v4!$I$34:$I$42*(Indicadores_v4!$J$34:$J$42=1),0))/SUMPRODUCT((Normalizacao_v4!I$34:I$42&lt;&gt;"")*Indicadores_v4!$I$34:$I$42*(Indicadores_v4!$J$34:$J$42=1)))</f>
        <v/>
      </c>
      <c r="G9" s="9">
        <f>IF(SUMPRODUCT((Normalizacao_v4!J$34:J$42&lt;&gt;"")*(Indicadores_v4!$J$34:$J$42=1))&lt;D9,"",SUMPRODUCT(IFERROR(Normalizacao_v4!J$34:J$42*Indicadores_v4!$I$34:$I$42*(Indicadores_v4!$J$34:$J$42=1),0))/SUMPRODUCT((Normalizacao_v4!J$34:J$42&lt;&gt;"")*Indicadores_v4!$I$34:$I$42*(Indicadores_v4!$J$34:$J$42=1)))</f>
        <v/>
      </c>
      <c r="H9" s="9">
        <f>IF(SUMPRODUCT((Normalizacao_v4!K$34:K$42&lt;&gt;"")*(Indicadores_v4!$J$34:$J$42=1))&lt;D9,"",SUMPRODUCT(IFERROR(Normalizacao_v4!K$34:K$42*Indicadores_v4!$I$34:$I$42*(Indicadores_v4!$J$34:$J$42=1),0))/SUMPRODUCT((Normalizacao_v4!K$34:K$42&lt;&gt;"")*Indicadores_v4!$I$34:$I$42*(Indicadores_v4!$J$34:$J$42=1)))</f>
        <v/>
      </c>
      <c r="I9" s="9">
        <f>IF(SUMPRODUCT((Normalizacao_v4!L$34:L$42&lt;&gt;"")*(Indicadores_v4!$J$34:$J$42=1))&lt;D9,"",SUMPRODUCT(IFERROR(Normalizacao_v4!L$34:L$42*Indicadores_v4!$I$34:$I$42*(Indicadores_v4!$J$34:$J$42=1),0))/SUMPRODUCT((Normalizacao_v4!L$34:L$42&lt;&gt;"")*Indicadores_v4!$I$34:$I$42*(Indicadores_v4!$J$34:$J$42=1)))</f>
        <v/>
      </c>
      <c r="J9" s="9">
        <f>IF(SUMPRODUCT((Normalizacao_v4!M$34:M$42&lt;&gt;"")*(Indicadores_v4!$J$34:$J$42=1))&lt;D9,"",SUMPRODUCT(IFERROR(Normalizacao_v4!M$34:M$42*Indicadores_v4!$I$34:$I$42*(Indicadores_v4!$J$34:$J$42=1),0))/SUMPRODUCT((Normalizacao_v4!M$34:M$42&lt;&gt;"")*Indicadores_v4!$I$34:$I$42*(Indicadores_v4!$J$34:$J$42=1)))</f>
        <v/>
      </c>
      <c r="K9" s="9">
        <f>IF(SUMPRODUCT((Normalizacao_v4!N$34:N$42&lt;&gt;"")*(Indicadores_v4!$J$34:$J$42=1))&lt;D9,"",SUMPRODUCT(IFERROR(Normalizacao_v4!N$34:N$42*Indicadores_v4!$I$34:$I$42*(Indicadores_v4!$J$34:$J$42=1),0))/SUMPRODUCT((Normalizacao_v4!N$34:N$42&lt;&gt;"")*Indicadores_v4!$I$34:$I$42*(Indicadores_v4!$J$34:$J$42=1)))</f>
        <v/>
      </c>
      <c r="L9" s="9">
        <f>IF(SUMPRODUCT((Normalizacao_v4!O$34:O$42&lt;&gt;"")*(Indicadores_v4!$J$34:$J$42=1))&lt;D9,"",SUMPRODUCT(IFERROR(Normalizacao_v4!O$34:O$42*Indicadores_v4!$I$34:$I$42*(Indicadores_v4!$J$34:$J$42=1),0))/SUMPRODUCT((Normalizacao_v4!O$34:O$42&lt;&gt;"")*Indicadores_v4!$I$34:$I$42*(Indicadores_v4!$J$34:$J$42=1)))</f>
        <v/>
      </c>
      <c r="M9" s="9">
        <f>IF(SUMPRODUCT((Normalizacao_v4!P$34:P$42&lt;&gt;"")*(Indicadores_v4!$J$34:$J$42=1))&lt;D9,"",SUMPRODUCT(IFERROR(Normalizacao_v4!P$34:P$42*Indicadores_v4!$I$34:$I$42*(Indicadores_v4!$J$34:$J$42=1),0))/SUMPRODUCT((Normalizacao_v4!P$34:P$42&lt;&gt;"")*Indicadores_v4!$I$34:$I$42*(Indicadores_v4!$J$34:$J$42=1)))</f>
        <v/>
      </c>
      <c r="N9" s="9">
        <f>IF(SUMPRODUCT((Normalizacao_v4!Q$34:Q$42&lt;&gt;"")*(Indicadores_v4!$J$34:$J$42=1))&lt;D9,"",SUMPRODUCT(IFERROR(Normalizacao_v4!Q$34:Q$42*Indicadores_v4!$I$34:$I$42*(Indicadores_v4!$J$34:$J$42=1),0))/SUMPRODUCT((Normalizacao_v4!Q$34:Q$42&lt;&gt;"")*Indicadores_v4!$I$34:$I$42*(Indicadores_v4!$J$34:$J$42=1)))</f>
        <v/>
      </c>
      <c r="O9" s="9">
        <f>IF(SUMPRODUCT((Normalizacao_v4!R$34:R$42&lt;&gt;"")*(Indicadores_v4!$J$34:$J$42=1))&lt;D9,"",SUMPRODUCT(IFERROR(Normalizacao_v4!R$34:R$42*Indicadores_v4!$I$34:$I$42*(Indicadores_v4!$J$34:$J$42=1),0))/SUMPRODUCT((Normalizacao_v4!R$34:R$42&lt;&gt;"")*Indicadores_v4!$I$34:$I$42*(Indicadores_v4!$J$34:$J$42=1)))</f>
        <v/>
      </c>
    </row>
    <row r="10">
      <c r="A10" s="5" t="inlineStr">
        <is>
          <t>6. Mercado de Trabalho</t>
        </is>
      </c>
      <c r="B10" s="5" t="n">
        <v>1</v>
      </c>
      <c r="C10" s="5">
        <f>SUMPRODUCT((Indicadores_v4!$B$43:$B$51=A10)*(Indicadores_v4!$J$43:$J$51=1))</f>
        <v/>
      </c>
      <c r="D10" s="5">
        <f>ROUNDUP(C10*Metodologia_v4!$B$10,0)</f>
        <v/>
      </c>
      <c r="E10" s="9">
        <f>IF(SUMPRODUCT((Normalizacao_v4!H$43:H$51&lt;&gt;"")*(Indicadores_v4!$J$43:$J$51=1))&lt;D10,"",SUMPRODUCT(IFERROR(Normalizacao_v4!H$43:H$51*Indicadores_v4!$I$43:$I$51*(Indicadores_v4!$J$43:$J$51=1),0))/SUMPRODUCT((Normalizacao_v4!H$43:H$51&lt;&gt;"")*Indicadores_v4!$I$43:$I$51*(Indicadores_v4!$J$43:$J$51=1)))</f>
        <v/>
      </c>
      <c r="F10" s="9">
        <f>IF(SUMPRODUCT((Normalizacao_v4!I$43:I$51&lt;&gt;"")*(Indicadores_v4!$J$43:$J$51=1))&lt;D10,"",SUMPRODUCT(IFERROR(Normalizacao_v4!I$43:I$51*Indicadores_v4!$I$43:$I$51*(Indicadores_v4!$J$43:$J$51=1),0))/SUMPRODUCT((Normalizacao_v4!I$43:I$51&lt;&gt;"")*Indicadores_v4!$I$43:$I$51*(Indicadores_v4!$J$43:$J$51=1)))</f>
        <v/>
      </c>
      <c r="G10" s="9">
        <f>IF(SUMPRODUCT((Normalizacao_v4!J$43:J$51&lt;&gt;"")*(Indicadores_v4!$J$43:$J$51=1))&lt;D10,"",SUMPRODUCT(IFERROR(Normalizacao_v4!J$43:J$51*Indicadores_v4!$I$43:$I$51*(Indicadores_v4!$J$43:$J$51=1),0))/SUMPRODUCT((Normalizacao_v4!J$43:J$51&lt;&gt;"")*Indicadores_v4!$I$43:$I$51*(Indicadores_v4!$J$43:$J$51=1)))</f>
        <v/>
      </c>
      <c r="H10" s="9">
        <f>IF(SUMPRODUCT((Normalizacao_v4!K$43:K$51&lt;&gt;"")*(Indicadores_v4!$J$43:$J$51=1))&lt;D10,"",SUMPRODUCT(IFERROR(Normalizacao_v4!K$43:K$51*Indicadores_v4!$I$43:$I$51*(Indicadores_v4!$J$43:$J$51=1),0))/SUMPRODUCT((Normalizacao_v4!K$43:K$51&lt;&gt;"")*Indicadores_v4!$I$43:$I$51*(Indicadores_v4!$J$43:$J$51=1)))</f>
        <v/>
      </c>
      <c r="I10" s="9">
        <f>IF(SUMPRODUCT((Normalizacao_v4!L$43:L$51&lt;&gt;"")*(Indicadores_v4!$J$43:$J$51=1))&lt;D10,"",SUMPRODUCT(IFERROR(Normalizacao_v4!L$43:L$51*Indicadores_v4!$I$43:$I$51*(Indicadores_v4!$J$43:$J$51=1),0))/SUMPRODUCT((Normalizacao_v4!L$43:L$51&lt;&gt;"")*Indicadores_v4!$I$43:$I$51*(Indicadores_v4!$J$43:$J$51=1)))</f>
        <v/>
      </c>
      <c r="J10" s="9">
        <f>IF(SUMPRODUCT((Normalizacao_v4!M$43:M$51&lt;&gt;"")*(Indicadores_v4!$J$43:$J$51=1))&lt;D10,"",SUMPRODUCT(IFERROR(Normalizacao_v4!M$43:M$51*Indicadores_v4!$I$43:$I$51*(Indicadores_v4!$J$43:$J$51=1),0))/SUMPRODUCT((Normalizacao_v4!M$43:M$51&lt;&gt;"")*Indicadores_v4!$I$43:$I$51*(Indicadores_v4!$J$43:$J$51=1)))</f>
        <v/>
      </c>
      <c r="K10" s="9">
        <f>IF(SUMPRODUCT((Normalizacao_v4!N$43:N$51&lt;&gt;"")*(Indicadores_v4!$J$43:$J$51=1))&lt;D10,"",SUMPRODUCT(IFERROR(Normalizacao_v4!N$43:N$51*Indicadores_v4!$I$43:$I$51*(Indicadores_v4!$J$43:$J$51=1),0))/SUMPRODUCT((Normalizacao_v4!N$43:N$51&lt;&gt;"")*Indicadores_v4!$I$43:$I$51*(Indicadores_v4!$J$43:$J$51=1)))</f>
        <v/>
      </c>
      <c r="L10" s="9">
        <f>IF(SUMPRODUCT((Normalizacao_v4!O$43:O$51&lt;&gt;"")*(Indicadores_v4!$J$43:$J$51=1))&lt;D10,"",SUMPRODUCT(IFERROR(Normalizacao_v4!O$43:O$51*Indicadores_v4!$I$43:$I$51*(Indicadores_v4!$J$43:$J$51=1),0))/SUMPRODUCT((Normalizacao_v4!O$43:O$51&lt;&gt;"")*Indicadores_v4!$I$43:$I$51*(Indicadores_v4!$J$43:$J$51=1)))</f>
        <v/>
      </c>
      <c r="M10" s="9">
        <f>IF(SUMPRODUCT((Normalizacao_v4!P$43:P$51&lt;&gt;"")*(Indicadores_v4!$J$43:$J$51=1))&lt;D10,"",SUMPRODUCT(IFERROR(Normalizacao_v4!P$43:P$51*Indicadores_v4!$I$43:$I$51*(Indicadores_v4!$J$43:$J$51=1),0))/SUMPRODUCT((Normalizacao_v4!P$43:P$51&lt;&gt;"")*Indicadores_v4!$I$43:$I$51*(Indicadores_v4!$J$43:$J$51=1)))</f>
        <v/>
      </c>
      <c r="N10" s="9">
        <f>IF(SUMPRODUCT((Normalizacao_v4!Q$43:Q$51&lt;&gt;"")*(Indicadores_v4!$J$43:$J$51=1))&lt;D10,"",SUMPRODUCT(IFERROR(Normalizacao_v4!Q$43:Q$51*Indicadores_v4!$I$43:$I$51*(Indicadores_v4!$J$43:$J$51=1),0))/SUMPRODUCT((Normalizacao_v4!Q$43:Q$51&lt;&gt;"")*Indicadores_v4!$I$43:$I$51*(Indicadores_v4!$J$43:$J$51=1)))</f>
        <v/>
      </c>
      <c r="O10" s="9">
        <f>IF(SUMPRODUCT((Normalizacao_v4!R$43:R$51&lt;&gt;"")*(Indicadores_v4!$J$43:$J$51=1))&lt;D10,"",SUMPRODUCT(IFERROR(Normalizacao_v4!R$43:R$51*Indicadores_v4!$I$43:$I$51*(Indicadores_v4!$J$43:$J$51=1),0))/SUMPRODUCT((Normalizacao_v4!R$43:R$51&lt;&gt;"")*Indicadores_v4!$I$43:$I$51*(Indicadores_v4!$J$43:$J$51=1)))</f>
        <v/>
      </c>
    </row>
    <row r="11">
      <c r="A11" s="5" t="inlineStr">
        <is>
          <t>7. Segurança Alimentar e Saúde</t>
        </is>
      </c>
      <c r="B11" s="5" t="n">
        <v>1</v>
      </c>
      <c r="C11" s="5">
        <f>SUMPRODUCT((Indicadores_v4!$B$52:$B$60=A11)*(Indicadores_v4!$J$52:$J$60=1))</f>
        <v/>
      </c>
      <c r="D11" s="5">
        <f>ROUNDUP(C11*Metodologia_v4!$B$10,0)</f>
        <v/>
      </c>
      <c r="E11" s="9">
        <f>IF(SUMPRODUCT((Normalizacao_v4!H$52:H$60&lt;&gt;"")*(Indicadores_v4!$J$52:$J$60=1))&lt;D11,"",SUMPRODUCT(IFERROR(Normalizacao_v4!H$52:H$60*Indicadores_v4!$I$52:$I$60*(Indicadores_v4!$J$52:$J$60=1),0))/SUMPRODUCT((Normalizacao_v4!H$52:H$60&lt;&gt;"")*Indicadores_v4!$I$52:$I$60*(Indicadores_v4!$J$52:$J$60=1)))</f>
        <v/>
      </c>
      <c r="F11" s="9">
        <f>IF(SUMPRODUCT((Normalizacao_v4!I$52:I$60&lt;&gt;"")*(Indicadores_v4!$J$52:$J$60=1))&lt;D11,"",SUMPRODUCT(IFERROR(Normalizacao_v4!I$52:I$60*Indicadores_v4!$I$52:$I$60*(Indicadores_v4!$J$52:$J$60=1),0))/SUMPRODUCT((Normalizacao_v4!I$52:I$60&lt;&gt;"")*Indicadores_v4!$I$52:$I$60*(Indicadores_v4!$J$52:$J$60=1)))</f>
        <v/>
      </c>
      <c r="G11" s="9">
        <f>IF(SUMPRODUCT((Normalizacao_v4!J$52:J$60&lt;&gt;"")*(Indicadores_v4!$J$52:$J$60=1))&lt;D11,"",SUMPRODUCT(IFERROR(Normalizacao_v4!J$52:J$60*Indicadores_v4!$I$52:$I$60*(Indicadores_v4!$J$52:$J$60=1),0))/SUMPRODUCT((Normalizacao_v4!J$52:J$60&lt;&gt;"")*Indicadores_v4!$I$52:$I$60*(Indicadores_v4!$J$52:$J$60=1)))</f>
        <v/>
      </c>
      <c r="H11" s="9">
        <f>IF(SUMPRODUCT((Normalizacao_v4!K$52:K$60&lt;&gt;"")*(Indicadores_v4!$J$52:$J$60=1))&lt;D11,"",SUMPRODUCT(IFERROR(Normalizacao_v4!K$52:K$60*Indicadores_v4!$I$52:$I$60*(Indicadores_v4!$J$52:$J$60=1),0))/SUMPRODUCT((Normalizacao_v4!K$52:K$60&lt;&gt;"")*Indicadores_v4!$I$52:$I$60*(Indicadores_v4!$J$52:$J$60=1)))</f>
        <v/>
      </c>
      <c r="I11" s="9">
        <f>IF(SUMPRODUCT((Normalizacao_v4!L$52:L$60&lt;&gt;"")*(Indicadores_v4!$J$52:$J$60=1))&lt;D11,"",SUMPRODUCT(IFERROR(Normalizacao_v4!L$52:L$60*Indicadores_v4!$I$52:$I$60*(Indicadores_v4!$J$52:$J$60=1),0))/SUMPRODUCT((Normalizacao_v4!L$52:L$60&lt;&gt;"")*Indicadores_v4!$I$52:$I$60*(Indicadores_v4!$J$52:$J$60=1)))</f>
        <v/>
      </c>
      <c r="J11" s="9">
        <f>IF(SUMPRODUCT((Normalizacao_v4!M$52:M$60&lt;&gt;"")*(Indicadores_v4!$J$52:$J$60=1))&lt;D11,"",SUMPRODUCT(IFERROR(Normalizacao_v4!M$52:M$60*Indicadores_v4!$I$52:$I$60*(Indicadores_v4!$J$52:$J$60=1),0))/SUMPRODUCT((Normalizacao_v4!M$52:M$60&lt;&gt;"")*Indicadores_v4!$I$52:$I$60*(Indicadores_v4!$J$52:$J$60=1)))</f>
        <v/>
      </c>
      <c r="K11" s="9">
        <f>IF(SUMPRODUCT((Normalizacao_v4!N$52:N$60&lt;&gt;"")*(Indicadores_v4!$J$52:$J$60=1))&lt;D11,"",SUMPRODUCT(IFERROR(Normalizacao_v4!N$52:N$60*Indicadores_v4!$I$52:$I$60*(Indicadores_v4!$J$52:$J$60=1),0))/SUMPRODUCT((Normalizacao_v4!N$52:N$60&lt;&gt;"")*Indicadores_v4!$I$52:$I$60*(Indicadores_v4!$J$52:$J$60=1)))</f>
        <v/>
      </c>
      <c r="L11" s="9">
        <f>IF(SUMPRODUCT((Normalizacao_v4!O$52:O$60&lt;&gt;"")*(Indicadores_v4!$J$52:$J$60=1))&lt;D11,"",SUMPRODUCT(IFERROR(Normalizacao_v4!O$52:O$60*Indicadores_v4!$I$52:$I$60*(Indicadores_v4!$J$52:$J$60=1),0))/SUMPRODUCT((Normalizacao_v4!O$52:O$60&lt;&gt;"")*Indicadores_v4!$I$52:$I$60*(Indicadores_v4!$J$52:$J$60=1)))</f>
        <v/>
      </c>
      <c r="M11" s="9">
        <f>IF(SUMPRODUCT((Normalizacao_v4!P$52:P$60&lt;&gt;"")*(Indicadores_v4!$J$52:$J$60=1))&lt;D11,"",SUMPRODUCT(IFERROR(Normalizacao_v4!P$52:P$60*Indicadores_v4!$I$52:$I$60*(Indicadores_v4!$J$52:$J$60=1),0))/SUMPRODUCT((Normalizacao_v4!P$52:P$60&lt;&gt;"")*Indicadores_v4!$I$52:$I$60*(Indicadores_v4!$J$52:$J$60=1)))</f>
        <v/>
      </c>
      <c r="N11" s="9">
        <f>IF(SUMPRODUCT((Normalizacao_v4!Q$52:Q$60&lt;&gt;"")*(Indicadores_v4!$J$52:$J$60=1))&lt;D11,"",SUMPRODUCT(IFERROR(Normalizacao_v4!Q$52:Q$60*Indicadores_v4!$I$52:$I$60*(Indicadores_v4!$J$52:$J$60=1),0))/SUMPRODUCT((Normalizacao_v4!Q$52:Q$60&lt;&gt;"")*Indicadores_v4!$I$52:$I$60*(Indicadores_v4!$J$52:$J$60=1)))</f>
        <v/>
      </c>
      <c r="O11" s="9">
        <f>IF(SUMPRODUCT((Normalizacao_v4!R$52:R$60&lt;&gt;"")*(Indicadores_v4!$J$52:$J$60=1))&lt;D11,"",SUMPRODUCT(IFERROR(Normalizacao_v4!R$52:R$60*Indicadores_v4!$I$52:$I$60*(Indicadores_v4!$J$52:$J$60=1),0))/SUMPRODUCT((Normalizacao_v4!R$52:R$60&lt;&gt;"")*Indicadores_v4!$I$52:$I$60*(Indicadores_v4!$J$52:$J$60=1)))</f>
        <v/>
      </c>
    </row>
    <row r="12"/>
    <row r="13"/>
    <row r="14"/>
    <row r="15">
      <c r="A15" s="3" t="inlineStr">
        <is>
          <t>Diagnóstico de cobertura por subíndice</t>
        </is>
      </c>
    </row>
    <row r="16">
      <c r="A16" s="7" t="inlineStr">
        <is>
          <t>Subíndice</t>
        </is>
      </c>
      <c r="B16" s="7" t="inlineStr">
        <is>
          <t>Peso subíndice</t>
        </is>
      </c>
      <c r="C16" s="7" t="inlineStr">
        <is>
          <t>Indicadores ativos</t>
        </is>
      </c>
      <c r="D16" s="7" t="inlineStr">
        <is>
          <t>Cobertura mínima</t>
        </is>
      </c>
      <c r="E16" s="7" t="inlineStr">
        <is>
          <t>2015</t>
        </is>
      </c>
      <c r="F16" s="7" t="inlineStr">
        <is>
          <t>2016</t>
        </is>
      </c>
      <c r="G16" s="7" t="inlineStr">
        <is>
          <t>2017</t>
        </is>
      </c>
      <c r="H16" s="7" t="inlineStr">
        <is>
          <t>2018</t>
        </is>
      </c>
      <c r="I16" s="7" t="inlineStr">
        <is>
          <t>2019</t>
        </is>
      </c>
      <c r="J16" s="7" t="inlineStr">
        <is>
          <t>2020</t>
        </is>
      </c>
      <c r="K16" s="7" t="inlineStr">
        <is>
          <t>2021</t>
        </is>
      </c>
      <c r="L16" s="7" t="inlineStr">
        <is>
          <t>2022</t>
        </is>
      </c>
      <c r="M16" s="7" t="inlineStr">
        <is>
          <t>2023</t>
        </is>
      </c>
      <c r="N16" s="7" t="inlineStr">
        <is>
          <t>2024</t>
        </is>
      </c>
      <c r="O16" s="7" t="inlineStr">
        <is>
          <t>2025</t>
        </is>
      </c>
    </row>
    <row r="17">
      <c r="A17" s="2" t="inlineStr">
        <is>
          <t>1. Governança e Estado de Direito</t>
        </is>
      </c>
      <c r="B17" s="2">
        <f>B5</f>
        <v/>
      </c>
      <c r="C17" s="2">
        <f>C5</f>
        <v/>
      </c>
      <c r="D17" s="2">
        <f>D5</f>
        <v/>
      </c>
      <c r="E17" s="2">
        <f>SUMPRODUCT((Normalizacao_v4!H$5:H$10&lt;&gt;"")*(Indicadores_v4!$J$5:$J$10=1))&amp;"/"&amp;C17</f>
        <v/>
      </c>
      <c r="F17" s="2">
        <f>SUMPRODUCT((Normalizacao_v4!I$5:I$10&lt;&gt;"")*(Indicadores_v4!$J$5:$J$10=1))&amp;"/"&amp;C17</f>
        <v/>
      </c>
      <c r="G17" s="2">
        <f>SUMPRODUCT((Normalizacao_v4!J$5:J$10&lt;&gt;"")*(Indicadores_v4!$J$5:$J$10=1))&amp;"/"&amp;C17</f>
        <v/>
      </c>
      <c r="H17" s="2">
        <f>SUMPRODUCT((Normalizacao_v4!K$5:K$10&lt;&gt;"")*(Indicadores_v4!$J$5:$J$10=1))&amp;"/"&amp;C17</f>
        <v/>
      </c>
      <c r="I17" s="2">
        <f>SUMPRODUCT((Normalizacao_v4!L$5:L$10&lt;&gt;"")*(Indicadores_v4!$J$5:$J$10=1))&amp;"/"&amp;C17</f>
        <v/>
      </c>
      <c r="J17" s="2">
        <f>SUMPRODUCT((Normalizacao_v4!M$5:M$10&lt;&gt;"")*(Indicadores_v4!$J$5:$J$10=1))&amp;"/"&amp;C17</f>
        <v/>
      </c>
      <c r="K17" s="2">
        <f>SUMPRODUCT((Normalizacao_v4!N$5:N$10&lt;&gt;"")*(Indicadores_v4!$J$5:$J$10=1))&amp;"/"&amp;C17</f>
        <v/>
      </c>
      <c r="L17" s="2">
        <f>SUMPRODUCT((Normalizacao_v4!O$5:O$10&lt;&gt;"")*(Indicadores_v4!$J$5:$J$10=1))&amp;"/"&amp;C17</f>
        <v/>
      </c>
      <c r="M17" s="2">
        <f>SUMPRODUCT((Normalizacao_v4!P$5:P$10&lt;&gt;"")*(Indicadores_v4!$J$5:$J$10=1))&amp;"/"&amp;C17</f>
        <v/>
      </c>
      <c r="N17" s="2">
        <f>SUMPRODUCT((Normalizacao_v4!Q$5:Q$10&lt;&gt;"")*(Indicadores_v4!$J$5:$J$10=1))&amp;"/"&amp;C17</f>
        <v/>
      </c>
      <c r="O17" s="2">
        <f>SUMPRODUCT((Normalizacao_v4!R$5:R$10&lt;&gt;"")*(Indicadores_v4!$J$5:$J$10=1))&amp;"/"&amp;C17</f>
        <v/>
      </c>
    </row>
    <row r="18">
      <c r="A18" s="2" t="inlineStr">
        <is>
          <t>2. Estabilidade Macroeconómica</t>
        </is>
      </c>
      <c r="B18" s="2">
        <f>B6</f>
        <v/>
      </c>
      <c r="C18" s="2">
        <f>C6</f>
        <v/>
      </c>
      <c r="D18" s="2">
        <f>D6</f>
        <v/>
      </c>
      <c r="E18" s="2">
        <f>SUMPRODUCT((Normalizacao_v4!H$11:H$18&lt;&gt;"")*(Indicadores_v4!$J$11:$J$18=1))&amp;"/"&amp;C18</f>
        <v/>
      </c>
      <c r="F18" s="2">
        <f>SUMPRODUCT((Normalizacao_v4!I$11:I$18&lt;&gt;"")*(Indicadores_v4!$J$11:$J$18=1))&amp;"/"&amp;C18</f>
        <v/>
      </c>
      <c r="G18" s="2">
        <f>SUMPRODUCT((Normalizacao_v4!J$11:J$18&lt;&gt;"")*(Indicadores_v4!$J$11:$J$18=1))&amp;"/"&amp;C18</f>
        <v/>
      </c>
      <c r="H18" s="2">
        <f>SUMPRODUCT((Normalizacao_v4!K$11:K$18&lt;&gt;"")*(Indicadores_v4!$J$11:$J$18=1))&amp;"/"&amp;C18</f>
        <v/>
      </c>
      <c r="I18" s="2">
        <f>SUMPRODUCT((Normalizacao_v4!L$11:L$18&lt;&gt;"")*(Indicadores_v4!$J$11:$J$18=1))&amp;"/"&amp;C18</f>
        <v/>
      </c>
      <c r="J18" s="2">
        <f>SUMPRODUCT((Normalizacao_v4!M$11:M$18&lt;&gt;"")*(Indicadores_v4!$J$11:$J$18=1))&amp;"/"&amp;C18</f>
        <v/>
      </c>
      <c r="K18" s="2">
        <f>SUMPRODUCT((Normalizacao_v4!N$11:N$18&lt;&gt;"")*(Indicadores_v4!$J$11:$J$18=1))&amp;"/"&amp;C18</f>
        <v/>
      </c>
      <c r="L18" s="2">
        <f>SUMPRODUCT((Normalizacao_v4!O$11:O$18&lt;&gt;"")*(Indicadores_v4!$J$11:$J$18=1))&amp;"/"&amp;C18</f>
        <v/>
      </c>
      <c r="M18" s="2">
        <f>SUMPRODUCT((Normalizacao_v4!P$11:P$18&lt;&gt;"")*(Indicadores_v4!$J$11:$J$18=1))&amp;"/"&amp;C18</f>
        <v/>
      </c>
      <c r="N18" s="2">
        <f>SUMPRODUCT((Normalizacao_v4!Q$11:Q$18&lt;&gt;"")*(Indicadores_v4!$J$11:$J$18=1))&amp;"/"&amp;C18</f>
        <v/>
      </c>
      <c r="O18" s="2">
        <f>SUMPRODUCT((Normalizacao_v4!R$11:R$18&lt;&gt;"")*(Indicadores_v4!$J$11:$J$18=1))&amp;"/"&amp;C18</f>
        <v/>
      </c>
    </row>
    <row r="19">
      <c r="A19" s="2" t="inlineStr">
        <is>
          <t>3. Capital Humano</t>
        </is>
      </c>
      <c r="B19" s="2">
        <f>B7</f>
        <v/>
      </c>
      <c r="C19" s="2">
        <f>C7</f>
        <v/>
      </c>
      <c r="D19" s="2">
        <f>D7</f>
        <v/>
      </c>
      <c r="E19" s="2">
        <f>SUMPRODUCT((Normalizacao_v4!H$19:H$25&lt;&gt;"")*(Indicadores_v4!$J$19:$J$25=1))&amp;"/"&amp;C19</f>
        <v/>
      </c>
      <c r="F19" s="2">
        <f>SUMPRODUCT((Normalizacao_v4!I$19:I$25&lt;&gt;"")*(Indicadores_v4!$J$19:$J$25=1))&amp;"/"&amp;C19</f>
        <v/>
      </c>
      <c r="G19" s="2">
        <f>SUMPRODUCT((Normalizacao_v4!J$19:J$25&lt;&gt;"")*(Indicadores_v4!$J$19:$J$25=1))&amp;"/"&amp;C19</f>
        <v/>
      </c>
      <c r="H19" s="2">
        <f>SUMPRODUCT((Normalizacao_v4!K$19:K$25&lt;&gt;"")*(Indicadores_v4!$J$19:$J$25=1))&amp;"/"&amp;C19</f>
        <v/>
      </c>
      <c r="I19" s="2">
        <f>SUMPRODUCT((Normalizacao_v4!L$19:L$25&lt;&gt;"")*(Indicadores_v4!$J$19:$J$25=1))&amp;"/"&amp;C19</f>
        <v/>
      </c>
      <c r="J19" s="2">
        <f>SUMPRODUCT((Normalizacao_v4!M$19:M$25&lt;&gt;"")*(Indicadores_v4!$J$19:$J$25=1))&amp;"/"&amp;C19</f>
        <v/>
      </c>
      <c r="K19" s="2">
        <f>SUMPRODUCT((Normalizacao_v4!N$19:N$25&lt;&gt;"")*(Indicadores_v4!$J$19:$J$25=1))&amp;"/"&amp;C19</f>
        <v/>
      </c>
      <c r="L19" s="2">
        <f>SUMPRODUCT((Normalizacao_v4!O$19:O$25&lt;&gt;"")*(Indicadores_v4!$J$19:$J$25=1))&amp;"/"&amp;C19</f>
        <v/>
      </c>
      <c r="M19" s="2">
        <f>SUMPRODUCT((Normalizacao_v4!P$19:P$25&lt;&gt;"")*(Indicadores_v4!$J$19:$J$25=1))&amp;"/"&amp;C19</f>
        <v/>
      </c>
      <c r="N19" s="2">
        <f>SUMPRODUCT((Normalizacao_v4!Q$19:Q$25&lt;&gt;"")*(Indicadores_v4!$J$19:$J$25=1))&amp;"/"&amp;C19</f>
        <v/>
      </c>
      <c r="O19" s="2">
        <f>SUMPRODUCT((Normalizacao_v4!R$19:R$25&lt;&gt;"")*(Indicadores_v4!$J$19:$J$25=1))&amp;"/"&amp;C19</f>
        <v/>
      </c>
    </row>
    <row r="20">
      <c r="A20" s="2" t="inlineStr">
        <is>
          <t>4. Inclusão Social e Protecção</t>
        </is>
      </c>
      <c r="B20" s="2">
        <f>B8</f>
        <v/>
      </c>
      <c r="C20" s="2">
        <f>C8</f>
        <v/>
      </c>
      <c r="D20" s="2">
        <f>D8</f>
        <v/>
      </c>
      <c r="E20" s="2">
        <f>SUMPRODUCT((Normalizacao_v4!H$26:H$33&lt;&gt;"")*(Indicadores_v4!$J$26:$J$33=1))&amp;"/"&amp;C20</f>
        <v/>
      </c>
      <c r="F20" s="2">
        <f>SUMPRODUCT((Normalizacao_v4!I$26:I$33&lt;&gt;"")*(Indicadores_v4!$J$26:$J$33=1))&amp;"/"&amp;C20</f>
        <v/>
      </c>
      <c r="G20" s="2">
        <f>SUMPRODUCT((Normalizacao_v4!J$26:J$33&lt;&gt;"")*(Indicadores_v4!$J$26:$J$33=1))&amp;"/"&amp;C20</f>
        <v/>
      </c>
      <c r="H20" s="2">
        <f>SUMPRODUCT((Normalizacao_v4!K$26:K$33&lt;&gt;"")*(Indicadores_v4!$J$26:$J$33=1))&amp;"/"&amp;C20</f>
        <v/>
      </c>
      <c r="I20" s="2">
        <f>SUMPRODUCT((Normalizacao_v4!L$26:L$33&lt;&gt;"")*(Indicadores_v4!$J$26:$J$33=1))&amp;"/"&amp;C20</f>
        <v/>
      </c>
      <c r="J20" s="2">
        <f>SUMPRODUCT((Normalizacao_v4!M$26:M$33&lt;&gt;"")*(Indicadores_v4!$J$26:$J$33=1))&amp;"/"&amp;C20</f>
        <v/>
      </c>
      <c r="K20" s="2">
        <f>SUMPRODUCT((Normalizacao_v4!N$26:N$33&lt;&gt;"")*(Indicadores_v4!$J$26:$J$33=1))&amp;"/"&amp;C20</f>
        <v/>
      </c>
      <c r="L20" s="2">
        <f>SUMPRODUCT((Normalizacao_v4!O$26:O$33&lt;&gt;"")*(Indicadores_v4!$J$26:$J$33=1))&amp;"/"&amp;C20</f>
        <v/>
      </c>
      <c r="M20" s="2">
        <f>SUMPRODUCT((Normalizacao_v4!P$26:P$33&lt;&gt;"")*(Indicadores_v4!$J$26:$J$33=1))&amp;"/"&amp;C20</f>
        <v/>
      </c>
      <c r="N20" s="2">
        <f>SUMPRODUCT((Normalizacao_v4!Q$26:Q$33&lt;&gt;"")*(Indicadores_v4!$J$26:$J$33=1))&amp;"/"&amp;C20</f>
        <v/>
      </c>
      <c r="O20" s="2">
        <f>SUMPRODUCT((Normalizacao_v4!R$26:R$33&lt;&gt;"")*(Indicadores_v4!$J$26:$J$33=1))&amp;"/"&amp;C20</f>
        <v/>
      </c>
    </row>
    <row r="21">
      <c r="A21" s="2" t="inlineStr">
        <is>
          <t>5. Infraestruturas e Serviços</t>
        </is>
      </c>
      <c r="B21" s="2">
        <f>B9</f>
        <v/>
      </c>
      <c r="C21" s="2">
        <f>C9</f>
        <v/>
      </c>
      <c r="D21" s="2">
        <f>D9</f>
        <v/>
      </c>
      <c r="E21" s="2">
        <f>SUMPRODUCT((Normalizacao_v4!H$34:H$42&lt;&gt;"")*(Indicadores_v4!$J$34:$J$42=1))&amp;"/"&amp;C21</f>
        <v/>
      </c>
      <c r="F21" s="2">
        <f>SUMPRODUCT((Normalizacao_v4!I$34:I$42&lt;&gt;"")*(Indicadores_v4!$J$34:$J$42=1))&amp;"/"&amp;C21</f>
        <v/>
      </c>
      <c r="G21" s="2">
        <f>SUMPRODUCT((Normalizacao_v4!J$34:J$42&lt;&gt;"")*(Indicadores_v4!$J$34:$J$42=1))&amp;"/"&amp;C21</f>
        <v/>
      </c>
      <c r="H21" s="2">
        <f>SUMPRODUCT((Normalizacao_v4!K$34:K$42&lt;&gt;"")*(Indicadores_v4!$J$34:$J$42=1))&amp;"/"&amp;C21</f>
        <v/>
      </c>
      <c r="I21" s="2">
        <f>SUMPRODUCT((Normalizacao_v4!L$34:L$42&lt;&gt;"")*(Indicadores_v4!$J$34:$J$42=1))&amp;"/"&amp;C21</f>
        <v/>
      </c>
      <c r="J21" s="2">
        <f>SUMPRODUCT((Normalizacao_v4!M$34:M$42&lt;&gt;"")*(Indicadores_v4!$J$34:$J$42=1))&amp;"/"&amp;C21</f>
        <v/>
      </c>
      <c r="K21" s="2">
        <f>SUMPRODUCT((Normalizacao_v4!N$34:N$42&lt;&gt;"")*(Indicadores_v4!$J$34:$J$42=1))&amp;"/"&amp;C21</f>
        <v/>
      </c>
      <c r="L21" s="2">
        <f>SUMPRODUCT((Normalizacao_v4!O$34:O$42&lt;&gt;"")*(Indicadores_v4!$J$34:$J$42=1))&amp;"/"&amp;C21</f>
        <v/>
      </c>
      <c r="M21" s="2">
        <f>SUMPRODUCT((Normalizacao_v4!P$34:P$42&lt;&gt;"")*(Indicadores_v4!$J$34:$J$42=1))&amp;"/"&amp;C21</f>
        <v/>
      </c>
      <c r="N21" s="2">
        <f>SUMPRODUCT((Normalizacao_v4!Q$34:Q$42&lt;&gt;"")*(Indicadores_v4!$J$34:$J$42=1))&amp;"/"&amp;C21</f>
        <v/>
      </c>
      <c r="O21" s="2">
        <f>SUMPRODUCT((Normalizacao_v4!R$34:R$42&lt;&gt;"")*(Indicadores_v4!$J$34:$J$42=1))&amp;"/"&amp;C21</f>
        <v/>
      </c>
    </row>
    <row r="22">
      <c r="A22" s="2" t="inlineStr">
        <is>
          <t>6. Mercado de Trabalho</t>
        </is>
      </c>
      <c r="B22" s="2">
        <f>B10</f>
        <v/>
      </c>
      <c r="C22" s="2">
        <f>C10</f>
        <v/>
      </c>
      <c r="D22" s="2">
        <f>D10</f>
        <v/>
      </c>
      <c r="E22" s="2">
        <f>SUMPRODUCT((Normalizacao_v4!H$43:H$51&lt;&gt;"")*(Indicadores_v4!$J$43:$J$51=1))&amp;"/"&amp;C22</f>
        <v/>
      </c>
      <c r="F22" s="2">
        <f>SUMPRODUCT((Normalizacao_v4!I$43:I$51&lt;&gt;"")*(Indicadores_v4!$J$43:$J$51=1))&amp;"/"&amp;C22</f>
        <v/>
      </c>
      <c r="G22" s="2">
        <f>SUMPRODUCT((Normalizacao_v4!J$43:J$51&lt;&gt;"")*(Indicadores_v4!$J$43:$J$51=1))&amp;"/"&amp;C22</f>
        <v/>
      </c>
      <c r="H22" s="2">
        <f>SUMPRODUCT((Normalizacao_v4!K$43:K$51&lt;&gt;"")*(Indicadores_v4!$J$43:$J$51=1))&amp;"/"&amp;C22</f>
        <v/>
      </c>
      <c r="I22" s="2">
        <f>SUMPRODUCT((Normalizacao_v4!L$43:L$51&lt;&gt;"")*(Indicadores_v4!$J$43:$J$51=1))&amp;"/"&amp;C22</f>
        <v/>
      </c>
      <c r="J22" s="2">
        <f>SUMPRODUCT((Normalizacao_v4!M$43:M$51&lt;&gt;"")*(Indicadores_v4!$J$43:$J$51=1))&amp;"/"&amp;C22</f>
        <v/>
      </c>
      <c r="K22" s="2">
        <f>SUMPRODUCT((Normalizacao_v4!N$43:N$51&lt;&gt;"")*(Indicadores_v4!$J$43:$J$51=1))&amp;"/"&amp;C22</f>
        <v/>
      </c>
      <c r="L22" s="2">
        <f>SUMPRODUCT((Normalizacao_v4!O$43:O$51&lt;&gt;"")*(Indicadores_v4!$J$43:$J$51=1))&amp;"/"&amp;C22</f>
        <v/>
      </c>
      <c r="M22" s="2">
        <f>SUMPRODUCT((Normalizacao_v4!P$43:P$51&lt;&gt;"")*(Indicadores_v4!$J$43:$J$51=1))&amp;"/"&amp;C22</f>
        <v/>
      </c>
      <c r="N22" s="2">
        <f>SUMPRODUCT((Normalizacao_v4!Q$43:Q$51&lt;&gt;"")*(Indicadores_v4!$J$43:$J$51=1))&amp;"/"&amp;C22</f>
        <v/>
      </c>
      <c r="O22" s="2">
        <f>SUMPRODUCT((Normalizacao_v4!R$43:R$51&lt;&gt;"")*(Indicadores_v4!$J$43:$J$51=1))&amp;"/"&amp;C22</f>
        <v/>
      </c>
    </row>
    <row r="23">
      <c r="A23" s="2" t="inlineStr">
        <is>
          <t>7. Segurança Alimentar e Saúde</t>
        </is>
      </c>
      <c r="B23" s="2">
        <f>B11</f>
        <v/>
      </c>
      <c r="C23" s="2">
        <f>C11</f>
        <v/>
      </c>
      <c r="D23" s="2">
        <f>D11</f>
        <v/>
      </c>
      <c r="E23" s="2">
        <f>SUMPRODUCT((Normalizacao_v4!H$52:H$60&lt;&gt;"")*(Indicadores_v4!$J$52:$J$60=1))&amp;"/"&amp;C23</f>
        <v/>
      </c>
      <c r="F23" s="2">
        <f>SUMPRODUCT((Normalizacao_v4!I$52:I$60&lt;&gt;"")*(Indicadores_v4!$J$52:$J$60=1))&amp;"/"&amp;C23</f>
        <v/>
      </c>
      <c r="G23" s="2">
        <f>SUMPRODUCT((Normalizacao_v4!J$52:J$60&lt;&gt;"")*(Indicadores_v4!$J$52:$J$60=1))&amp;"/"&amp;C23</f>
        <v/>
      </c>
      <c r="H23" s="2">
        <f>SUMPRODUCT((Normalizacao_v4!K$52:K$60&lt;&gt;"")*(Indicadores_v4!$J$52:$J$60=1))&amp;"/"&amp;C23</f>
        <v/>
      </c>
      <c r="I23" s="2">
        <f>SUMPRODUCT((Normalizacao_v4!L$52:L$60&lt;&gt;"")*(Indicadores_v4!$J$52:$J$60=1))&amp;"/"&amp;C23</f>
        <v/>
      </c>
      <c r="J23" s="2">
        <f>SUMPRODUCT((Normalizacao_v4!M$52:M$60&lt;&gt;"")*(Indicadores_v4!$J$52:$J$60=1))&amp;"/"&amp;C23</f>
        <v/>
      </c>
      <c r="K23" s="2">
        <f>SUMPRODUCT((Normalizacao_v4!N$52:N$60&lt;&gt;"")*(Indicadores_v4!$J$52:$J$60=1))&amp;"/"&amp;C23</f>
        <v/>
      </c>
      <c r="L23" s="2">
        <f>SUMPRODUCT((Normalizacao_v4!O$52:O$60&lt;&gt;"")*(Indicadores_v4!$J$52:$J$60=1))&amp;"/"&amp;C23</f>
        <v/>
      </c>
      <c r="M23" s="2">
        <f>SUMPRODUCT((Normalizacao_v4!P$52:P$60&lt;&gt;"")*(Indicadores_v4!$J$52:$J$60=1))&amp;"/"&amp;C23</f>
        <v/>
      </c>
      <c r="N23" s="2">
        <f>SUMPRODUCT((Normalizacao_v4!Q$52:Q$60&lt;&gt;"")*(Indicadores_v4!$J$52:$J$60=1))&amp;"/"&amp;C23</f>
        <v/>
      </c>
      <c r="O23" s="2">
        <f>SUMPRODUCT((Normalizacao_v4!R$52:R$60&lt;&gt;"")*(Indicadores_v4!$J$52:$J$60=1))&amp;"/"&amp;C23</f>
        <v/>
      </c>
    </row>
  </sheetData>
  <conditionalFormatting sqref="E5:O1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M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IGDA-BDA v4 - Índice Global</t>
        </is>
      </c>
    </row>
    <row r="2"/>
    <row r="3"/>
    <row r="4">
      <c r="A4" s="7" t="inlineStr">
        <is>
          <t>Componente</t>
        </is>
      </c>
      <c r="B4" s="7" t="inlineStr">
        <is>
          <t>Peso</t>
        </is>
      </c>
      <c r="C4" s="7" t="inlineStr">
        <is>
          <t>2015</t>
        </is>
      </c>
      <c r="D4" s="7" t="inlineStr">
        <is>
          <t>2016</t>
        </is>
      </c>
      <c r="E4" s="7" t="inlineStr">
        <is>
          <t>2017</t>
        </is>
      </c>
      <c r="F4" s="7" t="inlineStr">
        <is>
          <t>2018</t>
        </is>
      </c>
      <c r="G4" s="7" t="inlineStr">
        <is>
          <t>2019</t>
        </is>
      </c>
      <c r="H4" s="7" t="inlineStr">
        <is>
          <t>2020</t>
        </is>
      </c>
      <c r="I4" s="7" t="inlineStr">
        <is>
          <t>2021</t>
        </is>
      </c>
      <c r="J4" s="7" t="inlineStr">
        <is>
          <t>2022</t>
        </is>
      </c>
      <c r="K4" s="7" t="inlineStr">
        <is>
          <t>2023</t>
        </is>
      </c>
      <c r="L4" s="7" t="inlineStr">
        <is>
          <t>2024</t>
        </is>
      </c>
      <c r="M4" s="7" t="inlineStr">
        <is>
          <t>2025</t>
        </is>
      </c>
    </row>
    <row r="5">
      <c r="A5" s="5" t="inlineStr">
        <is>
          <t>1. Governança e Estado de Direito</t>
        </is>
      </c>
      <c r="B5" s="5">
        <f>Subindices_v4!B5</f>
        <v/>
      </c>
      <c r="C5" s="9">
        <f>Subindices_v4!E5</f>
        <v/>
      </c>
      <c r="D5" s="9">
        <f>Subindices_v4!F5</f>
        <v/>
      </c>
      <c r="E5" s="9">
        <f>Subindices_v4!G5</f>
        <v/>
      </c>
      <c r="F5" s="9">
        <f>Subindices_v4!H5</f>
        <v/>
      </c>
      <c r="G5" s="9">
        <f>Subindices_v4!I5</f>
        <v/>
      </c>
      <c r="H5" s="9">
        <f>Subindices_v4!J5</f>
        <v/>
      </c>
      <c r="I5" s="9">
        <f>Subindices_v4!K5</f>
        <v/>
      </c>
      <c r="J5" s="9">
        <f>Subindices_v4!L5</f>
        <v/>
      </c>
      <c r="K5" s="9">
        <f>Subindices_v4!M5</f>
        <v/>
      </c>
      <c r="L5" s="9">
        <f>Subindices_v4!N5</f>
        <v/>
      </c>
      <c r="M5" s="9">
        <f>Subindices_v4!O5</f>
        <v/>
      </c>
    </row>
    <row r="6">
      <c r="A6" s="5" t="inlineStr">
        <is>
          <t>2. Estabilidade Macroeconómica</t>
        </is>
      </c>
      <c r="B6" s="5">
        <f>Subindices_v4!B6</f>
        <v/>
      </c>
      <c r="C6" s="9">
        <f>Subindices_v4!E6</f>
        <v/>
      </c>
      <c r="D6" s="9">
        <f>Subindices_v4!F6</f>
        <v/>
      </c>
      <c r="E6" s="9">
        <f>Subindices_v4!G6</f>
        <v/>
      </c>
      <c r="F6" s="9">
        <f>Subindices_v4!H6</f>
        <v/>
      </c>
      <c r="G6" s="9">
        <f>Subindices_v4!I6</f>
        <v/>
      </c>
      <c r="H6" s="9">
        <f>Subindices_v4!J6</f>
        <v/>
      </c>
      <c r="I6" s="9">
        <f>Subindices_v4!K6</f>
        <v/>
      </c>
      <c r="J6" s="9">
        <f>Subindices_v4!L6</f>
        <v/>
      </c>
      <c r="K6" s="9">
        <f>Subindices_v4!M6</f>
        <v/>
      </c>
      <c r="L6" s="9">
        <f>Subindices_v4!N6</f>
        <v/>
      </c>
      <c r="M6" s="9">
        <f>Subindices_v4!O6</f>
        <v/>
      </c>
    </row>
    <row r="7">
      <c r="A7" s="5" t="inlineStr">
        <is>
          <t>3. Capital Humano</t>
        </is>
      </c>
      <c r="B7" s="5">
        <f>Subindices_v4!B7</f>
        <v/>
      </c>
      <c r="C7" s="9">
        <f>Subindices_v4!E7</f>
        <v/>
      </c>
      <c r="D7" s="9">
        <f>Subindices_v4!F7</f>
        <v/>
      </c>
      <c r="E7" s="9">
        <f>Subindices_v4!G7</f>
        <v/>
      </c>
      <c r="F7" s="9">
        <f>Subindices_v4!H7</f>
        <v/>
      </c>
      <c r="G7" s="9">
        <f>Subindices_v4!I7</f>
        <v/>
      </c>
      <c r="H7" s="9">
        <f>Subindices_v4!J7</f>
        <v/>
      </c>
      <c r="I7" s="9">
        <f>Subindices_v4!K7</f>
        <v/>
      </c>
      <c r="J7" s="9">
        <f>Subindices_v4!L7</f>
        <v/>
      </c>
      <c r="K7" s="9">
        <f>Subindices_v4!M7</f>
        <v/>
      </c>
      <c r="L7" s="9">
        <f>Subindices_v4!N7</f>
        <v/>
      </c>
      <c r="M7" s="9">
        <f>Subindices_v4!O7</f>
        <v/>
      </c>
    </row>
    <row r="8">
      <c r="A8" s="5" t="inlineStr">
        <is>
          <t>4. Inclusão Social e Protecção</t>
        </is>
      </c>
      <c r="B8" s="5">
        <f>Subindices_v4!B8</f>
        <v/>
      </c>
      <c r="C8" s="9">
        <f>Subindices_v4!E8</f>
        <v/>
      </c>
      <c r="D8" s="9">
        <f>Subindices_v4!F8</f>
        <v/>
      </c>
      <c r="E8" s="9">
        <f>Subindices_v4!G8</f>
        <v/>
      </c>
      <c r="F8" s="9">
        <f>Subindices_v4!H8</f>
        <v/>
      </c>
      <c r="G8" s="9">
        <f>Subindices_v4!I8</f>
        <v/>
      </c>
      <c r="H8" s="9">
        <f>Subindices_v4!J8</f>
        <v/>
      </c>
      <c r="I8" s="9">
        <f>Subindices_v4!K8</f>
        <v/>
      </c>
      <c r="J8" s="9">
        <f>Subindices_v4!L8</f>
        <v/>
      </c>
      <c r="K8" s="9">
        <f>Subindices_v4!M8</f>
        <v/>
      </c>
      <c r="L8" s="9">
        <f>Subindices_v4!N8</f>
        <v/>
      </c>
      <c r="M8" s="9">
        <f>Subindices_v4!O8</f>
        <v/>
      </c>
    </row>
    <row r="9">
      <c r="A9" s="5" t="inlineStr">
        <is>
          <t>5. Infraestruturas e Serviços</t>
        </is>
      </c>
      <c r="B9" s="5">
        <f>Subindices_v4!B9</f>
        <v/>
      </c>
      <c r="C9" s="9">
        <f>Subindices_v4!E9</f>
        <v/>
      </c>
      <c r="D9" s="9">
        <f>Subindices_v4!F9</f>
        <v/>
      </c>
      <c r="E9" s="9">
        <f>Subindices_v4!G9</f>
        <v/>
      </c>
      <c r="F9" s="9">
        <f>Subindices_v4!H9</f>
        <v/>
      </c>
      <c r="G9" s="9">
        <f>Subindices_v4!I9</f>
        <v/>
      </c>
      <c r="H9" s="9">
        <f>Subindices_v4!J9</f>
        <v/>
      </c>
      <c r="I9" s="9">
        <f>Subindices_v4!K9</f>
        <v/>
      </c>
      <c r="J9" s="9">
        <f>Subindices_v4!L9</f>
        <v/>
      </c>
      <c r="K9" s="9">
        <f>Subindices_v4!M9</f>
        <v/>
      </c>
      <c r="L9" s="9">
        <f>Subindices_v4!N9</f>
        <v/>
      </c>
      <c r="M9" s="9">
        <f>Subindices_v4!O9</f>
        <v/>
      </c>
    </row>
    <row r="10">
      <c r="A10" s="5" t="inlineStr">
        <is>
          <t>6. Mercado de Trabalho</t>
        </is>
      </c>
      <c r="B10" s="5">
        <f>Subindices_v4!B10</f>
        <v/>
      </c>
      <c r="C10" s="9">
        <f>Subindices_v4!E10</f>
        <v/>
      </c>
      <c r="D10" s="9">
        <f>Subindices_v4!F10</f>
        <v/>
      </c>
      <c r="E10" s="9">
        <f>Subindices_v4!G10</f>
        <v/>
      </c>
      <c r="F10" s="9">
        <f>Subindices_v4!H10</f>
        <v/>
      </c>
      <c r="G10" s="9">
        <f>Subindices_v4!I10</f>
        <v/>
      </c>
      <c r="H10" s="9">
        <f>Subindices_v4!J10</f>
        <v/>
      </c>
      <c r="I10" s="9">
        <f>Subindices_v4!K10</f>
        <v/>
      </c>
      <c r="J10" s="9">
        <f>Subindices_v4!L10</f>
        <v/>
      </c>
      <c r="K10" s="9">
        <f>Subindices_v4!M10</f>
        <v/>
      </c>
      <c r="L10" s="9">
        <f>Subindices_v4!N10</f>
        <v/>
      </c>
      <c r="M10" s="9">
        <f>Subindices_v4!O10</f>
        <v/>
      </c>
    </row>
    <row r="11">
      <c r="A11" s="5" t="inlineStr">
        <is>
          <t>7. Segurança Alimentar e Saúde</t>
        </is>
      </c>
      <c r="B11" s="5">
        <f>Subindices_v4!B11</f>
        <v/>
      </c>
      <c r="C11" s="9">
        <f>Subindices_v4!E11</f>
        <v/>
      </c>
      <c r="D11" s="9">
        <f>Subindices_v4!F11</f>
        <v/>
      </c>
      <c r="E11" s="9">
        <f>Subindices_v4!G11</f>
        <v/>
      </c>
      <c r="F11" s="9">
        <f>Subindices_v4!H11</f>
        <v/>
      </c>
      <c r="G11" s="9">
        <f>Subindices_v4!I11</f>
        <v/>
      </c>
      <c r="H11" s="9">
        <f>Subindices_v4!J11</f>
        <v/>
      </c>
      <c r="I11" s="9">
        <f>Subindices_v4!K11</f>
        <v/>
      </c>
      <c r="J11" s="9">
        <f>Subindices_v4!L11</f>
        <v/>
      </c>
      <c r="K11" s="9">
        <f>Subindices_v4!M11</f>
        <v/>
      </c>
      <c r="L11" s="9">
        <f>Subindices_v4!N11</f>
        <v/>
      </c>
      <c r="M11" s="9">
        <f>Subindices_v4!O11</f>
        <v/>
      </c>
    </row>
    <row r="12"/>
    <row r="13">
      <c r="A13" s="6" t="inlineStr">
        <is>
          <t>IGDA-BDA v4</t>
        </is>
      </c>
      <c r="C13" s="11">
        <f>IF(SUMPRODUCT((C$5:C$11&lt;&gt;"")*1)&lt;Metodologia_v4!$B$11,"",IF(SUMPRODUCT((C$5:C$11&lt;&gt;"")*(C$5:C$11&lt;=0))&gt;0,0,EXP(SUMPRODUCT(IFERROR(LN(C$5:C$11)*$B$5:$B$11,0))/SUMPRODUCT((C$5:C$11&lt;&gt;"")*$B$5:$B$11))))</f>
        <v/>
      </c>
      <c r="D13" s="11">
        <f>IF(SUMPRODUCT((D$5:D$11&lt;&gt;"")*1)&lt;Metodologia_v4!$B$11,"",IF(SUMPRODUCT((D$5:D$11&lt;&gt;"")*(D$5:D$11&lt;=0))&gt;0,0,EXP(SUMPRODUCT(IFERROR(LN(D$5:D$11)*$B$5:$B$11,0))/SUMPRODUCT((D$5:D$11&lt;&gt;"")*$B$5:$B$11))))</f>
        <v/>
      </c>
      <c r="E13" s="11">
        <f>IF(SUMPRODUCT((E$5:E$11&lt;&gt;"")*1)&lt;Metodologia_v4!$B$11,"",IF(SUMPRODUCT((E$5:E$11&lt;&gt;"")*(E$5:E$11&lt;=0))&gt;0,0,EXP(SUMPRODUCT(IFERROR(LN(E$5:E$11)*$B$5:$B$11,0))/SUMPRODUCT((E$5:E$11&lt;&gt;"")*$B$5:$B$11))))</f>
        <v/>
      </c>
      <c r="F13" s="11">
        <f>IF(SUMPRODUCT((F$5:F$11&lt;&gt;"")*1)&lt;Metodologia_v4!$B$11,"",IF(SUMPRODUCT((F$5:F$11&lt;&gt;"")*(F$5:F$11&lt;=0))&gt;0,0,EXP(SUMPRODUCT(IFERROR(LN(F$5:F$11)*$B$5:$B$11,0))/SUMPRODUCT((F$5:F$11&lt;&gt;"")*$B$5:$B$11))))</f>
        <v/>
      </c>
      <c r="G13" s="11">
        <f>IF(SUMPRODUCT((G$5:G$11&lt;&gt;"")*1)&lt;Metodologia_v4!$B$11,"",IF(SUMPRODUCT((G$5:G$11&lt;&gt;"")*(G$5:G$11&lt;=0))&gt;0,0,EXP(SUMPRODUCT(IFERROR(LN(G$5:G$11)*$B$5:$B$11,0))/SUMPRODUCT((G$5:G$11&lt;&gt;"")*$B$5:$B$11))))</f>
        <v/>
      </c>
      <c r="H13" s="11">
        <f>IF(SUMPRODUCT((H$5:H$11&lt;&gt;"")*1)&lt;Metodologia_v4!$B$11,"",IF(SUMPRODUCT((H$5:H$11&lt;&gt;"")*(H$5:H$11&lt;=0))&gt;0,0,EXP(SUMPRODUCT(IFERROR(LN(H$5:H$11)*$B$5:$B$11,0))/SUMPRODUCT((H$5:H$11&lt;&gt;"")*$B$5:$B$11))))</f>
        <v/>
      </c>
      <c r="I13" s="11">
        <f>IF(SUMPRODUCT((I$5:I$11&lt;&gt;"")*1)&lt;Metodologia_v4!$B$11,"",IF(SUMPRODUCT((I$5:I$11&lt;&gt;"")*(I$5:I$11&lt;=0))&gt;0,0,EXP(SUMPRODUCT(IFERROR(LN(I$5:I$11)*$B$5:$B$11,0))/SUMPRODUCT((I$5:I$11&lt;&gt;"")*$B$5:$B$11))))</f>
        <v/>
      </c>
      <c r="J13" s="11">
        <f>IF(SUMPRODUCT((J$5:J$11&lt;&gt;"")*1)&lt;Metodologia_v4!$B$11,"",IF(SUMPRODUCT((J$5:J$11&lt;&gt;"")*(J$5:J$11&lt;=0))&gt;0,0,EXP(SUMPRODUCT(IFERROR(LN(J$5:J$11)*$B$5:$B$11,0))/SUMPRODUCT((J$5:J$11&lt;&gt;"")*$B$5:$B$11))))</f>
        <v/>
      </c>
      <c r="K13" s="11">
        <f>IF(SUMPRODUCT((K$5:K$11&lt;&gt;"")*1)&lt;Metodologia_v4!$B$11,"",IF(SUMPRODUCT((K$5:K$11&lt;&gt;"")*(K$5:K$11&lt;=0))&gt;0,0,EXP(SUMPRODUCT(IFERROR(LN(K$5:K$11)*$B$5:$B$11,0))/SUMPRODUCT((K$5:K$11&lt;&gt;"")*$B$5:$B$11))))</f>
        <v/>
      </c>
      <c r="L13" s="11">
        <f>IF(SUMPRODUCT((L$5:L$11&lt;&gt;"")*1)&lt;Metodologia_v4!$B$11,"",IF(SUMPRODUCT((L$5:L$11&lt;&gt;"")*(L$5:L$11&lt;=0))&gt;0,0,EXP(SUMPRODUCT(IFERROR(LN(L$5:L$11)*$B$5:$B$11,0))/SUMPRODUCT((L$5:L$11&lt;&gt;"")*$B$5:$B$11))))</f>
        <v/>
      </c>
      <c r="M13" s="11">
        <f>IF(SUMPRODUCT((M$5:M$11&lt;&gt;"")*1)&lt;Metodologia_v4!$B$11,"",IF(SUMPRODUCT((M$5:M$11&lt;&gt;"")*(M$5:M$11&lt;=0))&gt;0,0,EXP(SUMPRODUCT(IFERROR(LN(M$5:M$11)*$B$5:$B$11,0))/SUMPRODUCT((M$5:M$11&lt;&gt;"")*$B$5:$B$11))))</f>
        <v/>
      </c>
    </row>
    <row r="14">
      <c r="A14" s="2" t="inlineStr">
        <is>
          <t>Classificação</t>
        </is>
      </c>
      <c r="C14" s="2">
        <f>IF(C13="","",IF(C13&gt;=70,"Bom",IF(C13&gt;=50,"Moderado","Fraco")))</f>
        <v/>
      </c>
      <c r="D14" s="2">
        <f>IF(D13="","",IF(D13&gt;=70,"Bom",IF(D13&gt;=50,"Moderado","Fraco")))</f>
        <v/>
      </c>
      <c r="E14" s="2">
        <f>IF(E13="","",IF(E13&gt;=70,"Bom",IF(E13&gt;=50,"Moderado","Fraco")))</f>
        <v/>
      </c>
      <c r="F14" s="2">
        <f>IF(F13="","",IF(F13&gt;=70,"Bom",IF(F13&gt;=50,"Moderado","Fraco")))</f>
        <v/>
      </c>
      <c r="G14" s="2">
        <f>IF(G13="","",IF(G13&gt;=70,"Bom",IF(G13&gt;=50,"Moderado","Fraco")))</f>
        <v/>
      </c>
      <c r="H14" s="2">
        <f>IF(H13="","",IF(H13&gt;=70,"Bom",IF(H13&gt;=50,"Moderado","Fraco")))</f>
        <v/>
      </c>
      <c r="I14" s="2">
        <f>IF(I13="","",IF(I13&gt;=70,"Bom",IF(I13&gt;=50,"Moderado","Fraco")))</f>
        <v/>
      </c>
      <c r="J14" s="2">
        <f>IF(J13="","",IF(J13&gt;=70,"Bom",IF(J13&gt;=50,"Moderado","Fraco")))</f>
        <v/>
      </c>
      <c r="K14" s="2">
        <f>IF(K13="","",IF(K13&gt;=70,"Bom",IF(K13&gt;=50,"Moderado","Fraco")))</f>
        <v/>
      </c>
      <c r="L14" s="2">
        <f>IF(L13="","",IF(L13&gt;=70,"Bom",IF(L13&gt;=50,"Moderado","Fraco")))</f>
        <v/>
      </c>
      <c r="M14" s="2">
        <f>IF(M13="","",IF(M13&gt;=70,"Bom",IF(M13&gt;=50,"Moderado","Fraco")))</f>
        <v/>
      </c>
    </row>
    <row r="15">
      <c r="A15" s="2" t="inlineStr">
        <is>
          <t>Variação anual (p.p.)</t>
        </is>
      </c>
      <c r="D15" s="11">
        <f>IF(OR(D13="",C13=""),"",D13-C13)</f>
        <v/>
      </c>
      <c r="E15" s="11">
        <f>IF(OR(E13="",D13=""),"",E13-D13)</f>
        <v/>
      </c>
      <c r="F15" s="11">
        <f>IF(OR(F13="",E13=""),"",F13-E13)</f>
        <v/>
      </c>
      <c r="G15" s="11">
        <f>IF(OR(G13="",F13=""),"",G13-F13)</f>
        <v/>
      </c>
      <c r="H15" s="11">
        <f>IF(OR(H13="",G13=""),"",H13-G13)</f>
        <v/>
      </c>
      <c r="I15" s="11">
        <f>IF(OR(I13="",H13=""),"",I13-H13)</f>
        <v/>
      </c>
      <c r="J15" s="11">
        <f>IF(OR(J13="",I13=""),"",J13-I13)</f>
        <v/>
      </c>
      <c r="K15" s="11">
        <f>IF(OR(K13="",J13=""),"",K13-J13)</f>
        <v/>
      </c>
      <c r="L15" s="11">
        <f>IF(OR(L13="",K13=""),"",L13-K13)</f>
        <v/>
      </c>
      <c r="M15" s="11">
        <f>IF(OR(M13="",L13=""),"",M13-L13)</f>
        <v/>
      </c>
    </row>
    <row r="16">
      <c r="A16" s="2" t="inlineStr">
        <is>
          <t>Subíndices com dados</t>
        </is>
      </c>
      <c r="C16" s="2">
        <f>SUMPRODUCT((C$5:C$11&lt;&gt;"")*1)&amp;"/7"</f>
        <v/>
      </c>
      <c r="D16" s="2">
        <f>SUMPRODUCT((D$5:D$11&lt;&gt;"")*1)&amp;"/7"</f>
        <v/>
      </c>
      <c r="E16" s="2">
        <f>SUMPRODUCT((E$5:E$11&lt;&gt;"")*1)&amp;"/7"</f>
        <v/>
      </c>
      <c r="F16" s="2">
        <f>SUMPRODUCT((F$5:F$11&lt;&gt;"")*1)&amp;"/7"</f>
        <v/>
      </c>
      <c r="G16" s="2">
        <f>SUMPRODUCT((G$5:G$11&lt;&gt;"")*1)&amp;"/7"</f>
        <v/>
      </c>
      <c r="H16" s="2">
        <f>SUMPRODUCT((H$5:H$11&lt;&gt;"")*1)&amp;"/7"</f>
        <v/>
      </c>
      <c r="I16" s="2">
        <f>SUMPRODUCT((I$5:I$11&lt;&gt;"")*1)&amp;"/7"</f>
        <v/>
      </c>
      <c r="J16" s="2">
        <f>SUMPRODUCT((J$5:J$11&lt;&gt;"")*1)&amp;"/7"</f>
        <v/>
      </c>
      <c r="K16" s="2">
        <f>SUMPRODUCT((K$5:K$11&lt;&gt;"")*1)&amp;"/7"</f>
        <v/>
      </c>
      <c r="L16" s="2">
        <f>SUMPRODUCT((L$5:L$11&lt;&gt;"")*1)&amp;"/7"</f>
        <v/>
      </c>
      <c r="M16" s="2">
        <f>SUMPRODUCT((M$5:M$11&lt;&gt;"")*1)&amp;"/7"</f>
        <v/>
      </c>
    </row>
  </sheetData>
  <conditionalFormatting sqref="C13:M1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I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8" customWidth="1" min="9" max="9"/>
  </cols>
  <sheetData>
    <row r="1">
      <c r="A1" s="1" t="inlineStr">
        <is>
          <t>Qualidade e rastreabilidade dos dados</t>
        </is>
      </c>
    </row>
    <row r="2"/>
    <row r="3"/>
    <row r="4">
      <c r="A4" s="7" t="inlineStr">
        <is>
          <t>ID</t>
        </is>
      </c>
      <c r="B4" s="7" t="inlineStr">
        <is>
          <t>Dimensão</t>
        </is>
      </c>
      <c r="C4" s="7" t="inlineStr">
        <is>
          <t>Indicador</t>
        </is>
      </c>
      <c r="D4" s="7" t="inlineStr">
        <is>
          <t>Observados</t>
        </is>
      </c>
      <c r="E4" s="7" t="inlineStr">
        <is>
          <t>Estimados</t>
        </is>
      </c>
      <c r="F4" s="7" t="inlineStr">
        <is>
          <t>Sem dado</t>
        </is>
      </c>
      <c r="G4" s="7" t="inlineStr">
        <is>
          <t>Cobertura usada</t>
        </is>
      </c>
      <c r="H4" s="7" t="inlineStr">
        <is>
          <t>Último obs.</t>
        </is>
      </c>
      <c r="I4" s="7" t="inlineStr">
        <is>
          <t>Fonte</t>
        </is>
      </c>
    </row>
    <row r="5">
      <c r="A5" s="5" t="inlineStr">
        <is>
          <t>GOV01</t>
        </is>
      </c>
      <c r="B5" s="5" t="inlineStr">
        <is>
          <t>1. Governança e Estado de Direito</t>
        </is>
      </c>
      <c r="C5" s="5" t="inlineStr">
        <is>
          <t>Índice de Percepção da Corrupção</t>
        </is>
      </c>
      <c r="D5" s="5">
        <f>COUNTIF(Flags_Ajustamento_v4!J5:T5,"OBS")</f>
        <v/>
      </c>
      <c r="E5" s="5">
        <f>COUNTIF(Flags_Ajustamento_v4!J5:T5,"EST*")</f>
        <v/>
      </c>
      <c r="F5" s="5">
        <f>COUNTIF(Flags_Ajustamento_v4!J5:T5,"SEM_DADO")</f>
        <v/>
      </c>
      <c r="G5" s="5">
        <f>COUNTIF(Flags_Ajustamento_v4!J5:T5,"&lt;&gt;SEM_DADO")&amp;"/"&amp;COUNTA(Flags_Ajustamento_v4!J$4:T$4)</f>
        <v/>
      </c>
      <c r="H5" s="5" t="n">
        <v>2024</v>
      </c>
      <c r="I5" s="5" t="inlineStr">
        <is>
          <t>Transparency International / ficheiro base</t>
        </is>
      </c>
    </row>
    <row r="6">
      <c r="A6" s="5" t="inlineStr">
        <is>
          <t>GOV02</t>
        </is>
      </c>
      <c r="B6" s="5" t="inlineStr">
        <is>
          <t>1. Governança e Estado de Direito</t>
        </is>
      </c>
      <c r="C6" s="5" t="inlineStr">
        <is>
          <t>WGI - Estado de Direito</t>
        </is>
      </c>
      <c r="D6" s="5">
        <f>COUNTIF(Flags_Ajustamento_v4!J6:T6,"OBS")</f>
        <v/>
      </c>
      <c r="E6" s="5">
        <f>COUNTIF(Flags_Ajustamento_v4!J6:T6,"EST*")</f>
        <v/>
      </c>
      <c r="F6" s="5">
        <f>COUNTIF(Flags_Ajustamento_v4!J6:T6,"SEM_DADO")</f>
        <v/>
      </c>
      <c r="G6" s="5">
        <f>COUNTIF(Flags_Ajustamento_v4!J6:T6,"&lt;&gt;SEM_DADO")&amp;"/"&amp;COUNTA(Flags_Ajustamento_v4!J$4:T$4)</f>
        <v/>
      </c>
      <c r="H6" s="5" t="n">
        <v>2024</v>
      </c>
      <c r="I6" s="5" t="inlineStr">
        <is>
          <t>Worldwide Governance Indicators</t>
        </is>
      </c>
    </row>
    <row r="7">
      <c r="A7" s="5" t="inlineStr">
        <is>
          <t>GOV03</t>
        </is>
      </c>
      <c r="B7" s="5" t="inlineStr">
        <is>
          <t>1. Governança e Estado de Direito</t>
        </is>
      </c>
      <c r="C7" s="5" t="inlineStr">
        <is>
          <t>WGI - Eficiência do Governo</t>
        </is>
      </c>
      <c r="D7" s="5">
        <f>COUNTIF(Flags_Ajustamento_v4!J7:T7,"OBS")</f>
        <v/>
      </c>
      <c r="E7" s="5">
        <f>COUNTIF(Flags_Ajustamento_v4!J7:T7,"EST*")</f>
        <v/>
      </c>
      <c r="F7" s="5">
        <f>COUNTIF(Flags_Ajustamento_v4!J7:T7,"SEM_DADO")</f>
        <v/>
      </c>
      <c r="G7" s="5">
        <f>COUNTIF(Flags_Ajustamento_v4!J7:T7,"&lt;&gt;SEM_DADO")&amp;"/"&amp;COUNTA(Flags_Ajustamento_v4!J$4:T$4)</f>
        <v/>
      </c>
      <c r="H7" s="5" t="n">
        <v>2024</v>
      </c>
      <c r="I7" s="5" t="inlineStr">
        <is>
          <t>Worldwide Governance Indicators</t>
        </is>
      </c>
    </row>
    <row r="8">
      <c r="A8" s="5" t="inlineStr">
        <is>
          <t>GOV04</t>
        </is>
      </c>
      <c r="B8" s="5" t="inlineStr">
        <is>
          <t>1. Governança e Estado de Direito</t>
        </is>
      </c>
      <c r="C8" s="5" t="inlineStr">
        <is>
          <t>WGI - Estabilidade Política</t>
        </is>
      </c>
      <c r="D8" s="5">
        <f>COUNTIF(Flags_Ajustamento_v4!J8:T8,"OBS")</f>
        <v/>
      </c>
      <c r="E8" s="5">
        <f>COUNTIF(Flags_Ajustamento_v4!J8:T8,"EST*")</f>
        <v/>
      </c>
      <c r="F8" s="5">
        <f>COUNTIF(Flags_Ajustamento_v4!J8:T8,"SEM_DADO")</f>
        <v/>
      </c>
      <c r="G8" s="5">
        <f>COUNTIF(Flags_Ajustamento_v4!J8:T8,"&lt;&gt;SEM_DADO")&amp;"/"&amp;COUNTA(Flags_Ajustamento_v4!J$4:T$4)</f>
        <v/>
      </c>
      <c r="H8" s="5" t="n">
        <v>2024</v>
      </c>
      <c r="I8" s="5" t="inlineStr">
        <is>
          <t>Worldwide Governance Indicators</t>
        </is>
      </c>
    </row>
    <row r="9">
      <c r="A9" s="5" t="inlineStr">
        <is>
          <t>GOV05</t>
        </is>
      </c>
      <c r="B9" s="5" t="inlineStr">
        <is>
          <t>1. Governança e Estado de Direito</t>
        </is>
      </c>
      <c r="C9" s="5" t="inlineStr">
        <is>
          <t>WGI - Qualidade Regulatória</t>
        </is>
      </c>
      <c r="D9" s="5">
        <f>COUNTIF(Flags_Ajustamento_v4!J9:T9,"OBS")</f>
        <v/>
      </c>
      <c r="E9" s="5">
        <f>COUNTIF(Flags_Ajustamento_v4!J9:T9,"EST*")</f>
        <v/>
      </c>
      <c r="F9" s="5">
        <f>COUNTIF(Flags_Ajustamento_v4!J9:T9,"SEM_DADO")</f>
        <v/>
      </c>
      <c r="G9" s="5">
        <f>COUNTIF(Flags_Ajustamento_v4!J9:T9,"&lt;&gt;SEM_DADO")&amp;"/"&amp;COUNTA(Flags_Ajustamento_v4!J$4:T$4)</f>
        <v/>
      </c>
      <c r="H9" s="5" t="n">
        <v>2024</v>
      </c>
      <c r="I9" s="5" t="inlineStr">
        <is>
          <t>Worldwide Governance Indicators</t>
        </is>
      </c>
    </row>
    <row r="10">
      <c r="A10" s="5" t="inlineStr">
        <is>
          <t>GOV06</t>
        </is>
      </c>
      <c r="B10" s="5" t="inlineStr">
        <is>
          <t>1. Governança e Estado de Direito</t>
        </is>
      </c>
      <c r="C10" s="5" t="inlineStr">
        <is>
          <t>WGI - Controlo da Corrupção</t>
        </is>
      </c>
      <c r="D10" s="5">
        <f>COUNTIF(Flags_Ajustamento_v4!J10:T10,"OBS")</f>
        <v/>
      </c>
      <c r="E10" s="5">
        <f>COUNTIF(Flags_Ajustamento_v4!J10:T10,"EST*")</f>
        <v/>
      </c>
      <c r="F10" s="5">
        <f>COUNTIF(Flags_Ajustamento_v4!J10:T10,"SEM_DADO")</f>
        <v/>
      </c>
      <c r="G10" s="5">
        <f>COUNTIF(Flags_Ajustamento_v4!J10:T10,"&lt;&gt;SEM_DADO")&amp;"/"&amp;COUNTA(Flags_Ajustamento_v4!J$4:T$4)</f>
        <v/>
      </c>
      <c r="H10" s="5" t="n">
        <v>2024</v>
      </c>
      <c r="I10" s="5" t="inlineStr">
        <is>
          <t>Worldwide Governance Indicators</t>
        </is>
      </c>
    </row>
    <row r="11">
      <c r="A11" s="5" t="inlineStr">
        <is>
          <t>MAC01</t>
        </is>
      </c>
      <c r="B11" s="5" t="inlineStr">
        <is>
          <t>2. Estabilidade Macroeconómica</t>
        </is>
      </c>
      <c r="C11" s="5" t="inlineStr">
        <is>
          <t>Crescimento real do PIB</t>
        </is>
      </c>
      <c r="D11" s="5">
        <f>COUNTIF(Flags_Ajustamento_v4!J11:T11,"OBS")</f>
        <v/>
      </c>
      <c r="E11" s="5">
        <f>COUNTIF(Flags_Ajustamento_v4!J11:T11,"EST*")</f>
        <v/>
      </c>
      <c r="F11" s="5">
        <f>COUNTIF(Flags_Ajustamento_v4!J11:T11,"SEM_DADO")</f>
        <v/>
      </c>
      <c r="G11" s="5">
        <f>COUNTIF(Flags_Ajustamento_v4!J11:T11,"&lt;&gt;SEM_DADO")&amp;"/"&amp;COUNTA(Flags_Ajustamento_v4!J$4:T$4)</f>
        <v/>
      </c>
      <c r="H11" s="5" t="n">
        <v>2024</v>
      </c>
      <c r="I11" s="5" t="inlineStr">
        <is>
          <t>Banco Mundial/WDI</t>
        </is>
      </c>
    </row>
    <row r="12">
      <c r="A12" s="5" t="inlineStr">
        <is>
          <t>MAC02</t>
        </is>
      </c>
      <c r="B12" s="5" t="inlineStr">
        <is>
          <t>2. Estabilidade Macroeconómica</t>
        </is>
      </c>
      <c r="C12" s="5" t="inlineStr">
        <is>
          <t>PIB per capita</t>
        </is>
      </c>
      <c r="D12" s="5">
        <f>COUNTIF(Flags_Ajustamento_v4!J12:T12,"OBS")</f>
        <v/>
      </c>
      <c r="E12" s="5">
        <f>COUNTIF(Flags_Ajustamento_v4!J12:T12,"EST*")</f>
        <v/>
      </c>
      <c r="F12" s="5">
        <f>COUNTIF(Flags_Ajustamento_v4!J12:T12,"SEM_DADO")</f>
        <v/>
      </c>
      <c r="G12" s="5">
        <f>COUNTIF(Flags_Ajustamento_v4!J12:T12,"&lt;&gt;SEM_DADO")&amp;"/"&amp;COUNTA(Flags_Ajustamento_v4!J$4:T$4)</f>
        <v/>
      </c>
      <c r="H12" s="5" t="n">
        <v>2024</v>
      </c>
      <c r="I12" s="5" t="inlineStr">
        <is>
          <t>Banco Mundial/WDI</t>
        </is>
      </c>
    </row>
    <row r="13">
      <c r="A13" s="5" t="inlineStr">
        <is>
          <t>MAC03</t>
        </is>
      </c>
      <c r="B13" s="5" t="inlineStr">
        <is>
          <t>2. Estabilidade Macroeconómica</t>
        </is>
      </c>
      <c r="C13" s="5" t="inlineStr">
        <is>
          <t>Inflação, preços ao consumidor</t>
        </is>
      </c>
      <c r="D13" s="5">
        <f>COUNTIF(Flags_Ajustamento_v4!J13:T13,"OBS")</f>
        <v/>
      </c>
      <c r="E13" s="5">
        <f>COUNTIF(Flags_Ajustamento_v4!J13:T13,"EST*")</f>
        <v/>
      </c>
      <c r="F13" s="5">
        <f>COUNTIF(Flags_Ajustamento_v4!J13:T13,"SEM_DADO")</f>
        <v/>
      </c>
      <c r="G13" s="5">
        <f>COUNTIF(Flags_Ajustamento_v4!J13:T13,"&lt;&gt;SEM_DADO")&amp;"/"&amp;COUNTA(Flags_Ajustamento_v4!J$4:T$4)</f>
        <v/>
      </c>
      <c r="H13" s="5" t="n">
        <v>2024</v>
      </c>
      <c r="I13" s="5" t="inlineStr">
        <is>
          <t>Banco Mundial/WDI</t>
        </is>
      </c>
    </row>
    <row r="14">
      <c r="A14" s="5" t="inlineStr">
        <is>
          <t>MAC04</t>
        </is>
      </c>
      <c r="B14" s="5" t="inlineStr">
        <is>
          <t>2. Estabilidade Macroeconómica</t>
        </is>
      </c>
      <c r="C14" s="5" t="inlineStr">
        <is>
          <t>Dívida pública do governo central</t>
        </is>
      </c>
      <c r="D14" s="5">
        <f>COUNTIF(Flags_Ajustamento_v4!J14:T14,"OBS")</f>
        <v/>
      </c>
      <c r="E14" s="5">
        <f>COUNTIF(Flags_Ajustamento_v4!J14:T14,"EST*")</f>
        <v/>
      </c>
      <c r="F14" s="5">
        <f>COUNTIF(Flags_Ajustamento_v4!J14:T14,"SEM_DADO")</f>
        <v/>
      </c>
      <c r="G14" s="5">
        <f>COUNTIF(Flags_Ajustamento_v4!J14:T14,"&lt;&gt;SEM_DADO")&amp;"/"&amp;COUNTA(Flags_Ajustamento_v4!J$4:T$4)</f>
        <v/>
      </c>
      <c r="H14" s="5" t="n">
        <v>2025</v>
      </c>
      <c r="I14" s="5" t="inlineStr">
        <is>
          <t>Banco Mundial/WDI</t>
        </is>
      </c>
    </row>
    <row r="15">
      <c r="A15" s="5" t="inlineStr">
        <is>
          <t>MAC05</t>
        </is>
      </c>
      <c r="B15" s="5" t="inlineStr">
        <is>
          <t>2. Estabilidade Macroeconómica</t>
        </is>
      </c>
      <c r="C15" s="5" t="inlineStr">
        <is>
          <t>Saldo orçamental de caixa</t>
        </is>
      </c>
      <c r="D15" s="5">
        <f>COUNTIF(Flags_Ajustamento_v4!J15:T15,"OBS")</f>
        <v/>
      </c>
      <c r="E15" s="5">
        <f>COUNTIF(Flags_Ajustamento_v4!J15:T15,"EST*")</f>
        <v/>
      </c>
      <c r="F15" s="5">
        <f>COUNTIF(Flags_Ajustamento_v4!J15:T15,"SEM_DADO")</f>
        <v/>
      </c>
      <c r="G15" s="5">
        <f>COUNTIF(Flags_Ajustamento_v4!J15:T15,"&lt;&gt;SEM_DADO")&amp;"/"&amp;COUNTA(Flags_Ajustamento_v4!J$4:T$4)</f>
        <v/>
      </c>
      <c r="H15" s="5" t="n">
        <v>2025</v>
      </c>
      <c r="I15" s="5" t="inlineStr">
        <is>
          <t>Banco Mundial/WDI</t>
        </is>
      </c>
    </row>
    <row r="16">
      <c r="A16" s="5" t="inlineStr">
        <is>
          <t>MAC06</t>
        </is>
      </c>
      <c r="B16" s="5" t="inlineStr">
        <is>
          <t>2. Estabilidade Macroeconómica</t>
        </is>
      </c>
      <c r="C16" s="5" t="inlineStr">
        <is>
          <t>Saldo da conta corrente</t>
        </is>
      </c>
      <c r="D16" s="5">
        <f>COUNTIF(Flags_Ajustamento_v4!J16:T16,"OBS")</f>
        <v/>
      </c>
      <c r="E16" s="5">
        <f>COUNTIF(Flags_Ajustamento_v4!J16:T16,"EST*")</f>
        <v/>
      </c>
      <c r="F16" s="5">
        <f>COUNTIF(Flags_Ajustamento_v4!J16:T16,"SEM_DADO")</f>
        <v/>
      </c>
      <c r="G16" s="5">
        <f>COUNTIF(Flags_Ajustamento_v4!J16:T16,"&lt;&gt;SEM_DADO")&amp;"/"&amp;COUNTA(Flags_Ajustamento_v4!J$4:T$4)</f>
        <v/>
      </c>
      <c r="H16" s="5" t="n">
        <v>2024</v>
      </c>
      <c r="I16" s="5" t="inlineStr">
        <is>
          <t>Banco Mundial/WDI</t>
        </is>
      </c>
    </row>
    <row r="17">
      <c r="A17" s="5" t="inlineStr">
        <is>
          <t>MAC07</t>
        </is>
      </c>
      <c r="B17" s="5" t="inlineStr">
        <is>
          <t>2. Estabilidade Macroeconómica</t>
        </is>
      </c>
      <c r="C17" s="5" t="inlineStr">
        <is>
          <t>Reservas internacionais</t>
        </is>
      </c>
      <c r="D17" s="5">
        <f>COUNTIF(Flags_Ajustamento_v4!J17:T17,"OBS")</f>
        <v/>
      </c>
      <c r="E17" s="5">
        <f>COUNTIF(Flags_Ajustamento_v4!J17:T17,"EST*")</f>
        <v/>
      </c>
      <c r="F17" s="5">
        <f>COUNTIF(Flags_Ajustamento_v4!J17:T17,"SEM_DADO")</f>
        <v/>
      </c>
      <c r="G17" s="5">
        <f>COUNTIF(Flags_Ajustamento_v4!J17:T17,"&lt;&gt;SEM_DADO")&amp;"/"&amp;COUNTA(Flags_Ajustamento_v4!J$4:T$4)</f>
        <v/>
      </c>
      <c r="H17" s="5" t="n">
        <v>2024</v>
      </c>
      <c r="I17" s="5" t="inlineStr">
        <is>
          <t>Banco Mundial/WDI</t>
        </is>
      </c>
    </row>
    <row r="18">
      <c r="A18" s="5" t="inlineStr">
        <is>
          <t>MAC08</t>
        </is>
      </c>
      <c r="B18" s="5" t="inlineStr">
        <is>
          <t>2. Estabilidade Macroeconómica</t>
        </is>
      </c>
      <c r="C18" s="5" t="inlineStr">
        <is>
          <t>Receita fiscal</t>
        </is>
      </c>
      <c r="D18" s="5">
        <f>COUNTIF(Flags_Ajustamento_v4!J18:T18,"OBS")</f>
        <v/>
      </c>
      <c r="E18" s="5">
        <f>COUNTIF(Flags_Ajustamento_v4!J18:T18,"EST*")</f>
        <v/>
      </c>
      <c r="F18" s="5">
        <f>COUNTIF(Flags_Ajustamento_v4!J18:T18,"SEM_DADO")</f>
        <v/>
      </c>
      <c r="G18" s="5">
        <f>COUNTIF(Flags_Ajustamento_v4!J18:T18,"&lt;&gt;SEM_DADO")&amp;"/"&amp;COUNTA(Flags_Ajustamento_v4!J$4:T$4)</f>
        <v/>
      </c>
      <c r="H18" s="5" t="n">
        <v>2024</v>
      </c>
      <c r="I18" s="5" t="inlineStr">
        <is>
          <t>Banco Mundial/WDI</t>
        </is>
      </c>
    </row>
    <row r="19">
      <c r="A19" s="5" t="inlineStr">
        <is>
          <t>HUM01</t>
        </is>
      </c>
      <c r="B19" s="5" t="inlineStr">
        <is>
          <t>3. Capital Humano</t>
        </is>
      </c>
      <c r="C19" s="5" t="inlineStr">
        <is>
          <t>Índice de Desenvolvimento Humano</t>
        </is>
      </c>
      <c r="D19" s="5">
        <f>COUNTIF(Flags_Ajustamento_v4!J19:T19,"OBS")</f>
        <v/>
      </c>
      <c r="E19" s="5">
        <f>COUNTIF(Flags_Ajustamento_v4!J19:T19,"EST*")</f>
        <v/>
      </c>
      <c r="F19" s="5">
        <f>COUNTIF(Flags_Ajustamento_v4!J19:T19,"SEM_DADO")</f>
        <v/>
      </c>
      <c r="G19" s="5">
        <f>COUNTIF(Flags_Ajustamento_v4!J19:T19,"&lt;&gt;SEM_DADO")&amp;"/"&amp;COUNTA(Flags_Ajustamento_v4!J$4:T$4)</f>
        <v/>
      </c>
      <c r="H19" s="5" t="n">
        <v>2023</v>
      </c>
      <c r="I19" s="5" t="inlineStr">
        <is>
          <t>PNUD/HDR / ficheiro base</t>
        </is>
      </c>
    </row>
    <row r="20">
      <c r="A20" s="5" t="inlineStr">
        <is>
          <t>HUM02</t>
        </is>
      </c>
      <c r="B20" s="5" t="inlineStr">
        <is>
          <t>3. Capital Humano</t>
        </is>
      </c>
      <c r="C20" s="5" t="inlineStr">
        <is>
          <t>Esperança de vida à nascença</t>
        </is>
      </c>
      <c r="D20" s="5">
        <f>COUNTIF(Flags_Ajustamento_v4!J20:T20,"OBS")</f>
        <v/>
      </c>
      <c r="E20" s="5">
        <f>COUNTIF(Flags_Ajustamento_v4!J20:T20,"EST*")</f>
        <v/>
      </c>
      <c r="F20" s="5">
        <f>COUNTIF(Flags_Ajustamento_v4!J20:T20,"SEM_DADO")</f>
        <v/>
      </c>
      <c r="G20" s="5">
        <f>COUNTIF(Flags_Ajustamento_v4!J20:T20,"&lt;&gt;SEM_DADO")&amp;"/"&amp;COUNTA(Flags_Ajustamento_v4!J$4:T$4)</f>
        <v/>
      </c>
      <c r="H20" s="5" t="n">
        <v>2024</v>
      </c>
      <c r="I20" s="5" t="inlineStr">
        <is>
          <t>Banco Mundial/WDI</t>
        </is>
      </c>
    </row>
    <row r="21">
      <c r="A21" s="5" t="inlineStr">
        <is>
          <t>HUM03</t>
        </is>
      </c>
      <c r="B21" s="5" t="inlineStr">
        <is>
          <t>3. Capital Humano</t>
        </is>
      </c>
      <c r="C21" s="5" t="inlineStr">
        <is>
          <t>Alfabetização adulta</t>
        </is>
      </c>
      <c r="D21" s="5">
        <f>COUNTIF(Flags_Ajustamento_v4!J21:T21,"OBS")</f>
        <v/>
      </c>
      <c r="E21" s="5">
        <f>COUNTIF(Flags_Ajustamento_v4!J21:T21,"EST*")</f>
        <v/>
      </c>
      <c r="F21" s="5">
        <f>COUNTIF(Flags_Ajustamento_v4!J21:T21,"SEM_DADO")</f>
        <v/>
      </c>
      <c r="G21" s="5">
        <f>COUNTIF(Flags_Ajustamento_v4!J21:T21,"&lt;&gt;SEM_DADO")&amp;"/"&amp;COUNTA(Flags_Ajustamento_v4!J$4:T$4)</f>
        <v/>
      </c>
      <c r="H21" s="5" t="n">
        <v>2023</v>
      </c>
      <c r="I21" s="5" t="inlineStr">
        <is>
          <t>Banco Mundial/UNESCO</t>
        </is>
      </c>
    </row>
    <row r="22">
      <c r="A22" s="5" t="inlineStr">
        <is>
          <t>HUM04</t>
        </is>
      </c>
      <c r="B22" s="5" t="inlineStr">
        <is>
          <t>3. Capital Humano</t>
        </is>
      </c>
      <c r="C22" s="5" t="inlineStr">
        <is>
          <t>Conclusão do ensino primário</t>
        </is>
      </c>
      <c r="D22" s="5">
        <f>COUNTIF(Flags_Ajustamento_v4!J22:T22,"OBS")</f>
        <v/>
      </c>
      <c r="E22" s="5">
        <f>COUNTIF(Flags_Ajustamento_v4!J22:T22,"EST*")</f>
        <v/>
      </c>
      <c r="F22" s="5">
        <f>COUNTIF(Flags_Ajustamento_v4!J22:T22,"SEM_DADO")</f>
        <v/>
      </c>
      <c r="G22" s="5">
        <f>COUNTIF(Flags_Ajustamento_v4!J22:T22,"&lt;&gt;SEM_DADO")&amp;"/"&amp;COUNTA(Flags_Ajustamento_v4!J$4:T$4)</f>
        <v/>
      </c>
      <c r="H22" s="5" t="n">
        <v>2023</v>
      </c>
      <c r="I22" s="5" t="inlineStr">
        <is>
          <t>Banco Mundial/UNESCO</t>
        </is>
      </c>
    </row>
    <row r="23">
      <c r="A23" s="5" t="inlineStr">
        <is>
          <t>HUM05</t>
        </is>
      </c>
      <c r="B23" s="5" t="inlineStr">
        <is>
          <t>3. Capital Humano</t>
        </is>
      </c>
      <c r="C23" s="5" t="inlineStr">
        <is>
          <t>Matrícula no ensino secundário</t>
        </is>
      </c>
      <c r="D23" s="5">
        <f>COUNTIF(Flags_Ajustamento_v4!J23:T23,"OBS")</f>
        <v/>
      </c>
      <c r="E23" s="5">
        <f>COUNTIF(Flags_Ajustamento_v4!J23:T23,"EST*")</f>
        <v/>
      </c>
      <c r="F23" s="5">
        <f>COUNTIF(Flags_Ajustamento_v4!J23:T23,"SEM_DADO")</f>
        <v/>
      </c>
      <c r="G23" s="5">
        <f>COUNTIF(Flags_Ajustamento_v4!J23:T23,"&lt;&gt;SEM_DADO")&amp;"/"&amp;COUNTA(Flags_Ajustamento_v4!J$4:T$4)</f>
        <v/>
      </c>
      <c r="H23" s="5" t="n">
        <v>2023</v>
      </c>
      <c r="I23" s="5" t="inlineStr">
        <is>
          <t>Banco Mundial/UNESCO</t>
        </is>
      </c>
    </row>
    <row r="24">
      <c r="A24" s="5" t="inlineStr">
        <is>
          <t>HUM06</t>
        </is>
      </c>
      <c r="B24" s="5" t="inlineStr">
        <is>
          <t>3. Capital Humano</t>
        </is>
      </c>
      <c r="C24" s="5" t="inlineStr">
        <is>
          <t>Despesa pública em educação</t>
        </is>
      </c>
      <c r="D24" s="5">
        <f>COUNTIF(Flags_Ajustamento_v4!J24:T24,"OBS")</f>
        <v/>
      </c>
      <c r="E24" s="5">
        <f>COUNTIF(Flags_Ajustamento_v4!J24:T24,"EST*")</f>
        <v/>
      </c>
      <c r="F24" s="5">
        <f>COUNTIF(Flags_Ajustamento_v4!J24:T24,"SEM_DADO")</f>
        <v/>
      </c>
      <c r="G24" s="5">
        <f>COUNTIF(Flags_Ajustamento_v4!J24:T24,"&lt;&gt;SEM_DADO")&amp;"/"&amp;COUNTA(Flags_Ajustamento_v4!J$4:T$4)</f>
        <v/>
      </c>
      <c r="H24" s="5" t="n">
        <v>2023</v>
      </c>
      <c r="I24" s="5" t="inlineStr">
        <is>
          <t>Banco Mundial/UNESCO</t>
        </is>
      </c>
    </row>
    <row r="25">
      <c r="A25" s="5" t="inlineStr">
        <is>
          <t>HUM07</t>
        </is>
      </c>
      <c r="B25" s="5" t="inlineStr">
        <is>
          <t>3. Capital Humano</t>
        </is>
      </c>
      <c r="C25" s="5" t="inlineStr">
        <is>
          <t>Mortalidade infantil</t>
        </is>
      </c>
      <c r="D25" s="5">
        <f>COUNTIF(Flags_Ajustamento_v4!J25:T25,"OBS")</f>
        <v/>
      </c>
      <c r="E25" s="5">
        <f>COUNTIF(Flags_Ajustamento_v4!J25:T25,"EST*")</f>
        <v/>
      </c>
      <c r="F25" s="5">
        <f>COUNTIF(Flags_Ajustamento_v4!J25:T25,"SEM_DADO")</f>
        <v/>
      </c>
      <c r="G25" s="5">
        <f>COUNTIF(Flags_Ajustamento_v4!J25:T25,"&lt;&gt;SEM_DADO")&amp;"/"&amp;COUNTA(Flags_Ajustamento_v4!J$4:T$4)</f>
        <v/>
      </c>
      <c r="H25" s="5" t="n">
        <v>2024</v>
      </c>
      <c r="I25" s="5" t="inlineStr">
        <is>
          <t>Banco Mundial/WDI</t>
        </is>
      </c>
    </row>
    <row r="26">
      <c r="A26" s="5" t="inlineStr">
        <is>
          <t>INC01</t>
        </is>
      </c>
      <c r="B26" s="5" t="inlineStr">
        <is>
          <t>4. Inclusão Social e Protecção</t>
        </is>
      </c>
      <c r="C26" s="5" t="inlineStr">
        <is>
          <t>Pobreza internacional</t>
        </is>
      </c>
      <c r="D26" s="5">
        <f>COUNTIF(Flags_Ajustamento_v4!J26:T26,"OBS")</f>
        <v/>
      </c>
      <c r="E26" s="5">
        <f>COUNTIF(Flags_Ajustamento_v4!J26:T26,"EST*")</f>
        <v/>
      </c>
      <c r="F26" s="5">
        <f>COUNTIF(Flags_Ajustamento_v4!J26:T26,"SEM_DADO")</f>
        <v/>
      </c>
      <c r="G26" s="5">
        <f>COUNTIF(Flags_Ajustamento_v4!J26:T26,"&lt;&gt;SEM_DADO")&amp;"/"&amp;COUNTA(Flags_Ajustamento_v4!J$4:T$4)</f>
        <v/>
      </c>
      <c r="H26" s="5" t="n">
        <v>2018</v>
      </c>
      <c r="I26" s="5" t="inlineStr">
        <is>
          <t>Banco Mundial/PIP</t>
        </is>
      </c>
    </row>
    <row r="27">
      <c r="A27" s="5" t="inlineStr">
        <is>
          <t>INC02</t>
        </is>
      </c>
      <c r="B27" s="5" t="inlineStr">
        <is>
          <t>4. Inclusão Social e Protecção</t>
        </is>
      </c>
      <c r="C27" s="5" t="inlineStr">
        <is>
          <t>Índice de Gini</t>
        </is>
      </c>
      <c r="D27" s="5">
        <f>COUNTIF(Flags_Ajustamento_v4!J27:T27,"OBS")</f>
        <v/>
      </c>
      <c r="E27" s="5">
        <f>COUNTIF(Flags_Ajustamento_v4!J27:T27,"EST*")</f>
        <v/>
      </c>
      <c r="F27" s="5">
        <f>COUNTIF(Flags_Ajustamento_v4!J27:T27,"SEM_DADO")</f>
        <v/>
      </c>
      <c r="G27" s="5">
        <f>COUNTIF(Flags_Ajustamento_v4!J27:T27,"&lt;&gt;SEM_DADO")&amp;"/"&amp;COUNTA(Flags_Ajustamento_v4!J$4:T$4)</f>
        <v/>
      </c>
      <c r="H27" s="5" t="n">
        <v>2018</v>
      </c>
      <c r="I27" s="5" t="inlineStr">
        <is>
          <t>Banco Mundial/PIP</t>
        </is>
      </c>
    </row>
    <row r="28">
      <c r="A28" s="5" t="inlineStr">
        <is>
          <t>INC03</t>
        </is>
      </c>
      <c r="B28" s="5" t="inlineStr">
        <is>
          <t>4. Inclusão Social e Protecção</t>
        </is>
      </c>
      <c r="C28" s="5" t="inlineStr">
        <is>
          <t>Rendimento dos 20% mais pobres</t>
        </is>
      </c>
      <c r="D28" s="5">
        <f>COUNTIF(Flags_Ajustamento_v4!J28:T28,"OBS")</f>
        <v/>
      </c>
      <c r="E28" s="5">
        <f>COUNTIF(Flags_Ajustamento_v4!J28:T28,"EST*")</f>
        <v/>
      </c>
      <c r="F28" s="5">
        <f>COUNTIF(Flags_Ajustamento_v4!J28:T28,"SEM_DADO")</f>
        <v/>
      </c>
      <c r="G28" s="5">
        <f>COUNTIF(Flags_Ajustamento_v4!J28:T28,"&lt;&gt;SEM_DADO")&amp;"/"&amp;COUNTA(Flags_Ajustamento_v4!J$4:T$4)</f>
        <v/>
      </c>
      <c r="H28" s="5" t="n">
        <v>2018</v>
      </c>
      <c r="I28" s="5" t="inlineStr">
        <is>
          <t>Banco Mundial/PIP</t>
        </is>
      </c>
    </row>
    <row r="29">
      <c r="A29" s="5" t="inlineStr">
        <is>
          <t>INC04</t>
        </is>
      </c>
      <c r="B29" s="5" t="inlineStr">
        <is>
          <t>4. Inclusão Social e Protecção</t>
        </is>
      </c>
      <c r="C29" s="5" t="inlineStr">
        <is>
          <t>Global Gender Gap Index</t>
        </is>
      </c>
      <c r="D29" s="5">
        <f>COUNTIF(Flags_Ajustamento_v4!J29:T29,"OBS")</f>
        <v/>
      </c>
      <c r="E29" s="5">
        <f>COUNTIF(Flags_Ajustamento_v4!J29:T29,"EST*")</f>
        <v/>
      </c>
      <c r="F29" s="5">
        <f>COUNTIF(Flags_Ajustamento_v4!J29:T29,"SEM_DADO")</f>
        <v/>
      </c>
      <c r="G29" s="5">
        <f>COUNTIF(Flags_Ajustamento_v4!J29:T29,"&lt;&gt;SEM_DADO")&amp;"/"&amp;COUNTA(Flags_Ajustamento_v4!J$4:T$4)</f>
        <v/>
      </c>
      <c r="H29" s="5" t="n">
        <v>2025</v>
      </c>
      <c r="I29" s="5" t="inlineStr">
        <is>
          <t>WEF / ficheiro base</t>
        </is>
      </c>
    </row>
    <row r="30">
      <c r="A30" s="5" t="inlineStr">
        <is>
          <t>INC05</t>
        </is>
      </c>
      <c r="B30" s="5" t="inlineStr">
        <is>
          <t>4. Inclusão Social e Protecção</t>
        </is>
      </c>
      <c r="C30" s="5" t="inlineStr">
        <is>
          <t>Participação feminina na força de trabalho</t>
        </is>
      </c>
      <c r="D30" s="5">
        <f>COUNTIF(Flags_Ajustamento_v4!J30:T30,"OBS")</f>
        <v/>
      </c>
      <c r="E30" s="5">
        <f>COUNTIF(Flags_Ajustamento_v4!J30:T30,"EST*")</f>
        <v/>
      </c>
      <c r="F30" s="5">
        <f>COUNTIF(Flags_Ajustamento_v4!J30:T30,"SEM_DADO")</f>
        <v/>
      </c>
      <c r="G30" s="5">
        <f>COUNTIF(Flags_Ajustamento_v4!J30:T30,"&lt;&gt;SEM_DADO")&amp;"/"&amp;COUNTA(Flags_Ajustamento_v4!J$4:T$4)</f>
        <v/>
      </c>
      <c r="H30" s="5" t="n">
        <v>2025</v>
      </c>
      <c r="I30" s="5" t="inlineStr">
        <is>
          <t>Banco Mundial/OIT</t>
        </is>
      </c>
    </row>
    <row r="31">
      <c r="A31" s="5" t="inlineStr">
        <is>
          <t>INC06</t>
        </is>
      </c>
      <c r="B31" s="5" t="inlineStr">
        <is>
          <t>4. Inclusão Social e Protecção</t>
        </is>
      </c>
      <c r="C31" s="5" t="inlineStr">
        <is>
          <t>Mulheres no parlamento</t>
        </is>
      </c>
      <c r="D31" s="5">
        <f>COUNTIF(Flags_Ajustamento_v4!J31:T31,"OBS")</f>
        <v/>
      </c>
      <c r="E31" s="5">
        <f>COUNTIF(Flags_Ajustamento_v4!J31:T31,"EST*")</f>
        <v/>
      </c>
      <c r="F31" s="5">
        <f>COUNTIF(Flags_Ajustamento_v4!J31:T31,"SEM_DADO")</f>
        <v/>
      </c>
      <c r="G31" s="5">
        <f>COUNTIF(Flags_Ajustamento_v4!J31:T31,"&lt;&gt;SEM_DADO")&amp;"/"&amp;COUNTA(Flags_Ajustamento_v4!J$4:T$4)</f>
        <v/>
      </c>
      <c r="H31" s="5" t="n">
        <v>2025</v>
      </c>
      <c r="I31" s="5" t="inlineStr">
        <is>
          <t>Banco Mundial/IPU</t>
        </is>
      </c>
    </row>
    <row r="32">
      <c r="A32" s="5" t="inlineStr">
        <is>
          <t>INC07</t>
        </is>
      </c>
      <c r="B32" s="5" t="inlineStr">
        <is>
          <t>4. Inclusão Social e Protecção</t>
        </is>
      </c>
      <c r="C32" s="5" t="inlineStr">
        <is>
          <t>Jovens NEET</t>
        </is>
      </c>
      <c r="D32" s="5">
        <f>COUNTIF(Flags_Ajustamento_v4!J32:T32,"OBS")</f>
        <v/>
      </c>
      <c r="E32" s="5">
        <f>COUNTIF(Flags_Ajustamento_v4!J32:T32,"EST*")</f>
        <v/>
      </c>
      <c r="F32" s="5">
        <f>COUNTIF(Flags_Ajustamento_v4!J32:T32,"SEM_DADO")</f>
        <v/>
      </c>
      <c r="G32" s="5">
        <f>COUNTIF(Flags_Ajustamento_v4!J32:T32,"&lt;&gt;SEM_DADO")&amp;"/"&amp;COUNTA(Flags_Ajustamento_v4!J$4:T$4)</f>
        <v/>
      </c>
      <c r="H32" s="5" t="n">
        <v>2024</v>
      </c>
      <c r="I32" s="5" t="inlineStr">
        <is>
          <t>Banco Mundial/OIT</t>
        </is>
      </c>
    </row>
    <row r="33">
      <c r="A33" s="5" t="inlineStr">
        <is>
          <t>INC08</t>
        </is>
      </c>
      <c r="B33" s="5" t="inlineStr">
        <is>
          <t>4. Inclusão Social e Protecção</t>
        </is>
      </c>
      <c r="C33" s="5" t="inlineStr">
        <is>
          <t>RNB per capita</t>
        </is>
      </c>
      <c r="D33" s="5">
        <f>COUNTIF(Flags_Ajustamento_v4!J33:T33,"OBS")</f>
        <v/>
      </c>
      <c r="E33" s="5">
        <f>COUNTIF(Flags_Ajustamento_v4!J33:T33,"EST*")</f>
        <v/>
      </c>
      <c r="F33" s="5">
        <f>COUNTIF(Flags_Ajustamento_v4!J33:T33,"SEM_DADO")</f>
        <v/>
      </c>
      <c r="G33" s="5">
        <f>COUNTIF(Flags_Ajustamento_v4!J33:T33,"&lt;&gt;SEM_DADO")&amp;"/"&amp;COUNTA(Flags_Ajustamento_v4!J$4:T$4)</f>
        <v/>
      </c>
      <c r="H33" s="5" t="n">
        <v>2024</v>
      </c>
      <c r="I33" s="5" t="inlineStr">
        <is>
          <t>Banco Mundial/WDI</t>
        </is>
      </c>
    </row>
    <row r="34">
      <c r="A34" s="5" t="inlineStr">
        <is>
          <t>INF01</t>
        </is>
      </c>
      <c r="B34" s="5" t="inlineStr">
        <is>
          <t>5. Infraestruturas e Serviços</t>
        </is>
      </c>
      <c r="C34" s="5" t="inlineStr">
        <is>
          <t>Acesso à eletricidade</t>
        </is>
      </c>
      <c r="D34" s="5">
        <f>COUNTIF(Flags_Ajustamento_v4!J34:T34,"OBS")</f>
        <v/>
      </c>
      <c r="E34" s="5">
        <f>COUNTIF(Flags_Ajustamento_v4!J34:T34,"EST*")</f>
        <v/>
      </c>
      <c r="F34" s="5">
        <f>COUNTIF(Flags_Ajustamento_v4!J34:T34,"SEM_DADO")</f>
        <v/>
      </c>
      <c r="G34" s="5">
        <f>COUNTIF(Flags_Ajustamento_v4!J34:T34,"&lt;&gt;SEM_DADO")&amp;"/"&amp;COUNTA(Flags_Ajustamento_v4!J$4:T$4)</f>
        <v/>
      </c>
      <c r="H34" s="5" t="n">
        <v>2023</v>
      </c>
      <c r="I34" s="5" t="inlineStr">
        <is>
          <t>Banco Mundial/IEA</t>
        </is>
      </c>
    </row>
    <row r="35">
      <c r="A35" s="5" t="inlineStr">
        <is>
          <t>INF02</t>
        </is>
      </c>
      <c r="B35" s="5" t="inlineStr">
        <is>
          <t>5. Infraestruturas e Serviços</t>
        </is>
      </c>
      <c r="C35" s="5" t="inlineStr">
        <is>
          <t>Perdas na rede elétrica</t>
        </is>
      </c>
      <c r="D35" s="5">
        <f>COUNTIF(Flags_Ajustamento_v4!J35:T35,"OBS")</f>
        <v/>
      </c>
      <c r="E35" s="5">
        <f>COUNTIF(Flags_Ajustamento_v4!J35:T35,"EST*")</f>
        <v/>
      </c>
      <c r="F35" s="5">
        <f>COUNTIF(Flags_Ajustamento_v4!J35:T35,"SEM_DADO")</f>
        <v/>
      </c>
      <c r="G35" s="5">
        <f>COUNTIF(Flags_Ajustamento_v4!J35:T35,"&lt;&gt;SEM_DADO")&amp;"/"&amp;COUNTA(Flags_Ajustamento_v4!J$4:T$4)</f>
        <v/>
      </c>
      <c r="H35" s="5" t="n">
        <v>2023</v>
      </c>
      <c r="I35" s="5" t="inlineStr">
        <is>
          <t>Banco Mundial/IEA</t>
        </is>
      </c>
    </row>
    <row r="36">
      <c r="A36" s="5" t="inlineStr">
        <is>
          <t>INF03</t>
        </is>
      </c>
      <c r="B36" s="5" t="inlineStr">
        <is>
          <t>5. Infraestruturas e Serviços</t>
        </is>
      </c>
      <c r="C36" s="5" t="inlineStr">
        <is>
          <t>Acesso a água potável básica</t>
        </is>
      </c>
      <c r="D36" s="5">
        <f>COUNTIF(Flags_Ajustamento_v4!J36:T36,"OBS")</f>
        <v/>
      </c>
      <c r="E36" s="5">
        <f>COUNTIF(Flags_Ajustamento_v4!J36:T36,"EST*")</f>
        <v/>
      </c>
      <c r="F36" s="5">
        <f>COUNTIF(Flags_Ajustamento_v4!J36:T36,"SEM_DADO")</f>
        <v/>
      </c>
      <c r="G36" s="5">
        <f>COUNTIF(Flags_Ajustamento_v4!J36:T36,"&lt;&gt;SEM_DADO")&amp;"/"&amp;COUNTA(Flags_Ajustamento_v4!J$4:T$4)</f>
        <v/>
      </c>
      <c r="H36" s="5" t="n">
        <v>2024</v>
      </c>
      <c r="I36" s="5" t="inlineStr">
        <is>
          <t>Banco Mundial/JMP</t>
        </is>
      </c>
    </row>
    <row r="37">
      <c r="A37" s="5" t="inlineStr">
        <is>
          <t>INF04</t>
        </is>
      </c>
      <c r="B37" s="5" t="inlineStr">
        <is>
          <t>5. Infraestruturas e Serviços</t>
        </is>
      </c>
      <c r="C37" s="5" t="inlineStr">
        <is>
          <t>Acesso a saneamento básico</t>
        </is>
      </c>
      <c r="D37" s="5">
        <f>COUNTIF(Flags_Ajustamento_v4!J37:T37,"OBS")</f>
        <v/>
      </c>
      <c r="E37" s="5">
        <f>COUNTIF(Flags_Ajustamento_v4!J37:T37,"EST*")</f>
        <v/>
      </c>
      <c r="F37" s="5">
        <f>COUNTIF(Flags_Ajustamento_v4!J37:T37,"SEM_DADO")</f>
        <v/>
      </c>
      <c r="G37" s="5">
        <f>COUNTIF(Flags_Ajustamento_v4!J37:T37,"&lt;&gt;SEM_DADO")&amp;"/"&amp;COUNTA(Flags_Ajustamento_v4!J$4:T$4)</f>
        <v/>
      </c>
      <c r="H37" s="5" t="n">
        <v>2022</v>
      </c>
      <c r="I37" s="5" t="inlineStr">
        <is>
          <t>Banco Mundial/JMP</t>
        </is>
      </c>
    </row>
    <row r="38">
      <c r="A38" s="5" t="inlineStr">
        <is>
          <t>INF05</t>
        </is>
      </c>
      <c r="B38" s="5" t="inlineStr">
        <is>
          <t>5. Infraestruturas e Serviços</t>
        </is>
      </c>
      <c r="C38" s="5" t="inlineStr">
        <is>
          <t>Acesso a energia limpa para cozinhar</t>
        </is>
      </c>
      <c r="D38" s="5">
        <f>COUNTIF(Flags_Ajustamento_v4!J38:T38,"OBS")</f>
        <v/>
      </c>
      <c r="E38" s="5">
        <f>COUNTIF(Flags_Ajustamento_v4!J38:T38,"EST*")</f>
        <v/>
      </c>
      <c r="F38" s="5">
        <f>COUNTIF(Flags_Ajustamento_v4!J38:T38,"SEM_DADO")</f>
        <v/>
      </c>
      <c r="G38" s="5">
        <f>COUNTIF(Flags_Ajustamento_v4!J38:T38,"&lt;&gt;SEM_DADO")&amp;"/"&amp;COUNTA(Flags_Ajustamento_v4!J$4:T$4)</f>
        <v/>
      </c>
      <c r="H38" s="5" t="n">
        <v>2023</v>
      </c>
      <c r="I38" s="5" t="inlineStr">
        <is>
          <t>Banco Mundial/OMS</t>
        </is>
      </c>
    </row>
    <row r="39">
      <c r="A39" s="5" t="inlineStr">
        <is>
          <t>INF06</t>
        </is>
      </c>
      <c r="B39" s="5" t="inlineStr">
        <is>
          <t>5. Infraestruturas e Serviços</t>
        </is>
      </c>
      <c r="C39" s="5" t="inlineStr">
        <is>
          <t>Utilizadores de internet</t>
        </is>
      </c>
      <c r="D39" s="5">
        <f>COUNTIF(Flags_Ajustamento_v4!J39:T39,"OBS")</f>
        <v/>
      </c>
      <c r="E39" s="5">
        <f>COUNTIF(Flags_Ajustamento_v4!J39:T39,"EST*")</f>
        <v/>
      </c>
      <c r="F39" s="5">
        <f>COUNTIF(Flags_Ajustamento_v4!J39:T39,"SEM_DADO")</f>
        <v/>
      </c>
      <c r="G39" s="5">
        <f>COUNTIF(Flags_Ajustamento_v4!J39:T39,"&lt;&gt;SEM_DADO")&amp;"/"&amp;COUNTA(Flags_Ajustamento_v4!J$4:T$4)</f>
        <v/>
      </c>
      <c r="H39" s="5" t="n">
        <v>2024</v>
      </c>
      <c r="I39" s="5" t="inlineStr">
        <is>
          <t>Banco Mundial/ITU</t>
        </is>
      </c>
    </row>
    <row r="40">
      <c r="A40" s="5" t="inlineStr">
        <is>
          <t>INF07</t>
        </is>
      </c>
      <c r="B40" s="5" t="inlineStr">
        <is>
          <t>5. Infraestruturas e Serviços</t>
        </is>
      </c>
      <c r="C40" s="5" t="inlineStr">
        <is>
          <t>Subscrições móveis</t>
        </is>
      </c>
      <c r="D40" s="5">
        <f>COUNTIF(Flags_Ajustamento_v4!J40:T40,"OBS")</f>
        <v/>
      </c>
      <c r="E40" s="5">
        <f>COUNTIF(Flags_Ajustamento_v4!J40:T40,"EST*")</f>
        <v/>
      </c>
      <c r="F40" s="5">
        <f>COUNTIF(Flags_Ajustamento_v4!J40:T40,"SEM_DADO")</f>
        <v/>
      </c>
      <c r="G40" s="5">
        <f>COUNTIF(Flags_Ajustamento_v4!J40:T40,"&lt;&gt;SEM_DADO")&amp;"/"&amp;COUNTA(Flags_Ajustamento_v4!J$4:T$4)</f>
        <v/>
      </c>
      <c r="H40" s="5" t="n">
        <v>2024</v>
      </c>
      <c r="I40" s="5" t="inlineStr">
        <is>
          <t>Banco Mundial/ITU</t>
        </is>
      </c>
    </row>
    <row r="41">
      <c r="A41" s="5" t="inlineStr">
        <is>
          <t>INF08</t>
        </is>
      </c>
      <c r="B41" s="5" t="inlineStr">
        <is>
          <t>5. Infraestruturas e Serviços</t>
        </is>
      </c>
      <c r="C41" s="5" t="inlineStr">
        <is>
          <t>Banda larga fixa</t>
        </is>
      </c>
      <c r="D41" s="5">
        <f>COUNTIF(Flags_Ajustamento_v4!J41:T41,"OBS")</f>
        <v/>
      </c>
      <c r="E41" s="5">
        <f>COUNTIF(Flags_Ajustamento_v4!J41:T41,"EST*")</f>
        <v/>
      </c>
      <c r="F41" s="5">
        <f>COUNTIF(Flags_Ajustamento_v4!J41:T41,"SEM_DADO")</f>
        <v/>
      </c>
      <c r="G41" s="5">
        <f>COUNTIF(Flags_Ajustamento_v4!J41:T41,"&lt;&gt;SEM_DADO")&amp;"/"&amp;COUNTA(Flags_Ajustamento_v4!J$4:T$4)</f>
        <v/>
      </c>
      <c r="H41" s="5" t="n">
        <v>2024</v>
      </c>
      <c r="I41" s="5" t="inlineStr">
        <is>
          <t>Banco Mundial/ITU</t>
        </is>
      </c>
    </row>
    <row r="42">
      <c r="A42" s="5" t="inlineStr">
        <is>
          <t>INF09</t>
        </is>
      </c>
      <c r="B42" s="5" t="inlineStr">
        <is>
          <t>5. Infraestruturas e Serviços</t>
        </is>
      </c>
      <c r="C42" s="5" t="inlineStr">
        <is>
          <t>Densidade rodoviária</t>
        </is>
      </c>
      <c r="D42" s="5">
        <f>COUNTIF(Flags_Ajustamento_v4!J42:T42,"OBS")</f>
        <v/>
      </c>
      <c r="E42" s="5">
        <f>COUNTIF(Flags_Ajustamento_v4!J42:T42,"EST*")</f>
        <v/>
      </c>
      <c r="F42" s="5">
        <f>COUNTIF(Flags_Ajustamento_v4!J42:T42,"SEM_DADO")</f>
        <v/>
      </c>
      <c r="G42" s="5">
        <f>COUNTIF(Flags_Ajustamento_v4!J42:T42,"&lt;&gt;SEM_DADO")&amp;"/"&amp;COUNTA(Flags_Ajustamento_v4!J$4:T$4)</f>
        <v/>
      </c>
      <c r="H42" s="5" t="n">
        <v>2024</v>
      </c>
      <c r="I42" s="5" t="inlineStr">
        <is>
          <t>MINTRANS / ficheiro base</t>
        </is>
      </c>
    </row>
    <row r="43">
      <c r="A43" s="5" t="inlineStr">
        <is>
          <t>LAB01</t>
        </is>
      </c>
      <c r="B43" s="5" t="inlineStr">
        <is>
          <t>6. Mercado de Trabalho</t>
        </is>
      </c>
      <c r="C43" s="5" t="inlineStr">
        <is>
          <t>Taxa de emprego</t>
        </is>
      </c>
      <c r="D43" s="5">
        <f>COUNTIF(Flags_Ajustamento_v4!J43:T43,"OBS")</f>
        <v/>
      </c>
      <c r="E43" s="5">
        <f>COUNTIF(Flags_Ajustamento_v4!J43:T43,"EST*")</f>
        <v/>
      </c>
      <c r="F43" s="5">
        <f>COUNTIF(Flags_Ajustamento_v4!J43:T43,"SEM_DADO")</f>
        <v/>
      </c>
      <c r="G43" s="5">
        <f>COUNTIF(Flags_Ajustamento_v4!J43:T43,"&lt;&gt;SEM_DADO")&amp;"/"&amp;COUNTA(Flags_Ajustamento_v4!J$4:T$4)</f>
        <v/>
      </c>
      <c r="H43" s="5" t="n">
        <v>2025</v>
      </c>
      <c r="I43" s="5" t="inlineStr">
        <is>
          <t>Banco Mundial/OIT</t>
        </is>
      </c>
    </row>
    <row r="44">
      <c r="A44" s="5" t="inlineStr">
        <is>
          <t>LAB02</t>
        </is>
      </c>
      <c r="B44" s="5" t="inlineStr">
        <is>
          <t>6. Mercado de Trabalho</t>
        </is>
      </c>
      <c r="C44" s="5" t="inlineStr">
        <is>
          <t>Taxa de desemprego</t>
        </is>
      </c>
      <c r="D44" s="5">
        <f>COUNTIF(Flags_Ajustamento_v4!J44:T44,"OBS")</f>
        <v/>
      </c>
      <c r="E44" s="5">
        <f>COUNTIF(Flags_Ajustamento_v4!J44:T44,"EST*")</f>
        <v/>
      </c>
      <c r="F44" s="5">
        <f>COUNTIF(Flags_Ajustamento_v4!J44:T44,"SEM_DADO")</f>
        <v/>
      </c>
      <c r="G44" s="5">
        <f>COUNTIF(Flags_Ajustamento_v4!J44:T44,"&lt;&gt;SEM_DADO")&amp;"/"&amp;COUNTA(Flags_Ajustamento_v4!J$4:T$4)</f>
        <v/>
      </c>
      <c r="H44" s="5" t="n">
        <v>2025</v>
      </c>
      <c r="I44" s="5" t="inlineStr">
        <is>
          <t>Banco Mundial/OIT</t>
        </is>
      </c>
    </row>
    <row r="45">
      <c r="A45" s="5" t="inlineStr">
        <is>
          <t>LAB03</t>
        </is>
      </c>
      <c r="B45" s="5" t="inlineStr">
        <is>
          <t>6. Mercado de Trabalho</t>
        </is>
      </c>
      <c r="C45" s="5" t="inlineStr">
        <is>
          <t>Desemprego juvenil</t>
        </is>
      </c>
      <c r="D45" s="5">
        <f>COUNTIF(Flags_Ajustamento_v4!J45:T45,"OBS")</f>
        <v/>
      </c>
      <c r="E45" s="5">
        <f>COUNTIF(Flags_Ajustamento_v4!J45:T45,"EST*")</f>
        <v/>
      </c>
      <c r="F45" s="5">
        <f>COUNTIF(Flags_Ajustamento_v4!J45:T45,"SEM_DADO")</f>
        <v/>
      </c>
      <c r="G45" s="5">
        <f>COUNTIF(Flags_Ajustamento_v4!J45:T45,"&lt;&gt;SEM_DADO")&amp;"/"&amp;COUNTA(Flags_Ajustamento_v4!J$4:T$4)</f>
        <v/>
      </c>
      <c r="H45" s="5" t="n">
        <v>2025</v>
      </c>
      <c r="I45" s="5" t="inlineStr">
        <is>
          <t>Banco Mundial/OIT</t>
        </is>
      </c>
    </row>
    <row r="46">
      <c r="A46" s="5" t="inlineStr">
        <is>
          <t>LAB04</t>
        </is>
      </c>
      <c r="B46" s="5" t="inlineStr">
        <is>
          <t>6. Mercado de Trabalho</t>
        </is>
      </c>
      <c r="C46" s="5" t="inlineStr">
        <is>
          <t>Participação na força de trabalho</t>
        </is>
      </c>
      <c r="D46" s="5">
        <f>COUNTIF(Flags_Ajustamento_v4!J46:T46,"OBS")</f>
        <v/>
      </c>
      <c r="E46" s="5">
        <f>COUNTIF(Flags_Ajustamento_v4!J46:T46,"EST*")</f>
        <v/>
      </c>
      <c r="F46" s="5">
        <f>COUNTIF(Flags_Ajustamento_v4!J46:T46,"SEM_DADO")</f>
        <v/>
      </c>
      <c r="G46" s="5">
        <f>COUNTIF(Flags_Ajustamento_v4!J46:T46,"&lt;&gt;SEM_DADO")&amp;"/"&amp;COUNTA(Flags_Ajustamento_v4!J$4:T$4)</f>
        <v/>
      </c>
      <c r="H46" s="5" t="n">
        <v>2025</v>
      </c>
      <c r="I46" s="5" t="inlineStr">
        <is>
          <t>Banco Mundial/OIT</t>
        </is>
      </c>
    </row>
    <row r="47">
      <c r="A47" s="5" t="inlineStr">
        <is>
          <t>LAB05</t>
        </is>
      </c>
      <c r="B47" s="5" t="inlineStr">
        <is>
          <t>6. Mercado de Trabalho</t>
        </is>
      </c>
      <c r="C47" s="5" t="inlineStr">
        <is>
          <t>Emprego vulnerável</t>
        </is>
      </c>
      <c r="D47" s="5">
        <f>COUNTIF(Flags_Ajustamento_v4!J47:T47,"OBS")</f>
        <v/>
      </c>
      <c r="E47" s="5">
        <f>COUNTIF(Flags_Ajustamento_v4!J47:T47,"EST*")</f>
        <v/>
      </c>
      <c r="F47" s="5">
        <f>COUNTIF(Flags_Ajustamento_v4!J47:T47,"SEM_DADO")</f>
        <v/>
      </c>
      <c r="G47" s="5">
        <f>COUNTIF(Flags_Ajustamento_v4!J47:T47,"&lt;&gt;SEM_DADO")&amp;"/"&amp;COUNTA(Flags_Ajustamento_v4!J$4:T$4)</f>
        <v/>
      </c>
      <c r="H47" s="5" t="n">
        <v>2025</v>
      </c>
      <c r="I47" s="5" t="inlineStr">
        <is>
          <t>Banco Mundial/OIT</t>
        </is>
      </c>
    </row>
    <row r="48">
      <c r="A48" s="5" t="inlineStr">
        <is>
          <t>LAB06</t>
        </is>
      </c>
      <c r="B48" s="5" t="inlineStr">
        <is>
          <t>6. Mercado de Trabalho</t>
        </is>
      </c>
      <c r="C48" s="5" t="inlineStr">
        <is>
          <t>Trabalhadores assalariados</t>
        </is>
      </c>
      <c r="D48" s="5">
        <f>COUNTIF(Flags_Ajustamento_v4!J48:T48,"OBS")</f>
        <v/>
      </c>
      <c r="E48" s="5">
        <f>COUNTIF(Flags_Ajustamento_v4!J48:T48,"EST*")</f>
        <v/>
      </c>
      <c r="F48" s="5">
        <f>COUNTIF(Flags_Ajustamento_v4!J48:T48,"SEM_DADO")</f>
        <v/>
      </c>
      <c r="G48" s="5">
        <f>COUNTIF(Flags_Ajustamento_v4!J48:T48,"&lt;&gt;SEM_DADO")&amp;"/"&amp;COUNTA(Flags_Ajustamento_v4!J$4:T$4)</f>
        <v/>
      </c>
      <c r="H48" s="5" t="n">
        <v>2025</v>
      </c>
      <c r="I48" s="5" t="inlineStr">
        <is>
          <t>Banco Mundial/OIT</t>
        </is>
      </c>
    </row>
    <row r="49">
      <c r="A49" s="5" t="inlineStr">
        <is>
          <t>LAB07</t>
        </is>
      </c>
      <c r="B49" s="5" t="inlineStr">
        <is>
          <t>6. Mercado de Trabalho</t>
        </is>
      </c>
      <c r="C49" s="5" t="inlineStr">
        <is>
          <t>PIB por pessoa empregada</t>
        </is>
      </c>
      <c r="D49" s="5">
        <f>COUNTIF(Flags_Ajustamento_v4!J49:T49,"OBS")</f>
        <v/>
      </c>
      <c r="E49" s="5">
        <f>COUNTIF(Flags_Ajustamento_v4!J49:T49,"EST*")</f>
        <v/>
      </c>
      <c r="F49" s="5">
        <f>COUNTIF(Flags_Ajustamento_v4!J49:T49,"SEM_DADO")</f>
        <v/>
      </c>
      <c r="G49" s="5">
        <f>COUNTIF(Flags_Ajustamento_v4!J49:T49,"&lt;&gt;SEM_DADO")&amp;"/"&amp;COUNTA(Flags_Ajustamento_v4!J$4:T$4)</f>
        <v/>
      </c>
      <c r="H49" s="5" t="n">
        <v>2024</v>
      </c>
      <c r="I49" s="5" t="inlineStr">
        <is>
          <t>Banco Mundial/OIT</t>
        </is>
      </c>
    </row>
    <row r="50">
      <c r="A50" s="5" t="inlineStr">
        <is>
          <t>LAB08</t>
        </is>
      </c>
      <c r="B50" s="5" t="inlineStr">
        <is>
          <t>6. Mercado de Trabalho</t>
        </is>
      </c>
      <c r="C50" s="5" t="inlineStr">
        <is>
          <t>Emprego informal</t>
        </is>
      </c>
      <c r="D50" s="5">
        <f>COUNTIF(Flags_Ajustamento_v4!J50:T50,"OBS")</f>
        <v/>
      </c>
      <c r="E50" s="5">
        <f>COUNTIF(Flags_Ajustamento_v4!J50:T50,"EST*")</f>
        <v/>
      </c>
      <c r="F50" s="5">
        <f>COUNTIF(Flags_Ajustamento_v4!J50:T50,"SEM_DADO")</f>
        <v/>
      </c>
      <c r="G50" s="5">
        <f>COUNTIF(Flags_Ajustamento_v4!J50:T50,"&lt;&gt;SEM_DADO")&amp;"/"&amp;COUNTA(Flags_Ajustamento_v4!J$4:T$4)</f>
        <v/>
      </c>
      <c r="H50" s="5" t="n">
        <v>2025</v>
      </c>
      <c r="I50" s="5" t="inlineStr">
        <is>
          <t>INE / ficheiro base</t>
        </is>
      </c>
    </row>
    <row r="51">
      <c r="A51" s="5" t="inlineStr">
        <is>
          <t>LAB09</t>
        </is>
      </c>
      <c r="B51" s="5" t="inlineStr">
        <is>
          <t>6. Mercado de Trabalho</t>
        </is>
      </c>
      <c r="C51" s="5" t="inlineStr">
        <is>
          <t>Taxa de formalização</t>
        </is>
      </c>
      <c r="D51" s="5">
        <f>COUNTIF(Flags_Ajustamento_v4!J51:T51,"OBS")</f>
        <v/>
      </c>
      <c r="E51" s="5">
        <f>COUNTIF(Flags_Ajustamento_v4!J51:T51,"EST*")</f>
        <v/>
      </c>
      <c r="F51" s="5">
        <f>COUNTIF(Flags_Ajustamento_v4!J51:T51,"SEM_DADO")</f>
        <v/>
      </c>
      <c r="G51" s="5">
        <f>COUNTIF(Flags_Ajustamento_v4!J51:T51,"&lt;&gt;SEM_DADO")&amp;"/"&amp;COUNTA(Flags_Ajustamento_v4!J$4:T$4)</f>
        <v/>
      </c>
      <c r="H51" s="5" t="n">
        <v>2025</v>
      </c>
      <c r="I51" s="5" t="inlineStr">
        <is>
          <t>INSS / ficheiro base</t>
        </is>
      </c>
    </row>
    <row r="52">
      <c r="A52" s="5" t="inlineStr">
        <is>
          <t>SAU01</t>
        </is>
      </c>
      <c r="B52" s="5" t="inlineStr">
        <is>
          <t>7. Segurança Alimentar e Saúde</t>
        </is>
      </c>
      <c r="C52" s="5" t="inlineStr">
        <is>
          <t>Prevalência de subalimentação</t>
        </is>
      </c>
      <c r="D52" s="5">
        <f>COUNTIF(Flags_Ajustamento_v4!J52:T52,"OBS")</f>
        <v/>
      </c>
      <c r="E52" s="5">
        <f>COUNTIF(Flags_Ajustamento_v4!J52:T52,"EST*")</f>
        <v/>
      </c>
      <c r="F52" s="5">
        <f>COUNTIF(Flags_Ajustamento_v4!J52:T52,"SEM_DADO")</f>
        <v/>
      </c>
      <c r="G52" s="5">
        <f>COUNTIF(Flags_Ajustamento_v4!J52:T52,"&lt;&gt;SEM_DADO")&amp;"/"&amp;COUNTA(Flags_Ajustamento_v4!J$4:T$4)</f>
        <v/>
      </c>
      <c r="H52" s="5" t="n">
        <v>2023</v>
      </c>
      <c r="I52" s="5" t="inlineStr">
        <is>
          <t>Banco Mundial/FAO</t>
        </is>
      </c>
    </row>
    <row r="53">
      <c r="A53" s="5" t="inlineStr">
        <is>
          <t>SAU02</t>
        </is>
      </c>
      <c r="B53" s="5" t="inlineStr">
        <is>
          <t>7. Segurança Alimentar e Saúde</t>
        </is>
      </c>
      <c r="C53" s="5" t="inlineStr">
        <is>
          <t>Insegurança alimentar moderada ou severa</t>
        </is>
      </c>
      <c r="D53" s="5">
        <f>COUNTIF(Flags_Ajustamento_v4!J53:T53,"OBS")</f>
        <v/>
      </c>
      <c r="E53" s="5">
        <f>COUNTIF(Flags_Ajustamento_v4!J53:T53,"EST*")</f>
        <v/>
      </c>
      <c r="F53" s="5">
        <f>COUNTIF(Flags_Ajustamento_v4!J53:T53,"SEM_DADO")</f>
        <v/>
      </c>
      <c r="G53" s="5">
        <f>COUNTIF(Flags_Ajustamento_v4!J53:T53,"&lt;&gt;SEM_DADO")&amp;"/"&amp;COUNTA(Flags_Ajustamento_v4!J$4:T$4)</f>
        <v/>
      </c>
      <c r="H53" s="5" t="n">
        <v>2021</v>
      </c>
      <c r="I53" s="5" t="inlineStr">
        <is>
          <t>Banco Mundial/FAO</t>
        </is>
      </c>
    </row>
    <row r="54">
      <c r="A54" s="5" t="inlineStr">
        <is>
          <t>SAU03</t>
        </is>
      </c>
      <c r="B54" s="5" t="inlineStr">
        <is>
          <t>7. Segurança Alimentar e Saúde</t>
        </is>
      </c>
      <c r="C54" s="5" t="inlineStr">
        <is>
          <t>Mortalidade materna</t>
        </is>
      </c>
      <c r="D54" s="5">
        <f>COUNTIF(Flags_Ajustamento_v4!J54:T54,"OBS")</f>
        <v/>
      </c>
      <c r="E54" s="5">
        <f>COUNTIF(Flags_Ajustamento_v4!J54:T54,"EST*")</f>
        <v/>
      </c>
      <c r="F54" s="5">
        <f>COUNTIF(Flags_Ajustamento_v4!J54:T54,"SEM_DADO")</f>
        <v/>
      </c>
      <c r="G54" s="5">
        <f>COUNTIF(Flags_Ajustamento_v4!J54:T54,"&lt;&gt;SEM_DADO")&amp;"/"&amp;COUNTA(Flags_Ajustamento_v4!J$4:T$4)</f>
        <v/>
      </c>
      <c r="H54" s="5" t="n">
        <v>2023</v>
      </c>
      <c r="I54" s="5" t="inlineStr">
        <is>
          <t>Banco Mundial/OMS</t>
        </is>
      </c>
    </row>
    <row r="55">
      <c r="A55" s="5" t="inlineStr">
        <is>
          <t>SAU04</t>
        </is>
      </c>
      <c r="B55" s="5" t="inlineStr">
        <is>
          <t>7. Segurança Alimentar e Saúde</t>
        </is>
      </c>
      <c r="C55" s="5" t="inlineStr">
        <is>
          <t>Mortalidade de menores de 5 anos</t>
        </is>
      </c>
      <c r="D55" s="5">
        <f>COUNTIF(Flags_Ajustamento_v4!J55:T55,"OBS")</f>
        <v/>
      </c>
      <c r="E55" s="5">
        <f>COUNTIF(Flags_Ajustamento_v4!J55:T55,"EST*")</f>
        <v/>
      </c>
      <c r="F55" s="5">
        <f>COUNTIF(Flags_Ajustamento_v4!J55:T55,"SEM_DADO")</f>
        <v/>
      </c>
      <c r="G55" s="5">
        <f>COUNTIF(Flags_Ajustamento_v4!J55:T55,"&lt;&gt;SEM_DADO")&amp;"/"&amp;COUNTA(Flags_Ajustamento_v4!J$4:T$4)</f>
        <v/>
      </c>
      <c r="H55" s="5" t="n">
        <v>2024</v>
      </c>
      <c r="I55" s="5" t="inlineStr">
        <is>
          <t>Banco Mundial/UNICEF</t>
        </is>
      </c>
    </row>
    <row r="56">
      <c r="A56" s="5" t="inlineStr">
        <is>
          <t>SAU05</t>
        </is>
      </c>
      <c r="B56" s="5" t="inlineStr">
        <is>
          <t>7. Segurança Alimentar e Saúde</t>
        </is>
      </c>
      <c r="C56" s="5" t="inlineStr">
        <is>
          <t>Despesa corrente em saúde</t>
        </is>
      </c>
      <c r="D56" s="5">
        <f>COUNTIF(Flags_Ajustamento_v4!J56:T56,"OBS")</f>
        <v/>
      </c>
      <c r="E56" s="5">
        <f>COUNTIF(Flags_Ajustamento_v4!J56:T56,"EST*")</f>
        <v/>
      </c>
      <c r="F56" s="5">
        <f>COUNTIF(Flags_Ajustamento_v4!J56:T56,"SEM_DADO")</f>
        <v/>
      </c>
      <c r="G56" s="5">
        <f>COUNTIF(Flags_Ajustamento_v4!J56:T56,"&lt;&gt;SEM_DADO")&amp;"/"&amp;COUNTA(Flags_Ajustamento_v4!J$4:T$4)</f>
        <v/>
      </c>
      <c r="H56" s="5" t="n">
        <v>2023</v>
      </c>
      <c r="I56" s="5" t="inlineStr">
        <is>
          <t>Banco Mundial/OMS</t>
        </is>
      </c>
    </row>
    <row r="57">
      <c r="A57" s="5" t="inlineStr">
        <is>
          <t>SAU06</t>
        </is>
      </c>
      <c r="B57" s="5" t="inlineStr">
        <is>
          <t>7. Segurança Alimentar e Saúde</t>
        </is>
      </c>
      <c r="C57" s="5" t="inlineStr">
        <is>
          <t>Vacinação DPT</t>
        </is>
      </c>
      <c r="D57" s="5">
        <f>COUNTIF(Flags_Ajustamento_v4!J57:T57,"OBS")</f>
        <v/>
      </c>
      <c r="E57" s="5">
        <f>COUNTIF(Flags_Ajustamento_v4!J57:T57,"EST*")</f>
        <v/>
      </c>
      <c r="F57" s="5">
        <f>COUNTIF(Flags_Ajustamento_v4!J57:T57,"SEM_DADO")</f>
        <v/>
      </c>
      <c r="G57" s="5">
        <f>COUNTIF(Flags_Ajustamento_v4!J57:T57,"&lt;&gt;SEM_DADO")&amp;"/"&amp;COUNTA(Flags_Ajustamento_v4!J$4:T$4)</f>
        <v/>
      </c>
      <c r="H57" s="5" t="n">
        <v>2024</v>
      </c>
      <c r="I57" s="5" t="inlineStr">
        <is>
          <t>Banco Mundial/OMS/UNICEF</t>
        </is>
      </c>
    </row>
    <row r="58">
      <c r="A58" s="5" t="inlineStr">
        <is>
          <t>SAU07</t>
        </is>
      </c>
      <c r="B58" s="5" t="inlineStr">
        <is>
          <t>7. Segurança Alimentar e Saúde</t>
        </is>
      </c>
      <c r="C58" s="5" t="inlineStr">
        <is>
          <t>Médicos</t>
        </is>
      </c>
      <c r="D58" s="5">
        <f>COUNTIF(Flags_Ajustamento_v4!J58:T58,"OBS")</f>
        <v/>
      </c>
      <c r="E58" s="5">
        <f>COUNTIF(Flags_Ajustamento_v4!J58:T58,"EST*")</f>
        <v/>
      </c>
      <c r="F58" s="5">
        <f>COUNTIF(Flags_Ajustamento_v4!J58:T58,"SEM_DADO")</f>
        <v/>
      </c>
      <c r="G58" s="5">
        <f>COUNTIF(Flags_Ajustamento_v4!J58:T58,"&lt;&gt;SEM_DADO")&amp;"/"&amp;COUNTA(Flags_Ajustamento_v4!J$4:T$4)</f>
        <v/>
      </c>
      <c r="H58" s="5" t="n">
        <v>2022</v>
      </c>
      <c r="I58" s="5" t="inlineStr">
        <is>
          <t>Banco Mundial/OMS</t>
        </is>
      </c>
    </row>
    <row r="59">
      <c r="A59" s="5" t="inlineStr">
        <is>
          <t>SAU08</t>
        </is>
      </c>
      <c r="B59" s="5" t="inlineStr">
        <is>
          <t>7. Segurança Alimentar e Saúde</t>
        </is>
      </c>
      <c r="C59" s="5" t="inlineStr">
        <is>
          <t>Camas hospitalares</t>
        </is>
      </c>
      <c r="D59" s="5">
        <f>COUNTIF(Flags_Ajustamento_v4!J59:T59,"OBS")</f>
        <v/>
      </c>
      <c r="E59" s="5">
        <f>COUNTIF(Flags_Ajustamento_v4!J59:T59,"EST*")</f>
        <v/>
      </c>
      <c r="F59" s="5">
        <f>COUNTIF(Flags_Ajustamento_v4!J59:T59,"SEM_DADO")</f>
        <v/>
      </c>
      <c r="G59" s="5">
        <f>COUNTIF(Flags_Ajustamento_v4!J59:T59,"&lt;&gt;SEM_DADO")&amp;"/"&amp;COUNTA(Flags_Ajustamento_v4!J$4:T$4)</f>
        <v/>
      </c>
      <c r="H59" s="5" t="n">
        <v>2019</v>
      </c>
      <c r="I59" s="5" t="inlineStr">
        <is>
          <t>Banco Mundial/OMS</t>
        </is>
      </c>
    </row>
    <row r="60">
      <c r="A60" s="5" t="inlineStr">
        <is>
          <t>SAU09</t>
        </is>
      </c>
      <c r="B60" s="5" t="inlineStr">
        <is>
          <t>7. Segurança Alimentar e Saúde</t>
        </is>
      </c>
      <c r="C60" s="5" t="inlineStr">
        <is>
          <t>Índice de produção alimentar</t>
        </is>
      </c>
      <c r="D60" s="5">
        <f>COUNTIF(Flags_Ajustamento_v4!J60:T60,"OBS")</f>
        <v/>
      </c>
      <c r="E60" s="5">
        <f>COUNTIF(Flags_Ajustamento_v4!J60:T60,"EST*")</f>
        <v/>
      </c>
      <c r="F60" s="5">
        <f>COUNTIF(Flags_Ajustamento_v4!J60:T60,"SEM_DADO")</f>
        <v/>
      </c>
      <c r="G60" s="5">
        <f>COUNTIF(Flags_Ajustamento_v4!J60:T60,"&lt;&gt;SEM_DADO")&amp;"/"&amp;COUNTA(Flags_Ajustamento_v4!J$4:T$4)</f>
        <v/>
      </c>
      <c r="H60" s="5" t="n">
        <v>2022</v>
      </c>
      <c r="I60" s="5" t="inlineStr">
        <is>
          <t>Banco Mundial/FAO</t>
        </is>
      </c>
    </row>
    <row r="61"/>
    <row r="62"/>
    <row r="63"/>
    <row r="64">
      <c r="A64" s="3" t="inlineStr">
        <is>
          <t>Resumo anual</t>
        </is>
      </c>
    </row>
    <row r="65">
      <c r="A65" s="7" t="inlineStr">
        <is>
          <t>Ano</t>
        </is>
      </c>
      <c r="B65" s="7" t="inlineStr">
        <is>
          <t>Observados</t>
        </is>
      </c>
      <c r="C65" s="7" t="inlineStr">
        <is>
          <t>Estimados</t>
        </is>
      </c>
      <c r="D65" s="7" t="inlineStr">
        <is>
          <t>Sem dado</t>
        </is>
      </c>
      <c r="E65" s="7" t="inlineStr">
        <is>
          <t>Cobertura usada</t>
        </is>
      </c>
    </row>
    <row r="66">
      <c r="A66" s="2" t="n">
        <v>2015</v>
      </c>
      <c r="B66" s="2">
        <f>COUNTIF(Flags_Ajustamento_v4!J$5:J$60,"OBS")</f>
        <v/>
      </c>
      <c r="C66" s="2">
        <f>COUNTIF(Flags_Ajustamento_v4!J$5:J$60,"EST*")</f>
        <v/>
      </c>
      <c r="D66" s="2">
        <f>COUNTIF(Flags_Ajustamento_v4!J$5:J$60,"SEM_DADO")</f>
        <v/>
      </c>
      <c r="E66" s="12">
        <f>(B66+C66)/(B66+C66+D66)</f>
        <v/>
      </c>
    </row>
    <row r="67">
      <c r="A67" s="2" t="n">
        <v>2016</v>
      </c>
      <c r="B67" s="2">
        <f>COUNTIF(Flags_Ajustamento_v4!K$5:K$60,"OBS")</f>
        <v/>
      </c>
      <c r="C67" s="2">
        <f>COUNTIF(Flags_Ajustamento_v4!K$5:K$60,"EST*")</f>
        <v/>
      </c>
      <c r="D67" s="2">
        <f>COUNTIF(Flags_Ajustamento_v4!K$5:K$60,"SEM_DADO")</f>
        <v/>
      </c>
      <c r="E67" s="12">
        <f>(B67+C67)/(B67+C67+D67)</f>
        <v/>
      </c>
    </row>
    <row r="68">
      <c r="A68" s="2" t="n">
        <v>2017</v>
      </c>
      <c r="B68" s="2">
        <f>COUNTIF(Flags_Ajustamento_v4!L$5:L$60,"OBS")</f>
        <v/>
      </c>
      <c r="C68" s="2">
        <f>COUNTIF(Flags_Ajustamento_v4!L$5:L$60,"EST*")</f>
        <v/>
      </c>
      <c r="D68" s="2">
        <f>COUNTIF(Flags_Ajustamento_v4!L$5:L$60,"SEM_DADO")</f>
        <v/>
      </c>
      <c r="E68" s="12">
        <f>(B68+C68)/(B68+C68+D68)</f>
        <v/>
      </c>
    </row>
    <row r="69">
      <c r="A69" s="2" t="n">
        <v>2018</v>
      </c>
      <c r="B69" s="2">
        <f>COUNTIF(Flags_Ajustamento_v4!M$5:M$60,"OBS")</f>
        <v/>
      </c>
      <c r="C69" s="2">
        <f>COUNTIF(Flags_Ajustamento_v4!M$5:M$60,"EST*")</f>
        <v/>
      </c>
      <c r="D69" s="2">
        <f>COUNTIF(Flags_Ajustamento_v4!M$5:M$60,"SEM_DADO")</f>
        <v/>
      </c>
      <c r="E69" s="12">
        <f>(B69+C69)/(B69+C69+D69)</f>
        <v/>
      </c>
    </row>
    <row r="70">
      <c r="A70" s="2" t="n">
        <v>2019</v>
      </c>
      <c r="B70" s="2">
        <f>COUNTIF(Flags_Ajustamento_v4!N$5:N$60,"OBS")</f>
        <v/>
      </c>
      <c r="C70" s="2">
        <f>COUNTIF(Flags_Ajustamento_v4!N$5:N$60,"EST*")</f>
        <v/>
      </c>
      <c r="D70" s="2">
        <f>COUNTIF(Flags_Ajustamento_v4!N$5:N$60,"SEM_DADO")</f>
        <v/>
      </c>
      <c r="E70" s="12">
        <f>(B70+C70)/(B70+C70+D70)</f>
        <v/>
      </c>
    </row>
    <row r="71">
      <c r="A71" s="2" t="n">
        <v>2020</v>
      </c>
      <c r="B71" s="2">
        <f>COUNTIF(Flags_Ajustamento_v4!O$5:O$60,"OBS")</f>
        <v/>
      </c>
      <c r="C71" s="2">
        <f>COUNTIF(Flags_Ajustamento_v4!O$5:O$60,"EST*")</f>
        <v/>
      </c>
      <c r="D71" s="2">
        <f>COUNTIF(Flags_Ajustamento_v4!O$5:O$60,"SEM_DADO")</f>
        <v/>
      </c>
      <c r="E71" s="12">
        <f>(B71+C71)/(B71+C71+D71)</f>
        <v/>
      </c>
    </row>
    <row r="72">
      <c r="A72" s="2" t="n">
        <v>2021</v>
      </c>
      <c r="B72" s="2">
        <f>COUNTIF(Flags_Ajustamento_v4!P$5:P$60,"OBS")</f>
        <v/>
      </c>
      <c r="C72" s="2">
        <f>COUNTIF(Flags_Ajustamento_v4!P$5:P$60,"EST*")</f>
        <v/>
      </c>
      <c r="D72" s="2">
        <f>COUNTIF(Flags_Ajustamento_v4!P$5:P$60,"SEM_DADO")</f>
        <v/>
      </c>
      <c r="E72" s="12">
        <f>(B72+C72)/(B72+C72+D72)</f>
        <v/>
      </c>
    </row>
    <row r="73">
      <c r="A73" s="2" t="n">
        <v>2022</v>
      </c>
      <c r="B73" s="2">
        <f>COUNTIF(Flags_Ajustamento_v4!Q$5:Q$60,"OBS")</f>
        <v/>
      </c>
      <c r="C73" s="2">
        <f>COUNTIF(Flags_Ajustamento_v4!Q$5:Q$60,"EST*")</f>
        <v/>
      </c>
      <c r="D73" s="2">
        <f>COUNTIF(Flags_Ajustamento_v4!Q$5:Q$60,"SEM_DADO")</f>
        <v/>
      </c>
      <c r="E73" s="12">
        <f>(B73+C73)/(B73+C73+D73)</f>
        <v/>
      </c>
    </row>
    <row r="74">
      <c r="A74" s="2" t="n">
        <v>2023</v>
      </c>
      <c r="B74" s="2">
        <f>COUNTIF(Flags_Ajustamento_v4!R$5:R$60,"OBS")</f>
        <v/>
      </c>
      <c r="C74" s="2">
        <f>COUNTIF(Flags_Ajustamento_v4!R$5:R$60,"EST*")</f>
        <v/>
      </c>
      <c r="D74" s="2">
        <f>COUNTIF(Flags_Ajustamento_v4!R$5:R$60,"SEM_DADO")</f>
        <v/>
      </c>
      <c r="E74" s="12">
        <f>(B74+C74)/(B74+C74+D74)</f>
        <v/>
      </c>
    </row>
    <row r="75">
      <c r="A75" s="2" t="n">
        <v>2024</v>
      </c>
      <c r="B75" s="2">
        <f>COUNTIF(Flags_Ajustamento_v4!S$5:S$60,"OBS")</f>
        <v/>
      </c>
      <c r="C75" s="2">
        <f>COUNTIF(Flags_Ajustamento_v4!S$5:S$60,"EST*")</f>
        <v/>
      </c>
      <c r="D75" s="2">
        <f>COUNTIF(Flags_Ajustamento_v4!S$5:S$60,"SEM_DADO")</f>
        <v/>
      </c>
      <c r="E75" s="12">
        <f>(B75+C75)/(B75+C75+D75)</f>
        <v/>
      </c>
    </row>
    <row r="76">
      <c r="A76" s="2" t="n">
        <v>2025</v>
      </c>
      <c r="B76" s="2">
        <f>COUNTIF(Flags_Ajustamento_v4!T$5:T$60,"OBS")</f>
        <v/>
      </c>
      <c r="C76" s="2">
        <f>COUNTIF(Flags_Ajustamento_v4!T$5:T$60,"EST*")</f>
        <v/>
      </c>
      <c r="D76" s="2">
        <f>COUNTIF(Flags_Ajustamento_v4!T$5:T$60,"SEM_DADO")</f>
        <v/>
      </c>
      <c r="E76" s="12">
        <f>(B76+C76)/(B76+C76+D76)</f>
        <v/>
      </c>
    </row>
  </sheetData>
  <autoFilter ref="A4:I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E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2" customWidth="1" min="3" max="3"/>
    <col width="72" customWidth="1" min="4" max="4"/>
    <col width="32" customWidth="1" min="5" max="5"/>
  </cols>
  <sheetData>
    <row r="1">
      <c r="A1" s="1" t="inlineStr">
        <is>
          <t>Fontes e links</t>
        </is>
      </c>
    </row>
    <row r="2"/>
    <row r="3"/>
    <row r="4">
      <c r="A4" s="7" t="inlineStr">
        <is>
          <t>Fonte</t>
        </is>
      </c>
      <c r="B4" s="7" t="inlineStr">
        <is>
          <t>Código/API</t>
        </is>
      </c>
      <c r="C4" s="7" t="inlineStr">
        <is>
          <t>Indicadores</t>
        </is>
      </c>
      <c r="D4" s="7" t="inlineStr">
        <is>
          <t>URL</t>
        </is>
      </c>
      <c r="E4" s="7" t="inlineStr">
        <is>
          <t>Observação</t>
        </is>
      </c>
    </row>
    <row r="5">
      <c r="A5" s="5" t="inlineStr">
        <is>
          <t>Transparency International / ficheiro base</t>
        </is>
      </c>
      <c r="B5" s="5" t="inlineStr"/>
      <c r="C5" s="5" t="inlineStr">
        <is>
          <t>Índice de Percepção da Corrupção</t>
        </is>
      </c>
      <c r="D5" s="8" t="inlineStr">
        <is>
          <t>https://www.transparency.org/en/cpi</t>
        </is>
      </c>
      <c r="E5" s="5" t="inlineStr">
        <is>
          <t>Série do ficheiro base ou fonte manual</t>
        </is>
      </c>
    </row>
    <row r="6">
      <c r="A6" s="5" t="inlineStr">
        <is>
          <t>Worldwide Governance Indicators</t>
        </is>
      </c>
      <c r="B6" s="5" t="inlineStr">
        <is>
          <t>RL.EST</t>
        </is>
      </c>
      <c r="C6" s="5" t="inlineStr">
        <is>
          <t>WGI - Estado de Direito</t>
        </is>
      </c>
      <c r="D6" s="8" t="inlineStr">
        <is>
          <t>https://datacatalogfiles.worldbank.org/ddh-published/0038026/DR0095947/wgidataset_with_sourcedata-2025.xlsx</t>
        </is>
      </c>
      <c r="E6" s="5" t="inlineStr">
        <is>
          <t>API/CSV automática</t>
        </is>
      </c>
    </row>
    <row r="7">
      <c r="A7" s="5" t="inlineStr">
        <is>
          <t>Worldwide Governance Indicators</t>
        </is>
      </c>
      <c r="B7" s="5" t="inlineStr">
        <is>
          <t>GE.EST</t>
        </is>
      </c>
      <c r="C7" s="5" t="inlineStr">
        <is>
          <t>WGI - Eficiência do Governo</t>
        </is>
      </c>
      <c r="D7" s="8" t="inlineStr">
        <is>
          <t>https://datacatalogfiles.worldbank.org/ddh-published/0038026/DR0095947/wgidataset_with_sourcedata-2025.xlsx</t>
        </is>
      </c>
      <c r="E7" s="5" t="inlineStr">
        <is>
          <t>API/CSV automática</t>
        </is>
      </c>
    </row>
    <row r="8">
      <c r="A8" s="5" t="inlineStr">
        <is>
          <t>Worldwide Governance Indicators</t>
        </is>
      </c>
      <c r="B8" s="5" t="inlineStr">
        <is>
          <t>PV.EST</t>
        </is>
      </c>
      <c r="C8" s="5" t="inlineStr">
        <is>
          <t>WGI - Estabilidade Política</t>
        </is>
      </c>
      <c r="D8" s="8" t="inlineStr">
        <is>
          <t>https://datacatalogfiles.worldbank.org/ddh-published/0038026/DR0095947/wgidataset_with_sourcedata-2025.xlsx</t>
        </is>
      </c>
      <c r="E8" s="5" t="inlineStr">
        <is>
          <t>API/CSV automática</t>
        </is>
      </c>
    </row>
    <row r="9">
      <c r="A9" s="5" t="inlineStr">
        <is>
          <t>Worldwide Governance Indicators</t>
        </is>
      </c>
      <c r="B9" s="5" t="inlineStr">
        <is>
          <t>RQ.EST</t>
        </is>
      </c>
      <c r="C9" s="5" t="inlineStr">
        <is>
          <t>WGI - Qualidade Regulatória</t>
        </is>
      </c>
      <c r="D9" s="8" t="inlineStr">
        <is>
          <t>https://datacatalogfiles.worldbank.org/ddh-published/0038026/DR0095947/wgidataset_with_sourcedata-2025.xlsx</t>
        </is>
      </c>
      <c r="E9" s="5" t="inlineStr">
        <is>
          <t>API/CSV automática</t>
        </is>
      </c>
    </row>
    <row r="10">
      <c r="A10" s="5" t="inlineStr">
        <is>
          <t>Worldwide Governance Indicators</t>
        </is>
      </c>
      <c r="B10" s="5" t="inlineStr">
        <is>
          <t>CC.EST</t>
        </is>
      </c>
      <c r="C10" s="5" t="inlineStr">
        <is>
          <t>WGI - Controlo da Corrupção</t>
        </is>
      </c>
      <c r="D10" s="8" t="inlineStr">
        <is>
          <t>https://datacatalogfiles.worldbank.org/ddh-published/0038026/DR0095947/wgidataset_with_sourcedata-2025.xlsx</t>
        </is>
      </c>
      <c r="E10" s="5" t="inlineStr">
        <is>
          <t>API/CSV automática</t>
        </is>
      </c>
    </row>
    <row r="11">
      <c r="A11" s="5" t="inlineStr">
        <is>
          <t>Banco Mundial/WDI</t>
        </is>
      </c>
      <c r="B11" s="5" t="inlineStr">
        <is>
          <t>NY.GDP.MKTP.KD.ZG</t>
        </is>
      </c>
      <c r="C11" s="5" t="inlineStr">
        <is>
          <t>Crescimento real do PIB</t>
        </is>
      </c>
      <c r="D11" s="8" t="inlineStr">
        <is>
          <t>https://data.worldbank.org/indicator/NY.GDP.MKTP.KD.ZG?locations=AO</t>
        </is>
      </c>
      <c r="E11" s="5" t="inlineStr">
        <is>
          <t>API/CSV automática</t>
        </is>
      </c>
    </row>
    <row r="12">
      <c r="A12" s="5" t="inlineStr">
        <is>
          <t>Banco Mundial/WDI</t>
        </is>
      </c>
      <c r="B12" s="5" t="inlineStr">
        <is>
          <t>NY.GDP.PCAP.CD</t>
        </is>
      </c>
      <c r="C12" s="5" t="inlineStr">
        <is>
          <t>PIB per capita</t>
        </is>
      </c>
      <c r="D12" s="8" t="inlineStr">
        <is>
          <t>https://data.worldbank.org/indicator/NY.GDP.PCAP.CD?locations=AO</t>
        </is>
      </c>
      <c r="E12" s="5" t="inlineStr">
        <is>
          <t>API/CSV automática</t>
        </is>
      </c>
    </row>
    <row r="13">
      <c r="A13" s="5" t="inlineStr">
        <is>
          <t>Banco Mundial/WDI</t>
        </is>
      </c>
      <c r="B13" s="5" t="inlineStr">
        <is>
          <t>FP.CPI.TOTL.ZG</t>
        </is>
      </c>
      <c r="C13" s="5" t="inlineStr">
        <is>
          <t>Inflação, preços ao consumidor</t>
        </is>
      </c>
      <c r="D13" s="8" t="inlineStr">
        <is>
          <t>https://data.worldbank.org/indicator/FP.CPI.TOTL.ZG?locations=AO</t>
        </is>
      </c>
      <c r="E13" s="5" t="inlineStr">
        <is>
          <t>API/CSV automática</t>
        </is>
      </c>
    </row>
    <row r="14">
      <c r="A14" s="5" t="inlineStr">
        <is>
          <t>Banco Mundial/WDI</t>
        </is>
      </c>
      <c r="B14" s="5" t="inlineStr">
        <is>
          <t>GC.DOD.TOTL.GD.ZS</t>
        </is>
      </c>
      <c r="C14" s="5" t="inlineStr">
        <is>
          <t>Dívida pública do governo central</t>
        </is>
      </c>
      <c r="D14" s="8" t="inlineStr">
        <is>
          <t>https://data.worldbank.org/indicator/GC.DOD.TOTL.GD.ZS?locations=AO</t>
        </is>
      </c>
      <c r="E14" s="5" t="inlineStr">
        <is>
          <t>API/CSV automática</t>
        </is>
      </c>
    </row>
    <row r="15">
      <c r="A15" s="5" t="inlineStr">
        <is>
          <t>Banco Mundial/WDI</t>
        </is>
      </c>
      <c r="B15" s="5" t="inlineStr">
        <is>
          <t>GC.BAL.CASH.GD.ZS</t>
        </is>
      </c>
      <c r="C15" s="5" t="inlineStr">
        <is>
          <t>Saldo orçamental de caixa</t>
        </is>
      </c>
      <c r="D15" s="8" t="inlineStr">
        <is>
          <t>https://data.worldbank.org/indicator/GC.BAL.CASH.GD.ZS?locations=AO</t>
        </is>
      </c>
      <c r="E15" s="5" t="inlineStr">
        <is>
          <t>API/CSV automática</t>
        </is>
      </c>
    </row>
    <row r="16">
      <c r="A16" s="5" t="inlineStr">
        <is>
          <t>Banco Mundial/WDI</t>
        </is>
      </c>
      <c r="B16" s="5" t="inlineStr">
        <is>
          <t>BN.CAB.XOKA.GD.ZS</t>
        </is>
      </c>
      <c r="C16" s="5" t="inlineStr">
        <is>
          <t>Saldo da conta corrente</t>
        </is>
      </c>
      <c r="D16" s="8" t="inlineStr">
        <is>
          <t>https://data.worldbank.org/indicator/BN.CAB.XOKA.GD.ZS?locations=AO</t>
        </is>
      </c>
      <c r="E16" s="5" t="inlineStr">
        <is>
          <t>API/CSV automática</t>
        </is>
      </c>
    </row>
    <row r="17">
      <c r="A17" s="5" t="inlineStr">
        <is>
          <t>Banco Mundial/WDI</t>
        </is>
      </c>
      <c r="B17" s="5" t="inlineStr">
        <is>
          <t>FI.RES.TOTL.MO</t>
        </is>
      </c>
      <c r="C17" s="5" t="inlineStr">
        <is>
          <t>Reservas internacionais</t>
        </is>
      </c>
      <c r="D17" s="8" t="inlineStr">
        <is>
          <t>https://data.worldbank.org/indicator/FI.RES.TOTL.MO?locations=AO</t>
        </is>
      </c>
      <c r="E17" s="5" t="inlineStr">
        <is>
          <t>API/CSV automática</t>
        </is>
      </c>
    </row>
    <row r="18">
      <c r="A18" s="5" t="inlineStr">
        <is>
          <t>Banco Mundial/WDI</t>
        </is>
      </c>
      <c r="B18" s="5" t="inlineStr">
        <is>
          <t>GC.TAX.TOTL.GD.ZS</t>
        </is>
      </c>
      <c r="C18" s="5" t="inlineStr">
        <is>
          <t>Receita fiscal</t>
        </is>
      </c>
      <c r="D18" s="8" t="inlineStr">
        <is>
          <t>https://data.worldbank.org/indicator/GC.TAX.TOTL.GD.ZS?locations=AO</t>
        </is>
      </c>
      <c r="E18" s="5" t="inlineStr">
        <is>
          <t>API/CSV automática</t>
        </is>
      </c>
    </row>
    <row r="19">
      <c r="A19" s="5" t="inlineStr">
        <is>
          <t>PNUD/HDR / ficheiro base</t>
        </is>
      </c>
      <c r="B19" s="5" t="inlineStr"/>
      <c r="C19" s="5" t="inlineStr">
        <is>
          <t>Índice de Desenvolvimento Humano</t>
        </is>
      </c>
      <c r="D19" s="8" t="inlineStr">
        <is>
          <t>https://hdr.undp.org/data-center</t>
        </is>
      </c>
      <c r="E19" s="5" t="inlineStr">
        <is>
          <t>Série do ficheiro base ou fonte manual</t>
        </is>
      </c>
    </row>
    <row r="20">
      <c r="A20" s="5" t="inlineStr">
        <is>
          <t>Banco Mundial/WDI</t>
        </is>
      </c>
      <c r="B20" s="5" t="inlineStr">
        <is>
          <t>SP.DYN.LE00.IN</t>
        </is>
      </c>
      <c r="C20" s="5" t="inlineStr">
        <is>
          <t>Esperança de vida à nascença</t>
        </is>
      </c>
      <c r="D20" s="8" t="inlineStr">
        <is>
          <t>https://data.worldbank.org/indicator/SP.DYN.LE00.IN?locations=AO</t>
        </is>
      </c>
      <c r="E20" s="5" t="inlineStr">
        <is>
          <t>API/CSV automática</t>
        </is>
      </c>
    </row>
    <row r="21">
      <c r="A21" s="5" t="inlineStr">
        <is>
          <t>Banco Mundial/UNESCO</t>
        </is>
      </c>
      <c r="B21" s="5" t="inlineStr">
        <is>
          <t>SE.ADT.LITR.ZS</t>
        </is>
      </c>
      <c r="C21" s="5" t="inlineStr">
        <is>
          <t>Alfabetização adulta</t>
        </is>
      </c>
      <c r="D21" s="8" t="inlineStr">
        <is>
          <t>https://data.worldbank.org/indicator/SE.ADT.LITR.ZS?locations=AO</t>
        </is>
      </c>
      <c r="E21" s="5" t="inlineStr">
        <is>
          <t>API/CSV automática</t>
        </is>
      </c>
    </row>
    <row r="22">
      <c r="A22" s="5" t="inlineStr">
        <is>
          <t>Banco Mundial/UNESCO</t>
        </is>
      </c>
      <c r="B22" s="5" t="inlineStr">
        <is>
          <t>SE.PRM.CMPT.ZS</t>
        </is>
      </c>
      <c r="C22" s="5" t="inlineStr">
        <is>
          <t>Conclusão do ensino primário</t>
        </is>
      </c>
      <c r="D22" s="8" t="inlineStr">
        <is>
          <t>https://data.worldbank.org/indicator/SE.PRM.CMPT.ZS?locations=AO</t>
        </is>
      </c>
      <c r="E22" s="5" t="inlineStr">
        <is>
          <t>API/CSV automática</t>
        </is>
      </c>
    </row>
    <row r="23">
      <c r="A23" s="5" t="inlineStr">
        <is>
          <t>Banco Mundial/UNESCO</t>
        </is>
      </c>
      <c r="B23" s="5" t="inlineStr">
        <is>
          <t>SE.SEC.ENRR</t>
        </is>
      </c>
      <c r="C23" s="5" t="inlineStr">
        <is>
          <t>Matrícula no ensino secundário</t>
        </is>
      </c>
      <c r="D23" s="8" t="inlineStr">
        <is>
          <t>https://data.worldbank.org/indicator/SE.SEC.ENRR?locations=AO</t>
        </is>
      </c>
      <c r="E23" s="5" t="inlineStr">
        <is>
          <t>API/CSV automática</t>
        </is>
      </c>
    </row>
    <row r="24">
      <c r="A24" s="5" t="inlineStr">
        <is>
          <t>Banco Mundial/UNESCO</t>
        </is>
      </c>
      <c r="B24" s="5" t="inlineStr">
        <is>
          <t>SE.XPD.TOTL.GD.ZS</t>
        </is>
      </c>
      <c r="C24" s="5" t="inlineStr">
        <is>
          <t>Despesa pública em educação</t>
        </is>
      </c>
      <c r="D24" s="8" t="inlineStr">
        <is>
          <t>https://data.worldbank.org/indicator/SE.XPD.TOTL.GD.ZS?locations=AO</t>
        </is>
      </c>
      <c r="E24" s="5" t="inlineStr">
        <is>
          <t>API/CSV automática</t>
        </is>
      </c>
    </row>
    <row r="25">
      <c r="A25" s="5" t="inlineStr">
        <is>
          <t>Banco Mundial/WDI</t>
        </is>
      </c>
      <c r="B25" s="5" t="inlineStr">
        <is>
          <t>SP.DYN.IMRT.IN</t>
        </is>
      </c>
      <c r="C25" s="5" t="inlineStr">
        <is>
          <t>Mortalidade infantil</t>
        </is>
      </c>
      <c r="D25" s="8" t="inlineStr">
        <is>
          <t>https://data.worldbank.org/indicator/SP.DYN.IMRT.IN?locations=AO</t>
        </is>
      </c>
      <c r="E25" s="5" t="inlineStr">
        <is>
          <t>API/CSV automática</t>
        </is>
      </c>
    </row>
    <row r="26">
      <c r="A26" s="5" t="inlineStr">
        <is>
          <t>Banco Mundial/PIP</t>
        </is>
      </c>
      <c r="B26" s="5" t="inlineStr">
        <is>
          <t>SI.POV.DDAY</t>
        </is>
      </c>
      <c r="C26" s="5" t="inlineStr">
        <is>
          <t>Pobreza internacional</t>
        </is>
      </c>
      <c r="D26" s="8" t="inlineStr">
        <is>
          <t>https://data.worldbank.org/indicator/SI.POV.DDAY?locations=AO</t>
        </is>
      </c>
      <c r="E26" s="5" t="inlineStr">
        <is>
          <t>API/CSV automática</t>
        </is>
      </c>
    </row>
    <row r="27">
      <c r="A27" s="5" t="inlineStr">
        <is>
          <t>Banco Mundial/PIP</t>
        </is>
      </c>
      <c r="B27" s="5" t="inlineStr">
        <is>
          <t>SI.POV.GINI</t>
        </is>
      </c>
      <c r="C27" s="5" t="inlineStr">
        <is>
          <t>Índice de Gini</t>
        </is>
      </c>
      <c r="D27" s="8" t="inlineStr">
        <is>
          <t>https://data.worldbank.org/indicator/SI.POV.GINI?locations=AO</t>
        </is>
      </c>
      <c r="E27" s="5" t="inlineStr">
        <is>
          <t>API/CSV automática</t>
        </is>
      </c>
    </row>
    <row r="28">
      <c r="A28" s="5" t="inlineStr">
        <is>
          <t>Banco Mundial/PIP</t>
        </is>
      </c>
      <c r="B28" s="5" t="inlineStr">
        <is>
          <t>SI.DST.FRST.20</t>
        </is>
      </c>
      <c r="C28" s="5" t="inlineStr">
        <is>
          <t>Rendimento dos 20% mais pobres</t>
        </is>
      </c>
      <c r="D28" s="8" t="inlineStr">
        <is>
          <t>https://data.worldbank.org/indicator/SI.DST.FRST.20?locations=AO</t>
        </is>
      </c>
      <c r="E28" s="5" t="inlineStr">
        <is>
          <t>API/CSV automática</t>
        </is>
      </c>
    </row>
    <row r="29">
      <c r="A29" s="5" t="inlineStr">
        <is>
          <t>WEF / ficheiro base</t>
        </is>
      </c>
      <c r="B29" s="5" t="inlineStr"/>
      <c r="C29" s="5" t="inlineStr">
        <is>
          <t>Global Gender Gap Index</t>
        </is>
      </c>
      <c r="D29" s="8" t="inlineStr">
        <is>
          <t>https://www.weforum.org/publications/global-gender-gap-report-2025/</t>
        </is>
      </c>
      <c r="E29" s="5" t="inlineStr">
        <is>
          <t>Série do ficheiro base ou fonte manual</t>
        </is>
      </c>
    </row>
    <row r="30">
      <c r="A30" s="5" t="inlineStr">
        <is>
          <t>Banco Mundial/OIT</t>
        </is>
      </c>
      <c r="B30" s="5" t="inlineStr">
        <is>
          <t>SL.TLF.CACT.FE.ZS</t>
        </is>
      </c>
      <c r="C30" s="5" t="inlineStr">
        <is>
          <t>Participação feminina na força de trabalho</t>
        </is>
      </c>
      <c r="D30" s="8" t="inlineStr">
        <is>
          <t>https://data.worldbank.org/indicator/SL.TLF.CACT.FE.ZS?locations=AO</t>
        </is>
      </c>
      <c r="E30" s="5" t="inlineStr">
        <is>
          <t>API/CSV automática</t>
        </is>
      </c>
    </row>
    <row r="31">
      <c r="A31" s="5" t="inlineStr">
        <is>
          <t>Banco Mundial/IPU</t>
        </is>
      </c>
      <c r="B31" s="5" t="inlineStr">
        <is>
          <t>SG.GEN.PARL.ZS</t>
        </is>
      </c>
      <c r="C31" s="5" t="inlineStr">
        <is>
          <t>Mulheres no parlamento</t>
        </is>
      </c>
      <c r="D31" s="8" t="inlineStr">
        <is>
          <t>https://data.worldbank.org/indicator/SG.GEN.PARL.ZS?locations=AO</t>
        </is>
      </c>
      <c r="E31" s="5" t="inlineStr">
        <is>
          <t>API/CSV automática</t>
        </is>
      </c>
    </row>
    <row r="32">
      <c r="A32" s="5" t="inlineStr">
        <is>
          <t>Banco Mundial/OIT</t>
        </is>
      </c>
      <c r="B32" s="5" t="inlineStr">
        <is>
          <t>SL.UEM.NEET.ZS</t>
        </is>
      </c>
      <c r="C32" s="5" t="inlineStr">
        <is>
          <t>Jovens NEET</t>
        </is>
      </c>
      <c r="D32" s="8" t="inlineStr">
        <is>
          <t>https://data.worldbank.org/indicator/SL.UEM.NEET.ZS?locations=AO</t>
        </is>
      </c>
      <c r="E32" s="5" t="inlineStr">
        <is>
          <t>API/CSV automática</t>
        </is>
      </c>
    </row>
    <row r="33">
      <c r="A33" s="5" t="inlineStr">
        <is>
          <t>Banco Mundial/WDI</t>
        </is>
      </c>
      <c r="B33" s="5" t="inlineStr">
        <is>
          <t>NY.GNP.PCAP.CD</t>
        </is>
      </c>
      <c r="C33" s="5" t="inlineStr">
        <is>
          <t>RNB per capita</t>
        </is>
      </c>
      <c r="D33" s="8" t="inlineStr">
        <is>
          <t>https://data.worldbank.org/indicator/NY.GNP.PCAP.CD?locations=AO</t>
        </is>
      </c>
      <c r="E33" s="5" t="inlineStr">
        <is>
          <t>API/CSV automática</t>
        </is>
      </c>
    </row>
    <row r="34">
      <c r="A34" s="5" t="inlineStr">
        <is>
          <t>Banco Mundial/IEA</t>
        </is>
      </c>
      <c r="B34" s="5" t="inlineStr">
        <is>
          <t>EG.ELC.ACCS.ZS</t>
        </is>
      </c>
      <c r="C34" s="5" t="inlineStr">
        <is>
          <t>Acesso à eletricidade</t>
        </is>
      </c>
      <c r="D34" s="8" t="inlineStr">
        <is>
          <t>https://data.worldbank.org/indicator/EG.ELC.ACCS.ZS?locations=AO</t>
        </is>
      </c>
      <c r="E34" s="5" t="inlineStr">
        <is>
          <t>API/CSV automática</t>
        </is>
      </c>
    </row>
    <row r="35">
      <c r="A35" s="5" t="inlineStr">
        <is>
          <t>Banco Mundial/IEA</t>
        </is>
      </c>
      <c r="B35" s="5" t="inlineStr">
        <is>
          <t>EG.ELC.LOSS.ZS</t>
        </is>
      </c>
      <c r="C35" s="5" t="inlineStr">
        <is>
          <t>Perdas na rede elétrica</t>
        </is>
      </c>
      <c r="D35" s="8" t="inlineStr">
        <is>
          <t>https://data.worldbank.org/indicator/EG.ELC.LOSS.ZS?locations=AO</t>
        </is>
      </c>
      <c r="E35" s="5" t="inlineStr">
        <is>
          <t>API/CSV automática</t>
        </is>
      </c>
    </row>
    <row r="36">
      <c r="A36" s="5" t="inlineStr">
        <is>
          <t>Banco Mundial/JMP</t>
        </is>
      </c>
      <c r="B36" s="5" t="inlineStr">
        <is>
          <t>SH.H2O.BASW.ZS</t>
        </is>
      </c>
      <c r="C36" s="5" t="inlineStr">
        <is>
          <t>Acesso a água potável básica</t>
        </is>
      </c>
      <c r="D36" s="8" t="inlineStr">
        <is>
          <t>https://data.worldbank.org/indicator/SH.H2O.BASW.ZS?locations=AO</t>
        </is>
      </c>
      <c r="E36" s="5" t="inlineStr">
        <is>
          <t>API/CSV automática</t>
        </is>
      </c>
    </row>
    <row r="37">
      <c r="A37" s="5" t="inlineStr">
        <is>
          <t>Banco Mundial/JMP</t>
        </is>
      </c>
      <c r="B37" s="5" t="inlineStr">
        <is>
          <t>SH.STA.BASS.ZS</t>
        </is>
      </c>
      <c r="C37" s="5" t="inlineStr">
        <is>
          <t>Acesso a saneamento básico</t>
        </is>
      </c>
      <c r="D37" s="8" t="inlineStr">
        <is>
          <t>https://data.worldbank.org/indicator/SH.STA.BASS.ZS?locations=AO</t>
        </is>
      </c>
      <c r="E37" s="5" t="inlineStr">
        <is>
          <t>API/CSV automática</t>
        </is>
      </c>
    </row>
    <row r="38">
      <c r="A38" s="5" t="inlineStr">
        <is>
          <t>Banco Mundial/OMS</t>
        </is>
      </c>
      <c r="B38" s="5" t="inlineStr">
        <is>
          <t>EG.CFT.ACCS.ZS</t>
        </is>
      </c>
      <c r="C38" s="5" t="inlineStr">
        <is>
          <t>Acesso a energia limpa para cozinhar</t>
        </is>
      </c>
      <c r="D38" s="8" t="inlineStr">
        <is>
          <t>https://data.worldbank.org/indicator/EG.CFT.ACCS.ZS?locations=AO</t>
        </is>
      </c>
      <c r="E38" s="5" t="inlineStr">
        <is>
          <t>API/CSV automática</t>
        </is>
      </c>
    </row>
    <row r="39">
      <c r="A39" s="5" t="inlineStr">
        <is>
          <t>Banco Mundial/ITU</t>
        </is>
      </c>
      <c r="B39" s="5" t="inlineStr">
        <is>
          <t>IT.NET.USER.ZS</t>
        </is>
      </c>
      <c r="C39" s="5" t="inlineStr">
        <is>
          <t>Utilizadores de internet</t>
        </is>
      </c>
      <c r="D39" s="8" t="inlineStr">
        <is>
          <t>https://data.worldbank.org/indicator/IT.NET.USER.ZS?locations=AO</t>
        </is>
      </c>
      <c r="E39" s="5" t="inlineStr">
        <is>
          <t>API/CSV automática</t>
        </is>
      </c>
    </row>
    <row r="40">
      <c r="A40" s="5" t="inlineStr">
        <is>
          <t>Banco Mundial/ITU</t>
        </is>
      </c>
      <c r="B40" s="5" t="inlineStr">
        <is>
          <t>IT.CEL.SETS.P2</t>
        </is>
      </c>
      <c r="C40" s="5" t="inlineStr">
        <is>
          <t>Subscrições móveis</t>
        </is>
      </c>
      <c r="D40" s="8" t="inlineStr">
        <is>
          <t>https://data.worldbank.org/indicator/IT.CEL.SETS.P2?locations=AO</t>
        </is>
      </c>
      <c r="E40" s="5" t="inlineStr">
        <is>
          <t>API/CSV automática</t>
        </is>
      </c>
    </row>
    <row r="41">
      <c r="A41" s="5" t="inlineStr">
        <is>
          <t>Banco Mundial/ITU</t>
        </is>
      </c>
      <c r="B41" s="5" t="inlineStr">
        <is>
          <t>IT.NET.BBND.P2</t>
        </is>
      </c>
      <c r="C41" s="5" t="inlineStr">
        <is>
          <t>Banda larga fixa</t>
        </is>
      </c>
      <c r="D41" s="8" t="inlineStr">
        <is>
          <t>https://data.worldbank.org/indicator/IT.NET.BBND.P2?locations=AO</t>
        </is>
      </c>
      <c r="E41" s="5" t="inlineStr">
        <is>
          <t>API/CSV automática</t>
        </is>
      </c>
    </row>
    <row r="42">
      <c r="A42" s="5" t="inlineStr">
        <is>
          <t>MINTRANS / ficheiro base</t>
        </is>
      </c>
      <c r="B42" s="5" t="inlineStr"/>
      <c r="C42" s="5" t="inlineStr">
        <is>
          <t>Densidade rodoviária</t>
        </is>
      </c>
      <c r="D42" s="5" t="inlineStr"/>
      <c r="E42" s="5" t="inlineStr">
        <is>
          <t>Série do ficheiro base ou fonte manual</t>
        </is>
      </c>
    </row>
    <row r="43">
      <c r="A43" s="5" t="inlineStr">
        <is>
          <t>Banco Mundial/OIT</t>
        </is>
      </c>
      <c r="B43" s="5" t="inlineStr">
        <is>
          <t>SL.EMP.TOTL.SP.ZS</t>
        </is>
      </c>
      <c r="C43" s="5" t="inlineStr">
        <is>
          <t>Taxa de emprego</t>
        </is>
      </c>
      <c r="D43" s="8" t="inlineStr">
        <is>
          <t>https://data.worldbank.org/indicator/SL.EMP.TOTL.SP.ZS?locations=AO</t>
        </is>
      </c>
      <c r="E43" s="5" t="inlineStr">
        <is>
          <t>API/CSV automática</t>
        </is>
      </c>
    </row>
    <row r="44">
      <c r="A44" s="5" t="inlineStr">
        <is>
          <t>Banco Mundial/OIT</t>
        </is>
      </c>
      <c r="B44" s="5" t="inlineStr">
        <is>
          <t>SL.UEM.TOTL.ZS</t>
        </is>
      </c>
      <c r="C44" s="5" t="inlineStr">
        <is>
          <t>Taxa de desemprego</t>
        </is>
      </c>
      <c r="D44" s="8" t="inlineStr">
        <is>
          <t>https://data.worldbank.org/indicator/SL.UEM.TOTL.ZS?locations=AO</t>
        </is>
      </c>
      <c r="E44" s="5" t="inlineStr">
        <is>
          <t>API/CSV automática</t>
        </is>
      </c>
    </row>
    <row r="45">
      <c r="A45" s="5" t="inlineStr">
        <is>
          <t>Banco Mundial/OIT</t>
        </is>
      </c>
      <c r="B45" s="5" t="inlineStr">
        <is>
          <t>SL.UEM.1524.ZS</t>
        </is>
      </c>
      <c r="C45" s="5" t="inlineStr">
        <is>
          <t>Desemprego juvenil</t>
        </is>
      </c>
      <c r="D45" s="8" t="inlineStr">
        <is>
          <t>https://data.worldbank.org/indicator/SL.UEM.1524.ZS?locations=AO</t>
        </is>
      </c>
      <c r="E45" s="5" t="inlineStr">
        <is>
          <t>API/CSV automática</t>
        </is>
      </c>
    </row>
    <row r="46">
      <c r="A46" s="5" t="inlineStr">
        <is>
          <t>Banco Mundial/OIT</t>
        </is>
      </c>
      <c r="B46" s="5" t="inlineStr">
        <is>
          <t>SL.TLF.CACT.ZS</t>
        </is>
      </c>
      <c r="C46" s="5" t="inlineStr">
        <is>
          <t>Participação na força de trabalho</t>
        </is>
      </c>
      <c r="D46" s="8" t="inlineStr">
        <is>
          <t>https://data.worldbank.org/indicator/SL.TLF.CACT.ZS?locations=AO</t>
        </is>
      </c>
      <c r="E46" s="5" t="inlineStr">
        <is>
          <t>API/CSV automática</t>
        </is>
      </c>
    </row>
    <row r="47">
      <c r="A47" s="5" t="inlineStr">
        <is>
          <t>Banco Mundial/OIT</t>
        </is>
      </c>
      <c r="B47" s="5" t="inlineStr">
        <is>
          <t>SL.EMP.VULN.ZS</t>
        </is>
      </c>
      <c r="C47" s="5" t="inlineStr">
        <is>
          <t>Emprego vulnerável</t>
        </is>
      </c>
      <c r="D47" s="8" t="inlineStr">
        <is>
          <t>https://data.worldbank.org/indicator/SL.EMP.VULN.ZS?locations=AO</t>
        </is>
      </c>
      <c r="E47" s="5" t="inlineStr">
        <is>
          <t>API/CSV automática</t>
        </is>
      </c>
    </row>
    <row r="48">
      <c r="A48" s="5" t="inlineStr">
        <is>
          <t>Banco Mundial/OIT</t>
        </is>
      </c>
      <c r="B48" s="5" t="inlineStr">
        <is>
          <t>SL.EMP.WORK.ZS</t>
        </is>
      </c>
      <c r="C48" s="5" t="inlineStr">
        <is>
          <t>Trabalhadores assalariados</t>
        </is>
      </c>
      <c r="D48" s="8" t="inlineStr">
        <is>
          <t>https://data.worldbank.org/indicator/SL.EMP.WORK.ZS?locations=AO</t>
        </is>
      </c>
      <c r="E48" s="5" t="inlineStr">
        <is>
          <t>API/CSV automática</t>
        </is>
      </c>
    </row>
    <row r="49">
      <c r="A49" s="5" t="inlineStr">
        <is>
          <t>Banco Mundial/OIT</t>
        </is>
      </c>
      <c r="B49" s="5" t="inlineStr">
        <is>
          <t>SL.GDP.PCAP.EM.KD</t>
        </is>
      </c>
      <c r="C49" s="5" t="inlineStr">
        <is>
          <t>PIB por pessoa empregada</t>
        </is>
      </c>
      <c r="D49" s="8" t="inlineStr">
        <is>
          <t>https://data.worldbank.org/indicator/SL.GDP.PCAP.EM.KD?locations=AO</t>
        </is>
      </c>
      <c r="E49" s="5" t="inlineStr">
        <is>
          <t>API/CSV automática</t>
        </is>
      </c>
    </row>
    <row r="50">
      <c r="A50" s="5" t="inlineStr">
        <is>
          <t>INE / ficheiro base</t>
        </is>
      </c>
      <c r="B50" s="5" t="inlineStr"/>
      <c r="C50" s="5" t="inlineStr">
        <is>
          <t>Emprego informal</t>
        </is>
      </c>
      <c r="D50" s="5" t="inlineStr"/>
      <c r="E50" s="5" t="inlineStr">
        <is>
          <t>Série do ficheiro base ou fonte manual</t>
        </is>
      </c>
    </row>
    <row r="51">
      <c r="A51" s="5" t="inlineStr">
        <is>
          <t>INSS / ficheiro base</t>
        </is>
      </c>
      <c r="B51" s="5" t="inlineStr"/>
      <c r="C51" s="5" t="inlineStr">
        <is>
          <t>Taxa de formalização</t>
        </is>
      </c>
      <c r="D51" s="5" t="inlineStr"/>
      <c r="E51" s="5" t="inlineStr">
        <is>
          <t>Série do ficheiro base ou fonte manual</t>
        </is>
      </c>
    </row>
    <row r="52">
      <c r="A52" s="5" t="inlineStr">
        <is>
          <t>Banco Mundial/FAO</t>
        </is>
      </c>
      <c r="B52" s="5" t="inlineStr">
        <is>
          <t>SN.ITK.DEFC.ZS</t>
        </is>
      </c>
      <c r="C52" s="5" t="inlineStr">
        <is>
          <t>Prevalência de subalimentação</t>
        </is>
      </c>
      <c r="D52" s="8" t="inlineStr">
        <is>
          <t>https://data.worldbank.org/indicator/SN.ITK.DEFC.ZS?locations=AO</t>
        </is>
      </c>
      <c r="E52" s="5" t="inlineStr">
        <is>
          <t>API/CSV automática</t>
        </is>
      </c>
    </row>
    <row r="53">
      <c r="A53" s="5" t="inlineStr">
        <is>
          <t>Banco Mundial/FAO</t>
        </is>
      </c>
      <c r="B53" s="5" t="inlineStr">
        <is>
          <t>SN.ITK.MSFI.ZS</t>
        </is>
      </c>
      <c r="C53" s="5" t="inlineStr">
        <is>
          <t>Insegurança alimentar moderada ou severa</t>
        </is>
      </c>
      <c r="D53" s="8" t="inlineStr">
        <is>
          <t>https://data.worldbank.org/indicator/SN.ITK.MSFI.ZS?locations=AO</t>
        </is>
      </c>
      <c r="E53" s="5" t="inlineStr">
        <is>
          <t>API/CSV automática</t>
        </is>
      </c>
    </row>
    <row r="54">
      <c r="A54" s="5" t="inlineStr">
        <is>
          <t>Banco Mundial/OMS</t>
        </is>
      </c>
      <c r="B54" s="5" t="inlineStr">
        <is>
          <t>SH.STA.MMRT</t>
        </is>
      </c>
      <c r="C54" s="5" t="inlineStr">
        <is>
          <t>Mortalidade materna</t>
        </is>
      </c>
      <c r="D54" s="8" t="inlineStr">
        <is>
          <t>https://data.worldbank.org/indicator/SH.STA.MMRT?locations=AO</t>
        </is>
      </c>
      <c r="E54" s="5" t="inlineStr">
        <is>
          <t>API/CSV automática</t>
        </is>
      </c>
    </row>
    <row r="55">
      <c r="A55" s="5" t="inlineStr">
        <is>
          <t>Banco Mundial/UNICEF</t>
        </is>
      </c>
      <c r="B55" s="5" t="inlineStr">
        <is>
          <t>SH.DYN.MORT</t>
        </is>
      </c>
      <c r="C55" s="5" t="inlineStr">
        <is>
          <t>Mortalidade de menores de 5 anos</t>
        </is>
      </c>
      <c r="D55" s="8" t="inlineStr">
        <is>
          <t>https://data.worldbank.org/indicator/SH.DYN.MORT?locations=AO</t>
        </is>
      </c>
      <c r="E55" s="5" t="inlineStr">
        <is>
          <t>API/CSV automática</t>
        </is>
      </c>
    </row>
    <row r="56">
      <c r="A56" s="5" t="inlineStr">
        <is>
          <t>Banco Mundial/OMS</t>
        </is>
      </c>
      <c r="B56" s="5" t="inlineStr">
        <is>
          <t>SH.XPD.CHEX.GD.ZS</t>
        </is>
      </c>
      <c r="C56" s="5" t="inlineStr">
        <is>
          <t>Despesa corrente em saúde</t>
        </is>
      </c>
      <c r="D56" s="8" t="inlineStr">
        <is>
          <t>https://data.worldbank.org/indicator/SH.XPD.CHEX.GD.ZS?locations=AO</t>
        </is>
      </c>
      <c r="E56" s="5" t="inlineStr">
        <is>
          <t>API/CSV automática</t>
        </is>
      </c>
    </row>
    <row r="57">
      <c r="A57" s="5" t="inlineStr">
        <is>
          <t>Banco Mundial/OMS/UNICEF</t>
        </is>
      </c>
      <c r="B57" s="5" t="inlineStr">
        <is>
          <t>SH.IMM.IDPT</t>
        </is>
      </c>
      <c r="C57" s="5" t="inlineStr">
        <is>
          <t>Vacinação DPT</t>
        </is>
      </c>
      <c r="D57" s="8" t="inlineStr">
        <is>
          <t>https://data.worldbank.org/indicator/SH.IMM.IDPT?locations=AO</t>
        </is>
      </c>
      <c r="E57" s="5" t="inlineStr">
        <is>
          <t>API/CSV automática</t>
        </is>
      </c>
    </row>
    <row r="58">
      <c r="A58" s="5" t="inlineStr">
        <is>
          <t>Banco Mundial/OMS</t>
        </is>
      </c>
      <c r="B58" s="5" t="inlineStr">
        <is>
          <t>SH.MED.PHYS.ZS</t>
        </is>
      </c>
      <c r="C58" s="5" t="inlineStr">
        <is>
          <t>Médicos</t>
        </is>
      </c>
      <c r="D58" s="8" t="inlineStr">
        <is>
          <t>https://data.worldbank.org/indicator/SH.MED.PHYS.ZS?locations=AO</t>
        </is>
      </c>
      <c r="E58" s="5" t="inlineStr">
        <is>
          <t>API/CSV automática</t>
        </is>
      </c>
    </row>
    <row r="59">
      <c r="A59" s="5" t="inlineStr">
        <is>
          <t>Banco Mundial/OMS</t>
        </is>
      </c>
      <c r="B59" s="5" t="inlineStr">
        <is>
          <t>SH.MED.BEDS.ZS</t>
        </is>
      </c>
      <c r="C59" s="5" t="inlineStr">
        <is>
          <t>Camas hospitalares</t>
        </is>
      </c>
      <c r="D59" s="8" t="inlineStr">
        <is>
          <t>https://data.worldbank.org/indicator/SH.MED.BEDS.ZS?locations=AO</t>
        </is>
      </c>
      <c r="E59" s="5" t="inlineStr">
        <is>
          <t>API/CSV automática</t>
        </is>
      </c>
    </row>
    <row r="60">
      <c r="A60" s="5" t="inlineStr">
        <is>
          <t>Banco Mundial/FAO</t>
        </is>
      </c>
      <c r="B60" s="5" t="inlineStr">
        <is>
          <t>AG.PRD.FOOD.XD</t>
        </is>
      </c>
      <c r="C60" s="5" t="inlineStr">
        <is>
          <t>Índice de produção alimentar</t>
        </is>
      </c>
      <c r="D60" s="8" t="inlineStr">
        <is>
          <t>https://data.worldbank.org/indicator/AG.PRD.FOOD.XD?locations=AO</t>
        </is>
      </c>
      <c r="E60" s="5" t="inlineStr">
        <is>
          <t>API/CSV automática</t>
        </is>
      </c>
    </row>
  </sheetData>
  <autoFilter ref="A4:E60"/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2" r:id="rId45"/>
    <hyperlink xmlns:r="http://schemas.openxmlformats.org/officeDocument/2006/relationships" ref="D53" r:id="rId46"/>
    <hyperlink xmlns:r="http://schemas.openxmlformats.org/officeDocument/2006/relationships" ref="D54" r:id="rId47"/>
    <hyperlink xmlns:r="http://schemas.openxmlformats.org/officeDocument/2006/relationships" ref="D55" r:id="rId48"/>
    <hyperlink xmlns:r="http://schemas.openxmlformats.org/officeDocument/2006/relationships" ref="D56" r:id="rId49"/>
    <hyperlink xmlns:r="http://schemas.openxmlformats.org/officeDocument/2006/relationships" ref="D57" r:id="rId50"/>
    <hyperlink xmlns:r="http://schemas.openxmlformats.org/officeDocument/2006/relationships" ref="D58" r:id="rId51"/>
    <hyperlink xmlns:r="http://schemas.openxmlformats.org/officeDocument/2006/relationships" ref="D59" r:id="rId52"/>
    <hyperlink xmlns:r="http://schemas.openxmlformats.org/officeDocument/2006/relationships" ref="D60" r:id="rId53"/>
  </hyperlinks>
  <pageMargins left="0.75" right="0.75" top="1" bottom="1" header="0.5" footer="0.5"/>
  <tableParts count="1">
    <tablePart xmlns:r="http://schemas.openxmlformats.org/officeDocument/2006/relationships" r:id="rId5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2026-05-22T14:05:58Z</dcterms:created>
  <dcterms:modified xmlns:dcterms="http://purl.org/dc/terms/" xmlns:xsi="http://www.w3.org/2001/XMLSchema-instance" xsi:type="dcterms:W3CDTF">2026-05-22T14:05:58Z</dcterms:modified>
</cp:coreProperties>
</file>