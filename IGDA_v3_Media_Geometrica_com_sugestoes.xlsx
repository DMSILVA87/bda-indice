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itHub\BDA\índice\"/>
    </mc:Choice>
  </mc:AlternateContent>
  <xr:revisionPtr revIDLastSave="0" documentId="8_{E34D71D5-9D38-4B80-B628-302BF1E0A901}" xr6:coauthVersionLast="47" xr6:coauthVersionMax="47" xr10:uidLastSave="{00000000-0000-0000-0000-000000000000}"/>
  <bookViews>
    <workbookView xWindow="-110" yWindow="-110" windowWidth="34620" windowHeight="13900" tabRatio="500" activeTab="7" xr2:uid="{00000000-000D-0000-FFFF-FFFF00000000}"/>
  </bookViews>
  <sheets>
    <sheet name="Instruções" sheetId="1" r:id="rId1"/>
    <sheet name="Input_Dados" sheetId="2" r:id="rId2"/>
    <sheet name="Parametros" sheetId="3" r:id="rId3"/>
    <sheet name="Normalizacao" sheetId="4" r:id="rId4"/>
    <sheet name="Subindices" sheetId="5" r:id="rId5"/>
    <sheet name="Indice_Global" sheetId="6" r:id="rId6"/>
    <sheet name="Diagnostico_Lacunas" sheetId="7" r:id="rId7"/>
    <sheet name="Sugestoes_Indicadores" sheetId="8" r:id="rId8"/>
  </sheets>
  <definedNames>
    <definedName name="_xlnm._FilterDatabase" localSheetId="6" hidden="1">Diagnostico_Lacunas!$A$4:$E$11</definedName>
    <definedName name="_xlnm._FilterDatabase" localSheetId="7" hidden="1">Sugestoes_Indicadores!$A$4:$Q$72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E17" i="5"/>
  <c r="B17" i="5"/>
  <c r="L16" i="5"/>
  <c r="K16" i="5"/>
  <c r="J16" i="5"/>
  <c r="I16" i="5"/>
  <c r="G16" i="5"/>
  <c r="L7" i="5"/>
  <c r="O10" i="6" s="1"/>
  <c r="K7" i="5"/>
  <c r="N10" i="6" s="1"/>
  <c r="J7" i="5"/>
  <c r="M10" i="6" s="1"/>
  <c r="I7" i="5"/>
  <c r="L10" i="6" s="1"/>
  <c r="F5" i="5"/>
  <c r="I8" i="6" s="1"/>
  <c r="E5" i="5"/>
  <c r="H8" i="6" s="1"/>
  <c r="D5" i="5"/>
  <c r="G8" i="6" s="1"/>
  <c r="C5" i="5"/>
  <c r="F8" i="6" s="1"/>
  <c r="B5" i="5"/>
  <c r="E8" i="6" s="1"/>
  <c r="L4" i="5"/>
  <c r="O7" i="6" s="1"/>
  <c r="K4" i="5"/>
  <c r="N7" i="6" s="1"/>
  <c r="J4" i="5"/>
  <c r="M7" i="6" s="1"/>
  <c r="M42" i="4"/>
  <c r="L42" i="4"/>
  <c r="K42" i="4"/>
  <c r="J42" i="4"/>
  <c r="I42" i="4"/>
  <c r="H42" i="4"/>
  <c r="G42" i="4"/>
  <c r="F42" i="4"/>
  <c r="E42" i="4"/>
  <c r="D42" i="4"/>
  <c r="C42" i="4"/>
  <c r="M41" i="4"/>
  <c r="L41" i="4"/>
  <c r="K41" i="4"/>
  <c r="J41" i="4"/>
  <c r="I41" i="4"/>
  <c r="H41" i="4"/>
  <c r="G41" i="4"/>
  <c r="F41" i="4"/>
  <c r="E41" i="4"/>
  <c r="D41" i="4"/>
  <c r="C41" i="4"/>
  <c r="M40" i="4"/>
  <c r="L40" i="4"/>
  <c r="K40" i="4"/>
  <c r="J40" i="4"/>
  <c r="I40" i="4"/>
  <c r="H40" i="4"/>
  <c r="G40" i="4"/>
  <c r="F40" i="4"/>
  <c r="E40" i="4"/>
  <c r="D40" i="4"/>
  <c r="C40" i="4"/>
  <c r="M39" i="4"/>
  <c r="L39" i="4"/>
  <c r="K39" i="4"/>
  <c r="J39" i="4"/>
  <c r="I39" i="4"/>
  <c r="H39" i="4"/>
  <c r="G39" i="4"/>
  <c r="F39" i="4"/>
  <c r="E39" i="4"/>
  <c r="D39" i="4"/>
  <c r="C39" i="4"/>
  <c r="M38" i="4"/>
  <c r="L38" i="4"/>
  <c r="K38" i="4"/>
  <c r="J38" i="4"/>
  <c r="I38" i="4"/>
  <c r="H38" i="4"/>
  <c r="G38" i="4"/>
  <c r="F38" i="4"/>
  <c r="E38" i="4"/>
  <c r="D38" i="4"/>
  <c r="C38" i="4"/>
  <c r="M37" i="4"/>
  <c r="L18" i="5" s="1"/>
  <c r="L37" i="4"/>
  <c r="K8" i="5" s="1"/>
  <c r="N11" i="6" s="1"/>
  <c r="K37" i="4"/>
  <c r="J18" i="5" s="1"/>
  <c r="J37" i="4"/>
  <c r="I8" i="5" s="1"/>
  <c r="L11" i="6" s="1"/>
  <c r="I37" i="4"/>
  <c r="H8" i="5" s="1"/>
  <c r="K11" i="6" s="1"/>
  <c r="H37" i="4"/>
  <c r="G8" i="5" s="1"/>
  <c r="J11" i="6" s="1"/>
  <c r="G37" i="4"/>
  <c r="F8" i="5" s="1"/>
  <c r="I11" i="6" s="1"/>
  <c r="F37" i="4"/>
  <c r="E8" i="5" s="1"/>
  <c r="H11" i="6" s="1"/>
  <c r="E37" i="4"/>
  <c r="D8" i="5" s="1"/>
  <c r="G11" i="6" s="1"/>
  <c r="D37" i="4"/>
  <c r="C8" i="5" s="1"/>
  <c r="F11" i="6" s="1"/>
  <c r="C37" i="4"/>
  <c r="B8" i="5" s="1"/>
  <c r="E11" i="6" s="1"/>
  <c r="M36" i="4"/>
  <c r="L36" i="4"/>
  <c r="K36" i="4"/>
  <c r="J36" i="4"/>
  <c r="I36" i="4"/>
  <c r="H36" i="4"/>
  <c r="G36" i="4"/>
  <c r="F36" i="4"/>
  <c r="E36" i="4"/>
  <c r="D36" i="4"/>
  <c r="C36" i="4"/>
  <c r="M35" i="4"/>
  <c r="L35" i="4"/>
  <c r="K35" i="4"/>
  <c r="J35" i="4"/>
  <c r="I35" i="4"/>
  <c r="H35" i="4"/>
  <c r="G35" i="4"/>
  <c r="F35" i="4"/>
  <c r="E35" i="4"/>
  <c r="D35" i="4"/>
  <c r="C35" i="4"/>
  <c r="M34" i="4"/>
  <c r="L34" i="4"/>
  <c r="K34" i="4"/>
  <c r="J34" i="4"/>
  <c r="I34" i="4"/>
  <c r="H34" i="4"/>
  <c r="G34" i="4"/>
  <c r="F34" i="4"/>
  <c r="E34" i="4"/>
  <c r="D34" i="4"/>
  <c r="C34" i="4"/>
  <c r="M33" i="4"/>
  <c r="L33" i="4"/>
  <c r="K33" i="4"/>
  <c r="J33" i="4"/>
  <c r="I33" i="4"/>
  <c r="H33" i="4"/>
  <c r="G33" i="4"/>
  <c r="F33" i="4"/>
  <c r="E33" i="4"/>
  <c r="D33" i="4"/>
  <c r="C33" i="4"/>
  <c r="M32" i="4"/>
  <c r="L32" i="4"/>
  <c r="K32" i="4"/>
  <c r="J32" i="4"/>
  <c r="I32" i="4"/>
  <c r="H32" i="4"/>
  <c r="G32" i="4"/>
  <c r="F32" i="4"/>
  <c r="E32" i="4"/>
  <c r="D32" i="4"/>
  <c r="C7" i="5" s="1"/>
  <c r="F10" i="6" s="1"/>
  <c r="C32" i="4"/>
  <c r="M31" i="4"/>
  <c r="L17" i="5" s="1"/>
  <c r="L31" i="4"/>
  <c r="K17" i="5" s="1"/>
  <c r="K31" i="4"/>
  <c r="J17" i="5" s="1"/>
  <c r="J31" i="4"/>
  <c r="I17" i="5" s="1"/>
  <c r="I31" i="4"/>
  <c r="H7" i="5" s="1"/>
  <c r="K10" i="6" s="1"/>
  <c r="H31" i="4"/>
  <c r="G7" i="5" s="1"/>
  <c r="J10" i="6" s="1"/>
  <c r="G31" i="4"/>
  <c r="F7" i="5" s="1"/>
  <c r="I10" i="6" s="1"/>
  <c r="F31" i="4"/>
  <c r="E7" i="5" s="1"/>
  <c r="H10" i="6" s="1"/>
  <c r="E31" i="4"/>
  <c r="D7" i="5" s="1"/>
  <c r="G10" i="6" s="1"/>
  <c r="D31" i="4"/>
  <c r="C31" i="4"/>
  <c r="B7" i="5" s="1"/>
  <c r="E10" i="6" s="1"/>
  <c r="M30" i="4"/>
  <c r="L30" i="4"/>
  <c r="K30" i="4"/>
  <c r="J30" i="4"/>
  <c r="I30" i="4"/>
  <c r="H30" i="4"/>
  <c r="G30" i="4"/>
  <c r="F30" i="4"/>
  <c r="E30" i="4"/>
  <c r="D30" i="4"/>
  <c r="C30" i="4"/>
  <c r="M29" i="4"/>
  <c r="L29" i="4"/>
  <c r="K29" i="4"/>
  <c r="J29" i="4"/>
  <c r="I29" i="4"/>
  <c r="H29" i="4"/>
  <c r="G29" i="4"/>
  <c r="F29" i="4"/>
  <c r="E29" i="4"/>
  <c r="D29" i="4"/>
  <c r="C29" i="4"/>
  <c r="M28" i="4"/>
  <c r="L28" i="4"/>
  <c r="K28" i="4"/>
  <c r="J28" i="4"/>
  <c r="I28" i="4"/>
  <c r="H28" i="4"/>
  <c r="G28" i="4"/>
  <c r="F28" i="4"/>
  <c r="E28" i="4"/>
  <c r="D28" i="4"/>
  <c r="C28" i="4"/>
  <c r="M27" i="4"/>
  <c r="L27" i="4"/>
  <c r="K27" i="4"/>
  <c r="J27" i="4"/>
  <c r="I27" i="4"/>
  <c r="H27" i="4"/>
  <c r="G27" i="4"/>
  <c r="F27" i="4"/>
  <c r="E27" i="4"/>
  <c r="D27" i="4"/>
  <c r="C27" i="4"/>
  <c r="M26" i="4"/>
  <c r="L26" i="4"/>
  <c r="K26" i="4"/>
  <c r="J26" i="4"/>
  <c r="I26" i="4"/>
  <c r="H26" i="4"/>
  <c r="G26" i="4"/>
  <c r="F26" i="4"/>
  <c r="E6" i="5" s="1"/>
  <c r="H9" i="6" s="1"/>
  <c r="E26" i="4"/>
  <c r="D16" i="5" s="1"/>
  <c r="D26" i="4"/>
  <c r="C16" i="5" s="1"/>
  <c r="C26" i="4"/>
  <c r="B6" i="5" s="1"/>
  <c r="E9" i="6" s="1"/>
  <c r="M25" i="4"/>
  <c r="L6" i="5" s="1"/>
  <c r="O9" i="6" s="1"/>
  <c r="L25" i="4"/>
  <c r="K6" i="5" s="1"/>
  <c r="N9" i="6" s="1"/>
  <c r="K25" i="4"/>
  <c r="J6" i="5" s="1"/>
  <c r="M9" i="6" s="1"/>
  <c r="J25" i="4"/>
  <c r="I6" i="5" s="1"/>
  <c r="L9" i="6" s="1"/>
  <c r="I25" i="4"/>
  <c r="H16" i="5" s="1"/>
  <c r="H25" i="4"/>
  <c r="G6" i="5" s="1"/>
  <c r="J9" i="6" s="1"/>
  <c r="G25" i="4"/>
  <c r="F16" i="5" s="1"/>
  <c r="F25" i="4"/>
  <c r="E16" i="5" s="1"/>
  <c r="E25" i="4"/>
  <c r="D25" i="4"/>
  <c r="C25" i="4"/>
  <c r="B16" i="5" s="1"/>
  <c r="M24" i="4"/>
  <c r="L24" i="4"/>
  <c r="K24" i="4"/>
  <c r="J24" i="4"/>
  <c r="I24" i="4"/>
  <c r="H24" i="4"/>
  <c r="G24" i="4"/>
  <c r="F24" i="4"/>
  <c r="E24" i="4"/>
  <c r="D24" i="4"/>
  <c r="C24" i="4"/>
  <c r="M23" i="4"/>
  <c r="L23" i="4"/>
  <c r="K23" i="4"/>
  <c r="J23" i="4"/>
  <c r="I23" i="4"/>
  <c r="H23" i="4"/>
  <c r="G23" i="4"/>
  <c r="F23" i="4"/>
  <c r="E23" i="4"/>
  <c r="D23" i="4"/>
  <c r="C23" i="4"/>
  <c r="M22" i="4"/>
  <c r="L5" i="5" s="1"/>
  <c r="O8" i="6" s="1"/>
  <c r="L22" i="4"/>
  <c r="K5" i="5" s="1"/>
  <c r="N8" i="6" s="1"/>
  <c r="K22" i="4"/>
  <c r="J5" i="5" s="1"/>
  <c r="M8" i="6" s="1"/>
  <c r="J22" i="4"/>
  <c r="I5" i="5" s="1"/>
  <c r="L8" i="6" s="1"/>
  <c r="I22" i="4"/>
  <c r="H5" i="5" s="1"/>
  <c r="K8" i="6" s="1"/>
  <c r="H22" i="4"/>
  <c r="G5" i="5" s="1"/>
  <c r="J8" i="6" s="1"/>
  <c r="G22" i="4"/>
  <c r="F22" i="4"/>
  <c r="E22" i="4"/>
  <c r="D22" i="4"/>
  <c r="C22" i="4"/>
  <c r="M21" i="4"/>
  <c r="L21" i="4"/>
  <c r="K21" i="4"/>
  <c r="J21" i="4"/>
  <c r="I21" i="4"/>
  <c r="H21" i="4"/>
  <c r="G21" i="4"/>
  <c r="F21" i="4"/>
  <c r="E21" i="4"/>
  <c r="D21" i="4"/>
  <c r="C21" i="4"/>
  <c r="M20" i="4"/>
  <c r="L15" i="5" s="1"/>
  <c r="L20" i="4"/>
  <c r="K15" i="5" s="1"/>
  <c r="K20" i="4"/>
  <c r="J15" i="5" s="1"/>
  <c r="J20" i="4"/>
  <c r="I15" i="5" s="1"/>
  <c r="I20" i="4"/>
  <c r="H15" i="5" s="1"/>
  <c r="H20" i="4"/>
  <c r="G15" i="5" s="1"/>
  <c r="G20" i="4"/>
  <c r="F15" i="5" s="1"/>
  <c r="F20" i="4"/>
  <c r="E15" i="5" s="1"/>
  <c r="E20" i="4"/>
  <c r="D15" i="5" s="1"/>
  <c r="D20" i="4"/>
  <c r="C15" i="5" s="1"/>
  <c r="C20" i="4"/>
  <c r="B15" i="5" s="1"/>
  <c r="M19" i="4"/>
  <c r="L19" i="4"/>
  <c r="K19" i="4"/>
  <c r="J19" i="4"/>
  <c r="I19" i="4"/>
  <c r="H19" i="4"/>
  <c r="G19" i="4"/>
  <c r="F19" i="4"/>
  <c r="E19" i="4"/>
  <c r="D19" i="4"/>
  <c r="C19" i="4"/>
  <c r="M18" i="4"/>
  <c r="L18" i="4"/>
  <c r="K18" i="4"/>
  <c r="J18" i="4"/>
  <c r="I18" i="4"/>
  <c r="H18" i="4"/>
  <c r="G18" i="4"/>
  <c r="F18" i="4"/>
  <c r="E18" i="4"/>
  <c r="D18" i="4"/>
  <c r="C18" i="4"/>
  <c r="M17" i="4"/>
  <c r="L17" i="4"/>
  <c r="K17" i="4"/>
  <c r="J17" i="4"/>
  <c r="I17" i="4"/>
  <c r="H17" i="4"/>
  <c r="G17" i="4"/>
  <c r="F17" i="4"/>
  <c r="E17" i="4"/>
  <c r="D17" i="4"/>
  <c r="C17" i="4"/>
  <c r="M16" i="4"/>
  <c r="L16" i="4"/>
  <c r="K16" i="4"/>
  <c r="J16" i="4"/>
  <c r="I16" i="4"/>
  <c r="H16" i="4"/>
  <c r="G16" i="4"/>
  <c r="F16" i="4"/>
  <c r="E16" i="4"/>
  <c r="D16" i="4"/>
  <c r="C16" i="4"/>
  <c r="M15" i="4"/>
  <c r="L15" i="4"/>
  <c r="K15" i="4"/>
  <c r="J15" i="4"/>
  <c r="I15" i="4"/>
  <c r="H15" i="4"/>
  <c r="G15" i="4"/>
  <c r="F15" i="4"/>
  <c r="E15" i="4"/>
  <c r="D15" i="4"/>
  <c r="C15" i="4"/>
  <c r="M14" i="4"/>
  <c r="L14" i="5" s="1"/>
  <c r="L14" i="4"/>
  <c r="K14" i="5" s="1"/>
  <c r="K14" i="4"/>
  <c r="J14" i="5" s="1"/>
  <c r="J14" i="4"/>
  <c r="I4" i="5" s="1"/>
  <c r="L7" i="6" s="1"/>
  <c r="I14" i="4"/>
  <c r="H4" i="5" s="1"/>
  <c r="K7" i="6" s="1"/>
  <c r="H14" i="4"/>
  <c r="G4" i="5" s="1"/>
  <c r="J7" i="6" s="1"/>
  <c r="G14" i="4"/>
  <c r="F4" i="5" s="1"/>
  <c r="I7" i="6" s="1"/>
  <c r="F14" i="4"/>
  <c r="E14" i="5" s="1"/>
  <c r="E14" i="4"/>
  <c r="D4" i="5" s="1"/>
  <c r="G7" i="6" s="1"/>
  <c r="D14" i="4"/>
  <c r="C14" i="5" s="1"/>
  <c r="C14" i="4"/>
  <c r="B4" i="5" s="1"/>
  <c r="E7" i="6" s="1"/>
  <c r="M13" i="4"/>
  <c r="L13" i="4"/>
  <c r="K13" i="4"/>
  <c r="J13" i="5" s="1"/>
  <c r="M12" i="4"/>
  <c r="L12" i="4"/>
  <c r="K12" i="4"/>
  <c r="J12" i="4"/>
  <c r="I12" i="4"/>
  <c r="H12" i="4"/>
  <c r="G12" i="4"/>
  <c r="F12" i="4"/>
  <c r="E12" i="4"/>
  <c r="D12" i="4"/>
  <c r="C12" i="4"/>
  <c r="M11" i="4"/>
  <c r="L11" i="4"/>
  <c r="K11" i="4"/>
  <c r="J11" i="4"/>
  <c r="I11" i="4"/>
  <c r="H11" i="4"/>
  <c r="G11" i="4"/>
  <c r="F11" i="4"/>
  <c r="E11" i="4"/>
  <c r="D11" i="4"/>
  <c r="C11" i="4"/>
  <c r="M10" i="4"/>
  <c r="L10" i="4"/>
  <c r="K13" i="5" s="1"/>
  <c r="K10" i="4"/>
  <c r="J10" i="4"/>
  <c r="I10" i="4"/>
  <c r="H10" i="4"/>
  <c r="G10" i="4"/>
  <c r="F10" i="4"/>
  <c r="E10" i="4"/>
  <c r="D10" i="4"/>
  <c r="C10" i="4"/>
  <c r="M9" i="4"/>
  <c r="L9" i="4"/>
  <c r="K9" i="4"/>
  <c r="J9" i="4"/>
  <c r="I9" i="4"/>
  <c r="H9" i="4"/>
  <c r="G9" i="4"/>
  <c r="F9" i="4"/>
  <c r="E9" i="4"/>
  <c r="D9" i="4"/>
  <c r="C9" i="4"/>
  <c r="M8" i="4"/>
  <c r="L8" i="4"/>
  <c r="K3" i="5" s="1"/>
  <c r="N6" i="6" s="1"/>
  <c r="K8" i="4"/>
  <c r="J3" i="5" s="1"/>
  <c r="M6" i="6" s="1"/>
  <c r="J8" i="4"/>
  <c r="I8" i="4"/>
  <c r="H8" i="4"/>
  <c r="G8" i="4"/>
  <c r="F8" i="4"/>
  <c r="E8" i="4"/>
  <c r="D8" i="4"/>
  <c r="C8" i="4"/>
  <c r="M7" i="4"/>
  <c r="L3" i="5" s="1"/>
  <c r="O6" i="6" s="1"/>
  <c r="L7" i="4"/>
  <c r="K7" i="4"/>
  <c r="J7" i="4"/>
  <c r="I7" i="4"/>
  <c r="H7" i="4"/>
  <c r="G13" i="5" s="1"/>
  <c r="G7" i="4"/>
  <c r="F13" i="5" s="1"/>
  <c r="F7" i="4"/>
  <c r="E13" i="5" s="1"/>
  <c r="E7" i="4"/>
  <c r="D7" i="4"/>
  <c r="C7" i="4"/>
  <c r="B13" i="5" s="1"/>
  <c r="M6" i="4"/>
  <c r="L6" i="4"/>
  <c r="K6" i="4"/>
  <c r="J6" i="4"/>
  <c r="I6" i="4"/>
  <c r="H6" i="4"/>
  <c r="G6" i="4"/>
  <c r="F6" i="4"/>
  <c r="E6" i="4"/>
  <c r="D6" i="4"/>
  <c r="C6" i="4"/>
  <c r="M5" i="4"/>
  <c r="L5" i="4"/>
  <c r="K5" i="4"/>
  <c r="J5" i="4"/>
  <c r="I5" i="4"/>
  <c r="H5" i="4"/>
  <c r="G5" i="4"/>
  <c r="F5" i="4"/>
  <c r="E5" i="4"/>
  <c r="D5" i="4"/>
  <c r="C5" i="4"/>
  <c r="B2" i="5" s="1"/>
  <c r="M4" i="4"/>
  <c r="L4" i="4"/>
  <c r="K4" i="4"/>
  <c r="J4" i="4"/>
  <c r="I4" i="4"/>
  <c r="H4" i="4"/>
  <c r="G4" i="4"/>
  <c r="F4" i="4"/>
  <c r="E4" i="4"/>
  <c r="D4" i="4"/>
  <c r="C4" i="4"/>
  <c r="M3" i="4"/>
  <c r="L3" i="4"/>
  <c r="K3" i="4"/>
  <c r="J3" i="4"/>
  <c r="I3" i="4"/>
  <c r="H3" i="4"/>
  <c r="G3" i="4"/>
  <c r="F3" i="4"/>
  <c r="E3" i="4"/>
  <c r="D3" i="4"/>
  <c r="C3" i="4"/>
  <c r="B12" i="5" s="1"/>
  <c r="M2" i="4"/>
  <c r="L2" i="5" s="1"/>
  <c r="L2" i="4"/>
  <c r="K2" i="5" s="1"/>
  <c r="K2" i="4"/>
  <c r="J2" i="5" s="1"/>
  <c r="J2" i="4"/>
  <c r="I12" i="5" s="1"/>
  <c r="I2" i="4"/>
  <c r="H12" i="5" s="1"/>
  <c r="H2" i="4"/>
  <c r="G2" i="5" s="1"/>
  <c r="G2" i="4"/>
  <c r="F12" i="5" s="1"/>
  <c r="F2" i="4"/>
  <c r="E2" i="5" s="1"/>
  <c r="E2" i="4"/>
  <c r="D2" i="5" s="1"/>
  <c r="D2" i="4"/>
  <c r="C12" i="5" s="1"/>
  <c r="C2" i="4"/>
  <c r="P47" i="2"/>
  <c r="O47" i="2"/>
  <c r="N47" i="2"/>
  <c r="M47" i="2"/>
  <c r="L47" i="2"/>
  <c r="K47" i="2"/>
  <c r="J47" i="2"/>
  <c r="I47" i="2"/>
  <c r="H47" i="2"/>
  <c r="G47" i="2"/>
  <c r="G13" i="2" s="1"/>
  <c r="D13" i="4" s="1"/>
  <c r="F47" i="2"/>
  <c r="F13" i="2" s="1"/>
  <c r="C13" i="4" s="1"/>
  <c r="P44" i="2"/>
  <c r="O44" i="2"/>
  <c r="N44" i="2"/>
  <c r="M44" i="2"/>
  <c r="L44" i="2"/>
  <c r="K44" i="2"/>
  <c r="J44" i="2"/>
  <c r="I44" i="2"/>
  <c r="H44" i="2"/>
  <c r="G44" i="2"/>
  <c r="F44" i="2"/>
  <c r="P13" i="2"/>
  <c r="O13" i="2"/>
  <c r="N13" i="2"/>
  <c r="M13" i="2"/>
  <c r="J13" i="4" s="1"/>
  <c r="I13" i="5" s="1"/>
  <c r="L13" i="2"/>
  <c r="I13" i="4" s="1"/>
  <c r="H13" i="5" s="1"/>
  <c r="K13" i="2"/>
  <c r="H13" i="4" s="1"/>
  <c r="J13" i="2"/>
  <c r="G13" i="4" s="1"/>
  <c r="I13" i="2"/>
  <c r="F13" i="4" s="1"/>
  <c r="H13" i="2"/>
  <c r="E13" i="4" s="1"/>
  <c r="D11" i="6"/>
  <c r="D10" i="6"/>
  <c r="D9" i="6"/>
  <c r="D8" i="6"/>
  <c r="D7" i="6"/>
  <c r="D6" i="6"/>
  <c r="D5" i="6"/>
  <c r="C13" i="5" l="1"/>
  <c r="G5" i="6"/>
  <c r="E5" i="6"/>
  <c r="K20" i="5"/>
  <c r="N5" i="6"/>
  <c r="N13" i="6" s="1"/>
  <c r="H5" i="6"/>
  <c r="O5" i="6"/>
  <c r="B3" i="5"/>
  <c r="E6" i="6" s="1"/>
  <c r="D13" i="5"/>
  <c r="J5" i="6"/>
  <c r="E3" i="5"/>
  <c r="H6" i="6" s="1"/>
  <c r="F3" i="5"/>
  <c r="I6" i="6" s="1"/>
  <c r="C3" i="5"/>
  <c r="F6" i="6" s="1"/>
  <c r="H3" i="5"/>
  <c r="K6" i="6" s="1"/>
  <c r="I3" i="5"/>
  <c r="L6" i="6" s="1"/>
  <c r="J20" i="5"/>
  <c r="M5" i="6"/>
  <c r="M13" i="6" s="1"/>
  <c r="C17" i="5"/>
  <c r="D17" i="5"/>
  <c r="G17" i="5"/>
  <c r="H17" i="5"/>
  <c r="B18" i="5"/>
  <c r="G3" i="5"/>
  <c r="J6" i="6" s="1"/>
  <c r="F6" i="5"/>
  <c r="I9" i="6" s="1"/>
  <c r="E12" i="5"/>
  <c r="C18" i="5"/>
  <c r="D18" i="5"/>
  <c r="E18" i="5"/>
  <c r="F18" i="5"/>
  <c r="L13" i="5"/>
  <c r="G18" i="5"/>
  <c r="H18" i="5"/>
  <c r="B14" i="5"/>
  <c r="I2" i="5"/>
  <c r="G14" i="5"/>
  <c r="J8" i="5"/>
  <c r="M11" i="6" s="1"/>
  <c r="D3" i="5"/>
  <c r="G6" i="6" s="1"/>
  <c r="D12" i="5"/>
  <c r="J12" i="5"/>
  <c r="K12" i="5"/>
  <c r="I18" i="5"/>
  <c r="F2" i="5"/>
  <c r="F14" i="5"/>
  <c r="L8" i="5"/>
  <c r="O11" i="6" s="1"/>
  <c r="C6" i="5"/>
  <c r="F9" i="6" s="1"/>
  <c r="D6" i="5"/>
  <c r="G9" i="6" s="1"/>
  <c r="H6" i="5"/>
  <c r="K9" i="6" s="1"/>
  <c r="C4" i="5"/>
  <c r="F7" i="6" s="1"/>
  <c r="L12" i="5"/>
  <c r="K18" i="5"/>
  <c r="C2" i="5"/>
  <c r="D14" i="5"/>
  <c r="H2" i="5"/>
  <c r="H14" i="5"/>
  <c r="G12" i="5"/>
  <c r="E4" i="5"/>
  <c r="H7" i="6" s="1"/>
  <c r="I14" i="5"/>
  <c r="H20" i="5" l="1"/>
  <c r="K5" i="6"/>
  <c r="K13" i="6" s="1"/>
  <c r="F5" i="6"/>
  <c r="F13" i="6" s="1"/>
  <c r="C20" i="5"/>
  <c r="O13" i="6"/>
  <c r="N15" i="6"/>
  <c r="N14" i="6"/>
  <c r="E13" i="6"/>
  <c r="E14" i="6" s="1"/>
  <c r="J13" i="6"/>
  <c r="G20" i="5"/>
  <c r="L20" i="5"/>
  <c r="H13" i="6"/>
  <c r="E20" i="5"/>
  <c r="B20" i="5"/>
  <c r="D20" i="5"/>
  <c r="G13" i="6"/>
  <c r="M14" i="6"/>
  <c r="F20" i="5"/>
  <c r="I5" i="6"/>
  <c r="I13" i="6" s="1"/>
  <c r="I20" i="5"/>
  <c r="L5" i="6"/>
  <c r="L13" i="6" s="1"/>
  <c r="G15" i="6" l="1"/>
  <c r="G14" i="6"/>
  <c r="L15" i="6"/>
  <c r="L14" i="6"/>
  <c r="M15" i="6"/>
  <c r="H14" i="6"/>
  <c r="H15" i="6"/>
  <c r="I14" i="6"/>
  <c r="I15" i="6"/>
  <c r="O15" i="6"/>
  <c r="O14" i="6"/>
  <c r="F15" i="6"/>
  <c r="F14" i="6"/>
  <c r="K14" i="6"/>
  <c r="K15" i="6"/>
  <c r="J15" i="6"/>
  <c r="J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Descontinuado - esta em implementação o Business Ready. (B-Ready)</t>
        </r>
      </text>
    </comment>
  </commentList>
</comments>
</file>

<file path=xl/sharedStrings.xml><?xml version="1.0" encoding="utf-8"?>
<sst xmlns="http://schemas.openxmlformats.org/spreadsheetml/2006/main" count="1400" uniqueCount="590">
  <si>
    <t>EVOLUÇÃO DO ÍNDICE DE DESENVOLVIMENTO DE ANGOLA (IGDA-BDA)</t>
  </si>
  <si>
    <t>Componente</t>
  </si>
  <si>
    <t>Peso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</si>
  <si>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</si>
  <si>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</si>
  <si>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</si>
  <si>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</si>
  <si>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</si>
  <si>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</si>
  <si>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</si>
  <si>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</si>
  <si>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</si>
  <si>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</si>
  <si>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</si>
  <si>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1. Governança e Estado de Direito</t>
  </si>
  <si>
    <t>2. Estabilidade Macroeconómica</t>
  </si>
  <si>
    <t>3. Capital Humano</t>
  </si>
  <si>
    <t>4. Inclusão Social e Protecção</t>
  </si>
  <si>
    <t>5. Infraestruturas e Serviços</t>
  </si>
  <si>
    <t>6. Mercado de Trabalho</t>
  </si>
  <si>
    <t>7. Segurança Alimentar e Saúde</t>
  </si>
  <si>
    <t>EVOLUÇÃO DO IGDA-BDA (Índice Global)</t>
  </si>
  <si>
    <t>Variação Anual (p.p.)</t>
  </si>
  <si>
    <t>SEMÁFORO DE DESEMPENHO</t>
  </si>
  <si>
    <t>≥ 70: Bom | 50-70: Moderado | &lt; 50: Fraco</t>
  </si>
  <si>
    <t xml:space="preserve">EVOLUÇÃO DOS SUB ÍNDICES </t>
  </si>
  <si>
    <t>ÍNDICE DE DESENVOLVIMENTO DE ANGOLA (IGDA-BDA)</t>
  </si>
  <si>
    <t>INSTRUÇÕES DE UTILIZAÇÃO</t>
  </si>
  <si>
    <t>1. ESTRUTURA DO FICHEIRO</t>
  </si>
  <si>
    <t xml:space="preserve">   Este ficheiro está organizado nas seguintes folhas:</t>
  </si>
  <si>
    <t xml:space="preserve">   • Instruções - Esta folha com orientações de utilização</t>
  </si>
  <si>
    <t xml:space="preserve">   • Input_Dados - Onde deve introduzir os valores dos indicadores (células azuis)</t>
  </si>
  <si>
    <t xml:space="preserve">   • Parametros - Definição de pesos, mínimos e máximos para normalização</t>
  </si>
  <si>
    <t xml:space="preserve">   • Normalizacao - Cálculo automático da normalização (0-100)</t>
  </si>
  <si>
    <t xml:space="preserve">   • Subindices - Cálculo dos 7 subíndices temáticos</t>
  </si>
  <si>
    <t xml:space="preserve">   • Indice_Global - Cálculo do IGDA-BDA e dashboard</t>
  </si>
  <si>
    <t>2. COMO UTILIZAR</t>
  </si>
  <si>
    <t xml:space="preserve">   a) Vá à folha 'Input_Dados' e introduza os valores dos indicadores (pode modificar os indicadores)</t>
  </si>
  <si>
    <t xml:space="preserve">   b) Os anos disponíveis são 2015-2025 (pode ajustar conforme necessário)</t>
  </si>
  <si>
    <t xml:space="preserve">   c) Na folha 'Parametros' pode ajustar os pesos de cada indicador e subíndice</t>
  </si>
  <si>
    <t xml:space="preserve">   d) Os resultados são calculados automaticamente nas folhas seguintes (ou seja, sheets a laranja, introduzimos, sheets a azul são os nossos outputs</t>
  </si>
  <si>
    <t>3. CONVENÇÕES DE CORES</t>
  </si>
  <si>
    <t xml:space="preserve">   • Laranja - Células de input (introduza dados aqui)</t>
  </si>
  <si>
    <t xml:space="preserve">   • Azul - Fórmulas e cálculos automáticos</t>
  </si>
  <si>
    <t>4. METODOLOGIA</t>
  </si>
  <si>
    <t xml:space="preserve">   • Normalização: escala 0-100 usando Min-Max</t>
  </si>
  <si>
    <t xml:space="preserve">   • Indicadores 'negativos' são invertidos (ex: pobreza, inflação)</t>
  </si>
  <si>
    <t xml:space="preserve">   • Subíndices: MÉDIA ARITMÉTICA PONDERADA dos indicadores disponíveis (pesos em Parametros col. E)</t>
  </si>
  <si>
    <t xml:space="preserve">   • Índice Global: MÉDIA GEOMÉTRICA PONDERADA dos subíndices disponíveis (penaliza o desequilíbrio)</t>
  </si>
  <si>
    <t>5. OS 7 SUBÍNDICES</t>
  </si>
  <si>
    <t xml:space="preserve">   1. Governança e Estado de Direito</t>
  </si>
  <si>
    <t xml:space="preserve">   2. Estabilidade Macroeconómica e Fiscal</t>
  </si>
  <si>
    <t xml:space="preserve">   3. Capital Humano (Educação e Saúde)</t>
  </si>
  <si>
    <t xml:space="preserve">   4. Inclusão Social e Protecção Social</t>
  </si>
  <si>
    <t xml:space="preserve">   5. Infraestruturas e Serviços Básicos</t>
  </si>
  <si>
    <t xml:space="preserve">   6. Mercado de Trabalho e Produtividade</t>
  </si>
  <si>
    <t xml:space="preserve">   7. Segurança Alimentar e Saúde Pública</t>
  </si>
  <si>
    <t>Versão revista (Output 1): corrige denominador dinâmico (só conta dimensões com dados),</t>
  </si>
  <si>
    <t>Desenvolvido para o Banco de Desenvolvimento de Angola (BDA)</t>
  </si>
  <si>
    <t>Alinhado com o PDN 2023-2027</t>
  </si>
  <si>
    <t>NOTA DE REVISÃO — Output 2 (Média Geométrica Ponderada):</t>
  </si>
  <si>
    <t xml:space="preserve">  - C1/C3: mesmas correções do Output 1 (denominador dinâmico + limiar de cobertura).</t>
  </si>
  <si>
    <t xml:space="preserve">  - Índice Global = exp( Σ peso·ln(subíndice) / Σ peso ), só sobre subíndices com dados.</t>
  </si>
  <si>
    <t xml:space="preserve">  - Propriedade: penaliza fortemente o desequilíbrio entre dimensões (estilo IDH/PNUD).</t>
  </si>
  <si>
    <t xml:space="preserve">  - Salvaguarda: se algum subíndice presente for &lt;= 0, o IGDA desse ano é 0.</t>
  </si>
  <si>
    <t xml:space="preserve">  - Subíndices continuam a ser média aritmética ponderada dos indicadores (igual ao Output 1).</t>
  </si>
  <si>
    <t>Subíndice</t>
  </si>
  <si>
    <t>Indicador</t>
  </si>
  <si>
    <t>Unidade</t>
  </si>
  <si>
    <t>Sentido</t>
  </si>
  <si>
    <t>Fonte</t>
  </si>
  <si>
    <t>1. Governança</t>
  </si>
  <si>
    <t>Índice de Percepção da Corrupção</t>
  </si>
  <si>
    <t>0-100</t>
  </si>
  <si>
    <t>+</t>
  </si>
  <si>
    <t>Transparency Int.</t>
  </si>
  <si>
    <t>Angola - Corruption Perceptions Index 2023 | countryeconomy.com</t>
  </si>
  <si>
    <t>WGI - Estado de Direito</t>
  </si>
  <si>
    <t>-2.5 a 2.5</t>
  </si>
  <si>
    <t>Banco Mundial</t>
  </si>
  <si>
    <t>Angola's Income Inequality (2018) – Trends &amp; Historical Data</t>
  </si>
  <si>
    <t>WGI - Eficiência do Governo</t>
  </si>
  <si>
    <t>Estabilidade Política (WGI)</t>
  </si>
  <si>
    <t>Doing Business / Ease of Business</t>
  </si>
  <si>
    <t>Internet Users in Angola | 2025 Trends &amp; Rankings | World View Data</t>
  </si>
  <si>
    <t>2. Macroeconomia</t>
  </si>
  <si>
    <t>Taxa de Crescimento do PIB</t>
  </si>
  <si>
    <t>%</t>
  </si>
  <si>
    <t>INE/MEP</t>
  </si>
  <si>
    <t>Repositório de Conhecimento Aberto</t>
  </si>
  <si>
    <t>PIB per Capita (USD)</t>
  </si>
  <si>
    <t>USD</t>
  </si>
  <si>
    <t>Inflação (IPC)</t>
  </si>
  <si>
    <t>-</t>
  </si>
  <si>
    <t>INE/BNA</t>
  </si>
  <si>
    <t>Dívida Pública (% do PIB)</t>
  </si>
  <si>
    <t>MINFIN</t>
  </si>
  <si>
    <t>PUBLIC DEBT STATISTICAL BULLETIN AS OF []</t>
  </si>
  <si>
    <t>Saldo Orçamental (% do PIB)</t>
  </si>
  <si>
    <t>IDE não-petrolífero (% PIB)</t>
  </si>
  <si>
    <t>AIPEX/BNA</t>
  </si>
  <si>
    <t>Reservas Internacionais (meses)</t>
  </si>
  <si>
    <t>Meses</t>
  </si>
  <si>
    <t>BNA</t>
  </si>
  <si>
    <t>Índice de Desenvolvimento Humano</t>
  </si>
  <si>
    <t>0-1</t>
  </si>
  <si>
    <t>PNUD</t>
  </si>
  <si>
    <t>Relatório do Desenvolvimento Humano (RDH) 2023-2024 | United Nations Development Programme</t>
  </si>
  <si>
    <t>Esperança Média de Vida</t>
  </si>
  <si>
    <t>Anos</t>
  </si>
  <si>
    <t>INE/OMS</t>
  </si>
  <si>
    <t>Life Expectancy at Birth, Total for Angola (SPDYNLE00INAGO) | FRED | St. Louis Fed</t>
  </si>
  <si>
    <t>Taxa de Alfabetização (+15 anos)</t>
  </si>
  <si>
    <t>INE/MED</t>
  </si>
  <si>
    <t>Taxa de Matrícula (primário)</t>
  </si>
  <si>
    <t>MED</t>
  </si>
  <si>
    <t>Anos Médios de Escolaridade</t>
  </si>
  <si>
    <t>UNESCO</t>
  </si>
  <si>
    <t>Mortalidade Infantil (por 1000)</t>
  </si>
  <si>
    <t>‰</t>
  </si>
  <si>
    <t>INE/MINSA</t>
  </si>
  <si>
    <t>4. Inclusão Social</t>
  </si>
  <si>
    <t>Taxa de Pobreza (&lt; 2.15 USD/dia)</t>
  </si>
  <si>
    <t>INE/BM</t>
  </si>
  <si>
    <t>UNdata | record view | Poverty headcount ratio at $2.15 a day (2017 PPP) (% of population)</t>
  </si>
  <si>
    <t>Índice de Gini</t>
  </si>
  <si>
    <t>Gini index - Angola | Data</t>
  </si>
  <si>
    <t>Cobertura Protecção Social</t>
  </si>
  <si>
    <t>INSS</t>
  </si>
  <si>
    <t>Global Gender Gap Index</t>
  </si>
  <si>
    <t>WEF</t>
  </si>
  <si>
    <t>Angola - Global Gender Gap Index 2024 | countryeconomy.com</t>
  </si>
  <si>
    <t>RNB per Capita (USD)</t>
  </si>
  <si>
    <t>INE</t>
  </si>
  <si>
    <t>GNI per capita, Atlas method (current US$) - Angola | Data</t>
  </si>
  <si>
    <t>5. Infraestruturas</t>
  </si>
  <si>
    <t>Taxa de Electrificação</t>
  </si>
  <si>
    <t>MINEA</t>
  </si>
  <si>
    <t>Angola - Access To Electricity (% Of Population) - 2026 Data 2027 Forecast 1990-2023 Historical</t>
  </si>
  <si>
    <t>Acesso a Água Potável</t>
  </si>
  <si>
    <t>MINEA/INE</t>
  </si>
  <si>
    <t>Access to Basic Drinking Water in Angola | 2025 Trends &amp; Rankings | World View Data</t>
  </si>
  <si>
    <t>Acesso a Saneamento Básico</t>
  </si>
  <si>
    <t>People using at least basic sanitation services (% of population) - Angola | Data</t>
  </si>
  <si>
    <t>Cobertura de Rede 4G</t>
  </si>
  <si>
    <t>INACOM</t>
  </si>
  <si>
    <t xml:space="preserve">Não tem estatísticas anuais </t>
  </si>
  <si>
    <t>Utilizadores de Internet (%)</t>
  </si>
  <si>
    <t>Table Data - Internet users for Angola | FRED | St. Louis Fed</t>
  </si>
  <si>
    <t>Densidade Rodoviária (km/1000km²)</t>
  </si>
  <si>
    <t>km</t>
  </si>
  <si>
    <t>MINTRANS</t>
  </si>
  <si>
    <t>World Bank Document</t>
  </si>
  <si>
    <t>6. Mercado Trabalho</t>
  </si>
  <si>
    <t>Taxa de Emprego</t>
  </si>
  <si>
    <t>Taxa de Desemprego</t>
  </si>
  <si>
    <t>Desemprego Juvenil (15-25)</t>
  </si>
  <si>
    <t>Emprego Informal (%)</t>
  </si>
  <si>
    <t>Taxa de Formalização</t>
  </si>
  <si>
    <t>Crescimento da Produtividade</t>
  </si>
  <si>
    <t>7. Seg. Alimentar/Saúde</t>
  </si>
  <si>
    <t>Índice Global Seg. Alimentar</t>
  </si>
  <si>
    <t>EIU</t>
  </si>
  <si>
    <t>Indicadores Segurança Alimentar</t>
  </si>
  <si>
    <t>Prevalência de Desnutrição</t>
  </si>
  <si>
    <t>MINSA/FAO</t>
  </si>
  <si>
    <t>Angola Prevalence of undernourishment - data, chart | TheGlobalEconomy.com</t>
  </si>
  <si>
    <t>Mortalidade Materna (por 100k)</t>
  </si>
  <si>
    <t>por 100k</t>
  </si>
  <si>
    <t>MINSA/OMS</t>
  </si>
  <si>
    <t>Lifetime risk of maternal death (%) - Angola | Data</t>
  </si>
  <si>
    <t>Despesas Saúde (% PIB)</t>
  </si>
  <si>
    <t>MINFIN/OMS</t>
  </si>
  <si>
    <t>Angola Health spending as percent of GDP - data, chart | TheGlobalEconomy.com</t>
  </si>
  <si>
    <t>Camas Hospitalares (por 1000)</t>
  </si>
  <si>
    <t>por 1000</t>
  </si>
  <si>
    <t>MINSA</t>
  </si>
  <si>
    <t>Cobertura Vacinal (%)</t>
  </si>
  <si>
    <t>https://cdn.who.int/media/docs/default-source/country-profiles/immunization/2024-country-profiles/immunization-2024-ago.pdf?utm_source=chatgpt.co</t>
  </si>
  <si>
    <t xml:space="preserve">RIL USD </t>
  </si>
  <si>
    <t xml:space="preserve">Importações </t>
  </si>
  <si>
    <t>Meses de Importação</t>
  </si>
  <si>
    <t>PARÂMETROS DE NORMALIZAÇÃO E PONDERAÇÃO</t>
  </si>
  <si>
    <t>Mínimo Teórico</t>
  </si>
  <si>
    <t>Máximo Teórico</t>
  </si>
  <si>
    <t>Meta 2027</t>
  </si>
  <si>
    <t>Peso no Subíndice</t>
  </si>
  <si>
    <t>Desemprego Juvenil</t>
  </si>
  <si>
    <t>Limiar de Cobertura Mínima por Subíndice (fração 0-1)</t>
  </si>
  <si>
    <t>Nº Mínimo de Subíndices para calcular o IGDA (de 7)</t>
  </si>
  <si>
    <t>PESOS DOS SUBÍNDICES</t>
  </si>
  <si>
    <t>DIAGNÓSTICO DE COBERTURA (nº de indicadores com dados / total)</t>
  </si>
  <si>
    <t>Subíndices com dados (de 7)</t>
  </si>
  <si>
    <t>Diagnóstico de lacunas do IGDA-BDA</t>
  </si>
  <si>
    <t>Cobertura calculada apenas sobre as colunas 2015-2025 da folha Input_Dados. A coluna Q foi tratada como notas/fonte, não como série anual.</t>
  </si>
  <si>
    <t>Dimensão</t>
  </si>
  <si>
    <t>Nº indicadores atuais</t>
  </si>
  <si>
    <t>Indicadores sem dados 2015-2025</t>
  </si>
  <si>
    <t>Indicadores com baixa cobertura (&lt;6/11)</t>
  </si>
  <si>
    <t>Observação</t>
  </si>
  <si>
    <t>Nenhum</t>
  </si>
  <si>
    <t>Cobertura razoável; sugerem-se indicadores concorrentes para robustez metodológica.</t>
  </si>
  <si>
    <t>Reforçar com substitutos internacionais e/ou séries nacionais administrativas.</t>
  </si>
  <si>
    <t>Taxa de Alfabetização (+15 anos); Taxa de Matrícula (primário); Anos Médios de Escolaridade</t>
  </si>
  <si>
    <t>Taxa de Pobreza (&lt; 2.15 USD/dia) (1/11); Índice de Gini (1/11)</t>
  </si>
  <si>
    <t>Desemprego Juvenil (15-25); Crescimento da Produtividade</t>
  </si>
  <si>
    <t>Índice Global Seg. Alimentar (3/11); Camas Hospitalares (por 1000) (2/11)</t>
  </si>
  <si>
    <t>Indicadores concorrentes/candidatos para reforçar o IGDA-BDA</t>
  </si>
  <si>
    <t>Estas linhas são sugestões metodológicas. Para entrarem no cálculo, devem ser copiadas para Input_Dados, Parametros e Normalizacao, ajustando os intervalos dos subíndices.</t>
  </si>
  <si>
    <t>Fontes priorizadas: Banco Mundial/WDI/WGI, PNUD/HDR, OIT/ILOSTAT, ITU, FAO/FAOSTAT, OMS/WHO, UNICEF/JMP, INE/BNA/MEP/MINFIN para séries nacionais.</t>
  </si>
  <si>
    <t>Indicador sugerido</t>
  </si>
  <si>
    <t>Tipo</t>
  </si>
  <si>
    <t>Código</t>
  </si>
  <si>
    <t>Nome oficial/API</t>
  </si>
  <si>
    <t>Fonte_URL</t>
  </si>
  <si>
    <t>Mín. sugerido</t>
  </si>
  <si>
    <t>Máx. sugerido</t>
  </si>
  <si>
    <t>Meta 2027 sugerida</t>
  </si>
  <si>
    <t>Peso sugerido</t>
  </si>
  <si>
    <t>Prioridade</t>
  </si>
  <si>
    <t>Cobertura AGO 2015-2025</t>
  </si>
  <si>
    <t>Último ano com dado</t>
  </si>
  <si>
    <t>Racional / uso recomendado</t>
  </si>
  <si>
    <t>WGI - Controlo da Corrupção</t>
  </si>
  <si>
    <t>Substituto/Complementar</t>
  </si>
  <si>
    <t>CC.EST</t>
  </si>
  <si>
    <t>Control of Corruption: Estimate</t>
  </si>
  <si>
    <t>WGI/Banco Mundial</t>
  </si>
  <si>
    <t>https://datacatalog.worldbank.org/search/dataset/0038026/worldwide-governance-indicators</t>
  </si>
  <si>
    <t>Alta</t>
  </si>
  <si>
    <t>10/11 (WGI 2015-2024)</t>
  </si>
  <si>
    <t>Complementa o CPI com uma medida anual comparável e alinhada com os restantes WGI. Cobertura estimada pela periodicidade WGI; o endpoint WDI simples não devolve esta série.</t>
  </si>
  <si>
    <t>WGI - Qualidade Regulatória</t>
  </si>
  <si>
    <t>Substituto</t>
  </si>
  <si>
    <t>RQ.EST</t>
  </si>
  <si>
    <t>Regulatory Quality: Estimate</t>
  </si>
  <si>
    <t>Bom substituto para Doing Business, que foi descontinuado. Cobertura estimada pela periodicidade WGI; o endpoint WDI simples não devolve esta série.</t>
  </si>
  <si>
    <t>WGI - Voz e Responsabilização</t>
  </si>
  <si>
    <t>Complementar</t>
  </si>
  <si>
    <t>VA.EST</t>
  </si>
  <si>
    <t>Voice and Accountability: Estimate</t>
  </si>
  <si>
    <t>Média</t>
  </si>
  <si>
    <t>Acrescenta dimensão de responsabilização pública e participação. Cobertura estimada pela periodicidade WGI; o endpoint WDI simples não devolve esta série.</t>
  </si>
  <si>
    <t>Índice Ibrahim - Governação Global</t>
  </si>
  <si>
    <t>Mo Ibrahim Foundation</t>
  </si>
  <si>
    <t>https://iiag.online/</t>
  </si>
  <si>
    <t>Benchmark africano com várias dimensões institucionais.</t>
  </si>
  <si>
    <t>Índice Ibrahim - Segurança e Estado de Direito</t>
  </si>
  <si>
    <t>Aproxima governança de segurança, justiça e direitos no contexto africano.</t>
  </si>
  <si>
    <t>Open Budget Index</t>
  </si>
  <si>
    <t>International Budget Partnership</t>
  </si>
  <si>
    <t>https://internationalbudget.org/open-budget-survey/</t>
  </si>
  <si>
    <t>Mede transparência orçamental, relevante para responsabilização fiscal.</t>
  </si>
  <si>
    <t>Empresas solicitadas a fazer pagamentos informais</t>
  </si>
  <si>
    <t>World Bank Enterprise Surveys</t>
  </si>
  <si>
    <t>https://www.enterprisesurveys.org/</t>
  </si>
  <si>
    <t>Capta corrupção administrativa sentida pelas empresas.</t>
  </si>
  <si>
    <t>Statistical Performance Index - score geral</t>
  </si>
  <si>
    <t>IQ.SPI.OVRL</t>
  </si>
  <si>
    <t>Statistical performance indicators (SPI): Overall score (scale 0-100)</t>
  </si>
  <si>
    <t>https://data.worldbank.org/indicator/IQ.SPI.OVRL?locations=AO</t>
  </si>
  <si>
    <t>9/11</t>
  </si>
  <si>
    <t>Mede capacidade estatística, útil para qualidade de políticas públicas e monitorização.</t>
  </si>
  <si>
    <t>Saldo da conta corrente (% PIB)</t>
  </si>
  <si>
    <t>BN.CAB.XOKA.GD.ZS</t>
  </si>
  <si>
    <t>Current account balance (% of GDP)</t>
  </si>
  <si>
    <t>Banco Mundial/WDI</t>
  </si>
  <si>
    <t>https://data.worldbank.org/indicator/BN.CAB.XOKA.GD.ZS?locations=AO</t>
  </si>
  <si>
    <t>10/11</t>
  </si>
  <si>
    <t>Acrescenta sustentabilidade externa, ausente do subíndice atual.</t>
  </si>
  <si>
    <t>Receita fiscal (% PIB)</t>
  </si>
  <si>
    <t>GC.TAX.TOTL.GD.ZS</t>
  </si>
  <si>
    <t>Tax revenue (% of GDP)</t>
  </si>
  <si>
    <t>https://data.worldbank.org/indicator/GC.TAX.TOTL.GD.ZS?locations=AO</t>
  </si>
  <si>
    <t>Capta capacidade interna de financiamento do Estado.</t>
  </si>
  <si>
    <t>IDE líquido total (% PIB)</t>
  </si>
  <si>
    <t>BX.KLT.DINV.WD.GD.ZS</t>
  </si>
  <si>
    <t>Foreign direct investment, net inflows (% of GDP)</t>
  </si>
  <si>
    <t>https://data.worldbank.org/indicator/BX.KLT.DINV.WD.GD.ZS?locations=AO</t>
  </si>
  <si>
    <t>Substitui provisoriamente o IDE não-petrolífero quando a série setorial estiver vazia.</t>
  </si>
  <si>
    <t>Rendas petrolíferas (% PIB)</t>
  </si>
  <si>
    <t>NY.GDP.PETR.RT.ZS</t>
  </si>
  <si>
    <t>Oil rents (% of GDP)</t>
  </si>
  <si>
    <t>https://data.worldbank.org/indicator/NY.GDP.PETR.RT.ZS?locations=AO</t>
  </si>
  <si>
    <t>7/11</t>
  </si>
  <si>
    <t>Proxy de dependência petrolífera; menor dependência é melhor para diversificação.</t>
  </si>
  <si>
    <t>Exportações de bens e serviços (% PIB)</t>
  </si>
  <si>
    <t>NE.EXP.GNFS.ZS</t>
  </si>
  <si>
    <t>Exports of goods and services (% of GDP)</t>
  </si>
  <si>
    <t>https://data.worldbank.org/indicator/NE.EXP.GNFS.ZS?locations=AO</t>
  </si>
  <si>
    <t>Acompanha abertura e capacidade exportadora, mas deve ser lido com composição setorial.</t>
  </si>
  <si>
    <t>Reservas internacionais em meses de importações</t>
  </si>
  <si>
    <t>FI.RES.TOTL.MO</t>
  </si>
  <si>
    <t>Total reserves in months of imports</t>
  </si>
  <si>
    <t>https://data.worldbank.org/indicator/FI.RES.TOTL.MO?locations=AO</t>
  </si>
  <si>
    <t>Pode substituir o cálculo manual atualmente colocado abaixo da tabela.</t>
  </si>
  <si>
    <t>Crédito doméstico ao setor privado (% PIB)</t>
  </si>
  <si>
    <t>FS.AST.PRVT.GD.ZS</t>
  </si>
  <si>
    <t>Domestic credit to private sector (% of GDP)</t>
  </si>
  <si>
    <t>https://data.worldbank.org/indicator/FS.AST.PRVT.GD.ZS?locations=AO</t>
  </si>
  <si>
    <t>Acrescenta profundidade financeira e apoio ao investimento privado.</t>
  </si>
  <si>
    <t>Crescimento do PIB não petrolífero</t>
  </si>
  <si>
    <t>INE/MEP/BNA</t>
  </si>
  <si>
    <t>https://www.ine.gov.ao/</t>
  </si>
  <si>
    <t>Mais alinhado com a diversificação económica do que o PIB total.</t>
  </si>
  <si>
    <t>Volatilidade da taxa de câmbio nominal</t>
  </si>
  <si>
    <t>PA.NUS.FCRF</t>
  </si>
  <si>
    <t>Official exchange rate (LCU per US$, period average)</t>
  </si>
  <si>
    <t>Banco Mundial/WDI ou BNA</t>
  </si>
  <si>
    <t>https://data.worldbank.org/indicator/PA.NUS.FCRF?locations=AO</t>
  </si>
  <si>
    <t>% variação anual</t>
  </si>
  <si>
    <t>Capta instabilidade cambial que afeta preços, dívida e importações.</t>
  </si>
  <si>
    <t>Taxa de alfabetização adulta</t>
  </si>
  <si>
    <t>SE.ADT.LITR.ZS</t>
  </si>
  <si>
    <t>Literacy rate, adult total (% of people ages 15 and above)</t>
  </si>
  <si>
    <t>Banco Mundial/UNESCO</t>
  </si>
  <si>
    <t>https://data.worldbank.org/indicator/SE.ADT.LITR.ZS?locations=AO</t>
  </si>
  <si>
    <t>2/11</t>
  </si>
  <si>
    <t>Preenche a linha existente com fonte internacional comparável.</t>
  </si>
  <si>
    <t>Taxa de conclusão do ensino primário</t>
  </si>
  <si>
    <t>SE.PRM.CMPT.ZS</t>
  </si>
  <si>
    <t>Primary completion rate, total (% of relevant age group)</t>
  </si>
  <si>
    <t>https://data.worldbank.org/indicator/SE.PRM.CMPT.ZS?locations=AO</t>
  </si>
  <si>
    <t>Mais robusta que matrícula para medir progressão efetiva.</t>
  </si>
  <si>
    <t>Matrícula no ensino secundário, bruta</t>
  </si>
  <si>
    <t>SE.SEC.ENRR</t>
  </si>
  <si>
    <t>School enrollment, secondary (% gross)</t>
  </si>
  <si>
    <t>https://data.worldbank.org/indicator/SE.SEC.ENRR?locations=AO</t>
  </si>
  <si>
    <t>3/11</t>
  </si>
  <si>
    <t>Captura continuidade pós-primária.</t>
  </si>
  <si>
    <t>Matrícula no ensino terciário, bruta</t>
  </si>
  <si>
    <t>SE.TER.ENRR</t>
  </si>
  <si>
    <t>School enrollment, tertiary (% gross)</t>
  </si>
  <si>
    <t>https://data.worldbank.org/indicator/SE.TER.ENRR?locations=AO</t>
  </si>
  <si>
    <t>4/11</t>
  </si>
  <si>
    <t>Ajuda a medir formação avançada e capacidade técnica.</t>
  </si>
  <si>
    <t>Despesa pública em educação (% PIB)</t>
  </si>
  <si>
    <t>SE.XPD.TOTL.GD.ZS</t>
  </si>
  <si>
    <t>Government expenditure on education, total (% of GDP)</t>
  </si>
  <si>
    <t>https://data.worldbank.org/indicator/SE.XPD.TOTL.GD.ZS?locations=AO</t>
  </si>
  <si>
    <t>Input de política pública; deve ser combinado com resultados de aprendizagem.</t>
  </si>
  <si>
    <t>Learning poverty - crianças sem proficiência mínima de leitura</t>
  </si>
  <si>
    <t>SE.LPV.PRIM</t>
  </si>
  <si>
    <t>Learning poverty: Share of Children at the End-of-Primary age below minimum reading proficiency adjusted by Out-of-School Children (%)</t>
  </si>
  <si>
    <t>https://data.worldbank.org/indicator/SE.LPV.PRIM?locations=AO</t>
  </si>
  <si>
    <t>Baixa</t>
  </si>
  <si>
    <t>0/11</t>
  </si>
  <si>
    <t>Mede aprendizagem, não apenas acesso à escola. Usar como benchmark de qualidade; a cobertura anual para Angola é limitada.</t>
  </si>
  <si>
    <t>Rácio alunos/professor no primário</t>
  </si>
  <si>
    <t>SE.PRM.ENRL.TC.ZS</t>
  </si>
  <si>
    <t>Pupil-teacher ratio, primary</t>
  </si>
  <si>
    <t>https://data.worldbank.org/indicator/SE.PRM.ENRL.TC.ZS?locations=AO</t>
  </si>
  <si>
    <t>Alunos por professor</t>
  </si>
  <si>
    <t>1/11</t>
  </si>
  <si>
    <t>Proxy simples de pressão sobre qualidade de ensino.</t>
  </si>
  <si>
    <t>Índice de Capital Humano</t>
  </si>
  <si>
    <t>HD.HCI.OVRL</t>
  </si>
  <si>
    <t>Human Capital Index (HCI) (scale 0-1)</t>
  </si>
  <si>
    <t>https://data.worldbank.org/indicator/HD.HCI.OVRL?locations=AO</t>
  </si>
  <si>
    <t>Útil como benchmark, mas menos anual do que os restantes indicadores.</t>
  </si>
  <si>
    <t>Anos esperados de escolaridade</t>
  </si>
  <si>
    <t>PNUD/HDR</t>
  </si>
  <si>
    <t>https://hdr.undp.org/data-center</t>
  </si>
  <si>
    <t>Substitui ou complementa anos médios de escolaridade quando a série nacional estiver vazia.</t>
  </si>
  <si>
    <t>Pobreza pela linha nacional</t>
  </si>
  <si>
    <t>SI.POV.NAHC</t>
  </si>
  <si>
    <t>Poverty headcount ratio at national poverty lines (% of population)</t>
  </si>
  <si>
    <t>Banco Mundial/PIP</t>
  </si>
  <si>
    <t>https://data.worldbank.org/indicator/SI.POV.NAHC?locations=AO</t>
  </si>
  <si>
    <t>Mais diretamente ligada à linha oficial de pobreza do país.</t>
  </si>
  <si>
    <t>Pobreza internacional a 3,00 USD/dia, PPP 2021</t>
  </si>
  <si>
    <t>SI.POV.DDAY</t>
  </si>
  <si>
    <t>Poverty headcount ratio at $3.00 a day (2021 PPP) (% of population)</t>
  </si>
  <si>
    <t>https://data.worldbank.org/indicator/SI.POV.DDAY?locations=AO</t>
  </si>
  <si>
    <t>Atualiza a referência internacional que substituiu linhas PPP antigas.</t>
  </si>
  <si>
    <t>SI.POV.GINI</t>
  </si>
  <si>
    <t>Gini index</t>
  </si>
  <si>
    <t>https://data.worldbank.org/indicator/SI.POV.GINI?locations=AO</t>
  </si>
  <si>
    <t>Mantém comparabilidade internacional para desigualdade.</t>
  </si>
  <si>
    <t>Quota de rendimento dos 20% mais pobres</t>
  </si>
  <si>
    <t>SI.DST.FRST.20</t>
  </si>
  <si>
    <t>Income share held by lowest 20%</t>
  </si>
  <si>
    <t>https://data.worldbank.org/indicator/SI.DST.FRST.20?locations=AO</t>
  </si>
  <si>
    <t>Lê inclusão distributiva de forma complementar ao Gini.</t>
  </si>
  <si>
    <t>Cobertura de proteção social da população</t>
  </si>
  <si>
    <t>Banco Mundial ASPIRE/OIT</t>
  </si>
  <si>
    <t>https://www.worldbank.org/en/data/datatopics/aspire</t>
  </si>
  <si>
    <t>Preenche a lacuna existente de proteção social se houver série ASPIRE/OIT ou INSS.</t>
  </si>
  <si>
    <t>Índice de Pobreza Multidimensional - incidência</t>
  </si>
  <si>
    <t>PNUD/OPHI</t>
  </si>
  <si>
    <t>https://hdr.undp.org/data-center/thematic-composite-indices</t>
  </si>
  <si>
    <t>Capta privações simultâneas além de rendimento.</t>
  </si>
  <si>
    <t>Jovens NEET</t>
  </si>
  <si>
    <t>SL.UEM.NEET.ZS</t>
  </si>
  <si>
    <t>Share of youth not in education, employment or training, total (% of youth population)</t>
  </si>
  <si>
    <t>Banco Mundial/OIT</t>
  </si>
  <si>
    <t>https://data.worldbank.org/indicator/SL.UEM.NEET.ZS?locations=AO</t>
  </si>
  <si>
    <t>6/11</t>
  </si>
  <si>
    <t>Forte indicador de exclusão de jovens.</t>
  </si>
  <si>
    <t>Mulheres no parlamento</t>
  </si>
  <si>
    <t>SG.GEN.PARL.ZS</t>
  </si>
  <si>
    <t>Proportion of seats held by women in national parliaments (%)</t>
  </si>
  <si>
    <t>Banco Mundial/IPU</t>
  </si>
  <si>
    <t>https://data.worldbank.org/indicator/SG.GEN.PARL.ZS?locations=AO</t>
  </si>
  <si>
    <t>11/11</t>
  </si>
  <si>
    <t>Mede inclusão política de género.</t>
  </si>
  <si>
    <t>Participação feminina na força de trabalho</t>
  </si>
  <si>
    <t>SL.TLF.CACT.FE.ZS</t>
  </si>
  <si>
    <t>Labor force participation rate, female (% of female population ages 15+) (modeled ILO estimate)</t>
  </si>
  <si>
    <t>https://data.worldbank.org/indicator/SL.TLF.CACT.FE.ZS?locations=AO</t>
  </si>
  <si>
    <t>Complementa o Global Gender Gap com uma métrica económica anual.</t>
  </si>
  <si>
    <t>Registo de nascimento completo</t>
  </si>
  <si>
    <t>SP.REG.BRTH.ZS</t>
  </si>
  <si>
    <t>Completeness of birth registration (%)</t>
  </si>
  <si>
    <t>Banco Mundial/UNICEF</t>
  </si>
  <si>
    <t>https://data.worldbank.org/indicator/SP.REG.BRTH.ZS?locations=AO</t>
  </si>
  <si>
    <t>Proxy de inclusão administrativa e acesso a direitos básicos.</t>
  </si>
  <si>
    <t>Acesso rural à eletricidade</t>
  </si>
  <si>
    <t>EG.ELC.ACCS.RU.ZS</t>
  </si>
  <si>
    <t>Access to electricity, rural (% of rural population)</t>
  </si>
  <si>
    <t>Banco Mundial/IEA</t>
  </si>
  <si>
    <t>https://data.worldbank.org/indicator/EG.ELC.ACCS.RU.ZS?locations=AO</t>
  </si>
  <si>
    <t>Evidencia desigualdade territorial no acesso à energia.</t>
  </si>
  <si>
    <t>Acesso a energia limpa para cozinhar</t>
  </si>
  <si>
    <t>EG.CFT.ACCS.ZS</t>
  </si>
  <si>
    <t>Access to clean fuels and technologies for cooking (% of population)</t>
  </si>
  <si>
    <t>Banco Mundial/OMS</t>
  </si>
  <si>
    <t>https://data.worldbank.org/indicator/EG.CFT.ACCS.ZS?locations=AO</t>
  </si>
  <si>
    <t>Indicador de infraestrutura doméstica com impacto ambiental e de saúde.</t>
  </si>
  <si>
    <t>Perdas de transmissão e distribuição elétrica</t>
  </si>
  <si>
    <t>EG.ELC.LOSS.ZS</t>
  </si>
  <si>
    <t>Electric power transmission and distribution losses (% of output)</t>
  </si>
  <si>
    <t>https://data.worldbank.org/indicator/EG.ELC.LOSS.ZS?locations=AO</t>
  </si>
  <si>
    <t>Mede eficiência da rede elétrica, não apenas acesso.</t>
  </si>
  <si>
    <t>Subscrições móveis por 100 habitantes</t>
  </si>
  <si>
    <t>IT.CEL.SETS.P2</t>
  </si>
  <si>
    <t>Mobile cellular subscriptions (per 100 people)</t>
  </si>
  <si>
    <t>Banco Mundial/ITU</t>
  </si>
  <si>
    <t>https://data.worldbank.org/indicator/IT.CEL.SETS.P2?locations=AO</t>
  </si>
  <si>
    <t>por 100 hab.</t>
  </si>
  <si>
    <t>Alternativa anual à cobertura 4G quando a série INACOM estiver incompleta.</t>
  </si>
  <si>
    <t>Banda larga fixa por 100 habitantes</t>
  </si>
  <si>
    <t>IT.NET.BBND.P2</t>
  </si>
  <si>
    <t>Fixed broadband subscriptions (per 100 people)</t>
  </si>
  <si>
    <t>https://data.worldbank.org/indicator/IT.NET.BBND.P2?locations=AO</t>
  </si>
  <si>
    <t>Mede infraestrutura digital fixa, distinta do uso de internet.</t>
  </si>
  <si>
    <t>Preço de cabaz móvel-banda larga (% RNB per capita)</t>
  </si>
  <si>
    <t>ITU DataHub</t>
  </si>
  <si>
    <t>https://datahub.itu.int/</t>
  </si>
  <si>
    <t>% RNB per capita</t>
  </si>
  <si>
    <t>Capta acessibilidade económica da conectividade.</t>
  </si>
  <si>
    <t>Água potável básica - população total</t>
  </si>
  <si>
    <t>SH.H2O.BASW.ZS</t>
  </si>
  <si>
    <t>People using at least basic drinking water services (% of population)</t>
  </si>
  <si>
    <t>Banco Mundial/JMP</t>
  </si>
  <si>
    <t>https://data.worldbank.org/indicator/SH.H2O.BASW.ZS?locations=AO</t>
  </si>
  <si>
    <t>Fonte comparável para preencher/validar a linha de água potável.</t>
  </si>
  <si>
    <t>Saneamento básico - população total</t>
  </si>
  <si>
    <t>SH.STA.BASS.ZS</t>
  </si>
  <si>
    <t>People using at least basic sanitation services (% of population)</t>
  </si>
  <si>
    <t>https://data.worldbank.org/indicator/SH.STA.BASS.ZS?locations=AO</t>
  </si>
  <si>
    <t>8/11</t>
  </si>
  <si>
    <t>Fonte comparável para preencher/validar saneamento.</t>
  </si>
  <si>
    <t>Estradas pavimentadas (% total)</t>
  </si>
  <si>
    <t>IS.ROD.PAVE.ZS</t>
  </si>
  <si>
    <t>Roads, paved (% of total roads)</t>
  </si>
  <si>
    <t>https://data.worldbank.org/indicator/IS.ROD.PAVE.ZS?locations=AO</t>
  </si>
  <si>
    <t>2001</t>
  </si>
  <si>
    <t>Complementa densidade rodoviária com qualidade da rede.</t>
  </si>
  <si>
    <t>Logistics Performance Index - geral</t>
  </si>
  <si>
    <t>LP.LPI.OVRL.XQ</t>
  </si>
  <si>
    <t>Logistics performance index: Overall (1=low to 5=high)</t>
  </si>
  <si>
    <t>Banco Mundial/LPI</t>
  </si>
  <si>
    <t>https://data.worldbank.org/indicator/LP.LPI.OVRL.XQ?locations=AO</t>
  </si>
  <si>
    <t>1-5</t>
  </si>
  <si>
    <t>Indicador sintético de logística; útil, mas não anual.</t>
  </si>
  <si>
    <t>Emprego/população 15+</t>
  </si>
  <si>
    <t>SL.EMP.TOTL.SP.ZS</t>
  </si>
  <si>
    <t>Employment to population ratio, 15+, total (%) (modeled ILO estimate)</t>
  </si>
  <si>
    <t>https://data.worldbank.org/indicator/SL.EMP.TOTL.SP.ZS?locations=AO</t>
  </si>
  <si>
    <t>Série internacional para validar a taxa de emprego.</t>
  </si>
  <si>
    <t>Desemprego total modelado OIT</t>
  </si>
  <si>
    <t>SL.UEM.TOTL.ZS</t>
  </si>
  <si>
    <t>Unemployment, total (% of total labor force) (modeled ILO estimate)</t>
  </si>
  <si>
    <t>https://data.worldbank.org/indicator/SL.UEM.TOTL.ZS?locations=AO</t>
  </si>
  <si>
    <t>Série anual comparável para anos sem inquérito nacional.</t>
  </si>
  <si>
    <t>Desemprego juvenil 15-24</t>
  </si>
  <si>
    <t>SL.UEM.1524.ZS</t>
  </si>
  <si>
    <t>Unemployment, youth total (% of total labor force ages 15-24) (modeled ILO estimate)</t>
  </si>
  <si>
    <t>https://data.worldbank.org/indicator/SL.UEM.1524.ZS?locations=AO</t>
  </si>
  <si>
    <t>Preenche a lacuna existente de desemprego juvenil.</t>
  </si>
  <si>
    <t>Participação na força de trabalho</t>
  </si>
  <si>
    <t>SL.TLF.CACT.ZS</t>
  </si>
  <si>
    <t>Labor force participation rate, total (% of total population ages 15+) (modeled ILO estimate)</t>
  </si>
  <si>
    <t>https://data.worldbank.org/indicator/SL.TLF.CACT.ZS?locations=AO</t>
  </si>
  <si>
    <t>Ajuda a interpretar desemprego junto com atividade laboral.</t>
  </si>
  <si>
    <t>Emprego vulnerável</t>
  </si>
  <si>
    <t>SL.EMP.VULN.ZS</t>
  </si>
  <si>
    <t>Vulnerable employment, total (% of total employment) (modeled ILO estimate)</t>
  </si>
  <si>
    <t>https://data.worldbank.org/indicator/SL.EMP.VULN.ZS?locations=AO</t>
  </si>
  <si>
    <t>Qualidade do emprego; boa alternativa a informalidade quando esta estiver incompleta.</t>
  </si>
  <si>
    <t>Trabalhadores assalariados</t>
  </si>
  <si>
    <t>SL.EMP.WORK.ZS</t>
  </si>
  <si>
    <t>Wage and salaried workers, total (% of total employment) (modeled ILO estimate)</t>
  </si>
  <si>
    <t>https://data.worldbank.org/indicator/SL.EMP.WORK.ZS?locations=AO</t>
  </si>
  <si>
    <t>% emprego total</t>
  </si>
  <si>
    <t>Proxy de formalização/estrutura moderna do emprego.</t>
  </si>
  <si>
    <t>Emprego na agricultura</t>
  </si>
  <si>
    <t>SL.AGR.EMPL.ZS</t>
  </si>
  <si>
    <t>Employment in agriculture (% of total employment) (modeled ILO estimate)</t>
  </si>
  <si>
    <t>https://data.worldbank.org/indicator/SL.AGR.EMPL.ZS?locations=AO</t>
  </si>
  <si>
    <t>Proxy de transformação estrutural; deve ser lido com produtividade agrícola.</t>
  </si>
  <si>
    <t>PIB por pessoa empregada</t>
  </si>
  <si>
    <t>SL.GDP.PCAP.EM.KD</t>
  </si>
  <si>
    <t>GDP per person employed (constant 2021 PPP $)</t>
  </si>
  <si>
    <t>https://data.worldbank.org/indicator/SL.GDP.PCAP.EM.KD?locations=AO</t>
  </si>
  <si>
    <t>USD PPP constantes</t>
  </si>
  <si>
    <t>Preenche crescimento de produtividade com uma medida de nível anual.</t>
  </si>
  <si>
    <t>Indicador concorrente do desemprego juvenil porque inclui jovens fora da força de trabalho.</t>
  </si>
  <si>
    <t>Emprego informal fora da agricultura</t>
  </si>
  <si>
    <t>INE/OIT ILOSTAT</t>
  </si>
  <si>
    <t>https://ilostat.ilo.org/data/</t>
  </si>
  <si>
    <t>% emprego</t>
  </si>
  <si>
    <t>Mantém a dimensão de informalidade, idealmente com microdados/inquéritos nacionais.</t>
  </si>
  <si>
    <t>Insegurança alimentar moderada ou severa</t>
  </si>
  <si>
    <t>SN.ITK.MSFI.ZS</t>
  </si>
  <si>
    <t>Prevalence of moderate or severe food insecurity in the population (%)</t>
  </si>
  <si>
    <t>Banco Mundial/FAO</t>
  </si>
  <si>
    <t>https://data.worldbank.org/indicator/SN.ITK.MSFI.ZS?locations=AO</t>
  </si>
  <si>
    <t>Alternativa aberta ao índice proprietário de segurança alimentar.</t>
  </si>
  <si>
    <t>Prevalência de subalimentação</t>
  </si>
  <si>
    <t>SN.ITK.DEFC.ZS</t>
  </si>
  <si>
    <t>Prevalence of undernourishment (% of population)</t>
  </si>
  <si>
    <t>https://data.worldbank.org/indicator/SN.ITK.DEFC.ZS?locations=AO</t>
  </si>
  <si>
    <t>Série FAO comparável para segurança alimentar.</t>
  </si>
  <si>
    <t>Atraso de crescimento infantil</t>
  </si>
  <si>
    <t>SH.STA.STNT.ZS</t>
  </si>
  <si>
    <t>Prevalence of stunting, height for age (% of children under 5)</t>
  </si>
  <si>
    <t>Banco Mundial/OMS/UNICEF</t>
  </si>
  <si>
    <t>https://data.worldbank.org/indicator/SH.STA.STNT.ZS?locations=AO</t>
  </si>
  <si>
    <t>% crianças &lt;5</t>
  </si>
  <si>
    <t>Mede nutrição crónica infantil.</t>
  </si>
  <si>
    <t>Emaciação infantil</t>
  </si>
  <si>
    <t>SH.STA.WAST.ZS</t>
  </si>
  <si>
    <t>Prevalence of wasting, weight for height (% of children under 5)</t>
  </si>
  <si>
    <t>https://data.worldbank.org/indicator/SH.STA.WAST.ZS?locations=AO</t>
  </si>
  <si>
    <t>Mede nutrição aguda e choque alimentar/saúde.</t>
  </si>
  <si>
    <t>Mortalidade de menores de 5 anos</t>
  </si>
  <si>
    <t>SH.DYN.MORT</t>
  </si>
  <si>
    <t>Mortality rate, under-5 (per 1,000 live births)</t>
  </si>
  <si>
    <t>https://data.worldbank.org/indicator/SH.DYN.MORT?locations=AO</t>
  </si>
  <si>
    <t>Mais abrangente que mortalidade infantil isolada.</t>
  </si>
  <si>
    <t>Cobertura universal de saúde - UHC service coverage index</t>
  </si>
  <si>
    <t>SH.UHC.SRVS.CV.XD</t>
  </si>
  <si>
    <t>UHC service coverage index</t>
  </si>
  <si>
    <t>https://data.worldbank.org/indicator/SH.UHC.SRVS.CV.XD?locations=AO</t>
  </si>
  <si>
    <t>Sintetiza cobertura efetiva de serviços essenciais. Usar como benchmark de qualidade; a cobertura anual para Angola é limitada.</t>
  </si>
  <si>
    <t>Vacinação DPT</t>
  </si>
  <si>
    <t>SH.IMM.IDPT</t>
  </si>
  <si>
    <t>Immunization, DPT (% of children ages 12-23 months)</t>
  </si>
  <si>
    <t>https://data.worldbank.org/indicator/SH.IMM.IDPT?locations=AO</t>
  </si>
  <si>
    <t>% crianças 12-23m</t>
  </si>
  <si>
    <t>Pode complementar a cobertura vacinal geral com indicador padronizado.</t>
  </si>
  <si>
    <t>Despesa corrente em saúde (% PIB)</t>
  </si>
  <si>
    <t>SH.XPD.CHEX.GD.ZS</t>
  </si>
  <si>
    <t>Current health expenditure (% of GDP)</t>
  </si>
  <si>
    <t>https://data.worldbank.org/indicator/SH.XPD.CHEX.GD.ZS?locations=AO</t>
  </si>
  <si>
    <t>Fonte internacional padronizada para a linha já existente.</t>
  </si>
  <si>
    <t>Médicos por 1000 habitantes</t>
  </si>
  <si>
    <t>SH.MED.PHYS.ZS</t>
  </si>
  <si>
    <t>Physicians (per 1,000 people)</t>
  </si>
  <si>
    <t>https://data.worldbank.org/indicator/SH.MED.PHYS.ZS?locations=AO</t>
  </si>
  <si>
    <t>Complementa camas hospitalares com capacidade humana do sistema.</t>
  </si>
  <si>
    <t>Camas hospitalares por 1000 habitantes</t>
  </si>
  <si>
    <t>SH.MED.BEDS.ZS</t>
  </si>
  <si>
    <t>Hospital beds (per 1,000 people)</t>
  </si>
  <si>
    <t>https://data.worldbank.org/indicator/SH.MED.BEDS.ZS?locations=AO</t>
  </si>
  <si>
    <t>Fonte alternativa para preencher a série com baixa cobertura.</t>
  </si>
  <si>
    <t>Índice de produção alimentar</t>
  </si>
  <si>
    <t>AG.PRD.FOOD.XD</t>
  </si>
  <si>
    <t>Food production index (2014-2016 = 100)</t>
  </si>
  <si>
    <t>https://data.worldbank.org/indicator/AG.PRD.FOOD.XD?locations=AO</t>
  </si>
  <si>
    <t>2014-2016=100</t>
  </si>
  <si>
    <t>Acompanha disponibilidade doméstica de alimentos.</t>
  </si>
  <si>
    <t>Rendimento cerealífero</t>
  </si>
  <si>
    <t>AG.YLD.CREL.KG</t>
  </si>
  <si>
    <t>Cereal yield (kg per hectare)</t>
  </si>
  <si>
    <t>https://data.worldbank.org/indicator/AG.YLD.CREL.KG?locations=AO</t>
  </si>
  <si>
    <t>kg/ha</t>
  </si>
  <si>
    <t>Proxy de produtividade agrícola e segurança alimentar.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</si>
</sst>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"/>
    <numFmt numFmtId="165" formatCode="0.0"/>
    <numFmt numFmtId="166" formatCode="\+0.0;\-0.0;0.0"/>
  </numFmts>
  <fonts count="21" x14ac:knownFonts="1">
    <font>
      <sz val="11"/>
      <color theme="1"/>
      <name val="Calibri"/>
      <family val="2"/>
      <charset val="1"/>
    </font>
    <font>
      <b/>
      <sz val="16"/>
      <color rgb="FF1F4E79"/>
      <name val="Cambria"/>
      <family val="1"/>
      <charset val="1"/>
    </font>
    <font>
      <b/>
      <sz val="14"/>
      <name val="Cambria"/>
      <family val="1"/>
      <charset val="1"/>
    </font>
    <font>
      <b/>
      <sz val="12"/>
      <name val="Cambria"/>
      <family val="1"/>
      <charset val="1"/>
    </font>
    <font>
      <sz val="11"/>
      <name val="Cambria"/>
      <family val="1"/>
      <charset val="1"/>
    </font>
    <font>
      <b/>
      <sz val="11"/>
      <name val="Cambria"/>
      <charset val="1"/>
    </font>
    <font>
      <b/>
      <sz val="11"/>
      <color rgb="FFFFFFFF"/>
      <name val="Cambria"/>
      <family val="1"/>
      <charset val="1"/>
    </font>
    <font>
      <sz val="11"/>
      <color rgb="FF0000FF"/>
      <name val="Cambria"/>
      <family val="1"/>
      <charset val="1"/>
    </font>
    <font>
      <u/>
      <sz val="11"/>
      <color theme="10"/>
      <name val="Calibri"/>
      <family val="2"/>
      <charset val="1"/>
    </font>
    <font>
      <b/>
      <sz val="11"/>
      <color rgb="FF0000FF"/>
      <name val="Cambria"/>
      <family val="1"/>
      <charset val="1"/>
    </font>
    <font>
      <sz val="11"/>
      <color rgb="FFFF0000"/>
      <name val="Calibri"/>
      <family val="2"/>
      <charset val="1"/>
    </font>
    <font>
      <sz val="11"/>
      <color rgb="FFFF0000"/>
      <name val="Cambria"/>
      <family val="1"/>
      <charset val="1"/>
    </font>
    <font>
      <sz val="11"/>
      <name val="Calibri"/>
      <family val="2"/>
      <charset val="1"/>
    </font>
    <font>
      <b/>
      <sz val="11"/>
      <color rgb="FF0000FF"/>
      <name val="Cambria"/>
      <charset val="1"/>
    </font>
    <font>
      <sz val="11"/>
      <color rgb="FF008000"/>
      <name val="Cambria"/>
      <family val="1"/>
      <charset val="1"/>
    </font>
    <font>
      <b/>
      <sz val="11"/>
      <name val="Cambria"/>
      <family val="1"/>
      <charset val="1"/>
    </font>
    <font>
      <sz val="9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1F2937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BEEF4"/>
      </patternFill>
    </fill>
    <fill>
      <patternFill patternType="solid">
        <fgColor theme="9" tint="0.79989013336588644"/>
        <bgColor rgb="FFEEECE1"/>
      </patternFill>
    </fill>
    <fill>
      <patternFill patternType="solid">
        <fgColor rgb="FFE2EFDA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theme="8" tint="0.79989013336588644"/>
        <bgColor rgb="FFDDEBF7"/>
      </patternFill>
    </fill>
    <fill>
      <patternFill patternType="solid">
        <fgColor rgb="FFF4B084"/>
        <bgColor rgb="FFF79646"/>
      </patternFill>
    </fill>
    <fill>
      <patternFill patternType="solid">
        <fgColor theme="2"/>
        <bgColor rgb="FFE2EFDA"/>
      </patternFill>
    </fill>
    <fill>
      <patternFill patternType="solid">
        <fgColor theme="9"/>
        <bgColor rgb="FFFF8080"/>
      </patternFill>
    </fill>
    <fill>
      <patternFill patternType="solid">
        <fgColor theme="9" tint="-0.249977111117893"/>
        <bgColor rgb="FFF79646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E7E6E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4" fontId="7" fillId="4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/>
    <xf numFmtId="0" fontId="0" fillId="6" borderId="0" xfId="0" applyFill="1"/>
    <xf numFmtId="4" fontId="0" fillId="6" borderId="0" xfId="0" applyNumberFormat="1" applyFill="1"/>
    <xf numFmtId="0" fontId="0" fillId="0" borderId="1" xfId="0" applyBorder="1" applyAlignment="1">
      <alignment horizontal="left" vertical="center" wrapText="1"/>
    </xf>
    <xf numFmtId="0" fontId="13" fillId="6" borderId="0" xfId="0" applyFont="1" applyFill="1"/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4" fillId="7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/>
    <xf numFmtId="0" fontId="0" fillId="8" borderId="1" xfId="0" applyFill="1" applyBorder="1"/>
    <xf numFmtId="165" fontId="15" fillId="7" borderId="1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/>
    </xf>
    <xf numFmtId="0" fontId="15" fillId="0" borderId="0" xfId="0" applyFont="1"/>
    <xf numFmtId="166" fontId="0" fillId="7" borderId="0" xfId="0" applyNumberFormat="1" applyFill="1" applyAlignment="1">
      <alignment horizontal="center" vertical="center" wrapText="1"/>
    </xf>
    <xf numFmtId="0" fontId="0" fillId="10" borderId="0" xfId="0" applyFill="1"/>
    <xf numFmtId="0" fontId="17" fillId="10" borderId="0" xfId="0" applyFont="1" applyFill="1"/>
    <xf numFmtId="0" fontId="0" fillId="11" borderId="0" xfId="0" applyFill="1"/>
    <xf numFmtId="0" fontId="18" fillId="0" borderId="0" xfId="0" applyFont="1"/>
    <xf numFmtId="0" fontId="0" fillId="0" borderId="0" xfId="0" applyAlignment="1">
      <alignment wrapText="1"/>
    </xf>
    <xf numFmtId="0" fontId="19" fillId="1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0" fillId="0" borderId="0" xfId="0" applyFont="1" applyAlignment="1">
      <alignment wrapText="1"/>
    </xf>
    <xf numFmtId="0" fontId="19" fillId="1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13" borderId="4" xfId="0" applyFill="1" applyBorder="1" applyAlignment="1">
      <alignment vertical="top" wrapText="1"/>
    </xf>
    <xf numFmtId="0" fontId="0" fillId="14" borderId="4" xfId="0" applyFill="1" applyBorder="1" applyAlignment="1">
      <alignment vertical="top" wrapText="1"/>
    </xf>
    <xf numFmtId="0" fontId="0" fillId="15" borderId="4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2">
    <dxf>
      <font>
        <color rgb="FF0070C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E8B2B7C5-C3BA-4B2F-B7D7-75823ECF648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DEADA"/>
      <rgbColor rgb="FFDBEEF4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EEECE1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79646"/>
      <rgbColor rgb="FFE46C0A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Indice_Global!$C$8</c:f>
              <c:strCache>
                <c:ptCount val="1"/>
                <c:pt idx="0">
                  <c:v>4. Inclusão Social e Protecção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Indice_Global!$E$8:$O$8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3-4337-B568-79F37A2AC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9647759"/>
        <c:axId val="29833440"/>
      </c:lineChart>
      <c:catAx>
        <c:axId val="296477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9833440"/>
        <c:crosses val="autoZero"/>
        <c:auto val="1"/>
        <c:lblAlgn val="ctr"/>
        <c:lblOffset val="100"/>
        <c:noMultiLvlLbl val="0"/>
      </c:catAx>
      <c:valAx>
        <c:axId val="298334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964775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Indice_Global!$C$5</c:f>
              <c:strCache>
                <c:ptCount val="1"/>
                <c:pt idx="0">
                  <c:v>1. Governança e Estado de Direito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Indice_Global!$E$5:$N$5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3-4EA7-A8A3-1B532F40D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5211111"/>
        <c:axId val="48709131"/>
      </c:lineChart>
      <c:catAx>
        <c:axId val="45211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8709131"/>
        <c:crosses val="autoZero"/>
        <c:auto val="1"/>
        <c:lblAlgn val="ctr"/>
        <c:lblOffset val="100"/>
        <c:noMultiLvlLbl val="0"/>
      </c:catAx>
      <c:valAx>
        <c:axId val="487091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21111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7118870444571695E-2"/>
          <c:y val="0.19485440765855599"/>
          <c:w val="0.85842396489219597"/>
          <c:h val="0.72078181092939797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Indice_Global!$C$10</c:f>
              <c:strCache>
                <c:ptCount val="1"/>
                <c:pt idx="0">
                  <c:v>6. Mercado de Trabalho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Indice_Global!$E$10:$O$10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A-4DA8-A254-37A0E36D0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8156323"/>
        <c:axId val="8284249"/>
      </c:lineChart>
      <c:catAx>
        <c:axId val="581563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284249"/>
        <c:crosses val="autoZero"/>
        <c:auto val="1"/>
        <c:lblAlgn val="ctr"/>
        <c:lblOffset val="100"/>
        <c:noMultiLvlLbl val="0"/>
      </c:catAx>
      <c:valAx>
        <c:axId val="82842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8156323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Indice_Global!$C$11</c:f>
              <c:strCache>
                <c:ptCount val="1"/>
                <c:pt idx="0">
                  <c:v>7. Segurança Alimentar e Saúde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Indice_Global!$E$11:$O$11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6-4269-8B4D-94B9DC6B7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0389718"/>
        <c:axId val="87119059"/>
      </c:lineChart>
      <c:catAx>
        <c:axId val="103897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7119059"/>
        <c:crosses val="autoZero"/>
        <c:auto val="1"/>
        <c:lblAlgn val="ctr"/>
        <c:lblOffset val="100"/>
        <c:noMultiLvlLbl val="0"/>
      </c:catAx>
      <c:valAx>
        <c:axId val="871190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038971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Indice_Global!$C$9</c:f>
              <c:strCache>
                <c:ptCount val="1"/>
                <c:pt idx="0">
                  <c:v>5. Infraestruturas e Serviços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Indice_Global!$E$4:$N$4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Indice_Global!$E$9:$N$9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2-479C-92DF-73C154B61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2381931"/>
        <c:axId val="32172602"/>
      </c:lineChart>
      <c:catAx>
        <c:axId val="923819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2172602"/>
        <c:crosses val="autoZero"/>
        <c:auto val="1"/>
        <c:lblAlgn val="ctr"/>
        <c:lblOffset val="100"/>
        <c:noMultiLvlLbl val="0"/>
      </c:catAx>
      <c:valAx>
        <c:axId val="321726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238193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7176241480039005E-2"/>
          <c:y val="0.19485220189020699"/>
          <c:w val="0.85842259006816002"/>
          <c:h val="0.72069173537100295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Indice_Global!$C$6</c:f>
              <c:strCache>
                <c:ptCount val="1"/>
                <c:pt idx="0">
                  <c:v>2. Estabilidade Macroeconómica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Indice_Global!$E$6:$O$6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A-4BD6-A18B-7626D03A5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998572"/>
        <c:axId val="9292797"/>
      </c:lineChart>
      <c:catAx>
        <c:axId val="39985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292797"/>
        <c:crosses val="autoZero"/>
        <c:auto val="1"/>
        <c:lblAlgn val="ctr"/>
        <c:lblOffset val="100"/>
        <c:noMultiLvlLbl val="0"/>
      </c:catAx>
      <c:valAx>
        <c:axId val="92927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9857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7180430179427194E-2"/>
          <c:y val="0.19485919485919501"/>
          <c:w val="0.85835283628663805"/>
          <c:h val="0.72065772065772105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Indice_Global!$C$7</c:f>
              <c:strCache>
                <c:ptCount val="1"/>
                <c:pt idx="0">
                  <c:v>3. Capital Humano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Indice_Global!$E$7:$O$7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D-4F8E-961B-129BA4EFE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608693"/>
        <c:axId val="80508548"/>
      </c:lineChart>
      <c:catAx>
        <c:axId val="3608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0508548"/>
        <c:crosses val="autoZero"/>
        <c:auto val="1"/>
        <c:lblAlgn val="ctr"/>
        <c:lblOffset val="100"/>
        <c:noMultiLvlLbl val="0"/>
      </c:catAx>
      <c:valAx>
        <c:axId val="805085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08693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7151720248166901E-2"/>
          <c:y val="0.194841012329656"/>
          <c:w val="0.85843203609701102"/>
          <c:h val="0.72079818299805298"/>
        </c:manualLayout>
      </c:layout>
      <c:lineChart>
        <c:grouping val="standard"/>
        <c:varyColors val="0"/>
        <c:ser>
          <c:idx val="0"/>
          <c:order val="0"/>
          <c:tx>
            <c:strRef>
              <c:f>Indice_Global!$C$13</c:f>
              <c:strCache>
                <c:ptCount val="1"/>
                <c:pt idx="0">
                  <c:v>EVOLUÇÃO DO IGDA-BDA (Índice Global)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Indice_Global!$E$4:$O$4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Indice_Global!$E$13:$O$13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8-4EA4-9B7B-86E3D81E0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7482047"/>
        <c:axId val="78465434"/>
      </c:lineChart>
      <c:catAx>
        <c:axId val="87482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8465434"/>
        <c:crosses val="autoZero"/>
        <c:auto val="1"/>
        <c:lblAlgn val="ctr"/>
        <c:lblOffset val="100"/>
        <c:noMultiLvlLbl val="0"/>
      </c:catAx>
      <c:valAx>
        <c:axId val="784654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748204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133200</xdr:colOff>
      <xdr:row>54</xdr:row>
      <xdr:rowOff>42840</xdr:rowOff>
    </xdr:from>
    <xdr:to>
      <xdr:col>11</xdr:col>
      <xdr:colOff>523080</xdr:colOff>
      <xdr:row>64</xdr:row>
      <xdr:rowOff>180360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85680</xdr:colOff>
      <xdr:row>43</xdr:row>
      <xdr:rowOff>42840</xdr:rowOff>
    </xdr:from>
    <xdr:to>
      <xdr:col>3</xdr:col>
      <xdr:colOff>266040</xdr:colOff>
      <xdr:row>53</xdr:row>
      <xdr:rowOff>18360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123840</xdr:colOff>
      <xdr:row>66</xdr:row>
      <xdr:rowOff>42840</xdr:rowOff>
    </xdr:from>
    <xdr:to>
      <xdr:col>11</xdr:col>
      <xdr:colOff>513720</xdr:colOff>
      <xdr:row>76</xdr:row>
      <xdr:rowOff>37440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762120</xdr:colOff>
      <xdr:row>43</xdr:row>
      <xdr:rowOff>90360</xdr:rowOff>
    </xdr:from>
    <xdr:to>
      <xdr:col>20</xdr:col>
      <xdr:colOff>475560</xdr:colOff>
      <xdr:row>53</xdr:row>
      <xdr:rowOff>75240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38160</xdr:colOff>
      <xdr:row>66</xdr:row>
      <xdr:rowOff>61920</xdr:rowOff>
    </xdr:from>
    <xdr:to>
      <xdr:col>3</xdr:col>
      <xdr:colOff>227880</xdr:colOff>
      <xdr:row>76</xdr:row>
      <xdr:rowOff>46800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171360</xdr:colOff>
      <xdr:row>43</xdr:row>
      <xdr:rowOff>38160</xdr:rowOff>
    </xdr:from>
    <xdr:to>
      <xdr:col>11</xdr:col>
      <xdr:colOff>484920</xdr:colOff>
      <xdr:row>53</xdr:row>
      <xdr:rowOff>18360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76320</xdr:colOff>
      <xdr:row>54</xdr:row>
      <xdr:rowOff>76320</xdr:rowOff>
    </xdr:from>
    <xdr:to>
      <xdr:col>3</xdr:col>
      <xdr:colOff>237600</xdr:colOff>
      <xdr:row>64</xdr:row>
      <xdr:rowOff>171000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47520</xdr:colOff>
      <xdr:row>19</xdr:row>
      <xdr:rowOff>38160</xdr:rowOff>
    </xdr:from>
    <xdr:to>
      <xdr:col>5</xdr:col>
      <xdr:colOff>675360</xdr:colOff>
      <xdr:row>29</xdr:row>
      <xdr:rowOff>180360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un.org/Data.aspx?d=WDI&amp;f=Indicator_Code%3ASI.POV.DDAY" TargetMode="External"/><Relationship Id="rId13" Type="http://schemas.openxmlformats.org/officeDocument/2006/relationships/hyperlink" Target="https://www.worldviewdata.com/countries/angola/access-basic-water" TargetMode="External"/><Relationship Id="rId18" Type="http://schemas.openxmlformats.org/officeDocument/2006/relationships/hyperlink" Target="https://www.theglobaleconomy.com/Angola/prevalence_undernourishment/?utm_source=chatgpt.com" TargetMode="External"/><Relationship Id="rId3" Type="http://schemas.openxmlformats.org/officeDocument/2006/relationships/hyperlink" Target="https://www.worldviewdata.com/countries/angola/internet-users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fred.stlouisfed.org/series/SPDYNLE00INAGO" TargetMode="External"/><Relationship Id="rId12" Type="http://schemas.openxmlformats.org/officeDocument/2006/relationships/hyperlink" Target="https://tradingeconomics.com/angola/access-to-electricity-percent-of-population-wb-data.html" TargetMode="External"/><Relationship Id="rId17" Type="http://schemas.openxmlformats.org/officeDocument/2006/relationships/hyperlink" Target="https://chatgpt.com/c/697b1752-ece4-8331-bd69-580d7a126d46" TargetMode="External"/><Relationship Id="rId2" Type="http://schemas.openxmlformats.org/officeDocument/2006/relationships/hyperlink" Target="https://worldscorecard.com/scorecards/angolan-scorecard/gini-index/" TargetMode="External"/><Relationship Id="rId16" Type="http://schemas.openxmlformats.org/officeDocument/2006/relationships/hyperlink" Target="https://documents1.worldbank.org/curated/en/099020924085520061/pdf/P1715491e430de07319a89140a3587e25be.pdf?utm_source=chatgpt.com" TargetMode="External"/><Relationship Id="rId20" Type="http://schemas.openxmlformats.org/officeDocument/2006/relationships/hyperlink" Target="https://www.theglobaleconomy.com/Angola/health_spending_as_percent_of_gdp/?utm_source=chatgpt.com" TargetMode="External"/><Relationship Id="rId1" Type="http://schemas.openxmlformats.org/officeDocument/2006/relationships/hyperlink" Target="https://countryeconomy.com/government/corruption-perceptions-index/angola?utm_source=chatgpt.com" TargetMode="External"/><Relationship Id="rId6" Type="http://schemas.openxmlformats.org/officeDocument/2006/relationships/hyperlink" Target="https://www.undp.org/pt/angola/publications/relatorio-do-desenvolvimento-humano-rdh-2023-2024?utm_source=chatgpt.com" TargetMode="External"/><Relationship Id="rId11" Type="http://schemas.openxmlformats.org/officeDocument/2006/relationships/hyperlink" Target="https://data.worldbank.org/indicator/NY.GNP.PCAP.CD?locations=AO&amp;utm_source=chatgpt.com" TargetMode="External"/><Relationship Id="rId5" Type="http://schemas.openxmlformats.org/officeDocument/2006/relationships/hyperlink" Target="https://www.ucm.minfin.gov.ao/cs/groups/public/documents/document/aw40/ota4/~edisp/minfin4908360.pdf?utm_source=chatgpt.com" TargetMode="External"/><Relationship Id="rId15" Type="http://schemas.openxmlformats.org/officeDocument/2006/relationships/hyperlink" Target="https://fred.stlouisfed.org/data/ITNETUSERP2AGO" TargetMode="External"/><Relationship Id="rId10" Type="http://schemas.openxmlformats.org/officeDocument/2006/relationships/hyperlink" Target="https://countryeconomy.com/demography/global-gender-gap-index/angola?utm_source=chatgpt.com" TargetMode="External"/><Relationship Id="rId19" Type="http://schemas.openxmlformats.org/officeDocument/2006/relationships/hyperlink" Target="https://data.worldbank.org/indicator/SH.MMR.RISK.ZS?locations=AO&amp;view=chart&amp;utm_source=chatgpt.com" TargetMode="External"/><Relationship Id="rId4" Type="http://schemas.openxmlformats.org/officeDocument/2006/relationships/hyperlink" Target="https://openknowledge.worldbank.org/entities/publication/e467c3d0-8a41-5a34-a43a-1ad1d932017e" TargetMode="External"/><Relationship Id="rId9" Type="http://schemas.openxmlformats.org/officeDocument/2006/relationships/hyperlink" Target="https://data.worldbank.org/indicator/SI.POV.GINI?locations=AO&amp;utm_source=chatgpt.com" TargetMode="External"/><Relationship Id="rId14" Type="http://schemas.openxmlformats.org/officeDocument/2006/relationships/hyperlink" Target="https://data.worldbank.org/indicator/SH.STA.BASS.ZS?locations=AO" TargetMode="External"/><Relationship Id="rId22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zoomScaleNormal="100" workbookViewId="0">
      <selection activeCell="A41" sqref="A41"/>
    </sheetView>
  </sheetViews>
  <sheetFormatPr defaultColWidth="8.54296875" defaultRowHeight="14.5" x14ac:dyDescent="0.35"/>
  <cols>
    <col min="1" max="1" width="100" customWidth="1"/>
  </cols>
  <sheetData>
    <row r="1" spans="1:1" ht="19.5" customHeight="1" x14ac:dyDescent="0.4">
      <c r="A1" s="1" t="s">
        <v>26</v>
      </c>
    </row>
    <row r="3" spans="1:1" ht="17.25" customHeight="1" x14ac:dyDescent="0.35">
      <c r="A3" s="2" t="s">
        <v>27</v>
      </c>
    </row>
    <row r="5" spans="1:1" ht="15" customHeight="1" x14ac:dyDescent="0.35">
      <c r="A5" s="3" t="s">
        <v>28</v>
      </c>
    </row>
    <row r="6" spans="1:1" ht="14.25" customHeight="1" x14ac:dyDescent="0.35">
      <c r="A6" t="s">
        <v>29</v>
      </c>
    </row>
    <row r="7" spans="1:1" ht="14.25" customHeight="1" x14ac:dyDescent="0.35">
      <c r="A7" s="4" t="s">
        <v>30</v>
      </c>
    </row>
    <row r="8" spans="1:1" ht="14.25" customHeight="1" x14ac:dyDescent="0.35">
      <c r="A8" s="4" t="s">
        <v>31</v>
      </c>
    </row>
    <row r="9" spans="1:1" ht="14.25" customHeight="1" x14ac:dyDescent="0.35">
      <c r="A9" s="4" t="s">
        <v>32</v>
      </c>
    </row>
    <row r="10" spans="1:1" ht="14.25" customHeight="1" x14ac:dyDescent="0.35">
      <c r="A10" s="4" t="s">
        <v>33</v>
      </c>
    </row>
    <row r="11" spans="1:1" ht="14.25" customHeight="1" x14ac:dyDescent="0.35">
      <c r="A11" s="4" t="s">
        <v>34</v>
      </c>
    </row>
    <row r="12" spans="1:1" ht="14.25" customHeight="1" x14ac:dyDescent="0.35">
      <c r="A12" s="4" t="s">
        <v>35</v>
      </c>
    </row>
    <row r="14" spans="1:1" ht="15" customHeight="1" x14ac:dyDescent="0.35">
      <c r="A14" s="3" t="s">
        <v>36</v>
      </c>
    </row>
    <row r="15" spans="1:1" ht="14.25" customHeight="1" x14ac:dyDescent="0.35">
      <c r="A15" t="s">
        <v>37</v>
      </c>
    </row>
    <row r="16" spans="1:1" ht="14.25" customHeight="1" x14ac:dyDescent="0.35">
      <c r="A16" t="s">
        <v>38</v>
      </c>
    </row>
    <row r="17" spans="1:1" ht="14.25" customHeight="1" x14ac:dyDescent="0.35">
      <c r="A17" t="s">
        <v>39</v>
      </c>
    </row>
    <row r="18" spans="1:1" ht="14.25" customHeight="1" x14ac:dyDescent="0.35">
      <c r="A18" t="s">
        <v>40</v>
      </c>
    </row>
    <row r="20" spans="1:1" ht="15" customHeight="1" x14ac:dyDescent="0.35">
      <c r="A20" s="3" t="s">
        <v>41</v>
      </c>
    </row>
    <row r="21" spans="1:1" ht="14.25" customHeight="1" x14ac:dyDescent="0.35">
      <c r="A21" s="4" t="s">
        <v>42</v>
      </c>
    </row>
    <row r="22" spans="1:1" ht="14.25" customHeight="1" x14ac:dyDescent="0.35">
      <c r="A22" s="4" t="s">
        <v>43</v>
      </c>
    </row>
    <row r="24" spans="1:1" ht="15" customHeight="1" x14ac:dyDescent="0.35">
      <c r="A24" s="3" t="s">
        <v>44</v>
      </c>
    </row>
    <row r="25" spans="1:1" ht="14.25" customHeight="1" x14ac:dyDescent="0.35">
      <c r="A25" s="4" t="s">
        <v>45</v>
      </c>
    </row>
    <row r="26" spans="1:1" ht="14.25" customHeight="1" x14ac:dyDescent="0.35">
      <c r="A26" s="4" t="s">
        <v>46</v>
      </c>
    </row>
    <row r="27" spans="1:1" ht="14.25" customHeight="1" x14ac:dyDescent="0.35">
      <c r="A27" s="4" t="s">
        <v>47</v>
      </c>
    </row>
    <row r="28" spans="1:1" ht="14.25" customHeight="1" x14ac:dyDescent="0.35">
      <c r="A28" s="4" t="s">
        <v>48</v>
      </c>
    </row>
    <row r="30" spans="1:1" ht="15" customHeight="1" x14ac:dyDescent="0.35">
      <c r="A30" s="3" t="s">
        <v>49</v>
      </c>
    </row>
    <row r="31" spans="1:1" ht="14.25" customHeight="1" x14ac:dyDescent="0.35">
      <c r="A31" t="s">
        <v>50</v>
      </c>
    </row>
    <row r="32" spans="1:1" ht="14.25" customHeight="1" x14ac:dyDescent="0.35">
      <c r="A32" t="s">
        <v>51</v>
      </c>
    </row>
    <row r="33" spans="1:1" ht="14.25" customHeight="1" x14ac:dyDescent="0.35">
      <c r="A33" t="s">
        <v>52</v>
      </c>
    </row>
    <row r="34" spans="1:1" ht="14.25" customHeight="1" x14ac:dyDescent="0.35">
      <c r="A34" t="s">
        <v>53</v>
      </c>
    </row>
    <row r="35" spans="1:1" ht="14.25" customHeight="1" x14ac:dyDescent="0.35">
      <c r="A35" t="s">
        <v>54</v>
      </c>
    </row>
    <row r="36" spans="1:1" ht="14.25" customHeight="1" x14ac:dyDescent="0.35">
      <c r="A36" t="s">
        <v>55</v>
      </c>
    </row>
    <row r="37" spans="1:1" ht="14.25" customHeight="1" x14ac:dyDescent="0.35">
      <c r="A37" t="s">
        <v>56</v>
      </c>
    </row>
    <row r="38" spans="1:1" ht="14.25" customHeight="1" x14ac:dyDescent="0.35">
      <c r="A38" t="s">
        <v>57</v>
      </c>
    </row>
    <row r="39" spans="1:1" ht="14.25" customHeight="1" x14ac:dyDescent="0.35">
      <c r="A39" t="s">
        <v>58</v>
      </c>
    </row>
    <row r="40" spans="1:1" ht="14.25" customHeight="1" x14ac:dyDescent="0.35">
      <c r="A40" t="s">
        <v>59</v>
      </c>
    </row>
    <row r="42" spans="1:1" ht="14.25" customHeight="1" x14ac:dyDescent="0.35">
      <c r="A42" s="5" t="s">
        <v>60</v>
      </c>
    </row>
    <row r="43" spans="1:1" ht="14.25" customHeight="1" x14ac:dyDescent="0.35">
      <c r="A43" t="s">
        <v>61</v>
      </c>
    </row>
    <row r="44" spans="1:1" ht="14.25" customHeight="1" x14ac:dyDescent="0.35">
      <c r="A44" t="s">
        <v>62</v>
      </c>
    </row>
    <row r="45" spans="1:1" ht="14.25" customHeight="1" x14ac:dyDescent="0.35">
      <c r="A45" t="s">
        <v>63</v>
      </c>
    </row>
    <row r="46" spans="1:1" ht="14.25" customHeight="1" x14ac:dyDescent="0.35">
      <c r="A46" t="s">
        <v>64</v>
      </c>
    </row>
    <row r="47" spans="1:1" ht="14.25" customHeight="1" x14ac:dyDescent="0.35">
      <c r="A47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DEADA"/>
  </sheetPr>
  <dimension ref="A1:Q47"/>
  <sheetViews>
    <sheetView zoomScale="80" zoomScaleNormal="80" workbookViewId="0">
      <selection activeCell="S32" sqref="S32"/>
    </sheetView>
  </sheetViews>
  <sheetFormatPr defaultColWidth="8.54296875" defaultRowHeight="14.5" x14ac:dyDescent="0.35"/>
  <cols>
    <col min="1" max="1" width="20" customWidth="1"/>
    <col min="2" max="2" width="40" customWidth="1"/>
    <col min="3" max="3" width="15" customWidth="1"/>
    <col min="4" max="4" width="10" customWidth="1"/>
    <col min="5" max="5" width="20" customWidth="1"/>
    <col min="6" max="16" width="12" customWidth="1"/>
  </cols>
  <sheetData>
    <row r="1" spans="1:17" ht="14.25" customHeight="1" x14ac:dyDescent="0.35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7" ht="14.25" customHeight="1" x14ac:dyDescent="0.35">
      <c r="A2" s="7" t="s">
        <v>71</v>
      </c>
      <c r="B2" s="7" t="s">
        <v>72</v>
      </c>
      <c r="C2" s="8" t="s">
        <v>73</v>
      </c>
      <c r="D2" s="8" t="s">
        <v>74</v>
      </c>
      <c r="E2" s="7" t="s">
        <v>75</v>
      </c>
      <c r="F2" s="9">
        <v>15</v>
      </c>
      <c r="G2" s="9">
        <v>18</v>
      </c>
      <c r="H2" s="9">
        <v>19</v>
      </c>
      <c r="I2" s="9">
        <v>19</v>
      </c>
      <c r="J2" s="9">
        <v>26</v>
      </c>
      <c r="K2" s="9">
        <v>27</v>
      </c>
      <c r="L2" s="9">
        <v>29</v>
      </c>
      <c r="M2" s="9">
        <v>33</v>
      </c>
      <c r="N2" s="9">
        <v>33</v>
      </c>
      <c r="O2" s="9">
        <v>32</v>
      </c>
      <c r="P2" s="9"/>
      <c r="Q2" s="10" t="s">
        <v>76</v>
      </c>
    </row>
    <row r="3" spans="1:17" ht="14.25" customHeight="1" x14ac:dyDescent="0.35">
      <c r="A3" s="7" t="s">
        <v>71</v>
      </c>
      <c r="B3" s="7" t="s">
        <v>77</v>
      </c>
      <c r="C3" s="8" t="s">
        <v>78</v>
      </c>
      <c r="D3" s="8" t="s">
        <v>74</v>
      </c>
      <c r="E3" s="7" t="s">
        <v>79</v>
      </c>
      <c r="F3" s="11">
        <v>-1.3086297</v>
      </c>
      <c r="G3" s="11">
        <v>-1.3287764</v>
      </c>
      <c r="H3" s="11">
        <v>-1.3317055</v>
      </c>
      <c r="I3" s="11">
        <v>-1.1105522000000001</v>
      </c>
      <c r="J3" s="11">
        <v>-1.0519681999999999</v>
      </c>
      <c r="K3" s="11">
        <v>-0.94750380000000001</v>
      </c>
      <c r="L3" s="11">
        <v>-1.0980135</v>
      </c>
      <c r="M3" s="11">
        <v>-1.1625439</v>
      </c>
      <c r="N3" s="11">
        <v>-1.1944432</v>
      </c>
      <c r="O3" s="11">
        <v>-1.1697408</v>
      </c>
      <c r="P3" s="9"/>
      <c r="Q3" s="10" t="s">
        <v>80</v>
      </c>
    </row>
    <row r="4" spans="1:17" ht="14.25" customHeight="1" x14ac:dyDescent="0.35">
      <c r="A4" s="7" t="s">
        <v>71</v>
      </c>
      <c r="B4" s="7" t="s">
        <v>81</v>
      </c>
      <c r="C4" s="8" t="s">
        <v>78</v>
      </c>
      <c r="D4" s="8" t="s">
        <v>74</v>
      </c>
      <c r="E4" s="7" t="s">
        <v>79</v>
      </c>
      <c r="F4" s="11">
        <v>-0.93782370000000004</v>
      </c>
      <c r="G4" s="11">
        <v>-0.94938469999999997</v>
      </c>
      <c r="H4" s="11">
        <v>-0.96811570000000002</v>
      </c>
      <c r="I4" s="11">
        <v>-0.9784602</v>
      </c>
      <c r="J4" s="11">
        <v>-0.91169650000000002</v>
      </c>
      <c r="K4" s="11">
        <v>-1.0163603999999999</v>
      </c>
      <c r="L4" s="11">
        <v>-0.9347008</v>
      </c>
      <c r="M4" s="11">
        <v>-0.83257179999999997</v>
      </c>
      <c r="N4" s="11">
        <v>-0.82870259999999996</v>
      </c>
      <c r="O4" s="11">
        <v>-0.78519090000000002</v>
      </c>
      <c r="P4" s="9"/>
    </row>
    <row r="5" spans="1:17" ht="14.25" customHeight="1" x14ac:dyDescent="0.35">
      <c r="A5" s="7" t="s">
        <v>71</v>
      </c>
      <c r="B5" s="7" t="s">
        <v>82</v>
      </c>
      <c r="C5" s="8" t="s">
        <v>78</v>
      </c>
      <c r="D5" s="8" t="s">
        <v>74</v>
      </c>
      <c r="E5" s="7" t="s">
        <v>79</v>
      </c>
      <c r="F5" s="11">
        <v>-0.55910260000000001</v>
      </c>
      <c r="G5" s="11">
        <v>-0.43462800000000001</v>
      </c>
      <c r="H5" s="11">
        <v>-0.53721450000000004</v>
      </c>
      <c r="I5" s="11">
        <v>-0.4058117</v>
      </c>
      <c r="J5" s="11">
        <v>-0.42070390000000002</v>
      </c>
      <c r="K5" s="11">
        <v>-0.64276339999999998</v>
      </c>
      <c r="L5" s="11">
        <v>-0.79360679999999995</v>
      </c>
      <c r="M5" s="11">
        <v>-0.54140679999999997</v>
      </c>
      <c r="N5" s="11">
        <v>-0.31316539999999998</v>
      </c>
      <c r="O5" s="11">
        <v>-0.57359640000000001</v>
      </c>
      <c r="P5" s="9"/>
    </row>
    <row r="6" spans="1:17" ht="14.25" customHeight="1" x14ac:dyDescent="0.35">
      <c r="A6" s="7" t="s">
        <v>71</v>
      </c>
      <c r="B6" s="7" t="s">
        <v>83</v>
      </c>
      <c r="C6" s="8" t="s">
        <v>73</v>
      </c>
      <c r="D6" s="8" t="s">
        <v>74</v>
      </c>
      <c r="E6" s="7" t="s">
        <v>79</v>
      </c>
      <c r="F6" s="9">
        <v>37.090000000000003</v>
      </c>
      <c r="G6" s="9">
        <v>38.46</v>
      </c>
      <c r="H6" s="9">
        <v>38.409999999999997</v>
      </c>
      <c r="I6" s="9">
        <v>41.49</v>
      </c>
      <c r="J6" s="9">
        <v>43.86</v>
      </c>
      <c r="K6" s="9">
        <v>41.9</v>
      </c>
      <c r="L6" s="9"/>
      <c r="M6" s="9"/>
      <c r="N6" s="9"/>
      <c r="O6" s="9"/>
      <c r="P6" s="9"/>
      <c r="Q6" s="10" t="s">
        <v>84</v>
      </c>
    </row>
    <row r="7" spans="1:17" ht="14.25" customHeight="1" x14ac:dyDescent="0.35">
      <c r="A7" s="12" t="s">
        <v>85</v>
      </c>
      <c r="B7" s="12" t="s">
        <v>86</v>
      </c>
      <c r="C7" s="13" t="s">
        <v>87</v>
      </c>
      <c r="D7" s="13" t="s">
        <v>74</v>
      </c>
      <c r="E7" s="12" t="s">
        <v>88</v>
      </c>
      <c r="F7" s="11">
        <v>0.76317771091500197</v>
      </c>
      <c r="G7" s="11">
        <v>-1.70053036291191</v>
      </c>
      <c r="H7" s="11">
        <v>-0.149396225572446</v>
      </c>
      <c r="I7" s="11">
        <v>-0.59441122698254401</v>
      </c>
      <c r="J7" s="11">
        <v>-0.204680245744498</v>
      </c>
      <c r="K7" s="11">
        <v>-4.0424472463963399</v>
      </c>
      <c r="L7" s="11">
        <v>2.102752519234</v>
      </c>
      <c r="M7" s="11">
        <v>4.2160025847512497</v>
      </c>
      <c r="N7" s="11">
        <v>1.2633081402012301</v>
      </c>
      <c r="O7" s="11">
        <v>4.4239066440689401</v>
      </c>
      <c r="P7" s="9"/>
      <c r="Q7" s="10" t="s">
        <v>89</v>
      </c>
    </row>
    <row r="8" spans="1:17" ht="14.25" customHeight="1" x14ac:dyDescent="0.35">
      <c r="A8" s="12" t="s">
        <v>85</v>
      </c>
      <c r="B8" s="12" t="s">
        <v>90</v>
      </c>
      <c r="C8" s="13" t="s">
        <v>91</v>
      </c>
      <c r="D8" s="13" t="s">
        <v>74</v>
      </c>
      <c r="E8" s="12" t="s">
        <v>88</v>
      </c>
      <c r="F8" s="11">
        <v>4400.1340899552197</v>
      </c>
      <c r="G8" s="11">
        <v>4136.7762721143099</v>
      </c>
      <c r="H8" s="11">
        <v>4955.1921569678998</v>
      </c>
      <c r="I8" s="11">
        <v>3214.8017908829602</v>
      </c>
      <c r="J8" s="11">
        <v>2397.7613182842201</v>
      </c>
      <c r="K8" s="11">
        <v>1902.31839616148</v>
      </c>
      <c r="L8" s="11">
        <v>2990.8603420167401</v>
      </c>
      <c r="M8" s="11">
        <v>3935.5010086592802</v>
      </c>
      <c r="N8" s="11">
        <v>2773.0061871829898</v>
      </c>
      <c r="O8" s="11">
        <v>3181.6242638447302</v>
      </c>
      <c r="P8" s="9"/>
    </row>
    <row r="9" spans="1:17" ht="14.25" customHeight="1" x14ac:dyDescent="0.35">
      <c r="A9" s="12" t="s">
        <v>85</v>
      </c>
      <c r="B9" s="12" t="s">
        <v>92</v>
      </c>
      <c r="C9" s="13" t="s">
        <v>87</v>
      </c>
      <c r="D9" s="13" t="s">
        <v>93</v>
      </c>
      <c r="E9" s="12" t="s">
        <v>94</v>
      </c>
      <c r="F9" s="11">
        <v>12.0942682565683</v>
      </c>
      <c r="G9" s="11">
        <v>41.121134807254599</v>
      </c>
      <c r="H9" s="11">
        <v>23.666549672140601</v>
      </c>
      <c r="I9" s="11">
        <v>18.601104651468599</v>
      </c>
      <c r="J9" s="11">
        <v>16.897288059142198</v>
      </c>
      <c r="K9" s="11">
        <v>25.0965301660938</v>
      </c>
      <c r="L9" s="11">
        <v>27.029943797977101</v>
      </c>
      <c r="M9" s="11">
        <v>13.8604754279988</v>
      </c>
      <c r="N9" s="11">
        <v>20.007160352362899</v>
      </c>
      <c r="O9" s="11">
        <v>26.480338909806601</v>
      </c>
      <c r="P9" s="11">
        <v>15.697220310523299</v>
      </c>
    </row>
    <row r="10" spans="1:17" ht="14.25" customHeight="1" x14ac:dyDescent="0.35">
      <c r="A10" s="12" t="s">
        <v>85</v>
      </c>
      <c r="B10" s="12" t="s">
        <v>95</v>
      </c>
      <c r="C10" s="13" t="s">
        <v>87</v>
      </c>
      <c r="D10" s="13" t="s">
        <v>93</v>
      </c>
      <c r="E10" s="12" t="s">
        <v>96</v>
      </c>
      <c r="F10" s="9">
        <v>50</v>
      </c>
      <c r="G10" s="9">
        <v>67</v>
      </c>
      <c r="H10" s="9">
        <v>60</v>
      </c>
      <c r="I10" s="9">
        <v>83</v>
      </c>
      <c r="J10" s="9">
        <v>101</v>
      </c>
      <c r="K10" s="9">
        <v>119</v>
      </c>
      <c r="L10" s="9">
        <v>74</v>
      </c>
      <c r="M10" s="9">
        <v>56</v>
      </c>
      <c r="N10" s="9">
        <v>72</v>
      </c>
      <c r="O10" s="9">
        <v>60</v>
      </c>
      <c r="P10" s="9">
        <v>63</v>
      </c>
      <c r="Q10" s="10" t="s">
        <v>97</v>
      </c>
    </row>
    <row r="11" spans="1:17" ht="14.25" customHeight="1" x14ac:dyDescent="0.35">
      <c r="A11" s="12" t="s">
        <v>85</v>
      </c>
      <c r="B11" s="12" t="s">
        <v>98</v>
      </c>
      <c r="C11" s="13" t="s">
        <v>87</v>
      </c>
      <c r="D11" s="13" t="s">
        <v>74</v>
      </c>
      <c r="E11" s="12" t="s">
        <v>96</v>
      </c>
      <c r="F11" s="9">
        <v>-2</v>
      </c>
      <c r="G11" s="9">
        <v>-3</v>
      </c>
      <c r="H11" s="9">
        <v>1.5</v>
      </c>
      <c r="I11" s="9">
        <v>-0.5</v>
      </c>
      <c r="J11" s="9">
        <v>0.5</v>
      </c>
      <c r="K11" s="9">
        <v>-5</v>
      </c>
      <c r="L11" s="9">
        <v>1.5</v>
      </c>
      <c r="M11" s="9">
        <v>0.7</v>
      </c>
      <c r="N11" s="9">
        <v>-1.9</v>
      </c>
      <c r="O11" s="9">
        <v>-1.5</v>
      </c>
      <c r="P11" s="9">
        <v>-1.65</v>
      </c>
    </row>
    <row r="12" spans="1:17" ht="14.25" customHeight="1" x14ac:dyDescent="0.35">
      <c r="A12" s="12" t="s">
        <v>85</v>
      </c>
      <c r="B12" s="12" t="s">
        <v>99</v>
      </c>
      <c r="C12" s="13" t="s">
        <v>87</v>
      </c>
      <c r="D12" s="13" t="s">
        <v>74</v>
      </c>
      <c r="E12" s="12" t="s">
        <v>100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7" ht="14.25" customHeight="1" x14ac:dyDescent="0.35">
      <c r="A13" s="12" t="s">
        <v>85</v>
      </c>
      <c r="B13" s="12" t="s">
        <v>101</v>
      </c>
      <c r="C13" s="13" t="s">
        <v>102</v>
      </c>
      <c r="D13" s="13" t="s">
        <v>74</v>
      </c>
      <c r="E13" s="12" t="s">
        <v>103</v>
      </c>
      <c r="F13" s="11">
        <f t="shared" ref="F13:P13" si="0">+F47</f>
        <v>7.7177631560618254</v>
      </c>
      <c r="G13" s="11">
        <f t="shared" si="0"/>
        <v>11.389499993941955</v>
      </c>
      <c r="H13" s="11">
        <f t="shared" si="0"/>
        <v>7.7409713983041177</v>
      </c>
      <c r="I13" s="11">
        <f t="shared" si="0"/>
        <v>7.4956645521441061</v>
      </c>
      <c r="J13" s="11">
        <f t="shared" si="0"/>
        <v>9.2620704681116042</v>
      </c>
      <c r="K13" s="11">
        <f t="shared" si="0"/>
        <v>11.788329169409854</v>
      </c>
      <c r="L13" s="11">
        <f t="shared" si="0"/>
        <v>9.8750392382472025</v>
      </c>
      <c r="M13" s="11">
        <f t="shared" si="0"/>
        <v>6.1590116305404941</v>
      </c>
      <c r="N13" s="11">
        <f t="shared" si="0"/>
        <v>7.4603233142764909</v>
      </c>
      <c r="O13" s="11">
        <f t="shared" si="0"/>
        <v>8.34169684731709</v>
      </c>
      <c r="P13" s="11">
        <f t="shared" si="0"/>
        <v>10.391305133410171</v>
      </c>
      <c r="Q13" s="10"/>
    </row>
    <row r="14" spans="1:17" ht="14.25" customHeight="1" x14ac:dyDescent="0.35">
      <c r="A14" s="7" t="s">
        <v>16</v>
      </c>
      <c r="B14" s="7" t="s">
        <v>104</v>
      </c>
      <c r="C14" s="8" t="s">
        <v>105</v>
      </c>
      <c r="D14" s="8" t="s">
        <v>74</v>
      </c>
      <c r="E14" s="7" t="s">
        <v>106</v>
      </c>
      <c r="F14" s="9">
        <v>0.59099999999999997</v>
      </c>
      <c r="G14" s="9">
        <v>0.59499999999999997</v>
      </c>
      <c r="H14" s="9">
        <v>0.59699999999999998</v>
      </c>
      <c r="I14" s="9">
        <v>0.59799999999999998</v>
      </c>
      <c r="J14" s="9">
        <v>0.59699999999999998</v>
      </c>
      <c r="K14" s="9">
        <v>0.59399999999999997</v>
      </c>
      <c r="L14" s="9">
        <v>0.59</v>
      </c>
      <c r="M14" s="9">
        <v>0.59099999999999997</v>
      </c>
      <c r="N14" s="9">
        <v>0.61599999999999999</v>
      </c>
      <c r="O14" s="9"/>
      <c r="P14" s="9"/>
      <c r="Q14" s="10" t="s">
        <v>107</v>
      </c>
    </row>
    <row r="15" spans="1:17" ht="14.25" customHeight="1" x14ac:dyDescent="0.35">
      <c r="A15" s="7" t="s">
        <v>16</v>
      </c>
      <c r="B15" s="7" t="s">
        <v>108</v>
      </c>
      <c r="C15" s="8" t="s">
        <v>109</v>
      </c>
      <c r="D15" s="8" t="s">
        <v>74</v>
      </c>
      <c r="E15" s="7" t="s">
        <v>110</v>
      </c>
      <c r="F15" s="14">
        <v>61.042000000000002</v>
      </c>
      <c r="G15" s="14">
        <v>61.619</v>
      </c>
      <c r="H15" s="14">
        <v>61.7</v>
      </c>
      <c r="I15" s="14">
        <v>61.7</v>
      </c>
      <c r="J15" s="14">
        <v>62.2</v>
      </c>
      <c r="K15" s="14">
        <v>62.48</v>
      </c>
      <c r="L15" s="14">
        <v>62.72</v>
      </c>
      <c r="M15" s="14">
        <v>62.95</v>
      </c>
      <c r="N15" s="14">
        <v>64.617000000000004</v>
      </c>
      <c r="O15" s="14">
        <v>64</v>
      </c>
      <c r="P15" s="14">
        <v>65</v>
      </c>
      <c r="Q15" s="10" t="s">
        <v>111</v>
      </c>
    </row>
    <row r="16" spans="1:17" ht="14.25" customHeight="1" x14ac:dyDescent="0.35">
      <c r="A16" s="7" t="s">
        <v>16</v>
      </c>
      <c r="B16" s="7" t="s">
        <v>112</v>
      </c>
      <c r="C16" s="8" t="s">
        <v>87</v>
      </c>
      <c r="D16" s="8" t="s">
        <v>74</v>
      </c>
      <c r="E16" s="7" t="s">
        <v>113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7" ht="14.25" customHeight="1" x14ac:dyDescent="0.35">
      <c r="A17" s="7" t="s">
        <v>16</v>
      </c>
      <c r="B17" s="7" t="s">
        <v>114</v>
      </c>
      <c r="C17" s="8" t="s">
        <v>87</v>
      </c>
      <c r="D17" s="8" t="s">
        <v>74</v>
      </c>
      <c r="E17" s="7" t="s">
        <v>115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7" ht="14.25" customHeight="1" x14ac:dyDescent="0.35">
      <c r="A18" s="7" t="s">
        <v>16</v>
      </c>
      <c r="B18" s="7" t="s">
        <v>116</v>
      </c>
      <c r="C18" s="8" t="s">
        <v>109</v>
      </c>
      <c r="D18" s="8" t="s">
        <v>74</v>
      </c>
      <c r="E18" s="7" t="s">
        <v>117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7" ht="14.25" customHeight="1" x14ac:dyDescent="0.35">
      <c r="A19" s="7" t="s">
        <v>16</v>
      </c>
      <c r="B19" s="7" t="s">
        <v>118</v>
      </c>
      <c r="C19" s="8" t="s">
        <v>119</v>
      </c>
      <c r="D19" s="8" t="s">
        <v>93</v>
      </c>
      <c r="E19" s="7" t="s">
        <v>120</v>
      </c>
      <c r="F19" s="9"/>
      <c r="G19" s="9"/>
      <c r="H19" s="14">
        <v>61.1</v>
      </c>
      <c r="I19" s="14">
        <v>60</v>
      </c>
      <c r="J19" s="14">
        <v>58.9</v>
      </c>
      <c r="K19" s="14">
        <v>57.8</v>
      </c>
      <c r="L19" s="14">
        <v>56.81</v>
      </c>
      <c r="M19" s="14">
        <v>55.84</v>
      </c>
      <c r="N19" s="9"/>
      <c r="O19" s="9"/>
      <c r="P19" s="9"/>
    </row>
    <row r="20" spans="1:17" ht="14.25" customHeight="1" x14ac:dyDescent="0.35">
      <c r="A20" s="12" t="s">
        <v>121</v>
      </c>
      <c r="B20" s="12" t="s">
        <v>122</v>
      </c>
      <c r="C20" s="13" t="s">
        <v>87</v>
      </c>
      <c r="D20" s="13" t="s">
        <v>93</v>
      </c>
      <c r="E20" s="12" t="s">
        <v>123</v>
      </c>
      <c r="F20" s="9"/>
      <c r="G20" s="15"/>
      <c r="H20" s="9"/>
      <c r="I20" s="15">
        <v>31.1</v>
      </c>
      <c r="J20" s="9"/>
      <c r="K20" s="9"/>
      <c r="L20" s="9"/>
      <c r="M20" s="9"/>
      <c r="N20" s="9"/>
      <c r="O20" s="9"/>
      <c r="P20" s="15"/>
      <c r="Q20" s="10" t="s">
        <v>124</v>
      </c>
    </row>
    <row r="21" spans="1:17" ht="14.25" customHeight="1" x14ac:dyDescent="0.35">
      <c r="A21" s="12" t="s">
        <v>121</v>
      </c>
      <c r="B21" s="16" t="s">
        <v>125</v>
      </c>
      <c r="C21" s="17" t="s">
        <v>73</v>
      </c>
      <c r="D21" s="17" t="s">
        <v>93</v>
      </c>
      <c r="E21" s="16" t="s">
        <v>123</v>
      </c>
      <c r="F21" s="9"/>
      <c r="G21" s="9"/>
      <c r="H21" s="9"/>
      <c r="I21" s="9">
        <v>51.3</v>
      </c>
      <c r="J21" s="9"/>
      <c r="K21" s="9"/>
      <c r="L21" s="9"/>
      <c r="M21" s="9"/>
      <c r="N21" s="9"/>
      <c r="O21" s="9"/>
      <c r="P21" s="9"/>
      <c r="Q21" s="10" t="s">
        <v>126</v>
      </c>
    </row>
    <row r="22" spans="1:17" ht="14.25" customHeight="1" x14ac:dyDescent="0.35">
      <c r="A22" s="12" t="s">
        <v>121</v>
      </c>
      <c r="B22" s="16" t="s">
        <v>127</v>
      </c>
      <c r="C22" s="17" t="s">
        <v>87</v>
      </c>
      <c r="D22" s="17" t="s">
        <v>74</v>
      </c>
      <c r="E22" s="16" t="s">
        <v>128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7" ht="14.25" customHeight="1" x14ac:dyDescent="0.35">
      <c r="A23" s="12" t="s">
        <v>121</v>
      </c>
      <c r="B23" s="12" t="s">
        <v>129</v>
      </c>
      <c r="C23" s="13" t="s">
        <v>105</v>
      </c>
      <c r="D23" s="13" t="s">
        <v>74</v>
      </c>
      <c r="E23" s="12" t="s">
        <v>130</v>
      </c>
      <c r="F23" s="9">
        <v>0.63700000000000001</v>
      </c>
      <c r="G23" s="9">
        <v>0.64300000000000002</v>
      </c>
      <c r="H23" s="9">
        <v>0.64</v>
      </c>
      <c r="I23" s="9">
        <v>0.63300000000000001</v>
      </c>
      <c r="J23" s="9"/>
      <c r="K23" s="9">
        <v>0.66</v>
      </c>
      <c r="L23" s="9">
        <v>0.65700000000000003</v>
      </c>
      <c r="M23" s="9">
        <v>0.63800000000000001</v>
      </c>
      <c r="N23" s="9">
        <v>0.65600000000000003</v>
      </c>
      <c r="O23" s="9">
        <v>0.66800000000000004</v>
      </c>
      <c r="P23" s="9">
        <v>0.66800000000000004</v>
      </c>
      <c r="Q23" s="10" t="s">
        <v>131</v>
      </c>
    </row>
    <row r="24" spans="1:17" ht="14.25" customHeight="1" x14ac:dyDescent="0.35">
      <c r="A24" s="12" t="s">
        <v>121</v>
      </c>
      <c r="B24" s="12" t="s">
        <v>132</v>
      </c>
      <c r="C24" s="13" t="s">
        <v>91</v>
      </c>
      <c r="D24" s="13" t="s">
        <v>74</v>
      </c>
      <c r="E24" s="12" t="s">
        <v>133</v>
      </c>
      <c r="F24" s="11">
        <v>2350</v>
      </c>
      <c r="G24" s="11">
        <v>3100</v>
      </c>
      <c r="H24" s="11">
        <v>2850</v>
      </c>
      <c r="I24" s="11">
        <v>2450</v>
      </c>
      <c r="J24" s="11">
        <v>2300</v>
      </c>
      <c r="K24" s="11">
        <v>2250</v>
      </c>
      <c r="L24" s="11">
        <v>2300</v>
      </c>
      <c r="M24" s="11">
        <v>2400</v>
      </c>
      <c r="N24" s="11">
        <v>2500</v>
      </c>
      <c r="O24" s="11">
        <v>2840</v>
      </c>
      <c r="P24" s="11">
        <v>2900</v>
      </c>
      <c r="Q24" s="10" t="s">
        <v>134</v>
      </c>
    </row>
    <row r="25" spans="1:17" ht="14.25" customHeight="1" x14ac:dyDescent="0.35">
      <c r="A25" s="7" t="s">
        <v>135</v>
      </c>
      <c r="B25" s="7" t="s">
        <v>136</v>
      </c>
      <c r="C25" s="8" t="s">
        <v>87</v>
      </c>
      <c r="D25" s="8" t="s">
        <v>74</v>
      </c>
      <c r="E25" s="7" t="s">
        <v>137</v>
      </c>
      <c r="F25" s="9">
        <v>42</v>
      </c>
      <c r="G25" s="9">
        <v>41.8</v>
      </c>
      <c r="H25" s="9">
        <v>42.9</v>
      </c>
      <c r="I25" s="9">
        <v>45.3</v>
      </c>
      <c r="J25" s="9">
        <v>45.6</v>
      </c>
      <c r="K25" s="9">
        <v>47</v>
      </c>
      <c r="L25" s="9">
        <v>48.2</v>
      </c>
      <c r="M25" s="9">
        <v>48.5</v>
      </c>
      <c r="N25" s="9">
        <v>51.1</v>
      </c>
      <c r="O25" s="9"/>
      <c r="P25" s="9"/>
      <c r="Q25" s="10" t="s">
        <v>138</v>
      </c>
    </row>
    <row r="26" spans="1:17" ht="14.25" customHeight="1" x14ac:dyDescent="0.35">
      <c r="A26" s="7" t="s">
        <v>135</v>
      </c>
      <c r="B26" s="7" t="s">
        <v>139</v>
      </c>
      <c r="C26" s="8" t="s">
        <v>87</v>
      </c>
      <c r="D26" s="8" t="s">
        <v>74</v>
      </c>
      <c r="E26" s="7" t="s">
        <v>140</v>
      </c>
      <c r="F26" s="9">
        <v>54.3</v>
      </c>
      <c r="G26" s="9">
        <v>55.1</v>
      </c>
      <c r="H26" s="9">
        <v>55.8</v>
      </c>
      <c r="I26" s="9">
        <v>56.6</v>
      </c>
      <c r="J26" s="9">
        <v>56.9</v>
      </c>
      <c r="K26" s="9">
        <v>57.2</v>
      </c>
      <c r="L26" s="9">
        <v>57.4</v>
      </c>
      <c r="M26" s="9">
        <v>57.7</v>
      </c>
      <c r="N26" s="9"/>
      <c r="O26" s="9"/>
      <c r="P26" s="9"/>
      <c r="Q26" s="10" t="s">
        <v>141</v>
      </c>
    </row>
    <row r="27" spans="1:17" ht="14.25" customHeight="1" x14ac:dyDescent="0.35">
      <c r="A27" s="7" t="s">
        <v>135</v>
      </c>
      <c r="B27" s="7" t="s">
        <v>142</v>
      </c>
      <c r="C27" s="8" t="s">
        <v>87</v>
      </c>
      <c r="D27" s="8" t="s">
        <v>74</v>
      </c>
      <c r="E27" s="7" t="s">
        <v>140</v>
      </c>
      <c r="F27" s="9">
        <v>47</v>
      </c>
      <c r="G27" s="9">
        <v>48</v>
      </c>
      <c r="H27" s="9">
        <v>48</v>
      </c>
      <c r="I27" s="9">
        <v>49</v>
      </c>
      <c r="J27" s="9">
        <v>50</v>
      </c>
      <c r="K27" s="9">
        <v>50</v>
      </c>
      <c r="L27" s="9">
        <v>50</v>
      </c>
      <c r="M27" s="9">
        <v>50</v>
      </c>
      <c r="N27" s="9"/>
      <c r="O27" s="9"/>
      <c r="P27" s="9"/>
      <c r="Q27" s="10" t="s">
        <v>143</v>
      </c>
    </row>
    <row r="28" spans="1:17" ht="14.25" customHeight="1" x14ac:dyDescent="0.35">
      <c r="A28" s="18" t="s">
        <v>135</v>
      </c>
      <c r="B28" s="18" t="s">
        <v>144</v>
      </c>
      <c r="C28" s="19" t="s">
        <v>87</v>
      </c>
      <c r="D28" s="19" t="s">
        <v>74</v>
      </c>
      <c r="E28" s="18" t="s">
        <v>145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t="s">
        <v>146</v>
      </c>
    </row>
    <row r="29" spans="1:17" ht="14.25" customHeight="1" x14ac:dyDescent="0.35">
      <c r="A29" s="7" t="s">
        <v>135</v>
      </c>
      <c r="B29" s="7" t="s">
        <v>147</v>
      </c>
      <c r="C29" s="8" t="s">
        <v>87</v>
      </c>
      <c r="D29" s="8" t="s">
        <v>74</v>
      </c>
      <c r="E29" s="7" t="s">
        <v>145</v>
      </c>
      <c r="F29" s="9">
        <v>22</v>
      </c>
      <c r="G29" s="9">
        <v>23.2</v>
      </c>
      <c r="H29" s="9">
        <v>26</v>
      </c>
      <c r="I29" s="9">
        <v>29</v>
      </c>
      <c r="J29" s="9">
        <v>32.1</v>
      </c>
      <c r="K29" s="9">
        <v>36.6</v>
      </c>
      <c r="L29" s="9">
        <v>39.299999999999997</v>
      </c>
      <c r="M29" s="9">
        <v>42</v>
      </c>
      <c r="N29" s="9">
        <v>44</v>
      </c>
      <c r="O29" s="9"/>
      <c r="P29" s="9"/>
      <c r="Q29" s="10" t="s">
        <v>148</v>
      </c>
    </row>
    <row r="30" spans="1:17" ht="14.25" customHeight="1" x14ac:dyDescent="0.35">
      <c r="A30" s="7" t="s">
        <v>135</v>
      </c>
      <c r="B30" s="7" t="s">
        <v>149</v>
      </c>
      <c r="C30" s="8" t="s">
        <v>150</v>
      </c>
      <c r="D30" s="8" t="s">
        <v>74</v>
      </c>
      <c r="E30" s="7" t="s">
        <v>151</v>
      </c>
      <c r="F30" s="9">
        <v>29</v>
      </c>
      <c r="G30" s="9">
        <v>29</v>
      </c>
      <c r="H30" s="9">
        <v>29</v>
      </c>
      <c r="I30" s="9">
        <v>29</v>
      </c>
      <c r="J30" s="9">
        <v>29</v>
      </c>
      <c r="K30" s="9">
        <v>30</v>
      </c>
      <c r="L30" s="9">
        <v>31</v>
      </c>
      <c r="M30" s="9">
        <v>31</v>
      </c>
      <c r="N30" s="9">
        <v>32</v>
      </c>
      <c r="O30" s="9">
        <v>33</v>
      </c>
      <c r="P30" s="9"/>
      <c r="Q30" s="10" t="s">
        <v>152</v>
      </c>
    </row>
    <row r="31" spans="1:17" ht="14.25" customHeight="1" x14ac:dyDescent="0.35">
      <c r="A31" s="12" t="s">
        <v>153</v>
      </c>
      <c r="B31" s="12" t="s">
        <v>154</v>
      </c>
      <c r="C31" s="13" t="s">
        <v>87</v>
      </c>
      <c r="D31" s="13" t="s">
        <v>74</v>
      </c>
      <c r="E31" s="12" t="s">
        <v>133</v>
      </c>
      <c r="F31" s="9"/>
      <c r="G31" s="9"/>
      <c r="H31" s="9"/>
      <c r="I31" s="9"/>
      <c r="J31" s="11">
        <v>61.190162116079101</v>
      </c>
      <c r="K31" s="11">
        <v>60.774758729572</v>
      </c>
      <c r="L31" s="11">
        <v>61.491468142232897</v>
      </c>
      <c r="M31" s="11">
        <v>62.715613339001401</v>
      </c>
      <c r="N31" s="11">
        <v>60.653315064579999</v>
      </c>
      <c r="O31" s="11">
        <v>61.666147702676099</v>
      </c>
      <c r="P31" s="11">
        <v>64.441286566695098</v>
      </c>
    </row>
    <row r="32" spans="1:17" ht="14.25" customHeight="1" x14ac:dyDescent="0.35">
      <c r="A32" s="12" t="s">
        <v>153</v>
      </c>
      <c r="B32" s="12" t="s">
        <v>155</v>
      </c>
      <c r="C32" s="13" t="s">
        <v>87</v>
      </c>
      <c r="D32" s="13" t="s">
        <v>93</v>
      </c>
      <c r="E32" s="12" t="s">
        <v>133</v>
      </c>
      <c r="F32" s="9"/>
      <c r="G32" s="9"/>
      <c r="H32" s="9"/>
      <c r="I32" s="9"/>
      <c r="J32" s="11">
        <v>30.2088468491282</v>
      </c>
      <c r="K32" s="11">
        <v>32.181087071927202</v>
      </c>
      <c r="L32" s="11">
        <v>32.320725924689597</v>
      </c>
      <c r="M32" s="11">
        <v>30.1553364850786</v>
      </c>
      <c r="N32" s="11">
        <v>31.852860897997601</v>
      </c>
      <c r="O32" s="11">
        <v>31.4663526244194</v>
      </c>
      <c r="P32" s="11">
        <v>26.8606109770713</v>
      </c>
    </row>
    <row r="33" spans="1:17" ht="14.25" customHeight="1" x14ac:dyDescent="0.35">
      <c r="A33" s="16" t="s">
        <v>153</v>
      </c>
      <c r="B33" s="16" t="s">
        <v>156</v>
      </c>
      <c r="C33" s="17" t="s">
        <v>87</v>
      </c>
      <c r="D33" s="17" t="s">
        <v>93</v>
      </c>
      <c r="E33" s="16" t="s">
        <v>133</v>
      </c>
      <c r="F33" s="9"/>
      <c r="G33" s="9"/>
      <c r="H33" s="9"/>
      <c r="I33" s="9"/>
      <c r="J33" s="20"/>
      <c r="K33" s="20"/>
      <c r="L33" s="20"/>
      <c r="M33" s="20"/>
      <c r="N33" s="20"/>
      <c r="O33" s="20"/>
      <c r="P33" s="20"/>
    </row>
    <row r="34" spans="1:17" ht="14.25" customHeight="1" x14ac:dyDescent="0.35">
      <c r="A34" s="21" t="s">
        <v>153</v>
      </c>
      <c r="B34" s="21" t="s">
        <v>157</v>
      </c>
      <c r="C34" s="22" t="s">
        <v>87</v>
      </c>
      <c r="D34" s="22" t="s">
        <v>93</v>
      </c>
      <c r="E34" s="21" t="s">
        <v>133</v>
      </c>
      <c r="F34" s="9"/>
      <c r="G34" s="9"/>
      <c r="H34" s="9"/>
      <c r="I34" s="9"/>
      <c r="J34" s="11">
        <v>74.541815932249506</v>
      </c>
      <c r="K34" s="11">
        <v>80.353574999537301</v>
      </c>
      <c r="L34" s="11">
        <v>80.447517651503802</v>
      </c>
      <c r="M34" s="11">
        <v>79.860137204835098</v>
      </c>
      <c r="N34" s="11">
        <v>80.4880950864722</v>
      </c>
      <c r="O34" s="11">
        <v>79.759922565439297</v>
      </c>
      <c r="P34" s="11">
        <v>77.120842484637393</v>
      </c>
    </row>
    <row r="35" spans="1:17" ht="14.25" customHeight="1" x14ac:dyDescent="0.35">
      <c r="A35" s="12" t="s">
        <v>153</v>
      </c>
      <c r="B35" s="12" t="s">
        <v>158</v>
      </c>
      <c r="C35" s="13" t="s">
        <v>87</v>
      </c>
      <c r="D35" s="13" t="s">
        <v>74</v>
      </c>
      <c r="E35" s="12" t="s">
        <v>128</v>
      </c>
      <c r="F35" s="9"/>
      <c r="G35" s="9"/>
      <c r="H35" s="9"/>
      <c r="I35" s="9"/>
      <c r="J35" s="11">
        <v>25.458184067750501</v>
      </c>
      <c r="K35" s="11">
        <v>19.646425000462699</v>
      </c>
      <c r="L35" s="11">
        <v>19.552482348496198</v>
      </c>
      <c r="M35" s="11">
        <v>20.139862795164898</v>
      </c>
      <c r="N35" s="11">
        <v>19.5119049135278</v>
      </c>
      <c r="O35" s="11">
        <v>20.2400774345607</v>
      </c>
      <c r="P35" s="11">
        <v>22.8791575153626</v>
      </c>
    </row>
    <row r="36" spans="1:17" ht="14.25" customHeight="1" x14ac:dyDescent="0.35">
      <c r="A36" s="16" t="s">
        <v>153</v>
      </c>
      <c r="B36" s="16" t="s">
        <v>159</v>
      </c>
      <c r="C36" s="17" t="s">
        <v>87</v>
      </c>
      <c r="D36" s="17" t="s">
        <v>74</v>
      </c>
      <c r="E36" s="16" t="s">
        <v>88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7" ht="28.5" customHeight="1" x14ac:dyDescent="0.35">
      <c r="A37" s="7" t="s">
        <v>160</v>
      </c>
      <c r="B37" s="7" t="s">
        <v>161</v>
      </c>
      <c r="C37" s="8" t="s">
        <v>73</v>
      </c>
      <c r="D37" s="8" t="s">
        <v>74</v>
      </c>
      <c r="E37" s="7" t="s">
        <v>162</v>
      </c>
      <c r="F37" s="9">
        <v>35.1</v>
      </c>
      <c r="G37" s="9"/>
      <c r="H37" s="9"/>
      <c r="I37" s="9"/>
      <c r="J37" s="9"/>
      <c r="K37" s="9"/>
      <c r="L37" s="9"/>
      <c r="M37" s="9"/>
      <c r="N37" s="9"/>
      <c r="O37" s="9">
        <v>26</v>
      </c>
      <c r="P37" s="9">
        <v>29.7</v>
      </c>
      <c r="Q37" s="10" t="s">
        <v>163</v>
      </c>
    </row>
    <row r="38" spans="1:17" ht="28.5" customHeight="1" x14ac:dyDescent="0.35">
      <c r="A38" s="7" t="s">
        <v>160</v>
      </c>
      <c r="B38" s="7" t="s">
        <v>164</v>
      </c>
      <c r="C38" s="8" t="s">
        <v>87</v>
      </c>
      <c r="D38" s="8" t="s">
        <v>93</v>
      </c>
      <c r="E38" s="7" t="s">
        <v>165</v>
      </c>
      <c r="F38" s="9"/>
      <c r="G38" s="9">
        <v>15.2</v>
      </c>
      <c r="H38" s="9">
        <v>15.4</v>
      </c>
      <c r="I38" s="9">
        <v>15.9</v>
      </c>
      <c r="J38" s="9">
        <v>18.2</v>
      </c>
      <c r="K38" s="9">
        <v>20.8</v>
      </c>
      <c r="L38" s="9">
        <v>22.6</v>
      </c>
      <c r="M38" s="9">
        <v>23.1</v>
      </c>
      <c r="N38" s="9">
        <v>22.5</v>
      </c>
      <c r="O38" s="9"/>
      <c r="P38" s="9"/>
      <c r="Q38" s="10" t="s">
        <v>166</v>
      </c>
    </row>
    <row r="39" spans="1:17" ht="28.5" customHeight="1" x14ac:dyDescent="0.35">
      <c r="A39" s="7" t="s">
        <v>160</v>
      </c>
      <c r="B39" s="7" t="s">
        <v>167</v>
      </c>
      <c r="C39" s="8" t="s">
        <v>168</v>
      </c>
      <c r="D39" s="8" t="s">
        <v>93</v>
      </c>
      <c r="E39" s="7" t="s">
        <v>169</v>
      </c>
      <c r="F39" s="9">
        <v>477</v>
      </c>
      <c r="G39" s="9">
        <v>442</v>
      </c>
      <c r="H39" s="9">
        <v>400</v>
      </c>
      <c r="I39" s="9">
        <v>370</v>
      </c>
      <c r="J39" s="9">
        <v>330</v>
      </c>
      <c r="K39" s="9">
        <v>300</v>
      </c>
      <c r="L39" s="9">
        <v>290</v>
      </c>
      <c r="M39" s="9">
        <v>250</v>
      </c>
      <c r="N39" s="9">
        <v>183</v>
      </c>
      <c r="O39" s="9">
        <v>185</v>
      </c>
      <c r="P39" s="9">
        <v>170</v>
      </c>
      <c r="Q39" s="10" t="s">
        <v>170</v>
      </c>
    </row>
    <row r="40" spans="1:17" ht="28.5" customHeight="1" x14ac:dyDescent="0.35">
      <c r="A40" s="7" t="s">
        <v>160</v>
      </c>
      <c r="B40" s="7" t="s">
        <v>171</v>
      </c>
      <c r="C40" s="8" t="s">
        <v>87</v>
      </c>
      <c r="D40" s="8" t="s">
        <v>74</v>
      </c>
      <c r="E40" s="7" t="s">
        <v>172</v>
      </c>
      <c r="F40" s="9">
        <v>2.61</v>
      </c>
      <c r="G40" s="9">
        <v>2.71</v>
      </c>
      <c r="H40" s="9">
        <v>2.79</v>
      </c>
      <c r="I40" s="9">
        <v>2.59</v>
      </c>
      <c r="J40" s="9">
        <v>2.48</v>
      </c>
      <c r="K40" s="9">
        <v>3.27</v>
      </c>
      <c r="L40" s="9">
        <v>3.09</v>
      </c>
      <c r="M40" s="9">
        <v>2.93</v>
      </c>
      <c r="N40" s="9"/>
      <c r="O40" s="9"/>
      <c r="P40" s="9"/>
      <c r="Q40" s="10" t="s">
        <v>173</v>
      </c>
    </row>
    <row r="41" spans="1:17" ht="28.5" customHeight="1" x14ac:dyDescent="0.35">
      <c r="A41" s="7" t="s">
        <v>160</v>
      </c>
      <c r="B41" s="7" t="s">
        <v>174</v>
      </c>
      <c r="C41" s="8" t="s">
        <v>175</v>
      </c>
      <c r="D41" s="8" t="s">
        <v>74</v>
      </c>
      <c r="E41" s="7" t="s">
        <v>176</v>
      </c>
      <c r="F41" s="9"/>
      <c r="G41" s="9"/>
      <c r="H41" s="9">
        <v>0.38</v>
      </c>
      <c r="I41" s="9"/>
      <c r="J41" s="9"/>
      <c r="K41" s="9"/>
      <c r="L41" s="9"/>
      <c r="M41" s="9">
        <v>1.02</v>
      </c>
      <c r="N41" s="9"/>
      <c r="O41" s="9"/>
      <c r="P41" s="9"/>
    </row>
    <row r="42" spans="1:17" ht="28.5" customHeight="1" x14ac:dyDescent="0.35">
      <c r="A42" s="7" t="s">
        <v>160</v>
      </c>
      <c r="B42" s="7" t="s">
        <v>177</v>
      </c>
      <c r="C42" s="8" t="s">
        <v>87</v>
      </c>
      <c r="D42" s="8" t="s">
        <v>74</v>
      </c>
      <c r="E42" s="7" t="s">
        <v>169</v>
      </c>
      <c r="F42" s="9">
        <v>45</v>
      </c>
      <c r="G42" s="9">
        <v>42</v>
      </c>
      <c r="H42" s="9">
        <v>50</v>
      </c>
      <c r="I42" s="9">
        <v>51</v>
      </c>
      <c r="J42" s="9">
        <v>44</v>
      </c>
      <c r="K42" s="9">
        <v>36</v>
      </c>
      <c r="L42" s="9">
        <v>37</v>
      </c>
      <c r="M42" s="9">
        <v>37</v>
      </c>
      <c r="N42" s="9">
        <v>50</v>
      </c>
      <c r="O42" s="9"/>
      <c r="P42" s="9"/>
      <c r="Q42" t="s">
        <v>178</v>
      </c>
    </row>
    <row r="44" spans="1:17" ht="14.25" customHeight="1" x14ac:dyDescent="0.35">
      <c r="F44" s="23" t="str">
        <f t="shared" ref="F44:P44" si="1">+F1</f>
        <v>2015</v>
      </c>
      <c r="G44" s="23" t="str">
        <f t="shared" si="1"/>
        <v>2016</v>
      </c>
      <c r="H44" s="23" t="str">
        <f t="shared" si="1"/>
        <v>2017</v>
      </c>
      <c r="I44" s="23" t="str">
        <f t="shared" si="1"/>
        <v>2018</v>
      </c>
      <c r="J44" s="23" t="str">
        <f t="shared" si="1"/>
        <v>2019</v>
      </c>
      <c r="K44" s="23" t="str">
        <f t="shared" si="1"/>
        <v>2020</v>
      </c>
      <c r="L44" s="23" t="str">
        <f t="shared" si="1"/>
        <v>2021</v>
      </c>
      <c r="M44" s="23" t="str">
        <f t="shared" si="1"/>
        <v>2022</v>
      </c>
      <c r="N44" s="23" t="str">
        <f t="shared" si="1"/>
        <v>2023</v>
      </c>
      <c r="O44" s="23" t="str">
        <f t="shared" si="1"/>
        <v>2024</v>
      </c>
      <c r="P44" s="23" t="str">
        <f t="shared" si="1"/>
        <v>2025</v>
      </c>
    </row>
    <row r="45" spans="1:17" ht="14.25" customHeight="1" x14ac:dyDescent="0.35">
      <c r="E45" t="s">
        <v>179</v>
      </c>
      <c r="F45" s="24">
        <v>24419.4945769281</v>
      </c>
      <c r="G45" s="24">
        <v>24352.542161192399</v>
      </c>
      <c r="H45" s="24">
        <v>18227.753892688801</v>
      </c>
      <c r="I45" s="24">
        <v>16170.2444812668</v>
      </c>
      <c r="J45" s="24">
        <v>17211.496113201301</v>
      </c>
      <c r="K45" s="24">
        <v>14878.5291185065</v>
      </c>
      <c r="L45" s="24">
        <v>15508.1002773204</v>
      </c>
      <c r="M45" s="24">
        <v>14660.603008697501</v>
      </c>
      <c r="N45" s="24">
        <v>14726.5738166091</v>
      </c>
      <c r="O45" s="24">
        <v>15767.562466601499</v>
      </c>
      <c r="P45" s="24">
        <v>15236.538632391001</v>
      </c>
    </row>
    <row r="46" spans="1:17" ht="14.25" customHeight="1" x14ac:dyDescent="0.35">
      <c r="E46" t="s">
        <v>180</v>
      </c>
      <c r="F46" s="24">
        <v>37968.764912535204</v>
      </c>
      <c r="G46" s="24">
        <v>25657.887184665298</v>
      </c>
      <c r="H46" s="24">
        <v>28256.537255800398</v>
      </c>
      <c r="I46" s="24">
        <v>25887.355607408601</v>
      </c>
      <c r="J46" s="24">
        <v>22299.328651137501</v>
      </c>
      <c r="K46" s="24">
        <v>15145.6874724356</v>
      </c>
      <c r="L46" s="24">
        <v>18845.211531622899</v>
      </c>
      <c r="M46" s="24">
        <v>28564.1993647171</v>
      </c>
      <c r="N46" s="24">
        <v>23687.832062335699</v>
      </c>
      <c r="O46" s="24">
        <v>22682.525277824399</v>
      </c>
      <c r="P46" s="24">
        <v>17595.331985856999</v>
      </c>
    </row>
    <row r="47" spans="1:17" ht="14.25" customHeight="1" x14ac:dyDescent="0.35">
      <c r="E47" s="25" t="s">
        <v>181</v>
      </c>
      <c r="F47" s="26">
        <f t="shared" ref="F47:P47" si="2">+(F45*12)/F46</f>
        <v>7.7177631560618254</v>
      </c>
      <c r="G47" s="26">
        <f t="shared" si="2"/>
        <v>11.389499993941955</v>
      </c>
      <c r="H47" s="26">
        <f t="shared" si="2"/>
        <v>7.7409713983041177</v>
      </c>
      <c r="I47" s="26">
        <f t="shared" si="2"/>
        <v>7.4956645521441061</v>
      </c>
      <c r="J47" s="26">
        <f t="shared" si="2"/>
        <v>9.2620704681116042</v>
      </c>
      <c r="K47" s="26">
        <f t="shared" si="2"/>
        <v>11.788329169409854</v>
      </c>
      <c r="L47" s="26">
        <f t="shared" si="2"/>
        <v>9.8750392382472025</v>
      </c>
      <c r="M47" s="26">
        <f t="shared" si="2"/>
        <v>6.1590116305404941</v>
      </c>
      <c r="N47" s="26">
        <f t="shared" si="2"/>
        <v>7.4603233142764909</v>
      </c>
      <c r="O47" s="26">
        <f t="shared" si="2"/>
        <v>8.34169684731709</v>
      </c>
      <c r="P47" s="26">
        <f t="shared" si="2"/>
        <v>10.391305133410171</v>
      </c>
    </row>
  </sheetData>
  <hyperlinks>
    <hyperlink ref="Q2" r:id="rId1" xr:uid="{00000000-0004-0000-0100-000000000000}"/>
    <hyperlink ref="Q3" r:id="rId2" xr:uid="{00000000-0004-0000-0100-000001000000}"/>
    <hyperlink ref="Q6" r:id="rId3" xr:uid="{00000000-0004-0000-0100-000002000000}"/>
    <hyperlink ref="Q7" r:id="rId4" xr:uid="{00000000-0004-0000-0100-000003000000}"/>
    <hyperlink ref="Q10" r:id="rId5" xr:uid="{00000000-0004-0000-0100-000004000000}"/>
    <hyperlink ref="Q14" r:id="rId6" xr:uid="{00000000-0004-0000-0100-000005000000}"/>
    <hyperlink ref="Q15" r:id="rId7" xr:uid="{00000000-0004-0000-0100-000006000000}"/>
    <hyperlink ref="Q20" r:id="rId8" xr:uid="{00000000-0004-0000-0100-000007000000}"/>
    <hyperlink ref="Q21" r:id="rId9" xr:uid="{00000000-0004-0000-0100-000008000000}"/>
    <hyperlink ref="Q23" r:id="rId10" xr:uid="{00000000-0004-0000-0100-000009000000}"/>
    <hyperlink ref="Q24" r:id="rId11" xr:uid="{00000000-0004-0000-0100-00000A000000}"/>
    <hyperlink ref="Q25" r:id="rId12" xr:uid="{00000000-0004-0000-0100-00000B000000}"/>
    <hyperlink ref="Q26" r:id="rId13" xr:uid="{00000000-0004-0000-0100-00000C000000}"/>
    <hyperlink ref="Q27" r:id="rId14" xr:uid="{00000000-0004-0000-0100-00000D000000}"/>
    <hyperlink ref="Q29" r:id="rId15" xr:uid="{00000000-0004-0000-0100-00000E000000}"/>
    <hyperlink ref="Q30" r:id="rId16" xr:uid="{00000000-0004-0000-0100-00000F000000}"/>
    <hyperlink ref="Q37" r:id="rId17" xr:uid="{00000000-0004-0000-0100-000010000000}"/>
    <hyperlink ref="Q38" r:id="rId18" xr:uid="{00000000-0004-0000-0100-000011000000}"/>
    <hyperlink ref="Q39" r:id="rId19" xr:uid="{00000000-0004-0000-0100-000012000000}"/>
    <hyperlink ref="Q40" r:id="rId20" xr:uid="{00000000-0004-0000-0100-000013000000}"/>
  </hyperlinks>
  <pageMargins left="0.75" right="0.75" top="1" bottom="1" header="0.511811023622047" footer="0.511811023622047"/>
  <pageSetup paperSize="9" orientation="portrait" horizontalDpi="300" verticalDpi="300"/>
  <legacy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ADA"/>
  </sheetPr>
  <dimension ref="A1:H58"/>
  <sheetViews>
    <sheetView zoomScaleNormal="100" workbookViewId="0"/>
  </sheetViews>
  <sheetFormatPr defaultColWidth="8.54296875" defaultRowHeight="14.5" x14ac:dyDescent="0.35"/>
  <cols>
    <col min="1" max="1" width="45" customWidth="1"/>
    <col min="2" max="3" width="18" customWidth="1"/>
    <col min="4" max="4" width="15" customWidth="1"/>
    <col min="5" max="5" width="20" customWidth="1"/>
  </cols>
  <sheetData>
    <row r="1" spans="1:8" ht="17.25" customHeight="1" x14ac:dyDescent="0.35">
      <c r="A1" s="58" t="s">
        <v>182</v>
      </c>
      <c r="B1" s="57"/>
      <c r="C1" s="57"/>
      <c r="D1" s="57"/>
      <c r="E1" s="57"/>
      <c r="F1" s="57"/>
      <c r="G1" s="57"/>
      <c r="H1" s="57"/>
    </row>
    <row r="3" spans="1:8" ht="14.25" customHeight="1" x14ac:dyDescent="0.35">
      <c r="A3" s="6" t="s">
        <v>67</v>
      </c>
      <c r="B3" s="6" t="s">
        <v>183</v>
      </c>
      <c r="C3" s="6" t="s">
        <v>184</v>
      </c>
      <c r="D3" s="6" t="s">
        <v>185</v>
      </c>
      <c r="E3" s="6" t="s">
        <v>186</v>
      </c>
    </row>
    <row r="4" spans="1:8" ht="14.25" customHeight="1" x14ac:dyDescent="0.35">
      <c r="A4" s="27" t="s">
        <v>72</v>
      </c>
      <c r="B4" s="9">
        <v>0</v>
      </c>
      <c r="C4" s="9">
        <v>100</v>
      </c>
      <c r="D4" s="9">
        <v>35</v>
      </c>
      <c r="E4" s="9">
        <v>1</v>
      </c>
    </row>
    <row r="5" spans="1:8" ht="14.25" customHeight="1" x14ac:dyDescent="0.35">
      <c r="A5" s="27" t="s">
        <v>77</v>
      </c>
      <c r="B5" s="9">
        <v>-2.5</v>
      </c>
      <c r="C5" s="9">
        <v>2.5</v>
      </c>
      <c r="D5" s="9">
        <v>0</v>
      </c>
      <c r="E5" s="9">
        <v>1</v>
      </c>
    </row>
    <row r="6" spans="1:8" ht="14.25" customHeight="1" x14ac:dyDescent="0.35">
      <c r="A6" s="27" t="s">
        <v>81</v>
      </c>
      <c r="B6" s="9">
        <v>-2.5</v>
      </c>
      <c r="C6" s="9">
        <v>2.5</v>
      </c>
      <c r="D6" s="9">
        <v>0</v>
      </c>
      <c r="E6" s="9">
        <v>1</v>
      </c>
    </row>
    <row r="7" spans="1:8" ht="14.25" customHeight="1" x14ac:dyDescent="0.35">
      <c r="A7" s="27" t="s">
        <v>82</v>
      </c>
      <c r="B7" s="9">
        <v>-2.5</v>
      </c>
      <c r="C7" s="9">
        <v>2.5</v>
      </c>
      <c r="D7" s="9">
        <v>0</v>
      </c>
      <c r="E7" s="9">
        <v>1</v>
      </c>
    </row>
    <row r="8" spans="1:8" ht="14.25" customHeight="1" x14ac:dyDescent="0.35">
      <c r="A8" s="27" t="s">
        <v>83</v>
      </c>
      <c r="B8" s="9">
        <v>0</v>
      </c>
      <c r="C8" s="9">
        <v>100</v>
      </c>
      <c r="D8" s="9">
        <v>55</v>
      </c>
      <c r="E8" s="9">
        <v>1</v>
      </c>
    </row>
    <row r="9" spans="1:8" ht="14.25" customHeight="1" x14ac:dyDescent="0.35">
      <c r="A9" s="27" t="s">
        <v>86</v>
      </c>
      <c r="B9" s="9">
        <v>-10</v>
      </c>
      <c r="C9" s="9">
        <v>15</v>
      </c>
      <c r="D9" s="9">
        <v>5</v>
      </c>
      <c r="E9" s="9">
        <v>1</v>
      </c>
    </row>
    <row r="10" spans="1:8" ht="14.25" customHeight="1" x14ac:dyDescent="0.35">
      <c r="A10" s="27" t="s">
        <v>90</v>
      </c>
      <c r="B10" s="9">
        <v>500</v>
      </c>
      <c r="C10" s="9">
        <v>15000</v>
      </c>
      <c r="D10" s="9">
        <v>5000</v>
      </c>
      <c r="E10" s="9">
        <v>1</v>
      </c>
    </row>
    <row r="11" spans="1:8" ht="14.25" customHeight="1" x14ac:dyDescent="0.35">
      <c r="A11" s="27" t="s">
        <v>92</v>
      </c>
      <c r="B11" s="9">
        <v>0</v>
      </c>
      <c r="C11" s="9">
        <v>50</v>
      </c>
      <c r="D11" s="9">
        <v>10</v>
      </c>
      <c r="E11" s="9">
        <v>1</v>
      </c>
    </row>
    <row r="12" spans="1:8" ht="14.25" customHeight="1" x14ac:dyDescent="0.35">
      <c r="A12" s="27" t="s">
        <v>95</v>
      </c>
      <c r="B12" s="9">
        <v>0</v>
      </c>
      <c r="C12" s="9">
        <v>150</v>
      </c>
      <c r="D12" s="9">
        <v>60</v>
      </c>
      <c r="E12" s="9">
        <v>1</v>
      </c>
    </row>
    <row r="13" spans="1:8" ht="14.25" customHeight="1" x14ac:dyDescent="0.35">
      <c r="A13" s="27" t="s">
        <v>98</v>
      </c>
      <c r="B13" s="9">
        <v>-15</v>
      </c>
      <c r="C13" s="9">
        <v>10</v>
      </c>
      <c r="D13" s="9">
        <v>0</v>
      </c>
      <c r="E13" s="9">
        <v>1</v>
      </c>
    </row>
    <row r="14" spans="1:8" ht="14.25" customHeight="1" x14ac:dyDescent="0.35">
      <c r="A14" s="27" t="s">
        <v>99</v>
      </c>
      <c r="B14" s="9">
        <v>0</v>
      </c>
      <c r="C14" s="9">
        <v>10</v>
      </c>
      <c r="D14" s="9">
        <v>3</v>
      </c>
      <c r="E14" s="9">
        <v>1</v>
      </c>
    </row>
    <row r="15" spans="1:8" ht="14.25" customHeight="1" x14ac:dyDescent="0.35">
      <c r="A15" s="27" t="s">
        <v>101</v>
      </c>
      <c r="B15" s="9">
        <v>0</v>
      </c>
      <c r="C15" s="9">
        <v>12</v>
      </c>
      <c r="D15" s="9">
        <v>6</v>
      </c>
      <c r="E15" s="9">
        <v>1</v>
      </c>
    </row>
    <row r="16" spans="1:8" ht="14.25" customHeight="1" x14ac:dyDescent="0.35">
      <c r="A16" s="27" t="s">
        <v>104</v>
      </c>
      <c r="B16" s="9">
        <v>0</v>
      </c>
      <c r="C16" s="9">
        <v>1</v>
      </c>
      <c r="D16" s="9">
        <v>0.6</v>
      </c>
      <c r="E16" s="9">
        <v>1</v>
      </c>
    </row>
    <row r="17" spans="1:5" ht="14.25" customHeight="1" x14ac:dyDescent="0.35">
      <c r="A17" s="27" t="s">
        <v>108</v>
      </c>
      <c r="B17" s="9">
        <v>40</v>
      </c>
      <c r="C17" s="9">
        <v>85</v>
      </c>
      <c r="D17" s="9">
        <v>65</v>
      </c>
      <c r="E17" s="9">
        <v>1</v>
      </c>
    </row>
    <row r="18" spans="1:5" ht="14.25" customHeight="1" x14ac:dyDescent="0.35">
      <c r="A18" s="27" t="s">
        <v>112</v>
      </c>
      <c r="B18" s="9">
        <v>0</v>
      </c>
      <c r="C18" s="9">
        <v>100</v>
      </c>
      <c r="D18" s="9">
        <v>75</v>
      </c>
      <c r="E18" s="9">
        <v>1</v>
      </c>
    </row>
    <row r="19" spans="1:5" ht="14.25" customHeight="1" x14ac:dyDescent="0.35">
      <c r="A19" s="27" t="s">
        <v>114</v>
      </c>
      <c r="B19" s="9">
        <v>0</v>
      </c>
      <c r="C19" s="9">
        <v>100</v>
      </c>
      <c r="D19" s="9">
        <v>95</v>
      </c>
      <c r="E19" s="9">
        <v>1</v>
      </c>
    </row>
    <row r="20" spans="1:5" ht="14.25" customHeight="1" x14ac:dyDescent="0.35">
      <c r="A20" s="27" t="s">
        <v>116</v>
      </c>
      <c r="B20" s="9">
        <v>0</v>
      </c>
      <c r="C20" s="9">
        <v>15</v>
      </c>
      <c r="D20" s="9">
        <v>8</v>
      </c>
      <c r="E20" s="9">
        <v>1</v>
      </c>
    </row>
    <row r="21" spans="1:5" ht="14.25" customHeight="1" x14ac:dyDescent="0.35">
      <c r="A21" s="27" t="s">
        <v>118</v>
      </c>
      <c r="B21" s="9">
        <v>0</v>
      </c>
      <c r="C21" s="9">
        <v>150</v>
      </c>
      <c r="D21" s="9">
        <v>40</v>
      </c>
      <c r="E21" s="9">
        <v>1</v>
      </c>
    </row>
    <row r="22" spans="1:5" ht="14.25" customHeight="1" x14ac:dyDescent="0.35">
      <c r="A22" s="27" t="s">
        <v>122</v>
      </c>
      <c r="B22" s="9">
        <v>0</v>
      </c>
      <c r="C22" s="9">
        <v>80</v>
      </c>
      <c r="D22" s="9">
        <v>30</v>
      </c>
      <c r="E22" s="9">
        <v>1</v>
      </c>
    </row>
    <row r="23" spans="1:5" ht="14.25" customHeight="1" x14ac:dyDescent="0.35">
      <c r="A23" s="27" t="s">
        <v>125</v>
      </c>
      <c r="B23" s="9">
        <v>0</v>
      </c>
      <c r="C23" s="9">
        <v>70</v>
      </c>
      <c r="D23" s="9">
        <v>40</v>
      </c>
      <c r="E23" s="9">
        <v>1</v>
      </c>
    </row>
    <row r="24" spans="1:5" ht="14.25" customHeight="1" x14ac:dyDescent="0.35">
      <c r="A24" s="27" t="s">
        <v>127</v>
      </c>
      <c r="B24" s="9">
        <v>0</v>
      </c>
      <c r="C24" s="9">
        <v>100</v>
      </c>
      <c r="D24" s="9">
        <v>40</v>
      </c>
      <c r="E24" s="9">
        <v>1</v>
      </c>
    </row>
    <row r="25" spans="1:5" ht="14.25" customHeight="1" x14ac:dyDescent="0.35">
      <c r="A25" s="27" t="s">
        <v>129</v>
      </c>
      <c r="B25" s="9">
        <v>0</v>
      </c>
      <c r="C25" s="9">
        <v>1</v>
      </c>
      <c r="D25" s="9">
        <v>0.7</v>
      </c>
      <c r="E25" s="9">
        <v>1</v>
      </c>
    </row>
    <row r="26" spans="1:5" ht="14.25" customHeight="1" x14ac:dyDescent="0.35">
      <c r="A26" s="27" t="s">
        <v>132</v>
      </c>
      <c r="B26" s="9">
        <v>500</v>
      </c>
      <c r="C26" s="9">
        <v>15000</v>
      </c>
      <c r="D26" s="9">
        <v>4500</v>
      </c>
      <c r="E26" s="9">
        <v>1</v>
      </c>
    </row>
    <row r="27" spans="1:5" ht="14.25" customHeight="1" x14ac:dyDescent="0.35">
      <c r="A27" s="27" t="s">
        <v>136</v>
      </c>
      <c r="B27" s="9">
        <v>0</v>
      </c>
      <c r="C27" s="9">
        <v>100</v>
      </c>
      <c r="D27" s="9">
        <v>60</v>
      </c>
      <c r="E27" s="9">
        <v>1</v>
      </c>
    </row>
    <row r="28" spans="1:5" ht="14.25" customHeight="1" x14ac:dyDescent="0.35">
      <c r="A28" s="27" t="s">
        <v>139</v>
      </c>
      <c r="B28" s="9">
        <v>0</v>
      </c>
      <c r="C28" s="9">
        <v>100</v>
      </c>
      <c r="D28" s="9">
        <v>70</v>
      </c>
      <c r="E28" s="9">
        <v>1</v>
      </c>
    </row>
    <row r="29" spans="1:5" ht="14.25" customHeight="1" x14ac:dyDescent="0.35">
      <c r="A29" s="27" t="s">
        <v>142</v>
      </c>
      <c r="B29" s="9">
        <v>0</v>
      </c>
      <c r="C29" s="9">
        <v>100</v>
      </c>
      <c r="D29" s="9">
        <v>60</v>
      </c>
      <c r="E29" s="9">
        <v>1</v>
      </c>
    </row>
    <row r="30" spans="1:5" ht="14.25" customHeight="1" x14ac:dyDescent="0.35">
      <c r="A30" s="27" t="s">
        <v>144</v>
      </c>
      <c r="B30" s="9">
        <v>0</v>
      </c>
      <c r="C30" s="9">
        <v>100</v>
      </c>
      <c r="D30" s="9">
        <v>70</v>
      </c>
      <c r="E30" s="9">
        <v>1</v>
      </c>
    </row>
    <row r="31" spans="1:5" ht="14.25" customHeight="1" x14ac:dyDescent="0.35">
      <c r="A31" s="27" t="s">
        <v>147</v>
      </c>
      <c r="B31" s="9">
        <v>0</v>
      </c>
      <c r="C31" s="9">
        <v>100</v>
      </c>
      <c r="D31" s="9">
        <v>40</v>
      </c>
      <c r="E31" s="9">
        <v>1</v>
      </c>
    </row>
    <row r="32" spans="1:5" ht="14.25" customHeight="1" x14ac:dyDescent="0.35">
      <c r="A32" s="27" t="s">
        <v>149</v>
      </c>
      <c r="B32" s="9">
        <v>0</v>
      </c>
      <c r="C32" s="9">
        <v>100</v>
      </c>
      <c r="D32" s="9">
        <v>30</v>
      </c>
      <c r="E32" s="9">
        <v>1</v>
      </c>
    </row>
    <row r="33" spans="1:5" ht="14.25" customHeight="1" x14ac:dyDescent="0.35">
      <c r="A33" s="27" t="s">
        <v>154</v>
      </c>
      <c r="B33" s="9">
        <v>0</v>
      </c>
      <c r="C33" s="9">
        <v>100</v>
      </c>
      <c r="D33" s="9">
        <v>65</v>
      </c>
      <c r="E33" s="9">
        <v>1</v>
      </c>
    </row>
    <row r="34" spans="1:5" ht="14.25" customHeight="1" x14ac:dyDescent="0.35">
      <c r="A34" s="27" t="s">
        <v>155</v>
      </c>
      <c r="B34" s="9">
        <v>0</v>
      </c>
      <c r="C34" s="9">
        <v>50</v>
      </c>
      <c r="D34" s="9">
        <v>20</v>
      </c>
      <c r="E34" s="9">
        <v>1</v>
      </c>
    </row>
    <row r="35" spans="1:5" ht="14.25" customHeight="1" x14ac:dyDescent="0.35">
      <c r="A35" s="27" t="s">
        <v>187</v>
      </c>
      <c r="B35" s="9">
        <v>0</v>
      </c>
      <c r="C35" s="9">
        <v>70</v>
      </c>
      <c r="D35" s="9">
        <v>30</v>
      </c>
      <c r="E35" s="9">
        <v>1</v>
      </c>
    </row>
    <row r="36" spans="1:5" ht="14.25" customHeight="1" x14ac:dyDescent="0.35">
      <c r="A36" s="27" t="s">
        <v>157</v>
      </c>
      <c r="B36" s="9">
        <v>0</v>
      </c>
      <c r="C36" s="9">
        <v>100</v>
      </c>
      <c r="D36" s="9">
        <v>50</v>
      </c>
      <c r="E36" s="9">
        <v>1</v>
      </c>
    </row>
    <row r="37" spans="1:5" ht="14.25" customHeight="1" x14ac:dyDescent="0.35">
      <c r="A37" s="27" t="s">
        <v>158</v>
      </c>
      <c r="B37" s="9">
        <v>0</v>
      </c>
      <c r="C37" s="9">
        <v>100</v>
      </c>
      <c r="D37" s="9">
        <v>40</v>
      </c>
      <c r="E37" s="9">
        <v>1</v>
      </c>
    </row>
    <row r="38" spans="1:5" ht="14.25" customHeight="1" x14ac:dyDescent="0.35">
      <c r="A38" s="27" t="s">
        <v>159</v>
      </c>
      <c r="B38" s="9">
        <v>-5</v>
      </c>
      <c r="C38" s="9">
        <v>10</v>
      </c>
      <c r="D38" s="9">
        <v>3</v>
      </c>
      <c r="E38" s="9">
        <v>1</v>
      </c>
    </row>
    <row r="39" spans="1:5" ht="14.25" customHeight="1" x14ac:dyDescent="0.35">
      <c r="A39" s="27" t="s">
        <v>161</v>
      </c>
      <c r="B39" s="9">
        <v>0</v>
      </c>
      <c r="C39" s="9">
        <v>100</v>
      </c>
      <c r="D39" s="9">
        <v>50</v>
      </c>
      <c r="E39" s="9">
        <v>1</v>
      </c>
    </row>
    <row r="40" spans="1:5" ht="14.25" customHeight="1" x14ac:dyDescent="0.35">
      <c r="A40" s="27" t="s">
        <v>164</v>
      </c>
      <c r="B40" s="9">
        <v>0</v>
      </c>
      <c r="C40" s="9">
        <v>50</v>
      </c>
      <c r="D40" s="9">
        <v>15</v>
      </c>
      <c r="E40" s="9">
        <v>1</v>
      </c>
    </row>
    <row r="41" spans="1:5" ht="14.25" customHeight="1" x14ac:dyDescent="0.35">
      <c r="A41" s="27" t="s">
        <v>167</v>
      </c>
      <c r="B41" s="9">
        <v>0</v>
      </c>
      <c r="C41" s="9">
        <v>1000</v>
      </c>
      <c r="D41" s="9">
        <v>300</v>
      </c>
      <c r="E41" s="9">
        <v>1</v>
      </c>
    </row>
    <row r="42" spans="1:5" ht="14.25" customHeight="1" x14ac:dyDescent="0.35">
      <c r="A42" s="27" t="s">
        <v>171</v>
      </c>
      <c r="B42" s="9">
        <v>0</v>
      </c>
      <c r="C42" s="9">
        <v>15</v>
      </c>
      <c r="D42" s="9">
        <v>5</v>
      </c>
      <c r="E42" s="9">
        <v>1</v>
      </c>
    </row>
    <row r="43" spans="1:5" ht="14.25" customHeight="1" x14ac:dyDescent="0.35">
      <c r="A43" s="27" t="s">
        <v>174</v>
      </c>
      <c r="B43" s="9">
        <v>0</v>
      </c>
      <c r="C43" s="9">
        <v>10</v>
      </c>
      <c r="D43" s="9">
        <v>2</v>
      </c>
      <c r="E43" s="9">
        <v>1</v>
      </c>
    </row>
    <row r="44" spans="1:5" ht="14.25" customHeight="1" x14ac:dyDescent="0.35">
      <c r="A44" s="27" t="s">
        <v>177</v>
      </c>
      <c r="B44" s="9">
        <v>0</v>
      </c>
      <c r="C44" s="9">
        <v>100</v>
      </c>
      <c r="D44" s="9">
        <v>80</v>
      </c>
      <c r="E44" s="9">
        <v>1</v>
      </c>
    </row>
    <row r="46" spans="1:5" ht="14.25" customHeight="1" x14ac:dyDescent="0.35">
      <c r="A46" s="5" t="s">
        <v>188</v>
      </c>
      <c r="B46" s="28">
        <v>0.5</v>
      </c>
    </row>
    <row r="47" spans="1:5" ht="14.25" customHeight="1" x14ac:dyDescent="0.35">
      <c r="A47" s="5" t="s">
        <v>189</v>
      </c>
      <c r="B47" s="28">
        <v>4</v>
      </c>
    </row>
    <row r="50" spans="1:2" ht="15" customHeight="1" x14ac:dyDescent="0.35">
      <c r="A50" s="3" t="s">
        <v>190</v>
      </c>
    </row>
    <row r="51" spans="1:2" ht="14.25" customHeight="1" x14ac:dyDescent="0.35">
      <c r="A51" s="29" t="s">
        <v>66</v>
      </c>
      <c r="B51" s="29" t="s">
        <v>2</v>
      </c>
    </row>
    <row r="52" spans="1:2" ht="14.25" customHeight="1" x14ac:dyDescent="0.35">
      <c r="A52" s="30" t="s">
        <v>14</v>
      </c>
      <c r="B52" s="31">
        <v>1</v>
      </c>
    </row>
    <row r="53" spans="1:2" ht="14.25" customHeight="1" x14ac:dyDescent="0.35">
      <c r="A53" s="30" t="s">
        <v>15</v>
      </c>
      <c r="B53" s="31">
        <v>1</v>
      </c>
    </row>
    <row r="54" spans="1:2" ht="14.25" customHeight="1" x14ac:dyDescent="0.35">
      <c r="A54" s="30" t="s">
        <v>16</v>
      </c>
      <c r="B54" s="31">
        <v>1</v>
      </c>
    </row>
    <row r="55" spans="1:2" ht="14.25" customHeight="1" x14ac:dyDescent="0.35">
      <c r="A55" s="30" t="s">
        <v>121</v>
      </c>
      <c r="B55" s="31">
        <v>1</v>
      </c>
    </row>
    <row r="56" spans="1:2" ht="14.25" customHeight="1" x14ac:dyDescent="0.35">
      <c r="A56" s="30" t="s">
        <v>135</v>
      </c>
      <c r="B56" s="31">
        <v>1</v>
      </c>
    </row>
    <row r="57" spans="1:2" ht="14.25" customHeight="1" x14ac:dyDescent="0.35">
      <c r="A57" s="30" t="s">
        <v>19</v>
      </c>
      <c r="B57" s="31">
        <v>1</v>
      </c>
    </row>
    <row r="58" spans="1:2" ht="14.25" customHeight="1" x14ac:dyDescent="0.35">
      <c r="A58" s="30" t="s">
        <v>20</v>
      </c>
      <c r="B58" s="31">
        <v>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EF4"/>
  </sheetPr>
  <dimension ref="A1:M42"/>
  <sheetViews>
    <sheetView zoomScaleNormal="100" workbookViewId="0">
      <selection activeCell="C13" sqref="C13"/>
    </sheetView>
  </sheetViews>
  <sheetFormatPr defaultColWidth="8.54296875" defaultRowHeight="14.5" x14ac:dyDescent="0.35"/>
  <cols>
    <col min="1" max="1" width="40" customWidth="1"/>
    <col min="2" max="2" width="10" customWidth="1"/>
    <col min="3" max="13" width="12" customWidth="1"/>
  </cols>
  <sheetData>
    <row r="1" spans="1:13" ht="14.25" customHeight="1" x14ac:dyDescent="0.35">
      <c r="A1" s="6" t="s">
        <v>67</v>
      </c>
      <c r="B1" s="6" t="s">
        <v>69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</row>
    <row r="2" spans="1:13" ht="14.25" customHeight="1" x14ac:dyDescent="0.35">
      <c r="A2" s="30" t="s">
        <v>72</v>
      </c>
      <c r="B2" s="32" t="s">
        <v>74</v>
      </c>
      <c r="C2" s="33">
        <f>IF(Input_Dados!F$2="","",MIN(100,MAX(0,(Input_Dados!F$2-Parametros!$B$4)/(Parametros!$C$4-Parametros!$B$4)*100)))</f>
        <v>15</v>
      </c>
      <c r="D2" s="33">
        <f>IF(Input_Dados!G$2="","",MIN(100,MAX(0,(Input_Dados!G$2-Parametros!$B$4)/(Parametros!$C$4-Parametros!$B$4)*100)))</f>
        <v>18</v>
      </c>
      <c r="E2" s="33">
        <f>IF(Input_Dados!H$2="","",MIN(100,MAX(0,(Input_Dados!H$2-Parametros!$B$4)/(Parametros!$C$4-Parametros!$B$4)*100)))</f>
        <v>19</v>
      </c>
      <c r="F2" s="33">
        <f>IF(Input_Dados!I$2="","",MIN(100,MAX(0,(Input_Dados!I$2-Parametros!$B$4)/(Parametros!$C$4-Parametros!$B$4)*100)))</f>
        <v>19</v>
      </c>
      <c r="G2" s="33">
        <f>IF(Input_Dados!J$2="","",MIN(100,MAX(0,(Input_Dados!J$2-Parametros!$B$4)/(Parametros!$C$4-Parametros!$B$4)*100)))</f>
        <v>26</v>
      </c>
      <c r="H2" s="33">
        <f>IF(Input_Dados!K$2="","",MIN(100,MAX(0,(Input_Dados!K$2-Parametros!$B$4)/(Parametros!$C$4-Parametros!$B$4)*100)))</f>
        <v>27</v>
      </c>
      <c r="I2" s="33">
        <f>IF(Input_Dados!L$2="","",MIN(100,MAX(0,(Input_Dados!L$2-Parametros!$B$4)/(Parametros!$C$4-Parametros!$B$4)*100)))</f>
        <v>28.999999999999996</v>
      </c>
      <c r="J2" s="33">
        <f>IF(Input_Dados!M$2="","",MIN(100,MAX(0,(Input_Dados!M$2-Parametros!$B$4)/(Parametros!$C$4-Parametros!$B$4)*100)))</f>
        <v>33</v>
      </c>
      <c r="K2" s="33">
        <f>IF(Input_Dados!N$2="","",MIN(100,MAX(0,(Input_Dados!N$2-Parametros!$B$4)/(Parametros!$C$4-Parametros!$B$4)*100)))</f>
        <v>33</v>
      </c>
      <c r="L2" s="33">
        <f>IF(Input_Dados!O$2="","",MIN(100,MAX(0,(Input_Dados!O$2-Parametros!$B$4)/(Parametros!$C$4-Parametros!$B$4)*100)))</f>
        <v>32</v>
      </c>
      <c r="M2" s="33" t="str">
        <f>IF(Input_Dados!P$2="","",MIN(100,MAX(0,(Input_Dados!P$2-Parametros!$B$4)/(Parametros!$C$4-Parametros!$B$4)*100)))</f>
        <v/>
      </c>
    </row>
    <row r="3" spans="1:13" ht="14.25" customHeight="1" x14ac:dyDescent="0.35">
      <c r="A3" s="30" t="s">
        <v>77</v>
      </c>
      <c r="B3" s="32" t="s">
        <v>74</v>
      </c>
      <c r="C3" s="33">
        <f>IF(Input_Dados!F$3="","",MIN(100,MAX(0,(Input_Dados!F$3-Parametros!$B$5)/(Parametros!$C$5-Parametros!$B$5)*100)))</f>
        <v>23.827406</v>
      </c>
      <c r="D3" s="33">
        <f>IF(Input_Dados!G$3="","",MIN(100,MAX(0,(Input_Dados!G$3-Parametros!$B$5)/(Parametros!$C$5-Parametros!$B$5)*100)))</f>
        <v>23.424472000000002</v>
      </c>
      <c r="E3" s="33">
        <f>IF(Input_Dados!H$3="","",MIN(100,MAX(0,(Input_Dados!H$3-Parametros!$B$5)/(Parametros!$C$5-Parametros!$B$5)*100)))</f>
        <v>23.36589</v>
      </c>
      <c r="F3" s="33">
        <f>IF(Input_Dados!I$3="","",MIN(100,MAX(0,(Input_Dados!I$3-Parametros!$B$5)/(Parametros!$C$5-Parametros!$B$5)*100)))</f>
        <v>27.788955999999999</v>
      </c>
      <c r="G3" s="33">
        <f>IF(Input_Dados!J$3="","",MIN(100,MAX(0,(Input_Dados!J$3-Parametros!$B$5)/(Parametros!$C$5-Parametros!$B$5)*100)))</f>
        <v>28.960636000000001</v>
      </c>
      <c r="H3" s="33">
        <f>IF(Input_Dados!K$3="","",MIN(100,MAX(0,(Input_Dados!K$3-Parametros!$B$5)/(Parametros!$C$5-Parametros!$B$5)*100)))</f>
        <v>31.049924000000001</v>
      </c>
      <c r="I3" s="33">
        <f>IF(Input_Dados!L$3="","",MIN(100,MAX(0,(Input_Dados!L$3-Parametros!$B$5)/(Parametros!$C$5-Parametros!$B$5)*100)))</f>
        <v>28.039730000000002</v>
      </c>
      <c r="J3" s="33">
        <f>IF(Input_Dados!M$3="","",MIN(100,MAX(0,(Input_Dados!M$3-Parametros!$B$5)/(Parametros!$C$5-Parametros!$B$5)*100)))</f>
        <v>26.749122000000003</v>
      </c>
      <c r="K3" s="33">
        <f>IF(Input_Dados!N$3="","",MIN(100,MAX(0,(Input_Dados!N$3-Parametros!$B$5)/(Parametros!$C$5-Parametros!$B$5)*100)))</f>
        <v>26.111136000000002</v>
      </c>
      <c r="L3" s="33">
        <f>IF(Input_Dados!O$3="","",MIN(100,MAX(0,(Input_Dados!O$3-Parametros!$B$5)/(Parametros!$C$5-Parametros!$B$5)*100)))</f>
        <v>26.605183999999998</v>
      </c>
      <c r="M3" s="33" t="str">
        <f>IF(Input_Dados!P$3="","",MIN(100,MAX(0,(Input_Dados!P$3-Parametros!$B$5)/(Parametros!$C$5-Parametros!$B$5)*100)))</f>
        <v/>
      </c>
    </row>
    <row r="4" spans="1:13" ht="14.25" customHeight="1" x14ac:dyDescent="0.35">
      <c r="A4" s="30" t="s">
        <v>81</v>
      </c>
      <c r="B4" s="32" t="s">
        <v>74</v>
      </c>
      <c r="C4" s="33">
        <f>IF(Input_Dados!F$4="","",MIN(100,MAX(0,(Input_Dados!F$4-Parametros!$B$6)/(Parametros!$C$6-Parametros!$B$6)*100)))</f>
        <v>31.243525999999999</v>
      </c>
      <c r="D4" s="33">
        <f>IF(Input_Dados!G$4="","",MIN(100,MAX(0,(Input_Dados!G$4-Parametros!$B$6)/(Parametros!$C$6-Parametros!$B$6)*100)))</f>
        <v>31.012306000000002</v>
      </c>
      <c r="E4" s="33">
        <f>IF(Input_Dados!H$4="","",MIN(100,MAX(0,(Input_Dados!H$4-Parametros!$B$6)/(Parametros!$C$6-Parametros!$B$6)*100)))</f>
        <v>30.637685999999999</v>
      </c>
      <c r="F4" s="33">
        <f>IF(Input_Dados!I$4="","",MIN(100,MAX(0,(Input_Dados!I$4-Parametros!$B$6)/(Parametros!$C$6-Parametros!$B$6)*100)))</f>
        <v>30.430795999999997</v>
      </c>
      <c r="G4" s="33">
        <f>IF(Input_Dados!J$4="","",MIN(100,MAX(0,(Input_Dados!J$4-Parametros!$B$6)/(Parametros!$C$6-Parametros!$B$6)*100)))</f>
        <v>31.766069999999996</v>
      </c>
      <c r="H4" s="33">
        <f>IF(Input_Dados!K$4="","",MIN(100,MAX(0,(Input_Dados!K$4-Parametros!$B$6)/(Parametros!$C$6-Parametros!$B$6)*100)))</f>
        <v>29.672792000000005</v>
      </c>
      <c r="I4" s="33">
        <f>IF(Input_Dados!L$4="","",MIN(100,MAX(0,(Input_Dados!L$4-Parametros!$B$6)/(Parametros!$C$6-Parametros!$B$6)*100)))</f>
        <v>31.305984000000002</v>
      </c>
      <c r="J4" s="33">
        <f>IF(Input_Dados!M$4="","",MIN(100,MAX(0,(Input_Dados!M$4-Parametros!$B$6)/(Parametros!$C$6-Parametros!$B$6)*100)))</f>
        <v>33.348564000000003</v>
      </c>
      <c r="K4" s="33">
        <f>IF(Input_Dados!N$4="","",MIN(100,MAX(0,(Input_Dados!N$4-Parametros!$B$6)/(Parametros!$C$6-Parametros!$B$6)*100)))</f>
        <v>33.425947999999998</v>
      </c>
      <c r="L4" s="33">
        <f>IF(Input_Dados!O$4="","",MIN(100,MAX(0,(Input_Dados!O$4-Parametros!$B$6)/(Parametros!$C$6-Parametros!$B$6)*100)))</f>
        <v>34.296182000000002</v>
      </c>
      <c r="M4" s="33" t="str">
        <f>IF(Input_Dados!P$4="","",MIN(100,MAX(0,(Input_Dados!P$4-Parametros!$B$6)/(Parametros!$C$6-Parametros!$B$6)*100)))</f>
        <v/>
      </c>
    </row>
    <row r="5" spans="1:13" ht="14.25" customHeight="1" x14ac:dyDescent="0.35">
      <c r="A5" s="30" t="s">
        <v>82</v>
      </c>
      <c r="B5" s="32" t="s">
        <v>74</v>
      </c>
      <c r="C5" s="33">
        <f>IF(Input_Dados!F$5="","",MIN(100,MAX(0,(Input_Dados!F$5-Parametros!$B$7)/(Parametros!$C$7-Parametros!$B$7)*100)))</f>
        <v>38.817947999999994</v>
      </c>
      <c r="D5" s="33">
        <f>IF(Input_Dados!G$5="","",MIN(100,MAX(0,(Input_Dados!G$5-Parametros!$B$7)/(Parametros!$C$7-Parametros!$B$7)*100)))</f>
        <v>41.30744</v>
      </c>
      <c r="E5" s="33">
        <f>IF(Input_Dados!H$5="","",MIN(100,MAX(0,(Input_Dados!H$5-Parametros!$B$7)/(Parametros!$C$7-Parametros!$B$7)*100)))</f>
        <v>39.255710000000001</v>
      </c>
      <c r="F5" s="33">
        <f>IF(Input_Dados!I$5="","",MIN(100,MAX(0,(Input_Dados!I$5-Parametros!$B$7)/(Parametros!$C$7-Parametros!$B$7)*100)))</f>
        <v>41.883766000000001</v>
      </c>
      <c r="G5" s="33">
        <f>IF(Input_Dados!J$5="","",MIN(100,MAX(0,(Input_Dados!J$5-Parametros!$B$7)/(Parametros!$C$7-Parametros!$B$7)*100)))</f>
        <v>41.585922000000004</v>
      </c>
      <c r="H5" s="33">
        <f>IF(Input_Dados!K$5="","",MIN(100,MAX(0,(Input_Dados!K$5-Parametros!$B$7)/(Parametros!$C$7-Parametros!$B$7)*100)))</f>
        <v>37.144732000000005</v>
      </c>
      <c r="I5" s="33">
        <f>IF(Input_Dados!L$5="","",MIN(100,MAX(0,(Input_Dados!L$5-Parametros!$B$7)/(Parametros!$C$7-Parametros!$B$7)*100)))</f>
        <v>34.127863999999995</v>
      </c>
      <c r="J5" s="33">
        <f>IF(Input_Dados!M$5="","",MIN(100,MAX(0,(Input_Dados!M$5-Parametros!$B$7)/(Parametros!$C$7-Parametros!$B$7)*100)))</f>
        <v>39.171863999999999</v>
      </c>
      <c r="K5" s="33">
        <f>IF(Input_Dados!N$5="","",MIN(100,MAX(0,(Input_Dados!N$5-Parametros!$B$7)/(Parametros!$C$7-Parametros!$B$7)*100)))</f>
        <v>43.736691999999998</v>
      </c>
      <c r="L5" s="33">
        <f>IF(Input_Dados!O$5="","",MIN(100,MAX(0,(Input_Dados!O$5-Parametros!$B$7)/(Parametros!$C$7-Parametros!$B$7)*100)))</f>
        <v>38.528072000000002</v>
      </c>
      <c r="M5" s="33" t="str">
        <f>IF(Input_Dados!P$5="","",MIN(100,MAX(0,(Input_Dados!P$5-Parametros!$B$7)/(Parametros!$C$7-Parametros!$B$7)*100)))</f>
        <v/>
      </c>
    </row>
    <row r="6" spans="1:13" ht="14.25" customHeight="1" x14ac:dyDescent="0.35">
      <c r="A6" s="30" t="s">
        <v>83</v>
      </c>
      <c r="B6" s="32" t="s">
        <v>74</v>
      </c>
      <c r="C6" s="33">
        <f>IF(Input_Dados!F$6="","",MIN(100,MAX(0,(Input_Dados!F$6-Parametros!$B$8)/(Parametros!$C$8-Parametros!$B$8)*100)))</f>
        <v>37.090000000000003</v>
      </c>
      <c r="D6" s="33">
        <f>IF(Input_Dados!G$6="","",MIN(100,MAX(0,(Input_Dados!G$6-Parametros!$B$8)/(Parametros!$C$8-Parametros!$B$8)*100)))</f>
        <v>38.46</v>
      </c>
      <c r="E6" s="33">
        <f>IF(Input_Dados!H$6="","",MIN(100,MAX(0,(Input_Dados!H$6-Parametros!$B$8)/(Parametros!$C$8-Parametros!$B$8)*100)))</f>
        <v>38.409999999999997</v>
      </c>
      <c r="F6" s="33">
        <f>IF(Input_Dados!I$6="","",MIN(100,MAX(0,(Input_Dados!I$6-Parametros!$B$8)/(Parametros!$C$8-Parametros!$B$8)*100)))</f>
        <v>41.49</v>
      </c>
      <c r="G6" s="33">
        <f>IF(Input_Dados!J$6="","",MIN(100,MAX(0,(Input_Dados!J$6-Parametros!$B$8)/(Parametros!$C$8-Parametros!$B$8)*100)))</f>
        <v>43.86</v>
      </c>
      <c r="H6" s="33">
        <f>IF(Input_Dados!K$6="","",MIN(100,MAX(0,(Input_Dados!K$6-Parametros!$B$8)/(Parametros!$C$8-Parametros!$B$8)*100)))</f>
        <v>41.9</v>
      </c>
      <c r="I6" s="33" t="str">
        <f>IF(Input_Dados!L$6="","",MIN(100,MAX(0,(Input_Dados!L$6-Parametros!$B$8)/(Parametros!$C$8-Parametros!$B$8)*100)))</f>
        <v/>
      </c>
      <c r="J6" s="33" t="str">
        <f>IF(Input_Dados!M$6="","",MIN(100,MAX(0,(Input_Dados!M$6-Parametros!$B$8)/(Parametros!$C$8-Parametros!$B$8)*100)))</f>
        <v/>
      </c>
      <c r="K6" s="33" t="str">
        <f>IF(Input_Dados!N$6="","",MIN(100,MAX(0,(Input_Dados!N$6-Parametros!$B$8)/(Parametros!$C$8-Parametros!$B$8)*100)))</f>
        <v/>
      </c>
      <c r="L6" s="33" t="str">
        <f>IF(Input_Dados!O$6="","",MIN(100,MAX(0,(Input_Dados!O$6-Parametros!$B$8)/(Parametros!$C$8-Parametros!$B$8)*100)))</f>
        <v/>
      </c>
      <c r="M6" s="33" t="str">
        <f>IF(Input_Dados!P$6="","",MIN(100,MAX(0,(Input_Dados!P$6-Parametros!$B$8)/(Parametros!$C$8-Parametros!$B$8)*100)))</f>
        <v/>
      </c>
    </row>
    <row r="7" spans="1:13" ht="14.25" customHeight="1" x14ac:dyDescent="0.35">
      <c r="A7" s="30" t="s">
        <v>86</v>
      </c>
      <c r="B7" s="32" t="s">
        <v>74</v>
      </c>
      <c r="C7" s="33">
        <f>IF(Input_Dados!F$7="","",MIN(100,MAX(0,(Input_Dados!F$7-Parametros!$B$9)/(Parametros!$C$9-Parametros!$B$9)*100)))</f>
        <v>43.052710843660009</v>
      </c>
      <c r="D7" s="33">
        <f>IF(Input_Dados!G$7="","",MIN(100,MAX(0,(Input_Dados!G$7-Parametros!$B$9)/(Parametros!$C$9-Parametros!$B$9)*100)))</f>
        <v>33.197878548352364</v>
      </c>
      <c r="E7" s="33">
        <f>IF(Input_Dados!H$7="","",MIN(100,MAX(0,(Input_Dados!H$7-Parametros!$B$9)/(Parametros!$C$9-Parametros!$B$9)*100)))</f>
        <v>39.402415097710218</v>
      </c>
      <c r="F7" s="33">
        <f>IF(Input_Dados!I$7="","",MIN(100,MAX(0,(Input_Dados!I$7-Parametros!$B$9)/(Parametros!$C$9-Parametros!$B$9)*100)))</f>
        <v>37.622355092069824</v>
      </c>
      <c r="G7" s="33">
        <f>IF(Input_Dados!J$7="","",MIN(100,MAX(0,(Input_Dados!J$7-Parametros!$B$9)/(Parametros!$C$9-Parametros!$B$9)*100)))</f>
        <v>39.181279017022007</v>
      </c>
      <c r="H7" s="33">
        <f>IF(Input_Dados!K$7="","",MIN(100,MAX(0,(Input_Dados!K$7-Parametros!$B$9)/(Parametros!$C$9-Parametros!$B$9)*100)))</f>
        <v>23.83021101441464</v>
      </c>
      <c r="I7" s="33">
        <f>IF(Input_Dados!L$7="","",MIN(100,MAX(0,(Input_Dados!L$7-Parametros!$B$9)/(Parametros!$C$9-Parametros!$B$9)*100)))</f>
        <v>48.411010076936002</v>
      </c>
      <c r="J7" s="33">
        <f>IF(Input_Dados!M$7="","",MIN(100,MAX(0,(Input_Dados!M$7-Parametros!$B$9)/(Parametros!$C$9-Parametros!$B$9)*100)))</f>
        <v>56.864010339004999</v>
      </c>
      <c r="K7" s="33">
        <f>IF(Input_Dados!N$7="","",MIN(100,MAX(0,(Input_Dados!N$7-Parametros!$B$9)/(Parametros!$C$9-Parametros!$B$9)*100)))</f>
        <v>45.053232560804922</v>
      </c>
      <c r="L7" s="33">
        <f>IF(Input_Dados!O$7="","",MIN(100,MAX(0,(Input_Dados!O$7-Parametros!$B$9)/(Parametros!$C$9-Parametros!$B$9)*100)))</f>
        <v>57.695626576275757</v>
      </c>
      <c r="M7" s="33" t="str">
        <f>IF(Input_Dados!P$7="","",MIN(100,MAX(0,(Input_Dados!P$7-Parametros!$B$9)/(Parametros!$C$9-Parametros!$B$9)*100)))</f>
        <v/>
      </c>
    </row>
    <row r="8" spans="1:13" ht="14.25" customHeight="1" x14ac:dyDescent="0.35">
      <c r="A8" s="30" t="s">
        <v>90</v>
      </c>
      <c r="B8" s="32" t="s">
        <v>74</v>
      </c>
      <c r="C8" s="33">
        <f>IF(Input_Dados!F$8="","",MIN(100,MAX(0,(Input_Dados!F$8-Parametros!$B$10)/(Parametros!$C$10-Parametros!$B$10)*100)))</f>
        <v>26.89747648244979</v>
      </c>
      <c r="D8" s="33">
        <f>IF(Input_Dados!G$8="","",MIN(100,MAX(0,(Input_Dados!G$8-Parametros!$B$10)/(Parametros!$C$10-Parametros!$B$10)*100)))</f>
        <v>25.08121566975386</v>
      </c>
      <c r="E8" s="33">
        <f>IF(Input_Dados!H$8="","",MIN(100,MAX(0,(Input_Dados!H$8-Parametros!$B$10)/(Parametros!$C$10-Parametros!$B$10)*100)))</f>
        <v>30.725463151502758</v>
      </c>
      <c r="F8" s="33">
        <f>IF(Input_Dados!I$8="","",MIN(100,MAX(0,(Input_Dados!I$8-Parametros!$B$10)/(Parametros!$C$10-Parametros!$B$10)*100)))</f>
        <v>18.722770971606622</v>
      </c>
      <c r="G8" s="33">
        <f>IF(Input_Dados!J$8="","",MIN(100,MAX(0,(Input_Dados!J$8-Parametros!$B$10)/(Parametros!$C$10-Parametros!$B$10)*100)))</f>
        <v>13.08800909161531</v>
      </c>
      <c r="H8" s="33">
        <f>IF(Input_Dados!K$8="","",MIN(100,MAX(0,(Input_Dados!K$8-Parametros!$B$10)/(Parametros!$C$10-Parametros!$B$10)*100)))</f>
        <v>9.6711613528377924</v>
      </c>
      <c r="I8" s="33">
        <f>IF(Input_Dados!L$8="","",MIN(100,MAX(0,(Input_Dados!L$8-Parametros!$B$10)/(Parametros!$C$10-Parametros!$B$10)*100)))</f>
        <v>17.178347186322345</v>
      </c>
      <c r="J8" s="33">
        <f>IF(Input_Dados!M$8="","",MIN(100,MAX(0,(Input_Dados!M$8-Parametros!$B$10)/(Parametros!$C$10-Parametros!$B$10)*100)))</f>
        <v>23.693110404546761</v>
      </c>
      <c r="K8" s="33">
        <f>IF(Input_Dados!N$8="","",MIN(100,MAX(0,(Input_Dados!N$8-Parametros!$B$10)/(Parametros!$C$10-Parametros!$B$10)*100)))</f>
        <v>15.675904739193033</v>
      </c>
      <c r="L8" s="33">
        <f>IF(Input_Dados!O$8="","",MIN(100,MAX(0,(Input_Dados!O$8-Parametros!$B$10)/(Parametros!$C$10-Parametros!$B$10)*100)))</f>
        <v>18.493960440308484</v>
      </c>
      <c r="M8" s="33" t="str">
        <f>IF(Input_Dados!P$8="","",MIN(100,MAX(0,(Input_Dados!P$8-Parametros!$B$10)/(Parametros!$C$10-Parametros!$B$10)*100)))</f>
        <v/>
      </c>
    </row>
    <row r="9" spans="1:13" ht="14.25" customHeight="1" x14ac:dyDescent="0.35">
      <c r="A9" s="30" t="s">
        <v>92</v>
      </c>
      <c r="B9" s="32" t="s">
        <v>93</v>
      </c>
      <c r="C9" s="33">
        <f>IF(Input_Dados!F$9="","",MIN(100,MAX(0,(Parametros!$C$11-Input_Dados!F$9)/(Parametros!$C$11-Parametros!$B$11)*100)))</f>
        <v>75.811463486863403</v>
      </c>
      <c r="D9" s="33">
        <f>IF(Input_Dados!G$9="","",MIN(100,MAX(0,(Parametros!$C$11-Input_Dados!G$9)/(Parametros!$C$11-Parametros!$B$11)*100)))</f>
        <v>17.757730385490802</v>
      </c>
      <c r="E9" s="33">
        <f>IF(Input_Dados!H$9="","",MIN(100,MAX(0,(Parametros!$C$11-Input_Dados!H$9)/(Parametros!$C$11-Parametros!$B$11)*100)))</f>
        <v>52.666900655718798</v>
      </c>
      <c r="F9" s="33">
        <f>IF(Input_Dados!I$9="","",MIN(100,MAX(0,(Parametros!$C$11-Input_Dados!I$9)/(Parametros!$C$11-Parametros!$B$11)*100)))</f>
        <v>62.797790697062808</v>
      </c>
      <c r="G9" s="33">
        <f>IF(Input_Dados!J$9="","",MIN(100,MAX(0,(Parametros!$C$11-Input_Dados!J$9)/(Parametros!$C$11-Parametros!$B$11)*100)))</f>
        <v>66.205423881715603</v>
      </c>
      <c r="H9" s="33">
        <f>IF(Input_Dados!K$9="","",MIN(100,MAX(0,(Parametros!$C$11-Input_Dados!K$9)/(Parametros!$C$11-Parametros!$B$11)*100)))</f>
        <v>49.806939667812401</v>
      </c>
      <c r="I9" s="33">
        <f>IF(Input_Dados!L$9="","",MIN(100,MAX(0,(Parametros!$C$11-Input_Dados!L$9)/(Parametros!$C$11-Parametros!$B$11)*100)))</f>
        <v>45.940112404045799</v>
      </c>
      <c r="J9" s="33">
        <f>IF(Input_Dados!M$9="","",MIN(100,MAX(0,(Parametros!$C$11-Input_Dados!M$9)/(Parametros!$C$11-Parametros!$B$11)*100)))</f>
        <v>72.2790491440024</v>
      </c>
      <c r="K9" s="33">
        <f>IF(Input_Dados!N$9="","",MIN(100,MAX(0,(Parametros!$C$11-Input_Dados!N$9)/(Parametros!$C$11-Parametros!$B$11)*100)))</f>
        <v>59.98567929527421</v>
      </c>
      <c r="L9" s="33">
        <f>IF(Input_Dados!O$9="","",MIN(100,MAX(0,(Parametros!$C$11-Input_Dados!O$9)/(Parametros!$C$11-Parametros!$B$11)*100)))</f>
        <v>47.039322180386797</v>
      </c>
      <c r="M9" s="33">
        <f>IF(Input_Dados!P$9="","",MIN(100,MAX(0,(Parametros!$C$11-Input_Dados!P$9)/(Parametros!$C$11-Parametros!$B$11)*100)))</f>
        <v>68.605559378953402</v>
      </c>
    </row>
    <row r="10" spans="1:13" ht="14.25" customHeight="1" x14ac:dyDescent="0.35">
      <c r="A10" s="30" t="s">
        <v>95</v>
      </c>
      <c r="B10" s="32" t="s">
        <v>93</v>
      </c>
      <c r="C10" s="33">
        <f>IF(Input_Dados!F$10="","",MIN(100,MAX(0,(Parametros!$C$12-Input_Dados!F$10)/(Parametros!$C$12-Parametros!$B$12)*100)))</f>
        <v>66.666666666666657</v>
      </c>
      <c r="D10" s="33">
        <f>IF(Input_Dados!G$10="","",MIN(100,MAX(0,(Parametros!$C$12-Input_Dados!G$10)/(Parametros!$C$12-Parametros!$B$12)*100)))</f>
        <v>55.333333333333336</v>
      </c>
      <c r="E10" s="33">
        <f>IF(Input_Dados!H$10="","",MIN(100,MAX(0,(Parametros!$C$12-Input_Dados!H$10)/(Parametros!$C$12-Parametros!$B$12)*100)))</f>
        <v>60</v>
      </c>
      <c r="F10" s="33">
        <f>IF(Input_Dados!I$10="","",MIN(100,MAX(0,(Parametros!$C$12-Input_Dados!I$10)/(Parametros!$C$12-Parametros!$B$12)*100)))</f>
        <v>44.666666666666664</v>
      </c>
      <c r="G10" s="33">
        <f>IF(Input_Dados!J$10="","",MIN(100,MAX(0,(Parametros!$C$12-Input_Dados!J$10)/(Parametros!$C$12-Parametros!$B$12)*100)))</f>
        <v>32.666666666666664</v>
      </c>
      <c r="H10" s="33">
        <f>IF(Input_Dados!K$10="","",MIN(100,MAX(0,(Parametros!$C$12-Input_Dados!K$10)/(Parametros!$C$12-Parametros!$B$12)*100)))</f>
        <v>20.666666666666668</v>
      </c>
      <c r="I10" s="33">
        <f>IF(Input_Dados!L$10="","",MIN(100,MAX(0,(Parametros!$C$12-Input_Dados!L$10)/(Parametros!$C$12-Parametros!$B$12)*100)))</f>
        <v>50.666666666666671</v>
      </c>
      <c r="J10" s="33">
        <f>IF(Input_Dados!M$10="","",MIN(100,MAX(0,(Parametros!$C$12-Input_Dados!M$10)/(Parametros!$C$12-Parametros!$B$12)*100)))</f>
        <v>62.666666666666671</v>
      </c>
      <c r="K10" s="33">
        <f>IF(Input_Dados!N$10="","",MIN(100,MAX(0,(Parametros!$C$12-Input_Dados!N$10)/(Parametros!$C$12-Parametros!$B$12)*100)))</f>
        <v>52</v>
      </c>
      <c r="L10" s="33">
        <f>IF(Input_Dados!O$10="","",MIN(100,MAX(0,(Parametros!$C$12-Input_Dados!O$10)/(Parametros!$C$12-Parametros!$B$12)*100)))</f>
        <v>60</v>
      </c>
      <c r="M10" s="33">
        <f>IF(Input_Dados!P$10="","",MIN(100,MAX(0,(Parametros!$C$12-Input_Dados!P$10)/(Parametros!$C$12-Parametros!$B$12)*100)))</f>
        <v>57.999999999999993</v>
      </c>
    </row>
    <row r="11" spans="1:13" ht="14.25" customHeight="1" x14ac:dyDescent="0.35">
      <c r="A11" s="30" t="s">
        <v>98</v>
      </c>
      <c r="B11" s="32" t="s">
        <v>74</v>
      </c>
      <c r="C11" s="33">
        <f>IF(Input_Dados!F$11="","",MIN(100,MAX(0,(Input_Dados!F$11-Parametros!$B$13)/(Parametros!$C$13-Parametros!$B$13)*100)))</f>
        <v>52</v>
      </c>
      <c r="D11" s="33">
        <f>IF(Input_Dados!G$11="","",MIN(100,MAX(0,(Input_Dados!G$11-Parametros!$B$13)/(Parametros!$C$13-Parametros!$B$13)*100)))</f>
        <v>48</v>
      </c>
      <c r="E11" s="33">
        <f>IF(Input_Dados!H$11="","",MIN(100,MAX(0,(Input_Dados!H$11-Parametros!$B$13)/(Parametros!$C$13-Parametros!$B$13)*100)))</f>
        <v>66</v>
      </c>
      <c r="F11" s="33">
        <f>IF(Input_Dados!I$11="","",MIN(100,MAX(0,(Input_Dados!I$11-Parametros!$B$13)/(Parametros!$C$13-Parametros!$B$13)*100)))</f>
        <v>57.999999999999993</v>
      </c>
      <c r="G11" s="33">
        <f>IF(Input_Dados!J$11="","",MIN(100,MAX(0,(Input_Dados!J$11-Parametros!$B$13)/(Parametros!$C$13-Parametros!$B$13)*100)))</f>
        <v>62</v>
      </c>
      <c r="H11" s="33">
        <f>IF(Input_Dados!K$11="","",MIN(100,MAX(0,(Input_Dados!K$11-Parametros!$B$13)/(Parametros!$C$13-Parametros!$B$13)*100)))</f>
        <v>40</v>
      </c>
      <c r="I11" s="33">
        <f>IF(Input_Dados!L$11="","",MIN(100,MAX(0,(Input_Dados!L$11-Parametros!$B$13)/(Parametros!$C$13-Parametros!$B$13)*100)))</f>
        <v>66</v>
      </c>
      <c r="J11" s="33">
        <f>IF(Input_Dados!M$11="","",MIN(100,MAX(0,(Input_Dados!M$11-Parametros!$B$13)/(Parametros!$C$13-Parametros!$B$13)*100)))</f>
        <v>62.8</v>
      </c>
      <c r="K11" s="33">
        <f>IF(Input_Dados!N$11="","",MIN(100,MAX(0,(Input_Dados!N$11-Parametros!$B$13)/(Parametros!$C$13-Parametros!$B$13)*100)))</f>
        <v>52.400000000000006</v>
      </c>
      <c r="L11" s="33">
        <f>IF(Input_Dados!O$11="","",MIN(100,MAX(0,(Input_Dados!O$11-Parametros!$B$13)/(Parametros!$C$13-Parametros!$B$13)*100)))</f>
        <v>54</v>
      </c>
      <c r="M11" s="33">
        <f>IF(Input_Dados!P$11="","",MIN(100,MAX(0,(Input_Dados!P$11-Parametros!$B$13)/(Parametros!$C$13-Parametros!$B$13)*100)))</f>
        <v>53.400000000000006</v>
      </c>
    </row>
    <row r="12" spans="1:13" ht="14.25" customHeight="1" x14ac:dyDescent="0.35">
      <c r="A12" s="30" t="s">
        <v>99</v>
      </c>
      <c r="B12" s="32" t="s">
        <v>74</v>
      </c>
      <c r="C12" s="33" t="str">
        <f>IF(Input_Dados!F$12="","",MIN(100,MAX(0,(Input_Dados!F$12-Parametros!$B$14)/(Parametros!$C$14-Parametros!$B$14)*100)))</f>
        <v/>
      </c>
      <c r="D12" s="33" t="str">
        <f>IF(Input_Dados!G$12="","",MIN(100,MAX(0,(Input_Dados!G$12-Parametros!$B$14)/(Parametros!$C$14-Parametros!$B$14)*100)))</f>
        <v/>
      </c>
      <c r="E12" s="33" t="str">
        <f>IF(Input_Dados!H$12="","",MIN(100,MAX(0,(Input_Dados!H$12-Parametros!$B$14)/(Parametros!$C$14-Parametros!$B$14)*100)))</f>
        <v/>
      </c>
      <c r="F12" s="33" t="str">
        <f>IF(Input_Dados!I$12="","",MIN(100,MAX(0,(Input_Dados!I$12-Parametros!$B$14)/(Parametros!$C$14-Parametros!$B$14)*100)))</f>
        <v/>
      </c>
      <c r="G12" s="33" t="str">
        <f>IF(Input_Dados!J$12="","",MIN(100,MAX(0,(Input_Dados!J$12-Parametros!$B$14)/(Parametros!$C$14-Parametros!$B$14)*100)))</f>
        <v/>
      </c>
      <c r="H12" s="33" t="str">
        <f>IF(Input_Dados!K$12="","",MIN(100,MAX(0,(Input_Dados!K$12-Parametros!$B$14)/(Parametros!$C$14-Parametros!$B$14)*100)))</f>
        <v/>
      </c>
      <c r="I12" s="33" t="str">
        <f>IF(Input_Dados!L$12="","",MIN(100,MAX(0,(Input_Dados!L$12-Parametros!$B$14)/(Parametros!$C$14-Parametros!$B$14)*100)))</f>
        <v/>
      </c>
      <c r="J12" s="33" t="str">
        <f>IF(Input_Dados!M$12="","",MIN(100,MAX(0,(Input_Dados!M$12-Parametros!$B$14)/(Parametros!$C$14-Parametros!$B$14)*100)))</f>
        <v/>
      </c>
      <c r="K12" s="33" t="str">
        <f>IF(Input_Dados!N$12="","",MIN(100,MAX(0,(Input_Dados!N$12-Parametros!$B$14)/(Parametros!$C$14-Parametros!$B$14)*100)))</f>
        <v/>
      </c>
      <c r="L12" s="33" t="str">
        <f>IF(Input_Dados!O$12="","",MIN(100,MAX(0,(Input_Dados!O$12-Parametros!$B$14)/(Parametros!$C$14-Parametros!$B$14)*100)))</f>
        <v/>
      </c>
      <c r="M12" s="33" t="str">
        <f>IF(Input_Dados!P$12="","",MIN(100,MAX(0,(Input_Dados!P$12-Parametros!$B$14)/(Parametros!$C$14-Parametros!$B$14)*100)))</f>
        <v/>
      </c>
    </row>
    <row r="13" spans="1:13" ht="14.25" customHeight="1" x14ac:dyDescent="0.35">
      <c r="A13" s="30" t="s">
        <v>101</v>
      </c>
      <c r="B13" s="32" t="s">
        <v>74</v>
      </c>
      <c r="C13" s="33">
        <f>IF(Input_Dados!F$13="","",MIN(100,MAX(0,(Input_Dados!F$13-Parametros!$B$15)/(Parametros!$C$15-Parametros!$B$15)*100)))</f>
        <v>64.31469296718187</v>
      </c>
      <c r="D13" s="33">
        <f>IF(Input_Dados!G$13="","",MIN(100,MAX(0,(Input_Dados!G$13-Parametros!$B$15)/(Parametros!$C$15-Parametros!$B$15)*100)))</f>
        <v>94.912499949516288</v>
      </c>
      <c r="E13" s="33">
        <f>IF(Input_Dados!H$13="","",MIN(100,MAX(0,(Input_Dados!H$13-Parametros!$B$15)/(Parametros!$C$15-Parametros!$B$15)*100)))</f>
        <v>64.508094985867643</v>
      </c>
      <c r="F13" s="33">
        <f>IF(Input_Dados!I$13="","",MIN(100,MAX(0,(Input_Dados!I$13-Parametros!$B$15)/(Parametros!$C$15-Parametros!$B$15)*100)))</f>
        <v>62.463871267867553</v>
      </c>
      <c r="G13" s="33">
        <f>IF(Input_Dados!J$13="","",MIN(100,MAX(0,(Input_Dados!J$13-Parametros!$B$15)/(Parametros!$C$15-Parametros!$B$15)*100)))</f>
        <v>77.183920567596701</v>
      </c>
      <c r="H13" s="33">
        <f>IF(Input_Dados!K$13="","",MIN(100,MAX(0,(Input_Dados!K$13-Parametros!$B$15)/(Parametros!$C$15-Parametros!$B$15)*100)))</f>
        <v>98.236076411748783</v>
      </c>
      <c r="I13" s="33">
        <f>IF(Input_Dados!L$13="","",MIN(100,MAX(0,(Input_Dados!L$13-Parametros!$B$15)/(Parametros!$C$15-Parametros!$B$15)*100)))</f>
        <v>82.291993652060029</v>
      </c>
      <c r="J13" s="33">
        <f>IF(Input_Dados!M$13="","",MIN(100,MAX(0,(Input_Dados!M$13-Parametros!$B$15)/(Parametros!$C$15-Parametros!$B$15)*100)))</f>
        <v>51.32509692117079</v>
      </c>
      <c r="K13" s="33">
        <f>IF(Input_Dados!N$13="","",MIN(100,MAX(0,(Input_Dados!N$13-Parametros!$B$15)/(Parametros!$C$15-Parametros!$B$15)*100)))</f>
        <v>62.169360952304089</v>
      </c>
      <c r="L13" s="33">
        <f>IF(Input_Dados!O$13="","",MIN(100,MAX(0,(Input_Dados!O$13-Parametros!$B$15)/(Parametros!$C$15-Parametros!$B$15)*100)))</f>
        <v>69.514140394309081</v>
      </c>
      <c r="M13" s="33">
        <f>IF(Input_Dados!P$13="","",MIN(100,MAX(0,(Input_Dados!P$13-Parametros!$B$15)/(Parametros!$C$15-Parametros!$B$15)*100)))</f>
        <v>86.594209445084758</v>
      </c>
    </row>
    <row r="14" spans="1:13" ht="14.25" customHeight="1" x14ac:dyDescent="0.35">
      <c r="A14" s="30" t="s">
        <v>104</v>
      </c>
      <c r="B14" s="32" t="s">
        <v>74</v>
      </c>
      <c r="C14" s="33">
        <f>IF(Input_Dados!F$14="","",MIN(100,MAX(0,(Input_Dados!F$14-Parametros!$B$16)/(Parametros!$C$16-Parametros!$B$16)*100)))</f>
        <v>59.099999999999994</v>
      </c>
      <c r="D14" s="33">
        <f>IF(Input_Dados!G$14="","",MIN(100,MAX(0,(Input_Dados!G$14-Parametros!$B$16)/(Parametros!$C$16-Parametros!$B$16)*100)))</f>
        <v>59.5</v>
      </c>
      <c r="E14" s="33">
        <f>IF(Input_Dados!H$14="","",MIN(100,MAX(0,(Input_Dados!H$14-Parametros!$B$16)/(Parametros!$C$16-Parametros!$B$16)*100)))</f>
        <v>59.699999999999996</v>
      </c>
      <c r="F14" s="33">
        <f>IF(Input_Dados!I$14="","",MIN(100,MAX(0,(Input_Dados!I$14-Parametros!$B$16)/(Parametros!$C$16-Parametros!$B$16)*100)))</f>
        <v>59.8</v>
      </c>
      <c r="G14" s="33">
        <f>IF(Input_Dados!J$14="","",MIN(100,MAX(0,(Input_Dados!J$14-Parametros!$B$16)/(Parametros!$C$16-Parametros!$B$16)*100)))</f>
        <v>59.699999999999996</v>
      </c>
      <c r="H14" s="33">
        <f>IF(Input_Dados!K$14="","",MIN(100,MAX(0,(Input_Dados!K$14-Parametros!$B$16)/(Parametros!$C$16-Parametros!$B$16)*100)))</f>
        <v>59.4</v>
      </c>
      <c r="I14" s="33">
        <f>IF(Input_Dados!L$14="","",MIN(100,MAX(0,(Input_Dados!L$14-Parametros!$B$16)/(Parametros!$C$16-Parametros!$B$16)*100)))</f>
        <v>59</v>
      </c>
      <c r="J14" s="33">
        <f>IF(Input_Dados!M$14="","",MIN(100,MAX(0,(Input_Dados!M$14-Parametros!$B$16)/(Parametros!$C$16-Parametros!$B$16)*100)))</f>
        <v>59.099999999999994</v>
      </c>
      <c r="K14" s="33">
        <f>IF(Input_Dados!N$14="","",MIN(100,MAX(0,(Input_Dados!N$14-Parametros!$B$16)/(Parametros!$C$16-Parametros!$B$16)*100)))</f>
        <v>61.6</v>
      </c>
      <c r="L14" s="33" t="str">
        <f>IF(Input_Dados!O$14="","",MIN(100,MAX(0,(Input_Dados!O$14-Parametros!$B$16)/(Parametros!$C$16-Parametros!$B$16)*100)))</f>
        <v/>
      </c>
      <c r="M14" s="33" t="str">
        <f>IF(Input_Dados!P$14="","",MIN(100,MAX(0,(Input_Dados!P$14-Parametros!$B$16)/(Parametros!$C$16-Parametros!$B$16)*100)))</f>
        <v/>
      </c>
    </row>
    <row r="15" spans="1:13" ht="14.25" customHeight="1" x14ac:dyDescent="0.35">
      <c r="A15" s="30" t="s">
        <v>108</v>
      </c>
      <c r="B15" s="32" t="s">
        <v>74</v>
      </c>
      <c r="C15" s="33">
        <f>IF(Input_Dados!F$15="","",MIN(100,MAX(0,(Input_Dados!F$15-Parametros!$B$17)/(Parametros!$C$17-Parametros!$B$17)*100)))</f>
        <v>46.760000000000005</v>
      </c>
      <c r="D15" s="33">
        <f>IF(Input_Dados!G$15="","",MIN(100,MAX(0,(Input_Dados!G$15-Parametros!$B$17)/(Parametros!$C$17-Parametros!$B$17)*100)))</f>
        <v>48.042222222222222</v>
      </c>
      <c r="E15" s="33">
        <f>IF(Input_Dados!H$15="","",MIN(100,MAX(0,(Input_Dados!H$15-Parametros!$B$17)/(Parametros!$C$17-Parametros!$B$17)*100)))</f>
        <v>48.222222222222229</v>
      </c>
      <c r="F15" s="33">
        <f>IF(Input_Dados!I$15="","",MIN(100,MAX(0,(Input_Dados!I$15-Parametros!$B$17)/(Parametros!$C$17-Parametros!$B$17)*100)))</f>
        <v>48.222222222222229</v>
      </c>
      <c r="G15" s="33">
        <f>IF(Input_Dados!J$15="","",MIN(100,MAX(0,(Input_Dados!J$15-Parametros!$B$17)/(Parametros!$C$17-Parametros!$B$17)*100)))</f>
        <v>49.333333333333343</v>
      </c>
      <c r="H15" s="33">
        <f>IF(Input_Dados!K$15="","",MIN(100,MAX(0,(Input_Dados!K$15-Parametros!$B$17)/(Parametros!$C$17-Parametros!$B$17)*100)))</f>
        <v>49.955555555555549</v>
      </c>
      <c r="I15" s="33">
        <f>IF(Input_Dados!L$15="","",MIN(100,MAX(0,(Input_Dados!L$15-Parametros!$B$17)/(Parametros!$C$17-Parametros!$B$17)*100)))</f>
        <v>50.48888888888888</v>
      </c>
      <c r="J15" s="33">
        <f>IF(Input_Dados!M$15="","",MIN(100,MAX(0,(Input_Dados!M$15-Parametros!$B$17)/(Parametros!$C$17-Parametros!$B$17)*100)))</f>
        <v>51</v>
      </c>
      <c r="K15" s="33">
        <f>IF(Input_Dados!N$15="","",MIN(100,MAX(0,(Input_Dados!N$15-Parametros!$B$17)/(Parametros!$C$17-Parametros!$B$17)*100)))</f>
        <v>54.704444444444455</v>
      </c>
      <c r="L15" s="33">
        <f>IF(Input_Dados!O$15="","",MIN(100,MAX(0,(Input_Dados!O$15-Parametros!$B$17)/(Parametros!$C$17-Parametros!$B$17)*100)))</f>
        <v>53.333333333333336</v>
      </c>
      <c r="M15" s="33">
        <f>IF(Input_Dados!P$15="","",MIN(100,MAX(0,(Input_Dados!P$15-Parametros!$B$17)/(Parametros!$C$17-Parametros!$B$17)*100)))</f>
        <v>55.555555555555557</v>
      </c>
    </row>
    <row r="16" spans="1:13" ht="14.25" customHeight="1" x14ac:dyDescent="0.35">
      <c r="A16" s="30" t="s">
        <v>112</v>
      </c>
      <c r="B16" s="32" t="s">
        <v>74</v>
      </c>
      <c r="C16" s="33" t="str">
        <f>IF(Input_Dados!F$16="","",MIN(100,MAX(0,(Input_Dados!F$16-Parametros!$B$18)/(Parametros!$C$18-Parametros!$B$18)*100)))</f>
        <v/>
      </c>
      <c r="D16" s="33" t="str">
        <f>IF(Input_Dados!G$16="","",MIN(100,MAX(0,(Input_Dados!G$16-Parametros!$B$18)/(Parametros!$C$18-Parametros!$B$18)*100)))</f>
        <v/>
      </c>
      <c r="E16" s="33" t="str">
        <f>IF(Input_Dados!H$16="","",MIN(100,MAX(0,(Input_Dados!H$16-Parametros!$B$18)/(Parametros!$C$18-Parametros!$B$18)*100)))</f>
        <v/>
      </c>
      <c r="F16" s="33" t="str">
        <f>IF(Input_Dados!I$16="","",MIN(100,MAX(0,(Input_Dados!I$16-Parametros!$B$18)/(Parametros!$C$18-Parametros!$B$18)*100)))</f>
        <v/>
      </c>
      <c r="G16" s="33" t="str">
        <f>IF(Input_Dados!J$16="","",MIN(100,MAX(0,(Input_Dados!J$16-Parametros!$B$18)/(Parametros!$C$18-Parametros!$B$18)*100)))</f>
        <v/>
      </c>
      <c r="H16" s="33" t="str">
        <f>IF(Input_Dados!K$16="","",MIN(100,MAX(0,(Input_Dados!K$16-Parametros!$B$18)/(Parametros!$C$18-Parametros!$B$18)*100)))</f>
        <v/>
      </c>
      <c r="I16" s="33" t="str">
        <f>IF(Input_Dados!L$16="","",MIN(100,MAX(0,(Input_Dados!L$16-Parametros!$B$18)/(Parametros!$C$18-Parametros!$B$18)*100)))</f>
        <v/>
      </c>
      <c r="J16" s="33" t="str">
        <f>IF(Input_Dados!M$16="","",MIN(100,MAX(0,(Input_Dados!M$16-Parametros!$B$18)/(Parametros!$C$18-Parametros!$B$18)*100)))</f>
        <v/>
      </c>
      <c r="K16" s="33" t="str">
        <f>IF(Input_Dados!N$16="","",MIN(100,MAX(0,(Input_Dados!N$16-Parametros!$B$18)/(Parametros!$C$18-Parametros!$B$18)*100)))</f>
        <v/>
      </c>
      <c r="L16" s="33" t="str">
        <f>IF(Input_Dados!O$16="","",MIN(100,MAX(0,(Input_Dados!O$16-Parametros!$B$18)/(Parametros!$C$18-Parametros!$B$18)*100)))</f>
        <v/>
      </c>
      <c r="M16" s="33" t="str">
        <f>IF(Input_Dados!P$16="","",MIN(100,MAX(0,(Input_Dados!P$16-Parametros!$B$18)/(Parametros!$C$18-Parametros!$B$18)*100)))</f>
        <v/>
      </c>
    </row>
    <row r="17" spans="1:13" ht="14.25" customHeight="1" x14ac:dyDescent="0.35">
      <c r="A17" s="30" t="s">
        <v>114</v>
      </c>
      <c r="B17" s="32" t="s">
        <v>74</v>
      </c>
      <c r="C17" s="33" t="str">
        <f>IF(Input_Dados!F$17="","",MIN(100,MAX(0,(Input_Dados!F$17-Parametros!$B$19)/(Parametros!$C$19-Parametros!$B$19)*100)))</f>
        <v/>
      </c>
      <c r="D17" s="33" t="str">
        <f>IF(Input_Dados!G$17="","",MIN(100,MAX(0,(Input_Dados!G$17-Parametros!$B$19)/(Parametros!$C$19-Parametros!$B$19)*100)))</f>
        <v/>
      </c>
      <c r="E17" s="33" t="str">
        <f>IF(Input_Dados!H$17="","",MIN(100,MAX(0,(Input_Dados!H$17-Parametros!$B$19)/(Parametros!$C$19-Parametros!$B$19)*100)))</f>
        <v/>
      </c>
      <c r="F17" s="33" t="str">
        <f>IF(Input_Dados!I$17="","",MIN(100,MAX(0,(Input_Dados!I$17-Parametros!$B$19)/(Parametros!$C$19-Parametros!$B$19)*100)))</f>
        <v/>
      </c>
      <c r="G17" s="33" t="str">
        <f>IF(Input_Dados!J$17="","",MIN(100,MAX(0,(Input_Dados!J$17-Parametros!$B$19)/(Parametros!$C$19-Parametros!$B$19)*100)))</f>
        <v/>
      </c>
      <c r="H17" s="33" t="str">
        <f>IF(Input_Dados!K$17="","",MIN(100,MAX(0,(Input_Dados!K$17-Parametros!$B$19)/(Parametros!$C$19-Parametros!$B$19)*100)))</f>
        <v/>
      </c>
      <c r="I17" s="33" t="str">
        <f>IF(Input_Dados!L$17="","",MIN(100,MAX(0,(Input_Dados!L$17-Parametros!$B$19)/(Parametros!$C$19-Parametros!$B$19)*100)))</f>
        <v/>
      </c>
      <c r="J17" s="33" t="str">
        <f>IF(Input_Dados!M$17="","",MIN(100,MAX(0,(Input_Dados!M$17-Parametros!$B$19)/(Parametros!$C$19-Parametros!$B$19)*100)))</f>
        <v/>
      </c>
      <c r="K17" s="33" t="str">
        <f>IF(Input_Dados!N$17="","",MIN(100,MAX(0,(Input_Dados!N$17-Parametros!$B$19)/(Parametros!$C$19-Parametros!$B$19)*100)))</f>
        <v/>
      </c>
      <c r="L17" s="33" t="str">
        <f>IF(Input_Dados!O$17="","",MIN(100,MAX(0,(Input_Dados!O$17-Parametros!$B$19)/(Parametros!$C$19-Parametros!$B$19)*100)))</f>
        <v/>
      </c>
      <c r="M17" s="33" t="str">
        <f>IF(Input_Dados!P$17="","",MIN(100,MAX(0,(Input_Dados!P$17-Parametros!$B$19)/(Parametros!$C$19-Parametros!$B$19)*100)))</f>
        <v/>
      </c>
    </row>
    <row r="18" spans="1:13" ht="14.25" customHeight="1" x14ac:dyDescent="0.35">
      <c r="A18" s="30" t="s">
        <v>116</v>
      </c>
      <c r="B18" s="32" t="s">
        <v>74</v>
      </c>
      <c r="C18" s="33" t="str">
        <f>IF(Input_Dados!F$18="","",MIN(100,MAX(0,(Input_Dados!F$18-Parametros!$B$20)/(Parametros!$C$20-Parametros!$B$20)*100)))</f>
        <v/>
      </c>
      <c r="D18" s="33" t="str">
        <f>IF(Input_Dados!G$18="","",MIN(100,MAX(0,(Input_Dados!G$18-Parametros!$B$20)/(Parametros!$C$20-Parametros!$B$20)*100)))</f>
        <v/>
      </c>
      <c r="E18" s="33" t="str">
        <f>IF(Input_Dados!H$18="","",MIN(100,MAX(0,(Input_Dados!H$18-Parametros!$B$20)/(Parametros!$C$20-Parametros!$B$20)*100)))</f>
        <v/>
      </c>
      <c r="F18" s="33" t="str">
        <f>IF(Input_Dados!I$18="","",MIN(100,MAX(0,(Input_Dados!I$18-Parametros!$B$20)/(Parametros!$C$20-Parametros!$B$20)*100)))</f>
        <v/>
      </c>
      <c r="G18" s="33" t="str">
        <f>IF(Input_Dados!J$18="","",MIN(100,MAX(0,(Input_Dados!J$18-Parametros!$B$20)/(Parametros!$C$20-Parametros!$B$20)*100)))</f>
        <v/>
      </c>
      <c r="H18" s="33" t="str">
        <f>IF(Input_Dados!K$18="","",MIN(100,MAX(0,(Input_Dados!K$18-Parametros!$B$20)/(Parametros!$C$20-Parametros!$B$20)*100)))</f>
        <v/>
      </c>
      <c r="I18" s="33" t="str">
        <f>IF(Input_Dados!L$18="","",MIN(100,MAX(0,(Input_Dados!L$18-Parametros!$B$20)/(Parametros!$C$20-Parametros!$B$20)*100)))</f>
        <v/>
      </c>
      <c r="J18" s="33" t="str">
        <f>IF(Input_Dados!M$18="","",MIN(100,MAX(0,(Input_Dados!M$18-Parametros!$B$20)/(Parametros!$C$20-Parametros!$B$20)*100)))</f>
        <v/>
      </c>
      <c r="K18" s="33" t="str">
        <f>IF(Input_Dados!N$18="","",MIN(100,MAX(0,(Input_Dados!N$18-Parametros!$B$20)/(Parametros!$C$20-Parametros!$B$20)*100)))</f>
        <v/>
      </c>
      <c r="L18" s="33" t="str">
        <f>IF(Input_Dados!O$18="","",MIN(100,MAX(0,(Input_Dados!O$18-Parametros!$B$20)/(Parametros!$C$20-Parametros!$B$20)*100)))</f>
        <v/>
      </c>
      <c r="M18" s="33" t="str">
        <f>IF(Input_Dados!P$18="","",MIN(100,MAX(0,(Input_Dados!P$18-Parametros!$B$20)/(Parametros!$C$20-Parametros!$B$20)*100)))</f>
        <v/>
      </c>
    </row>
    <row r="19" spans="1:13" ht="14.25" customHeight="1" x14ac:dyDescent="0.35">
      <c r="A19" s="30" t="s">
        <v>118</v>
      </c>
      <c r="B19" s="32" t="s">
        <v>93</v>
      </c>
      <c r="C19" s="33" t="str">
        <f>IF(Input_Dados!F$19="","",MIN(100,MAX(0,(Parametros!$C$21-Input_Dados!F$19)/(Parametros!$C$21-Parametros!$B$21)*100)))</f>
        <v/>
      </c>
      <c r="D19" s="33" t="str">
        <f>IF(Input_Dados!G$19="","",MIN(100,MAX(0,(Parametros!$C$21-Input_Dados!G$19)/(Parametros!$C$21-Parametros!$B$21)*100)))</f>
        <v/>
      </c>
      <c r="E19" s="33">
        <f>IF(Input_Dados!H$19="","",MIN(100,MAX(0,(Parametros!$C$21-Input_Dados!H$19)/(Parametros!$C$21-Parametros!$B$21)*100)))</f>
        <v>59.266666666666666</v>
      </c>
      <c r="F19" s="33">
        <f>IF(Input_Dados!I$19="","",MIN(100,MAX(0,(Parametros!$C$21-Input_Dados!I$19)/(Parametros!$C$21-Parametros!$B$21)*100)))</f>
        <v>60</v>
      </c>
      <c r="G19" s="33">
        <f>IF(Input_Dados!J$19="","",MIN(100,MAX(0,(Parametros!$C$21-Input_Dados!J$19)/(Parametros!$C$21-Parametros!$B$21)*100)))</f>
        <v>60.733333333333327</v>
      </c>
      <c r="H19" s="33">
        <f>IF(Input_Dados!K$19="","",MIN(100,MAX(0,(Parametros!$C$21-Input_Dados!K$19)/(Parametros!$C$21-Parametros!$B$21)*100)))</f>
        <v>61.466666666666669</v>
      </c>
      <c r="I19" s="33">
        <f>IF(Input_Dados!L$19="","",MIN(100,MAX(0,(Parametros!$C$21-Input_Dados!L$19)/(Parametros!$C$21-Parametros!$B$21)*100)))</f>
        <v>62.126666666666665</v>
      </c>
      <c r="J19" s="33">
        <f>IF(Input_Dados!M$19="","",MIN(100,MAX(0,(Parametros!$C$21-Input_Dados!M$19)/(Parametros!$C$21-Parametros!$B$21)*100)))</f>
        <v>62.773333333333333</v>
      </c>
      <c r="K19" s="33" t="str">
        <f>IF(Input_Dados!N$19="","",MIN(100,MAX(0,(Parametros!$C$21-Input_Dados!N$19)/(Parametros!$C$21-Parametros!$B$21)*100)))</f>
        <v/>
      </c>
      <c r="L19" s="33" t="str">
        <f>IF(Input_Dados!O$19="","",MIN(100,MAX(0,(Parametros!$C$21-Input_Dados!O$19)/(Parametros!$C$21-Parametros!$B$21)*100)))</f>
        <v/>
      </c>
      <c r="M19" s="33" t="str">
        <f>IF(Input_Dados!P$19="","",MIN(100,MAX(0,(Parametros!$C$21-Input_Dados!P$19)/(Parametros!$C$21-Parametros!$B$21)*100)))</f>
        <v/>
      </c>
    </row>
    <row r="20" spans="1:13" ht="14.25" customHeight="1" x14ac:dyDescent="0.35">
      <c r="A20" s="30" t="s">
        <v>122</v>
      </c>
      <c r="B20" s="32" t="s">
        <v>93</v>
      </c>
      <c r="C20" s="33" t="str">
        <f>IF(Input_Dados!F$20="","",MIN(100,MAX(0,(Parametros!$C$22-Input_Dados!F$20)/(Parametros!$C$22-Parametros!$B$22)*100)))</f>
        <v/>
      </c>
      <c r="D20" s="33" t="str">
        <f>IF(Input_Dados!G$20="","",MIN(100,MAX(0,(Parametros!$C$22-Input_Dados!G$20)/(Parametros!$C$22-Parametros!$B$22)*100)))</f>
        <v/>
      </c>
      <c r="E20" s="33" t="str">
        <f>IF(Input_Dados!H$20="","",MIN(100,MAX(0,(Parametros!$C$22-Input_Dados!H$20)/(Parametros!$C$22-Parametros!$B$22)*100)))</f>
        <v/>
      </c>
      <c r="F20" s="33">
        <f>IF(Input_Dados!I$20="","",MIN(100,MAX(0,(Parametros!$C$22-Input_Dados!I$20)/(Parametros!$C$22-Parametros!$B$22)*100)))</f>
        <v>61.124999999999993</v>
      </c>
      <c r="G20" s="33" t="str">
        <f>IF(Input_Dados!J$20="","",MIN(100,MAX(0,(Parametros!$C$22-Input_Dados!J$20)/(Parametros!$C$22-Parametros!$B$22)*100)))</f>
        <v/>
      </c>
      <c r="H20" s="33" t="str">
        <f>IF(Input_Dados!K$20="","",MIN(100,MAX(0,(Parametros!$C$22-Input_Dados!K$20)/(Parametros!$C$22-Parametros!$B$22)*100)))</f>
        <v/>
      </c>
      <c r="I20" s="33" t="str">
        <f>IF(Input_Dados!L$20="","",MIN(100,MAX(0,(Parametros!$C$22-Input_Dados!L$20)/(Parametros!$C$22-Parametros!$B$22)*100)))</f>
        <v/>
      </c>
      <c r="J20" s="33" t="str">
        <f>IF(Input_Dados!M$20="","",MIN(100,MAX(0,(Parametros!$C$22-Input_Dados!M$20)/(Parametros!$C$22-Parametros!$B$22)*100)))</f>
        <v/>
      </c>
      <c r="K20" s="33" t="str">
        <f>IF(Input_Dados!N$20="","",MIN(100,MAX(0,(Parametros!$C$22-Input_Dados!N$20)/(Parametros!$C$22-Parametros!$B$22)*100)))</f>
        <v/>
      </c>
      <c r="L20" s="33" t="str">
        <f>IF(Input_Dados!O$20="","",MIN(100,MAX(0,(Parametros!$C$22-Input_Dados!O$20)/(Parametros!$C$22-Parametros!$B$22)*100)))</f>
        <v/>
      </c>
      <c r="M20" s="33" t="str">
        <f>IF(Input_Dados!P$20="","",MIN(100,MAX(0,(Parametros!$C$22-Input_Dados!P$20)/(Parametros!$C$22-Parametros!$B$22)*100)))</f>
        <v/>
      </c>
    </row>
    <row r="21" spans="1:13" ht="14.25" customHeight="1" x14ac:dyDescent="0.35">
      <c r="A21" s="30" t="s">
        <v>125</v>
      </c>
      <c r="B21" s="32" t="s">
        <v>93</v>
      </c>
      <c r="C21" s="33" t="str">
        <f>IF(Input_Dados!F$21="","",MIN(100,MAX(0,(Parametros!$C$23-Input_Dados!F$21)/(Parametros!$C$23-Parametros!$B$23)*100)))</f>
        <v/>
      </c>
      <c r="D21" s="33" t="str">
        <f>IF(Input_Dados!G$21="","",MIN(100,MAX(0,(Parametros!$C$23-Input_Dados!G$21)/(Parametros!$C$23-Parametros!$B$23)*100)))</f>
        <v/>
      </c>
      <c r="E21" s="33" t="str">
        <f>IF(Input_Dados!H$21="","",MIN(100,MAX(0,(Parametros!$C$23-Input_Dados!H$21)/(Parametros!$C$23-Parametros!$B$23)*100)))</f>
        <v/>
      </c>
      <c r="F21" s="33">
        <f>IF(Input_Dados!I$21="","",MIN(100,MAX(0,(Parametros!$C$23-Input_Dados!I$21)/(Parametros!$C$23-Parametros!$B$23)*100)))</f>
        <v>26.714285714285719</v>
      </c>
      <c r="G21" s="33" t="str">
        <f>IF(Input_Dados!J$21="","",MIN(100,MAX(0,(Parametros!$C$23-Input_Dados!J$21)/(Parametros!$C$23-Parametros!$B$23)*100)))</f>
        <v/>
      </c>
      <c r="H21" s="33" t="str">
        <f>IF(Input_Dados!K$21="","",MIN(100,MAX(0,(Parametros!$C$23-Input_Dados!K$21)/(Parametros!$C$23-Parametros!$B$23)*100)))</f>
        <v/>
      </c>
      <c r="I21" s="33" t="str">
        <f>IF(Input_Dados!L$21="","",MIN(100,MAX(0,(Parametros!$C$23-Input_Dados!L$21)/(Parametros!$C$23-Parametros!$B$23)*100)))</f>
        <v/>
      </c>
      <c r="J21" s="33" t="str">
        <f>IF(Input_Dados!M$21="","",MIN(100,MAX(0,(Parametros!$C$23-Input_Dados!M$21)/(Parametros!$C$23-Parametros!$B$23)*100)))</f>
        <v/>
      </c>
      <c r="K21" s="33" t="str">
        <f>IF(Input_Dados!N$21="","",MIN(100,MAX(0,(Parametros!$C$23-Input_Dados!N$21)/(Parametros!$C$23-Parametros!$B$23)*100)))</f>
        <v/>
      </c>
      <c r="L21" s="33" t="str">
        <f>IF(Input_Dados!O$21="","",MIN(100,MAX(0,(Parametros!$C$23-Input_Dados!O$21)/(Parametros!$C$23-Parametros!$B$23)*100)))</f>
        <v/>
      </c>
      <c r="M21" s="33" t="str">
        <f>IF(Input_Dados!P$21="","",MIN(100,MAX(0,(Parametros!$C$23-Input_Dados!P$21)/(Parametros!$C$23-Parametros!$B$23)*100)))</f>
        <v/>
      </c>
    </row>
    <row r="22" spans="1:13" ht="14.25" customHeight="1" x14ac:dyDescent="0.35">
      <c r="A22" s="30" t="s">
        <v>127</v>
      </c>
      <c r="B22" s="32" t="s">
        <v>74</v>
      </c>
      <c r="C22" s="33" t="str">
        <f>IF(Input_Dados!F$22="","",MIN(100,MAX(0,(Input_Dados!F$22-Parametros!$B$24)/(Parametros!$C$24-Parametros!$B$24)*100)))</f>
        <v/>
      </c>
      <c r="D22" s="33" t="str">
        <f>IF(Input_Dados!G$22="","",MIN(100,MAX(0,(Input_Dados!G$22-Parametros!$B$24)/(Parametros!$C$24-Parametros!$B$24)*100)))</f>
        <v/>
      </c>
      <c r="E22" s="33" t="str">
        <f>IF(Input_Dados!H$22="","",MIN(100,MAX(0,(Input_Dados!H$22-Parametros!$B$24)/(Parametros!$C$24-Parametros!$B$24)*100)))</f>
        <v/>
      </c>
      <c r="F22" s="33" t="str">
        <f>IF(Input_Dados!I$22="","",MIN(100,MAX(0,(Input_Dados!I$22-Parametros!$B$24)/(Parametros!$C$24-Parametros!$B$24)*100)))</f>
        <v/>
      </c>
      <c r="G22" s="33" t="str">
        <f>IF(Input_Dados!J$22="","",MIN(100,MAX(0,(Input_Dados!J$22-Parametros!$B$24)/(Parametros!$C$24-Parametros!$B$24)*100)))</f>
        <v/>
      </c>
      <c r="H22" s="33" t="str">
        <f>IF(Input_Dados!K$22="","",MIN(100,MAX(0,(Input_Dados!K$22-Parametros!$B$24)/(Parametros!$C$24-Parametros!$B$24)*100)))</f>
        <v/>
      </c>
      <c r="I22" s="33" t="str">
        <f>IF(Input_Dados!L$22="","",MIN(100,MAX(0,(Input_Dados!L$22-Parametros!$B$24)/(Parametros!$C$24-Parametros!$B$24)*100)))</f>
        <v/>
      </c>
      <c r="J22" s="33" t="str">
        <f>IF(Input_Dados!M$22="","",MIN(100,MAX(0,(Input_Dados!M$22-Parametros!$B$24)/(Parametros!$C$24-Parametros!$B$24)*100)))</f>
        <v/>
      </c>
      <c r="K22" s="33" t="str">
        <f>IF(Input_Dados!N$22="","",MIN(100,MAX(0,(Input_Dados!N$22-Parametros!$B$24)/(Parametros!$C$24-Parametros!$B$24)*100)))</f>
        <v/>
      </c>
      <c r="L22" s="33" t="str">
        <f>IF(Input_Dados!O$22="","",MIN(100,MAX(0,(Input_Dados!O$22-Parametros!$B$24)/(Parametros!$C$24-Parametros!$B$24)*100)))</f>
        <v/>
      </c>
      <c r="M22" s="33" t="str">
        <f>IF(Input_Dados!P$22="","",MIN(100,MAX(0,(Input_Dados!P$22-Parametros!$B$24)/(Parametros!$C$24-Parametros!$B$24)*100)))</f>
        <v/>
      </c>
    </row>
    <row r="23" spans="1:13" ht="14.25" customHeight="1" x14ac:dyDescent="0.35">
      <c r="A23" s="30" t="s">
        <v>129</v>
      </c>
      <c r="B23" s="32" t="s">
        <v>74</v>
      </c>
      <c r="C23" s="33">
        <f>IF(Input_Dados!F$23="","",MIN(100,MAX(0,(Input_Dados!F$23-Parametros!$B$25)/(Parametros!$C$25-Parametros!$B$25)*100)))</f>
        <v>63.7</v>
      </c>
      <c r="D23" s="33">
        <f>IF(Input_Dados!G$23="","",MIN(100,MAX(0,(Input_Dados!G$23-Parametros!$B$25)/(Parametros!$C$25-Parametros!$B$25)*100)))</f>
        <v>64.3</v>
      </c>
      <c r="E23" s="33">
        <f>IF(Input_Dados!H$23="","",MIN(100,MAX(0,(Input_Dados!H$23-Parametros!$B$25)/(Parametros!$C$25-Parametros!$B$25)*100)))</f>
        <v>64</v>
      </c>
      <c r="F23" s="33">
        <f>IF(Input_Dados!I$23="","",MIN(100,MAX(0,(Input_Dados!I$23-Parametros!$B$25)/(Parametros!$C$25-Parametros!$B$25)*100)))</f>
        <v>63.3</v>
      </c>
      <c r="G23" s="33" t="str">
        <f>IF(Input_Dados!J$23="","",MIN(100,MAX(0,(Input_Dados!J$23-Parametros!$B$25)/(Parametros!$C$25-Parametros!$B$25)*100)))</f>
        <v/>
      </c>
      <c r="H23" s="33">
        <f>IF(Input_Dados!K$23="","",MIN(100,MAX(0,(Input_Dados!K$23-Parametros!$B$25)/(Parametros!$C$25-Parametros!$B$25)*100)))</f>
        <v>66</v>
      </c>
      <c r="I23" s="33">
        <f>IF(Input_Dados!L$23="","",MIN(100,MAX(0,(Input_Dados!L$23-Parametros!$B$25)/(Parametros!$C$25-Parametros!$B$25)*100)))</f>
        <v>65.7</v>
      </c>
      <c r="J23" s="33">
        <f>IF(Input_Dados!M$23="","",MIN(100,MAX(0,(Input_Dados!M$23-Parametros!$B$25)/(Parametros!$C$25-Parametros!$B$25)*100)))</f>
        <v>63.800000000000004</v>
      </c>
      <c r="K23" s="33">
        <f>IF(Input_Dados!N$23="","",MIN(100,MAX(0,(Input_Dados!N$23-Parametros!$B$25)/(Parametros!$C$25-Parametros!$B$25)*100)))</f>
        <v>65.600000000000009</v>
      </c>
      <c r="L23" s="33">
        <f>IF(Input_Dados!O$23="","",MIN(100,MAX(0,(Input_Dados!O$23-Parametros!$B$25)/(Parametros!$C$25-Parametros!$B$25)*100)))</f>
        <v>66.8</v>
      </c>
      <c r="M23" s="33">
        <f>IF(Input_Dados!P$23="","",MIN(100,MAX(0,(Input_Dados!P$23-Parametros!$B$25)/(Parametros!$C$25-Parametros!$B$25)*100)))</f>
        <v>66.8</v>
      </c>
    </row>
    <row r="24" spans="1:13" ht="14.25" customHeight="1" x14ac:dyDescent="0.35">
      <c r="A24" s="30" t="s">
        <v>132</v>
      </c>
      <c r="B24" s="32" t="s">
        <v>74</v>
      </c>
      <c r="C24" s="33">
        <f>IF(Input_Dados!F$24="","",MIN(100,MAX(0,(Input_Dados!F$24-Parametros!$B$26)/(Parametros!$C$26-Parametros!$B$26)*100)))</f>
        <v>12.758620689655173</v>
      </c>
      <c r="D24" s="33">
        <f>IF(Input_Dados!G$24="","",MIN(100,MAX(0,(Input_Dados!G$24-Parametros!$B$26)/(Parametros!$C$26-Parametros!$B$26)*100)))</f>
        <v>17.931034482758619</v>
      </c>
      <c r="E24" s="33">
        <f>IF(Input_Dados!H$24="","",MIN(100,MAX(0,(Input_Dados!H$24-Parametros!$B$26)/(Parametros!$C$26-Parametros!$B$26)*100)))</f>
        <v>16.206896551724135</v>
      </c>
      <c r="F24" s="33">
        <f>IF(Input_Dados!I$24="","",MIN(100,MAX(0,(Input_Dados!I$24-Parametros!$B$26)/(Parametros!$C$26-Parametros!$B$26)*100)))</f>
        <v>13.448275862068964</v>
      </c>
      <c r="G24" s="33">
        <f>IF(Input_Dados!J$24="","",MIN(100,MAX(0,(Input_Dados!J$24-Parametros!$B$26)/(Parametros!$C$26-Parametros!$B$26)*100)))</f>
        <v>12.413793103448276</v>
      </c>
      <c r="H24" s="33">
        <f>IF(Input_Dados!K$24="","",MIN(100,MAX(0,(Input_Dados!K$24-Parametros!$B$26)/(Parametros!$C$26-Parametros!$B$26)*100)))</f>
        <v>12.068965517241379</v>
      </c>
      <c r="I24" s="33">
        <f>IF(Input_Dados!L$24="","",MIN(100,MAX(0,(Input_Dados!L$24-Parametros!$B$26)/(Parametros!$C$26-Parametros!$B$26)*100)))</f>
        <v>12.413793103448276</v>
      </c>
      <c r="J24" s="33">
        <f>IF(Input_Dados!M$24="","",MIN(100,MAX(0,(Input_Dados!M$24-Parametros!$B$26)/(Parametros!$C$26-Parametros!$B$26)*100)))</f>
        <v>13.103448275862069</v>
      </c>
      <c r="K24" s="33">
        <f>IF(Input_Dados!N$24="","",MIN(100,MAX(0,(Input_Dados!N$24-Parametros!$B$26)/(Parametros!$C$26-Parametros!$B$26)*100)))</f>
        <v>13.793103448275861</v>
      </c>
      <c r="L24" s="33">
        <f>IF(Input_Dados!O$24="","",MIN(100,MAX(0,(Input_Dados!O$24-Parametros!$B$26)/(Parametros!$C$26-Parametros!$B$26)*100)))</f>
        <v>16.137931034482758</v>
      </c>
      <c r="M24" s="33">
        <f>IF(Input_Dados!P$24="","",MIN(100,MAX(0,(Input_Dados!P$24-Parametros!$B$26)/(Parametros!$C$26-Parametros!$B$26)*100)))</f>
        <v>16.551724137931036</v>
      </c>
    </row>
    <row r="25" spans="1:13" ht="14.25" customHeight="1" x14ac:dyDescent="0.35">
      <c r="A25" s="30" t="s">
        <v>136</v>
      </c>
      <c r="B25" s="32" t="s">
        <v>74</v>
      </c>
      <c r="C25" s="33">
        <f>IF(Input_Dados!F$25="","",MIN(100,MAX(0,(Input_Dados!F$25-Parametros!$B$27)/(Parametros!$C$27-Parametros!$B$27)*100)))</f>
        <v>42</v>
      </c>
      <c r="D25" s="33">
        <f>IF(Input_Dados!G$25="","",MIN(100,MAX(0,(Input_Dados!G$25-Parametros!$B$27)/(Parametros!$C$27-Parametros!$B$27)*100)))</f>
        <v>41.8</v>
      </c>
      <c r="E25" s="33">
        <f>IF(Input_Dados!H$25="","",MIN(100,MAX(0,(Input_Dados!H$25-Parametros!$B$27)/(Parametros!$C$27-Parametros!$B$27)*100)))</f>
        <v>42.9</v>
      </c>
      <c r="F25" s="33">
        <f>IF(Input_Dados!I$25="","",MIN(100,MAX(0,(Input_Dados!I$25-Parametros!$B$27)/(Parametros!$C$27-Parametros!$B$27)*100)))</f>
        <v>45.3</v>
      </c>
      <c r="G25" s="33">
        <f>IF(Input_Dados!J$25="","",MIN(100,MAX(0,(Input_Dados!J$25-Parametros!$B$27)/(Parametros!$C$27-Parametros!$B$27)*100)))</f>
        <v>45.6</v>
      </c>
      <c r="H25" s="33">
        <f>IF(Input_Dados!K$25="","",MIN(100,MAX(0,(Input_Dados!K$25-Parametros!$B$27)/(Parametros!$C$27-Parametros!$B$27)*100)))</f>
        <v>47</v>
      </c>
      <c r="I25" s="33">
        <f>IF(Input_Dados!L$25="","",MIN(100,MAX(0,(Input_Dados!L$25-Parametros!$B$27)/(Parametros!$C$27-Parametros!$B$27)*100)))</f>
        <v>48.2</v>
      </c>
      <c r="J25" s="33">
        <f>IF(Input_Dados!M$25="","",MIN(100,MAX(0,(Input_Dados!M$25-Parametros!$B$27)/(Parametros!$C$27-Parametros!$B$27)*100)))</f>
        <v>48.5</v>
      </c>
      <c r="K25" s="33">
        <f>IF(Input_Dados!N$25="","",MIN(100,MAX(0,(Input_Dados!N$25-Parametros!$B$27)/(Parametros!$C$27-Parametros!$B$27)*100)))</f>
        <v>51.1</v>
      </c>
      <c r="L25" s="33" t="str">
        <f>IF(Input_Dados!O$25="","",MIN(100,MAX(0,(Input_Dados!O$25-Parametros!$B$27)/(Parametros!$C$27-Parametros!$B$27)*100)))</f>
        <v/>
      </c>
      <c r="M25" s="33" t="str">
        <f>IF(Input_Dados!P$25="","",MIN(100,MAX(0,(Input_Dados!P$25-Parametros!$B$27)/(Parametros!$C$27-Parametros!$B$27)*100)))</f>
        <v/>
      </c>
    </row>
    <row r="26" spans="1:13" ht="14.25" customHeight="1" x14ac:dyDescent="0.35">
      <c r="A26" s="30" t="s">
        <v>139</v>
      </c>
      <c r="B26" s="32" t="s">
        <v>74</v>
      </c>
      <c r="C26" s="33">
        <f>IF(Input_Dados!F$26="","",MIN(100,MAX(0,(Input_Dados!F$26-Parametros!$B$28)/(Parametros!$C$28-Parametros!$B$28)*100)))</f>
        <v>54.29999999999999</v>
      </c>
      <c r="D26" s="33">
        <f>IF(Input_Dados!G$26="","",MIN(100,MAX(0,(Input_Dados!G$26-Parametros!$B$28)/(Parametros!$C$28-Parametros!$B$28)*100)))</f>
        <v>55.1</v>
      </c>
      <c r="E26" s="33">
        <f>IF(Input_Dados!H$26="","",MIN(100,MAX(0,(Input_Dados!H$26-Parametros!$B$28)/(Parametros!$C$28-Parametros!$B$28)*100)))</f>
        <v>55.8</v>
      </c>
      <c r="F26" s="33">
        <f>IF(Input_Dados!I$26="","",MIN(100,MAX(0,(Input_Dados!I$26-Parametros!$B$28)/(Parametros!$C$28-Parametros!$B$28)*100)))</f>
        <v>56.600000000000009</v>
      </c>
      <c r="G26" s="33">
        <f>IF(Input_Dados!J$26="","",MIN(100,MAX(0,(Input_Dados!J$26-Parametros!$B$28)/(Parametros!$C$28-Parametros!$B$28)*100)))</f>
        <v>56.899999999999991</v>
      </c>
      <c r="H26" s="33">
        <f>IF(Input_Dados!K$26="","",MIN(100,MAX(0,(Input_Dados!K$26-Parametros!$B$28)/(Parametros!$C$28-Parametros!$B$28)*100)))</f>
        <v>57.2</v>
      </c>
      <c r="I26" s="33">
        <f>IF(Input_Dados!L$26="","",MIN(100,MAX(0,(Input_Dados!L$26-Parametros!$B$28)/(Parametros!$C$28-Parametros!$B$28)*100)))</f>
        <v>57.4</v>
      </c>
      <c r="J26" s="33">
        <f>IF(Input_Dados!M$26="","",MIN(100,MAX(0,(Input_Dados!M$26-Parametros!$B$28)/(Parametros!$C$28-Parametros!$B$28)*100)))</f>
        <v>57.70000000000001</v>
      </c>
      <c r="K26" s="33" t="str">
        <f>IF(Input_Dados!N$26="","",MIN(100,MAX(0,(Input_Dados!N$26-Parametros!$B$28)/(Parametros!$C$28-Parametros!$B$28)*100)))</f>
        <v/>
      </c>
      <c r="L26" s="33" t="str">
        <f>IF(Input_Dados!O$26="","",MIN(100,MAX(0,(Input_Dados!O$26-Parametros!$B$28)/(Parametros!$C$28-Parametros!$B$28)*100)))</f>
        <v/>
      </c>
      <c r="M26" s="33" t="str">
        <f>IF(Input_Dados!P$26="","",MIN(100,MAX(0,(Input_Dados!P$26-Parametros!$B$28)/(Parametros!$C$28-Parametros!$B$28)*100)))</f>
        <v/>
      </c>
    </row>
    <row r="27" spans="1:13" ht="14.25" customHeight="1" x14ac:dyDescent="0.35">
      <c r="A27" s="30" t="s">
        <v>142</v>
      </c>
      <c r="B27" s="32" t="s">
        <v>74</v>
      </c>
      <c r="C27" s="33">
        <f>IF(Input_Dados!F$27="","",MIN(100,MAX(0,(Input_Dados!F$27-Parametros!$B$29)/(Parametros!$C$29-Parametros!$B$29)*100)))</f>
        <v>47</v>
      </c>
      <c r="D27" s="33">
        <f>IF(Input_Dados!G$27="","",MIN(100,MAX(0,(Input_Dados!G$27-Parametros!$B$29)/(Parametros!$C$29-Parametros!$B$29)*100)))</f>
        <v>48</v>
      </c>
      <c r="E27" s="33">
        <f>IF(Input_Dados!H$27="","",MIN(100,MAX(0,(Input_Dados!H$27-Parametros!$B$29)/(Parametros!$C$29-Parametros!$B$29)*100)))</f>
        <v>48</v>
      </c>
      <c r="F27" s="33">
        <f>IF(Input_Dados!I$27="","",MIN(100,MAX(0,(Input_Dados!I$27-Parametros!$B$29)/(Parametros!$C$29-Parametros!$B$29)*100)))</f>
        <v>49</v>
      </c>
      <c r="G27" s="33">
        <f>IF(Input_Dados!J$27="","",MIN(100,MAX(0,(Input_Dados!J$27-Parametros!$B$29)/(Parametros!$C$29-Parametros!$B$29)*100)))</f>
        <v>50</v>
      </c>
      <c r="H27" s="33">
        <f>IF(Input_Dados!K$27="","",MIN(100,MAX(0,(Input_Dados!K$27-Parametros!$B$29)/(Parametros!$C$29-Parametros!$B$29)*100)))</f>
        <v>50</v>
      </c>
      <c r="I27" s="33">
        <f>IF(Input_Dados!L$27="","",MIN(100,MAX(0,(Input_Dados!L$27-Parametros!$B$29)/(Parametros!$C$29-Parametros!$B$29)*100)))</f>
        <v>50</v>
      </c>
      <c r="J27" s="33">
        <f>IF(Input_Dados!M$27="","",MIN(100,MAX(0,(Input_Dados!M$27-Parametros!$B$29)/(Parametros!$C$29-Parametros!$B$29)*100)))</f>
        <v>50</v>
      </c>
      <c r="K27" s="33" t="str">
        <f>IF(Input_Dados!N$27="","",MIN(100,MAX(0,(Input_Dados!N$27-Parametros!$B$29)/(Parametros!$C$29-Parametros!$B$29)*100)))</f>
        <v/>
      </c>
      <c r="L27" s="33" t="str">
        <f>IF(Input_Dados!O$27="","",MIN(100,MAX(0,(Input_Dados!O$27-Parametros!$B$29)/(Parametros!$C$29-Parametros!$B$29)*100)))</f>
        <v/>
      </c>
      <c r="M27" s="33" t="str">
        <f>IF(Input_Dados!P$27="","",MIN(100,MAX(0,(Input_Dados!P$27-Parametros!$B$29)/(Parametros!$C$29-Parametros!$B$29)*100)))</f>
        <v/>
      </c>
    </row>
    <row r="28" spans="1:13" ht="14.25" customHeight="1" x14ac:dyDescent="0.35">
      <c r="A28" s="30" t="s">
        <v>144</v>
      </c>
      <c r="B28" s="32" t="s">
        <v>74</v>
      </c>
      <c r="C28" s="33" t="str">
        <f>IF(Input_Dados!F$28="","",MIN(100,MAX(0,(Input_Dados!F$28-Parametros!$B$30)/(Parametros!$C$30-Parametros!$B$30)*100)))</f>
        <v/>
      </c>
      <c r="D28" s="33" t="str">
        <f>IF(Input_Dados!G$28="","",MIN(100,MAX(0,(Input_Dados!G$28-Parametros!$B$30)/(Parametros!$C$30-Parametros!$B$30)*100)))</f>
        <v/>
      </c>
      <c r="E28" s="33" t="str">
        <f>IF(Input_Dados!H$28="","",MIN(100,MAX(0,(Input_Dados!H$28-Parametros!$B$30)/(Parametros!$C$30-Parametros!$B$30)*100)))</f>
        <v/>
      </c>
      <c r="F28" s="33" t="str">
        <f>IF(Input_Dados!I$28="","",MIN(100,MAX(0,(Input_Dados!I$28-Parametros!$B$30)/(Parametros!$C$30-Parametros!$B$30)*100)))</f>
        <v/>
      </c>
      <c r="G28" s="33" t="str">
        <f>IF(Input_Dados!J$28="","",MIN(100,MAX(0,(Input_Dados!J$28-Parametros!$B$30)/(Parametros!$C$30-Parametros!$B$30)*100)))</f>
        <v/>
      </c>
      <c r="H28" s="33" t="str">
        <f>IF(Input_Dados!K$28="","",MIN(100,MAX(0,(Input_Dados!K$28-Parametros!$B$30)/(Parametros!$C$30-Parametros!$B$30)*100)))</f>
        <v/>
      </c>
      <c r="I28" s="33" t="str">
        <f>IF(Input_Dados!L$28="","",MIN(100,MAX(0,(Input_Dados!L$28-Parametros!$B$30)/(Parametros!$C$30-Parametros!$B$30)*100)))</f>
        <v/>
      </c>
      <c r="J28" s="33" t="str">
        <f>IF(Input_Dados!M$28="","",MIN(100,MAX(0,(Input_Dados!M$28-Parametros!$B$30)/(Parametros!$C$30-Parametros!$B$30)*100)))</f>
        <v/>
      </c>
      <c r="K28" s="33" t="str">
        <f>IF(Input_Dados!N$28="","",MIN(100,MAX(0,(Input_Dados!N$28-Parametros!$B$30)/(Parametros!$C$30-Parametros!$B$30)*100)))</f>
        <v/>
      </c>
      <c r="L28" s="33" t="str">
        <f>IF(Input_Dados!O$28="","",MIN(100,MAX(0,(Input_Dados!O$28-Parametros!$B$30)/(Parametros!$C$30-Parametros!$B$30)*100)))</f>
        <v/>
      </c>
      <c r="M28" s="33" t="str">
        <f>IF(Input_Dados!P$28="","",MIN(100,MAX(0,(Input_Dados!P$28-Parametros!$B$30)/(Parametros!$C$30-Parametros!$B$30)*100)))</f>
        <v/>
      </c>
    </row>
    <row r="29" spans="1:13" ht="14.25" customHeight="1" x14ac:dyDescent="0.35">
      <c r="A29" s="30" t="s">
        <v>147</v>
      </c>
      <c r="B29" s="32" t="s">
        <v>74</v>
      </c>
      <c r="C29" s="33">
        <f>IF(Input_Dados!F$29="","",MIN(100,MAX(0,(Input_Dados!F$29-Parametros!$B$31)/(Parametros!$C$31-Parametros!$B$31)*100)))</f>
        <v>22</v>
      </c>
      <c r="D29" s="33">
        <f>IF(Input_Dados!G$29="","",MIN(100,MAX(0,(Input_Dados!G$29-Parametros!$B$31)/(Parametros!$C$31-Parametros!$B$31)*100)))</f>
        <v>23.2</v>
      </c>
      <c r="E29" s="33">
        <f>IF(Input_Dados!H$29="","",MIN(100,MAX(0,(Input_Dados!H$29-Parametros!$B$31)/(Parametros!$C$31-Parametros!$B$31)*100)))</f>
        <v>26</v>
      </c>
      <c r="F29" s="33">
        <f>IF(Input_Dados!I$29="","",MIN(100,MAX(0,(Input_Dados!I$29-Parametros!$B$31)/(Parametros!$C$31-Parametros!$B$31)*100)))</f>
        <v>28.999999999999996</v>
      </c>
      <c r="G29" s="33">
        <f>IF(Input_Dados!J$29="","",MIN(100,MAX(0,(Input_Dados!J$29-Parametros!$B$31)/(Parametros!$C$31-Parametros!$B$31)*100)))</f>
        <v>32.1</v>
      </c>
      <c r="H29" s="33">
        <f>IF(Input_Dados!K$29="","",MIN(100,MAX(0,(Input_Dados!K$29-Parametros!$B$31)/(Parametros!$C$31-Parametros!$B$31)*100)))</f>
        <v>36.6</v>
      </c>
      <c r="I29" s="33">
        <f>IF(Input_Dados!L$29="","",MIN(100,MAX(0,(Input_Dados!L$29-Parametros!$B$31)/(Parametros!$C$31-Parametros!$B$31)*100)))</f>
        <v>39.299999999999997</v>
      </c>
      <c r="J29" s="33">
        <f>IF(Input_Dados!M$29="","",MIN(100,MAX(0,(Input_Dados!M$29-Parametros!$B$31)/(Parametros!$C$31-Parametros!$B$31)*100)))</f>
        <v>42</v>
      </c>
      <c r="K29" s="33">
        <f>IF(Input_Dados!N$29="","",MIN(100,MAX(0,(Input_Dados!N$29-Parametros!$B$31)/(Parametros!$C$31-Parametros!$B$31)*100)))</f>
        <v>44</v>
      </c>
      <c r="L29" s="33" t="str">
        <f>IF(Input_Dados!O$29="","",MIN(100,MAX(0,(Input_Dados!O$29-Parametros!$B$31)/(Parametros!$C$31-Parametros!$B$31)*100)))</f>
        <v/>
      </c>
      <c r="M29" s="33" t="str">
        <f>IF(Input_Dados!P$29="","",MIN(100,MAX(0,(Input_Dados!P$29-Parametros!$B$31)/(Parametros!$C$31-Parametros!$B$31)*100)))</f>
        <v/>
      </c>
    </row>
    <row r="30" spans="1:13" ht="14.25" customHeight="1" x14ac:dyDescent="0.35">
      <c r="A30" s="30" t="s">
        <v>149</v>
      </c>
      <c r="B30" s="32" t="s">
        <v>74</v>
      </c>
      <c r="C30" s="33">
        <f>IF(Input_Dados!F$30="","",MIN(100,MAX(0,(Input_Dados!F$30-Parametros!$B$32)/(Parametros!$C$32-Parametros!$B$32)*100)))</f>
        <v>28.999999999999996</v>
      </c>
      <c r="D30" s="33">
        <f>IF(Input_Dados!G$30="","",MIN(100,MAX(0,(Input_Dados!G$30-Parametros!$B$32)/(Parametros!$C$32-Parametros!$B$32)*100)))</f>
        <v>28.999999999999996</v>
      </c>
      <c r="E30" s="33">
        <f>IF(Input_Dados!H$30="","",MIN(100,MAX(0,(Input_Dados!H$30-Parametros!$B$32)/(Parametros!$C$32-Parametros!$B$32)*100)))</f>
        <v>28.999999999999996</v>
      </c>
      <c r="F30" s="33">
        <f>IF(Input_Dados!I$30="","",MIN(100,MAX(0,(Input_Dados!I$30-Parametros!$B$32)/(Parametros!$C$32-Parametros!$B$32)*100)))</f>
        <v>28.999999999999996</v>
      </c>
      <c r="G30" s="33">
        <f>IF(Input_Dados!J$30="","",MIN(100,MAX(0,(Input_Dados!J$30-Parametros!$B$32)/(Parametros!$C$32-Parametros!$B$32)*100)))</f>
        <v>28.999999999999996</v>
      </c>
      <c r="H30" s="33">
        <f>IF(Input_Dados!K$30="","",MIN(100,MAX(0,(Input_Dados!K$30-Parametros!$B$32)/(Parametros!$C$32-Parametros!$B$32)*100)))</f>
        <v>30</v>
      </c>
      <c r="I30" s="33">
        <f>IF(Input_Dados!L$30="","",MIN(100,MAX(0,(Input_Dados!L$30-Parametros!$B$32)/(Parametros!$C$32-Parametros!$B$32)*100)))</f>
        <v>31</v>
      </c>
      <c r="J30" s="33">
        <f>IF(Input_Dados!M$30="","",MIN(100,MAX(0,(Input_Dados!M$30-Parametros!$B$32)/(Parametros!$C$32-Parametros!$B$32)*100)))</f>
        <v>31</v>
      </c>
      <c r="K30" s="33">
        <f>IF(Input_Dados!N$30="","",MIN(100,MAX(0,(Input_Dados!N$30-Parametros!$B$32)/(Parametros!$C$32-Parametros!$B$32)*100)))</f>
        <v>32</v>
      </c>
      <c r="L30" s="33">
        <f>IF(Input_Dados!O$30="","",MIN(100,MAX(0,(Input_Dados!O$30-Parametros!$B$32)/(Parametros!$C$32-Parametros!$B$32)*100)))</f>
        <v>33</v>
      </c>
      <c r="M30" s="33" t="str">
        <f>IF(Input_Dados!P$30="","",MIN(100,MAX(0,(Input_Dados!P$30-Parametros!$B$32)/(Parametros!$C$32-Parametros!$B$32)*100)))</f>
        <v/>
      </c>
    </row>
    <row r="31" spans="1:13" ht="14.25" customHeight="1" x14ac:dyDescent="0.35">
      <c r="A31" s="30" t="s">
        <v>154</v>
      </c>
      <c r="B31" s="32" t="s">
        <v>74</v>
      </c>
      <c r="C31" s="33" t="str">
        <f>IF(Input_Dados!F$31="","",MIN(100,MAX(0,(Input_Dados!F$31-Parametros!$B$33)/(Parametros!$C$33-Parametros!$B$33)*100)))</f>
        <v/>
      </c>
      <c r="D31" s="33" t="str">
        <f>IF(Input_Dados!G$31="","",MIN(100,MAX(0,(Input_Dados!G$31-Parametros!$B$33)/(Parametros!$C$33-Parametros!$B$33)*100)))</f>
        <v/>
      </c>
      <c r="E31" s="33" t="str">
        <f>IF(Input_Dados!H$31="","",MIN(100,MAX(0,(Input_Dados!H$31-Parametros!$B$33)/(Parametros!$C$33-Parametros!$B$33)*100)))</f>
        <v/>
      </c>
      <c r="F31" s="33" t="str">
        <f>IF(Input_Dados!I$31="","",MIN(100,MAX(0,(Input_Dados!I$31-Parametros!$B$33)/(Parametros!$C$33-Parametros!$B$33)*100)))</f>
        <v/>
      </c>
      <c r="G31" s="33">
        <f>IF(Input_Dados!J$31="","",MIN(100,MAX(0,(Input_Dados!J$31-Parametros!$B$33)/(Parametros!$C$33-Parametros!$B$33)*100)))</f>
        <v>61.190162116079108</v>
      </c>
      <c r="H31" s="33">
        <f>IF(Input_Dados!K$31="","",MIN(100,MAX(0,(Input_Dados!K$31-Parametros!$B$33)/(Parametros!$C$33-Parametros!$B$33)*100)))</f>
        <v>60.774758729572</v>
      </c>
      <c r="I31" s="33">
        <f>IF(Input_Dados!L$31="","",MIN(100,MAX(0,(Input_Dados!L$31-Parametros!$B$33)/(Parametros!$C$33-Parametros!$B$33)*100)))</f>
        <v>61.491468142232897</v>
      </c>
      <c r="J31" s="33">
        <f>IF(Input_Dados!M$31="","",MIN(100,MAX(0,(Input_Dados!M$31-Parametros!$B$33)/(Parametros!$C$33-Parametros!$B$33)*100)))</f>
        <v>62.715613339001393</v>
      </c>
      <c r="K31" s="33">
        <f>IF(Input_Dados!N$31="","",MIN(100,MAX(0,(Input_Dados!N$31-Parametros!$B$33)/(Parametros!$C$33-Parametros!$B$33)*100)))</f>
        <v>60.653315064580006</v>
      </c>
      <c r="L31" s="33">
        <f>IF(Input_Dados!O$31="","",MIN(100,MAX(0,(Input_Dados!O$31-Parametros!$B$33)/(Parametros!$C$33-Parametros!$B$33)*100)))</f>
        <v>61.666147702676099</v>
      </c>
      <c r="M31" s="33">
        <f>IF(Input_Dados!P$31="","",MIN(100,MAX(0,(Input_Dados!P$31-Parametros!$B$33)/(Parametros!$C$33-Parametros!$B$33)*100)))</f>
        <v>64.441286566695098</v>
      </c>
    </row>
    <row r="32" spans="1:13" ht="14.25" customHeight="1" x14ac:dyDescent="0.35">
      <c r="A32" s="30" t="s">
        <v>155</v>
      </c>
      <c r="B32" s="32" t="s">
        <v>93</v>
      </c>
      <c r="C32" s="33" t="str">
        <f>IF(Input_Dados!F$32="","",MIN(100,MAX(0,(Parametros!$C$34-Input_Dados!F$32)/(Parametros!$C$34-Parametros!$B$34)*100)))</f>
        <v/>
      </c>
      <c r="D32" s="33" t="str">
        <f>IF(Input_Dados!G$32="","",MIN(100,MAX(0,(Parametros!$C$34-Input_Dados!G$32)/(Parametros!$C$34-Parametros!$B$34)*100)))</f>
        <v/>
      </c>
      <c r="E32" s="33" t="str">
        <f>IF(Input_Dados!H$32="","",MIN(100,MAX(0,(Parametros!$C$34-Input_Dados!H$32)/(Parametros!$C$34-Parametros!$B$34)*100)))</f>
        <v/>
      </c>
      <c r="F32" s="33" t="str">
        <f>IF(Input_Dados!I$32="","",MIN(100,MAX(0,(Parametros!$C$34-Input_Dados!I$32)/(Parametros!$C$34-Parametros!$B$34)*100)))</f>
        <v/>
      </c>
      <c r="G32" s="33">
        <f>IF(Input_Dados!J$32="","",MIN(100,MAX(0,(Parametros!$C$34-Input_Dados!J$32)/(Parametros!$C$34-Parametros!$B$34)*100)))</f>
        <v>39.5823063017436</v>
      </c>
      <c r="H32" s="33">
        <f>IF(Input_Dados!K$32="","",MIN(100,MAX(0,(Parametros!$C$34-Input_Dados!K$32)/(Parametros!$C$34-Parametros!$B$34)*100)))</f>
        <v>35.637825856145597</v>
      </c>
      <c r="I32" s="33">
        <f>IF(Input_Dados!L$32="","",MIN(100,MAX(0,(Parametros!$C$34-Input_Dados!L$32)/(Parametros!$C$34-Parametros!$B$34)*100)))</f>
        <v>35.358548150620805</v>
      </c>
      <c r="J32" s="33">
        <f>IF(Input_Dados!M$32="","",MIN(100,MAX(0,(Parametros!$C$34-Input_Dados!M$32)/(Parametros!$C$34-Parametros!$B$34)*100)))</f>
        <v>39.689327029842801</v>
      </c>
      <c r="K32" s="33">
        <f>IF(Input_Dados!N$32="","",MIN(100,MAX(0,(Parametros!$C$34-Input_Dados!N$32)/(Parametros!$C$34-Parametros!$B$34)*100)))</f>
        <v>36.294278204004797</v>
      </c>
      <c r="L32" s="33">
        <f>IF(Input_Dados!O$32="","",MIN(100,MAX(0,(Parametros!$C$34-Input_Dados!O$32)/(Parametros!$C$34-Parametros!$B$34)*100)))</f>
        <v>37.067294751161199</v>
      </c>
      <c r="M32" s="33">
        <f>IF(Input_Dados!P$32="","",MIN(100,MAX(0,(Parametros!$C$34-Input_Dados!P$32)/(Parametros!$C$34-Parametros!$B$34)*100)))</f>
        <v>46.278778045857401</v>
      </c>
    </row>
    <row r="33" spans="1:13" ht="14.25" customHeight="1" x14ac:dyDescent="0.35">
      <c r="A33" s="30" t="s">
        <v>187</v>
      </c>
      <c r="B33" s="32" t="s">
        <v>93</v>
      </c>
      <c r="C33" s="33" t="str">
        <f>IF(Input_Dados!F$33="","",MIN(100,MAX(0,(Parametros!$C$35-Input_Dados!F$33)/(Parametros!$C$35-Parametros!$B$35)*100)))</f>
        <v/>
      </c>
      <c r="D33" s="33" t="str">
        <f>IF(Input_Dados!G$33="","",MIN(100,MAX(0,(Parametros!$C$35-Input_Dados!G$33)/(Parametros!$C$35-Parametros!$B$35)*100)))</f>
        <v/>
      </c>
      <c r="E33" s="33" t="str">
        <f>IF(Input_Dados!H$33="","",MIN(100,MAX(0,(Parametros!$C$35-Input_Dados!H$33)/(Parametros!$C$35-Parametros!$B$35)*100)))</f>
        <v/>
      </c>
      <c r="F33" s="33" t="str">
        <f>IF(Input_Dados!I$33="","",MIN(100,MAX(0,(Parametros!$C$35-Input_Dados!I$33)/(Parametros!$C$35-Parametros!$B$35)*100)))</f>
        <v/>
      </c>
      <c r="G33" s="33" t="str">
        <f>IF(Input_Dados!J$33="","",MIN(100,MAX(0,(Parametros!$C$35-Input_Dados!J$33)/(Parametros!$C$35-Parametros!$B$35)*100)))</f>
        <v/>
      </c>
      <c r="H33" s="33" t="str">
        <f>IF(Input_Dados!K$33="","",MIN(100,MAX(0,(Parametros!$C$35-Input_Dados!K$33)/(Parametros!$C$35-Parametros!$B$35)*100)))</f>
        <v/>
      </c>
      <c r="I33" s="33" t="str">
        <f>IF(Input_Dados!L$33="","",MIN(100,MAX(0,(Parametros!$C$35-Input_Dados!L$33)/(Parametros!$C$35-Parametros!$B$35)*100)))</f>
        <v/>
      </c>
      <c r="J33" s="33" t="str">
        <f>IF(Input_Dados!M$33="","",MIN(100,MAX(0,(Parametros!$C$35-Input_Dados!M$33)/(Parametros!$C$35-Parametros!$B$35)*100)))</f>
        <v/>
      </c>
      <c r="K33" s="33" t="str">
        <f>IF(Input_Dados!N$33="","",MIN(100,MAX(0,(Parametros!$C$35-Input_Dados!N$33)/(Parametros!$C$35-Parametros!$B$35)*100)))</f>
        <v/>
      </c>
      <c r="L33" s="33" t="str">
        <f>IF(Input_Dados!O$33="","",MIN(100,MAX(0,(Parametros!$C$35-Input_Dados!O$33)/(Parametros!$C$35-Parametros!$B$35)*100)))</f>
        <v/>
      </c>
      <c r="M33" s="33" t="str">
        <f>IF(Input_Dados!P$33="","",MIN(100,MAX(0,(Parametros!$C$35-Input_Dados!P$33)/(Parametros!$C$35-Parametros!$B$35)*100)))</f>
        <v/>
      </c>
    </row>
    <row r="34" spans="1:13" ht="14.25" customHeight="1" x14ac:dyDescent="0.35">
      <c r="A34" s="30" t="s">
        <v>157</v>
      </c>
      <c r="B34" s="32" t="s">
        <v>93</v>
      </c>
      <c r="C34" s="33" t="str">
        <f>IF(Input_Dados!F$34="","",MIN(100,MAX(0,(Parametros!$C$36-Input_Dados!F$34)/(Parametros!$C$36-Parametros!$B$36)*100)))</f>
        <v/>
      </c>
      <c r="D34" s="33" t="str">
        <f>IF(Input_Dados!G$34="","",MIN(100,MAX(0,(Parametros!$C$36-Input_Dados!G$34)/(Parametros!$C$36-Parametros!$B$36)*100)))</f>
        <v/>
      </c>
      <c r="E34" s="33" t="str">
        <f>IF(Input_Dados!H$34="","",MIN(100,MAX(0,(Parametros!$C$36-Input_Dados!H$34)/(Parametros!$C$36-Parametros!$B$36)*100)))</f>
        <v/>
      </c>
      <c r="F34" s="33" t="str">
        <f>IF(Input_Dados!I$34="","",MIN(100,MAX(0,(Parametros!$C$36-Input_Dados!I$34)/(Parametros!$C$36-Parametros!$B$36)*100)))</f>
        <v/>
      </c>
      <c r="G34" s="33">
        <f>IF(Input_Dados!J$34="","",MIN(100,MAX(0,(Parametros!$C$36-Input_Dados!J$34)/(Parametros!$C$36-Parametros!$B$36)*100)))</f>
        <v>25.458184067750494</v>
      </c>
      <c r="H34" s="33">
        <f>IF(Input_Dados!K$34="","",MIN(100,MAX(0,(Parametros!$C$36-Input_Dados!K$34)/(Parametros!$C$36-Parametros!$B$36)*100)))</f>
        <v>19.646425000462699</v>
      </c>
      <c r="I34" s="33">
        <f>IF(Input_Dados!L$34="","",MIN(100,MAX(0,(Parametros!$C$36-Input_Dados!L$34)/(Parametros!$C$36-Parametros!$B$36)*100)))</f>
        <v>19.552482348496198</v>
      </c>
      <c r="J34" s="33">
        <f>IF(Input_Dados!M$34="","",MIN(100,MAX(0,(Parametros!$C$36-Input_Dados!M$34)/(Parametros!$C$36-Parametros!$B$36)*100)))</f>
        <v>20.139862795164902</v>
      </c>
      <c r="K34" s="33">
        <f>IF(Input_Dados!N$34="","",MIN(100,MAX(0,(Parametros!$C$36-Input_Dados!N$34)/(Parametros!$C$36-Parametros!$B$36)*100)))</f>
        <v>19.5119049135278</v>
      </c>
      <c r="L34" s="33">
        <f>IF(Input_Dados!O$34="","",MIN(100,MAX(0,(Parametros!$C$36-Input_Dados!O$34)/(Parametros!$C$36-Parametros!$B$36)*100)))</f>
        <v>20.240077434560703</v>
      </c>
      <c r="M34" s="33">
        <f>IF(Input_Dados!P$34="","",MIN(100,MAX(0,(Parametros!$C$36-Input_Dados!P$34)/(Parametros!$C$36-Parametros!$B$36)*100)))</f>
        <v>22.879157515362607</v>
      </c>
    </row>
    <row r="35" spans="1:13" ht="14.25" customHeight="1" x14ac:dyDescent="0.35">
      <c r="A35" s="30" t="s">
        <v>158</v>
      </c>
      <c r="B35" s="32" t="s">
        <v>74</v>
      </c>
      <c r="C35" s="33" t="str">
        <f>IF(Input_Dados!F$35="","",MIN(100,MAX(0,(Input_Dados!F$35-Parametros!$B$37)/(Parametros!$C$37-Parametros!$B$37)*100)))</f>
        <v/>
      </c>
      <c r="D35" s="33" t="str">
        <f>IF(Input_Dados!G$35="","",MIN(100,MAX(0,(Input_Dados!G$35-Parametros!$B$37)/(Parametros!$C$37-Parametros!$B$37)*100)))</f>
        <v/>
      </c>
      <c r="E35" s="33" t="str">
        <f>IF(Input_Dados!H$35="","",MIN(100,MAX(0,(Input_Dados!H$35-Parametros!$B$37)/(Parametros!$C$37-Parametros!$B$37)*100)))</f>
        <v/>
      </c>
      <c r="F35" s="33" t="str">
        <f>IF(Input_Dados!I$35="","",MIN(100,MAX(0,(Input_Dados!I$35-Parametros!$B$37)/(Parametros!$C$37-Parametros!$B$37)*100)))</f>
        <v/>
      </c>
      <c r="G35" s="33">
        <f>IF(Input_Dados!J$35="","",MIN(100,MAX(0,(Input_Dados!J$35-Parametros!$B$37)/(Parametros!$C$37-Parametros!$B$37)*100)))</f>
        <v>25.458184067750501</v>
      </c>
      <c r="H35" s="33">
        <f>IF(Input_Dados!K$35="","",MIN(100,MAX(0,(Input_Dados!K$35-Parametros!$B$37)/(Parametros!$C$37-Parametros!$B$37)*100)))</f>
        <v>19.646425000462699</v>
      </c>
      <c r="I35" s="33">
        <f>IF(Input_Dados!L$35="","",MIN(100,MAX(0,(Input_Dados!L$35-Parametros!$B$37)/(Parametros!$C$37-Parametros!$B$37)*100)))</f>
        <v>19.552482348496198</v>
      </c>
      <c r="J35" s="33">
        <f>IF(Input_Dados!M$35="","",MIN(100,MAX(0,(Input_Dados!M$35-Parametros!$B$37)/(Parametros!$C$37-Parametros!$B$37)*100)))</f>
        <v>20.139862795164898</v>
      </c>
      <c r="K35" s="33">
        <f>IF(Input_Dados!N$35="","",MIN(100,MAX(0,(Input_Dados!N$35-Parametros!$B$37)/(Parametros!$C$37-Parametros!$B$37)*100)))</f>
        <v>19.5119049135278</v>
      </c>
      <c r="L35" s="33">
        <f>IF(Input_Dados!O$35="","",MIN(100,MAX(0,(Input_Dados!O$35-Parametros!$B$37)/(Parametros!$C$37-Parametros!$B$37)*100)))</f>
        <v>20.2400774345607</v>
      </c>
      <c r="M35" s="33">
        <f>IF(Input_Dados!P$35="","",MIN(100,MAX(0,(Input_Dados!P$35-Parametros!$B$37)/(Parametros!$C$37-Parametros!$B$37)*100)))</f>
        <v>22.8791575153626</v>
      </c>
    </row>
    <row r="36" spans="1:13" ht="14.25" customHeight="1" x14ac:dyDescent="0.35">
      <c r="A36" s="30" t="s">
        <v>159</v>
      </c>
      <c r="B36" s="32" t="s">
        <v>74</v>
      </c>
      <c r="C36" s="33" t="str">
        <f>IF(Input_Dados!F$36="","",MIN(100,MAX(0,(Input_Dados!F$36-Parametros!$B$38)/(Parametros!$C$38-Parametros!$B$38)*100)))</f>
        <v/>
      </c>
      <c r="D36" s="33" t="str">
        <f>IF(Input_Dados!G$36="","",MIN(100,MAX(0,(Input_Dados!G$36-Parametros!$B$38)/(Parametros!$C$38-Parametros!$B$38)*100)))</f>
        <v/>
      </c>
      <c r="E36" s="33" t="str">
        <f>IF(Input_Dados!H$36="","",MIN(100,MAX(0,(Input_Dados!H$36-Parametros!$B$38)/(Parametros!$C$38-Parametros!$B$38)*100)))</f>
        <v/>
      </c>
      <c r="F36" s="33" t="str">
        <f>IF(Input_Dados!I$36="","",MIN(100,MAX(0,(Input_Dados!I$36-Parametros!$B$38)/(Parametros!$C$38-Parametros!$B$38)*100)))</f>
        <v/>
      </c>
      <c r="G36" s="33" t="str">
        <f>IF(Input_Dados!J$36="","",MIN(100,MAX(0,(Input_Dados!J$36-Parametros!$B$38)/(Parametros!$C$38-Parametros!$B$38)*100)))</f>
        <v/>
      </c>
      <c r="H36" s="33" t="str">
        <f>IF(Input_Dados!K$36="","",MIN(100,MAX(0,(Input_Dados!K$36-Parametros!$B$38)/(Parametros!$C$38-Parametros!$B$38)*100)))</f>
        <v/>
      </c>
      <c r="I36" s="33" t="str">
        <f>IF(Input_Dados!L$36="","",MIN(100,MAX(0,(Input_Dados!L$36-Parametros!$B$38)/(Parametros!$C$38-Parametros!$B$38)*100)))</f>
        <v/>
      </c>
      <c r="J36" s="33" t="str">
        <f>IF(Input_Dados!M$36="","",MIN(100,MAX(0,(Input_Dados!M$36-Parametros!$B$38)/(Parametros!$C$38-Parametros!$B$38)*100)))</f>
        <v/>
      </c>
      <c r="K36" s="33" t="str">
        <f>IF(Input_Dados!N$36="","",MIN(100,MAX(0,(Input_Dados!N$36-Parametros!$B$38)/(Parametros!$C$38-Parametros!$B$38)*100)))</f>
        <v/>
      </c>
      <c r="L36" s="33" t="str">
        <f>IF(Input_Dados!O$36="","",MIN(100,MAX(0,(Input_Dados!O$36-Parametros!$B$38)/(Parametros!$C$38-Parametros!$B$38)*100)))</f>
        <v/>
      </c>
      <c r="M36" s="33" t="str">
        <f>IF(Input_Dados!P$36="","",MIN(100,MAX(0,(Input_Dados!P$36-Parametros!$B$38)/(Parametros!$C$38-Parametros!$B$38)*100)))</f>
        <v/>
      </c>
    </row>
    <row r="37" spans="1:13" ht="14.25" customHeight="1" x14ac:dyDescent="0.35">
      <c r="A37" s="30" t="s">
        <v>161</v>
      </c>
      <c r="B37" s="32" t="s">
        <v>74</v>
      </c>
      <c r="C37" s="33">
        <f>IF(Input_Dados!F$37="","",MIN(100,MAX(0,(Input_Dados!F$37-Parametros!$B$39)/(Parametros!$C$39-Parametros!$B$39)*100)))</f>
        <v>35.1</v>
      </c>
      <c r="D37" s="33" t="str">
        <f>IF(Input_Dados!G$37="","",MIN(100,MAX(0,(Input_Dados!G$37-Parametros!$B$39)/(Parametros!$C$39-Parametros!$B$39)*100)))</f>
        <v/>
      </c>
      <c r="E37" s="33" t="str">
        <f>IF(Input_Dados!H$37="","",MIN(100,MAX(0,(Input_Dados!H$37-Parametros!$B$39)/(Parametros!$C$39-Parametros!$B$39)*100)))</f>
        <v/>
      </c>
      <c r="F37" s="33" t="str">
        <f>IF(Input_Dados!I$37="","",MIN(100,MAX(0,(Input_Dados!I$37-Parametros!$B$39)/(Parametros!$C$39-Parametros!$B$39)*100)))</f>
        <v/>
      </c>
      <c r="G37" s="33" t="str">
        <f>IF(Input_Dados!J$37="","",MIN(100,MAX(0,(Input_Dados!J$37-Parametros!$B$39)/(Parametros!$C$39-Parametros!$B$39)*100)))</f>
        <v/>
      </c>
      <c r="H37" s="33" t="str">
        <f>IF(Input_Dados!K$37="","",MIN(100,MAX(0,(Input_Dados!K$37-Parametros!$B$39)/(Parametros!$C$39-Parametros!$B$39)*100)))</f>
        <v/>
      </c>
      <c r="I37" s="33" t="str">
        <f>IF(Input_Dados!L$37="","",MIN(100,MAX(0,(Input_Dados!L$37-Parametros!$B$39)/(Parametros!$C$39-Parametros!$B$39)*100)))</f>
        <v/>
      </c>
      <c r="J37" s="33" t="str">
        <f>IF(Input_Dados!M$37="","",MIN(100,MAX(0,(Input_Dados!M$37-Parametros!$B$39)/(Parametros!$C$39-Parametros!$B$39)*100)))</f>
        <v/>
      </c>
      <c r="K37" s="33" t="str">
        <f>IF(Input_Dados!N$37="","",MIN(100,MAX(0,(Input_Dados!N$37-Parametros!$B$39)/(Parametros!$C$39-Parametros!$B$39)*100)))</f>
        <v/>
      </c>
      <c r="L37" s="33">
        <f>IF(Input_Dados!O$37="","",MIN(100,MAX(0,(Input_Dados!O$37-Parametros!$B$39)/(Parametros!$C$39-Parametros!$B$39)*100)))</f>
        <v>26</v>
      </c>
      <c r="M37" s="33">
        <f>IF(Input_Dados!P$37="","",MIN(100,MAX(0,(Input_Dados!P$37-Parametros!$B$39)/(Parametros!$C$39-Parametros!$B$39)*100)))</f>
        <v>29.7</v>
      </c>
    </row>
    <row r="38" spans="1:13" ht="14.25" customHeight="1" x14ac:dyDescent="0.35">
      <c r="A38" s="30" t="s">
        <v>164</v>
      </c>
      <c r="B38" s="32" t="s">
        <v>93</v>
      </c>
      <c r="C38" s="33" t="str">
        <f>IF(Input_Dados!F$38="","",MIN(100,MAX(0,(Parametros!$C$40-Input_Dados!F$38)/(Parametros!$C$40-Parametros!$B$40)*100)))</f>
        <v/>
      </c>
      <c r="D38" s="33">
        <f>IF(Input_Dados!G$38="","",MIN(100,MAX(0,(Parametros!$C$40-Input_Dados!G$38)/(Parametros!$C$40-Parametros!$B$40)*100)))</f>
        <v>69.599999999999994</v>
      </c>
      <c r="E38" s="33">
        <f>IF(Input_Dados!H$38="","",MIN(100,MAX(0,(Parametros!$C$40-Input_Dados!H$38)/(Parametros!$C$40-Parametros!$B$40)*100)))</f>
        <v>69.2</v>
      </c>
      <c r="F38" s="33">
        <f>IF(Input_Dados!I$38="","",MIN(100,MAX(0,(Parametros!$C$40-Input_Dados!I$38)/(Parametros!$C$40-Parametros!$B$40)*100)))</f>
        <v>68.2</v>
      </c>
      <c r="G38" s="33">
        <f>IF(Input_Dados!J$38="","",MIN(100,MAX(0,(Parametros!$C$40-Input_Dados!J$38)/(Parametros!$C$40-Parametros!$B$40)*100)))</f>
        <v>63.6</v>
      </c>
      <c r="H38" s="33">
        <f>IF(Input_Dados!K$38="","",MIN(100,MAX(0,(Parametros!$C$40-Input_Dados!K$38)/(Parametros!$C$40-Parametros!$B$40)*100)))</f>
        <v>58.4</v>
      </c>
      <c r="I38" s="33">
        <f>IF(Input_Dados!L$38="","",MIN(100,MAX(0,(Parametros!$C$40-Input_Dados!L$38)/(Parametros!$C$40-Parametros!$B$40)*100)))</f>
        <v>54.79999999999999</v>
      </c>
      <c r="J38" s="33">
        <f>IF(Input_Dados!M$38="","",MIN(100,MAX(0,(Parametros!$C$40-Input_Dados!M$38)/(Parametros!$C$40-Parametros!$B$40)*100)))</f>
        <v>53.79999999999999</v>
      </c>
      <c r="K38" s="33">
        <f>IF(Input_Dados!N$38="","",MIN(100,MAX(0,(Parametros!$C$40-Input_Dados!N$38)/(Parametros!$C$40-Parametros!$B$40)*100)))</f>
        <v>55.000000000000007</v>
      </c>
      <c r="L38" s="33" t="str">
        <f>IF(Input_Dados!O$38="","",MIN(100,MAX(0,(Parametros!$C$40-Input_Dados!O$38)/(Parametros!$C$40-Parametros!$B$40)*100)))</f>
        <v/>
      </c>
      <c r="M38" s="33" t="str">
        <f>IF(Input_Dados!P$38="","",MIN(100,MAX(0,(Parametros!$C$40-Input_Dados!P$38)/(Parametros!$C$40-Parametros!$B$40)*100)))</f>
        <v/>
      </c>
    </row>
    <row r="39" spans="1:13" ht="14.25" customHeight="1" x14ac:dyDescent="0.35">
      <c r="A39" s="30" t="s">
        <v>167</v>
      </c>
      <c r="B39" s="32" t="s">
        <v>93</v>
      </c>
      <c r="C39" s="33">
        <f>IF(Input_Dados!F$39="","",MIN(100,MAX(0,(Parametros!$C$41-Input_Dados!F$39)/(Parametros!$C$41-Parametros!$B$41)*100)))</f>
        <v>52.300000000000004</v>
      </c>
      <c r="D39" s="33">
        <f>IF(Input_Dados!G$39="","",MIN(100,MAX(0,(Parametros!$C$41-Input_Dados!G$39)/(Parametros!$C$41-Parametros!$B$41)*100)))</f>
        <v>55.800000000000004</v>
      </c>
      <c r="E39" s="33">
        <f>IF(Input_Dados!H$39="","",MIN(100,MAX(0,(Parametros!$C$41-Input_Dados!H$39)/(Parametros!$C$41-Parametros!$B$41)*100)))</f>
        <v>60</v>
      </c>
      <c r="F39" s="33">
        <f>IF(Input_Dados!I$39="","",MIN(100,MAX(0,(Parametros!$C$41-Input_Dados!I$39)/(Parametros!$C$41-Parametros!$B$41)*100)))</f>
        <v>63</v>
      </c>
      <c r="G39" s="33">
        <f>IF(Input_Dados!J$39="","",MIN(100,MAX(0,(Parametros!$C$41-Input_Dados!J$39)/(Parametros!$C$41-Parametros!$B$41)*100)))</f>
        <v>67</v>
      </c>
      <c r="H39" s="33">
        <f>IF(Input_Dados!K$39="","",MIN(100,MAX(0,(Parametros!$C$41-Input_Dados!K$39)/(Parametros!$C$41-Parametros!$B$41)*100)))</f>
        <v>70</v>
      </c>
      <c r="I39" s="33">
        <f>IF(Input_Dados!L$39="","",MIN(100,MAX(0,(Parametros!$C$41-Input_Dados!L$39)/(Parametros!$C$41-Parametros!$B$41)*100)))</f>
        <v>71</v>
      </c>
      <c r="J39" s="33">
        <f>IF(Input_Dados!M$39="","",MIN(100,MAX(0,(Parametros!$C$41-Input_Dados!M$39)/(Parametros!$C$41-Parametros!$B$41)*100)))</f>
        <v>75</v>
      </c>
      <c r="K39" s="33">
        <f>IF(Input_Dados!N$39="","",MIN(100,MAX(0,(Parametros!$C$41-Input_Dados!N$39)/(Parametros!$C$41-Parametros!$B$41)*100)))</f>
        <v>81.699999999999989</v>
      </c>
      <c r="L39" s="33">
        <f>IF(Input_Dados!O$39="","",MIN(100,MAX(0,(Parametros!$C$41-Input_Dados!O$39)/(Parametros!$C$41-Parametros!$B$41)*100)))</f>
        <v>81.5</v>
      </c>
      <c r="M39" s="33">
        <f>IF(Input_Dados!P$39="","",MIN(100,MAX(0,(Parametros!$C$41-Input_Dados!P$39)/(Parametros!$C$41-Parametros!$B$41)*100)))</f>
        <v>83</v>
      </c>
    </row>
    <row r="40" spans="1:13" ht="14.25" customHeight="1" x14ac:dyDescent="0.35">
      <c r="A40" s="30" t="s">
        <v>171</v>
      </c>
      <c r="B40" s="32" t="s">
        <v>74</v>
      </c>
      <c r="C40" s="33">
        <f>IF(Input_Dados!F$40="","",MIN(100,MAX(0,(Input_Dados!F$40-Parametros!$B$42)/(Parametros!$C$42-Parametros!$B$42)*100)))</f>
        <v>17.399999999999999</v>
      </c>
      <c r="D40" s="33">
        <f>IF(Input_Dados!G$40="","",MIN(100,MAX(0,(Input_Dados!G$40-Parametros!$B$42)/(Parametros!$C$42-Parametros!$B$42)*100)))</f>
        <v>18.066666666666666</v>
      </c>
      <c r="E40" s="33">
        <f>IF(Input_Dados!H$40="","",MIN(100,MAX(0,(Input_Dados!H$40-Parametros!$B$42)/(Parametros!$C$42-Parametros!$B$42)*100)))</f>
        <v>18.600000000000001</v>
      </c>
      <c r="F40" s="33">
        <f>IF(Input_Dados!I$40="","",MIN(100,MAX(0,(Input_Dados!I$40-Parametros!$B$42)/(Parametros!$C$42-Parametros!$B$42)*100)))</f>
        <v>17.266666666666666</v>
      </c>
      <c r="G40" s="33">
        <f>IF(Input_Dados!J$40="","",MIN(100,MAX(0,(Input_Dados!J$40-Parametros!$B$42)/(Parametros!$C$42-Parametros!$B$42)*100)))</f>
        <v>16.533333333333331</v>
      </c>
      <c r="H40" s="33">
        <f>IF(Input_Dados!K$40="","",MIN(100,MAX(0,(Input_Dados!K$40-Parametros!$B$42)/(Parametros!$C$42-Parametros!$B$42)*100)))</f>
        <v>21.8</v>
      </c>
      <c r="I40" s="33">
        <f>IF(Input_Dados!L$40="","",MIN(100,MAX(0,(Input_Dados!L$40-Parametros!$B$42)/(Parametros!$C$42-Parametros!$B$42)*100)))</f>
        <v>20.599999999999998</v>
      </c>
      <c r="J40" s="33">
        <f>IF(Input_Dados!M$40="","",MIN(100,MAX(0,(Input_Dados!M$40-Parametros!$B$42)/(Parametros!$C$42-Parametros!$B$42)*100)))</f>
        <v>19.533333333333331</v>
      </c>
      <c r="K40" s="33" t="str">
        <f>IF(Input_Dados!N$40="","",MIN(100,MAX(0,(Input_Dados!N$40-Parametros!$B$42)/(Parametros!$C$42-Parametros!$B$42)*100)))</f>
        <v/>
      </c>
      <c r="L40" s="33" t="str">
        <f>IF(Input_Dados!O$40="","",MIN(100,MAX(0,(Input_Dados!O$40-Parametros!$B$42)/(Parametros!$C$42-Parametros!$B$42)*100)))</f>
        <v/>
      </c>
      <c r="M40" s="33" t="str">
        <f>IF(Input_Dados!P$40="","",MIN(100,MAX(0,(Input_Dados!P$40-Parametros!$B$42)/(Parametros!$C$42-Parametros!$B$42)*100)))</f>
        <v/>
      </c>
    </row>
    <row r="41" spans="1:13" ht="14.25" customHeight="1" x14ac:dyDescent="0.35">
      <c r="A41" s="30" t="s">
        <v>174</v>
      </c>
      <c r="B41" s="32" t="s">
        <v>74</v>
      </c>
      <c r="C41" s="33" t="str">
        <f>IF(Input_Dados!F$41="","",MIN(100,MAX(0,(Input_Dados!F$41-Parametros!$B$43)/(Parametros!$C$43-Parametros!$B$43)*100)))</f>
        <v/>
      </c>
      <c r="D41" s="33" t="str">
        <f>IF(Input_Dados!G$41="","",MIN(100,MAX(0,(Input_Dados!G$41-Parametros!$B$43)/(Parametros!$C$43-Parametros!$B$43)*100)))</f>
        <v/>
      </c>
      <c r="E41" s="33">
        <f>IF(Input_Dados!H$41="","",MIN(100,MAX(0,(Input_Dados!H$41-Parametros!$B$43)/(Parametros!$C$43-Parametros!$B$43)*100)))</f>
        <v>3.8</v>
      </c>
      <c r="F41" s="33" t="str">
        <f>IF(Input_Dados!I$41="","",MIN(100,MAX(0,(Input_Dados!I$41-Parametros!$B$43)/(Parametros!$C$43-Parametros!$B$43)*100)))</f>
        <v/>
      </c>
      <c r="G41" s="33" t="str">
        <f>IF(Input_Dados!J$41="","",MIN(100,MAX(0,(Input_Dados!J$41-Parametros!$B$43)/(Parametros!$C$43-Parametros!$B$43)*100)))</f>
        <v/>
      </c>
      <c r="H41" s="33" t="str">
        <f>IF(Input_Dados!K$41="","",MIN(100,MAX(0,(Input_Dados!K$41-Parametros!$B$43)/(Parametros!$C$43-Parametros!$B$43)*100)))</f>
        <v/>
      </c>
      <c r="I41" s="33" t="str">
        <f>IF(Input_Dados!L$41="","",MIN(100,MAX(0,(Input_Dados!L$41-Parametros!$B$43)/(Parametros!$C$43-Parametros!$B$43)*100)))</f>
        <v/>
      </c>
      <c r="J41" s="33">
        <f>IF(Input_Dados!M$41="","",MIN(100,MAX(0,(Input_Dados!M$41-Parametros!$B$43)/(Parametros!$C$43-Parametros!$B$43)*100)))</f>
        <v>10.200000000000001</v>
      </c>
      <c r="K41" s="33" t="str">
        <f>IF(Input_Dados!N$41="","",MIN(100,MAX(0,(Input_Dados!N$41-Parametros!$B$43)/(Parametros!$C$43-Parametros!$B$43)*100)))</f>
        <v/>
      </c>
      <c r="L41" s="33" t="str">
        <f>IF(Input_Dados!O$41="","",MIN(100,MAX(0,(Input_Dados!O$41-Parametros!$B$43)/(Parametros!$C$43-Parametros!$B$43)*100)))</f>
        <v/>
      </c>
      <c r="M41" s="33" t="str">
        <f>IF(Input_Dados!P$41="","",MIN(100,MAX(0,(Input_Dados!P$41-Parametros!$B$43)/(Parametros!$C$43-Parametros!$B$43)*100)))</f>
        <v/>
      </c>
    </row>
    <row r="42" spans="1:13" ht="14.25" customHeight="1" x14ac:dyDescent="0.35">
      <c r="A42" s="30" t="s">
        <v>177</v>
      </c>
      <c r="B42" s="32" t="s">
        <v>74</v>
      </c>
      <c r="C42" s="33">
        <f>IF(Input_Dados!F$42="","",MIN(100,MAX(0,(Input_Dados!F$42-Parametros!$B$44)/(Parametros!$C$44-Parametros!$B$44)*100)))</f>
        <v>45</v>
      </c>
      <c r="D42" s="33">
        <f>IF(Input_Dados!G$42="","",MIN(100,MAX(0,(Input_Dados!G$42-Parametros!$B$44)/(Parametros!$C$44-Parametros!$B$44)*100)))</f>
        <v>42</v>
      </c>
      <c r="E42" s="33">
        <f>IF(Input_Dados!H$42="","",MIN(100,MAX(0,(Input_Dados!H$42-Parametros!$B$44)/(Parametros!$C$44-Parametros!$B$44)*100)))</f>
        <v>50</v>
      </c>
      <c r="F42" s="33">
        <f>IF(Input_Dados!I$42="","",MIN(100,MAX(0,(Input_Dados!I$42-Parametros!$B$44)/(Parametros!$C$44-Parametros!$B$44)*100)))</f>
        <v>51</v>
      </c>
      <c r="G42" s="33">
        <f>IF(Input_Dados!J$42="","",MIN(100,MAX(0,(Input_Dados!J$42-Parametros!$B$44)/(Parametros!$C$44-Parametros!$B$44)*100)))</f>
        <v>44</v>
      </c>
      <c r="H42" s="33">
        <f>IF(Input_Dados!K$42="","",MIN(100,MAX(0,(Input_Dados!K$42-Parametros!$B$44)/(Parametros!$C$44-Parametros!$B$44)*100)))</f>
        <v>36</v>
      </c>
      <c r="I42" s="33">
        <f>IF(Input_Dados!L$42="","",MIN(100,MAX(0,(Input_Dados!L$42-Parametros!$B$44)/(Parametros!$C$44-Parametros!$B$44)*100)))</f>
        <v>37</v>
      </c>
      <c r="J42" s="33">
        <f>IF(Input_Dados!M$42="","",MIN(100,MAX(0,(Input_Dados!M$42-Parametros!$B$44)/(Parametros!$C$44-Parametros!$B$44)*100)))</f>
        <v>37</v>
      </c>
      <c r="K42" s="33">
        <f>IF(Input_Dados!N$42="","",MIN(100,MAX(0,(Input_Dados!N$42-Parametros!$B$44)/(Parametros!$C$44-Parametros!$B$44)*100)))</f>
        <v>50</v>
      </c>
      <c r="L42" s="33" t="str">
        <f>IF(Input_Dados!O$42="","",MIN(100,MAX(0,(Input_Dados!O$42-Parametros!$B$44)/(Parametros!$C$44-Parametros!$B$44)*100)))</f>
        <v/>
      </c>
      <c r="M42" s="33" t="str">
        <f>IF(Input_Dados!P$42="","",MIN(100,MAX(0,(Input_Dados!P$42-Parametros!$B$44)/(Parametros!$C$44-Parametros!$B$44)*100)))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BEEF4"/>
  </sheetPr>
  <dimension ref="A1:L20"/>
  <sheetViews>
    <sheetView zoomScaleNormal="100" workbookViewId="0">
      <selection activeCell="B3" sqref="B3"/>
    </sheetView>
  </sheetViews>
  <sheetFormatPr defaultColWidth="8.54296875" defaultRowHeight="14.5" x14ac:dyDescent="0.35"/>
  <cols>
    <col min="1" max="1" width="35" customWidth="1"/>
    <col min="2" max="12" width="12" customWidth="1"/>
  </cols>
  <sheetData>
    <row r="1" spans="1:12" ht="14.25" customHeight="1" x14ac:dyDescent="0.35">
      <c r="A1" s="6" t="s">
        <v>66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</row>
    <row r="2" spans="1:12" ht="14.25" customHeight="1" x14ac:dyDescent="0.35">
      <c r="A2" s="34" t="s">
        <v>14</v>
      </c>
      <c r="B2" s="33">
        <f>IF(SUMPRODUCT((Normalizacao!C$2:C$6&lt;&gt;"")*1)&lt;Parametros!$B$46*5,"",SUMPRODUCT(IFERROR(Normalizacao!C$2:C$6*Parametros!$E$4:$E$8,0))/SUMPRODUCT((Normalizacao!C$2:C$6&lt;&gt;"")*Parametros!$E$4:$E$8))</f>
        <v>0</v>
      </c>
      <c r="C2" s="33">
        <f>IF(SUMPRODUCT((Normalizacao!D$2:D$6&lt;&gt;"")*1)&lt;Parametros!$B$46*5,"",SUMPRODUCT(IFERROR(Normalizacao!D$2:D$6*Parametros!$E$4:$E$8,0))/SUMPRODUCT((Normalizacao!D$2:D$6&lt;&gt;"")*Parametros!$E$4:$E$8))</f>
        <v>0</v>
      </c>
      <c r="D2" s="33">
        <f>IF(SUMPRODUCT((Normalizacao!E$2:E$6&lt;&gt;"")*1)&lt;Parametros!$B$46*5,"",SUMPRODUCT(IFERROR(Normalizacao!E$2:E$6*Parametros!$E$4:$E$8,0))/SUMPRODUCT((Normalizacao!E$2:E$6&lt;&gt;"")*Parametros!$E$4:$E$8))</f>
        <v>0</v>
      </c>
      <c r="E2" s="33">
        <f>IF(SUMPRODUCT((Normalizacao!F$2:F$6&lt;&gt;"")*1)&lt;Parametros!$B$46*5,"",SUMPRODUCT(IFERROR(Normalizacao!F$2:F$6*Parametros!$E$4:$E$8,0))/SUMPRODUCT((Normalizacao!F$2:F$6&lt;&gt;"")*Parametros!$E$4:$E$8))</f>
        <v>0</v>
      </c>
      <c r="F2" s="33">
        <f>IF(SUMPRODUCT((Normalizacao!G$2:G$6&lt;&gt;"")*1)&lt;Parametros!$B$46*5,"",SUMPRODUCT(IFERROR(Normalizacao!G$2:G$6*Parametros!$E$4:$E$8,0))/SUMPRODUCT((Normalizacao!G$2:G$6&lt;&gt;"")*Parametros!$E$4:$E$8))</f>
        <v>0</v>
      </c>
      <c r="G2" s="33">
        <f>IF(SUMPRODUCT((Normalizacao!H$2:H$6&lt;&gt;"")*1)&lt;Parametros!$B$46*5,"",SUMPRODUCT(IFERROR(Normalizacao!H$2:H$6*Parametros!$E$4:$E$8,0))/SUMPRODUCT((Normalizacao!H$2:H$6&lt;&gt;"")*Parametros!$E$4:$E$8))</f>
        <v>0</v>
      </c>
      <c r="H2" s="33">
        <f>IF(SUMPRODUCT((Normalizacao!I$2:I$6&lt;&gt;"")*1)&lt;Parametros!$B$46*5,"",SUMPRODUCT(IFERROR(Normalizacao!I$2:I$6*Parametros!$E$4:$E$8,0))/SUMPRODUCT((Normalizacao!I$2:I$6&lt;&gt;"")*Parametros!$E$4:$E$8))</f>
        <v>0</v>
      </c>
      <c r="I2" s="33">
        <f>IF(SUMPRODUCT((Normalizacao!J$2:J$6&lt;&gt;"")*1)&lt;Parametros!$B$46*5,"",SUMPRODUCT(IFERROR(Normalizacao!J$2:J$6*Parametros!$E$4:$E$8,0))/SUMPRODUCT((Normalizacao!J$2:J$6&lt;&gt;"")*Parametros!$E$4:$E$8))</f>
        <v>0</v>
      </c>
      <c r="J2" s="33">
        <f>IF(SUMPRODUCT((Normalizacao!K$2:K$6&lt;&gt;"")*1)&lt;Parametros!$B$46*5,"",SUMPRODUCT(IFERROR(Normalizacao!K$2:K$6*Parametros!$E$4:$E$8,0))/SUMPRODUCT((Normalizacao!K$2:K$6&lt;&gt;"")*Parametros!$E$4:$E$8))</f>
        <v>0</v>
      </c>
      <c r="K2" s="33">
        <f>IF(SUMPRODUCT((Normalizacao!L$2:L$6&lt;&gt;"")*1)&lt;Parametros!$B$46*5,"",SUMPRODUCT(IFERROR(Normalizacao!L$2:L$6*Parametros!$E$4:$E$8,0))/SUMPRODUCT((Normalizacao!L$2:L$6&lt;&gt;"")*Parametros!$E$4:$E$8))</f>
        <v>0</v>
      </c>
      <c r="L2" s="33" t="str">
        <f>IF(SUMPRODUCT((Normalizacao!M$2:M$6&lt;&gt;"")*1)&lt;Parametros!$B$46*5,"",SUMPRODUCT(IFERROR(Normalizacao!M$2:M$6*Parametros!$E$4:$E$8,0))/SUMPRODUCT((Normalizacao!M$2:M$6&lt;&gt;"")*Parametros!$E$4:$E$8))</f>
        <v/>
      </c>
    </row>
    <row r="3" spans="1:12" ht="14.25" customHeight="1" x14ac:dyDescent="0.35">
      <c r="A3" s="35" t="s">
        <v>15</v>
      </c>
      <c r="B3" s="33">
        <f>IF(SUMPRODUCT((Normalizacao!C$7:C$13&lt;&gt;"")*1)&lt;Parametros!$B$46*7,"",SUMPRODUCT(IFERROR(Normalizacao!C$7:C$13*Parametros!$E$9:$E$15,0))/SUMPRODUCT((Normalizacao!C$7:C$13&lt;&gt;"")*Parametros!$E$9:$E$15))</f>
        <v>0</v>
      </c>
      <c r="C3" s="33">
        <f>IF(SUMPRODUCT((Normalizacao!D$7:D$13&lt;&gt;"")*1)&lt;Parametros!$B$46*7,"",SUMPRODUCT(IFERROR(Normalizacao!D$7:D$13*Parametros!$E$9:$E$15,0))/SUMPRODUCT((Normalizacao!D$7:D$13&lt;&gt;"")*Parametros!$E$9:$E$15))</f>
        <v>0</v>
      </c>
      <c r="D3" s="33">
        <f>IF(SUMPRODUCT((Normalizacao!E$7:E$13&lt;&gt;"")*1)&lt;Parametros!$B$46*7,"",SUMPRODUCT(IFERROR(Normalizacao!E$7:E$13*Parametros!$E$9:$E$15,0))/SUMPRODUCT((Normalizacao!E$7:E$13&lt;&gt;"")*Parametros!$E$9:$E$15))</f>
        <v>0</v>
      </c>
      <c r="E3" s="33">
        <f>IF(SUMPRODUCT((Normalizacao!F$7:F$13&lt;&gt;"")*1)&lt;Parametros!$B$46*7,"",SUMPRODUCT(IFERROR(Normalizacao!F$7:F$13*Parametros!$E$9:$E$15,0))/SUMPRODUCT((Normalizacao!F$7:F$13&lt;&gt;"")*Parametros!$E$9:$E$15))</f>
        <v>0</v>
      </c>
      <c r="F3" s="33">
        <f>IF(SUMPRODUCT((Normalizacao!G$7:G$13&lt;&gt;"")*1)&lt;Parametros!$B$46*7,"",SUMPRODUCT(IFERROR(Normalizacao!G$7:G$13*Parametros!$E$9:$E$15,0))/SUMPRODUCT((Normalizacao!G$7:G$13&lt;&gt;"")*Parametros!$E$9:$E$15))</f>
        <v>0</v>
      </c>
      <c r="G3" s="33">
        <f>IF(SUMPRODUCT((Normalizacao!H$7:H$13&lt;&gt;"")*1)&lt;Parametros!$B$46*7,"",SUMPRODUCT(IFERROR(Normalizacao!H$7:H$13*Parametros!$E$9:$E$15,0))/SUMPRODUCT((Normalizacao!H$7:H$13&lt;&gt;"")*Parametros!$E$9:$E$15))</f>
        <v>0</v>
      </c>
      <c r="H3" s="33">
        <f>IF(SUMPRODUCT((Normalizacao!I$7:I$13&lt;&gt;"")*1)&lt;Parametros!$B$46*7,"",SUMPRODUCT(IFERROR(Normalizacao!I$7:I$13*Parametros!$E$9:$E$15,0))/SUMPRODUCT((Normalizacao!I$7:I$13&lt;&gt;"")*Parametros!$E$9:$E$15))</f>
        <v>0</v>
      </c>
      <c r="I3" s="33">
        <f>IF(SUMPRODUCT((Normalizacao!J$7:J$13&lt;&gt;"")*1)&lt;Parametros!$B$46*7,"",SUMPRODUCT(IFERROR(Normalizacao!J$7:J$13*Parametros!$E$9:$E$15,0))/SUMPRODUCT((Normalizacao!J$7:J$13&lt;&gt;"")*Parametros!$E$9:$E$15))</f>
        <v>0</v>
      </c>
      <c r="J3" s="33">
        <f>IF(SUMPRODUCT((Normalizacao!K$7:K$13&lt;&gt;"")*1)&lt;Parametros!$B$46*7,"",SUMPRODUCT(IFERROR(Normalizacao!K$7:K$13*Parametros!$E$9:$E$15,0))/SUMPRODUCT((Normalizacao!K$7:K$13&lt;&gt;"")*Parametros!$E$9:$E$15))</f>
        <v>0</v>
      </c>
      <c r="K3" s="33">
        <f>IF(SUMPRODUCT((Normalizacao!L$7:L$13&lt;&gt;"")*1)&lt;Parametros!$B$46*7,"",SUMPRODUCT(IFERROR(Normalizacao!L$7:L$13*Parametros!$E$9:$E$15,0))/SUMPRODUCT((Normalizacao!L$7:L$13&lt;&gt;"")*Parametros!$E$9:$E$15))</f>
        <v>0</v>
      </c>
      <c r="L3" s="33">
        <f>IF(SUMPRODUCT((Normalizacao!M$7:M$13&lt;&gt;"")*1)&lt;Parametros!$B$46*7,"",SUMPRODUCT(IFERROR(Normalizacao!M$7:M$13*Parametros!$E$9:$E$15,0))/SUMPRODUCT((Normalizacao!M$7:M$13&lt;&gt;"")*Parametros!$E$9:$E$15))</f>
        <v>0</v>
      </c>
    </row>
    <row r="4" spans="1:12" ht="14.25" customHeight="1" x14ac:dyDescent="0.35">
      <c r="A4" s="34" t="s">
        <v>16</v>
      </c>
      <c r="B4" s="33" t="str">
        <f>IF(SUMPRODUCT((Normalizacao!C$14:C$19&lt;&gt;"")*1)&lt;Parametros!$B$46*6,"",SUMPRODUCT(IFERROR(Normalizacao!C$14:C$19*Parametros!$E$16:$E$21,0))/SUMPRODUCT((Normalizacao!C$14:C$19&lt;&gt;"")*Parametros!$E$16:$E$21))</f>
        <v/>
      </c>
      <c r="C4" s="33" t="str">
        <f>IF(SUMPRODUCT((Normalizacao!D$14:D$19&lt;&gt;"")*1)&lt;Parametros!$B$46*6,"",SUMPRODUCT(IFERROR(Normalizacao!D$14:D$19*Parametros!$E$16:$E$21,0))/SUMPRODUCT((Normalizacao!D$14:D$19&lt;&gt;"")*Parametros!$E$16:$E$21))</f>
        <v/>
      </c>
      <c r="D4" s="33">
        <f>IF(SUMPRODUCT((Normalizacao!E$14:E$19&lt;&gt;"")*1)&lt;Parametros!$B$46*6,"",SUMPRODUCT(IFERROR(Normalizacao!E$14:E$19*Parametros!$E$16:$E$21,0))/SUMPRODUCT((Normalizacao!E$14:E$19&lt;&gt;"")*Parametros!$E$16:$E$21))</f>
        <v>0</v>
      </c>
      <c r="E4" s="33">
        <f>IF(SUMPRODUCT((Normalizacao!F$14:F$19&lt;&gt;"")*1)&lt;Parametros!$B$46*6,"",SUMPRODUCT(IFERROR(Normalizacao!F$14:F$19*Parametros!$E$16:$E$21,0))/SUMPRODUCT((Normalizacao!F$14:F$19&lt;&gt;"")*Parametros!$E$16:$E$21))</f>
        <v>0</v>
      </c>
      <c r="F4" s="33">
        <f>IF(SUMPRODUCT((Normalizacao!G$14:G$19&lt;&gt;"")*1)&lt;Parametros!$B$46*6,"",SUMPRODUCT(IFERROR(Normalizacao!G$14:G$19*Parametros!$E$16:$E$21,0))/SUMPRODUCT((Normalizacao!G$14:G$19&lt;&gt;"")*Parametros!$E$16:$E$21))</f>
        <v>0</v>
      </c>
      <c r="G4" s="33">
        <f>IF(SUMPRODUCT((Normalizacao!H$14:H$19&lt;&gt;"")*1)&lt;Parametros!$B$46*6,"",SUMPRODUCT(IFERROR(Normalizacao!H$14:H$19*Parametros!$E$16:$E$21,0))/SUMPRODUCT((Normalizacao!H$14:H$19&lt;&gt;"")*Parametros!$E$16:$E$21))</f>
        <v>0</v>
      </c>
      <c r="H4" s="33">
        <f>IF(SUMPRODUCT((Normalizacao!I$14:I$19&lt;&gt;"")*1)&lt;Parametros!$B$46*6,"",SUMPRODUCT(IFERROR(Normalizacao!I$14:I$19*Parametros!$E$16:$E$21,0))/SUMPRODUCT((Normalizacao!I$14:I$19&lt;&gt;"")*Parametros!$E$16:$E$21))</f>
        <v>0</v>
      </c>
      <c r="I4" s="33">
        <f>IF(SUMPRODUCT((Normalizacao!J$14:J$19&lt;&gt;"")*1)&lt;Parametros!$B$46*6,"",SUMPRODUCT(IFERROR(Normalizacao!J$14:J$19*Parametros!$E$16:$E$21,0))/SUMPRODUCT((Normalizacao!J$14:J$19&lt;&gt;"")*Parametros!$E$16:$E$21))</f>
        <v>0</v>
      </c>
      <c r="J4" s="33" t="str">
        <f>IF(SUMPRODUCT((Normalizacao!K$14:K$19&lt;&gt;"")*1)&lt;Parametros!$B$46*6,"",SUMPRODUCT(IFERROR(Normalizacao!K$14:K$19*Parametros!$E$16:$E$21,0))/SUMPRODUCT((Normalizacao!K$14:K$19&lt;&gt;"")*Parametros!$E$16:$E$21))</f>
        <v/>
      </c>
      <c r="K4" s="33" t="str">
        <f>IF(SUMPRODUCT((Normalizacao!L$14:L$19&lt;&gt;"")*1)&lt;Parametros!$B$46*6,"",SUMPRODUCT(IFERROR(Normalizacao!L$14:L$19*Parametros!$E$16:$E$21,0))/SUMPRODUCT((Normalizacao!L$14:L$19&lt;&gt;"")*Parametros!$E$16:$E$21))</f>
        <v/>
      </c>
      <c r="L4" s="33" t="str">
        <f>IF(SUMPRODUCT((Normalizacao!M$14:M$19&lt;&gt;"")*1)&lt;Parametros!$B$46*6,"",SUMPRODUCT(IFERROR(Normalizacao!M$14:M$19*Parametros!$E$16:$E$21,0))/SUMPRODUCT((Normalizacao!M$14:M$19&lt;&gt;"")*Parametros!$E$16:$E$21))</f>
        <v/>
      </c>
    </row>
    <row r="5" spans="1:12" ht="14.25" customHeight="1" x14ac:dyDescent="0.35">
      <c r="A5" s="35" t="s">
        <v>17</v>
      </c>
      <c r="B5" s="33" t="str">
        <f>IF(SUMPRODUCT((Normalizacao!C$20:C$24&lt;&gt;"")*1)&lt;Parametros!$B$46*5,"",SUMPRODUCT(IFERROR(Normalizacao!C$20:C$24*Parametros!$E$22:$E$26,0))/SUMPRODUCT((Normalizacao!C$20:C$24&lt;&gt;"")*Parametros!$E$22:$E$26))</f>
        <v/>
      </c>
      <c r="C5" s="33" t="str">
        <f>IF(SUMPRODUCT((Normalizacao!D$20:D$24&lt;&gt;"")*1)&lt;Parametros!$B$46*5,"",SUMPRODUCT(IFERROR(Normalizacao!D$20:D$24*Parametros!$E$22:$E$26,0))/SUMPRODUCT((Normalizacao!D$20:D$24&lt;&gt;"")*Parametros!$E$22:$E$26))</f>
        <v/>
      </c>
      <c r="D5" s="33" t="str">
        <f>IF(SUMPRODUCT((Normalizacao!E$20:E$24&lt;&gt;"")*1)&lt;Parametros!$B$46*5,"",SUMPRODUCT(IFERROR(Normalizacao!E$20:E$24*Parametros!$E$22:$E$26,0))/SUMPRODUCT((Normalizacao!E$20:E$24&lt;&gt;"")*Parametros!$E$22:$E$26))</f>
        <v/>
      </c>
      <c r="E5" s="33">
        <f>IF(SUMPRODUCT((Normalizacao!F$20:F$24&lt;&gt;"")*1)&lt;Parametros!$B$46*5,"",SUMPRODUCT(IFERROR(Normalizacao!F$20:F$24*Parametros!$E$22:$E$26,0))/SUMPRODUCT((Normalizacao!F$20:F$24&lt;&gt;"")*Parametros!$E$22:$E$26))</f>
        <v>0</v>
      </c>
      <c r="F5" s="33" t="str">
        <f>IF(SUMPRODUCT((Normalizacao!G$20:G$24&lt;&gt;"")*1)&lt;Parametros!$B$46*5,"",SUMPRODUCT(IFERROR(Normalizacao!G$20:G$24*Parametros!$E$22:$E$26,0))/SUMPRODUCT((Normalizacao!G$20:G$24&lt;&gt;"")*Parametros!$E$22:$E$26))</f>
        <v/>
      </c>
      <c r="G5" s="33" t="str">
        <f>IF(SUMPRODUCT((Normalizacao!H$20:H$24&lt;&gt;"")*1)&lt;Parametros!$B$46*5,"",SUMPRODUCT(IFERROR(Normalizacao!H$20:H$24*Parametros!$E$22:$E$26,0))/SUMPRODUCT((Normalizacao!H$20:H$24&lt;&gt;"")*Parametros!$E$22:$E$26))</f>
        <v/>
      </c>
      <c r="H5" s="33" t="str">
        <f>IF(SUMPRODUCT((Normalizacao!I$20:I$24&lt;&gt;"")*1)&lt;Parametros!$B$46*5,"",SUMPRODUCT(IFERROR(Normalizacao!I$20:I$24*Parametros!$E$22:$E$26,0))/SUMPRODUCT((Normalizacao!I$20:I$24&lt;&gt;"")*Parametros!$E$22:$E$26))</f>
        <v/>
      </c>
      <c r="I5" s="33" t="str">
        <f>IF(SUMPRODUCT((Normalizacao!J$20:J$24&lt;&gt;"")*1)&lt;Parametros!$B$46*5,"",SUMPRODUCT(IFERROR(Normalizacao!J$20:J$24*Parametros!$E$22:$E$26,0))/SUMPRODUCT((Normalizacao!J$20:J$24&lt;&gt;"")*Parametros!$E$22:$E$26))</f>
        <v/>
      </c>
      <c r="J5" s="33" t="str">
        <f>IF(SUMPRODUCT((Normalizacao!K$20:K$24&lt;&gt;"")*1)&lt;Parametros!$B$46*5,"",SUMPRODUCT(IFERROR(Normalizacao!K$20:K$24*Parametros!$E$22:$E$26,0))/SUMPRODUCT((Normalizacao!K$20:K$24&lt;&gt;"")*Parametros!$E$22:$E$26))</f>
        <v/>
      </c>
      <c r="K5" s="33" t="str">
        <f>IF(SUMPRODUCT((Normalizacao!L$20:L$24&lt;&gt;"")*1)&lt;Parametros!$B$46*5,"",SUMPRODUCT(IFERROR(Normalizacao!L$20:L$24*Parametros!$E$22:$E$26,0))/SUMPRODUCT((Normalizacao!L$20:L$24&lt;&gt;"")*Parametros!$E$22:$E$26))</f>
        <v/>
      </c>
      <c r="L5" s="33" t="str">
        <f>IF(SUMPRODUCT((Normalizacao!M$20:M$24&lt;&gt;"")*1)&lt;Parametros!$B$46*5,"",SUMPRODUCT(IFERROR(Normalizacao!M$20:M$24*Parametros!$E$22:$E$26,0))/SUMPRODUCT((Normalizacao!M$20:M$24&lt;&gt;"")*Parametros!$E$22:$E$26))</f>
        <v/>
      </c>
    </row>
    <row r="6" spans="1:12" ht="14.25" customHeight="1" x14ac:dyDescent="0.35">
      <c r="A6" s="34" t="s">
        <v>18</v>
      </c>
      <c r="B6" s="33">
        <f>IF(SUMPRODUCT((Normalizacao!C$25:C$30&lt;&gt;"")*1)&lt;Parametros!$B$46*6,"",SUMPRODUCT(IFERROR(Normalizacao!C$25:C$30*Parametros!$E$27:$E$32,0))/SUMPRODUCT((Normalizacao!C$25:C$30&lt;&gt;"")*Parametros!$E$27:$E$32))</f>
        <v>0</v>
      </c>
      <c r="C6" s="33">
        <f>IF(SUMPRODUCT((Normalizacao!D$25:D$30&lt;&gt;"")*1)&lt;Parametros!$B$46*6,"",SUMPRODUCT(IFERROR(Normalizacao!D$25:D$30*Parametros!$E$27:$E$32,0))/SUMPRODUCT((Normalizacao!D$25:D$30&lt;&gt;"")*Parametros!$E$27:$E$32))</f>
        <v>0</v>
      </c>
      <c r="D6" s="33">
        <f>IF(SUMPRODUCT((Normalizacao!E$25:E$30&lt;&gt;"")*1)&lt;Parametros!$B$46*6,"",SUMPRODUCT(IFERROR(Normalizacao!E$25:E$30*Parametros!$E$27:$E$32,0))/SUMPRODUCT((Normalizacao!E$25:E$30&lt;&gt;"")*Parametros!$E$27:$E$32))</f>
        <v>0</v>
      </c>
      <c r="E6" s="33">
        <f>IF(SUMPRODUCT((Normalizacao!F$25:F$30&lt;&gt;"")*1)&lt;Parametros!$B$46*6,"",SUMPRODUCT(IFERROR(Normalizacao!F$25:F$30*Parametros!$E$27:$E$32,0))/SUMPRODUCT((Normalizacao!F$25:F$30&lt;&gt;"")*Parametros!$E$27:$E$32))</f>
        <v>0</v>
      </c>
      <c r="F6" s="33">
        <f>IF(SUMPRODUCT((Normalizacao!G$25:G$30&lt;&gt;"")*1)&lt;Parametros!$B$46*6,"",SUMPRODUCT(IFERROR(Normalizacao!G$25:G$30*Parametros!$E$27:$E$32,0))/SUMPRODUCT((Normalizacao!G$25:G$30&lt;&gt;"")*Parametros!$E$27:$E$32))</f>
        <v>0</v>
      </c>
      <c r="G6" s="33">
        <f>IF(SUMPRODUCT((Normalizacao!H$25:H$30&lt;&gt;"")*1)&lt;Parametros!$B$46*6,"",SUMPRODUCT(IFERROR(Normalizacao!H$25:H$30*Parametros!$E$27:$E$32,0))/SUMPRODUCT((Normalizacao!H$25:H$30&lt;&gt;"")*Parametros!$E$27:$E$32))</f>
        <v>0</v>
      </c>
      <c r="H6" s="33">
        <f>IF(SUMPRODUCT((Normalizacao!I$25:I$30&lt;&gt;"")*1)&lt;Parametros!$B$46*6,"",SUMPRODUCT(IFERROR(Normalizacao!I$25:I$30*Parametros!$E$27:$E$32,0))/SUMPRODUCT((Normalizacao!I$25:I$30&lt;&gt;"")*Parametros!$E$27:$E$32))</f>
        <v>0</v>
      </c>
      <c r="I6" s="33">
        <f>IF(SUMPRODUCT((Normalizacao!J$25:J$30&lt;&gt;"")*1)&lt;Parametros!$B$46*6,"",SUMPRODUCT(IFERROR(Normalizacao!J$25:J$30*Parametros!$E$27:$E$32,0))/SUMPRODUCT((Normalizacao!J$25:J$30&lt;&gt;"")*Parametros!$E$27:$E$32))</f>
        <v>0</v>
      </c>
      <c r="J6" s="33">
        <f>IF(SUMPRODUCT((Normalizacao!K$25:K$30&lt;&gt;"")*1)&lt;Parametros!$B$46*6,"",SUMPRODUCT(IFERROR(Normalizacao!K$25:K$30*Parametros!$E$27:$E$32,0))/SUMPRODUCT((Normalizacao!K$25:K$30&lt;&gt;"")*Parametros!$E$27:$E$32))</f>
        <v>0</v>
      </c>
      <c r="K6" s="33" t="str">
        <f>IF(SUMPRODUCT((Normalizacao!L$25:L$30&lt;&gt;"")*1)&lt;Parametros!$B$46*6,"",SUMPRODUCT(IFERROR(Normalizacao!L$25:L$30*Parametros!$E$27:$E$32,0))/SUMPRODUCT((Normalizacao!L$25:L$30&lt;&gt;"")*Parametros!$E$27:$E$32))</f>
        <v/>
      </c>
      <c r="L6" s="33" t="str">
        <f>IF(SUMPRODUCT((Normalizacao!M$25:M$30&lt;&gt;"")*1)&lt;Parametros!$B$46*6,"",SUMPRODUCT(IFERROR(Normalizacao!M$25:M$30*Parametros!$E$27:$E$32,0))/SUMPRODUCT((Normalizacao!M$25:M$30&lt;&gt;"")*Parametros!$E$27:$E$32))</f>
        <v/>
      </c>
    </row>
    <row r="7" spans="1:12" ht="14.25" customHeight="1" x14ac:dyDescent="0.35">
      <c r="A7" s="35" t="s">
        <v>19</v>
      </c>
      <c r="B7" s="33" t="str">
        <f>IF(SUMPRODUCT((Normalizacao!C$31:C$36&lt;&gt;"")*1)&lt;Parametros!$B$46*6,"",SUMPRODUCT(IFERROR(Normalizacao!C$31:C$36*Parametros!$E$33:$E$38,0))/SUMPRODUCT((Normalizacao!C$31:C$36&lt;&gt;"")*Parametros!$E$33:$E$38))</f>
        <v/>
      </c>
      <c r="C7" s="33" t="str">
        <f>IF(SUMPRODUCT((Normalizacao!D$31:D$36&lt;&gt;"")*1)&lt;Parametros!$B$46*6,"",SUMPRODUCT(IFERROR(Normalizacao!D$31:D$36*Parametros!$E$33:$E$38,0))/SUMPRODUCT((Normalizacao!D$31:D$36&lt;&gt;"")*Parametros!$E$33:$E$38))</f>
        <v/>
      </c>
      <c r="D7" s="33" t="str">
        <f>IF(SUMPRODUCT((Normalizacao!E$31:E$36&lt;&gt;"")*1)&lt;Parametros!$B$46*6,"",SUMPRODUCT(IFERROR(Normalizacao!E$31:E$36*Parametros!$E$33:$E$38,0))/SUMPRODUCT((Normalizacao!E$31:E$36&lt;&gt;"")*Parametros!$E$33:$E$38))</f>
        <v/>
      </c>
      <c r="E7" s="33" t="str">
        <f>IF(SUMPRODUCT((Normalizacao!F$31:F$36&lt;&gt;"")*1)&lt;Parametros!$B$46*6,"",SUMPRODUCT(IFERROR(Normalizacao!F$31:F$36*Parametros!$E$33:$E$38,0))/SUMPRODUCT((Normalizacao!F$31:F$36&lt;&gt;"")*Parametros!$E$33:$E$38))</f>
        <v/>
      </c>
      <c r="F7" s="33">
        <f>IF(SUMPRODUCT((Normalizacao!G$31:G$36&lt;&gt;"")*1)&lt;Parametros!$B$46*6,"",SUMPRODUCT(IFERROR(Normalizacao!G$31:G$36*Parametros!$E$33:$E$38,0))/SUMPRODUCT((Normalizacao!G$31:G$36&lt;&gt;"")*Parametros!$E$33:$E$38))</f>
        <v>0</v>
      </c>
      <c r="G7" s="33">
        <f>IF(SUMPRODUCT((Normalizacao!H$31:H$36&lt;&gt;"")*1)&lt;Parametros!$B$46*6,"",SUMPRODUCT(IFERROR(Normalizacao!H$31:H$36*Parametros!$E$33:$E$38,0))/SUMPRODUCT((Normalizacao!H$31:H$36&lt;&gt;"")*Parametros!$E$33:$E$38))</f>
        <v>0</v>
      </c>
      <c r="H7" s="33">
        <f>IF(SUMPRODUCT((Normalizacao!I$31:I$36&lt;&gt;"")*1)&lt;Parametros!$B$46*6,"",SUMPRODUCT(IFERROR(Normalizacao!I$31:I$36*Parametros!$E$33:$E$38,0))/SUMPRODUCT((Normalizacao!I$31:I$36&lt;&gt;"")*Parametros!$E$33:$E$38))</f>
        <v>0</v>
      </c>
      <c r="I7" s="33">
        <f>IF(SUMPRODUCT((Normalizacao!J$31:J$36&lt;&gt;"")*1)&lt;Parametros!$B$46*6,"",SUMPRODUCT(IFERROR(Normalizacao!J$31:J$36*Parametros!$E$33:$E$38,0))/SUMPRODUCT((Normalizacao!J$31:J$36&lt;&gt;"")*Parametros!$E$33:$E$38))</f>
        <v>0</v>
      </c>
      <c r="J7" s="33">
        <f>IF(SUMPRODUCT((Normalizacao!K$31:K$36&lt;&gt;"")*1)&lt;Parametros!$B$46*6,"",SUMPRODUCT(IFERROR(Normalizacao!K$31:K$36*Parametros!$E$33:$E$38,0))/SUMPRODUCT((Normalizacao!K$31:K$36&lt;&gt;"")*Parametros!$E$33:$E$38))</f>
        <v>0</v>
      </c>
      <c r="K7" s="33">
        <f>IF(SUMPRODUCT((Normalizacao!L$31:L$36&lt;&gt;"")*1)&lt;Parametros!$B$46*6,"",SUMPRODUCT(IFERROR(Normalizacao!L$31:L$36*Parametros!$E$33:$E$38,0))/SUMPRODUCT((Normalizacao!L$31:L$36&lt;&gt;"")*Parametros!$E$33:$E$38))</f>
        <v>0</v>
      </c>
      <c r="L7" s="33">
        <f>IF(SUMPRODUCT((Normalizacao!M$31:M$36&lt;&gt;"")*1)&lt;Parametros!$B$46*6,"",SUMPRODUCT(IFERROR(Normalizacao!M$31:M$36*Parametros!$E$33:$E$38,0))/SUMPRODUCT((Normalizacao!M$31:M$36&lt;&gt;"")*Parametros!$E$33:$E$38))</f>
        <v>0</v>
      </c>
    </row>
    <row r="8" spans="1:12" ht="14.25" customHeight="1" x14ac:dyDescent="0.35">
      <c r="A8" s="34" t="s">
        <v>20</v>
      </c>
      <c r="B8" s="33">
        <f>IF(SUMPRODUCT((Normalizacao!C$37:C$42&lt;&gt;"")*1)&lt;Parametros!$B$46*6,"",SUMPRODUCT(IFERROR(Normalizacao!C$37:C$42*Parametros!$E$39:$E$44,0))/SUMPRODUCT((Normalizacao!C$37:C$42&lt;&gt;"")*Parametros!$E$39:$E$44))</f>
        <v>0</v>
      </c>
      <c r="C8" s="33">
        <f>IF(SUMPRODUCT((Normalizacao!D$37:D$42&lt;&gt;"")*1)&lt;Parametros!$B$46*6,"",SUMPRODUCT(IFERROR(Normalizacao!D$37:D$42*Parametros!$E$39:$E$44,0))/SUMPRODUCT((Normalizacao!D$37:D$42&lt;&gt;"")*Parametros!$E$39:$E$44))</f>
        <v>0</v>
      </c>
      <c r="D8" s="33">
        <f>IF(SUMPRODUCT((Normalizacao!E$37:E$42&lt;&gt;"")*1)&lt;Parametros!$B$46*6,"",SUMPRODUCT(IFERROR(Normalizacao!E$37:E$42*Parametros!$E$39:$E$44,0))/SUMPRODUCT((Normalizacao!E$37:E$42&lt;&gt;"")*Parametros!$E$39:$E$44))</f>
        <v>0</v>
      </c>
      <c r="E8" s="33">
        <f>IF(SUMPRODUCT((Normalizacao!F$37:F$42&lt;&gt;"")*1)&lt;Parametros!$B$46*6,"",SUMPRODUCT(IFERROR(Normalizacao!F$37:F$42*Parametros!$E$39:$E$44,0))/SUMPRODUCT((Normalizacao!F$37:F$42&lt;&gt;"")*Parametros!$E$39:$E$44))</f>
        <v>0</v>
      </c>
      <c r="F8" s="33">
        <f>IF(SUMPRODUCT((Normalizacao!G$37:G$42&lt;&gt;"")*1)&lt;Parametros!$B$46*6,"",SUMPRODUCT(IFERROR(Normalizacao!G$37:G$42*Parametros!$E$39:$E$44,0))/SUMPRODUCT((Normalizacao!G$37:G$42&lt;&gt;"")*Parametros!$E$39:$E$44))</f>
        <v>0</v>
      </c>
      <c r="G8" s="33">
        <f>IF(SUMPRODUCT((Normalizacao!H$37:H$42&lt;&gt;"")*1)&lt;Parametros!$B$46*6,"",SUMPRODUCT(IFERROR(Normalizacao!H$37:H$42*Parametros!$E$39:$E$44,0))/SUMPRODUCT((Normalizacao!H$37:H$42&lt;&gt;"")*Parametros!$E$39:$E$44))</f>
        <v>0</v>
      </c>
      <c r="H8" s="33">
        <f>IF(SUMPRODUCT((Normalizacao!I$37:I$42&lt;&gt;"")*1)&lt;Parametros!$B$46*6,"",SUMPRODUCT(IFERROR(Normalizacao!I$37:I$42*Parametros!$E$39:$E$44,0))/SUMPRODUCT((Normalizacao!I$37:I$42&lt;&gt;"")*Parametros!$E$39:$E$44))</f>
        <v>0</v>
      </c>
      <c r="I8" s="33">
        <f>IF(SUMPRODUCT((Normalizacao!J$37:J$42&lt;&gt;"")*1)&lt;Parametros!$B$46*6,"",SUMPRODUCT(IFERROR(Normalizacao!J$37:J$42*Parametros!$E$39:$E$44,0))/SUMPRODUCT((Normalizacao!J$37:J$42&lt;&gt;"")*Parametros!$E$39:$E$44))</f>
        <v>0</v>
      </c>
      <c r="J8" s="33">
        <f>IF(SUMPRODUCT((Normalizacao!K$37:K$42&lt;&gt;"")*1)&lt;Parametros!$B$46*6,"",SUMPRODUCT(IFERROR(Normalizacao!K$37:K$42*Parametros!$E$39:$E$44,0))/SUMPRODUCT((Normalizacao!K$37:K$42&lt;&gt;"")*Parametros!$E$39:$E$44))</f>
        <v>0</v>
      </c>
      <c r="K8" s="33" t="str">
        <f>IF(SUMPRODUCT((Normalizacao!L$37:L$42&lt;&gt;"")*1)&lt;Parametros!$B$46*6,"",SUMPRODUCT(IFERROR(Normalizacao!L$37:L$42*Parametros!$E$39:$E$44,0))/SUMPRODUCT((Normalizacao!L$37:L$42&lt;&gt;"")*Parametros!$E$39:$E$44))</f>
        <v/>
      </c>
      <c r="L8" s="33" t="str">
        <f>IF(SUMPRODUCT((Normalizacao!M$37:M$42&lt;&gt;"")*1)&lt;Parametros!$B$46*6,"",SUMPRODUCT(IFERROR(Normalizacao!M$37:M$42*Parametros!$E$39:$E$44,0))/SUMPRODUCT((Normalizacao!M$37:M$42&lt;&gt;"")*Parametros!$E$39:$E$44))</f>
        <v/>
      </c>
    </row>
    <row r="10" spans="1:12" ht="14.25" customHeight="1" x14ac:dyDescent="0.35">
      <c r="A10" s="5" t="s">
        <v>191</v>
      </c>
    </row>
    <row r="11" spans="1:12" ht="14.25" customHeight="1" x14ac:dyDescent="0.35">
      <c r="A11" s="5" t="s">
        <v>66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  <c r="J11" s="5" t="s">
        <v>11</v>
      </c>
      <c r="K11" s="5" t="s">
        <v>12</v>
      </c>
      <c r="L11" s="5" t="s">
        <v>13</v>
      </c>
    </row>
    <row r="12" spans="1:12" ht="14.25" customHeight="1" x14ac:dyDescent="0.35">
      <c r="A12" t="s">
        <v>14</v>
      </c>
      <c r="B12" t="str">
        <f>SUMPRODUCT((Normalizacao!C$2:C$6&lt;&gt;"")*1)&amp;"/5"</f>
        <v>5/5</v>
      </c>
      <c r="C12" t="str">
        <f>SUMPRODUCT((Normalizacao!D$2:D$6&lt;&gt;"")*1)&amp;"/5"</f>
        <v>5/5</v>
      </c>
      <c r="D12" t="str">
        <f>SUMPRODUCT((Normalizacao!E$2:E$6&lt;&gt;"")*1)&amp;"/5"</f>
        <v>5/5</v>
      </c>
      <c r="E12" t="str">
        <f>SUMPRODUCT((Normalizacao!F$2:F$6&lt;&gt;"")*1)&amp;"/5"</f>
        <v>5/5</v>
      </c>
      <c r="F12" t="str">
        <f>SUMPRODUCT((Normalizacao!G$2:G$6&lt;&gt;"")*1)&amp;"/5"</f>
        <v>5/5</v>
      </c>
      <c r="G12" t="str">
        <f>SUMPRODUCT((Normalizacao!H$2:H$6&lt;&gt;"")*1)&amp;"/5"</f>
        <v>5/5</v>
      </c>
      <c r="H12" t="str">
        <f>SUMPRODUCT((Normalizacao!I$2:I$6&lt;&gt;"")*1)&amp;"/5"</f>
        <v>4/5</v>
      </c>
      <c r="I12" t="str">
        <f>SUMPRODUCT((Normalizacao!J$2:J$6&lt;&gt;"")*1)&amp;"/5"</f>
        <v>4/5</v>
      </c>
      <c r="J12" t="str">
        <f>SUMPRODUCT((Normalizacao!K$2:K$6&lt;&gt;"")*1)&amp;"/5"</f>
        <v>4/5</v>
      </c>
      <c r="K12" t="str">
        <f>SUMPRODUCT((Normalizacao!L$2:L$6&lt;&gt;"")*1)&amp;"/5"</f>
        <v>4/5</v>
      </c>
      <c r="L12" t="str">
        <f>SUMPRODUCT((Normalizacao!M$2:M$6&lt;&gt;"")*1)&amp;"/5"</f>
        <v>0/5</v>
      </c>
    </row>
    <row r="13" spans="1:12" ht="14.25" customHeight="1" x14ac:dyDescent="0.35">
      <c r="A13" t="s">
        <v>15</v>
      </c>
      <c r="B13" t="str">
        <f>SUMPRODUCT((Normalizacao!C$7:C$13&lt;&gt;"")*1)&amp;"/7"</f>
        <v>6/7</v>
      </c>
      <c r="C13" t="str">
        <f>SUMPRODUCT((Normalizacao!D$7:D$13&lt;&gt;"")*1)&amp;"/7"</f>
        <v>6/7</v>
      </c>
      <c r="D13" t="str">
        <f>SUMPRODUCT((Normalizacao!E$7:E$13&lt;&gt;"")*1)&amp;"/7"</f>
        <v>6/7</v>
      </c>
      <c r="E13" t="str">
        <f>SUMPRODUCT((Normalizacao!F$7:F$13&lt;&gt;"")*1)&amp;"/7"</f>
        <v>6/7</v>
      </c>
      <c r="F13" t="str">
        <f>SUMPRODUCT((Normalizacao!G$7:G$13&lt;&gt;"")*1)&amp;"/7"</f>
        <v>6/7</v>
      </c>
      <c r="G13" t="str">
        <f>SUMPRODUCT((Normalizacao!H$7:H$13&lt;&gt;"")*1)&amp;"/7"</f>
        <v>6/7</v>
      </c>
      <c r="H13" t="str">
        <f>SUMPRODUCT((Normalizacao!I$7:I$13&lt;&gt;"")*1)&amp;"/7"</f>
        <v>6/7</v>
      </c>
      <c r="I13" t="str">
        <f>SUMPRODUCT((Normalizacao!J$7:J$13&lt;&gt;"")*1)&amp;"/7"</f>
        <v>6/7</v>
      </c>
      <c r="J13" t="str">
        <f>SUMPRODUCT((Normalizacao!K$7:K$13&lt;&gt;"")*1)&amp;"/7"</f>
        <v>6/7</v>
      </c>
      <c r="K13" t="str">
        <f>SUMPRODUCT((Normalizacao!L$7:L$13&lt;&gt;"")*1)&amp;"/7"</f>
        <v>6/7</v>
      </c>
      <c r="L13" t="str">
        <f>SUMPRODUCT((Normalizacao!M$7:M$13&lt;&gt;"")*1)&amp;"/7"</f>
        <v>4/7</v>
      </c>
    </row>
    <row r="14" spans="1:12" ht="14.25" customHeight="1" x14ac:dyDescent="0.35">
      <c r="A14" t="s">
        <v>16</v>
      </c>
      <c r="B14" t="str">
        <f>SUMPRODUCT((Normalizacao!C$14:C$19&lt;&gt;"")*1)&amp;"/6"</f>
        <v>2/6</v>
      </c>
      <c r="C14" t="str">
        <f>SUMPRODUCT((Normalizacao!D$14:D$19&lt;&gt;"")*1)&amp;"/6"</f>
        <v>2/6</v>
      </c>
      <c r="D14" t="str">
        <f>SUMPRODUCT((Normalizacao!E$14:E$19&lt;&gt;"")*1)&amp;"/6"</f>
        <v>3/6</v>
      </c>
      <c r="E14" t="str">
        <f>SUMPRODUCT((Normalizacao!F$14:F$19&lt;&gt;"")*1)&amp;"/6"</f>
        <v>3/6</v>
      </c>
      <c r="F14" t="str">
        <f>SUMPRODUCT((Normalizacao!G$14:G$19&lt;&gt;"")*1)&amp;"/6"</f>
        <v>3/6</v>
      </c>
      <c r="G14" t="str">
        <f>SUMPRODUCT((Normalizacao!H$14:H$19&lt;&gt;"")*1)&amp;"/6"</f>
        <v>3/6</v>
      </c>
      <c r="H14" t="str">
        <f>SUMPRODUCT((Normalizacao!I$14:I$19&lt;&gt;"")*1)&amp;"/6"</f>
        <v>3/6</v>
      </c>
      <c r="I14" t="str">
        <f>SUMPRODUCT((Normalizacao!J$14:J$19&lt;&gt;"")*1)&amp;"/6"</f>
        <v>3/6</v>
      </c>
      <c r="J14" t="str">
        <f>SUMPRODUCT((Normalizacao!K$14:K$19&lt;&gt;"")*1)&amp;"/6"</f>
        <v>2/6</v>
      </c>
      <c r="K14" t="str">
        <f>SUMPRODUCT((Normalizacao!L$14:L$19&lt;&gt;"")*1)&amp;"/6"</f>
        <v>1/6</v>
      </c>
      <c r="L14" t="str">
        <f>SUMPRODUCT((Normalizacao!M$14:M$19&lt;&gt;"")*1)&amp;"/6"</f>
        <v>1/6</v>
      </c>
    </row>
    <row r="15" spans="1:12" ht="14.25" customHeight="1" x14ac:dyDescent="0.35">
      <c r="A15" t="s">
        <v>17</v>
      </c>
      <c r="B15" t="str">
        <f>SUMPRODUCT((Normalizacao!C$20:C$24&lt;&gt;"")*1)&amp;"/5"</f>
        <v>2/5</v>
      </c>
      <c r="C15" t="str">
        <f>SUMPRODUCT((Normalizacao!D$20:D$24&lt;&gt;"")*1)&amp;"/5"</f>
        <v>2/5</v>
      </c>
      <c r="D15" t="str">
        <f>SUMPRODUCT((Normalizacao!E$20:E$24&lt;&gt;"")*1)&amp;"/5"</f>
        <v>2/5</v>
      </c>
      <c r="E15" t="str">
        <f>SUMPRODUCT((Normalizacao!F$20:F$24&lt;&gt;"")*1)&amp;"/5"</f>
        <v>4/5</v>
      </c>
      <c r="F15" t="str">
        <f>SUMPRODUCT((Normalizacao!G$20:G$24&lt;&gt;"")*1)&amp;"/5"</f>
        <v>1/5</v>
      </c>
      <c r="G15" t="str">
        <f>SUMPRODUCT((Normalizacao!H$20:H$24&lt;&gt;"")*1)&amp;"/5"</f>
        <v>2/5</v>
      </c>
      <c r="H15" t="str">
        <f>SUMPRODUCT((Normalizacao!I$20:I$24&lt;&gt;"")*1)&amp;"/5"</f>
        <v>2/5</v>
      </c>
      <c r="I15" t="str">
        <f>SUMPRODUCT((Normalizacao!J$20:J$24&lt;&gt;"")*1)&amp;"/5"</f>
        <v>2/5</v>
      </c>
      <c r="J15" t="str">
        <f>SUMPRODUCT((Normalizacao!K$20:K$24&lt;&gt;"")*1)&amp;"/5"</f>
        <v>2/5</v>
      </c>
      <c r="K15" t="str">
        <f>SUMPRODUCT((Normalizacao!L$20:L$24&lt;&gt;"")*1)&amp;"/5"</f>
        <v>2/5</v>
      </c>
      <c r="L15" t="str">
        <f>SUMPRODUCT((Normalizacao!M$20:M$24&lt;&gt;"")*1)&amp;"/5"</f>
        <v>2/5</v>
      </c>
    </row>
    <row r="16" spans="1:12" ht="14.25" customHeight="1" x14ac:dyDescent="0.35">
      <c r="A16" t="s">
        <v>18</v>
      </c>
      <c r="B16" t="str">
        <f>SUMPRODUCT((Normalizacao!C$25:C$30&lt;&gt;"")*1)&amp;"/6"</f>
        <v>5/6</v>
      </c>
      <c r="C16" t="str">
        <f>SUMPRODUCT((Normalizacao!D$25:D$30&lt;&gt;"")*1)&amp;"/6"</f>
        <v>5/6</v>
      </c>
      <c r="D16" t="str">
        <f>SUMPRODUCT((Normalizacao!E$25:E$30&lt;&gt;"")*1)&amp;"/6"</f>
        <v>5/6</v>
      </c>
      <c r="E16" t="str">
        <f>SUMPRODUCT((Normalizacao!F$25:F$30&lt;&gt;"")*1)&amp;"/6"</f>
        <v>5/6</v>
      </c>
      <c r="F16" t="str">
        <f>SUMPRODUCT((Normalizacao!G$25:G$30&lt;&gt;"")*1)&amp;"/6"</f>
        <v>5/6</v>
      </c>
      <c r="G16" t="str">
        <f>SUMPRODUCT((Normalizacao!H$25:H$30&lt;&gt;"")*1)&amp;"/6"</f>
        <v>5/6</v>
      </c>
      <c r="H16" t="str">
        <f>SUMPRODUCT((Normalizacao!I$25:I$30&lt;&gt;"")*1)&amp;"/6"</f>
        <v>5/6</v>
      </c>
      <c r="I16" t="str">
        <f>SUMPRODUCT((Normalizacao!J$25:J$30&lt;&gt;"")*1)&amp;"/6"</f>
        <v>5/6</v>
      </c>
      <c r="J16" t="str">
        <f>SUMPRODUCT((Normalizacao!K$25:K$30&lt;&gt;"")*1)&amp;"/6"</f>
        <v>3/6</v>
      </c>
      <c r="K16" t="str">
        <f>SUMPRODUCT((Normalizacao!L$25:L$30&lt;&gt;"")*1)&amp;"/6"</f>
        <v>1/6</v>
      </c>
      <c r="L16" t="str">
        <f>SUMPRODUCT((Normalizacao!M$25:M$30&lt;&gt;"")*1)&amp;"/6"</f>
        <v>0/6</v>
      </c>
    </row>
    <row r="17" spans="1:12" ht="14.25" customHeight="1" x14ac:dyDescent="0.35">
      <c r="A17" t="s">
        <v>19</v>
      </c>
      <c r="B17" t="str">
        <f>SUMPRODUCT((Normalizacao!C$31:C$36&lt;&gt;"")*1)&amp;"/6"</f>
        <v>0/6</v>
      </c>
      <c r="C17" t="str">
        <f>SUMPRODUCT((Normalizacao!D$31:D$36&lt;&gt;"")*1)&amp;"/6"</f>
        <v>0/6</v>
      </c>
      <c r="D17" t="str">
        <f>SUMPRODUCT((Normalizacao!E$31:E$36&lt;&gt;"")*1)&amp;"/6"</f>
        <v>0/6</v>
      </c>
      <c r="E17" t="str">
        <f>SUMPRODUCT((Normalizacao!F$31:F$36&lt;&gt;"")*1)&amp;"/6"</f>
        <v>0/6</v>
      </c>
      <c r="F17" t="str">
        <f>SUMPRODUCT((Normalizacao!G$31:G$36&lt;&gt;"")*1)&amp;"/6"</f>
        <v>4/6</v>
      </c>
      <c r="G17" t="str">
        <f>SUMPRODUCT((Normalizacao!H$31:H$36&lt;&gt;"")*1)&amp;"/6"</f>
        <v>4/6</v>
      </c>
      <c r="H17" t="str">
        <f>SUMPRODUCT((Normalizacao!I$31:I$36&lt;&gt;"")*1)&amp;"/6"</f>
        <v>4/6</v>
      </c>
      <c r="I17" t="str">
        <f>SUMPRODUCT((Normalizacao!J$31:J$36&lt;&gt;"")*1)&amp;"/6"</f>
        <v>4/6</v>
      </c>
      <c r="J17" t="str">
        <f>SUMPRODUCT((Normalizacao!K$31:K$36&lt;&gt;"")*1)&amp;"/6"</f>
        <v>4/6</v>
      </c>
      <c r="K17" t="str">
        <f>SUMPRODUCT((Normalizacao!L$31:L$36&lt;&gt;"")*1)&amp;"/6"</f>
        <v>4/6</v>
      </c>
      <c r="L17" t="str">
        <f>SUMPRODUCT((Normalizacao!M$31:M$36&lt;&gt;"")*1)&amp;"/6"</f>
        <v>4/6</v>
      </c>
    </row>
    <row r="18" spans="1:12" ht="14.25" customHeight="1" x14ac:dyDescent="0.35">
      <c r="A18" t="s">
        <v>20</v>
      </c>
      <c r="B18" t="str">
        <f>SUMPRODUCT((Normalizacao!C$37:C$42&lt;&gt;"")*1)&amp;"/6"</f>
        <v>4/6</v>
      </c>
      <c r="C18" t="str">
        <f>SUMPRODUCT((Normalizacao!D$37:D$42&lt;&gt;"")*1)&amp;"/6"</f>
        <v>4/6</v>
      </c>
      <c r="D18" t="str">
        <f>SUMPRODUCT((Normalizacao!E$37:E$42&lt;&gt;"")*1)&amp;"/6"</f>
        <v>5/6</v>
      </c>
      <c r="E18" t="str">
        <f>SUMPRODUCT((Normalizacao!F$37:F$42&lt;&gt;"")*1)&amp;"/6"</f>
        <v>4/6</v>
      </c>
      <c r="F18" t="str">
        <f>SUMPRODUCT((Normalizacao!G$37:G$42&lt;&gt;"")*1)&amp;"/6"</f>
        <v>4/6</v>
      </c>
      <c r="G18" t="str">
        <f>SUMPRODUCT((Normalizacao!H$37:H$42&lt;&gt;"")*1)&amp;"/6"</f>
        <v>4/6</v>
      </c>
      <c r="H18" t="str">
        <f>SUMPRODUCT((Normalizacao!I$37:I$42&lt;&gt;"")*1)&amp;"/6"</f>
        <v>4/6</v>
      </c>
      <c r="I18" t="str">
        <f>SUMPRODUCT((Normalizacao!J$37:J$42&lt;&gt;"")*1)&amp;"/6"</f>
        <v>5/6</v>
      </c>
      <c r="J18" t="str">
        <f>SUMPRODUCT((Normalizacao!K$37:K$42&lt;&gt;"")*1)&amp;"/6"</f>
        <v>3/6</v>
      </c>
      <c r="K18" t="str">
        <f>SUMPRODUCT((Normalizacao!L$37:L$42&lt;&gt;"")*1)&amp;"/6"</f>
        <v>2/6</v>
      </c>
      <c r="L18" t="str">
        <f>SUMPRODUCT((Normalizacao!M$37:M$42&lt;&gt;"")*1)&amp;"/6"</f>
        <v>2/6</v>
      </c>
    </row>
    <row r="20" spans="1:12" ht="14.25" customHeight="1" x14ac:dyDescent="0.35">
      <c r="A20" s="5" t="s">
        <v>192</v>
      </c>
      <c r="B20">
        <f t="shared" ref="B20:L20" si="0">SUMPRODUCT((B2:B8&lt;&gt;"")*1)</f>
        <v>4</v>
      </c>
      <c r="C20">
        <f t="shared" si="0"/>
        <v>4</v>
      </c>
      <c r="D20">
        <f t="shared" si="0"/>
        <v>5</v>
      </c>
      <c r="E20">
        <f t="shared" si="0"/>
        <v>6</v>
      </c>
      <c r="F20">
        <f t="shared" si="0"/>
        <v>6</v>
      </c>
      <c r="G20">
        <f t="shared" si="0"/>
        <v>6</v>
      </c>
      <c r="H20">
        <f t="shared" si="0"/>
        <v>6</v>
      </c>
      <c r="I20">
        <f t="shared" si="0"/>
        <v>6</v>
      </c>
      <c r="J20">
        <f t="shared" si="0"/>
        <v>5</v>
      </c>
      <c r="K20">
        <f t="shared" si="0"/>
        <v>3</v>
      </c>
      <c r="L20">
        <f t="shared" si="0"/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BEEF4"/>
  </sheetPr>
  <dimension ref="B2:U77"/>
  <sheetViews>
    <sheetView showGridLines="0" zoomScaleNormal="100" workbookViewId="0">
      <selection activeCell="F8" sqref="F8"/>
    </sheetView>
  </sheetViews>
  <sheetFormatPr defaultColWidth="8.54296875" defaultRowHeight="14.5" x14ac:dyDescent="0.35"/>
  <cols>
    <col min="3" max="3" width="35" customWidth="1"/>
    <col min="4" max="4" width="8" customWidth="1"/>
    <col min="5" max="15" width="12" customWidth="1"/>
    <col min="20" max="20" width="5.54296875" customWidth="1"/>
  </cols>
  <sheetData>
    <row r="2" spans="3:15" ht="19.5" customHeight="1" x14ac:dyDescent="0.4">
      <c r="C2" s="56" t="s">
        <v>0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4" spans="3:15" ht="14.25" customHeight="1" x14ac:dyDescent="0.35"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13</v>
      </c>
    </row>
    <row r="5" spans="3:15" ht="14.25" customHeight="1" x14ac:dyDescent="0.35">
      <c r="C5" s="27" t="s">
        <v>14</v>
      </c>
      <c r="D5" s="36">
        <f>Parametros!B52</f>
        <v>1</v>
      </c>
      <c r="E5" s="33">
        <f>Subindices!B$2</f>
        <v>0</v>
      </c>
      <c r="F5" s="33">
        <f>Subindices!C$2</f>
        <v>0</v>
      </c>
      <c r="G5" s="33">
        <f>Subindices!D$2</f>
        <v>0</v>
      </c>
      <c r="H5" s="33">
        <f>Subindices!E$2</f>
        <v>0</v>
      </c>
      <c r="I5" s="33">
        <f>Subindices!F$2</f>
        <v>0</v>
      </c>
      <c r="J5" s="33">
        <f>Subindices!G$2</f>
        <v>0</v>
      </c>
      <c r="K5" s="33">
        <f>Subindices!H$2</f>
        <v>0</v>
      </c>
      <c r="L5" s="33">
        <f>Subindices!I$2</f>
        <v>0</v>
      </c>
      <c r="M5" s="33">
        <f>Subindices!J$2</f>
        <v>0</v>
      </c>
      <c r="N5" s="33">
        <f>Subindices!K$2</f>
        <v>0</v>
      </c>
      <c r="O5" s="33" t="str">
        <f>Subindices!L$2</f>
        <v/>
      </c>
    </row>
    <row r="6" spans="3:15" ht="14.25" customHeight="1" x14ac:dyDescent="0.35">
      <c r="C6" s="27" t="s">
        <v>15</v>
      </c>
      <c r="D6" s="36">
        <f>Parametros!B53</f>
        <v>1</v>
      </c>
      <c r="E6" s="33">
        <f>Subindices!B$3</f>
        <v>0</v>
      </c>
      <c r="F6" s="33">
        <f>Subindices!C$3</f>
        <v>0</v>
      </c>
      <c r="G6" s="33">
        <f>Subindices!D$3</f>
        <v>0</v>
      </c>
      <c r="H6" s="33">
        <f>Subindices!E$3</f>
        <v>0</v>
      </c>
      <c r="I6" s="33">
        <f>Subindices!F$3</f>
        <v>0</v>
      </c>
      <c r="J6" s="33">
        <f>Subindices!G$3</f>
        <v>0</v>
      </c>
      <c r="K6" s="33">
        <f>Subindices!H$3</f>
        <v>0</v>
      </c>
      <c r="L6" s="33">
        <f>Subindices!I$3</f>
        <v>0</v>
      </c>
      <c r="M6" s="33">
        <f>Subindices!J$3</f>
        <v>0</v>
      </c>
      <c r="N6" s="33">
        <f>Subindices!K$3</f>
        <v>0</v>
      </c>
      <c r="O6" s="33">
        <f>Subindices!L$3</f>
        <v>0</v>
      </c>
    </row>
    <row r="7" spans="3:15" ht="14.25" customHeight="1" x14ac:dyDescent="0.35">
      <c r="C7" s="27" t="s">
        <v>16</v>
      </c>
      <c r="D7" s="36">
        <f>Parametros!B54</f>
        <v>1</v>
      </c>
      <c r="E7" s="33" t="str">
        <f>Subindices!B$4</f>
        <v/>
      </c>
      <c r="F7" s="33" t="str">
        <f>Subindices!C$4</f>
        <v/>
      </c>
      <c r="G7" s="33">
        <f>Subindices!D$4</f>
        <v>0</v>
      </c>
      <c r="H7" s="33">
        <f>Subindices!E$4</f>
        <v>0</v>
      </c>
      <c r="I7" s="33">
        <f>Subindices!F$4</f>
        <v>0</v>
      </c>
      <c r="J7" s="33">
        <f>Subindices!G$4</f>
        <v>0</v>
      </c>
      <c r="K7" s="33">
        <f>Subindices!H$4</f>
        <v>0</v>
      </c>
      <c r="L7" s="33">
        <f>Subindices!I$4</f>
        <v>0</v>
      </c>
      <c r="M7" s="33" t="str">
        <f>Subindices!J$4</f>
        <v/>
      </c>
      <c r="N7" s="33" t="str">
        <f>Subindices!K$4</f>
        <v/>
      </c>
      <c r="O7" s="33" t="str">
        <f>Subindices!L$4</f>
        <v/>
      </c>
    </row>
    <row r="8" spans="3:15" ht="14.25" customHeight="1" x14ac:dyDescent="0.35">
      <c r="C8" s="27" t="s">
        <v>17</v>
      </c>
      <c r="D8" s="36">
        <f>Parametros!B55</f>
        <v>1</v>
      </c>
      <c r="E8" s="33" t="str">
        <f>Subindices!B$5</f>
        <v/>
      </c>
      <c r="F8" s="33" t="str">
        <f>Subindices!C$5</f>
        <v/>
      </c>
      <c r="G8" s="33" t="str">
        <f>Subindices!D$5</f>
        <v/>
      </c>
      <c r="H8" s="33">
        <f>Subindices!E$5</f>
        <v>0</v>
      </c>
      <c r="I8" s="33" t="str">
        <f>Subindices!F$5</f>
        <v/>
      </c>
      <c r="J8" s="33" t="str">
        <f>Subindices!G$5</f>
        <v/>
      </c>
      <c r="K8" s="33" t="str">
        <f>Subindices!H$5</f>
        <v/>
      </c>
      <c r="L8" s="33" t="str">
        <f>Subindices!I$5</f>
        <v/>
      </c>
      <c r="M8" s="33" t="str">
        <f>Subindices!J$5</f>
        <v/>
      </c>
      <c r="N8" s="33" t="str">
        <f>Subindices!K$5</f>
        <v/>
      </c>
      <c r="O8" s="33" t="str">
        <f>Subindices!L$5</f>
        <v/>
      </c>
    </row>
    <row r="9" spans="3:15" ht="14.25" customHeight="1" x14ac:dyDescent="0.35">
      <c r="C9" s="27" t="s">
        <v>18</v>
      </c>
      <c r="D9" s="36">
        <f>Parametros!B56</f>
        <v>1</v>
      </c>
      <c r="E9" s="33">
        <f>Subindices!B$6</f>
        <v>0</v>
      </c>
      <c r="F9" s="33">
        <f>Subindices!C$6</f>
        <v>0</v>
      </c>
      <c r="G9" s="33">
        <f>Subindices!D$6</f>
        <v>0</v>
      </c>
      <c r="H9" s="33">
        <f>Subindices!E$6</f>
        <v>0</v>
      </c>
      <c r="I9" s="33">
        <f>Subindices!F$6</f>
        <v>0</v>
      </c>
      <c r="J9" s="33">
        <f>Subindices!G$6</f>
        <v>0</v>
      </c>
      <c r="K9" s="33">
        <f>Subindices!H$6</f>
        <v>0</v>
      </c>
      <c r="L9" s="33">
        <f>Subindices!I$6</f>
        <v>0</v>
      </c>
      <c r="M9" s="33">
        <f>Subindices!J$6</f>
        <v>0</v>
      </c>
      <c r="N9" s="33" t="str">
        <f>Subindices!K$6</f>
        <v/>
      </c>
      <c r="O9" s="33" t="str">
        <f>Subindices!L$6</f>
        <v/>
      </c>
    </row>
    <row r="10" spans="3:15" ht="14.25" customHeight="1" x14ac:dyDescent="0.35">
      <c r="C10" s="27" t="s">
        <v>19</v>
      </c>
      <c r="D10" s="36">
        <f>Parametros!B57</f>
        <v>1</v>
      </c>
      <c r="E10" s="33" t="str">
        <f>Subindices!B$7</f>
        <v/>
      </c>
      <c r="F10" s="33" t="str">
        <f>Subindices!C$7</f>
        <v/>
      </c>
      <c r="G10" s="33" t="str">
        <f>Subindices!D$7</f>
        <v/>
      </c>
      <c r="H10" s="33" t="str">
        <f>Subindices!E$7</f>
        <v/>
      </c>
      <c r="I10" s="33">
        <f>Subindices!F$7</f>
        <v>0</v>
      </c>
      <c r="J10" s="33">
        <f>Subindices!G$7</f>
        <v>0</v>
      </c>
      <c r="K10" s="33">
        <f>Subindices!H$7</f>
        <v>0</v>
      </c>
      <c r="L10" s="33">
        <f>Subindices!I$7</f>
        <v>0</v>
      </c>
      <c r="M10" s="33">
        <f>Subindices!J$7</f>
        <v>0</v>
      </c>
      <c r="N10" s="33">
        <f>Subindices!K$7</f>
        <v>0</v>
      </c>
      <c r="O10" s="33">
        <f>Subindices!L$7</f>
        <v>0</v>
      </c>
    </row>
    <row r="11" spans="3:15" ht="14.25" customHeight="1" x14ac:dyDescent="0.35">
      <c r="C11" s="27" t="s">
        <v>20</v>
      </c>
      <c r="D11" s="36">
        <f>Parametros!B58</f>
        <v>1</v>
      </c>
      <c r="E11" s="33">
        <f>Subindices!B$8</f>
        <v>0</v>
      </c>
      <c r="F11" s="33">
        <f>Subindices!C$8</f>
        <v>0</v>
      </c>
      <c r="G11" s="33">
        <f>Subindices!D$8</f>
        <v>0</v>
      </c>
      <c r="H11" s="33">
        <f>Subindices!E$8</f>
        <v>0</v>
      </c>
      <c r="I11" s="33">
        <f>Subindices!F$8</f>
        <v>0</v>
      </c>
      <c r="J11" s="33">
        <f>Subindices!G$8</f>
        <v>0</v>
      </c>
      <c r="K11" s="33">
        <f>Subindices!H$8</f>
        <v>0</v>
      </c>
      <c r="L11" s="33">
        <f>Subindices!I$8</f>
        <v>0</v>
      </c>
      <c r="M11" s="33">
        <f>Subindices!J$8</f>
        <v>0</v>
      </c>
      <c r="N11" s="33" t="str">
        <f>Subindices!K$8</f>
        <v/>
      </c>
      <c r="O11" s="33" t="str">
        <f>Subindices!L$8</f>
        <v/>
      </c>
    </row>
    <row r="13" spans="3:15" ht="15" customHeight="1" x14ac:dyDescent="0.35">
      <c r="C13" s="37" t="s">
        <v>21</v>
      </c>
      <c r="D13" s="38"/>
      <c r="E13" s="39">
        <f>IF(SUMPRODUCT((E5:E11&lt;&gt;"")*1)&lt;Parametros!$B$47,"",IF(SUMPRODUCT((E5:E11&lt;&gt;"")*(E5:E11&lt;=0))&gt;0,0,EXP(SUMPRODUCT(IFERROR(LN(E5:E11)*$D$5:$D$11,0))/SUMPRODUCT((E5:E11&lt;&gt;"")*$D$5:$D$11))))</f>
        <v>0</v>
      </c>
      <c r="F13" s="39">
        <f>IF(SUMPRODUCT((F5:F11&lt;&gt;"")*1)&lt;Parametros!$B$47,"",IF(SUMPRODUCT((F5:F11&lt;&gt;"")*(F5:F11&lt;=0))&gt;0,0,EXP(SUMPRODUCT(IFERROR(LN(F5:F11)*$D$5:$D$11,0))/SUMPRODUCT((F5:F11&lt;&gt;"")*$D$5:$D$11))))</f>
        <v>0</v>
      </c>
      <c r="G13" s="39">
        <f>IF(SUMPRODUCT((G5:G11&lt;&gt;"")*1)&lt;Parametros!$B$47,"",IF(SUMPRODUCT((G5:G11&lt;&gt;"")*(G5:G11&lt;=0))&gt;0,0,EXP(SUMPRODUCT(IFERROR(LN(G5:G11)*$D$5:$D$11,0))/SUMPRODUCT((G5:G11&lt;&gt;"")*$D$5:$D$11))))</f>
        <v>0</v>
      </c>
      <c r="H13" s="39">
        <f>IF(SUMPRODUCT((H5:H11&lt;&gt;"")*1)&lt;Parametros!$B$47,"",IF(SUMPRODUCT((H5:H11&lt;&gt;"")*(H5:H11&lt;=0))&gt;0,0,EXP(SUMPRODUCT(IFERROR(LN(H5:H11)*$D$5:$D$11,0))/SUMPRODUCT((H5:H11&lt;&gt;"")*$D$5:$D$11))))</f>
        <v>0</v>
      </c>
      <c r="I13" s="39">
        <f>IF(SUMPRODUCT((I5:I11&lt;&gt;"")*1)&lt;Parametros!$B$47,"",IF(SUMPRODUCT((I5:I11&lt;&gt;"")*(I5:I11&lt;=0))&gt;0,0,EXP(SUMPRODUCT(IFERROR(LN(I5:I11)*$D$5:$D$11,0))/SUMPRODUCT((I5:I11&lt;&gt;"")*$D$5:$D$11))))</f>
        <v>0</v>
      </c>
      <c r="J13" s="39">
        <f>IF(SUMPRODUCT((J5:J11&lt;&gt;"")*1)&lt;Parametros!$B$47,"",IF(SUMPRODUCT((J5:J11&lt;&gt;"")*(J5:J11&lt;=0))&gt;0,0,EXP(SUMPRODUCT(IFERROR(LN(J5:J11)*$D$5:$D$11,0))/SUMPRODUCT((J5:J11&lt;&gt;"")*$D$5:$D$11))))</f>
        <v>0</v>
      </c>
      <c r="K13" s="39">
        <f>IF(SUMPRODUCT((K5:K11&lt;&gt;"")*1)&lt;Parametros!$B$47,"",IF(SUMPRODUCT((K5:K11&lt;&gt;"")*(K5:K11&lt;=0))&gt;0,0,EXP(SUMPRODUCT(IFERROR(LN(K5:K11)*$D$5:$D$11,0))/SUMPRODUCT((K5:K11&lt;&gt;"")*$D$5:$D$11))))</f>
        <v>0</v>
      </c>
      <c r="L13" s="39">
        <f>IF(SUMPRODUCT((L5:L11&lt;&gt;"")*1)&lt;Parametros!$B$47,"",IF(SUMPRODUCT((L5:L11&lt;&gt;"")*(L5:L11&lt;=0))&gt;0,0,EXP(SUMPRODUCT(IFERROR(LN(L5:L11)*$D$5:$D$11,0))/SUMPRODUCT((L5:L11&lt;&gt;"")*$D$5:$D$11))))</f>
        <v>0</v>
      </c>
      <c r="M13" s="39">
        <f>IF(SUMPRODUCT((M5:M11&lt;&gt;"")*1)&lt;Parametros!$B$47,"",IF(SUMPRODUCT((M5:M11&lt;&gt;"")*(M5:M11&lt;=0))&gt;0,0,EXP(SUMPRODUCT(IFERROR(LN(M5:M11)*$D$5:$D$11,0))/SUMPRODUCT((M5:M11&lt;&gt;"")*$D$5:$D$11))))</f>
        <v>0</v>
      </c>
      <c r="N13" s="39" t="str">
        <f>IF(SUMPRODUCT((N5:N11&lt;&gt;"")*1)&lt;Parametros!$B$47,"",IF(SUMPRODUCT((N5:N11&lt;&gt;"")*(N5:N11&lt;=0))&gt;0,0,EXP(SUMPRODUCT(IFERROR(LN(N5:N11)*$D$5:$D$11,0))/SUMPRODUCT((N5:N11&lt;&gt;"")*$D$5:$D$11))))</f>
        <v/>
      </c>
      <c r="O13" s="39" t="str">
        <f>IF(SUMPRODUCT((O5:O11&lt;&gt;"")*1)&lt;Parametros!$B$47,"",IF(SUMPRODUCT((O5:O11&lt;&gt;"")*(O5:O11&lt;=0))&gt;0,0,EXP(SUMPRODUCT(IFERROR(LN(O5:O11)*$D$5:$D$11,0))/SUMPRODUCT((O5:O11&lt;&gt;"")*$D$5:$D$11))))</f>
        <v/>
      </c>
    </row>
    <row r="14" spans="3:15" ht="14.25" customHeight="1" x14ac:dyDescent="0.35">
      <c r="E14" s="40" t="str">
        <f t="shared" ref="E14:O14" si="0">IF(E13="","",IF(E13&gt;=70,"Bom",IF(E13&gt;=50,"Moderado","Fraco")))</f>
        <v>Fraco</v>
      </c>
      <c r="F14" s="40" t="str">
        <f t="shared" si="0"/>
        <v>Fraco</v>
      </c>
      <c r="G14" s="40" t="str">
        <f t="shared" si="0"/>
        <v>Fraco</v>
      </c>
      <c r="H14" s="40" t="str">
        <f t="shared" si="0"/>
        <v>Fraco</v>
      </c>
      <c r="I14" s="40" t="str">
        <f t="shared" si="0"/>
        <v>Fraco</v>
      </c>
      <c r="J14" s="40" t="str">
        <f t="shared" si="0"/>
        <v>Fraco</v>
      </c>
      <c r="K14" s="40" t="str">
        <f t="shared" si="0"/>
        <v>Fraco</v>
      </c>
      <c r="L14" s="40" t="str">
        <f t="shared" si="0"/>
        <v>Fraco</v>
      </c>
      <c r="M14" s="40" t="str">
        <f t="shared" si="0"/>
        <v>Fraco</v>
      </c>
      <c r="N14" s="40" t="str">
        <f t="shared" si="0"/>
        <v/>
      </c>
      <c r="O14" s="40" t="str">
        <f t="shared" si="0"/>
        <v/>
      </c>
    </row>
    <row r="15" spans="3:15" ht="14.25" customHeight="1" x14ac:dyDescent="0.35">
      <c r="C15" s="41" t="s">
        <v>22</v>
      </c>
      <c r="F15" s="42">
        <f t="shared" ref="F15:O15" si="1">IF(OR(F13="",E13=""),"",F13-E13)</f>
        <v>0</v>
      </c>
      <c r="G15" s="42">
        <f t="shared" si="1"/>
        <v>0</v>
      </c>
      <c r="H15" s="42">
        <f t="shared" si="1"/>
        <v>0</v>
      </c>
      <c r="I15" s="42">
        <f t="shared" si="1"/>
        <v>0</v>
      </c>
      <c r="J15" s="42">
        <f t="shared" si="1"/>
        <v>0</v>
      </c>
      <c r="K15" s="42">
        <f t="shared" si="1"/>
        <v>0</v>
      </c>
      <c r="L15" s="42">
        <f t="shared" si="1"/>
        <v>0</v>
      </c>
      <c r="M15" s="42">
        <f t="shared" si="1"/>
        <v>0</v>
      </c>
      <c r="N15" s="42" t="str">
        <f t="shared" si="1"/>
        <v/>
      </c>
      <c r="O15" s="42" t="str">
        <f t="shared" si="1"/>
        <v/>
      </c>
    </row>
    <row r="16" spans="3:15" ht="15" customHeight="1" x14ac:dyDescent="0.35">
      <c r="C16" s="3" t="s">
        <v>23</v>
      </c>
    </row>
    <row r="17" spans="2:21" ht="14.25" customHeight="1" x14ac:dyDescent="0.35">
      <c r="C17" t="s">
        <v>24</v>
      </c>
    </row>
    <row r="20" spans="2:21" ht="14.25" customHeight="1" x14ac:dyDescent="0.35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2:21" ht="14.25" customHeight="1" x14ac:dyDescent="0.35">
      <c r="B21" s="43"/>
      <c r="C21" s="43"/>
      <c r="D21" s="43"/>
      <c r="E21" s="43"/>
      <c r="F21" s="43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3"/>
      <c r="U21" s="43"/>
    </row>
    <row r="22" spans="2:21" ht="3.75" customHeight="1" x14ac:dyDescent="0.35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  <row r="23" spans="2:21" ht="18.75" customHeight="1" x14ac:dyDescent="0.35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</row>
    <row r="24" spans="2:21" ht="18.75" customHeight="1" x14ac:dyDescent="0.35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2:21" ht="18.75" customHeight="1" x14ac:dyDescent="0.35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spans="2:21" ht="18.75" customHeight="1" x14ac:dyDescent="0.35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2:21" ht="18.75" customHeight="1" x14ac:dyDescent="0.35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</row>
    <row r="28" spans="2:21" ht="18.75" customHeight="1" x14ac:dyDescent="0.35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2:21" ht="18.75" customHeight="1" x14ac:dyDescent="0.35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2:21" ht="18.75" customHeight="1" x14ac:dyDescent="0.35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spans="2:21" ht="18.75" customHeight="1" x14ac:dyDescent="0.35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pans="2:21" ht="18.75" customHeight="1" x14ac:dyDescent="0.35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</row>
    <row r="33" spans="2:21" ht="18.75" customHeight="1" x14ac:dyDescent="0.35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</row>
    <row r="34" spans="2:21" ht="18.75" customHeight="1" x14ac:dyDescent="0.35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2:21" ht="18.75" customHeight="1" x14ac:dyDescent="0.35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spans="2:21" ht="14.25" customHeight="1" x14ac:dyDescent="0.35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pans="2:21" ht="14.25" customHeight="1" x14ac:dyDescent="0.35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</row>
    <row r="38" spans="2:21" ht="14.25" customHeight="1" x14ac:dyDescent="0.35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2:21" ht="14.25" customHeight="1" x14ac:dyDescent="0.35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1" spans="2:21" ht="19.5" customHeight="1" x14ac:dyDescent="0.4">
      <c r="B41" s="56" t="s">
        <v>25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</row>
    <row r="43" spans="2:21" ht="14.25" customHeight="1" x14ac:dyDescent="0.35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</row>
    <row r="44" spans="2:21" ht="14.25" customHeight="1" x14ac:dyDescent="0.35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</row>
    <row r="45" spans="2:21" ht="14.25" customHeight="1" x14ac:dyDescent="0.35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 spans="2:21" ht="14.25" customHeight="1" x14ac:dyDescent="0.35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 spans="2:21" ht="14.25" customHeight="1" x14ac:dyDescent="0.35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</row>
    <row r="48" spans="2:21" ht="14.25" customHeight="1" x14ac:dyDescent="0.35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spans="2:21" ht="14.25" customHeight="1" x14ac:dyDescent="0.35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2:21" ht="14.25" customHeight="1" x14ac:dyDescent="0.35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</row>
    <row r="51" spans="2:21" ht="14.25" customHeight="1" x14ac:dyDescent="0.35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 spans="2:21" ht="14.25" customHeight="1" x14ac:dyDescent="0.35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 spans="2:21" ht="14.25" customHeight="1" x14ac:dyDescent="0.35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 spans="2:21" ht="14.25" customHeight="1" x14ac:dyDescent="0.35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 spans="2:21" ht="14.25" customHeight="1" x14ac:dyDescent="0.35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 spans="2:21" ht="14.25" customHeight="1" x14ac:dyDescent="0.35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</row>
    <row r="57" spans="2:21" ht="14.25" customHeight="1" x14ac:dyDescent="0.35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</row>
    <row r="58" spans="2:21" ht="14.25" customHeight="1" x14ac:dyDescent="0.35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</row>
    <row r="59" spans="2:21" ht="14.25" customHeight="1" x14ac:dyDescent="0.35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</row>
    <row r="60" spans="2:21" ht="14.25" customHeight="1" x14ac:dyDescent="0.35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</row>
    <row r="61" spans="2:21" ht="14.25" customHeight="1" x14ac:dyDescent="0.35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</row>
    <row r="62" spans="2:21" ht="14.25" customHeight="1" x14ac:dyDescent="0.35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</row>
    <row r="63" spans="2:21" ht="14.25" customHeight="1" x14ac:dyDescent="0.35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</row>
    <row r="64" spans="2:21" ht="14.25" customHeight="1" x14ac:dyDescent="0.35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</row>
    <row r="65" spans="2:21" ht="14.25" customHeight="1" x14ac:dyDescent="0.35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</row>
    <row r="66" spans="2:21" ht="14.25" customHeight="1" x14ac:dyDescent="0.35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</row>
    <row r="67" spans="2:21" ht="14.25" customHeight="1" x14ac:dyDescent="0.35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</row>
    <row r="68" spans="2:21" ht="14.25" customHeight="1" x14ac:dyDescent="0.35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</row>
    <row r="69" spans="2:21" ht="14.25" customHeight="1" x14ac:dyDescent="0.35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</row>
    <row r="70" spans="2:21" ht="14.25" customHeight="1" x14ac:dyDescent="0.35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</row>
    <row r="71" spans="2:21" ht="14.25" customHeight="1" x14ac:dyDescent="0.35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</row>
    <row r="72" spans="2:21" ht="14.25" customHeight="1" x14ac:dyDescent="0.35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</row>
    <row r="73" spans="2:21" ht="14.25" customHeight="1" x14ac:dyDescent="0.35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</row>
    <row r="74" spans="2:21" ht="14.25" customHeight="1" x14ac:dyDescent="0.35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</row>
    <row r="75" spans="2:21" ht="14.25" customHeight="1" x14ac:dyDescent="0.35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</row>
    <row r="76" spans="2:21" ht="14.25" customHeight="1" x14ac:dyDescent="0.35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</row>
    <row r="77" spans="2:21" ht="14.25" customHeight="1" x14ac:dyDescent="0.35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</row>
  </sheetData>
  <mergeCells count="2">
    <mergeCell ref="B41:U41"/>
    <mergeCell ref="C2:N2"/>
  </mergeCells>
  <conditionalFormatting sqref="F15:O15">
    <cfRule type="cellIs" dxfId="1" priority="2" operator="lessThan">
      <formula>0</formula>
    </cfRule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workbookViewId="0">
      <pane ySplit="4" topLeftCell="A5" activePane="bottomLeft" state="frozen"/>
      <selection pane="bottomLeft" activeCell="D9" sqref="D9"/>
    </sheetView>
  </sheetViews>
  <sheetFormatPr defaultRowHeight="14.5" x14ac:dyDescent="0.35"/>
  <cols>
    <col min="1" max="1" width="34" customWidth="1"/>
    <col min="2" max="2" width="18" customWidth="1"/>
    <col min="3" max="5" width="58" customWidth="1"/>
  </cols>
  <sheetData>
    <row r="1" spans="1:5" ht="21" x14ac:dyDescent="0.5">
      <c r="A1" s="46" t="s">
        <v>193</v>
      </c>
    </row>
    <row r="2" spans="1:5" ht="72.5" x14ac:dyDescent="0.35">
      <c r="A2" s="47" t="s">
        <v>194</v>
      </c>
    </row>
    <row r="4" spans="1:5" ht="29" x14ac:dyDescent="0.35">
      <c r="A4" s="48" t="s">
        <v>195</v>
      </c>
      <c r="B4" s="48" t="s">
        <v>196</v>
      </c>
      <c r="C4" s="48" t="s">
        <v>197</v>
      </c>
      <c r="D4" s="48" t="s">
        <v>198</v>
      </c>
      <c r="E4" s="48" t="s">
        <v>199</v>
      </c>
    </row>
    <row r="5" spans="1:5" ht="29" x14ac:dyDescent="0.35">
      <c r="A5" s="49" t="s">
        <v>71</v>
      </c>
      <c r="B5" s="49">
        <v>5</v>
      </c>
      <c r="C5" s="49" t="s">
        <v>200</v>
      </c>
      <c r="D5" s="49" t="s">
        <v>200</v>
      </c>
      <c r="E5" s="49" t="s">
        <v>201</v>
      </c>
    </row>
    <row r="6" spans="1:5" ht="29" x14ac:dyDescent="0.35">
      <c r="A6" s="49" t="s">
        <v>85</v>
      </c>
      <c r="B6" s="49">
        <v>7</v>
      </c>
      <c r="C6" s="49" t="s">
        <v>99</v>
      </c>
      <c r="D6" s="49" t="s">
        <v>200</v>
      </c>
      <c r="E6" s="49" t="s">
        <v>202</v>
      </c>
    </row>
    <row r="7" spans="1:5" ht="29" x14ac:dyDescent="0.35">
      <c r="A7" s="49" t="s">
        <v>16</v>
      </c>
      <c r="B7" s="49">
        <v>6</v>
      </c>
      <c r="C7" s="49" t="s">
        <v>203</v>
      </c>
      <c r="D7" s="49" t="s">
        <v>200</v>
      </c>
      <c r="E7" s="49" t="s">
        <v>202</v>
      </c>
    </row>
    <row r="8" spans="1:5" ht="29" x14ac:dyDescent="0.35">
      <c r="A8" s="49" t="s">
        <v>121</v>
      </c>
      <c r="B8" s="49">
        <v>5</v>
      </c>
      <c r="C8" s="49" t="s">
        <v>127</v>
      </c>
      <c r="D8" s="49" t="s">
        <v>204</v>
      </c>
      <c r="E8" s="49" t="s">
        <v>202</v>
      </c>
    </row>
    <row r="9" spans="1:5" ht="29" x14ac:dyDescent="0.35">
      <c r="A9" s="49" t="s">
        <v>135</v>
      </c>
      <c r="B9" s="49">
        <v>6</v>
      </c>
      <c r="C9" s="49" t="s">
        <v>144</v>
      </c>
      <c r="D9" s="49" t="s">
        <v>200</v>
      </c>
      <c r="E9" s="49" t="s">
        <v>202</v>
      </c>
    </row>
    <row r="10" spans="1:5" ht="29" x14ac:dyDescent="0.35">
      <c r="A10" s="49" t="s">
        <v>153</v>
      </c>
      <c r="B10" s="49">
        <v>6</v>
      </c>
      <c r="C10" s="49" t="s">
        <v>205</v>
      </c>
      <c r="D10" s="49" t="s">
        <v>200</v>
      </c>
      <c r="E10" s="49" t="s">
        <v>202</v>
      </c>
    </row>
    <row r="11" spans="1:5" ht="29" x14ac:dyDescent="0.35">
      <c r="A11" s="49" t="s">
        <v>160</v>
      </c>
      <c r="B11" s="49">
        <v>6</v>
      </c>
      <c r="C11" s="49" t="s">
        <v>200</v>
      </c>
      <c r="D11" s="49" t="s">
        <v>206</v>
      </c>
      <c r="E11" s="49" t="s">
        <v>202</v>
      </c>
    </row>
  </sheetData>
  <autoFilter ref="A4:E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2"/>
  <sheetViews>
    <sheetView showGridLines="0" tabSelected="1" workbookViewId="0">
      <pane ySplit="4" topLeftCell="A6" activePane="bottomLeft" state="frozen"/>
      <selection pane="bottomLeft" activeCell="P11" sqref="A11:P11"/>
    </sheetView>
  </sheetViews>
  <sheetFormatPr defaultRowHeight="14.5" x14ac:dyDescent="0.35"/>
  <cols>
    <col min="1" max="1" width="34" customWidth="1"/>
    <col min="2" max="2" width="42" customWidth="1"/>
    <col min="3" max="3" width="20" customWidth="1"/>
    <col min="4" max="4" width="18" customWidth="1"/>
    <col min="5" max="5" width="52" customWidth="1"/>
    <col min="6" max="6" width="24" customWidth="1"/>
    <col min="7" max="7" width="58" customWidth="1"/>
    <col min="8" max="8" width="18" customWidth="1"/>
    <col min="9" max="9" width="10" customWidth="1"/>
    <col min="10" max="11" width="14" customWidth="1"/>
    <col min="12" max="12" width="18" customWidth="1"/>
    <col min="13" max="14" width="12" customWidth="1"/>
    <col min="15" max="16" width="18" customWidth="1"/>
    <col min="17" max="17" width="72" customWidth="1"/>
  </cols>
  <sheetData>
    <row r="1" spans="1:17" ht="24" customHeight="1" x14ac:dyDescent="0.5">
      <c r="A1" s="46" t="s">
        <v>207</v>
      </c>
    </row>
    <row r="2" spans="1:17" ht="40" customHeight="1" x14ac:dyDescent="0.35">
      <c r="A2" s="47" t="s">
        <v>208</v>
      </c>
    </row>
    <row r="3" spans="1:17" ht="24" customHeight="1" x14ac:dyDescent="0.35">
      <c r="A3" s="50" t="s">
        <v>209</v>
      </c>
    </row>
    <row r="4" spans="1:17" ht="30" customHeight="1" x14ac:dyDescent="0.35">
      <c r="A4" s="51" t="s">
        <v>195</v>
      </c>
      <c r="B4" s="51" t="s">
        <v>210</v>
      </c>
      <c r="C4" s="51" t="s">
        <v>211</v>
      </c>
      <c r="D4" s="51" t="s">
        <v>212</v>
      </c>
      <c r="E4" s="51" t="s">
        <v>213</v>
      </c>
      <c r="F4" s="51" t="s">
        <v>70</v>
      </c>
      <c r="G4" s="51" t="s">
        <v>214</v>
      </c>
      <c r="H4" s="51" t="s">
        <v>68</v>
      </c>
      <c r="I4" s="51" t="s">
        <v>69</v>
      </c>
      <c r="J4" s="51" t="s">
        <v>215</v>
      </c>
      <c r="K4" s="51" t="s">
        <v>216</v>
      </c>
      <c r="L4" s="51" t="s">
        <v>217</v>
      </c>
      <c r="M4" s="51" t="s">
        <v>218</v>
      </c>
      <c r="N4" s="51" t="s">
        <v>219</v>
      </c>
      <c r="O4" s="51" t="s">
        <v>220</v>
      </c>
      <c r="P4" s="51" t="s">
        <v>221</v>
      </c>
      <c r="Q4" s="51" t="s">
        <v>222</v>
      </c>
    </row>
    <row r="5" spans="1:17" ht="30" customHeight="1" x14ac:dyDescent="0.35">
      <c r="A5" s="52" t="s">
        <v>14</v>
      </c>
      <c r="B5" s="52" t="s">
        <v>223</v>
      </c>
      <c r="C5" s="52" t="s">
        <v>224</v>
      </c>
      <c r="D5" s="52" t="s">
        <v>225</v>
      </c>
      <c r="E5" s="52" t="s">
        <v>226</v>
      </c>
      <c r="F5" s="52" t="s">
        <v>227</v>
      </c>
      <c r="G5" s="52" t="s">
        <v>228</v>
      </c>
      <c r="H5" s="52" t="s">
        <v>78</v>
      </c>
      <c r="I5" s="52" t="s">
        <v>74</v>
      </c>
      <c r="J5" s="52">
        <v>-2.5</v>
      </c>
      <c r="K5" s="52">
        <v>2.5</v>
      </c>
      <c r="L5" s="52">
        <v>0</v>
      </c>
      <c r="M5" s="52">
        <v>1</v>
      </c>
      <c r="N5" s="53" t="s">
        <v>229</v>
      </c>
      <c r="O5" s="52" t="s">
        <v>230</v>
      </c>
      <c r="P5" s="52">
        <v>2024</v>
      </c>
      <c r="Q5" s="52" t="s">
        <v>231</v>
      </c>
    </row>
    <row r="6" spans="1:17" ht="30" customHeight="1" x14ac:dyDescent="0.35">
      <c r="A6" s="52" t="s">
        <v>14</v>
      </c>
      <c r="B6" s="52" t="s">
        <v>232</v>
      </c>
      <c r="C6" s="52" t="s">
        <v>233</v>
      </c>
      <c r="D6" s="52" t="s">
        <v>234</v>
      </c>
      <c r="E6" s="52" t="s">
        <v>235</v>
      </c>
      <c r="F6" s="52" t="s">
        <v>227</v>
      </c>
      <c r="G6" s="52" t="s">
        <v>228</v>
      </c>
      <c r="H6" s="52" t="s">
        <v>78</v>
      </c>
      <c r="I6" s="52" t="s">
        <v>74</v>
      </c>
      <c r="J6" s="52">
        <v>-2.5</v>
      </c>
      <c r="K6" s="52">
        <v>2.5</v>
      </c>
      <c r="L6" s="52">
        <v>0</v>
      </c>
      <c r="M6" s="52">
        <v>1</v>
      </c>
      <c r="N6" s="53" t="s">
        <v>229</v>
      </c>
      <c r="O6" s="52" t="s">
        <v>230</v>
      </c>
      <c r="P6" s="52">
        <v>2024</v>
      </c>
      <c r="Q6" s="52" t="s">
        <v>236</v>
      </c>
    </row>
    <row r="7" spans="1:17" ht="30" customHeight="1" x14ac:dyDescent="0.35">
      <c r="A7" s="52" t="s">
        <v>14</v>
      </c>
      <c r="B7" s="52" t="s">
        <v>237</v>
      </c>
      <c r="C7" s="52" t="s">
        <v>238</v>
      </c>
      <c r="D7" s="52" t="s">
        <v>239</v>
      </c>
      <c r="E7" s="52" t="s">
        <v>240</v>
      </c>
      <c r="F7" s="52" t="s">
        <v>227</v>
      </c>
      <c r="G7" s="52" t="s">
        <v>228</v>
      </c>
      <c r="H7" s="52" t="s">
        <v>78</v>
      </c>
      <c r="I7" s="52" t="s">
        <v>74</v>
      </c>
      <c r="J7" s="52">
        <v>-2.5</v>
      </c>
      <c r="K7" s="52">
        <v>2.5</v>
      </c>
      <c r="L7" s="52">
        <v>0</v>
      </c>
      <c r="M7" s="52">
        <v>1</v>
      </c>
      <c r="N7" s="54" t="s">
        <v>241</v>
      </c>
      <c r="O7" s="52" t="s">
        <v>230</v>
      </c>
      <c r="P7" s="52">
        <v>2024</v>
      </c>
      <c r="Q7" s="52" t="s">
        <v>242</v>
      </c>
    </row>
    <row r="8" spans="1:17" ht="30" customHeight="1" x14ac:dyDescent="0.35">
      <c r="A8" s="52" t="s">
        <v>14</v>
      </c>
      <c r="B8" s="52" t="s">
        <v>243</v>
      </c>
      <c r="C8" s="52" t="s">
        <v>238</v>
      </c>
      <c r="D8" s="52"/>
      <c r="E8" s="52"/>
      <c r="F8" s="52" t="s">
        <v>244</v>
      </c>
      <c r="G8" s="52" t="s">
        <v>245</v>
      </c>
      <c r="H8" s="52" t="s">
        <v>73</v>
      </c>
      <c r="I8" s="52" t="s">
        <v>74</v>
      </c>
      <c r="J8" s="52">
        <v>0</v>
      </c>
      <c r="K8" s="52">
        <v>100</v>
      </c>
      <c r="L8" s="52">
        <v>55</v>
      </c>
      <c r="M8" s="52">
        <v>1</v>
      </c>
      <c r="N8" s="53" t="s">
        <v>229</v>
      </c>
      <c r="O8" s="52"/>
      <c r="P8" s="52"/>
      <c r="Q8" s="52" t="s">
        <v>246</v>
      </c>
    </row>
    <row r="9" spans="1:17" ht="30" customHeight="1" x14ac:dyDescent="0.35">
      <c r="A9" s="52" t="s">
        <v>14</v>
      </c>
      <c r="B9" s="52" t="s">
        <v>247</v>
      </c>
      <c r="C9" s="52" t="s">
        <v>238</v>
      </c>
      <c r="D9" s="52"/>
      <c r="E9" s="52"/>
      <c r="F9" s="52" t="s">
        <v>244</v>
      </c>
      <c r="G9" s="52" t="s">
        <v>245</v>
      </c>
      <c r="H9" s="52" t="s">
        <v>73</v>
      </c>
      <c r="I9" s="52" t="s">
        <v>74</v>
      </c>
      <c r="J9" s="52">
        <v>0</v>
      </c>
      <c r="K9" s="52">
        <v>100</v>
      </c>
      <c r="L9" s="52">
        <v>55</v>
      </c>
      <c r="M9" s="52">
        <v>1</v>
      </c>
      <c r="N9" s="54" t="s">
        <v>241</v>
      </c>
      <c r="O9" s="52"/>
      <c r="P9" s="52"/>
      <c r="Q9" s="52" t="s">
        <v>248</v>
      </c>
    </row>
    <row r="10" spans="1:17" ht="30" customHeight="1" x14ac:dyDescent="0.35">
      <c r="A10" s="52" t="s">
        <v>14</v>
      </c>
      <c r="B10" s="52" t="s">
        <v>249</v>
      </c>
      <c r="C10" s="52" t="s">
        <v>238</v>
      </c>
      <c r="D10" s="52"/>
      <c r="E10" s="52"/>
      <c r="F10" s="52" t="s">
        <v>250</v>
      </c>
      <c r="G10" s="52" t="s">
        <v>251</v>
      </c>
      <c r="H10" s="52" t="s">
        <v>73</v>
      </c>
      <c r="I10" s="52" t="s">
        <v>74</v>
      </c>
      <c r="J10" s="52">
        <v>0</v>
      </c>
      <c r="K10" s="52">
        <v>100</v>
      </c>
      <c r="L10" s="52">
        <v>50</v>
      </c>
      <c r="M10" s="52">
        <v>1</v>
      </c>
      <c r="N10" s="54" t="s">
        <v>241</v>
      </c>
      <c r="O10" s="52"/>
      <c r="P10" s="52"/>
      <c r="Q10" s="52" t="s">
        <v>252</v>
      </c>
    </row>
    <row r="11" spans="1:17" ht="30" customHeight="1" x14ac:dyDescent="0.35">
      <c r="A11" s="52" t="s">
        <v>14</v>
      </c>
      <c r="B11" s="52" t="s">
        <v>253</v>
      </c>
      <c r="C11" s="52" t="s">
        <v>238</v>
      </c>
      <c r="D11" s="52"/>
      <c r="E11" s="52"/>
      <c r="F11" s="52" t="s">
        <v>254</v>
      </c>
      <c r="G11" s="52" t="s">
        <v>255</v>
      </c>
      <c r="H11" s="52" t="s">
        <v>87</v>
      </c>
      <c r="I11" s="52" t="s">
        <v>93</v>
      </c>
      <c r="J11" s="52">
        <v>0</v>
      </c>
      <c r="K11" s="52">
        <v>100</v>
      </c>
      <c r="L11" s="52">
        <v>10</v>
      </c>
      <c r="M11" s="52">
        <v>1</v>
      </c>
      <c r="N11" s="54" t="s">
        <v>241</v>
      </c>
      <c r="O11" s="52"/>
      <c r="P11" s="52"/>
      <c r="Q11" s="52" t="s">
        <v>256</v>
      </c>
    </row>
    <row r="12" spans="1:17" ht="30" customHeight="1" x14ac:dyDescent="0.35">
      <c r="A12" s="52" t="s">
        <v>14</v>
      </c>
      <c r="B12" s="52" t="s">
        <v>257</v>
      </c>
      <c r="C12" s="52" t="s">
        <v>238</v>
      </c>
      <c r="D12" s="52" t="s">
        <v>258</v>
      </c>
      <c r="E12" s="52" t="s">
        <v>259</v>
      </c>
      <c r="F12" s="52" t="s">
        <v>79</v>
      </c>
      <c r="G12" s="52" t="s">
        <v>260</v>
      </c>
      <c r="H12" s="52" t="s">
        <v>73</v>
      </c>
      <c r="I12" s="52" t="s">
        <v>74</v>
      </c>
      <c r="J12" s="52">
        <v>0</v>
      </c>
      <c r="K12" s="52">
        <v>100</v>
      </c>
      <c r="L12" s="52">
        <v>65</v>
      </c>
      <c r="M12" s="52">
        <v>1</v>
      </c>
      <c r="N12" s="54" t="s">
        <v>241</v>
      </c>
      <c r="O12" s="52" t="s">
        <v>261</v>
      </c>
      <c r="P12" s="52" t="s">
        <v>12</v>
      </c>
      <c r="Q12" s="52" t="s">
        <v>262</v>
      </c>
    </row>
    <row r="13" spans="1:17" ht="30" customHeight="1" x14ac:dyDescent="0.35">
      <c r="A13" s="52" t="s">
        <v>15</v>
      </c>
      <c r="B13" s="52" t="s">
        <v>263</v>
      </c>
      <c r="C13" s="52" t="s">
        <v>238</v>
      </c>
      <c r="D13" s="52" t="s">
        <v>264</v>
      </c>
      <c r="E13" s="52" t="s">
        <v>265</v>
      </c>
      <c r="F13" s="52" t="s">
        <v>266</v>
      </c>
      <c r="G13" s="52" t="s">
        <v>267</v>
      </c>
      <c r="H13" s="52" t="s">
        <v>87</v>
      </c>
      <c r="I13" s="52" t="s">
        <v>74</v>
      </c>
      <c r="J13" s="52">
        <v>-30</v>
      </c>
      <c r="K13" s="52">
        <v>30</v>
      </c>
      <c r="L13" s="52">
        <v>0</v>
      </c>
      <c r="M13" s="52">
        <v>1</v>
      </c>
      <c r="N13" s="53" t="s">
        <v>229</v>
      </c>
      <c r="O13" s="52" t="s">
        <v>268</v>
      </c>
      <c r="P13" s="52" t="s">
        <v>12</v>
      </c>
      <c r="Q13" s="52" t="s">
        <v>269</v>
      </c>
    </row>
    <row r="14" spans="1:17" ht="30" customHeight="1" x14ac:dyDescent="0.35">
      <c r="A14" s="52" t="s">
        <v>15</v>
      </c>
      <c r="B14" s="52" t="s">
        <v>270</v>
      </c>
      <c r="C14" s="52" t="s">
        <v>238</v>
      </c>
      <c r="D14" s="52" t="s">
        <v>271</v>
      </c>
      <c r="E14" s="52" t="s">
        <v>272</v>
      </c>
      <c r="F14" s="52" t="s">
        <v>266</v>
      </c>
      <c r="G14" s="52" t="s">
        <v>273</v>
      </c>
      <c r="H14" s="52" t="s">
        <v>87</v>
      </c>
      <c r="I14" s="52" t="s">
        <v>74</v>
      </c>
      <c r="J14" s="52">
        <v>0</v>
      </c>
      <c r="K14" s="52">
        <v>40</v>
      </c>
      <c r="L14" s="52">
        <v>18</v>
      </c>
      <c r="M14" s="52">
        <v>1</v>
      </c>
      <c r="N14" s="53" t="s">
        <v>229</v>
      </c>
      <c r="O14" s="52" t="s">
        <v>268</v>
      </c>
      <c r="P14" s="52" t="s">
        <v>12</v>
      </c>
      <c r="Q14" s="52" t="s">
        <v>274</v>
      </c>
    </row>
    <row r="15" spans="1:17" ht="30" customHeight="1" x14ac:dyDescent="0.35">
      <c r="A15" s="52" t="s">
        <v>15</v>
      </c>
      <c r="B15" s="52" t="s">
        <v>275</v>
      </c>
      <c r="C15" s="52" t="s">
        <v>233</v>
      </c>
      <c r="D15" s="52" t="s">
        <v>276</v>
      </c>
      <c r="E15" s="52" t="s">
        <v>277</v>
      </c>
      <c r="F15" s="52" t="s">
        <v>266</v>
      </c>
      <c r="G15" s="52" t="s">
        <v>278</v>
      </c>
      <c r="H15" s="52" t="s">
        <v>87</v>
      </c>
      <c r="I15" s="52" t="s">
        <v>74</v>
      </c>
      <c r="J15" s="52">
        <v>-10</v>
      </c>
      <c r="K15" s="52">
        <v>20</v>
      </c>
      <c r="L15" s="52">
        <v>5</v>
      </c>
      <c r="M15" s="52">
        <v>1</v>
      </c>
      <c r="N15" s="53" t="s">
        <v>229</v>
      </c>
      <c r="O15" s="52" t="s">
        <v>268</v>
      </c>
      <c r="P15" s="52" t="s">
        <v>12</v>
      </c>
      <c r="Q15" s="52" t="s">
        <v>279</v>
      </c>
    </row>
    <row r="16" spans="1:17" ht="30" customHeight="1" x14ac:dyDescent="0.35">
      <c r="A16" s="52" t="s">
        <v>15</v>
      </c>
      <c r="B16" s="52" t="s">
        <v>280</v>
      </c>
      <c r="C16" s="52" t="s">
        <v>238</v>
      </c>
      <c r="D16" s="52" t="s">
        <v>281</v>
      </c>
      <c r="E16" s="52" t="s">
        <v>282</v>
      </c>
      <c r="F16" s="52" t="s">
        <v>266</v>
      </c>
      <c r="G16" s="52" t="s">
        <v>283</v>
      </c>
      <c r="H16" s="52" t="s">
        <v>87</v>
      </c>
      <c r="I16" s="52" t="s">
        <v>93</v>
      </c>
      <c r="J16" s="52">
        <v>0</v>
      </c>
      <c r="K16" s="52">
        <v>60</v>
      </c>
      <c r="L16" s="52">
        <v>15</v>
      </c>
      <c r="M16" s="52">
        <v>1</v>
      </c>
      <c r="N16" s="53" t="s">
        <v>229</v>
      </c>
      <c r="O16" s="52" t="s">
        <v>284</v>
      </c>
      <c r="P16" s="52" t="s">
        <v>9</v>
      </c>
      <c r="Q16" s="52" t="s">
        <v>285</v>
      </c>
    </row>
    <row r="17" spans="1:17" ht="30" customHeight="1" x14ac:dyDescent="0.35">
      <c r="A17" s="52" t="s">
        <v>15</v>
      </c>
      <c r="B17" s="52" t="s">
        <v>286</v>
      </c>
      <c r="C17" s="52" t="s">
        <v>238</v>
      </c>
      <c r="D17" s="52" t="s">
        <v>287</v>
      </c>
      <c r="E17" s="52" t="s">
        <v>288</v>
      </c>
      <c r="F17" s="52" t="s">
        <v>266</v>
      </c>
      <c r="G17" s="52" t="s">
        <v>289</v>
      </c>
      <c r="H17" s="52" t="s">
        <v>87</v>
      </c>
      <c r="I17" s="52" t="s">
        <v>74</v>
      </c>
      <c r="J17" s="52">
        <v>0</v>
      </c>
      <c r="K17" s="52">
        <v>100</v>
      </c>
      <c r="L17" s="52">
        <v>40</v>
      </c>
      <c r="M17" s="52">
        <v>1</v>
      </c>
      <c r="N17" s="54" t="s">
        <v>241</v>
      </c>
      <c r="O17" s="52" t="s">
        <v>268</v>
      </c>
      <c r="P17" s="52" t="s">
        <v>12</v>
      </c>
      <c r="Q17" s="52" t="s">
        <v>290</v>
      </c>
    </row>
    <row r="18" spans="1:17" ht="30" customHeight="1" x14ac:dyDescent="0.35">
      <c r="A18" s="52" t="s">
        <v>15</v>
      </c>
      <c r="B18" s="52" t="s">
        <v>291</v>
      </c>
      <c r="C18" s="52" t="s">
        <v>233</v>
      </c>
      <c r="D18" s="52" t="s">
        <v>292</v>
      </c>
      <c r="E18" s="52" t="s">
        <v>293</v>
      </c>
      <c r="F18" s="52" t="s">
        <v>266</v>
      </c>
      <c r="G18" s="52" t="s">
        <v>294</v>
      </c>
      <c r="H18" s="52" t="s">
        <v>102</v>
      </c>
      <c r="I18" s="52" t="s">
        <v>74</v>
      </c>
      <c r="J18" s="52">
        <v>0</v>
      </c>
      <c r="K18" s="52">
        <v>12</v>
      </c>
      <c r="L18" s="52">
        <v>6</v>
      </c>
      <c r="M18" s="52">
        <v>1</v>
      </c>
      <c r="N18" s="53" t="s">
        <v>229</v>
      </c>
      <c r="O18" s="52" t="s">
        <v>268</v>
      </c>
      <c r="P18" s="52" t="s">
        <v>12</v>
      </c>
      <c r="Q18" s="52" t="s">
        <v>295</v>
      </c>
    </row>
    <row r="19" spans="1:17" ht="30" customHeight="1" x14ac:dyDescent="0.35">
      <c r="A19" s="52" t="s">
        <v>15</v>
      </c>
      <c r="B19" s="52" t="s">
        <v>296</v>
      </c>
      <c r="C19" s="52" t="s">
        <v>238</v>
      </c>
      <c r="D19" s="52" t="s">
        <v>297</v>
      </c>
      <c r="E19" s="52" t="s">
        <v>298</v>
      </c>
      <c r="F19" s="52" t="s">
        <v>266</v>
      </c>
      <c r="G19" s="52" t="s">
        <v>299</v>
      </c>
      <c r="H19" s="52" t="s">
        <v>87</v>
      </c>
      <c r="I19" s="52" t="s">
        <v>74</v>
      </c>
      <c r="J19" s="52">
        <v>0</v>
      </c>
      <c r="K19" s="52">
        <v>100</v>
      </c>
      <c r="L19" s="52">
        <v>35</v>
      </c>
      <c r="M19" s="52">
        <v>1</v>
      </c>
      <c r="N19" s="54" t="s">
        <v>241</v>
      </c>
      <c r="O19" s="52" t="s">
        <v>268</v>
      </c>
      <c r="P19" s="52" t="s">
        <v>12</v>
      </c>
      <c r="Q19" s="52" t="s">
        <v>300</v>
      </c>
    </row>
    <row r="20" spans="1:17" ht="30" customHeight="1" x14ac:dyDescent="0.35">
      <c r="A20" s="52" t="s">
        <v>15</v>
      </c>
      <c r="B20" s="52" t="s">
        <v>301</v>
      </c>
      <c r="C20" s="52" t="s">
        <v>238</v>
      </c>
      <c r="D20" s="52"/>
      <c r="E20" s="52"/>
      <c r="F20" s="52" t="s">
        <v>302</v>
      </c>
      <c r="G20" s="52" t="s">
        <v>303</v>
      </c>
      <c r="H20" s="52" t="s">
        <v>87</v>
      </c>
      <c r="I20" s="52" t="s">
        <v>74</v>
      </c>
      <c r="J20" s="52">
        <v>-10</v>
      </c>
      <c r="K20" s="52">
        <v>15</v>
      </c>
      <c r="L20" s="52">
        <v>5</v>
      </c>
      <c r="M20" s="52">
        <v>1</v>
      </c>
      <c r="N20" s="53" t="s">
        <v>229</v>
      </c>
      <c r="O20" s="52"/>
      <c r="P20" s="52"/>
      <c r="Q20" s="52" t="s">
        <v>304</v>
      </c>
    </row>
    <row r="21" spans="1:17" ht="30" customHeight="1" x14ac:dyDescent="0.35">
      <c r="A21" s="52" t="s">
        <v>15</v>
      </c>
      <c r="B21" s="52" t="s">
        <v>305</v>
      </c>
      <c r="C21" s="52" t="s">
        <v>238</v>
      </c>
      <c r="D21" s="52" t="s">
        <v>306</v>
      </c>
      <c r="E21" s="52" t="s">
        <v>307</v>
      </c>
      <c r="F21" s="52" t="s">
        <v>308</v>
      </c>
      <c r="G21" s="52" t="s">
        <v>309</v>
      </c>
      <c r="H21" s="52" t="s">
        <v>310</v>
      </c>
      <c r="I21" s="52" t="s">
        <v>93</v>
      </c>
      <c r="J21" s="52">
        <v>0</v>
      </c>
      <c r="K21" s="52">
        <v>80</v>
      </c>
      <c r="L21" s="52">
        <v>10</v>
      </c>
      <c r="M21" s="52">
        <v>1</v>
      </c>
      <c r="N21" s="54" t="s">
        <v>241</v>
      </c>
      <c r="O21" s="52" t="s">
        <v>268</v>
      </c>
      <c r="P21" s="52" t="s">
        <v>12</v>
      </c>
      <c r="Q21" s="52" t="s">
        <v>311</v>
      </c>
    </row>
    <row r="22" spans="1:17" ht="30" customHeight="1" x14ac:dyDescent="0.35">
      <c r="A22" s="52" t="s">
        <v>16</v>
      </c>
      <c r="B22" s="52" t="s">
        <v>312</v>
      </c>
      <c r="C22" s="52" t="s">
        <v>233</v>
      </c>
      <c r="D22" s="52" t="s">
        <v>313</v>
      </c>
      <c r="E22" s="52" t="s">
        <v>314</v>
      </c>
      <c r="F22" s="52" t="s">
        <v>315</v>
      </c>
      <c r="G22" s="52" t="s">
        <v>316</v>
      </c>
      <c r="H22" s="52" t="s">
        <v>87</v>
      </c>
      <c r="I22" s="52" t="s">
        <v>74</v>
      </c>
      <c r="J22" s="52">
        <v>0</v>
      </c>
      <c r="K22" s="52">
        <v>100</v>
      </c>
      <c r="L22" s="52">
        <v>75</v>
      </c>
      <c r="M22" s="52">
        <v>1</v>
      </c>
      <c r="N22" s="53" t="s">
        <v>229</v>
      </c>
      <c r="O22" s="52" t="s">
        <v>317</v>
      </c>
      <c r="P22" s="52" t="s">
        <v>11</v>
      </c>
      <c r="Q22" s="52" t="s">
        <v>318</v>
      </c>
    </row>
    <row r="23" spans="1:17" ht="30" customHeight="1" x14ac:dyDescent="0.35">
      <c r="A23" s="52" t="s">
        <v>16</v>
      </c>
      <c r="B23" s="52" t="s">
        <v>319</v>
      </c>
      <c r="C23" s="52" t="s">
        <v>238</v>
      </c>
      <c r="D23" s="52" t="s">
        <v>320</v>
      </c>
      <c r="E23" s="52" t="s">
        <v>321</v>
      </c>
      <c r="F23" s="52" t="s">
        <v>315</v>
      </c>
      <c r="G23" s="52" t="s">
        <v>322</v>
      </c>
      <c r="H23" s="52" t="s">
        <v>87</v>
      </c>
      <c r="I23" s="52" t="s">
        <v>74</v>
      </c>
      <c r="J23" s="52">
        <v>0</v>
      </c>
      <c r="K23" s="52">
        <v>100</v>
      </c>
      <c r="L23" s="52">
        <v>90</v>
      </c>
      <c r="M23" s="52">
        <v>1</v>
      </c>
      <c r="N23" s="53" t="s">
        <v>229</v>
      </c>
      <c r="O23" s="52" t="s">
        <v>317</v>
      </c>
      <c r="P23" s="52" t="s">
        <v>11</v>
      </c>
      <c r="Q23" s="52" t="s">
        <v>323</v>
      </c>
    </row>
    <row r="24" spans="1:17" ht="30" customHeight="1" x14ac:dyDescent="0.35">
      <c r="A24" s="52" t="s">
        <v>16</v>
      </c>
      <c r="B24" s="52" t="s">
        <v>324</v>
      </c>
      <c r="C24" s="52" t="s">
        <v>238</v>
      </c>
      <c r="D24" s="52" t="s">
        <v>325</v>
      </c>
      <c r="E24" s="52" t="s">
        <v>326</v>
      </c>
      <c r="F24" s="52" t="s">
        <v>315</v>
      </c>
      <c r="G24" s="52" t="s">
        <v>327</v>
      </c>
      <c r="H24" s="52" t="s">
        <v>87</v>
      </c>
      <c r="I24" s="52" t="s">
        <v>74</v>
      </c>
      <c r="J24" s="52">
        <v>0</v>
      </c>
      <c r="K24" s="52">
        <v>150</v>
      </c>
      <c r="L24" s="52">
        <v>80</v>
      </c>
      <c r="M24" s="52">
        <v>1</v>
      </c>
      <c r="N24" s="53" t="s">
        <v>229</v>
      </c>
      <c r="O24" s="52" t="s">
        <v>328</v>
      </c>
      <c r="P24" s="52" t="s">
        <v>11</v>
      </c>
      <c r="Q24" s="52" t="s">
        <v>329</v>
      </c>
    </row>
    <row r="25" spans="1:17" ht="30" customHeight="1" x14ac:dyDescent="0.35">
      <c r="A25" s="52" t="s">
        <v>16</v>
      </c>
      <c r="B25" s="52" t="s">
        <v>330</v>
      </c>
      <c r="C25" s="52" t="s">
        <v>238</v>
      </c>
      <c r="D25" s="52" t="s">
        <v>331</v>
      </c>
      <c r="E25" s="52" t="s">
        <v>332</v>
      </c>
      <c r="F25" s="52" t="s">
        <v>315</v>
      </c>
      <c r="G25" s="52" t="s">
        <v>333</v>
      </c>
      <c r="H25" s="52" t="s">
        <v>87</v>
      </c>
      <c r="I25" s="52" t="s">
        <v>74</v>
      </c>
      <c r="J25" s="52">
        <v>0</v>
      </c>
      <c r="K25" s="52">
        <v>100</v>
      </c>
      <c r="L25" s="52">
        <v>20</v>
      </c>
      <c r="M25" s="52">
        <v>1</v>
      </c>
      <c r="N25" s="54" t="s">
        <v>241</v>
      </c>
      <c r="O25" s="52" t="s">
        <v>334</v>
      </c>
      <c r="P25" s="52" t="s">
        <v>12</v>
      </c>
      <c r="Q25" s="52" t="s">
        <v>335</v>
      </c>
    </row>
    <row r="26" spans="1:17" ht="30" customHeight="1" x14ac:dyDescent="0.35">
      <c r="A26" s="52" t="s">
        <v>16</v>
      </c>
      <c r="B26" s="52" t="s">
        <v>336</v>
      </c>
      <c r="C26" s="52" t="s">
        <v>238</v>
      </c>
      <c r="D26" s="52" t="s">
        <v>337</v>
      </c>
      <c r="E26" s="52" t="s">
        <v>338</v>
      </c>
      <c r="F26" s="52" t="s">
        <v>315</v>
      </c>
      <c r="G26" s="52" t="s">
        <v>339</v>
      </c>
      <c r="H26" s="52" t="s">
        <v>87</v>
      </c>
      <c r="I26" s="52" t="s">
        <v>74</v>
      </c>
      <c r="J26" s="52">
        <v>0</v>
      </c>
      <c r="K26" s="52">
        <v>10</v>
      </c>
      <c r="L26" s="52">
        <v>5</v>
      </c>
      <c r="M26" s="52">
        <v>1</v>
      </c>
      <c r="N26" s="54" t="s">
        <v>241</v>
      </c>
      <c r="O26" s="52" t="s">
        <v>261</v>
      </c>
      <c r="P26" s="52" t="s">
        <v>11</v>
      </c>
      <c r="Q26" s="52" t="s">
        <v>340</v>
      </c>
    </row>
    <row r="27" spans="1:17" ht="30" customHeight="1" x14ac:dyDescent="0.35">
      <c r="A27" s="52" t="s">
        <v>16</v>
      </c>
      <c r="B27" s="52" t="s">
        <v>341</v>
      </c>
      <c r="C27" s="52" t="s">
        <v>238</v>
      </c>
      <c r="D27" s="52" t="s">
        <v>342</v>
      </c>
      <c r="E27" s="52" t="s">
        <v>343</v>
      </c>
      <c r="F27" s="52" t="s">
        <v>315</v>
      </c>
      <c r="G27" s="52" t="s">
        <v>344</v>
      </c>
      <c r="H27" s="52" t="s">
        <v>87</v>
      </c>
      <c r="I27" s="52" t="s">
        <v>93</v>
      </c>
      <c r="J27" s="52">
        <v>0</v>
      </c>
      <c r="K27" s="52">
        <v>100</v>
      </c>
      <c r="L27" s="52">
        <v>50</v>
      </c>
      <c r="M27" s="52">
        <v>1</v>
      </c>
      <c r="N27" s="55" t="s">
        <v>345</v>
      </c>
      <c r="O27" s="52" t="s">
        <v>346</v>
      </c>
      <c r="P27" s="52"/>
      <c r="Q27" s="52" t="s">
        <v>347</v>
      </c>
    </row>
    <row r="28" spans="1:17" ht="30" customHeight="1" x14ac:dyDescent="0.35">
      <c r="A28" s="52" t="s">
        <v>16</v>
      </c>
      <c r="B28" s="52" t="s">
        <v>348</v>
      </c>
      <c r="C28" s="52" t="s">
        <v>238</v>
      </c>
      <c r="D28" s="52" t="s">
        <v>349</v>
      </c>
      <c r="E28" s="52" t="s">
        <v>350</v>
      </c>
      <c r="F28" s="52" t="s">
        <v>315</v>
      </c>
      <c r="G28" s="52" t="s">
        <v>351</v>
      </c>
      <c r="H28" s="52" t="s">
        <v>352</v>
      </c>
      <c r="I28" s="52" t="s">
        <v>93</v>
      </c>
      <c r="J28" s="52">
        <v>10</v>
      </c>
      <c r="K28" s="52">
        <v>80</v>
      </c>
      <c r="L28" s="52">
        <v>35</v>
      </c>
      <c r="M28" s="52">
        <v>1</v>
      </c>
      <c r="N28" s="54" t="s">
        <v>241</v>
      </c>
      <c r="O28" s="52" t="s">
        <v>353</v>
      </c>
      <c r="P28" s="52" t="s">
        <v>3</v>
      </c>
      <c r="Q28" s="52" t="s">
        <v>354</v>
      </c>
    </row>
    <row r="29" spans="1:17" ht="30" customHeight="1" x14ac:dyDescent="0.35">
      <c r="A29" s="52" t="s">
        <v>16</v>
      </c>
      <c r="B29" s="52" t="s">
        <v>355</v>
      </c>
      <c r="C29" s="52" t="s">
        <v>238</v>
      </c>
      <c r="D29" s="52" t="s">
        <v>356</v>
      </c>
      <c r="E29" s="52" t="s">
        <v>357</v>
      </c>
      <c r="F29" s="52" t="s">
        <v>79</v>
      </c>
      <c r="G29" s="52" t="s">
        <v>358</v>
      </c>
      <c r="H29" s="52" t="s">
        <v>105</v>
      </c>
      <c r="I29" s="52" t="s">
        <v>74</v>
      </c>
      <c r="J29" s="52">
        <v>0</v>
      </c>
      <c r="K29" s="52">
        <v>1</v>
      </c>
      <c r="L29" s="52">
        <v>0.5</v>
      </c>
      <c r="M29" s="52">
        <v>1</v>
      </c>
      <c r="N29" s="55" t="s">
        <v>345</v>
      </c>
      <c r="O29" s="52" t="s">
        <v>328</v>
      </c>
      <c r="P29" s="52" t="s">
        <v>8</v>
      </c>
      <c r="Q29" s="52" t="s">
        <v>359</v>
      </c>
    </row>
    <row r="30" spans="1:17" ht="30" customHeight="1" x14ac:dyDescent="0.35">
      <c r="A30" s="52" t="s">
        <v>16</v>
      </c>
      <c r="B30" s="52" t="s">
        <v>360</v>
      </c>
      <c r="C30" s="52" t="s">
        <v>233</v>
      </c>
      <c r="D30" s="52"/>
      <c r="E30" s="52"/>
      <c r="F30" s="52" t="s">
        <v>361</v>
      </c>
      <c r="G30" s="52" t="s">
        <v>362</v>
      </c>
      <c r="H30" s="52" t="s">
        <v>109</v>
      </c>
      <c r="I30" s="52" t="s">
        <v>74</v>
      </c>
      <c r="J30" s="52">
        <v>0</v>
      </c>
      <c r="K30" s="52">
        <v>18</v>
      </c>
      <c r="L30" s="52">
        <v>12</v>
      </c>
      <c r="M30" s="52">
        <v>1</v>
      </c>
      <c r="N30" s="53" t="s">
        <v>229</v>
      </c>
      <c r="O30" s="52"/>
      <c r="P30" s="52"/>
      <c r="Q30" s="52" t="s">
        <v>363</v>
      </c>
    </row>
    <row r="31" spans="1:17" ht="30" customHeight="1" x14ac:dyDescent="0.35">
      <c r="A31" s="52" t="s">
        <v>17</v>
      </c>
      <c r="B31" s="52" t="s">
        <v>364</v>
      </c>
      <c r="C31" s="52" t="s">
        <v>233</v>
      </c>
      <c r="D31" s="52" t="s">
        <v>365</v>
      </c>
      <c r="E31" s="52" t="s">
        <v>366</v>
      </c>
      <c r="F31" s="52" t="s">
        <v>367</v>
      </c>
      <c r="G31" s="52" t="s">
        <v>368</v>
      </c>
      <c r="H31" s="52" t="s">
        <v>87</v>
      </c>
      <c r="I31" s="52" t="s">
        <v>93</v>
      </c>
      <c r="J31" s="52">
        <v>0</v>
      </c>
      <c r="K31" s="52">
        <v>80</v>
      </c>
      <c r="L31" s="52">
        <v>30</v>
      </c>
      <c r="M31" s="52">
        <v>1</v>
      </c>
      <c r="N31" s="53" t="s">
        <v>229</v>
      </c>
      <c r="O31" s="52" t="s">
        <v>353</v>
      </c>
      <c r="P31" s="52" t="s">
        <v>6</v>
      </c>
      <c r="Q31" s="52" t="s">
        <v>369</v>
      </c>
    </row>
    <row r="32" spans="1:17" ht="30" customHeight="1" x14ac:dyDescent="0.35">
      <c r="A32" s="52" t="s">
        <v>17</v>
      </c>
      <c r="B32" s="52" t="s">
        <v>370</v>
      </c>
      <c r="C32" s="52" t="s">
        <v>233</v>
      </c>
      <c r="D32" s="52" t="s">
        <v>371</v>
      </c>
      <c r="E32" s="52" t="s">
        <v>372</v>
      </c>
      <c r="F32" s="52" t="s">
        <v>367</v>
      </c>
      <c r="G32" s="52" t="s">
        <v>373</v>
      </c>
      <c r="H32" s="52" t="s">
        <v>87</v>
      </c>
      <c r="I32" s="52" t="s">
        <v>93</v>
      </c>
      <c r="J32" s="52">
        <v>0</v>
      </c>
      <c r="K32" s="52">
        <v>90</v>
      </c>
      <c r="L32" s="52">
        <v>40</v>
      </c>
      <c r="M32" s="52">
        <v>1</v>
      </c>
      <c r="N32" s="53" t="s">
        <v>229</v>
      </c>
      <c r="O32" s="52" t="s">
        <v>353</v>
      </c>
      <c r="P32" s="52" t="s">
        <v>6</v>
      </c>
      <c r="Q32" s="52" t="s">
        <v>374</v>
      </c>
    </row>
    <row r="33" spans="1:17" ht="30" customHeight="1" x14ac:dyDescent="0.35">
      <c r="A33" s="52" t="s">
        <v>17</v>
      </c>
      <c r="B33" s="52" t="s">
        <v>125</v>
      </c>
      <c r="C33" s="52" t="s">
        <v>233</v>
      </c>
      <c r="D33" s="52" t="s">
        <v>375</v>
      </c>
      <c r="E33" s="52" t="s">
        <v>376</v>
      </c>
      <c r="F33" s="52" t="s">
        <v>367</v>
      </c>
      <c r="G33" s="52" t="s">
        <v>377</v>
      </c>
      <c r="H33" s="52" t="s">
        <v>73</v>
      </c>
      <c r="I33" s="52" t="s">
        <v>93</v>
      </c>
      <c r="J33" s="52">
        <v>0</v>
      </c>
      <c r="K33" s="52">
        <v>70</v>
      </c>
      <c r="L33" s="52">
        <v>40</v>
      </c>
      <c r="M33" s="52">
        <v>1</v>
      </c>
      <c r="N33" s="53" t="s">
        <v>229</v>
      </c>
      <c r="O33" s="52" t="s">
        <v>353</v>
      </c>
      <c r="P33" s="52" t="s">
        <v>6</v>
      </c>
      <c r="Q33" s="52" t="s">
        <v>378</v>
      </c>
    </row>
    <row r="34" spans="1:17" ht="30" customHeight="1" x14ac:dyDescent="0.35">
      <c r="A34" s="52" t="s">
        <v>17</v>
      </c>
      <c r="B34" s="52" t="s">
        <v>379</v>
      </c>
      <c r="C34" s="52" t="s">
        <v>238</v>
      </c>
      <c r="D34" s="52" t="s">
        <v>380</v>
      </c>
      <c r="E34" s="52" t="s">
        <v>381</v>
      </c>
      <c r="F34" s="52" t="s">
        <v>367</v>
      </c>
      <c r="G34" s="52" t="s">
        <v>382</v>
      </c>
      <c r="H34" s="52" t="s">
        <v>87</v>
      </c>
      <c r="I34" s="52" t="s">
        <v>74</v>
      </c>
      <c r="J34" s="52">
        <v>0</v>
      </c>
      <c r="K34" s="52">
        <v>20</v>
      </c>
      <c r="L34" s="52">
        <v>7</v>
      </c>
      <c r="M34" s="52">
        <v>1</v>
      </c>
      <c r="N34" s="54" t="s">
        <v>241</v>
      </c>
      <c r="O34" s="52" t="s">
        <v>353</v>
      </c>
      <c r="P34" s="52" t="s">
        <v>6</v>
      </c>
      <c r="Q34" s="52" t="s">
        <v>383</v>
      </c>
    </row>
    <row r="35" spans="1:17" ht="30" customHeight="1" x14ac:dyDescent="0.35">
      <c r="A35" s="52" t="s">
        <v>17</v>
      </c>
      <c r="B35" s="52" t="s">
        <v>384</v>
      </c>
      <c r="C35" s="52" t="s">
        <v>233</v>
      </c>
      <c r="D35" s="52"/>
      <c r="E35" s="52"/>
      <c r="F35" s="52" t="s">
        <v>385</v>
      </c>
      <c r="G35" s="52" t="s">
        <v>386</v>
      </c>
      <c r="H35" s="52" t="s">
        <v>87</v>
      </c>
      <c r="I35" s="52" t="s">
        <v>74</v>
      </c>
      <c r="J35" s="52">
        <v>0</v>
      </c>
      <c r="K35" s="52">
        <v>100</v>
      </c>
      <c r="L35" s="52">
        <v>40</v>
      </c>
      <c r="M35" s="52">
        <v>1</v>
      </c>
      <c r="N35" s="53" t="s">
        <v>229</v>
      </c>
      <c r="O35" s="52"/>
      <c r="P35" s="52"/>
      <c r="Q35" s="52" t="s">
        <v>387</v>
      </c>
    </row>
    <row r="36" spans="1:17" ht="30" customHeight="1" x14ac:dyDescent="0.35">
      <c r="A36" s="52" t="s">
        <v>17</v>
      </c>
      <c r="B36" s="52" t="s">
        <v>388</v>
      </c>
      <c r="C36" s="52" t="s">
        <v>238</v>
      </c>
      <c r="D36" s="52"/>
      <c r="E36" s="52"/>
      <c r="F36" s="52" t="s">
        <v>389</v>
      </c>
      <c r="G36" s="52" t="s">
        <v>390</v>
      </c>
      <c r="H36" s="52" t="s">
        <v>87</v>
      </c>
      <c r="I36" s="52" t="s">
        <v>93</v>
      </c>
      <c r="J36" s="52">
        <v>0</v>
      </c>
      <c r="K36" s="52">
        <v>80</v>
      </c>
      <c r="L36" s="52">
        <v>25</v>
      </c>
      <c r="M36" s="52">
        <v>1</v>
      </c>
      <c r="N36" s="54" t="s">
        <v>241</v>
      </c>
      <c r="O36" s="52"/>
      <c r="P36" s="52"/>
      <c r="Q36" s="52" t="s">
        <v>391</v>
      </c>
    </row>
    <row r="37" spans="1:17" ht="30" customHeight="1" x14ac:dyDescent="0.35">
      <c r="A37" s="52" t="s">
        <v>17</v>
      </c>
      <c r="B37" s="52" t="s">
        <v>392</v>
      </c>
      <c r="C37" s="52" t="s">
        <v>238</v>
      </c>
      <c r="D37" s="52" t="s">
        <v>393</v>
      </c>
      <c r="E37" s="52" t="s">
        <v>394</v>
      </c>
      <c r="F37" s="52" t="s">
        <v>395</v>
      </c>
      <c r="G37" s="52" t="s">
        <v>396</v>
      </c>
      <c r="H37" s="52" t="s">
        <v>87</v>
      </c>
      <c r="I37" s="52" t="s">
        <v>93</v>
      </c>
      <c r="J37" s="52">
        <v>0</v>
      </c>
      <c r="K37" s="52">
        <v>70</v>
      </c>
      <c r="L37" s="52">
        <v>30</v>
      </c>
      <c r="M37" s="52">
        <v>1</v>
      </c>
      <c r="N37" s="53" t="s">
        <v>229</v>
      </c>
      <c r="O37" s="52" t="s">
        <v>397</v>
      </c>
      <c r="P37" s="52" t="s">
        <v>12</v>
      </c>
      <c r="Q37" s="52" t="s">
        <v>398</v>
      </c>
    </row>
    <row r="38" spans="1:17" ht="30" customHeight="1" x14ac:dyDescent="0.35">
      <c r="A38" s="52" t="s">
        <v>17</v>
      </c>
      <c r="B38" s="52" t="s">
        <v>399</v>
      </c>
      <c r="C38" s="52" t="s">
        <v>238</v>
      </c>
      <c r="D38" s="52" t="s">
        <v>400</v>
      </c>
      <c r="E38" s="52" t="s">
        <v>401</v>
      </c>
      <c r="F38" s="52" t="s">
        <v>402</v>
      </c>
      <c r="G38" s="52" t="s">
        <v>403</v>
      </c>
      <c r="H38" s="52" t="s">
        <v>87</v>
      </c>
      <c r="I38" s="52" t="s">
        <v>74</v>
      </c>
      <c r="J38" s="52">
        <v>0</v>
      </c>
      <c r="K38" s="52">
        <v>60</v>
      </c>
      <c r="L38" s="52">
        <v>35</v>
      </c>
      <c r="M38" s="52">
        <v>1</v>
      </c>
      <c r="N38" s="54" t="s">
        <v>241</v>
      </c>
      <c r="O38" s="52" t="s">
        <v>404</v>
      </c>
      <c r="P38" s="52" t="s">
        <v>13</v>
      </c>
      <c r="Q38" s="52" t="s">
        <v>405</v>
      </c>
    </row>
    <row r="39" spans="1:17" ht="30" customHeight="1" x14ac:dyDescent="0.35">
      <c r="A39" s="52" t="s">
        <v>17</v>
      </c>
      <c r="B39" s="52" t="s">
        <v>406</v>
      </c>
      <c r="C39" s="52" t="s">
        <v>238</v>
      </c>
      <c r="D39" s="52" t="s">
        <v>407</v>
      </c>
      <c r="E39" s="52" t="s">
        <v>408</v>
      </c>
      <c r="F39" s="52" t="s">
        <v>395</v>
      </c>
      <c r="G39" s="52" t="s">
        <v>409</v>
      </c>
      <c r="H39" s="52" t="s">
        <v>87</v>
      </c>
      <c r="I39" s="52" t="s">
        <v>74</v>
      </c>
      <c r="J39" s="52">
        <v>0</v>
      </c>
      <c r="K39" s="52">
        <v>100</v>
      </c>
      <c r="L39" s="52">
        <v>65</v>
      </c>
      <c r="M39" s="52">
        <v>1</v>
      </c>
      <c r="N39" s="54" t="s">
        <v>241</v>
      </c>
      <c r="O39" s="52" t="s">
        <v>404</v>
      </c>
      <c r="P39" s="52" t="s">
        <v>13</v>
      </c>
      <c r="Q39" s="52" t="s">
        <v>410</v>
      </c>
    </row>
    <row r="40" spans="1:17" ht="30" customHeight="1" x14ac:dyDescent="0.35">
      <c r="A40" s="52" t="s">
        <v>17</v>
      </c>
      <c r="B40" s="52" t="s">
        <v>411</v>
      </c>
      <c r="C40" s="52" t="s">
        <v>238</v>
      </c>
      <c r="D40" s="52" t="s">
        <v>412</v>
      </c>
      <c r="E40" s="52" t="s">
        <v>413</v>
      </c>
      <c r="F40" s="52" t="s">
        <v>414</v>
      </c>
      <c r="G40" s="52" t="s">
        <v>415</v>
      </c>
      <c r="H40" s="52" t="s">
        <v>87</v>
      </c>
      <c r="I40" s="52" t="s">
        <v>74</v>
      </c>
      <c r="J40" s="52">
        <v>0</v>
      </c>
      <c r="K40" s="52">
        <v>100</v>
      </c>
      <c r="L40" s="52">
        <v>80</v>
      </c>
      <c r="M40" s="52">
        <v>1</v>
      </c>
      <c r="N40" s="54" t="s">
        <v>241</v>
      </c>
      <c r="O40" s="52" t="s">
        <v>353</v>
      </c>
      <c r="P40" s="52" t="s">
        <v>4</v>
      </c>
      <c r="Q40" s="52" t="s">
        <v>416</v>
      </c>
    </row>
    <row r="41" spans="1:17" ht="30" customHeight="1" x14ac:dyDescent="0.35">
      <c r="A41" s="52" t="s">
        <v>18</v>
      </c>
      <c r="B41" s="52" t="s">
        <v>417</v>
      </c>
      <c r="C41" s="52" t="s">
        <v>238</v>
      </c>
      <c r="D41" s="52" t="s">
        <v>418</v>
      </c>
      <c r="E41" s="52" t="s">
        <v>419</v>
      </c>
      <c r="F41" s="52" t="s">
        <v>420</v>
      </c>
      <c r="G41" s="52" t="s">
        <v>421</v>
      </c>
      <c r="H41" s="52" t="s">
        <v>87</v>
      </c>
      <c r="I41" s="52" t="s">
        <v>74</v>
      </c>
      <c r="J41" s="52">
        <v>0</v>
      </c>
      <c r="K41" s="52">
        <v>100</v>
      </c>
      <c r="L41" s="52">
        <v>50</v>
      </c>
      <c r="M41" s="52">
        <v>1</v>
      </c>
      <c r="N41" s="53" t="s">
        <v>229</v>
      </c>
      <c r="O41" s="52" t="s">
        <v>317</v>
      </c>
      <c r="P41" s="52" t="s">
        <v>6</v>
      </c>
      <c r="Q41" s="52" t="s">
        <v>422</v>
      </c>
    </row>
    <row r="42" spans="1:17" ht="30" customHeight="1" x14ac:dyDescent="0.35">
      <c r="A42" s="52" t="s">
        <v>18</v>
      </c>
      <c r="B42" s="52" t="s">
        <v>423</v>
      </c>
      <c r="C42" s="52" t="s">
        <v>238</v>
      </c>
      <c r="D42" s="52" t="s">
        <v>424</v>
      </c>
      <c r="E42" s="52" t="s">
        <v>425</v>
      </c>
      <c r="F42" s="52" t="s">
        <v>426</v>
      </c>
      <c r="G42" s="52" t="s">
        <v>427</v>
      </c>
      <c r="H42" s="52" t="s">
        <v>87</v>
      </c>
      <c r="I42" s="52" t="s">
        <v>74</v>
      </c>
      <c r="J42" s="52">
        <v>0</v>
      </c>
      <c r="K42" s="52">
        <v>100</v>
      </c>
      <c r="L42" s="52">
        <v>35</v>
      </c>
      <c r="M42" s="52">
        <v>1</v>
      </c>
      <c r="N42" s="53" t="s">
        <v>229</v>
      </c>
      <c r="O42" s="52" t="s">
        <v>261</v>
      </c>
      <c r="P42" s="52" t="s">
        <v>11</v>
      </c>
      <c r="Q42" s="52" t="s">
        <v>428</v>
      </c>
    </row>
    <row r="43" spans="1:17" ht="30" customHeight="1" x14ac:dyDescent="0.35">
      <c r="A43" s="52" t="s">
        <v>18</v>
      </c>
      <c r="B43" s="52" t="s">
        <v>429</v>
      </c>
      <c r="C43" s="52" t="s">
        <v>238</v>
      </c>
      <c r="D43" s="52" t="s">
        <v>430</v>
      </c>
      <c r="E43" s="52" t="s">
        <v>431</v>
      </c>
      <c r="F43" s="52" t="s">
        <v>420</v>
      </c>
      <c r="G43" s="52" t="s">
        <v>432</v>
      </c>
      <c r="H43" s="52" t="s">
        <v>87</v>
      </c>
      <c r="I43" s="52" t="s">
        <v>93</v>
      </c>
      <c r="J43" s="52">
        <v>0</v>
      </c>
      <c r="K43" s="52">
        <v>60</v>
      </c>
      <c r="L43" s="52">
        <v>15</v>
      </c>
      <c r="M43" s="52">
        <v>1</v>
      </c>
      <c r="N43" s="54" t="s">
        <v>241</v>
      </c>
      <c r="O43" s="52" t="s">
        <v>261</v>
      </c>
      <c r="P43" s="52" t="s">
        <v>11</v>
      </c>
      <c r="Q43" s="52" t="s">
        <v>433</v>
      </c>
    </row>
    <row r="44" spans="1:17" ht="30" customHeight="1" x14ac:dyDescent="0.35">
      <c r="A44" s="52" t="s">
        <v>18</v>
      </c>
      <c r="B44" s="52" t="s">
        <v>434</v>
      </c>
      <c r="C44" s="52" t="s">
        <v>224</v>
      </c>
      <c r="D44" s="52" t="s">
        <v>435</v>
      </c>
      <c r="E44" s="52" t="s">
        <v>436</v>
      </c>
      <c r="F44" s="52" t="s">
        <v>437</v>
      </c>
      <c r="G44" s="52" t="s">
        <v>438</v>
      </c>
      <c r="H44" s="52" t="s">
        <v>439</v>
      </c>
      <c r="I44" s="52" t="s">
        <v>74</v>
      </c>
      <c r="J44" s="52">
        <v>0</v>
      </c>
      <c r="K44" s="52">
        <v>160</v>
      </c>
      <c r="L44" s="52">
        <v>100</v>
      </c>
      <c r="M44" s="52">
        <v>1</v>
      </c>
      <c r="N44" s="53" t="s">
        <v>229</v>
      </c>
      <c r="O44" s="52" t="s">
        <v>268</v>
      </c>
      <c r="P44" s="52" t="s">
        <v>12</v>
      </c>
      <c r="Q44" s="52" t="s">
        <v>440</v>
      </c>
    </row>
    <row r="45" spans="1:17" ht="30" customHeight="1" x14ac:dyDescent="0.35">
      <c r="A45" s="52" t="s">
        <v>18</v>
      </c>
      <c r="B45" s="52" t="s">
        <v>441</v>
      </c>
      <c r="C45" s="52" t="s">
        <v>238</v>
      </c>
      <c r="D45" s="52" t="s">
        <v>442</v>
      </c>
      <c r="E45" s="52" t="s">
        <v>443</v>
      </c>
      <c r="F45" s="52" t="s">
        <v>437</v>
      </c>
      <c r="G45" s="52" t="s">
        <v>444</v>
      </c>
      <c r="H45" s="52" t="s">
        <v>439</v>
      </c>
      <c r="I45" s="52" t="s">
        <v>74</v>
      </c>
      <c r="J45" s="52">
        <v>0</v>
      </c>
      <c r="K45" s="52">
        <v>50</v>
      </c>
      <c r="L45" s="52">
        <v>8</v>
      </c>
      <c r="M45" s="52">
        <v>1</v>
      </c>
      <c r="N45" s="54" t="s">
        <v>241</v>
      </c>
      <c r="O45" s="52" t="s">
        <v>268</v>
      </c>
      <c r="P45" s="52" t="s">
        <v>12</v>
      </c>
      <c r="Q45" s="52" t="s">
        <v>445</v>
      </c>
    </row>
    <row r="46" spans="1:17" ht="30" customHeight="1" x14ac:dyDescent="0.35">
      <c r="A46" s="52" t="s">
        <v>18</v>
      </c>
      <c r="B46" s="52" t="s">
        <v>446</v>
      </c>
      <c r="C46" s="52" t="s">
        <v>238</v>
      </c>
      <c r="D46" s="52"/>
      <c r="E46" s="52"/>
      <c r="F46" s="52" t="s">
        <v>447</v>
      </c>
      <c r="G46" s="52" t="s">
        <v>448</v>
      </c>
      <c r="H46" s="52" t="s">
        <v>449</v>
      </c>
      <c r="I46" s="52" t="s">
        <v>93</v>
      </c>
      <c r="J46" s="52">
        <v>0</v>
      </c>
      <c r="K46" s="52">
        <v>30</v>
      </c>
      <c r="L46" s="52">
        <v>5</v>
      </c>
      <c r="M46" s="52">
        <v>1</v>
      </c>
      <c r="N46" s="54" t="s">
        <v>241</v>
      </c>
      <c r="O46" s="52"/>
      <c r="P46" s="52"/>
      <c r="Q46" s="52" t="s">
        <v>450</v>
      </c>
    </row>
    <row r="47" spans="1:17" ht="30" customHeight="1" x14ac:dyDescent="0.35">
      <c r="A47" s="52" t="s">
        <v>18</v>
      </c>
      <c r="B47" s="52" t="s">
        <v>451</v>
      </c>
      <c r="C47" s="52" t="s">
        <v>233</v>
      </c>
      <c r="D47" s="52" t="s">
        <v>452</v>
      </c>
      <c r="E47" s="52" t="s">
        <v>453</v>
      </c>
      <c r="F47" s="52" t="s">
        <v>454</v>
      </c>
      <c r="G47" s="52" t="s">
        <v>455</v>
      </c>
      <c r="H47" s="52" t="s">
        <v>87</v>
      </c>
      <c r="I47" s="52" t="s">
        <v>74</v>
      </c>
      <c r="J47" s="52">
        <v>0</v>
      </c>
      <c r="K47" s="52">
        <v>100</v>
      </c>
      <c r="L47" s="52">
        <v>70</v>
      </c>
      <c r="M47" s="52">
        <v>1</v>
      </c>
      <c r="N47" s="53" t="s">
        <v>229</v>
      </c>
      <c r="O47" s="52" t="s">
        <v>268</v>
      </c>
      <c r="P47" s="52" t="s">
        <v>12</v>
      </c>
      <c r="Q47" s="52" t="s">
        <v>456</v>
      </c>
    </row>
    <row r="48" spans="1:17" ht="30" customHeight="1" x14ac:dyDescent="0.35">
      <c r="A48" s="52" t="s">
        <v>18</v>
      </c>
      <c r="B48" s="52" t="s">
        <v>457</v>
      </c>
      <c r="C48" s="52" t="s">
        <v>233</v>
      </c>
      <c r="D48" s="52" t="s">
        <v>458</v>
      </c>
      <c r="E48" s="52" t="s">
        <v>459</v>
      </c>
      <c r="F48" s="52" t="s">
        <v>454</v>
      </c>
      <c r="G48" s="52" t="s">
        <v>460</v>
      </c>
      <c r="H48" s="52" t="s">
        <v>87</v>
      </c>
      <c r="I48" s="52" t="s">
        <v>74</v>
      </c>
      <c r="J48" s="52">
        <v>0</v>
      </c>
      <c r="K48" s="52">
        <v>100</v>
      </c>
      <c r="L48" s="52">
        <v>60</v>
      </c>
      <c r="M48" s="52">
        <v>1</v>
      </c>
      <c r="N48" s="53" t="s">
        <v>229</v>
      </c>
      <c r="O48" s="52" t="s">
        <v>461</v>
      </c>
      <c r="P48" s="52" t="s">
        <v>10</v>
      </c>
      <c r="Q48" s="52" t="s">
        <v>462</v>
      </c>
    </row>
    <row r="49" spans="1:17" ht="30" customHeight="1" x14ac:dyDescent="0.35">
      <c r="A49" s="52" t="s">
        <v>18</v>
      </c>
      <c r="B49" s="52" t="s">
        <v>463</v>
      </c>
      <c r="C49" s="52" t="s">
        <v>238</v>
      </c>
      <c r="D49" s="52" t="s">
        <v>464</v>
      </c>
      <c r="E49" s="52" t="s">
        <v>465</v>
      </c>
      <c r="F49" s="52" t="s">
        <v>266</v>
      </c>
      <c r="G49" s="52" t="s">
        <v>466</v>
      </c>
      <c r="H49" s="52" t="s">
        <v>87</v>
      </c>
      <c r="I49" s="52" t="s">
        <v>74</v>
      </c>
      <c r="J49" s="52">
        <v>0</v>
      </c>
      <c r="K49" s="52">
        <v>100</v>
      </c>
      <c r="L49" s="52">
        <v>30</v>
      </c>
      <c r="M49" s="52">
        <v>1</v>
      </c>
      <c r="N49" s="54" t="s">
        <v>241</v>
      </c>
      <c r="O49" s="52" t="s">
        <v>328</v>
      </c>
      <c r="P49" s="52" t="s">
        <v>467</v>
      </c>
      <c r="Q49" s="52" t="s">
        <v>468</v>
      </c>
    </row>
    <row r="50" spans="1:17" ht="30" customHeight="1" x14ac:dyDescent="0.35">
      <c r="A50" s="52" t="s">
        <v>18</v>
      </c>
      <c r="B50" s="52" t="s">
        <v>469</v>
      </c>
      <c r="C50" s="52" t="s">
        <v>238</v>
      </c>
      <c r="D50" s="52" t="s">
        <v>470</v>
      </c>
      <c r="E50" s="52" t="s">
        <v>471</v>
      </c>
      <c r="F50" s="52" t="s">
        <v>472</v>
      </c>
      <c r="G50" s="52" t="s">
        <v>473</v>
      </c>
      <c r="H50" s="52" t="s">
        <v>474</v>
      </c>
      <c r="I50" s="52" t="s">
        <v>74</v>
      </c>
      <c r="J50" s="52">
        <v>1</v>
      </c>
      <c r="K50" s="52">
        <v>5</v>
      </c>
      <c r="L50" s="52">
        <v>3</v>
      </c>
      <c r="M50" s="52">
        <v>1</v>
      </c>
      <c r="N50" s="55" t="s">
        <v>345</v>
      </c>
      <c r="O50" s="52" t="s">
        <v>328</v>
      </c>
      <c r="P50" s="52" t="s">
        <v>10</v>
      </c>
      <c r="Q50" s="52" t="s">
        <v>475</v>
      </c>
    </row>
    <row r="51" spans="1:17" ht="30" customHeight="1" x14ac:dyDescent="0.35">
      <c r="A51" s="52" t="s">
        <v>19</v>
      </c>
      <c r="B51" s="52" t="s">
        <v>476</v>
      </c>
      <c r="C51" s="52" t="s">
        <v>233</v>
      </c>
      <c r="D51" s="52" t="s">
        <v>477</v>
      </c>
      <c r="E51" s="52" t="s">
        <v>478</v>
      </c>
      <c r="F51" s="52" t="s">
        <v>395</v>
      </c>
      <c r="G51" s="52" t="s">
        <v>479</v>
      </c>
      <c r="H51" s="52" t="s">
        <v>87</v>
      </c>
      <c r="I51" s="52" t="s">
        <v>74</v>
      </c>
      <c r="J51" s="52">
        <v>0</v>
      </c>
      <c r="K51" s="52">
        <v>100</v>
      </c>
      <c r="L51" s="52">
        <v>65</v>
      </c>
      <c r="M51" s="52">
        <v>1</v>
      </c>
      <c r="N51" s="53" t="s">
        <v>229</v>
      </c>
      <c r="O51" s="52" t="s">
        <v>404</v>
      </c>
      <c r="P51" s="52" t="s">
        <v>13</v>
      </c>
      <c r="Q51" s="52" t="s">
        <v>480</v>
      </c>
    </row>
    <row r="52" spans="1:17" ht="30" customHeight="1" x14ac:dyDescent="0.35">
      <c r="A52" s="52" t="s">
        <v>19</v>
      </c>
      <c r="B52" s="52" t="s">
        <v>481</v>
      </c>
      <c r="C52" s="52" t="s">
        <v>233</v>
      </c>
      <c r="D52" s="52" t="s">
        <v>482</v>
      </c>
      <c r="E52" s="52" t="s">
        <v>483</v>
      </c>
      <c r="F52" s="52" t="s">
        <v>395</v>
      </c>
      <c r="G52" s="52" t="s">
        <v>484</v>
      </c>
      <c r="H52" s="52" t="s">
        <v>87</v>
      </c>
      <c r="I52" s="52" t="s">
        <v>93</v>
      </c>
      <c r="J52" s="52">
        <v>0</v>
      </c>
      <c r="K52" s="52">
        <v>50</v>
      </c>
      <c r="L52" s="52">
        <v>15</v>
      </c>
      <c r="M52" s="52">
        <v>1</v>
      </c>
      <c r="N52" s="53" t="s">
        <v>229</v>
      </c>
      <c r="O52" s="52" t="s">
        <v>404</v>
      </c>
      <c r="P52" s="52" t="s">
        <v>13</v>
      </c>
      <c r="Q52" s="52" t="s">
        <v>485</v>
      </c>
    </row>
    <row r="53" spans="1:17" ht="30" customHeight="1" x14ac:dyDescent="0.35">
      <c r="A53" s="52" t="s">
        <v>19</v>
      </c>
      <c r="B53" s="52" t="s">
        <v>486</v>
      </c>
      <c r="C53" s="52" t="s">
        <v>233</v>
      </c>
      <c r="D53" s="52" t="s">
        <v>487</v>
      </c>
      <c r="E53" s="52" t="s">
        <v>488</v>
      </c>
      <c r="F53" s="52" t="s">
        <v>395</v>
      </c>
      <c r="G53" s="52" t="s">
        <v>489</v>
      </c>
      <c r="H53" s="52" t="s">
        <v>87</v>
      </c>
      <c r="I53" s="52" t="s">
        <v>93</v>
      </c>
      <c r="J53" s="52">
        <v>0</v>
      </c>
      <c r="K53" s="52">
        <v>70</v>
      </c>
      <c r="L53" s="52">
        <v>30</v>
      </c>
      <c r="M53" s="52">
        <v>1</v>
      </c>
      <c r="N53" s="53" t="s">
        <v>229</v>
      </c>
      <c r="O53" s="52" t="s">
        <v>404</v>
      </c>
      <c r="P53" s="52" t="s">
        <v>13</v>
      </c>
      <c r="Q53" s="52" t="s">
        <v>490</v>
      </c>
    </row>
    <row r="54" spans="1:17" ht="30" customHeight="1" x14ac:dyDescent="0.35">
      <c r="A54" s="52" t="s">
        <v>19</v>
      </c>
      <c r="B54" s="52" t="s">
        <v>491</v>
      </c>
      <c r="C54" s="52" t="s">
        <v>238</v>
      </c>
      <c r="D54" s="52" t="s">
        <v>492</v>
      </c>
      <c r="E54" s="52" t="s">
        <v>493</v>
      </c>
      <c r="F54" s="52" t="s">
        <v>395</v>
      </c>
      <c r="G54" s="52" t="s">
        <v>494</v>
      </c>
      <c r="H54" s="52" t="s">
        <v>87</v>
      </c>
      <c r="I54" s="52" t="s">
        <v>74</v>
      </c>
      <c r="J54" s="52">
        <v>0</v>
      </c>
      <c r="K54" s="52">
        <v>100</v>
      </c>
      <c r="L54" s="52">
        <v>70</v>
      </c>
      <c r="M54" s="52">
        <v>1</v>
      </c>
      <c r="N54" s="53" t="s">
        <v>229</v>
      </c>
      <c r="O54" s="52" t="s">
        <v>404</v>
      </c>
      <c r="P54" s="52" t="s">
        <v>13</v>
      </c>
      <c r="Q54" s="52" t="s">
        <v>495</v>
      </c>
    </row>
    <row r="55" spans="1:17" ht="30" customHeight="1" x14ac:dyDescent="0.35">
      <c r="A55" s="52" t="s">
        <v>19</v>
      </c>
      <c r="B55" s="52" t="s">
        <v>496</v>
      </c>
      <c r="C55" s="52" t="s">
        <v>238</v>
      </c>
      <c r="D55" s="52" t="s">
        <v>497</v>
      </c>
      <c r="E55" s="52" t="s">
        <v>498</v>
      </c>
      <c r="F55" s="52" t="s">
        <v>395</v>
      </c>
      <c r="G55" s="52" t="s">
        <v>499</v>
      </c>
      <c r="H55" s="52" t="s">
        <v>87</v>
      </c>
      <c r="I55" s="52" t="s">
        <v>93</v>
      </c>
      <c r="J55" s="52">
        <v>0</v>
      </c>
      <c r="K55" s="52">
        <v>100</v>
      </c>
      <c r="L55" s="52">
        <v>50</v>
      </c>
      <c r="M55" s="52">
        <v>1</v>
      </c>
      <c r="N55" s="53" t="s">
        <v>229</v>
      </c>
      <c r="O55" s="52" t="s">
        <v>404</v>
      </c>
      <c r="P55" s="52" t="s">
        <v>13</v>
      </c>
      <c r="Q55" s="52" t="s">
        <v>500</v>
      </c>
    </row>
    <row r="56" spans="1:17" ht="30" customHeight="1" x14ac:dyDescent="0.35">
      <c r="A56" s="52" t="s">
        <v>19</v>
      </c>
      <c r="B56" s="52" t="s">
        <v>501</v>
      </c>
      <c r="C56" s="52" t="s">
        <v>238</v>
      </c>
      <c r="D56" s="52" t="s">
        <v>502</v>
      </c>
      <c r="E56" s="52" t="s">
        <v>503</v>
      </c>
      <c r="F56" s="52" t="s">
        <v>395</v>
      </c>
      <c r="G56" s="52" t="s">
        <v>504</v>
      </c>
      <c r="H56" s="52" t="s">
        <v>505</v>
      </c>
      <c r="I56" s="52" t="s">
        <v>74</v>
      </c>
      <c r="J56" s="52">
        <v>0</v>
      </c>
      <c r="K56" s="52">
        <v>100</v>
      </c>
      <c r="L56" s="52">
        <v>50</v>
      </c>
      <c r="M56" s="52">
        <v>1</v>
      </c>
      <c r="N56" s="53" t="s">
        <v>229</v>
      </c>
      <c r="O56" s="52" t="s">
        <v>404</v>
      </c>
      <c r="P56" s="52" t="s">
        <v>13</v>
      </c>
      <c r="Q56" s="52" t="s">
        <v>506</v>
      </c>
    </row>
    <row r="57" spans="1:17" ht="30" customHeight="1" x14ac:dyDescent="0.35">
      <c r="A57" s="52" t="s">
        <v>19</v>
      </c>
      <c r="B57" s="52" t="s">
        <v>507</v>
      </c>
      <c r="C57" s="52" t="s">
        <v>238</v>
      </c>
      <c r="D57" s="52" t="s">
        <v>508</v>
      </c>
      <c r="E57" s="52" t="s">
        <v>509</v>
      </c>
      <c r="F57" s="52" t="s">
        <v>395</v>
      </c>
      <c r="G57" s="52" t="s">
        <v>510</v>
      </c>
      <c r="H57" s="52" t="s">
        <v>505</v>
      </c>
      <c r="I57" s="52" t="s">
        <v>93</v>
      </c>
      <c r="J57" s="52">
        <v>0</v>
      </c>
      <c r="K57" s="52">
        <v>100</v>
      </c>
      <c r="L57" s="52">
        <v>35</v>
      </c>
      <c r="M57" s="52">
        <v>1</v>
      </c>
      <c r="N57" s="54" t="s">
        <v>241</v>
      </c>
      <c r="O57" s="52" t="s">
        <v>404</v>
      </c>
      <c r="P57" s="52" t="s">
        <v>13</v>
      </c>
      <c r="Q57" s="52" t="s">
        <v>511</v>
      </c>
    </row>
    <row r="58" spans="1:17" ht="30" customHeight="1" x14ac:dyDescent="0.35">
      <c r="A58" s="52" t="s">
        <v>19</v>
      </c>
      <c r="B58" s="52" t="s">
        <v>512</v>
      </c>
      <c r="C58" s="52" t="s">
        <v>233</v>
      </c>
      <c r="D58" s="52" t="s">
        <v>513</v>
      </c>
      <c r="E58" s="52" t="s">
        <v>514</v>
      </c>
      <c r="F58" s="52" t="s">
        <v>395</v>
      </c>
      <c r="G58" s="52" t="s">
        <v>515</v>
      </c>
      <c r="H58" s="52" t="s">
        <v>516</v>
      </c>
      <c r="I58" s="52" t="s">
        <v>74</v>
      </c>
      <c r="J58" s="52">
        <v>1000</v>
      </c>
      <c r="K58" s="52">
        <v>50000</v>
      </c>
      <c r="L58" s="52">
        <v>12000</v>
      </c>
      <c r="M58" s="52">
        <v>1</v>
      </c>
      <c r="N58" s="53" t="s">
        <v>229</v>
      </c>
      <c r="O58" s="52" t="s">
        <v>268</v>
      </c>
      <c r="P58" s="52" t="s">
        <v>12</v>
      </c>
      <c r="Q58" s="52" t="s">
        <v>517</v>
      </c>
    </row>
    <row r="59" spans="1:17" ht="30" customHeight="1" x14ac:dyDescent="0.35">
      <c r="A59" s="52" t="s">
        <v>19</v>
      </c>
      <c r="B59" s="52" t="s">
        <v>392</v>
      </c>
      <c r="C59" s="52" t="s">
        <v>238</v>
      </c>
      <c r="D59" s="52" t="s">
        <v>393</v>
      </c>
      <c r="E59" s="52" t="s">
        <v>394</v>
      </c>
      <c r="F59" s="52" t="s">
        <v>395</v>
      </c>
      <c r="G59" s="52" t="s">
        <v>396</v>
      </c>
      <c r="H59" s="52" t="s">
        <v>87</v>
      </c>
      <c r="I59" s="52" t="s">
        <v>93</v>
      </c>
      <c r="J59" s="52">
        <v>0</v>
      </c>
      <c r="K59" s="52">
        <v>70</v>
      </c>
      <c r="L59" s="52">
        <v>25</v>
      </c>
      <c r="M59" s="52">
        <v>1</v>
      </c>
      <c r="N59" s="53" t="s">
        <v>229</v>
      </c>
      <c r="O59" s="52" t="s">
        <v>397</v>
      </c>
      <c r="P59" s="52" t="s">
        <v>12</v>
      </c>
      <c r="Q59" s="52" t="s">
        <v>518</v>
      </c>
    </row>
    <row r="60" spans="1:17" ht="30" customHeight="1" x14ac:dyDescent="0.35">
      <c r="A60" s="52" t="s">
        <v>19</v>
      </c>
      <c r="B60" s="52" t="s">
        <v>519</v>
      </c>
      <c r="C60" s="52" t="s">
        <v>238</v>
      </c>
      <c r="D60" s="52"/>
      <c r="E60" s="52"/>
      <c r="F60" s="52" t="s">
        <v>520</v>
      </c>
      <c r="G60" s="52" t="s">
        <v>521</v>
      </c>
      <c r="H60" s="52" t="s">
        <v>522</v>
      </c>
      <c r="I60" s="52" t="s">
        <v>93</v>
      </c>
      <c r="J60" s="52">
        <v>0</v>
      </c>
      <c r="K60" s="52">
        <v>100</v>
      </c>
      <c r="L60" s="52">
        <v>55</v>
      </c>
      <c r="M60" s="52">
        <v>1</v>
      </c>
      <c r="N60" s="53" t="s">
        <v>229</v>
      </c>
      <c r="O60" s="52"/>
      <c r="P60" s="52"/>
      <c r="Q60" s="52" t="s">
        <v>523</v>
      </c>
    </row>
    <row r="61" spans="1:17" ht="30" customHeight="1" x14ac:dyDescent="0.35">
      <c r="A61" s="52" t="s">
        <v>20</v>
      </c>
      <c r="B61" s="52" t="s">
        <v>524</v>
      </c>
      <c r="C61" s="52" t="s">
        <v>224</v>
      </c>
      <c r="D61" s="52" t="s">
        <v>525</v>
      </c>
      <c r="E61" s="52" t="s">
        <v>526</v>
      </c>
      <c r="F61" s="52" t="s">
        <v>527</v>
      </c>
      <c r="G61" s="52" t="s">
        <v>528</v>
      </c>
      <c r="H61" s="52" t="s">
        <v>87</v>
      </c>
      <c r="I61" s="52" t="s">
        <v>93</v>
      </c>
      <c r="J61" s="52">
        <v>0</v>
      </c>
      <c r="K61" s="52">
        <v>100</v>
      </c>
      <c r="L61" s="52">
        <v>45</v>
      </c>
      <c r="M61" s="52">
        <v>1</v>
      </c>
      <c r="N61" s="53" t="s">
        <v>229</v>
      </c>
      <c r="O61" s="52" t="s">
        <v>328</v>
      </c>
      <c r="P61" s="52" t="s">
        <v>9</v>
      </c>
      <c r="Q61" s="52" t="s">
        <v>529</v>
      </c>
    </row>
    <row r="62" spans="1:17" ht="30" customHeight="1" x14ac:dyDescent="0.35">
      <c r="A62" s="52" t="s">
        <v>20</v>
      </c>
      <c r="B62" s="52" t="s">
        <v>530</v>
      </c>
      <c r="C62" s="52" t="s">
        <v>233</v>
      </c>
      <c r="D62" s="52" t="s">
        <v>531</v>
      </c>
      <c r="E62" s="52" t="s">
        <v>532</v>
      </c>
      <c r="F62" s="52" t="s">
        <v>527</v>
      </c>
      <c r="G62" s="52" t="s">
        <v>533</v>
      </c>
      <c r="H62" s="52" t="s">
        <v>87</v>
      </c>
      <c r="I62" s="52" t="s">
        <v>93</v>
      </c>
      <c r="J62" s="52">
        <v>0</v>
      </c>
      <c r="K62" s="52">
        <v>60</v>
      </c>
      <c r="L62" s="52">
        <v>20</v>
      </c>
      <c r="M62" s="52">
        <v>1</v>
      </c>
      <c r="N62" s="53" t="s">
        <v>229</v>
      </c>
      <c r="O62" s="52" t="s">
        <v>261</v>
      </c>
      <c r="P62" s="52" t="s">
        <v>11</v>
      </c>
      <c r="Q62" s="52" t="s">
        <v>534</v>
      </c>
    </row>
    <row r="63" spans="1:17" ht="30" customHeight="1" x14ac:dyDescent="0.35">
      <c r="A63" s="52" t="s">
        <v>20</v>
      </c>
      <c r="B63" s="52" t="s">
        <v>535</v>
      </c>
      <c r="C63" s="52" t="s">
        <v>238</v>
      </c>
      <c r="D63" s="52" t="s">
        <v>536</v>
      </c>
      <c r="E63" s="52" t="s">
        <v>537</v>
      </c>
      <c r="F63" s="52" t="s">
        <v>538</v>
      </c>
      <c r="G63" s="52" t="s">
        <v>539</v>
      </c>
      <c r="H63" s="52" t="s">
        <v>540</v>
      </c>
      <c r="I63" s="52" t="s">
        <v>93</v>
      </c>
      <c r="J63" s="52">
        <v>0</v>
      </c>
      <c r="K63" s="52">
        <v>60</v>
      </c>
      <c r="L63" s="52">
        <v>25</v>
      </c>
      <c r="M63" s="52">
        <v>1</v>
      </c>
      <c r="N63" s="54" t="s">
        <v>241</v>
      </c>
      <c r="O63" s="52" t="s">
        <v>353</v>
      </c>
      <c r="P63" s="52" t="s">
        <v>3</v>
      </c>
      <c r="Q63" s="52" t="s">
        <v>541</v>
      </c>
    </row>
    <row r="64" spans="1:17" ht="30" customHeight="1" x14ac:dyDescent="0.35">
      <c r="A64" s="52" t="s">
        <v>20</v>
      </c>
      <c r="B64" s="52" t="s">
        <v>542</v>
      </c>
      <c r="C64" s="52" t="s">
        <v>238</v>
      </c>
      <c r="D64" s="52" t="s">
        <v>543</v>
      </c>
      <c r="E64" s="52" t="s">
        <v>544</v>
      </c>
      <c r="F64" s="52" t="s">
        <v>538</v>
      </c>
      <c r="G64" s="52" t="s">
        <v>545</v>
      </c>
      <c r="H64" s="52" t="s">
        <v>540</v>
      </c>
      <c r="I64" s="52" t="s">
        <v>93</v>
      </c>
      <c r="J64" s="52">
        <v>0</v>
      </c>
      <c r="K64" s="52">
        <v>25</v>
      </c>
      <c r="L64" s="52">
        <v>5</v>
      </c>
      <c r="M64" s="52">
        <v>1</v>
      </c>
      <c r="N64" s="54" t="s">
        <v>241</v>
      </c>
      <c r="O64" s="52" t="s">
        <v>353</v>
      </c>
      <c r="P64" s="52" t="s">
        <v>3</v>
      </c>
      <c r="Q64" s="52" t="s">
        <v>546</v>
      </c>
    </row>
    <row r="65" spans="1:17" ht="30" customHeight="1" x14ac:dyDescent="0.35">
      <c r="A65" s="52" t="s">
        <v>20</v>
      </c>
      <c r="B65" s="52" t="s">
        <v>547</v>
      </c>
      <c r="C65" s="52" t="s">
        <v>238</v>
      </c>
      <c r="D65" s="52" t="s">
        <v>548</v>
      </c>
      <c r="E65" s="52" t="s">
        <v>549</v>
      </c>
      <c r="F65" s="52" t="s">
        <v>414</v>
      </c>
      <c r="G65" s="52" t="s">
        <v>550</v>
      </c>
      <c r="H65" s="52" t="s">
        <v>175</v>
      </c>
      <c r="I65" s="52" t="s">
        <v>93</v>
      </c>
      <c r="J65" s="52">
        <v>0</v>
      </c>
      <c r="K65" s="52">
        <v>200</v>
      </c>
      <c r="L65" s="52">
        <v>50</v>
      </c>
      <c r="M65" s="52">
        <v>1</v>
      </c>
      <c r="N65" s="53" t="s">
        <v>229</v>
      </c>
      <c r="O65" s="52" t="s">
        <v>268</v>
      </c>
      <c r="P65" s="52" t="s">
        <v>12</v>
      </c>
      <c r="Q65" s="52" t="s">
        <v>551</v>
      </c>
    </row>
    <row r="66" spans="1:17" ht="30" customHeight="1" x14ac:dyDescent="0.35">
      <c r="A66" s="52" t="s">
        <v>20</v>
      </c>
      <c r="B66" s="52" t="s">
        <v>552</v>
      </c>
      <c r="C66" s="52" t="s">
        <v>238</v>
      </c>
      <c r="D66" s="52" t="s">
        <v>553</v>
      </c>
      <c r="E66" s="52" t="s">
        <v>554</v>
      </c>
      <c r="F66" s="52" t="s">
        <v>426</v>
      </c>
      <c r="G66" s="52" t="s">
        <v>555</v>
      </c>
      <c r="H66" s="52" t="s">
        <v>73</v>
      </c>
      <c r="I66" s="52" t="s">
        <v>74</v>
      </c>
      <c r="J66" s="52">
        <v>0</v>
      </c>
      <c r="K66" s="52">
        <v>100</v>
      </c>
      <c r="L66" s="52">
        <v>55</v>
      </c>
      <c r="M66" s="52">
        <v>1</v>
      </c>
      <c r="N66" s="55" t="s">
        <v>345</v>
      </c>
      <c r="O66" s="52" t="s">
        <v>346</v>
      </c>
      <c r="P66" s="52"/>
      <c r="Q66" s="52" t="s">
        <v>556</v>
      </c>
    </row>
    <row r="67" spans="1:17" ht="30" customHeight="1" x14ac:dyDescent="0.35">
      <c r="A67" s="52" t="s">
        <v>20</v>
      </c>
      <c r="B67" s="52" t="s">
        <v>557</v>
      </c>
      <c r="C67" s="52" t="s">
        <v>224</v>
      </c>
      <c r="D67" s="52" t="s">
        <v>558</v>
      </c>
      <c r="E67" s="52" t="s">
        <v>559</v>
      </c>
      <c r="F67" s="52" t="s">
        <v>538</v>
      </c>
      <c r="G67" s="52" t="s">
        <v>560</v>
      </c>
      <c r="H67" s="52" t="s">
        <v>561</v>
      </c>
      <c r="I67" s="52" t="s">
        <v>74</v>
      </c>
      <c r="J67" s="52">
        <v>0</v>
      </c>
      <c r="K67" s="52">
        <v>100</v>
      </c>
      <c r="L67" s="52">
        <v>85</v>
      </c>
      <c r="M67" s="52">
        <v>1</v>
      </c>
      <c r="N67" s="53" t="s">
        <v>229</v>
      </c>
      <c r="O67" s="52" t="s">
        <v>268</v>
      </c>
      <c r="P67" s="52" t="s">
        <v>12</v>
      </c>
      <c r="Q67" s="52" t="s">
        <v>562</v>
      </c>
    </row>
    <row r="68" spans="1:17" ht="30" customHeight="1" x14ac:dyDescent="0.35">
      <c r="A68" s="52" t="s">
        <v>20</v>
      </c>
      <c r="B68" s="52" t="s">
        <v>563</v>
      </c>
      <c r="C68" s="52" t="s">
        <v>233</v>
      </c>
      <c r="D68" s="52" t="s">
        <v>564</v>
      </c>
      <c r="E68" s="52" t="s">
        <v>565</v>
      </c>
      <c r="F68" s="52" t="s">
        <v>426</v>
      </c>
      <c r="G68" s="52" t="s">
        <v>566</v>
      </c>
      <c r="H68" s="52" t="s">
        <v>87</v>
      </c>
      <c r="I68" s="52" t="s">
        <v>74</v>
      </c>
      <c r="J68" s="52">
        <v>0</v>
      </c>
      <c r="K68" s="52">
        <v>15</v>
      </c>
      <c r="L68" s="52">
        <v>5</v>
      </c>
      <c r="M68" s="52">
        <v>1</v>
      </c>
      <c r="N68" s="53" t="s">
        <v>229</v>
      </c>
      <c r="O68" s="52" t="s">
        <v>261</v>
      </c>
      <c r="P68" s="52" t="s">
        <v>11</v>
      </c>
      <c r="Q68" s="52" t="s">
        <v>567</v>
      </c>
    </row>
    <row r="69" spans="1:17" ht="30" customHeight="1" x14ac:dyDescent="0.35">
      <c r="A69" s="52" t="s">
        <v>20</v>
      </c>
      <c r="B69" s="52" t="s">
        <v>568</v>
      </c>
      <c r="C69" s="52" t="s">
        <v>238</v>
      </c>
      <c r="D69" s="52" t="s">
        <v>569</v>
      </c>
      <c r="E69" s="52" t="s">
        <v>570</v>
      </c>
      <c r="F69" s="52" t="s">
        <v>426</v>
      </c>
      <c r="G69" s="52" t="s">
        <v>571</v>
      </c>
      <c r="H69" s="52" t="s">
        <v>175</v>
      </c>
      <c r="I69" s="52" t="s">
        <v>74</v>
      </c>
      <c r="J69" s="52">
        <v>0</v>
      </c>
      <c r="K69" s="52">
        <v>5</v>
      </c>
      <c r="L69" s="52">
        <v>1</v>
      </c>
      <c r="M69" s="52">
        <v>1</v>
      </c>
      <c r="N69" s="54" t="s">
        <v>241</v>
      </c>
      <c r="O69" s="52" t="s">
        <v>328</v>
      </c>
      <c r="P69" s="52" t="s">
        <v>10</v>
      </c>
      <c r="Q69" s="52" t="s">
        <v>572</v>
      </c>
    </row>
    <row r="70" spans="1:17" ht="30" customHeight="1" x14ac:dyDescent="0.35">
      <c r="A70" s="52" t="s">
        <v>20</v>
      </c>
      <c r="B70" s="52" t="s">
        <v>573</v>
      </c>
      <c r="C70" s="52" t="s">
        <v>233</v>
      </c>
      <c r="D70" s="52" t="s">
        <v>574</v>
      </c>
      <c r="E70" s="52" t="s">
        <v>575</v>
      </c>
      <c r="F70" s="52" t="s">
        <v>426</v>
      </c>
      <c r="G70" s="52" t="s">
        <v>576</v>
      </c>
      <c r="H70" s="52" t="s">
        <v>175</v>
      </c>
      <c r="I70" s="52" t="s">
        <v>74</v>
      </c>
      <c r="J70" s="52">
        <v>0</v>
      </c>
      <c r="K70" s="52">
        <v>10</v>
      </c>
      <c r="L70" s="52">
        <v>2</v>
      </c>
      <c r="M70" s="52">
        <v>1</v>
      </c>
      <c r="N70" s="53" t="s">
        <v>229</v>
      </c>
      <c r="O70" s="52" t="s">
        <v>353</v>
      </c>
      <c r="P70" s="52" t="s">
        <v>7</v>
      </c>
      <c r="Q70" s="52" t="s">
        <v>577</v>
      </c>
    </row>
    <row r="71" spans="1:17" ht="30" customHeight="1" x14ac:dyDescent="0.35">
      <c r="A71" s="52" t="s">
        <v>20</v>
      </c>
      <c r="B71" s="52" t="s">
        <v>578</v>
      </c>
      <c r="C71" s="52" t="s">
        <v>238</v>
      </c>
      <c r="D71" s="52" t="s">
        <v>579</v>
      </c>
      <c r="E71" s="52" t="s">
        <v>580</v>
      </c>
      <c r="F71" s="52" t="s">
        <v>527</v>
      </c>
      <c r="G71" s="52" t="s">
        <v>581</v>
      </c>
      <c r="H71" s="52" t="s">
        <v>582</v>
      </c>
      <c r="I71" s="52" t="s">
        <v>74</v>
      </c>
      <c r="J71" s="52">
        <v>50</v>
      </c>
      <c r="K71" s="52">
        <v>150</v>
      </c>
      <c r="L71" s="52">
        <v>110</v>
      </c>
      <c r="M71" s="52">
        <v>1</v>
      </c>
      <c r="N71" s="54" t="s">
        <v>241</v>
      </c>
      <c r="O71" s="52" t="s">
        <v>461</v>
      </c>
      <c r="P71" s="52" t="s">
        <v>10</v>
      </c>
      <c r="Q71" s="52" t="s">
        <v>583</v>
      </c>
    </row>
    <row r="72" spans="1:17" ht="30" customHeight="1" x14ac:dyDescent="0.35">
      <c r="A72" s="52" t="s">
        <v>20</v>
      </c>
      <c r="B72" s="52" t="s">
        <v>584</v>
      </c>
      <c r="C72" s="52" t="s">
        <v>238</v>
      </c>
      <c r="D72" s="52" t="s">
        <v>585</v>
      </c>
      <c r="E72" s="52" t="s">
        <v>586</v>
      </c>
      <c r="F72" s="52" t="s">
        <v>527</v>
      </c>
      <c r="G72" s="52" t="s">
        <v>587</v>
      </c>
      <c r="H72" s="52" t="s">
        <v>588</v>
      </c>
      <c r="I72" s="52" t="s">
        <v>74</v>
      </c>
      <c r="J72" s="52">
        <v>0</v>
      </c>
      <c r="K72" s="52">
        <v>6000</v>
      </c>
      <c r="L72" s="52">
        <v>2000</v>
      </c>
      <c r="M72" s="52">
        <v>1</v>
      </c>
      <c r="N72" s="54" t="s">
        <v>241</v>
      </c>
      <c r="O72" s="52" t="s">
        <v>261</v>
      </c>
      <c r="P72" s="52" t="s">
        <v>11</v>
      </c>
      <c r="Q72" s="52" t="s">
        <v>589</v>
      </c>
    </row>
  </sheetData>
  <autoFilter ref="A4:Q72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Instruções</vt:lpstr>
      <vt:lpstr>Input_Dados</vt:lpstr>
      <vt:lpstr>Parametros</vt:lpstr>
      <vt:lpstr>Normalizacao</vt:lpstr>
      <vt:lpstr>Subindices</vt:lpstr>
      <vt:lpstr>Indice_Global</vt:lpstr>
      <vt:lpstr>Diagnostico_Lacunas</vt:lpstr>
      <vt:lpstr>Sugestoes_Indicadores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DMS</cp:lastModifiedBy>
  <cp:revision>2</cp:revision>
  <dcterms:created xsi:type="dcterms:W3CDTF">2026-01-03T13:30:03Z</dcterms:created>
  <dcterms:modified xsi:type="dcterms:W3CDTF">2026-05-22T13:49:53Z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7992e3-e0e1-4341-bf60-8e57bf2032c5_ActionId">
    <vt:lpwstr>bd366fd4-9d63-40bf-8a56-dece0e7d90f2</vt:lpwstr>
  </property>
  <property fmtid="{D5CDD505-2E9C-101B-9397-08002B2CF9AE}" pid="3" name="MSIP_Label_eb7992e3-e0e1-4341-bf60-8e57bf2032c5_ContentBits">
    <vt:lpwstr>0</vt:lpwstr>
  </property>
  <property fmtid="{D5CDD505-2E9C-101B-9397-08002B2CF9AE}" pid="4" name="MSIP_Label_eb7992e3-e0e1-4341-bf60-8e57bf2032c5_Enabled">
    <vt:lpwstr>true</vt:lpwstr>
  </property>
  <property fmtid="{D5CDD505-2E9C-101B-9397-08002B2CF9AE}" pid="5" name="MSIP_Label_eb7992e3-e0e1-4341-bf60-8e57bf2032c5_Method">
    <vt:lpwstr>Privileged</vt:lpwstr>
  </property>
  <property fmtid="{D5CDD505-2E9C-101B-9397-08002B2CF9AE}" pid="6" name="MSIP_Label_eb7992e3-e0e1-4341-bf60-8e57bf2032c5_Name">
    <vt:lpwstr>Informação Pública</vt:lpwstr>
  </property>
  <property fmtid="{D5CDD505-2E9C-101B-9397-08002B2CF9AE}" pid="7" name="MSIP_Label_eb7992e3-e0e1-4341-bf60-8e57bf2032c5_SetDate">
    <vt:lpwstr>2026-05-12T21:04:42Z</vt:lpwstr>
  </property>
  <property fmtid="{D5CDD505-2E9C-101B-9397-08002B2CF9AE}" pid="8" name="MSIP_Label_eb7992e3-e0e1-4341-bf60-8e57bf2032c5_SiteId">
    <vt:lpwstr>c23fa617-d0cf-4c92-a529-5e444a4cc1fa</vt:lpwstr>
  </property>
  <property fmtid="{D5CDD505-2E9C-101B-9397-08002B2CF9AE}" pid="9" name="MSIP_Label_eb7992e3-e0e1-4341-bf60-8e57bf2032c5_Tag">
    <vt:lpwstr>10, 0, 1, 1</vt:lpwstr>
  </property>
</Properties>
</file>